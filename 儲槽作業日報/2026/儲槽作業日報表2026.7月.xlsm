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4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5.xml" ContentType="application/vnd.openxmlformats-officedocument.drawing+xml"/>
  <Override PartName="/xl/ctrlProps/ctrlProp4.xml" ContentType="application/vnd.ms-excel.controlproperties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6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drawings/drawing7.xml" ContentType="application/vnd.openxmlformats-officedocument.drawing+xml"/>
  <Override PartName="/xl/ctrlProps/ctrlProp6.xml" ContentType="application/vnd.ms-excel.controlproperties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drawings/drawing8.xml" ContentType="application/vnd.openxmlformats-officedocument.drawing+xml"/>
  <Override PartName="/xl/ctrlProps/ctrlProp7.xml" ContentType="application/vnd.ms-excel.controlproperties+xml"/>
  <Override PartName="/xl/tables/table7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9.xml" ContentType="application/vnd.openxmlformats-officedocument.drawing+xml"/>
  <Override PartName="/xl/ctrlProps/ctrlProp8.xml" ContentType="application/vnd.ms-excel.controlproperties+xml"/>
  <Override PartName="/xl/tables/table8.xml" ContentType="application/vnd.openxmlformats-officedocument.spreadsheetml.table+xml"/>
  <Override PartName="/xl/queryTables/queryTable8.xml" ContentType="application/vnd.openxmlformats-officedocument.spreadsheetml.queryTable+xml"/>
  <Override PartName="/xl/drawings/drawing10.xml" ContentType="application/vnd.openxmlformats-officedocument.drawing+xml"/>
  <Override PartName="/xl/ctrlProps/ctrlProp9.xml" ContentType="application/vnd.ms-excel.controlproperties+xml"/>
  <Override PartName="/xl/tables/table9.xml" ContentType="application/vnd.openxmlformats-officedocument.spreadsheetml.table+xml"/>
  <Override PartName="/xl/queryTables/queryTable9.xml" ContentType="application/vnd.openxmlformats-officedocument.spreadsheetml.queryTable+xml"/>
  <Override PartName="/xl/drawings/drawing11.xml" ContentType="application/vnd.openxmlformats-officedocument.drawing+xml"/>
  <Override PartName="/xl/ctrlProps/ctrlProp10.xml" ContentType="application/vnd.ms-excel.controlproperties+xml"/>
  <Override PartName="/xl/tables/table10.xml" ContentType="application/vnd.openxmlformats-officedocument.spreadsheetml.table+xml"/>
  <Override PartName="/xl/queryTables/queryTable10.xml" ContentType="application/vnd.openxmlformats-officedocument.spreadsheetml.queryTable+xml"/>
  <Override PartName="/xl/drawings/drawing12.xml" ContentType="application/vnd.openxmlformats-officedocument.drawing+xml"/>
  <Override PartName="/xl/ctrlProps/ctrlProp11.xml" ContentType="application/vnd.ms-excel.controlproperties+xml"/>
  <Override PartName="/xl/tables/table11.xml" ContentType="application/vnd.openxmlformats-officedocument.spreadsheetml.table+xml"/>
  <Override PartName="/xl/queryTables/queryTable11.xml" ContentType="application/vnd.openxmlformats-officedocument.spreadsheetml.queryTable+xml"/>
  <Override PartName="/xl/drawings/drawing13.xml" ContentType="application/vnd.openxmlformats-officedocument.drawing+xml"/>
  <Override PartName="/xl/ctrlProps/ctrlProp12.xml" ContentType="application/vnd.ms-excel.controlproperties+xml"/>
  <Override PartName="/xl/tables/table12.xml" ContentType="application/vnd.openxmlformats-officedocument.spreadsheetml.table+xml"/>
  <Override PartName="/xl/queryTables/queryTable12.xml" ContentType="application/vnd.openxmlformats-officedocument.spreadsheetml.queryTable+xml"/>
  <Override PartName="/xl/drawings/drawing14.xml" ContentType="application/vnd.openxmlformats-officedocument.drawing+xml"/>
  <Override PartName="/xl/ctrlProps/ctrlProp13.xml" ContentType="application/vnd.ms-excel.controlproperties+xml"/>
  <Override PartName="/xl/tables/table13.xml" ContentType="application/vnd.openxmlformats-officedocument.spreadsheetml.table+xml"/>
  <Override PartName="/xl/queryTables/queryTable13.xml" ContentType="application/vnd.openxmlformats-officedocument.spreadsheetml.queryTable+xml"/>
  <Override PartName="/xl/drawings/drawing15.xml" ContentType="application/vnd.openxmlformats-officedocument.drawing+xml"/>
  <Override PartName="/xl/ctrlProps/ctrlProp14.xml" ContentType="application/vnd.ms-excel.controlproperties+xml"/>
  <Override PartName="/xl/tables/table14.xml" ContentType="application/vnd.openxmlformats-officedocument.spreadsheetml.table+xml"/>
  <Override PartName="/xl/queryTables/queryTable14.xml" ContentType="application/vnd.openxmlformats-officedocument.spreadsheetml.queryTable+xml"/>
  <Override PartName="/xl/drawings/drawing16.xml" ContentType="application/vnd.openxmlformats-officedocument.drawing+xml"/>
  <Override PartName="/xl/ctrlProps/ctrlProp15.xml" ContentType="application/vnd.ms-excel.controlproperties+xml"/>
  <Override PartName="/xl/tables/table15.xml" ContentType="application/vnd.openxmlformats-officedocument.spreadsheetml.table+xml"/>
  <Override PartName="/xl/queryTables/queryTable15.xml" ContentType="application/vnd.openxmlformats-officedocument.spreadsheetml.queryTable+xml"/>
  <Override PartName="/xl/drawings/drawing17.xml" ContentType="application/vnd.openxmlformats-officedocument.drawing+xml"/>
  <Override PartName="/xl/ctrlProps/ctrlProp16.xml" ContentType="application/vnd.ms-excel.controlproperties+xml"/>
  <Override PartName="/xl/tables/table16.xml" ContentType="application/vnd.openxmlformats-officedocument.spreadsheetml.table+xml"/>
  <Override PartName="/xl/queryTables/queryTable16.xml" ContentType="application/vnd.openxmlformats-officedocument.spreadsheetml.queryTable+xml"/>
  <Override PartName="/xl/drawings/drawing18.xml" ContentType="application/vnd.openxmlformats-officedocument.drawing+xml"/>
  <Override PartName="/xl/ctrlProps/ctrlProp17.xml" ContentType="application/vnd.ms-excel.controlproperties+xml"/>
  <Override PartName="/xl/tables/table17.xml" ContentType="application/vnd.openxmlformats-officedocument.spreadsheetml.table+xml"/>
  <Override PartName="/xl/queryTables/queryTable17.xml" ContentType="application/vnd.openxmlformats-officedocument.spreadsheetml.queryTable+xml"/>
  <Override PartName="/xl/drawings/drawing19.xml" ContentType="application/vnd.openxmlformats-officedocument.drawing+xml"/>
  <Override PartName="/xl/ctrlProps/ctrlProp18.xml" ContentType="application/vnd.ms-excel.controlproperties+xml"/>
  <Override PartName="/xl/tables/table18.xml" ContentType="application/vnd.openxmlformats-officedocument.spreadsheetml.table+xml"/>
  <Override PartName="/xl/queryTables/queryTable18.xml" ContentType="application/vnd.openxmlformats-officedocument.spreadsheetml.queryTable+xml"/>
  <Override PartName="/xl/drawings/drawing20.xml" ContentType="application/vnd.openxmlformats-officedocument.drawing+xml"/>
  <Override PartName="/xl/ctrlProps/ctrlProp19.xml" ContentType="application/vnd.ms-excel.controlproperties+xml"/>
  <Override PartName="/xl/tables/table19.xml" ContentType="application/vnd.openxmlformats-officedocument.spreadsheetml.table+xml"/>
  <Override PartName="/xl/queryTables/queryTable19.xml" ContentType="application/vnd.openxmlformats-officedocument.spreadsheetml.queryTable+xml"/>
  <Override PartName="/xl/drawings/drawing21.xml" ContentType="application/vnd.openxmlformats-officedocument.drawing+xml"/>
  <Override PartName="/xl/ctrlProps/ctrlProp20.xml" ContentType="application/vnd.ms-excel.controlproperties+xml"/>
  <Override PartName="/xl/tables/table20.xml" ContentType="application/vnd.openxmlformats-officedocument.spreadsheetml.table+xml"/>
  <Override PartName="/xl/queryTables/queryTable20.xml" ContentType="application/vnd.openxmlformats-officedocument.spreadsheetml.queryTable+xml"/>
  <Override PartName="/xl/drawings/drawing22.xml" ContentType="application/vnd.openxmlformats-officedocument.drawing+xml"/>
  <Override PartName="/xl/ctrlProps/ctrlProp21.xml" ContentType="application/vnd.ms-excel.controlproperties+xml"/>
  <Override PartName="/xl/tables/table21.xml" ContentType="application/vnd.openxmlformats-officedocument.spreadsheetml.table+xml"/>
  <Override PartName="/xl/queryTables/queryTable21.xml" ContentType="application/vnd.openxmlformats-officedocument.spreadsheetml.queryTable+xml"/>
  <Override PartName="/xl/drawings/drawing23.xml" ContentType="application/vnd.openxmlformats-officedocument.drawing+xml"/>
  <Override PartName="/xl/ctrlProps/ctrlProp22.xml" ContentType="application/vnd.ms-excel.controlproperties+xml"/>
  <Override PartName="/xl/tables/table22.xml" ContentType="application/vnd.openxmlformats-officedocument.spreadsheetml.table+xml"/>
  <Override PartName="/xl/queryTables/queryTable22.xml" ContentType="application/vnd.openxmlformats-officedocument.spreadsheetml.queryTable+xml"/>
  <Override PartName="/xl/drawings/drawing24.xml" ContentType="application/vnd.openxmlformats-officedocument.drawing+xml"/>
  <Override PartName="/xl/ctrlProps/ctrlProp23.xml" ContentType="application/vnd.ms-excel.controlproperties+xml"/>
  <Override PartName="/xl/tables/table23.xml" ContentType="application/vnd.openxmlformats-officedocument.spreadsheetml.table+xml"/>
  <Override PartName="/xl/queryTables/queryTable23.xml" ContentType="application/vnd.openxmlformats-officedocument.spreadsheetml.queryTable+xml"/>
  <Override PartName="/xl/drawings/drawing25.xml" ContentType="application/vnd.openxmlformats-officedocument.drawing+xml"/>
  <Override PartName="/xl/ctrlProps/ctrlProp24.xml" ContentType="application/vnd.ms-excel.controlproperties+xml"/>
  <Override PartName="/xl/tables/table24.xml" ContentType="application/vnd.openxmlformats-officedocument.spreadsheetml.table+xml"/>
  <Override PartName="/xl/queryTables/queryTable24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O:\各單位對外\資材部對外\!儲槽作業日報\儲槽作業日報\2026\"/>
    </mc:Choice>
  </mc:AlternateContent>
  <bookViews>
    <workbookView xWindow="0" yWindow="0" windowWidth="21600" windowHeight="8256" firstSheet="9" activeTab="25"/>
  </bookViews>
  <sheets>
    <sheet name="新增" sheetId="1727" r:id="rId1"/>
    <sheet name="密度" sheetId="13" r:id="rId2"/>
    <sheet name="6.30" sheetId="2201" r:id="rId3"/>
    <sheet name="7.1" sheetId="2202" r:id="rId4"/>
    <sheet name="7.2" sheetId="2203" r:id="rId5"/>
    <sheet name="7.3" sheetId="2204" r:id="rId6"/>
    <sheet name="7.6" sheetId="2205" r:id="rId7"/>
    <sheet name="7.7" sheetId="2206" r:id="rId8"/>
    <sheet name="7.8" sheetId="2207" r:id="rId9"/>
    <sheet name="7.9" sheetId="2208" r:id="rId10"/>
    <sheet name="7.10" sheetId="2209" r:id="rId11"/>
    <sheet name="7.13" sheetId="2210" r:id="rId12"/>
    <sheet name="7.14" sheetId="2211" r:id="rId13"/>
    <sheet name="7.15" sheetId="2212" r:id="rId14"/>
    <sheet name="7.16" sheetId="2213" r:id="rId15"/>
    <sheet name="7.17" sheetId="2214" r:id="rId16"/>
    <sheet name="7.20" sheetId="2215" r:id="rId17"/>
    <sheet name="7.21" sheetId="2216" r:id="rId18"/>
    <sheet name="7.22" sheetId="2217" r:id="rId19"/>
    <sheet name="7.23" sheetId="2218" r:id="rId20"/>
    <sheet name="7.24" sheetId="2219" r:id="rId21"/>
    <sheet name="7.27" sheetId="2220" r:id="rId22"/>
    <sheet name="7.28" sheetId="2221" r:id="rId23"/>
    <sheet name="7.29" sheetId="2222" r:id="rId24"/>
    <sheet name="7.30" sheetId="2223" r:id="rId25"/>
    <sheet name="7.31" sheetId="2224" r:id="rId26"/>
  </sheets>
  <definedNames>
    <definedName name="_xlnm.Print_Area" localSheetId="2">'6.30'!$B$1:$AE$36</definedName>
    <definedName name="_xlnm.Print_Area" localSheetId="3">'7.1'!$B$1:$AE$36</definedName>
    <definedName name="_xlnm.Print_Area" localSheetId="10">'7.10'!$B$1:$AE$36</definedName>
    <definedName name="_xlnm.Print_Area" localSheetId="11">'7.13'!$B$1:$AE$36</definedName>
    <definedName name="_xlnm.Print_Area" localSheetId="12">'7.14'!$B$1:$AE$36</definedName>
    <definedName name="_xlnm.Print_Area" localSheetId="13">'7.15'!$B$1:$AE$36</definedName>
    <definedName name="_xlnm.Print_Area" localSheetId="14">'7.16'!$B$1:$AE$36</definedName>
    <definedName name="_xlnm.Print_Area" localSheetId="15">'7.17'!$B$1:$AE$36</definedName>
    <definedName name="_xlnm.Print_Area" localSheetId="4">'7.2'!$B$1:$AE$36</definedName>
    <definedName name="_xlnm.Print_Area" localSheetId="16">'7.20'!$B$1:$AE$36</definedName>
    <definedName name="_xlnm.Print_Area" localSheetId="17">'7.21'!$B$1:$AE$36</definedName>
    <definedName name="_xlnm.Print_Area" localSheetId="18">'7.22'!$B$1:$AE$36</definedName>
    <definedName name="_xlnm.Print_Area" localSheetId="19">'7.23'!$B$1:$AE$36</definedName>
    <definedName name="_xlnm.Print_Area" localSheetId="20">'7.24'!$B$1:$AE$36</definedName>
    <definedName name="_xlnm.Print_Area" localSheetId="21">'7.27'!$B$1:$AE$36</definedName>
    <definedName name="_xlnm.Print_Area" localSheetId="22">'7.28'!$B$1:$AE$36</definedName>
    <definedName name="_xlnm.Print_Area" localSheetId="23">'7.29'!$B$1:$AE$36</definedName>
    <definedName name="_xlnm.Print_Area" localSheetId="5">'7.3'!$B$1:$AE$36</definedName>
    <definedName name="_xlnm.Print_Area" localSheetId="24">'7.30'!$B$1:$AE$36</definedName>
    <definedName name="_xlnm.Print_Area" localSheetId="25">'7.31'!$B$1:$AE$36</definedName>
    <definedName name="_xlnm.Print_Area" localSheetId="6">'7.6'!$B$1:$AE$36</definedName>
    <definedName name="_xlnm.Print_Area" localSheetId="7">'7.7'!$B$1:$AE$36</definedName>
    <definedName name="_xlnm.Print_Area" localSheetId="8">'7.8'!$B$1:$AE$36</definedName>
    <definedName name="_xlnm.Print_Area" localSheetId="9">'7.9'!$B$1:$AE$36</definedName>
    <definedName name="_xlnm.Print_Area" localSheetId="1">密度!$A$1:$W$61</definedName>
    <definedName name="_xlnm.Print_Area" localSheetId="0">新增!$A$1:$M$45</definedName>
    <definedName name="Z_512059F6_F0DC_4056_8FD0_37088AB81F9E_.wvu.PrintArea" localSheetId="2" hidden="1">'6.30'!$B$3:$AE$36</definedName>
    <definedName name="Z_512059F6_F0DC_4056_8FD0_37088AB81F9E_.wvu.PrintArea" localSheetId="3" hidden="1">'7.1'!$B$3:$AE$36</definedName>
    <definedName name="Z_512059F6_F0DC_4056_8FD0_37088AB81F9E_.wvu.PrintArea" localSheetId="10" hidden="1">'7.10'!$B$3:$AE$36</definedName>
    <definedName name="Z_512059F6_F0DC_4056_8FD0_37088AB81F9E_.wvu.PrintArea" localSheetId="11" hidden="1">'7.13'!$B$3:$AE$36</definedName>
    <definedName name="Z_512059F6_F0DC_4056_8FD0_37088AB81F9E_.wvu.PrintArea" localSheetId="12" hidden="1">'7.14'!$B$3:$AE$36</definedName>
    <definedName name="Z_512059F6_F0DC_4056_8FD0_37088AB81F9E_.wvu.PrintArea" localSheetId="13" hidden="1">'7.15'!$B$3:$AE$36</definedName>
    <definedName name="Z_512059F6_F0DC_4056_8FD0_37088AB81F9E_.wvu.PrintArea" localSheetId="14" hidden="1">'7.16'!$B$3:$AE$36</definedName>
    <definedName name="Z_512059F6_F0DC_4056_8FD0_37088AB81F9E_.wvu.PrintArea" localSheetId="15" hidden="1">'7.17'!$B$3:$AE$36</definedName>
    <definedName name="Z_512059F6_F0DC_4056_8FD0_37088AB81F9E_.wvu.PrintArea" localSheetId="4" hidden="1">'7.2'!$B$3:$AE$36</definedName>
    <definedName name="Z_512059F6_F0DC_4056_8FD0_37088AB81F9E_.wvu.PrintArea" localSheetId="16" hidden="1">'7.20'!$B$3:$AE$36</definedName>
    <definedName name="Z_512059F6_F0DC_4056_8FD0_37088AB81F9E_.wvu.PrintArea" localSheetId="17" hidden="1">'7.21'!$B$3:$AE$36</definedName>
    <definedName name="Z_512059F6_F0DC_4056_8FD0_37088AB81F9E_.wvu.PrintArea" localSheetId="18" hidden="1">'7.22'!$B$3:$AE$36</definedName>
    <definedName name="Z_512059F6_F0DC_4056_8FD0_37088AB81F9E_.wvu.PrintArea" localSheetId="19" hidden="1">'7.23'!$B$3:$AE$36</definedName>
    <definedName name="Z_512059F6_F0DC_4056_8FD0_37088AB81F9E_.wvu.PrintArea" localSheetId="20" hidden="1">'7.24'!$B$3:$AE$36</definedName>
    <definedName name="Z_512059F6_F0DC_4056_8FD0_37088AB81F9E_.wvu.PrintArea" localSheetId="21" hidden="1">'7.27'!$B$3:$AE$36</definedName>
    <definedName name="Z_512059F6_F0DC_4056_8FD0_37088AB81F9E_.wvu.PrintArea" localSheetId="22" hidden="1">'7.28'!$B$3:$AE$36</definedName>
    <definedName name="Z_512059F6_F0DC_4056_8FD0_37088AB81F9E_.wvu.PrintArea" localSheetId="23" hidden="1">'7.29'!$B$3:$AE$36</definedName>
    <definedName name="Z_512059F6_F0DC_4056_8FD0_37088AB81F9E_.wvu.PrintArea" localSheetId="5" hidden="1">'7.3'!$B$3:$AE$36</definedName>
    <definedName name="Z_512059F6_F0DC_4056_8FD0_37088AB81F9E_.wvu.PrintArea" localSheetId="24" hidden="1">'7.30'!$B$3:$AE$36</definedName>
    <definedName name="Z_512059F6_F0DC_4056_8FD0_37088AB81F9E_.wvu.PrintArea" localSheetId="25" hidden="1">'7.31'!$B$3:$AE$36</definedName>
    <definedName name="Z_512059F6_F0DC_4056_8FD0_37088AB81F9E_.wvu.PrintArea" localSheetId="6" hidden="1">'7.6'!$B$3:$AE$36</definedName>
    <definedName name="Z_512059F6_F0DC_4056_8FD0_37088AB81F9E_.wvu.PrintArea" localSheetId="7" hidden="1">'7.7'!$B$3:$AE$36</definedName>
    <definedName name="Z_512059F6_F0DC_4056_8FD0_37088AB81F9E_.wvu.PrintArea" localSheetId="8" hidden="1">'7.8'!$B$3:$AE$36</definedName>
    <definedName name="Z_512059F6_F0DC_4056_8FD0_37088AB81F9E_.wvu.PrintArea" localSheetId="9" hidden="1">'7.9'!$B$3:$AE$36</definedName>
    <definedName name="Z_68643476_8805_447E_8170_A582EA1D0343_.wvu.PrintArea" localSheetId="2" hidden="1">'6.30'!$B$3:$AE$36</definedName>
    <definedName name="Z_68643476_8805_447E_8170_A582EA1D0343_.wvu.PrintArea" localSheetId="3" hidden="1">'7.1'!$B$3:$AE$36</definedName>
    <definedName name="Z_68643476_8805_447E_8170_A582EA1D0343_.wvu.PrintArea" localSheetId="10" hidden="1">'7.10'!$B$3:$AE$36</definedName>
    <definedName name="Z_68643476_8805_447E_8170_A582EA1D0343_.wvu.PrintArea" localSheetId="11" hidden="1">'7.13'!$B$3:$AE$36</definedName>
    <definedName name="Z_68643476_8805_447E_8170_A582EA1D0343_.wvu.PrintArea" localSheetId="12" hidden="1">'7.14'!$B$3:$AE$36</definedName>
    <definedName name="Z_68643476_8805_447E_8170_A582EA1D0343_.wvu.PrintArea" localSheetId="13" hidden="1">'7.15'!$B$3:$AE$36</definedName>
    <definedName name="Z_68643476_8805_447E_8170_A582EA1D0343_.wvu.PrintArea" localSheetId="14" hidden="1">'7.16'!$B$3:$AE$36</definedName>
    <definedName name="Z_68643476_8805_447E_8170_A582EA1D0343_.wvu.PrintArea" localSheetId="15" hidden="1">'7.17'!$B$3:$AE$36</definedName>
    <definedName name="Z_68643476_8805_447E_8170_A582EA1D0343_.wvu.PrintArea" localSheetId="4" hidden="1">'7.2'!$B$3:$AE$36</definedName>
    <definedName name="Z_68643476_8805_447E_8170_A582EA1D0343_.wvu.PrintArea" localSheetId="16" hidden="1">'7.20'!$B$3:$AE$36</definedName>
    <definedName name="Z_68643476_8805_447E_8170_A582EA1D0343_.wvu.PrintArea" localSheetId="17" hidden="1">'7.21'!$B$3:$AE$36</definedName>
    <definedName name="Z_68643476_8805_447E_8170_A582EA1D0343_.wvu.PrintArea" localSheetId="18" hidden="1">'7.22'!$B$3:$AE$36</definedName>
    <definedName name="Z_68643476_8805_447E_8170_A582EA1D0343_.wvu.PrintArea" localSheetId="19" hidden="1">'7.23'!$B$3:$AE$36</definedName>
    <definedName name="Z_68643476_8805_447E_8170_A582EA1D0343_.wvu.PrintArea" localSheetId="20" hidden="1">'7.24'!$B$3:$AE$36</definedName>
    <definedName name="Z_68643476_8805_447E_8170_A582EA1D0343_.wvu.PrintArea" localSheetId="21" hidden="1">'7.27'!$B$3:$AE$36</definedName>
    <definedName name="Z_68643476_8805_447E_8170_A582EA1D0343_.wvu.PrintArea" localSheetId="22" hidden="1">'7.28'!$B$3:$AE$36</definedName>
    <definedName name="Z_68643476_8805_447E_8170_A582EA1D0343_.wvu.PrintArea" localSheetId="23" hidden="1">'7.29'!$B$3:$AE$36</definedName>
    <definedName name="Z_68643476_8805_447E_8170_A582EA1D0343_.wvu.PrintArea" localSheetId="5" hidden="1">'7.3'!$B$3:$AE$36</definedName>
    <definedName name="Z_68643476_8805_447E_8170_A582EA1D0343_.wvu.PrintArea" localSheetId="24" hidden="1">'7.30'!$B$3:$AE$36</definedName>
    <definedName name="Z_68643476_8805_447E_8170_A582EA1D0343_.wvu.PrintArea" localSheetId="25" hidden="1">'7.31'!$B$3:$AE$36</definedName>
    <definedName name="Z_68643476_8805_447E_8170_A582EA1D0343_.wvu.PrintArea" localSheetId="6" hidden="1">'7.6'!$B$3:$AE$36</definedName>
    <definedName name="Z_68643476_8805_447E_8170_A582EA1D0343_.wvu.PrintArea" localSheetId="7" hidden="1">'7.7'!$B$3:$AE$36</definedName>
    <definedName name="Z_68643476_8805_447E_8170_A582EA1D0343_.wvu.PrintArea" localSheetId="8" hidden="1">'7.8'!$B$3:$AE$36</definedName>
    <definedName name="Z_68643476_8805_447E_8170_A582EA1D0343_.wvu.PrintArea" localSheetId="9" hidden="1">'7.9'!$B$3:$AE$36</definedName>
    <definedName name="Z_8E5926ED_4EBD_4129_B8FF_799CC47580D7_.wvu.PrintArea" localSheetId="2" hidden="1">'6.30'!$B$3:$AE$36</definedName>
    <definedName name="Z_8E5926ED_4EBD_4129_B8FF_799CC47580D7_.wvu.PrintArea" localSheetId="3" hidden="1">'7.1'!$B$3:$AE$36</definedName>
    <definedName name="Z_8E5926ED_4EBD_4129_B8FF_799CC47580D7_.wvu.PrintArea" localSheetId="10" hidden="1">'7.10'!$B$3:$AE$36</definedName>
    <definedName name="Z_8E5926ED_4EBD_4129_B8FF_799CC47580D7_.wvu.PrintArea" localSheetId="11" hidden="1">'7.13'!$B$3:$AE$36</definedName>
    <definedName name="Z_8E5926ED_4EBD_4129_B8FF_799CC47580D7_.wvu.PrintArea" localSheetId="12" hidden="1">'7.14'!$B$3:$AE$36</definedName>
    <definedName name="Z_8E5926ED_4EBD_4129_B8FF_799CC47580D7_.wvu.PrintArea" localSheetId="13" hidden="1">'7.15'!$B$3:$AE$36</definedName>
    <definedName name="Z_8E5926ED_4EBD_4129_B8FF_799CC47580D7_.wvu.PrintArea" localSheetId="14" hidden="1">'7.16'!$B$3:$AE$36</definedName>
    <definedName name="Z_8E5926ED_4EBD_4129_B8FF_799CC47580D7_.wvu.PrintArea" localSheetId="15" hidden="1">'7.17'!$B$3:$AE$36</definedName>
    <definedName name="Z_8E5926ED_4EBD_4129_B8FF_799CC47580D7_.wvu.PrintArea" localSheetId="4" hidden="1">'7.2'!$B$3:$AE$36</definedName>
    <definedName name="Z_8E5926ED_4EBD_4129_B8FF_799CC47580D7_.wvu.PrintArea" localSheetId="16" hidden="1">'7.20'!$B$3:$AE$36</definedName>
    <definedName name="Z_8E5926ED_4EBD_4129_B8FF_799CC47580D7_.wvu.PrintArea" localSheetId="17" hidden="1">'7.21'!$B$3:$AE$36</definedName>
    <definedName name="Z_8E5926ED_4EBD_4129_B8FF_799CC47580D7_.wvu.PrintArea" localSheetId="18" hidden="1">'7.22'!$B$3:$AE$36</definedName>
    <definedName name="Z_8E5926ED_4EBD_4129_B8FF_799CC47580D7_.wvu.PrintArea" localSheetId="19" hidden="1">'7.23'!$B$3:$AE$36</definedName>
    <definedName name="Z_8E5926ED_4EBD_4129_B8FF_799CC47580D7_.wvu.PrintArea" localSheetId="20" hidden="1">'7.24'!$B$3:$AE$36</definedName>
    <definedName name="Z_8E5926ED_4EBD_4129_B8FF_799CC47580D7_.wvu.PrintArea" localSheetId="21" hidden="1">'7.27'!$B$3:$AE$36</definedName>
    <definedName name="Z_8E5926ED_4EBD_4129_B8FF_799CC47580D7_.wvu.PrintArea" localSheetId="22" hidden="1">'7.28'!$B$3:$AE$36</definedName>
    <definedName name="Z_8E5926ED_4EBD_4129_B8FF_799CC47580D7_.wvu.PrintArea" localSheetId="23" hidden="1">'7.29'!$B$3:$AE$36</definedName>
    <definedName name="Z_8E5926ED_4EBD_4129_B8FF_799CC47580D7_.wvu.PrintArea" localSheetId="5" hidden="1">'7.3'!$B$3:$AE$36</definedName>
    <definedName name="Z_8E5926ED_4EBD_4129_B8FF_799CC47580D7_.wvu.PrintArea" localSheetId="24" hidden="1">'7.30'!$B$3:$AE$36</definedName>
    <definedName name="Z_8E5926ED_4EBD_4129_B8FF_799CC47580D7_.wvu.PrintArea" localSheetId="25" hidden="1">'7.31'!$B$3:$AE$36</definedName>
    <definedName name="Z_8E5926ED_4EBD_4129_B8FF_799CC47580D7_.wvu.PrintArea" localSheetId="6" hidden="1">'7.6'!$B$3:$AE$36</definedName>
    <definedName name="Z_8E5926ED_4EBD_4129_B8FF_799CC47580D7_.wvu.PrintArea" localSheetId="7" hidden="1">'7.7'!$B$3:$AE$36</definedName>
    <definedName name="Z_8E5926ED_4EBD_4129_B8FF_799CC47580D7_.wvu.PrintArea" localSheetId="8" hidden="1">'7.8'!$B$3:$AE$36</definedName>
    <definedName name="Z_8E5926ED_4EBD_4129_B8FF_799CC47580D7_.wvu.PrintArea" localSheetId="9" hidden="1">'7.9'!$B$3:$AE$36</definedName>
    <definedName name="Z_8FA8B620_C56C_11DB_A857_00055D5FD5FF_.wvu.PrintArea" localSheetId="2" hidden="1">'6.30'!$B$3:$AE$36</definedName>
    <definedName name="Z_8FA8B620_C56C_11DB_A857_00055D5FD5FF_.wvu.PrintArea" localSheetId="3" hidden="1">'7.1'!$B$3:$AE$36</definedName>
    <definedName name="Z_8FA8B620_C56C_11DB_A857_00055D5FD5FF_.wvu.PrintArea" localSheetId="10" hidden="1">'7.10'!$B$3:$AE$36</definedName>
    <definedName name="Z_8FA8B620_C56C_11DB_A857_00055D5FD5FF_.wvu.PrintArea" localSheetId="11" hidden="1">'7.13'!$B$3:$AE$36</definedName>
    <definedName name="Z_8FA8B620_C56C_11DB_A857_00055D5FD5FF_.wvu.PrintArea" localSheetId="12" hidden="1">'7.14'!$B$3:$AE$36</definedName>
    <definedName name="Z_8FA8B620_C56C_11DB_A857_00055D5FD5FF_.wvu.PrintArea" localSheetId="13" hidden="1">'7.15'!$B$3:$AE$36</definedName>
    <definedName name="Z_8FA8B620_C56C_11DB_A857_00055D5FD5FF_.wvu.PrintArea" localSheetId="14" hidden="1">'7.16'!$B$3:$AE$36</definedName>
    <definedName name="Z_8FA8B620_C56C_11DB_A857_00055D5FD5FF_.wvu.PrintArea" localSheetId="15" hidden="1">'7.17'!$B$3:$AE$36</definedName>
    <definedName name="Z_8FA8B620_C56C_11DB_A857_00055D5FD5FF_.wvu.PrintArea" localSheetId="4" hidden="1">'7.2'!$B$3:$AE$36</definedName>
    <definedName name="Z_8FA8B620_C56C_11DB_A857_00055D5FD5FF_.wvu.PrintArea" localSheetId="16" hidden="1">'7.20'!$B$3:$AE$36</definedName>
    <definedName name="Z_8FA8B620_C56C_11DB_A857_00055D5FD5FF_.wvu.PrintArea" localSheetId="17" hidden="1">'7.21'!$B$3:$AE$36</definedName>
    <definedName name="Z_8FA8B620_C56C_11DB_A857_00055D5FD5FF_.wvu.PrintArea" localSheetId="18" hidden="1">'7.22'!$B$3:$AE$36</definedName>
    <definedName name="Z_8FA8B620_C56C_11DB_A857_00055D5FD5FF_.wvu.PrintArea" localSheetId="19" hidden="1">'7.23'!$B$3:$AE$36</definedName>
    <definedName name="Z_8FA8B620_C56C_11DB_A857_00055D5FD5FF_.wvu.PrintArea" localSheetId="20" hidden="1">'7.24'!$B$3:$AE$36</definedName>
    <definedName name="Z_8FA8B620_C56C_11DB_A857_00055D5FD5FF_.wvu.PrintArea" localSheetId="21" hidden="1">'7.27'!$B$3:$AE$36</definedName>
    <definedName name="Z_8FA8B620_C56C_11DB_A857_00055D5FD5FF_.wvu.PrintArea" localSheetId="22" hidden="1">'7.28'!$B$3:$AE$36</definedName>
    <definedName name="Z_8FA8B620_C56C_11DB_A857_00055D5FD5FF_.wvu.PrintArea" localSheetId="23" hidden="1">'7.29'!$B$3:$AE$36</definedName>
    <definedName name="Z_8FA8B620_C56C_11DB_A857_00055D5FD5FF_.wvu.PrintArea" localSheetId="5" hidden="1">'7.3'!$B$3:$AE$36</definedName>
    <definedName name="Z_8FA8B620_C56C_11DB_A857_00055D5FD5FF_.wvu.PrintArea" localSheetId="24" hidden="1">'7.30'!$B$3:$AE$36</definedName>
    <definedName name="Z_8FA8B620_C56C_11DB_A857_00055D5FD5FF_.wvu.PrintArea" localSheetId="25" hidden="1">'7.31'!$B$3:$AE$36</definedName>
    <definedName name="Z_8FA8B620_C56C_11DB_A857_00055D5FD5FF_.wvu.PrintArea" localSheetId="6" hidden="1">'7.6'!$B$3:$AE$36</definedName>
    <definedName name="Z_8FA8B620_C56C_11DB_A857_00055D5FD5FF_.wvu.PrintArea" localSheetId="7" hidden="1">'7.7'!$B$3:$AE$36</definedName>
    <definedName name="Z_8FA8B620_C56C_11DB_A857_00055D5FD5FF_.wvu.PrintArea" localSheetId="8" hidden="1">'7.8'!$B$3:$AE$36</definedName>
    <definedName name="Z_8FA8B620_C56C_11DB_A857_00055D5FD5FF_.wvu.PrintArea" localSheetId="9" hidden="1">'7.9'!$B$3:$AE$36</definedName>
    <definedName name="Z_A3DB5619_047E_4CE2_8C39_700CFD25F2CB_.wvu.PrintArea" localSheetId="2" hidden="1">'6.30'!$B$3:$AE$36</definedName>
    <definedName name="Z_A3DB5619_047E_4CE2_8C39_700CFD25F2CB_.wvu.PrintArea" localSheetId="3" hidden="1">'7.1'!$B$3:$AE$36</definedName>
    <definedName name="Z_A3DB5619_047E_4CE2_8C39_700CFD25F2CB_.wvu.PrintArea" localSheetId="10" hidden="1">'7.10'!$B$3:$AE$36</definedName>
    <definedName name="Z_A3DB5619_047E_4CE2_8C39_700CFD25F2CB_.wvu.PrintArea" localSheetId="11" hidden="1">'7.13'!$B$3:$AE$36</definedName>
    <definedName name="Z_A3DB5619_047E_4CE2_8C39_700CFD25F2CB_.wvu.PrintArea" localSheetId="12" hidden="1">'7.14'!$B$3:$AE$36</definedName>
    <definedName name="Z_A3DB5619_047E_4CE2_8C39_700CFD25F2CB_.wvu.PrintArea" localSheetId="13" hidden="1">'7.15'!$B$3:$AE$36</definedName>
    <definedName name="Z_A3DB5619_047E_4CE2_8C39_700CFD25F2CB_.wvu.PrintArea" localSheetId="14" hidden="1">'7.16'!$B$3:$AE$36</definedName>
    <definedName name="Z_A3DB5619_047E_4CE2_8C39_700CFD25F2CB_.wvu.PrintArea" localSheetId="15" hidden="1">'7.17'!$B$3:$AE$36</definedName>
    <definedName name="Z_A3DB5619_047E_4CE2_8C39_700CFD25F2CB_.wvu.PrintArea" localSheetId="4" hidden="1">'7.2'!$B$3:$AE$36</definedName>
    <definedName name="Z_A3DB5619_047E_4CE2_8C39_700CFD25F2CB_.wvu.PrintArea" localSheetId="16" hidden="1">'7.20'!$B$3:$AE$36</definedName>
    <definedName name="Z_A3DB5619_047E_4CE2_8C39_700CFD25F2CB_.wvu.PrintArea" localSheetId="17" hidden="1">'7.21'!$B$3:$AE$36</definedName>
    <definedName name="Z_A3DB5619_047E_4CE2_8C39_700CFD25F2CB_.wvu.PrintArea" localSheetId="18" hidden="1">'7.22'!$B$3:$AE$36</definedName>
    <definedName name="Z_A3DB5619_047E_4CE2_8C39_700CFD25F2CB_.wvu.PrintArea" localSheetId="19" hidden="1">'7.23'!$B$3:$AE$36</definedName>
    <definedName name="Z_A3DB5619_047E_4CE2_8C39_700CFD25F2CB_.wvu.PrintArea" localSheetId="20" hidden="1">'7.24'!$B$3:$AE$36</definedName>
    <definedName name="Z_A3DB5619_047E_4CE2_8C39_700CFD25F2CB_.wvu.PrintArea" localSheetId="21" hidden="1">'7.27'!$B$3:$AE$36</definedName>
    <definedName name="Z_A3DB5619_047E_4CE2_8C39_700CFD25F2CB_.wvu.PrintArea" localSheetId="22" hidden="1">'7.28'!$B$3:$AE$36</definedName>
    <definedName name="Z_A3DB5619_047E_4CE2_8C39_700CFD25F2CB_.wvu.PrintArea" localSheetId="23" hidden="1">'7.29'!$B$3:$AE$36</definedName>
    <definedName name="Z_A3DB5619_047E_4CE2_8C39_700CFD25F2CB_.wvu.PrintArea" localSheetId="5" hidden="1">'7.3'!$B$3:$AE$36</definedName>
    <definedName name="Z_A3DB5619_047E_4CE2_8C39_700CFD25F2CB_.wvu.PrintArea" localSheetId="24" hidden="1">'7.30'!$B$3:$AE$36</definedName>
    <definedName name="Z_A3DB5619_047E_4CE2_8C39_700CFD25F2CB_.wvu.PrintArea" localSheetId="25" hidden="1">'7.31'!$B$3:$AE$36</definedName>
    <definedName name="Z_A3DB5619_047E_4CE2_8C39_700CFD25F2CB_.wvu.PrintArea" localSheetId="6" hidden="1">'7.6'!$B$3:$AE$36</definedName>
    <definedName name="Z_A3DB5619_047E_4CE2_8C39_700CFD25F2CB_.wvu.PrintArea" localSheetId="7" hidden="1">'7.7'!$B$3:$AE$36</definedName>
    <definedName name="Z_A3DB5619_047E_4CE2_8C39_700CFD25F2CB_.wvu.PrintArea" localSheetId="8" hidden="1">'7.8'!$B$3:$AE$36</definedName>
    <definedName name="Z_A3DB5619_047E_4CE2_8C39_700CFD25F2CB_.wvu.PrintArea" localSheetId="9" hidden="1">'7.9'!$B$3:$AE$36</definedName>
    <definedName name="Z_D903F940_B812_11DB_B168_0010B575B8B2_.wvu.PrintArea" localSheetId="2" hidden="1">'6.30'!$B$3:$AE$36</definedName>
    <definedName name="Z_D903F940_B812_11DB_B168_0010B575B8B2_.wvu.PrintArea" localSheetId="3" hidden="1">'7.1'!$B$3:$AE$36</definedName>
    <definedName name="Z_D903F940_B812_11DB_B168_0010B575B8B2_.wvu.PrintArea" localSheetId="10" hidden="1">'7.10'!$B$3:$AE$36</definedName>
    <definedName name="Z_D903F940_B812_11DB_B168_0010B575B8B2_.wvu.PrintArea" localSheetId="11" hidden="1">'7.13'!$B$3:$AE$36</definedName>
    <definedName name="Z_D903F940_B812_11DB_B168_0010B575B8B2_.wvu.PrintArea" localSheetId="12" hidden="1">'7.14'!$B$3:$AE$36</definedName>
    <definedName name="Z_D903F940_B812_11DB_B168_0010B575B8B2_.wvu.PrintArea" localSheetId="13" hidden="1">'7.15'!$B$3:$AE$36</definedName>
    <definedName name="Z_D903F940_B812_11DB_B168_0010B575B8B2_.wvu.PrintArea" localSheetId="14" hidden="1">'7.16'!$B$3:$AE$36</definedName>
    <definedName name="Z_D903F940_B812_11DB_B168_0010B575B8B2_.wvu.PrintArea" localSheetId="15" hidden="1">'7.17'!$B$3:$AE$36</definedName>
    <definedName name="Z_D903F940_B812_11DB_B168_0010B575B8B2_.wvu.PrintArea" localSheetId="4" hidden="1">'7.2'!$B$3:$AE$36</definedName>
    <definedName name="Z_D903F940_B812_11DB_B168_0010B575B8B2_.wvu.PrintArea" localSheetId="16" hidden="1">'7.20'!$B$3:$AE$36</definedName>
    <definedName name="Z_D903F940_B812_11DB_B168_0010B575B8B2_.wvu.PrintArea" localSheetId="17" hidden="1">'7.21'!$B$3:$AE$36</definedName>
    <definedName name="Z_D903F940_B812_11DB_B168_0010B575B8B2_.wvu.PrintArea" localSheetId="18" hidden="1">'7.22'!$B$3:$AE$36</definedName>
    <definedName name="Z_D903F940_B812_11DB_B168_0010B575B8B2_.wvu.PrintArea" localSheetId="19" hidden="1">'7.23'!$B$3:$AE$36</definedName>
    <definedName name="Z_D903F940_B812_11DB_B168_0010B575B8B2_.wvu.PrintArea" localSheetId="20" hidden="1">'7.24'!$B$3:$AE$36</definedName>
    <definedName name="Z_D903F940_B812_11DB_B168_0010B575B8B2_.wvu.PrintArea" localSheetId="21" hidden="1">'7.27'!$B$3:$AE$36</definedName>
    <definedName name="Z_D903F940_B812_11DB_B168_0010B575B8B2_.wvu.PrintArea" localSheetId="22" hidden="1">'7.28'!$B$3:$AE$36</definedName>
    <definedName name="Z_D903F940_B812_11DB_B168_0010B575B8B2_.wvu.PrintArea" localSheetId="23" hidden="1">'7.29'!$B$3:$AE$36</definedName>
    <definedName name="Z_D903F940_B812_11DB_B168_0010B575B8B2_.wvu.PrintArea" localSheetId="5" hidden="1">'7.3'!$B$3:$AE$36</definedName>
    <definedName name="Z_D903F940_B812_11DB_B168_0010B575B8B2_.wvu.PrintArea" localSheetId="24" hidden="1">'7.30'!$B$3:$AE$36</definedName>
    <definedName name="Z_D903F940_B812_11DB_B168_0010B575B8B2_.wvu.PrintArea" localSheetId="25" hidden="1">'7.31'!$B$3:$AE$36</definedName>
    <definedName name="Z_D903F940_B812_11DB_B168_0010B575B8B2_.wvu.PrintArea" localSheetId="6" hidden="1">'7.6'!$B$3:$AE$36</definedName>
    <definedName name="Z_D903F940_B812_11DB_B168_0010B575B8B2_.wvu.PrintArea" localSheetId="7" hidden="1">'7.7'!$B$3:$AE$36</definedName>
    <definedName name="Z_D903F940_B812_11DB_B168_0010B575B8B2_.wvu.PrintArea" localSheetId="8" hidden="1">'7.8'!$B$3:$AE$36</definedName>
    <definedName name="Z_D903F940_B812_11DB_B168_0010B575B8B2_.wvu.PrintArea" localSheetId="9" hidden="1">'7.9'!$B$3:$AE$36</definedName>
    <definedName name="取樣回收每月庫存表" localSheetId="2" hidden="1">'6.30'!#REF!</definedName>
    <definedName name="取樣回收每月庫存表" localSheetId="3" hidden="1">'7.1'!#REF!</definedName>
    <definedName name="取樣回收每月庫存表" localSheetId="10" hidden="1">'7.10'!#REF!</definedName>
    <definedName name="取樣回收每月庫存表" localSheetId="11" hidden="1">'7.13'!#REF!</definedName>
    <definedName name="取樣回收每月庫存表" localSheetId="12" hidden="1">'7.14'!#REF!</definedName>
    <definedName name="取樣回收每月庫存表" localSheetId="13" hidden="1">'7.15'!#REF!</definedName>
    <definedName name="取樣回收每月庫存表" localSheetId="14" hidden="1">'7.16'!#REF!</definedName>
    <definedName name="取樣回收每月庫存表" localSheetId="15" hidden="1">'7.17'!#REF!</definedName>
    <definedName name="取樣回收每月庫存表" localSheetId="4" hidden="1">'7.2'!#REF!</definedName>
    <definedName name="取樣回收每月庫存表" localSheetId="16" hidden="1">'7.20'!#REF!</definedName>
    <definedName name="取樣回收每月庫存表" localSheetId="17" hidden="1">'7.21'!#REF!</definedName>
    <definedName name="取樣回收每月庫存表" localSheetId="18" hidden="1">'7.22'!#REF!</definedName>
    <definedName name="取樣回收每月庫存表" localSheetId="19" hidden="1">'7.23'!#REF!</definedName>
    <definedName name="取樣回收每月庫存表" localSheetId="20" hidden="1">'7.24'!#REF!</definedName>
    <definedName name="取樣回收每月庫存表" localSheetId="21" hidden="1">'7.27'!#REF!</definedName>
    <definedName name="取樣回收每月庫存表" localSheetId="22" hidden="1">'7.28'!#REF!</definedName>
    <definedName name="取樣回收每月庫存表" localSheetId="23" hidden="1">'7.29'!#REF!</definedName>
    <definedName name="取樣回收每月庫存表" localSheetId="5" hidden="1">'7.3'!#REF!</definedName>
    <definedName name="取樣回收每月庫存表" localSheetId="24" hidden="1">'7.30'!#REF!</definedName>
    <definedName name="取樣回收每月庫存表" localSheetId="25" hidden="1">'7.31'!#REF!</definedName>
    <definedName name="取樣回收每月庫存表" localSheetId="6" hidden="1">'7.6'!#REF!</definedName>
    <definedName name="取樣回收每月庫存表" localSheetId="7" hidden="1">'7.7'!#REF!</definedName>
    <definedName name="取樣回收每月庫存表" localSheetId="8" hidden="1">'7.8'!#REF!</definedName>
    <definedName name="取樣回收每月庫存表" localSheetId="9" hidden="1">'7.9'!#REF!</definedName>
    <definedName name="取樣回收每月庫存表_0620更新" localSheetId="2" hidden="1">'6.30'!$AG$13:$BH$189</definedName>
    <definedName name="取樣回收每月庫存表_0620更新" localSheetId="3" hidden="1">'7.1'!$AG$13:$BH$189</definedName>
    <definedName name="取樣回收每月庫存表_0620更新" localSheetId="10" hidden="1">'7.10'!$AG$13:$BH$189</definedName>
    <definedName name="取樣回收每月庫存表_0620更新" localSheetId="11" hidden="1">'7.13'!$AG$13:$BH$189</definedName>
    <definedName name="取樣回收每月庫存表_0620更新" localSheetId="12" hidden="1">'7.14'!$AG$13:$BH$189</definedName>
    <definedName name="取樣回收每月庫存表_0620更新" localSheetId="13" hidden="1">'7.15'!$AG$13:$BH$189</definedName>
    <definedName name="取樣回收每月庫存表_0620更新" localSheetId="14" hidden="1">'7.16'!$AG$13:$BH$189</definedName>
    <definedName name="取樣回收每月庫存表_0620更新" localSheetId="15" hidden="1">'7.17'!$AG$13:$BH$189</definedName>
    <definedName name="取樣回收每月庫存表_0620更新" localSheetId="4" hidden="1">'7.2'!$AG$13:$BH$189</definedName>
    <definedName name="取樣回收每月庫存表_0620更新" localSheetId="16" hidden="1">'7.20'!$AG$13:$BH$189</definedName>
    <definedName name="取樣回收每月庫存表_0620更新" localSheetId="17" hidden="1">'7.21'!$AG$13:$BH$189</definedName>
    <definedName name="取樣回收每月庫存表_0620更新" localSheetId="18" hidden="1">'7.22'!$AG$13:$BH$189</definedName>
    <definedName name="取樣回收每月庫存表_0620更新" localSheetId="19" hidden="1">'7.23'!$AG$13:$BH$189</definedName>
    <definedName name="取樣回收每月庫存表_0620更新" localSheetId="20" hidden="1">'7.24'!$AG$13:$BH$189</definedName>
    <definedName name="取樣回收每月庫存表_0620更新" localSheetId="21" hidden="1">'7.27'!$AG$13:$BH$189</definedName>
    <definedName name="取樣回收每月庫存表_0620更新" localSheetId="22" hidden="1">'7.28'!$AG$13:$BH$189</definedName>
    <definedName name="取樣回收每月庫存表_0620更新" localSheetId="23" hidden="1">'7.29'!$AG$13:$BH$189</definedName>
    <definedName name="取樣回收每月庫存表_0620更新" localSheetId="5" hidden="1">'7.3'!$AG$13:$BH$189</definedName>
    <definedName name="取樣回收每月庫存表_0620更新" localSheetId="24" hidden="1">'7.30'!$AG$13:$BH$189</definedName>
    <definedName name="取樣回收每月庫存表_0620更新" localSheetId="25" hidden="1">'7.31'!$AG$13:$BH$189</definedName>
    <definedName name="取樣回收每月庫存表_0620更新" localSheetId="6" hidden="1">'7.6'!$AG$13:$BH$189</definedName>
    <definedName name="取樣回收每月庫存表_0620更新" localSheetId="7" hidden="1">'7.7'!$AG$13:$BH$189</definedName>
    <definedName name="取樣回收每月庫存表_0620更新" localSheetId="8" hidden="1">'7.8'!$AG$13:$BH$189</definedName>
    <definedName name="取樣回收每月庫存表_0620更新" localSheetId="9" hidden="1">'7.9'!$AG$13:$BH$189</definedName>
    <definedName name="複本_14_取樣回收每月庫存表" localSheetId="2" hidden="1">'6.30'!#REF!</definedName>
    <definedName name="複本_14_取樣回收每月庫存表" localSheetId="3" hidden="1">'7.1'!#REF!</definedName>
    <definedName name="複本_14_取樣回收每月庫存表" localSheetId="10" hidden="1">'7.10'!#REF!</definedName>
    <definedName name="複本_14_取樣回收每月庫存表" localSheetId="11" hidden="1">'7.13'!#REF!</definedName>
    <definedName name="複本_14_取樣回收每月庫存表" localSheetId="12" hidden="1">'7.14'!#REF!</definedName>
    <definedName name="複本_14_取樣回收每月庫存表" localSheetId="13" hidden="1">'7.15'!#REF!</definedName>
    <definedName name="複本_14_取樣回收每月庫存表" localSheetId="14" hidden="1">'7.16'!#REF!</definedName>
    <definedName name="複本_14_取樣回收每月庫存表" localSheetId="15" hidden="1">'7.17'!#REF!</definedName>
    <definedName name="複本_14_取樣回收每月庫存表" localSheetId="4" hidden="1">'7.2'!#REF!</definedName>
    <definedName name="複本_14_取樣回收每月庫存表" localSheetId="16" hidden="1">'7.20'!#REF!</definedName>
    <definedName name="複本_14_取樣回收每月庫存表" localSheetId="17" hidden="1">'7.21'!#REF!</definedName>
    <definedName name="複本_14_取樣回收每月庫存表" localSheetId="18" hidden="1">'7.22'!#REF!</definedName>
    <definedName name="複本_14_取樣回收每月庫存表" localSheetId="19" hidden="1">'7.23'!#REF!</definedName>
    <definedName name="複本_14_取樣回收每月庫存表" localSheetId="20" hidden="1">'7.24'!#REF!</definedName>
    <definedName name="複本_14_取樣回收每月庫存表" localSheetId="21" hidden="1">'7.27'!#REF!</definedName>
    <definedName name="複本_14_取樣回收每月庫存表" localSheetId="22" hidden="1">'7.28'!#REF!</definedName>
    <definedName name="複本_14_取樣回收每月庫存表" localSheetId="23" hidden="1">'7.29'!#REF!</definedName>
    <definedName name="複本_14_取樣回收每月庫存表" localSheetId="5" hidden="1">'7.3'!#REF!</definedName>
    <definedName name="複本_14_取樣回收每月庫存表" localSheetId="24" hidden="1">'7.30'!#REF!</definedName>
    <definedName name="複本_14_取樣回收每月庫存表" localSheetId="25" hidden="1">'7.31'!#REF!</definedName>
    <definedName name="複本_14_取樣回收每月庫存表" localSheetId="6" hidden="1">'7.6'!#REF!</definedName>
    <definedName name="複本_14_取樣回收每月庫存表" localSheetId="7" hidden="1">'7.7'!#REF!</definedName>
    <definedName name="複本_14_取樣回收每月庫存表" localSheetId="8" hidden="1">'7.8'!#REF!</definedName>
    <definedName name="複本_14_取樣回收每月庫存表" localSheetId="9" hidden="1">'7.9'!#REF!</definedName>
  </definedNames>
  <calcPr calcId="162913"/>
</workbook>
</file>

<file path=xl/calcChain.xml><?xml version="1.0" encoding="utf-8"?>
<calcChain xmlns="http://schemas.openxmlformats.org/spreadsheetml/2006/main">
  <c r="AA33" i="2224" l="1"/>
  <c r="X33" i="2224"/>
  <c r="U33" i="2224"/>
  <c r="R33" i="2224"/>
  <c r="F33" i="2224"/>
  <c r="E33" i="2224"/>
  <c r="Y28" i="2224"/>
  <c r="X28" i="2224"/>
  <c r="S33" i="2224" s="1"/>
  <c r="W28" i="2224"/>
  <c r="V28" i="2224"/>
  <c r="U28" i="2224"/>
  <c r="T28" i="2224"/>
  <c r="S28" i="2224"/>
  <c r="R28" i="2224"/>
  <c r="Q28" i="2224"/>
  <c r="P28" i="2224"/>
  <c r="O28" i="2224"/>
  <c r="N28" i="2224"/>
  <c r="M28" i="2224"/>
  <c r="L28" i="2224"/>
  <c r="K28" i="2224"/>
  <c r="J28" i="2224"/>
  <c r="I28" i="2224"/>
  <c r="H28" i="2224"/>
  <c r="G28" i="2224"/>
  <c r="F28" i="2224"/>
  <c r="E28" i="2224"/>
  <c r="D28" i="2224"/>
  <c r="Y25" i="2224"/>
  <c r="X25" i="2224"/>
  <c r="W25" i="2224"/>
  <c r="V25" i="2224"/>
  <c r="U25" i="2224"/>
  <c r="T25" i="2224"/>
  <c r="S25" i="2224"/>
  <c r="R25" i="2224"/>
  <c r="Q25" i="2224"/>
  <c r="P25" i="2224"/>
  <c r="O25" i="2224"/>
  <c r="N25" i="2224"/>
  <c r="M25" i="2224"/>
  <c r="L25" i="2224"/>
  <c r="K25" i="2224"/>
  <c r="J25" i="2224"/>
  <c r="I25" i="2224"/>
  <c r="H25" i="2224"/>
  <c r="G25" i="2224"/>
  <c r="F25" i="2224"/>
  <c r="E25" i="2224"/>
  <c r="D25" i="2224"/>
  <c r="AE19" i="2224"/>
  <c r="AD19" i="2224"/>
  <c r="AC19" i="2224"/>
  <c r="AB19" i="2224"/>
  <c r="AA19" i="2224"/>
  <c r="Z19" i="2224"/>
  <c r="Y19" i="2224"/>
  <c r="X19" i="2224"/>
  <c r="T33" i="2224" s="1"/>
  <c r="W19" i="2224"/>
  <c r="V19" i="2224"/>
  <c r="U19" i="2224"/>
  <c r="T19" i="2224"/>
  <c r="S19" i="2224"/>
  <c r="R19" i="2224"/>
  <c r="Q19" i="2224"/>
  <c r="P19" i="2224"/>
  <c r="O19" i="2224"/>
  <c r="N19" i="2224"/>
  <c r="G33" i="2224" s="1"/>
  <c r="M19" i="2224"/>
  <c r="H33" i="2224" s="1"/>
  <c r="L19" i="2224"/>
  <c r="P33" i="2224" s="1"/>
  <c r="K19" i="2224"/>
  <c r="L33" i="2224" s="1"/>
  <c r="J19" i="2224"/>
  <c r="I19" i="2224"/>
  <c r="AB33" i="2224" s="1"/>
  <c r="H19" i="2224"/>
  <c r="G19" i="2224"/>
  <c r="O33" i="2224" s="1"/>
  <c r="F19" i="2224"/>
  <c r="E19" i="2224"/>
  <c r="D19" i="2224"/>
  <c r="AE16" i="2224"/>
  <c r="AD16" i="2224"/>
  <c r="AC16" i="2224"/>
  <c r="AB16" i="2224"/>
  <c r="AA16" i="2224"/>
  <c r="Z16" i="2224"/>
  <c r="X16" i="2224"/>
  <c r="W16" i="2224"/>
  <c r="V16" i="2224"/>
  <c r="U16" i="2224"/>
  <c r="T16" i="2224"/>
  <c r="S16" i="2224"/>
  <c r="R16" i="2224"/>
  <c r="Q16" i="2224"/>
  <c r="P16" i="2224"/>
  <c r="O16" i="2224"/>
  <c r="N16" i="2224"/>
  <c r="M16" i="2224"/>
  <c r="L16" i="2224"/>
  <c r="K16" i="2224"/>
  <c r="J16" i="2224"/>
  <c r="I16" i="2224"/>
  <c r="H16" i="2224"/>
  <c r="G16" i="2224"/>
  <c r="F16" i="2224"/>
  <c r="E16" i="2224"/>
  <c r="D16" i="2224"/>
  <c r="AE10" i="2224"/>
  <c r="AD10" i="2224"/>
  <c r="AC10" i="2224"/>
  <c r="AB10" i="2224"/>
  <c r="AA10" i="2224"/>
  <c r="Z10" i="2224"/>
  <c r="Y10" i="2224"/>
  <c r="X10" i="2224"/>
  <c r="W10" i="2224"/>
  <c r="V10" i="2224"/>
  <c r="U10" i="2224"/>
  <c r="T10" i="2224"/>
  <c r="S10" i="2224"/>
  <c r="R10" i="2224"/>
  <c r="Q10" i="2224"/>
  <c r="P10" i="2224"/>
  <c r="O10" i="2224"/>
  <c r="N10" i="2224"/>
  <c r="Q33" i="2224" s="1"/>
  <c r="M10" i="2224"/>
  <c r="L10" i="2224"/>
  <c r="K10" i="2224"/>
  <c r="J10" i="2224"/>
  <c r="I10" i="2224"/>
  <c r="H10" i="2224"/>
  <c r="G10" i="2224"/>
  <c r="F10" i="2224"/>
  <c r="E10" i="2224"/>
  <c r="D10" i="2224"/>
  <c r="AE7" i="2224"/>
  <c r="AD7" i="2224"/>
  <c r="AC7" i="2224"/>
  <c r="AB7" i="2224"/>
  <c r="AA7" i="2224"/>
  <c r="Z7" i="2224"/>
  <c r="Y7" i="2224"/>
  <c r="X7" i="2224"/>
  <c r="W7" i="2224"/>
  <c r="V7" i="2224"/>
  <c r="U7" i="2224"/>
  <c r="T7" i="2224"/>
  <c r="S7" i="2224"/>
  <c r="R7" i="2224"/>
  <c r="Q7" i="2224"/>
  <c r="P7" i="2224"/>
  <c r="O7" i="2224"/>
  <c r="N7" i="2224"/>
  <c r="M7" i="2224"/>
  <c r="L7" i="2224"/>
  <c r="K7" i="2224"/>
  <c r="J7" i="2224"/>
  <c r="I7" i="2224"/>
  <c r="H7" i="2224"/>
  <c r="G7" i="2224"/>
  <c r="F7" i="2224"/>
  <c r="E7" i="2224"/>
  <c r="D7" i="2224"/>
  <c r="J33" i="2224" l="1"/>
  <c r="W33" i="2224"/>
  <c r="N33" i="2224"/>
  <c r="AC33" i="2224"/>
  <c r="Z33" i="2224"/>
  <c r="D33" i="2224"/>
  <c r="Y33" i="2224"/>
  <c r="K33" i="2224"/>
  <c r="M33" i="2224"/>
  <c r="V33" i="2224"/>
  <c r="AA33" i="2223"/>
  <c r="X33" i="2223"/>
  <c r="U33" i="2223"/>
  <c r="R33" i="2223"/>
  <c r="F33" i="2223"/>
  <c r="Y28" i="2223"/>
  <c r="X28" i="2223"/>
  <c r="S33" i="2223" s="1"/>
  <c r="W28" i="2223"/>
  <c r="V28" i="2223"/>
  <c r="U28" i="2223"/>
  <c r="T28" i="2223"/>
  <c r="S28" i="2223"/>
  <c r="R28" i="2223"/>
  <c r="Q28" i="2223"/>
  <c r="P28" i="2223"/>
  <c r="O28" i="2223"/>
  <c r="N28" i="2223"/>
  <c r="M28" i="2223"/>
  <c r="L28" i="2223"/>
  <c r="K28" i="2223"/>
  <c r="J28" i="2223"/>
  <c r="I28" i="2223"/>
  <c r="H28" i="2223"/>
  <c r="G28" i="2223"/>
  <c r="F28" i="2223"/>
  <c r="E28" i="2223"/>
  <c r="D28" i="2223"/>
  <c r="Y25" i="2223"/>
  <c r="X25" i="2223"/>
  <c r="W25" i="2223"/>
  <c r="V25" i="2223"/>
  <c r="U25" i="2223"/>
  <c r="T25" i="2223"/>
  <c r="S25" i="2223"/>
  <c r="R25" i="2223"/>
  <c r="Q25" i="2223"/>
  <c r="P25" i="2223"/>
  <c r="O25" i="2223"/>
  <c r="N25" i="2223"/>
  <c r="M25" i="2223"/>
  <c r="L25" i="2223"/>
  <c r="K25" i="2223"/>
  <c r="J25" i="2223"/>
  <c r="I25" i="2223"/>
  <c r="H25" i="2223"/>
  <c r="G25" i="2223"/>
  <c r="F25" i="2223"/>
  <c r="E25" i="2223"/>
  <c r="D25" i="2223"/>
  <c r="AE19" i="2223"/>
  <c r="AD19" i="2223"/>
  <c r="AC19" i="2223"/>
  <c r="AB19" i="2223"/>
  <c r="AC33" i="2223" s="1"/>
  <c r="AA19" i="2223"/>
  <c r="Z19" i="2223"/>
  <c r="Y19" i="2223"/>
  <c r="X19" i="2223"/>
  <c r="T33" i="2223" s="1"/>
  <c r="W19" i="2223"/>
  <c r="V19" i="2223"/>
  <c r="U19" i="2223"/>
  <c r="T19" i="2223"/>
  <c r="S19" i="2223"/>
  <c r="R19" i="2223"/>
  <c r="Q19" i="2223"/>
  <c r="P19" i="2223"/>
  <c r="O19" i="2223"/>
  <c r="N19" i="2223"/>
  <c r="G33" i="2223" s="1"/>
  <c r="M19" i="2223"/>
  <c r="H33" i="2223" s="1"/>
  <c r="L19" i="2223"/>
  <c r="P33" i="2223" s="1"/>
  <c r="K19" i="2223"/>
  <c r="L33" i="2223" s="1"/>
  <c r="J19" i="2223"/>
  <c r="I19" i="2223"/>
  <c r="AB33" i="2223" s="1"/>
  <c r="H19" i="2223"/>
  <c r="G19" i="2223"/>
  <c r="O33" i="2223" s="1"/>
  <c r="F19" i="2223"/>
  <c r="E19" i="2223"/>
  <c r="D19" i="2223"/>
  <c r="AE16" i="2223"/>
  <c r="AD16" i="2223"/>
  <c r="AC16" i="2223"/>
  <c r="AB16" i="2223"/>
  <c r="AA16" i="2223"/>
  <c r="Z16" i="2223"/>
  <c r="X16" i="2223"/>
  <c r="W16" i="2223"/>
  <c r="V16" i="2223"/>
  <c r="U16" i="2223"/>
  <c r="T16" i="2223"/>
  <c r="S16" i="2223"/>
  <c r="R16" i="2223"/>
  <c r="Q16" i="2223"/>
  <c r="P16" i="2223"/>
  <c r="O16" i="2223"/>
  <c r="N16" i="2223"/>
  <c r="M16" i="2223"/>
  <c r="L16" i="2223"/>
  <c r="K16" i="2223"/>
  <c r="J16" i="2223"/>
  <c r="I16" i="2223"/>
  <c r="H16" i="2223"/>
  <c r="G16" i="2223"/>
  <c r="F16" i="2223"/>
  <c r="E16" i="2223"/>
  <c r="D16" i="2223"/>
  <c r="AE10" i="2223"/>
  <c r="AD10" i="2223"/>
  <c r="AC10" i="2223"/>
  <c r="AB10" i="2223"/>
  <c r="AA10" i="2223"/>
  <c r="Z10" i="2223"/>
  <c r="Y10" i="2223"/>
  <c r="X10" i="2223"/>
  <c r="W10" i="2223"/>
  <c r="V10" i="2223"/>
  <c r="U10" i="2223"/>
  <c r="T10" i="2223"/>
  <c r="S10" i="2223"/>
  <c r="R10" i="2223"/>
  <c r="Q10" i="2223"/>
  <c r="P10" i="2223"/>
  <c r="O10" i="2223"/>
  <c r="N10" i="2223"/>
  <c r="M10" i="2223"/>
  <c r="E33" i="2223" s="1"/>
  <c r="L10" i="2223"/>
  <c r="K10" i="2223"/>
  <c r="J10" i="2223"/>
  <c r="Q33" i="2223" s="1"/>
  <c r="I10" i="2223"/>
  <c r="H10" i="2223"/>
  <c r="G10" i="2223"/>
  <c r="F10" i="2223"/>
  <c r="E10" i="2223"/>
  <c r="D10" i="2223"/>
  <c r="AE7" i="2223"/>
  <c r="AD7" i="2223"/>
  <c r="AC7" i="2223"/>
  <c r="AB7" i="2223"/>
  <c r="AA7" i="2223"/>
  <c r="Z7" i="2223"/>
  <c r="Y7" i="2223"/>
  <c r="X7" i="2223"/>
  <c r="W7" i="2223"/>
  <c r="V7" i="2223"/>
  <c r="U7" i="2223"/>
  <c r="T7" i="2223"/>
  <c r="S7" i="2223"/>
  <c r="R7" i="2223"/>
  <c r="Q7" i="2223"/>
  <c r="P7" i="2223"/>
  <c r="O7" i="2223"/>
  <c r="N7" i="2223"/>
  <c r="M7" i="2223"/>
  <c r="L7" i="2223"/>
  <c r="K7" i="2223"/>
  <c r="J7" i="2223"/>
  <c r="I7" i="2223"/>
  <c r="H7" i="2223"/>
  <c r="G7" i="2223"/>
  <c r="F7" i="2223"/>
  <c r="E7" i="2223"/>
  <c r="D7" i="2223"/>
  <c r="W33" i="2223" l="1"/>
  <c r="N33" i="2223"/>
  <c r="D33" i="2223"/>
  <c r="Z33" i="2223"/>
  <c r="Y33" i="2223"/>
  <c r="K33" i="2223"/>
  <c r="J33" i="2223"/>
  <c r="M33" i="2223"/>
  <c r="V33" i="2223"/>
  <c r="AA33" i="2222"/>
  <c r="X33" i="2222"/>
  <c r="U33" i="2222"/>
  <c r="R33" i="2222"/>
  <c r="F33" i="2222"/>
  <c r="E33" i="2222"/>
  <c r="Y28" i="2222"/>
  <c r="X28" i="2222"/>
  <c r="S33" i="2222" s="1"/>
  <c r="W28" i="2222"/>
  <c r="V28" i="2222"/>
  <c r="U28" i="2222"/>
  <c r="T28" i="2222"/>
  <c r="S28" i="2222"/>
  <c r="R28" i="2222"/>
  <c r="Q28" i="2222"/>
  <c r="P28" i="2222"/>
  <c r="O28" i="2222"/>
  <c r="N28" i="2222"/>
  <c r="M28" i="2222"/>
  <c r="L28" i="2222"/>
  <c r="K28" i="2222"/>
  <c r="J28" i="2222"/>
  <c r="I28" i="2222"/>
  <c r="H28" i="2222"/>
  <c r="G28" i="2222"/>
  <c r="F28" i="2222"/>
  <c r="E28" i="2222"/>
  <c r="D28" i="2222"/>
  <c r="Y25" i="2222"/>
  <c r="X25" i="2222"/>
  <c r="W25" i="2222"/>
  <c r="V25" i="2222"/>
  <c r="U25" i="2222"/>
  <c r="T25" i="2222"/>
  <c r="S25" i="2222"/>
  <c r="R25" i="2222"/>
  <c r="Q25" i="2222"/>
  <c r="P25" i="2222"/>
  <c r="O25" i="2222"/>
  <c r="N25" i="2222"/>
  <c r="M25" i="2222"/>
  <c r="L25" i="2222"/>
  <c r="K25" i="2222"/>
  <c r="J25" i="2222"/>
  <c r="I25" i="2222"/>
  <c r="H25" i="2222"/>
  <c r="G25" i="2222"/>
  <c r="F25" i="2222"/>
  <c r="E25" i="2222"/>
  <c r="D25" i="2222"/>
  <c r="AE19" i="2222"/>
  <c r="AD19" i="2222"/>
  <c r="AC19" i="2222"/>
  <c r="AB19" i="2222"/>
  <c r="AC33" i="2222" s="1"/>
  <c r="AA19" i="2222"/>
  <c r="Z19" i="2222"/>
  <c r="Y19" i="2222"/>
  <c r="X19" i="2222"/>
  <c r="T33" i="2222" s="1"/>
  <c r="W19" i="2222"/>
  <c r="V19" i="2222"/>
  <c r="U19" i="2222"/>
  <c r="T19" i="2222"/>
  <c r="S19" i="2222"/>
  <c r="R19" i="2222"/>
  <c r="Q19" i="2222"/>
  <c r="P19" i="2222"/>
  <c r="O19" i="2222"/>
  <c r="N19" i="2222"/>
  <c r="G33" i="2222" s="1"/>
  <c r="M19" i="2222"/>
  <c r="H33" i="2222" s="1"/>
  <c r="L19" i="2222"/>
  <c r="P33" i="2222" s="1"/>
  <c r="K19" i="2222"/>
  <c r="L33" i="2222" s="1"/>
  <c r="J19" i="2222"/>
  <c r="I19" i="2222"/>
  <c r="AB33" i="2222" s="1"/>
  <c r="H19" i="2222"/>
  <c r="G19" i="2222"/>
  <c r="O33" i="2222" s="1"/>
  <c r="F19" i="2222"/>
  <c r="E19" i="2222"/>
  <c r="D19" i="2222"/>
  <c r="AE16" i="2222"/>
  <c r="AD16" i="2222"/>
  <c r="AC16" i="2222"/>
  <c r="AB16" i="2222"/>
  <c r="AA16" i="2222"/>
  <c r="Z16" i="2222"/>
  <c r="X16" i="2222"/>
  <c r="W16" i="2222"/>
  <c r="V16" i="2222"/>
  <c r="U16" i="2222"/>
  <c r="T16" i="2222"/>
  <c r="S16" i="2222"/>
  <c r="R16" i="2222"/>
  <c r="Q16" i="2222"/>
  <c r="P16" i="2222"/>
  <c r="O16" i="2222"/>
  <c r="N16" i="2222"/>
  <c r="M16" i="2222"/>
  <c r="L16" i="2222"/>
  <c r="K16" i="2222"/>
  <c r="J16" i="2222"/>
  <c r="I16" i="2222"/>
  <c r="H16" i="2222"/>
  <c r="G16" i="2222"/>
  <c r="F16" i="2222"/>
  <c r="E16" i="2222"/>
  <c r="D16" i="2222"/>
  <c r="AE10" i="2222"/>
  <c r="AD10" i="2222"/>
  <c r="AC10" i="2222"/>
  <c r="AB10" i="2222"/>
  <c r="AA10" i="2222"/>
  <c r="Z10" i="2222"/>
  <c r="Y10" i="2222"/>
  <c r="X10" i="2222"/>
  <c r="W10" i="2222"/>
  <c r="V10" i="2222"/>
  <c r="U10" i="2222"/>
  <c r="T10" i="2222"/>
  <c r="S10" i="2222"/>
  <c r="R10" i="2222"/>
  <c r="Q10" i="2222"/>
  <c r="P10" i="2222"/>
  <c r="O10" i="2222"/>
  <c r="N10" i="2222"/>
  <c r="M10" i="2222"/>
  <c r="L10" i="2222"/>
  <c r="K10" i="2222"/>
  <c r="J10" i="2222"/>
  <c r="I10" i="2222"/>
  <c r="H10" i="2222"/>
  <c r="G10" i="2222"/>
  <c r="F10" i="2222"/>
  <c r="J33" i="2222" s="1"/>
  <c r="E10" i="2222"/>
  <c r="D10" i="2222"/>
  <c r="AE7" i="2222"/>
  <c r="AD7" i="2222"/>
  <c r="AC7" i="2222"/>
  <c r="AB7" i="2222"/>
  <c r="AA7" i="2222"/>
  <c r="Z7" i="2222"/>
  <c r="Y7" i="2222"/>
  <c r="X7" i="2222"/>
  <c r="W7" i="2222"/>
  <c r="V7" i="2222"/>
  <c r="U7" i="2222"/>
  <c r="T7" i="2222"/>
  <c r="S7" i="2222"/>
  <c r="R7" i="2222"/>
  <c r="Q7" i="2222"/>
  <c r="P7" i="2222"/>
  <c r="O7" i="2222"/>
  <c r="N7" i="2222"/>
  <c r="M7" i="2222"/>
  <c r="L7" i="2222"/>
  <c r="K7" i="2222"/>
  <c r="J7" i="2222"/>
  <c r="I7" i="2222"/>
  <c r="H7" i="2222"/>
  <c r="G7" i="2222"/>
  <c r="F7" i="2222"/>
  <c r="E7" i="2222"/>
  <c r="D7" i="2222"/>
  <c r="AA33" i="2221"/>
  <c r="X33" i="2221"/>
  <c r="U33" i="2221"/>
  <c r="R33" i="2221"/>
  <c r="F33" i="2221"/>
  <c r="Y28" i="2221"/>
  <c r="X28" i="2221"/>
  <c r="S33" i="2221" s="1"/>
  <c r="W28" i="2221"/>
  <c r="V28" i="2221"/>
  <c r="U28" i="2221"/>
  <c r="T28" i="2221"/>
  <c r="S28" i="2221"/>
  <c r="R28" i="2221"/>
  <c r="K33" i="2221" s="1"/>
  <c r="Q28" i="2221"/>
  <c r="P28" i="2221"/>
  <c r="O28" i="2221"/>
  <c r="N28" i="2221"/>
  <c r="M28" i="2221"/>
  <c r="L28" i="2221"/>
  <c r="K28" i="2221"/>
  <c r="J28" i="2221"/>
  <c r="I28" i="2221"/>
  <c r="H28" i="2221"/>
  <c r="G28" i="2221"/>
  <c r="F28" i="2221"/>
  <c r="E28" i="2221"/>
  <c r="D28" i="2221"/>
  <c r="Y25" i="2221"/>
  <c r="X25" i="2221"/>
  <c r="W25" i="2221"/>
  <c r="V25" i="2221"/>
  <c r="U25" i="2221"/>
  <c r="T25" i="2221"/>
  <c r="S25" i="2221"/>
  <c r="R25" i="2221"/>
  <c r="Q25" i="2221"/>
  <c r="P25" i="2221"/>
  <c r="O25" i="2221"/>
  <c r="N25" i="2221"/>
  <c r="M25" i="2221"/>
  <c r="L25" i="2221"/>
  <c r="K25" i="2221"/>
  <c r="J25" i="2221"/>
  <c r="I25" i="2221"/>
  <c r="H25" i="2221"/>
  <c r="G25" i="2221"/>
  <c r="F25" i="2221"/>
  <c r="E25" i="2221"/>
  <c r="D25" i="2221"/>
  <c r="AE19" i="2221"/>
  <c r="AD19" i="2221"/>
  <c r="AC19" i="2221"/>
  <c r="AB19" i="2221"/>
  <c r="AA19" i="2221"/>
  <c r="Z19" i="2221"/>
  <c r="Y19" i="2221"/>
  <c r="X19" i="2221"/>
  <c r="T33" i="2221" s="1"/>
  <c r="W19" i="2221"/>
  <c r="V19" i="2221"/>
  <c r="U19" i="2221"/>
  <c r="T19" i="2221"/>
  <c r="S19" i="2221"/>
  <c r="R19" i="2221"/>
  <c r="Q19" i="2221"/>
  <c r="P19" i="2221"/>
  <c r="O19" i="2221"/>
  <c r="N19" i="2221"/>
  <c r="G33" i="2221" s="1"/>
  <c r="M19" i="2221"/>
  <c r="H33" i="2221" s="1"/>
  <c r="L19" i="2221"/>
  <c r="P33" i="2221" s="1"/>
  <c r="K19" i="2221"/>
  <c r="L33" i="2221" s="1"/>
  <c r="J19" i="2221"/>
  <c r="I19" i="2221"/>
  <c r="AB33" i="2221" s="1"/>
  <c r="H19" i="2221"/>
  <c r="G19" i="2221"/>
  <c r="O33" i="2221" s="1"/>
  <c r="F19" i="2221"/>
  <c r="E19" i="2221"/>
  <c r="D19" i="2221"/>
  <c r="AE16" i="2221"/>
  <c r="AD16" i="2221"/>
  <c r="AC16" i="2221"/>
  <c r="AB16" i="2221"/>
  <c r="AA16" i="2221"/>
  <c r="Z16" i="2221"/>
  <c r="X16" i="2221"/>
  <c r="W16" i="2221"/>
  <c r="V16" i="2221"/>
  <c r="U16" i="2221"/>
  <c r="T16" i="2221"/>
  <c r="S16" i="2221"/>
  <c r="R16" i="2221"/>
  <c r="Q16" i="2221"/>
  <c r="P16" i="2221"/>
  <c r="O16" i="2221"/>
  <c r="N16" i="2221"/>
  <c r="M16" i="2221"/>
  <c r="L16" i="2221"/>
  <c r="K16" i="2221"/>
  <c r="J16" i="2221"/>
  <c r="I16" i="2221"/>
  <c r="H16" i="2221"/>
  <c r="G16" i="2221"/>
  <c r="F16" i="2221"/>
  <c r="E16" i="2221"/>
  <c r="D16" i="2221"/>
  <c r="AE10" i="2221"/>
  <c r="AD10" i="2221"/>
  <c r="AC10" i="2221"/>
  <c r="AB10" i="2221"/>
  <c r="AA10" i="2221"/>
  <c r="Z10" i="2221"/>
  <c r="Y10" i="2221"/>
  <c r="X10" i="2221"/>
  <c r="W10" i="2221"/>
  <c r="V10" i="2221"/>
  <c r="U10" i="2221"/>
  <c r="T10" i="2221"/>
  <c r="S10" i="2221"/>
  <c r="R10" i="2221"/>
  <c r="Q10" i="2221"/>
  <c r="P10" i="2221"/>
  <c r="O10" i="2221"/>
  <c r="N10" i="2221"/>
  <c r="M10" i="2221"/>
  <c r="L10" i="2221"/>
  <c r="K10" i="2221"/>
  <c r="J10" i="2221"/>
  <c r="I10" i="2221"/>
  <c r="H10" i="2221"/>
  <c r="G10" i="2221"/>
  <c r="F10" i="2221"/>
  <c r="E10" i="2221"/>
  <c r="D10" i="2221"/>
  <c r="AE7" i="2221"/>
  <c r="AD7" i="2221"/>
  <c r="AC7" i="2221"/>
  <c r="AB7" i="2221"/>
  <c r="AA7" i="2221"/>
  <c r="Z7" i="2221"/>
  <c r="Y7" i="2221"/>
  <c r="X7" i="2221"/>
  <c r="W7" i="2221"/>
  <c r="V7" i="2221"/>
  <c r="U7" i="2221"/>
  <c r="T7" i="2221"/>
  <c r="S7" i="2221"/>
  <c r="R7" i="2221"/>
  <c r="Q7" i="2221"/>
  <c r="P7" i="2221"/>
  <c r="O7" i="2221"/>
  <c r="N7" i="2221"/>
  <c r="M7" i="2221"/>
  <c r="L7" i="2221"/>
  <c r="K7" i="2221"/>
  <c r="J7" i="2221"/>
  <c r="I7" i="2221"/>
  <c r="H7" i="2221"/>
  <c r="G7" i="2221"/>
  <c r="F7" i="2221"/>
  <c r="E7" i="2221"/>
  <c r="D7" i="2221"/>
  <c r="N33" i="2222" l="1"/>
  <c r="W33" i="2222"/>
  <c r="D33" i="2222"/>
  <c r="M33" i="2222"/>
  <c r="Z33" i="2222"/>
  <c r="Y33" i="2222"/>
  <c r="K33" i="2222"/>
  <c r="Q33" i="2222"/>
  <c r="V33" i="2222"/>
  <c r="W33" i="2221"/>
  <c r="N33" i="2221"/>
  <c r="AC33" i="2221"/>
  <c r="D33" i="2221"/>
  <c r="Z33" i="2221"/>
  <c r="Y33" i="2221"/>
  <c r="Q33" i="2221"/>
  <c r="E33" i="2221"/>
  <c r="J33" i="2221"/>
  <c r="M33" i="2221"/>
  <c r="V33" i="2221"/>
  <c r="AA33" i="2220" l="1"/>
  <c r="X33" i="2220"/>
  <c r="U33" i="2220"/>
  <c r="R33" i="2220"/>
  <c r="O33" i="2220"/>
  <c r="F33" i="2220"/>
  <c r="Y28" i="2220"/>
  <c r="X28" i="2220"/>
  <c r="S33" i="2220" s="1"/>
  <c r="W28" i="2220"/>
  <c r="V28" i="2220"/>
  <c r="U28" i="2220"/>
  <c r="T28" i="2220"/>
  <c r="S28" i="2220"/>
  <c r="R28" i="2220"/>
  <c r="Q28" i="2220"/>
  <c r="P28" i="2220"/>
  <c r="O28" i="2220"/>
  <c r="N28" i="2220"/>
  <c r="M28" i="2220"/>
  <c r="L28" i="2220"/>
  <c r="K28" i="2220"/>
  <c r="J28" i="2220"/>
  <c r="I28" i="2220"/>
  <c r="H28" i="2220"/>
  <c r="G28" i="2220"/>
  <c r="F28" i="2220"/>
  <c r="E28" i="2220"/>
  <c r="D28" i="2220"/>
  <c r="Y25" i="2220"/>
  <c r="X25" i="2220"/>
  <c r="W25" i="2220"/>
  <c r="V25" i="2220"/>
  <c r="U25" i="2220"/>
  <c r="T25" i="2220"/>
  <c r="S25" i="2220"/>
  <c r="R25" i="2220"/>
  <c r="Q25" i="2220"/>
  <c r="P25" i="2220"/>
  <c r="O25" i="2220"/>
  <c r="N25" i="2220"/>
  <c r="M25" i="2220"/>
  <c r="L25" i="2220"/>
  <c r="K25" i="2220"/>
  <c r="J25" i="2220"/>
  <c r="I25" i="2220"/>
  <c r="H25" i="2220"/>
  <c r="G25" i="2220"/>
  <c r="F25" i="2220"/>
  <c r="E25" i="2220"/>
  <c r="D25" i="2220"/>
  <c r="AE19" i="2220"/>
  <c r="AD19" i="2220"/>
  <c r="AC19" i="2220"/>
  <c r="AB19" i="2220"/>
  <c r="AA19" i="2220"/>
  <c r="Z19" i="2220"/>
  <c r="Y19" i="2220"/>
  <c r="X19" i="2220"/>
  <c r="T33" i="2220" s="1"/>
  <c r="W19" i="2220"/>
  <c r="V19" i="2220"/>
  <c r="U19" i="2220"/>
  <c r="T19" i="2220"/>
  <c r="S19" i="2220"/>
  <c r="R19" i="2220"/>
  <c r="Q19" i="2220"/>
  <c r="P19" i="2220"/>
  <c r="O19" i="2220"/>
  <c r="N19" i="2220"/>
  <c r="G33" i="2220" s="1"/>
  <c r="M19" i="2220"/>
  <c r="H33" i="2220" s="1"/>
  <c r="L19" i="2220"/>
  <c r="P33" i="2220" s="1"/>
  <c r="K19" i="2220"/>
  <c r="L33" i="2220" s="1"/>
  <c r="J19" i="2220"/>
  <c r="I19" i="2220"/>
  <c r="AB33" i="2220" s="1"/>
  <c r="H19" i="2220"/>
  <c r="G19" i="2220"/>
  <c r="F19" i="2220"/>
  <c r="E19" i="2220"/>
  <c r="D19" i="2220"/>
  <c r="AE16" i="2220"/>
  <c r="AD16" i="2220"/>
  <c r="AC16" i="2220"/>
  <c r="AB16" i="2220"/>
  <c r="AA16" i="2220"/>
  <c r="Z16" i="2220"/>
  <c r="X16" i="2220"/>
  <c r="W16" i="2220"/>
  <c r="V16" i="2220"/>
  <c r="U16" i="2220"/>
  <c r="T16" i="2220"/>
  <c r="S16" i="2220"/>
  <c r="R16" i="2220"/>
  <c r="Q16" i="2220"/>
  <c r="P16" i="2220"/>
  <c r="O16" i="2220"/>
  <c r="N16" i="2220"/>
  <c r="M16" i="2220"/>
  <c r="L16" i="2220"/>
  <c r="K16" i="2220"/>
  <c r="J16" i="2220"/>
  <c r="I16" i="2220"/>
  <c r="H16" i="2220"/>
  <c r="G16" i="2220"/>
  <c r="F16" i="2220"/>
  <c r="E16" i="2220"/>
  <c r="D16" i="2220"/>
  <c r="AE10" i="2220"/>
  <c r="AD10" i="2220"/>
  <c r="AC10" i="2220"/>
  <c r="AB10" i="2220"/>
  <c r="AA10" i="2220"/>
  <c r="Z10" i="2220"/>
  <c r="Y10" i="2220"/>
  <c r="X10" i="2220"/>
  <c r="W10" i="2220"/>
  <c r="V10" i="2220"/>
  <c r="U10" i="2220"/>
  <c r="T10" i="2220"/>
  <c r="S10" i="2220"/>
  <c r="R10" i="2220"/>
  <c r="Q10" i="2220"/>
  <c r="P10" i="2220"/>
  <c r="O10" i="2220"/>
  <c r="N10" i="2220"/>
  <c r="M10" i="2220"/>
  <c r="L10" i="2220"/>
  <c r="K10" i="2220"/>
  <c r="J10" i="2220"/>
  <c r="I10" i="2220"/>
  <c r="H10" i="2220"/>
  <c r="G10" i="2220"/>
  <c r="F10" i="2220"/>
  <c r="E10" i="2220"/>
  <c r="D10" i="2220"/>
  <c r="AE7" i="2220"/>
  <c r="AD7" i="2220"/>
  <c r="AC7" i="2220"/>
  <c r="AB7" i="2220"/>
  <c r="AA7" i="2220"/>
  <c r="Z7" i="2220"/>
  <c r="Y7" i="2220"/>
  <c r="X7" i="2220"/>
  <c r="W7" i="2220"/>
  <c r="V7" i="2220"/>
  <c r="U7" i="2220"/>
  <c r="T7" i="2220"/>
  <c r="S7" i="2220"/>
  <c r="R7" i="2220"/>
  <c r="Q7" i="2220"/>
  <c r="P7" i="2220"/>
  <c r="O7" i="2220"/>
  <c r="N7" i="2220"/>
  <c r="M7" i="2220"/>
  <c r="L7" i="2220"/>
  <c r="K7" i="2220"/>
  <c r="J7" i="2220"/>
  <c r="I7" i="2220"/>
  <c r="H7" i="2220"/>
  <c r="G7" i="2220"/>
  <c r="F7" i="2220"/>
  <c r="E7" i="2220"/>
  <c r="D7" i="2220"/>
  <c r="J33" i="2220" l="1"/>
  <c r="Q33" i="2220"/>
  <c r="E33" i="2220"/>
  <c r="W33" i="2220"/>
  <c r="N33" i="2220"/>
  <c r="AC33" i="2220"/>
  <c r="D33" i="2220"/>
  <c r="Z33" i="2220"/>
  <c r="Y33" i="2220"/>
  <c r="K33" i="2220"/>
  <c r="M33" i="2220"/>
  <c r="V33" i="2220"/>
  <c r="AA33" i="2219"/>
  <c r="X33" i="2219"/>
  <c r="U33" i="2219"/>
  <c r="R33" i="2219"/>
  <c r="F33" i="2219"/>
  <c r="E33" i="2219"/>
  <c r="Y28" i="2219"/>
  <c r="X28" i="2219"/>
  <c r="S33" i="2219" s="1"/>
  <c r="W28" i="2219"/>
  <c r="V28" i="2219"/>
  <c r="U28" i="2219"/>
  <c r="T28" i="2219"/>
  <c r="S28" i="2219"/>
  <c r="R28" i="2219"/>
  <c r="Q28" i="2219"/>
  <c r="P28" i="2219"/>
  <c r="O28" i="2219"/>
  <c r="N28" i="2219"/>
  <c r="M28" i="2219"/>
  <c r="L28" i="2219"/>
  <c r="K28" i="2219"/>
  <c r="J28" i="2219"/>
  <c r="I28" i="2219"/>
  <c r="H28" i="2219"/>
  <c r="G28" i="2219"/>
  <c r="F28" i="2219"/>
  <c r="E28" i="2219"/>
  <c r="D28" i="2219"/>
  <c r="Y25" i="2219"/>
  <c r="X25" i="2219"/>
  <c r="W25" i="2219"/>
  <c r="V25" i="2219"/>
  <c r="U25" i="2219"/>
  <c r="T25" i="2219"/>
  <c r="S25" i="2219"/>
  <c r="R25" i="2219"/>
  <c r="Q25" i="2219"/>
  <c r="P25" i="2219"/>
  <c r="O25" i="2219"/>
  <c r="N25" i="2219"/>
  <c r="M25" i="2219"/>
  <c r="L25" i="2219"/>
  <c r="K25" i="2219"/>
  <c r="J25" i="2219"/>
  <c r="I25" i="2219"/>
  <c r="H25" i="2219"/>
  <c r="G25" i="2219"/>
  <c r="F25" i="2219"/>
  <c r="E25" i="2219"/>
  <c r="D25" i="2219"/>
  <c r="AE19" i="2219"/>
  <c r="AD19" i="2219"/>
  <c r="AC19" i="2219"/>
  <c r="AB19" i="2219"/>
  <c r="AA19" i="2219"/>
  <c r="Z19" i="2219"/>
  <c r="Y19" i="2219"/>
  <c r="X19" i="2219"/>
  <c r="T33" i="2219" s="1"/>
  <c r="W19" i="2219"/>
  <c r="V19" i="2219"/>
  <c r="U19" i="2219"/>
  <c r="T19" i="2219"/>
  <c r="S19" i="2219"/>
  <c r="R19" i="2219"/>
  <c r="Q19" i="2219"/>
  <c r="P19" i="2219"/>
  <c r="O19" i="2219"/>
  <c r="N19" i="2219"/>
  <c r="G33" i="2219" s="1"/>
  <c r="M19" i="2219"/>
  <c r="H33" i="2219" s="1"/>
  <c r="L19" i="2219"/>
  <c r="P33" i="2219" s="1"/>
  <c r="K19" i="2219"/>
  <c r="L33" i="2219" s="1"/>
  <c r="J19" i="2219"/>
  <c r="I19" i="2219"/>
  <c r="AB33" i="2219" s="1"/>
  <c r="H19" i="2219"/>
  <c r="G19" i="2219"/>
  <c r="O33" i="2219" s="1"/>
  <c r="F19" i="2219"/>
  <c r="E19" i="2219"/>
  <c r="D19" i="2219"/>
  <c r="AE16" i="2219"/>
  <c r="AD16" i="2219"/>
  <c r="AC16" i="2219"/>
  <c r="AB16" i="2219"/>
  <c r="AA16" i="2219"/>
  <c r="Z16" i="2219"/>
  <c r="X16" i="2219"/>
  <c r="W16" i="2219"/>
  <c r="V16" i="2219"/>
  <c r="U16" i="2219"/>
  <c r="T16" i="2219"/>
  <c r="S16" i="2219"/>
  <c r="R16" i="2219"/>
  <c r="Q16" i="2219"/>
  <c r="P16" i="2219"/>
  <c r="O16" i="2219"/>
  <c r="N16" i="2219"/>
  <c r="M16" i="2219"/>
  <c r="L16" i="2219"/>
  <c r="K16" i="2219"/>
  <c r="J16" i="2219"/>
  <c r="I16" i="2219"/>
  <c r="H16" i="2219"/>
  <c r="G16" i="2219"/>
  <c r="F16" i="2219"/>
  <c r="E16" i="2219"/>
  <c r="D16" i="2219"/>
  <c r="AE10" i="2219"/>
  <c r="AD10" i="2219"/>
  <c r="AC10" i="2219"/>
  <c r="AB10" i="2219"/>
  <c r="AA10" i="2219"/>
  <c r="Z10" i="2219"/>
  <c r="Y10" i="2219"/>
  <c r="X10" i="2219"/>
  <c r="W10" i="2219"/>
  <c r="V10" i="2219"/>
  <c r="U10" i="2219"/>
  <c r="T10" i="2219"/>
  <c r="S10" i="2219"/>
  <c r="R10" i="2219"/>
  <c r="Q10" i="2219"/>
  <c r="P10" i="2219"/>
  <c r="O10" i="2219"/>
  <c r="N10" i="2219"/>
  <c r="Q33" i="2219" s="1"/>
  <c r="M10" i="2219"/>
  <c r="L10" i="2219"/>
  <c r="K10" i="2219"/>
  <c r="J10" i="2219"/>
  <c r="I10" i="2219"/>
  <c r="H10" i="2219"/>
  <c r="G10" i="2219"/>
  <c r="F10" i="2219"/>
  <c r="J33" i="2219" s="1"/>
  <c r="E10" i="2219"/>
  <c r="D10" i="2219"/>
  <c r="AE7" i="2219"/>
  <c r="AD7" i="2219"/>
  <c r="AC7" i="2219"/>
  <c r="AB7" i="2219"/>
  <c r="AA7" i="2219"/>
  <c r="Z7" i="2219"/>
  <c r="Y7" i="2219"/>
  <c r="X7" i="2219"/>
  <c r="W7" i="2219"/>
  <c r="V7" i="2219"/>
  <c r="U7" i="2219"/>
  <c r="T7" i="2219"/>
  <c r="S7" i="2219"/>
  <c r="R7" i="2219"/>
  <c r="Q7" i="2219"/>
  <c r="P7" i="2219"/>
  <c r="O7" i="2219"/>
  <c r="N7" i="2219"/>
  <c r="M7" i="2219"/>
  <c r="L7" i="2219"/>
  <c r="K7" i="2219"/>
  <c r="J7" i="2219"/>
  <c r="I7" i="2219"/>
  <c r="H7" i="2219"/>
  <c r="G7" i="2219"/>
  <c r="F7" i="2219"/>
  <c r="E7" i="2219"/>
  <c r="D7" i="2219"/>
  <c r="W33" i="2219" l="1"/>
  <c r="N33" i="2219"/>
  <c r="AC33" i="2219"/>
  <c r="Z33" i="2219"/>
  <c r="D33" i="2219"/>
  <c r="Y33" i="2219"/>
  <c r="K33" i="2219"/>
  <c r="M33" i="2219"/>
  <c r="V33" i="2219"/>
  <c r="AA33" i="2218"/>
  <c r="X33" i="2218"/>
  <c r="U33" i="2218"/>
  <c r="R33" i="2218"/>
  <c r="O33" i="2218"/>
  <c r="F33" i="2218"/>
  <c r="Y28" i="2218"/>
  <c r="X28" i="2218"/>
  <c r="S33" i="2218" s="1"/>
  <c r="W28" i="2218"/>
  <c r="V28" i="2218"/>
  <c r="U28" i="2218"/>
  <c r="T28" i="2218"/>
  <c r="S28" i="2218"/>
  <c r="R28" i="2218"/>
  <c r="Q28" i="2218"/>
  <c r="P28" i="2218"/>
  <c r="O28" i="2218"/>
  <c r="N28" i="2218"/>
  <c r="M28" i="2218"/>
  <c r="L28" i="2218"/>
  <c r="K28" i="2218"/>
  <c r="J28" i="2218"/>
  <c r="I28" i="2218"/>
  <c r="H28" i="2218"/>
  <c r="G28" i="2218"/>
  <c r="F28" i="2218"/>
  <c r="E28" i="2218"/>
  <c r="D28" i="2218"/>
  <c r="Y25" i="2218"/>
  <c r="X25" i="2218"/>
  <c r="W25" i="2218"/>
  <c r="V25" i="2218"/>
  <c r="U25" i="2218"/>
  <c r="T25" i="2218"/>
  <c r="S25" i="2218"/>
  <c r="R25" i="2218"/>
  <c r="Q25" i="2218"/>
  <c r="P25" i="2218"/>
  <c r="O25" i="2218"/>
  <c r="N25" i="2218"/>
  <c r="M25" i="2218"/>
  <c r="L25" i="2218"/>
  <c r="K25" i="2218"/>
  <c r="J25" i="2218"/>
  <c r="I25" i="2218"/>
  <c r="H25" i="2218"/>
  <c r="G25" i="2218"/>
  <c r="F25" i="2218"/>
  <c r="E25" i="2218"/>
  <c r="D25" i="2218"/>
  <c r="AE19" i="2218"/>
  <c r="AD19" i="2218"/>
  <c r="AC19" i="2218"/>
  <c r="AB19" i="2218"/>
  <c r="AA19" i="2218"/>
  <c r="Z19" i="2218"/>
  <c r="Y19" i="2218"/>
  <c r="X19" i="2218"/>
  <c r="T33" i="2218" s="1"/>
  <c r="W19" i="2218"/>
  <c r="V19" i="2218"/>
  <c r="U19" i="2218"/>
  <c r="T19" i="2218"/>
  <c r="S19" i="2218"/>
  <c r="R19" i="2218"/>
  <c r="Q19" i="2218"/>
  <c r="P19" i="2218"/>
  <c r="O19" i="2218"/>
  <c r="N19" i="2218"/>
  <c r="G33" i="2218" s="1"/>
  <c r="M19" i="2218"/>
  <c r="H33" i="2218" s="1"/>
  <c r="L19" i="2218"/>
  <c r="P33" i="2218" s="1"/>
  <c r="K19" i="2218"/>
  <c r="L33" i="2218" s="1"/>
  <c r="J19" i="2218"/>
  <c r="I19" i="2218"/>
  <c r="AB33" i="2218" s="1"/>
  <c r="H19" i="2218"/>
  <c r="G19" i="2218"/>
  <c r="F19" i="2218"/>
  <c r="E19" i="2218"/>
  <c r="D19" i="2218"/>
  <c r="AE16" i="2218"/>
  <c r="AD16" i="2218"/>
  <c r="AC16" i="2218"/>
  <c r="AB16" i="2218"/>
  <c r="AA16" i="2218"/>
  <c r="Z16" i="2218"/>
  <c r="X16" i="2218"/>
  <c r="W16" i="2218"/>
  <c r="V16" i="2218"/>
  <c r="U16" i="2218"/>
  <c r="T16" i="2218"/>
  <c r="S16" i="2218"/>
  <c r="R16" i="2218"/>
  <c r="Q16" i="2218"/>
  <c r="P16" i="2218"/>
  <c r="O16" i="2218"/>
  <c r="N16" i="2218"/>
  <c r="M16" i="2218"/>
  <c r="L16" i="2218"/>
  <c r="K16" i="2218"/>
  <c r="J16" i="2218"/>
  <c r="I16" i="2218"/>
  <c r="H16" i="2218"/>
  <c r="G16" i="2218"/>
  <c r="F16" i="2218"/>
  <c r="E16" i="2218"/>
  <c r="D16" i="2218"/>
  <c r="AE10" i="2218"/>
  <c r="AD10" i="2218"/>
  <c r="AC10" i="2218"/>
  <c r="AB10" i="2218"/>
  <c r="AA10" i="2218"/>
  <c r="Z10" i="2218"/>
  <c r="Y10" i="2218"/>
  <c r="X10" i="2218"/>
  <c r="W10" i="2218"/>
  <c r="V10" i="2218"/>
  <c r="U10" i="2218"/>
  <c r="T10" i="2218"/>
  <c r="S10" i="2218"/>
  <c r="R10" i="2218"/>
  <c r="Q10" i="2218"/>
  <c r="P10" i="2218"/>
  <c r="O10" i="2218"/>
  <c r="N10" i="2218"/>
  <c r="Q33" i="2218" s="1"/>
  <c r="M10" i="2218"/>
  <c r="E33" i="2218" s="1"/>
  <c r="L10" i="2218"/>
  <c r="K10" i="2218"/>
  <c r="J10" i="2218"/>
  <c r="I10" i="2218"/>
  <c r="H10" i="2218"/>
  <c r="G10" i="2218"/>
  <c r="F10" i="2218"/>
  <c r="J33" i="2218" s="1"/>
  <c r="E10" i="2218"/>
  <c r="D10" i="2218"/>
  <c r="AE7" i="2218"/>
  <c r="AD7" i="2218"/>
  <c r="AC7" i="2218"/>
  <c r="AB7" i="2218"/>
  <c r="AA7" i="2218"/>
  <c r="Z7" i="2218"/>
  <c r="Y7" i="2218"/>
  <c r="X7" i="2218"/>
  <c r="W7" i="2218"/>
  <c r="V7" i="2218"/>
  <c r="U7" i="2218"/>
  <c r="T7" i="2218"/>
  <c r="S7" i="2218"/>
  <c r="R7" i="2218"/>
  <c r="Q7" i="2218"/>
  <c r="P7" i="2218"/>
  <c r="O7" i="2218"/>
  <c r="N7" i="2218"/>
  <c r="M7" i="2218"/>
  <c r="L7" i="2218"/>
  <c r="K7" i="2218"/>
  <c r="J7" i="2218"/>
  <c r="I7" i="2218"/>
  <c r="H7" i="2218"/>
  <c r="G7" i="2218"/>
  <c r="F7" i="2218"/>
  <c r="E7" i="2218"/>
  <c r="D7" i="2218"/>
  <c r="W33" i="2218" l="1"/>
  <c r="N33" i="2218"/>
  <c r="AC33" i="2218"/>
  <c r="D33" i="2218"/>
  <c r="Z33" i="2218"/>
  <c r="Y33" i="2218"/>
  <c r="K33" i="2218"/>
  <c r="M33" i="2218"/>
  <c r="V33" i="2218"/>
  <c r="AA33" i="2217" l="1"/>
  <c r="X33" i="2217"/>
  <c r="U33" i="2217"/>
  <c r="R33" i="2217"/>
  <c r="F33" i="2217"/>
  <c r="Y28" i="2217"/>
  <c r="X28" i="2217"/>
  <c r="S33" i="2217" s="1"/>
  <c r="W28" i="2217"/>
  <c r="V28" i="2217"/>
  <c r="U28" i="2217"/>
  <c r="T28" i="2217"/>
  <c r="S28" i="2217"/>
  <c r="R28" i="2217"/>
  <c r="Q28" i="2217"/>
  <c r="P28" i="2217"/>
  <c r="O28" i="2217"/>
  <c r="N28" i="2217"/>
  <c r="M28" i="2217"/>
  <c r="L28" i="2217"/>
  <c r="K28" i="2217"/>
  <c r="J28" i="2217"/>
  <c r="I28" i="2217"/>
  <c r="H28" i="2217"/>
  <c r="G28" i="2217"/>
  <c r="F28" i="2217"/>
  <c r="E28" i="2217"/>
  <c r="D28" i="2217"/>
  <c r="Y25" i="2217"/>
  <c r="X25" i="2217"/>
  <c r="W25" i="2217"/>
  <c r="V25" i="2217"/>
  <c r="U25" i="2217"/>
  <c r="T25" i="2217"/>
  <c r="S25" i="2217"/>
  <c r="R25" i="2217"/>
  <c r="Q25" i="2217"/>
  <c r="P25" i="2217"/>
  <c r="O25" i="2217"/>
  <c r="N25" i="2217"/>
  <c r="M25" i="2217"/>
  <c r="L25" i="2217"/>
  <c r="K25" i="2217"/>
  <c r="J25" i="2217"/>
  <c r="I25" i="2217"/>
  <c r="H25" i="2217"/>
  <c r="G25" i="2217"/>
  <c r="F25" i="2217"/>
  <c r="E25" i="2217"/>
  <c r="D25" i="2217"/>
  <c r="AE19" i="2217"/>
  <c r="AD19" i="2217"/>
  <c r="AC19" i="2217"/>
  <c r="AB19" i="2217"/>
  <c r="AA19" i="2217"/>
  <c r="Z19" i="2217"/>
  <c r="Y19" i="2217"/>
  <c r="X19" i="2217"/>
  <c r="T33" i="2217" s="1"/>
  <c r="W19" i="2217"/>
  <c r="V19" i="2217"/>
  <c r="U19" i="2217"/>
  <c r="T19" i="2217"/>
  <c r="S19" i="2217"/>
  <c r="R19" i="2217"/>
  <c r="Q19" i="2217"/>
  <c r="P19" i="2217"/>
  <c r="O19" i="2217"/>
  <c r="N19" i="2217"/>
  <c r="G33" i="2217" s="1"/>
  <c r="M19" i="2217"/>
  <c r="H33" i="2217" s="1"/>
  <c r="L19" i="2217"/>
  <c r="P33" i="2217" s="1"/>
  <c r="K19" i="2217"/>
  <c r="L33" i="2217" s="1"/>
  <c r="J19" i="2217"/>
  <c r="I19" i="2217"/>
  <c r="AB33" i="2217" s="1"/>
  <c r="H19" i="2217"/>
  <c r="G19" i="2217"/>
  <c r="O33" i="2217" s="1"/>
  <c r="F19" i="2217"/>
  <c r="E19" i="2217"/>
  <c r="D19" i="2217"/>
  <c r="AE16" i="2217"/>
  <c r="AD16" i="2217"/>
  <c r="AC16" i="2217"/>
  <c r="AB16" i="2217"/>
  <c r="AA16" i="2217"/>
  <c r="Z16" i="2217"/>
  <c r="X16" i="2217"/>
  <c r="W16" i="2217"/>
  <c r="V16" i="2217"/>
  <c r="U16" i="2217"/>
  <c r="T16" i="2217"/>
  <c r="S16" i="2217"/>
  <c r="R16" i="2217"/>
  <c r="Q16" i="2217"/>
  <c r="P16" i="2217"/>
  <c r="O16" i="2217"/>
  <c r="N16" i="2217"/>
  <c r="M16" i="2217"/>
  <c r="L16" i="2217"/>
  <c r="K16" i="2217"/>
  <c r="J16" i="2217"/>
  <c r="I16" i="2217"/>
  <c r="H16" i="2217"/>
  <c r="G16" i="2217"/>
  <c r="F16" i="2217"/>
  <c r="E16" i="2217"/>
  <c r="D16" i="2217"/>
  <c r="AE10" i="2217"/>
  <c r="AD10" i="2217"/>
  <c r="AC33" i="2217" s="1"/>
  <c r="AC10" i="2217"/>
  <c r="AB10" i="2217"/>
  <c r="AA10" i="2217"/>
  <c r="Z10" i="2217"/>
  <c r="Y10" i="2217"/>
  <c r="X10" i="2217"/>
  <c r="W10" i="2217"/>
  <c r="V10" i="2217"/>
  <c r="U10" i="2217"/>
  <c r="T10" i="2217"/>
  <c r="S10" i="2217"/>
  <c r="R10" i="2217"/>
  <c r="Q10" i="2217"/>
  <c r="P10" i="2217"/>
  <c r="O10" i="2217"/>
  <c r="K33" i="2217" s="1"/>
  <c r="N10" i="2217"/>
  <c r="M10" i="2217"/>
  <c r="L10" i="2217"/>
  <c r="K10" i="2217"/>
  <c r="J10" i="2217"/>
  <c r="Q33" i="2217" s="1"/>
  <c r="I10" i="2217"/>
  <c r="E33" i="2217" s="1"/>
  <c r="H10" i="2217"/>
  <c r="G10" i="2217"/>
  <c r="F10" i="2217"/>
  <c r="E10" i="2217"/>
  <c r="D10" i="2217"/>
  <c r="AE7" i="2217"/>
  <c r="AD7" i="2217"/>
  <c r="AC7" i="2217"/>
  <c r="AB7" i="2217"/>
  <c r="AA7" i="2217"/>
  <c r="Z7" i="2217"/>
  <c r="Y7" i="2217"/>
  <c r="X7" i="2217"/>
  <c r="W7" i="2217"/>
  <c r="V7" i="2217"/>
  <c r="U7" i="2217"/>
  <c r="T7" i="2217"/>
  <c r="S7" i="2217"/>
  <c r="R7" i="2217"/>
  <c r="Q7" i="2217"/>
  <c r="P7" i="2217"/>
  <c r="O7" i="2217"/>
  <c r="N7" i="2217"/>
  <c r="M7" i="2217"/>
  <c r="L7" i="2217"/>
  <c r="K7" i="2217"/>
  <c r="J7" i="2217"/>
  <c r="I7" i="2217"/>
  <c r="H7" i="2217"/>
  <c r="G7" i="2217"/>
  <c r="F7" i="2217"/>
  <c r="E7" i="2217"/>
  <c r="D7" i="2217"/>
  <c r="J33" i="2217" l="1"/>
  <c r="W33" i="2217"/>
  <c r="D33" i="2217"/>
  <c r="Z33" i="2217"/>
  <c r="Y33" i="2217"/>
  <c r="N33" i="2217"/>
  <c r="M33" i="2217"/>
  <c r="V33" i="2217"/>
  <c r="AA33" i="2216" l="1"/>
  <c r="X33" i="2216"/>
  <c r="U33" i="2216"/>
  <c r="R33" i="2216"/>
  <c r="F33" i="2216"/>
  <c r="Y28" i="2216"/>
  <c r="X28" i="2216"/>
  <c r="S33" i="2216" s="1"/>
  <c r="W28" i="2216"/>
  <c r="V28" i="2216"/>
  <c r="U28" i="2216"/>
  <c r="T28" i="2216"/>
  <c r="S28" i="2216"/>
  <c r="R28" i="2216"/>
  <c r="Q28" i="2216"/>
  <c r="P28" i="2216"/>
  <c r="O28" i="2216"/>
  <c r="N28" i="2216"/>
  <c r="M28" i="2216"/>
  <c r="L28" i="2216"/>
  <c r="K28" i="2216"/>
  <c r="J28" i="2216"/>
  <c r="I28" i="2216"/>
  <c r="H28" i="2216"/>
  <c r="G28" i="2216"/>
  <c r="F28" i="2216"/>
  <c r="E28" i="2216"/>
  <c r="D28" i="2216"/>
  <c r="Y25" i="2216"/>
  <c r="X25" i="2216"/>
  <c r="W25" i="2216"/>
  <c r="V25" i="2216"/>
  <c r="U25" i="2216"/>
  <c r="T25" i="2216"/>
  <c r="S25" i="2216"/>
  <c r="R25" i="2216"/>
  <c r="Q25" i="2216"/>
  <c r="P25" i="2216"/>
  <c r="O25" i="2216"/>
  <c r="N25" i="2216"/>
  <c r="M25" i="2216"/>
  <c r="L25" i="2216"/>
  <c r="K25" i="2216"/>
  <c r="J25" i="2216"/>
  <c r="I25" i="2216"/>
  <c r="H25" i="2216"/>
  <c r="G25" i="2216"/>
  <c r="F25" i="2216"/>
  <c r="E25" i="2216"/>
  <c r="D25" i="2216"/>
  <c r="AE19" i="2216"/>
  <c r="AD19" i="2216"/>
  <c r="AC19" i="2216"/>
  <c r="AB19" i="2216"/>
  <c r="AA19" i="2216"/>
  <c r="Z19" i="2216"/>
  <c r="Y19" i="2216"/>
  <c r="X19" i="2216"/>
  <c r="T33" i="2216" s="1"/>
  <c r="W19" i="2216"/>
  <c r="V19" i="2216"/>
  <c r="U19" i="2216"/>
  <c r="T19" i="2216"/>
  <c r="S19" i="2216"/>
  <c r="R19" i="2216"/>
  <c r="Q19" i="2216"/>
  <c r="P19" i="2216"/>
  <c r="O19" i="2216"/>
  <c r="N19" i="2216"/>
  <c r="G33" i="2216" s="1"/>
  <c r="M19" i="2216"/>
  <c r="H33" i="2216" s="1"/>
  <c r="L19" i="2216"/>
  <c r="P33" i="2216" s="1"/>
  <c r="K19" i="2216"/>
  <c r="L33" i="2216" s="1"/>
  <c r="J19" i="2216"/>
  <c r="I19" i="2216"/>
  <c r="AB33" i="2216" s="1"/>
  <c r="H19" i="2216"/>
  <c r="G19" i="2216"/>
  <c r="O33" i="2216" s="1"/>
  <c r="F19" i="2216"/>
  <c r="E19" i="2216"/>
  <c r="D19" i="2216"/>
  <c r="AE16" i="2216"/>
  <c r="AD16" i="2216"/>
  <c r="AC16" i="2216"/>
  <c r="AB16" i="2216"/>
  <c r="AA16" i="2216"/>
  <c r="Z16" i="2216"/>
  <c r="X16" i="2216"/>
  <c r="W16" i="2216"/>
  <c r="V16" i="2216"/>
  <c r="U16" i="2216"/>
  <c r="T16" i="2216"/>
  <c r="S16" i="2216"/>
  <c r="R16" i="2216"/>
  <c r="Q16" i="2216"/>
  <c r="P16" i="2216"/>
  <c r="O16" i="2216"/>
  <c r="N16" i="2216"/>
  <c r="M16" i="2216"/>
  <c r="L16" i="2216"/>
  <c r="K16" i="2216"/>
  <c r="J16" i="2216"/>
  <c r="I16" i="2216"/>
  <c r="H16" i="2216"/>
  <c r="G16" i="2216"/>
  <c r="F16" i="2216"/>
  <c r="E16" i="2216"/>
  <c r="D16" i="2216"/>
  <c r="AE10" i="2216"/>
  <c r="AD10" i="2216"/>
  <c r="AC10" i="2216"/>
  <c r="AB10" i="2216"/>
  <c r="AA10" i="2216"/>
  <c r="Z10" i="2216"/>
  <c r="Y10" i="2216"/>
  <c r="X10" i="2216"/>
  <c r="W10" i="2216"/>
  <c r="V10" i="2216"/>
  <c r="U10" i="2216"/>
  <c r="T10" i="2216"/>
  <c r="S10" i="2216"/>
  <c r="R10" i="2216"/>
  <c r="Q10" i="2216"/>
  <c r="P10" i="2216"/>
  <c r="O10" i="2216"/>
  <c r="N10" i="2216"/>
  <c r="Q33" i="2216" s="1"/>
  <c r="M10" i="2216"/>
  <c r="E33" i="2216" s="1"/>
  <c r="L10" i="2216"/>
  <c r="K10" i="2216"/>
  <c r="J10" i="2216"/>
  <c r="I10" i="2216"/>
  <c r="H10" i="2216"/>
  <c r="G10" i="2216"/>
  <c r="F10" i="2216"/>
  <c r="E10" i="2216"/>
  <c r="D10" i="2216"/>
  <c r="AE7" i="2216"/>
  <c r="AD7" i="2216"/>
  <c r="AC7" i="2216"/>
  <c r="AB7" i="2216"/>
  <c r="AA7" i="2216"/>
  <c r="Z7" i="2216"/>
  <c r="Y7" i="2216"/>
  <c r="X7" i="2216"/>
  <c r="W7" i="2216"/>
  <c r="V7" i="2216"/>
  <c r="U7" i="2216"/>
  <c r="T7" i="2216"/>
  <c r="S7" i="2216"/>
  <c r="R7" i="2216"/>
  <c r="Q7" i="2216"/>
  <c r="P7" i="2216"/>
  <c r="O7" i="2216"/>
  <c r="N7" i="2216"/>
  <c r="M7" i="2216"/>
  <c r="L7" i="2216"/>
  <c r="K7" i="2216"/>
  <c r="J7" i="2216"/>
  <c r="I7" i="2216"/>
  <c r="H7" i="2216"/>
  <c r="G7" i="2216"/>
  <c r="F7" i="2216"/>
  <c r="E7" i="2216"/>
  <c r="D7" i="2216"/>
  <c r="J33" i="2216" l="1"/>
  <c r="W33" i="2216"/>
  <c r="N33" i="2216"/>
  <c r="AC33" i="2216"/>
  <c r="D33" i="2216"/>
  <c r="Z33" i="2216"/>
  <c r="Y33" i="2216"/>
  <c r="K33" i="2216"/>
  <c r="M33" i="2216"/>
  <c r="V33" i="2216"/>
  <c r="AA33" i="2215" l="1"/>
  <c r="X33" i="2215"/>
  <c r="U33" i="2215"/>
  <c r="R33" i="2215"/>
  <c r="F33" i="2215"/>
  <c r="Y28" i="2215"/>
  <c r="X28" i="2215"/>
  <c r="S33" i="2215" s="1"/>
  <c r="W28" i="2215"/>
  <c r="V28" i="2215"/>
  <c r="U28" i="2215"/>
  <c r="T28" i="2215"/>
  <c r="S28" i="2215"/>
  <c r="R28" i="2215"/>
  <c r="Q28" i="2215"/>
  <c r="P28" i="2215"/>
  <c r="O28" i="2215"/>
  <c r="N28" i="2215"/>
  <c r="M28" i="2215"/>
  <c r="L28" i="2215"/>
  <c r="K28" i="2215"/>
  <c r="J28" i="2215"/>
  <c r="I28" i="2215"/>
  <c r="H28" i="2215"/>
  <c r="G28" i="2215"/>
  <c r="F28" i="2215"/>
  <c r="E28" i="2215"/>
  <c r="D28" i="2215"/>
  <c r="Y25" i="2215"/>
  <c r="X25" i="2215"/>
  <c r="W25" i="2215"/>
  <c r="V25" i="2215"/>
  <c r="U25" i="2215"/>
  <c r="T25" i="2215"/>
  <c r="S25" i="2215"/>
  <c r="R25" i="2215"/>
  <c r="Q25" i="2215"/>
  <c r="P25" i="2215"/>
  <c r="O25" i="2215"/>
  <c r="N25" i="2215"/>
  <c r="M25" i="2215"/>
  <c r="L25" i="2215"/>
  <c r="K25" i="2215"/>
  <c r="J25" i="2215"/>
  <c r="I25" i="2215"/>
  <c r="H25" i="2215"/>
  <c r="G25" i="2215"/>
  <c r="F25" i="2215"/>
  <c r="E25" i="2215"/>
  <c r="D25" i="2215"/>
  <c r="AE19" i="2215"/>
  <c r="AD19" i="2215"/>
  <c r="AC19" i="2215"/>
  <c r="AB19" i="2215"/>
  <c r="AC33" i="2215" s="1"/>
  <c r="AA19" i="2215"/>
  <c r="Z19" i="2215"/>
  <c r="Y19" i="2215"/>
  <c r="X19" i="2215"/>
  <c r="T33" i="2215" s="1"/>
  <c r="W19" i="2215"/>
  <c r="V19" i="2215"/>
  <c r="U19" i="2215"/>
  <c r="T19" i="2215"/>
  <c r="S19" i="2215"/>
  <c r="R19" i="2215"/>
  <c r="Q19" i="2215"/>
  <c r="P19" i="2215"/>
  <c r="O19" i="2215"/>
  <c r="N19" i="2215"/>
  <c r="G33" i="2215" s="1"/>
  <c r="M19" i="2215"/>
  <c r="H33" i="2215" s="1"/>
  <c r="L19" i="2215"/>
  <c r="P33" i="2215" s="1"/>
  <c r="K19" i="2215"/>
  <c r="L33" i="2215" s="1"/>
  <c r="J19" i="2215"/>
  <c r="I19" i="2215"/>
  <c r="AB33" i="2215" s="1"/>
  <c r="H19" i="2215"/>
  <c r="G19" i="2215"/>
  <c r="O33" i="2215" s="1"/>
  <c r="F19" i="2215"/>
  <c r="E19" i="2215"/>
  <c r="D19" i="2215"/>
  <c r="AE16" i="2215"/>
  <c r="AD16" i="2215"/>
  <c r="AC16" i="2215"/>
  <c r="AB16" i="2215"/>
  <c r="AA16" i="2215"/>
  <c r="Z16" i="2215"/>
  <c r="X16" i="2215"/>
  <c r="W16" i="2215"/>
  <c r="V16" i="2215"/>
  <c r="U16" i="2215"/>
  <c r="T16" i="2215"/>
  <c r="S16" i="2215"/>
  <c r="R16" i="2215"/>
  <c r="Q16" i="2215"/>
  <c r="P16" i="2215"/>
  <c r="O16" i="2215"/>
  <c r="N16" i="2215"/>
  <c r="M16" i="2215"/>
  <c r="L16" i="2215"/>
  <c r="K16" i="2215"/>
  <c r="J16" i="2215"/>
  <c r="I16" i="2215"/>
  <c r="H16" i="2215"/>
  <c r="G16" i="2215"/>
  <c r="F16" i="2215"/>
  <c r="E16" i="2215"/>
  <c r="D16" i="2215"/>
  <c r="AE10" i="2215"/>
  <c r="AD10" i="2215"/>
  <c r="AC10" i="2215"/>
  <c r="AB10" i="2215"/>
  <c r="AA10" i="2215"/>
  <c r="Z10" i="2215"/>
  <c r="Y10" i="2215"/>
  <c r="X10" i="2215"/>
  <c r="W10" i="2215"/>
  <c r="V10" i="2215"/>
  <c r="U10" i="2215"/>
  <c r="T10" i="2215"/>
  <c r="S10" i="2215"/>
  <c r="R10" i="2215"/>
  <c r="Q10" i="2215"/>
  <c r="P10" i="2215"/>
  <c r="O10" i="2215"/>
  <c r="N10" i="2215"/>
  <c r="M10" i="2215"/>
  <c r="L10" i="2215"/>
  <c r="K10" i="2215"/>
  <c r="J10" i="2215"/>
  <c r="Q33" i="2215" s="1"/>
  <c r="I10" i="2215"/>
  <c r="E33" i="2215" s="1"/>
  <c r="H10" i="2215"/>
  <c r="G10" i="2215"/>
  <c r="F10" i="2215"/>
  <c r="E10" i="2215"/>
  <c r="D10" i="2215"/>
  <c r="AE7" i="2215"/>
  <c r="AD7" i="2215"/>
  <c r="AC7" i="2215"/>
  <c r="AB7" i="2215"/>
  <c r="AA7" i="2215"/>
  <c r="Z7" i="2215"/>
  <c r="Y7" i="2215"/>
  <c r="X7" i="2215"/>
  <c r="W7" i="2215"/>
  <c r="V7" i="2215"/>
  <c r="U7" i="2215"/>
  <c r="T7" i="2215"/>
  <c r="S7" i="2215"/>
  <c r="R7" i="2215"/>
  <c r="Q7" i="2215"/>
  <c r="P7" i="2215"/>
  <c r="O7" i="2215"/>
  <c r="N7" i="2215"/>
  <c r="M7" i="2215"/>
  <c r="L7" i="2215"/>
  <c r="K7" i="2215"/>
  <c r="J7" i="2215"/>
  <c r="I7" i="2215"/>
  <c r="H7" i="2215"/>
  <c r="G7" i="2215"/>
  <c r="F7" i="2215"/>
  <c r="E7" i="2215"/>
  <c r="D7" i="2215"/>
  <c r="J33" i="2215" l="1"/>
  <c r="W33" i="2215"/>
  <c r="K33" i="2215"/>
  <c r="D33" i="2215"/>
  <c r="Z33" i="2215"/>
  <c r="Y33" i="2215"/>
  <c r="N33" i="2215"/>
  <c r="M33" i="2215"/>
  <c r="V33" i="2215"/>
  <c r="AA33" i="2214"/>
  <c r="X33" i="2214"/>
  <c r="U33" i="2214"/>
  <c r="R33" i="2214"/>
  <c r="F33" i="2214"/>
  <c r="Y28" i="2214"/>
  <c r="X28" i="2214"/>
  <c r="S33" i="2214" s="1"/>
  <c r="W28" i="2214"/>
  <c r="V28" i="2214"/>
  <c r="U28" i="2214"/>
  <c r="T28" i="2214"/>
  <c r="S28" i="2214"/>
  <c r="R28" i="2214"/>
  <c r="Q28" i="2214"/>
  <c r="P28" i="2214"/>
  <c r="O28" i="2214"/>
  <c r="N28" i="2214"/>
  <c r="M28" i="2214"/>
  <c r="L28" i="2214"/>
  <c r="K28" i="2214"/>
  <c r="J28" i="2214"/>
  <c r="I28" i="2214"/>
  <c r="H28" i="2214"/>
  <c r="G28" i="2214"/>
  <c r="F28" i="2214"/>
  <c r="E28" i="2214"/>
  <c r="D28" i="2214"/>
  <c r="Y25" i="2214"/>
  <c r="X25" i="2214"/>
  <c r="W25" i="2214"/>
  <c r="V25" i="2214"/>
  <c r="U25" i="2214"/>
  <c r="T25" i="2214"/>
  <c r="S25" i="2214"/>
  <c r="R25" i="2214"/>
  <c r="Q25" i="2214"/>
  <c r="P25" i="2214"/>
  <c r="O25" i="2214"/>
  <c r="N25" i="2214"/>
  <c r="M25" i="2214"/>
  <c r="L25" i="2214"/>
  <c r="K25" i="2214"/>
  <c r="J25" i="2214"/>
  <c r="I25" i="2214"/>
  <c r="H25" i="2214"/>
  <c r="G25" i="2214"/>
  <c r="F25" i="2214"/>
  <c r="E25" i="2214"/>
  <c r="D25" i="2214"/>
  <c r="AE19" i="2214"/>
  <c r="AD19" i="2214"/>
  <c r="AC19" i="2214"/>
  <c r="AB19" i="2214"/>
  <c r="AA19" i="2214"/>
  <c r="Z19" i="2214"/>
  <c r="Y19" i="2214"/>
  <c r="X19" i="2214"/>
  <c r="T33" i="2214" s="1"/>
  <c r="W19" i="2214"/>
  <c r="V19" i="2214"/>
  <c r="U19" i="2214"/>
  <c r="T19" i="2214"/>
  <c r="S19" i="2214"/>
  <c r="R19" i="2214"/>
  <c r="Q19" i="2214"/>
  <c r="P19" i="2214"/>
  <c r="O19" i="2214"/>
  <c r="N19" i="2214"/>
  <c r="G33" i="2214" s="1"/>
  <c r="M19" i="2214"/>
  <c r="H33" i="2214" s="1"/>
  <c r="L19" i="2214"/>
  <c r="P33" i="2214" s="1"/>
  <c r="K19" i="2214"/>
  <c r="L33" i="2214" s="1"/>
  <c r="J19" i="2214"/>
  <c r="I19" i="2214"/>
  <c r="AB33" i="2214" s="1"/>
  <c r="H19" i="2214"/>
  <c r="G19" i="2214"/>
  <c r="O33" i="2214" s="1"/>
  <c r="F19" i="2214"/>
  <c r="E19" i="2214"/>
  <c r="D19" i="2214"/>
  <c r="AE16" i="2214"/>
  <c r="AD16" i="2214"/>
  <c r="AC16" i="2214"/>
  <c r="AB16" i="2214"/>
  <c r="AA16" i="2214"/>
  <c r="Z16" i="2214"/>
  <c r="X16" i="2214"/>
  <c r="W16" i="2214"/>
  <c r="V16" i="2214"/>
  <c r="U16" i="2214"/>
  <c r="T16" i="2214"/>
  <c r="S16" i="2214"/>
  <c r="R16" i="2214"/>
  <c r="Q16" i="2214"/>
  <c r="P16" i="2214"/>
  <c r="O16" i="2214"/>
  <c r="N16" i="2214"/>
  <c r="M16" i="2214"/>
  <c r="L16" i="2214"/>
  <c r="K16" i="2214"/>
  <c r="J16" i="2214"/>
  <c r="I16" i="2214"/>
  <c r="H16" i="2214"/>
  <c r="G16" i="2214"/>
  <c r="F16" i="2214"/>
  <c r="E16" i="2214"/>
  <c r="D16" i="2214"/>
  <c r="AE10" i="2214"/>
  <c r="AD10" i="2214"/>
  <c r="AC10" i="2214"/>
  <c r="AB10" i="2214"/>
  <c r="AA10" i="2214"/>
  <c r="Z10" i="2214"/>
  <c r="Y10" i="2214"/>
  <c r="X10" i="2214"/>
  <c r="W10" i="2214"/>
  <c r="V10" i="2214"/>
  <c r="U10" i="2214"/>
  <c r="T10" i="2214"/>
  <c r="S10" i="2214"/>
  <c r="R10" i="2214"/>
  <c r="Q10" i="2214"/>
  <c r="P10" i="2214"/>
  <c r="O10" i="2214"/>
  <c r="N10" i="2214"/>
  <c r="M10" i="2214"/>
  <c r="E33" i="2214" s="1"/>
  <c r="L10" i="2214"/>
  <c r="K10" i="2214"/>
  <c r="J10" i="2214"/>
  <c r="Q33" i="2214" s="1"/>
  <c r="I10" i="2214"/>
  <c r="H10" i="2214"/>
  <c r="G10" i="2214"/>
  <c r="F10" i="2214"/>
  <c r="E10" i="2214"/>
  <c r="D10" i="2214"/>
  <c r="AE7" i="2214"/>
  <c r="AD7" i="2214"/>
  <c r="AC7" i="2214"/>
  <c r="AB7" i="2214"/>
  <c r="AA7" i="2214"/>
  <c r="Z7" i="2214"/>
  <c r="Y7" i="2214"/>
  <c r="X7" i="2214"/>
  <c r="W7" i="2214"/>
  <c r="V7" i="2214"/>
  <c r="U7" i="2214"/>
  <c r="T7" i="2214"/>
  <c r="S7" i="2214"/>
  <c r="R7" i="2214"/>
  <c r="Q7" i="2214"/>
  <c r="P7" i="2214"/>
  <c r="O7" i="2214"/>
  <c r="N7" i="2214"/>
  <c r="M7" i="2214"/>
  <c r="L7" i="2214"/>
  <c r="K7" i="2214"/>
  <c r="J7" i="2214"/>
  <c r="I7" i="2214"/>
  <c r="H7" i="2214"/>
  <c r="G7" i="2214"/>
  <c r="F7" i="2214"/>
  <c r="E7" i="2214"/>
  <c r="D7" i="2214"/>
  <c r="J33" i="2214" l="1"/>
  <c r="W33" i="2214"/>
  <c r="N33" i="2214"/>
  <c r="AC33" i="2214"/>
  <c r="D33" i="2214"/>
  <c r="Z33" i="2214"/>
  <c r="Y33" i="2214"/>
  <c r="K33" i="2214"/>
  <c r="M33" i="2214"/>
  <c r="V33" i="2214"/>
  <c r="AA33" i="2213"/>
  <c r="X33" i="2213"/>
  <c r="U33" i="2213"/>
  <c r="R33" i="2213"/>
  <c r="F33" i="2213"/>
  <c r="E33" i="2213"/>
  <c r="Y28" i="2213"/>
  <c r="X28" i="2213"/>
  <c r="S33" i="2213" s="1"/>
  <c r="W28" i="2213"/>
  <c r="V28" i="2213"/>
  <c r="U28" i="2213"/>
  <c r="T28" i="2213"/>
  <c r="S28" i="2213"/>
  <c r="R28" i="2213"/>
  <c r="Q28" i="2213"/>
  <c r="P28" i="2213"/>
  <c r="O28" i="2213"/>
  <c r="N28" i="2213"/>
  <c r="M28" i="2213"/>
  <c r="L28" i="2213"/>
  <c r="K28" i="2213"/>
  <c r="J28" i="2213"/>
  <c r="I28" i="2213"/>
  <c r="H28" i="2213"/>
  <c r="G28" i="2213"/>
  <c r="F28" i="2213"/>
  <c r="E28" i="2213"/>
  <c r="D28" i="2213"/>
  <c r="Y25" i="2213"/>
  <c r="X25" i="2213"/>
  <c r="W25" i="2213"/>
  <c r="V25" i="2213"/>
  <c r="U25" i="2213"/>
  <c r="T25" i="2213"/>
  <c r="S25" i="2213"/>
  <c r="R25" i="2213"/>
  <c r="Q25" i="2213"/>
  <c r="P25" i="2213"/>
  <c r="O25" i="2213"/>
  <c r="N25" i="2213"/>
  <c r="M25" i="2213"/>
  <c r="L25" i="2213"/>
  <c r="K25" i="2213"/>
  <c r="J25" i="2213"/>
  <c r="I25" i="2213"/>
  <c r="H25" i="2213"/>
  <c r="G25" i="2213"/>
  <c r="F25" i="2213"/>
  <c r="E25" i="2213"/>
  <c r="D25" i="2213"/>
  <c r="AE19" i="2213"/>
  <c r="AD19" i="2213"/>
  <c r="AC19" i="2213"/>
  <c r="AB19" i="2213"/>
  <c r="AA19" i="2213"/>
  <c r="Z19" i="2213"/>
  <c r="Y19" i="2213"/>
  <c r="X19" i="2213"/>
  <c r="T33" i="2213" s="1"/>
  <c r="W19" i="2213"/>
  <c r="V19" i="2213"/>
  <c r="U19" i="2213"/>
  <c r="T19" i="2213"/>
  <c r="S19" i="2213"/>
  <c r="R19" i="2213"/>
  <c r="Q19" i="2213"/>
  <c r="P19" i="2213"/>
  <c r="O19" i="2213"/>
  <c r="N19" i="2213"/>
  <c r="G33" i="2213" s="1"/>
  <c r="M19" i="2213"/>
  <c r="H33" i="2213" s="1"/>
  <c r="L19" i="2213"/>
  <c r="P33" i="2213" s="1"/>
  <c r="K19" i="2213"/>
  <c r="L33" i="2213" s="1"/>
  <c r="J19" i="2213"/>
  <c r="I19" i="2213"/>
  <c r="AB33" i="2213" s="1"/>
  <c r="H19" i="2213"/>
  <c r="G19" i="2213"/>
  <c r="O33" i="2213" s="1"/>
  <c r="F19" i="2213"/>
  <c r="E19" i="2213"/>
  <c r="D19" i="2213"/>
  <c r="AE16" i="2213"/>
  <c r="AD16" i="2213"/>
  <c r="AC16" i="2213"/>
  <c r="AB16" i="2213"/>
  <c r="AA16" i="2213"/>
  <c r="Z16" i="2213"/>
  <c r="X16" i="2213"/>
  <c r="W16" i="2213"/>
  <c r="V16" i="2213"/>
  <c r="U16" i="2213"/>
  <c r="T16" i="2213"/>
  <c r="S16" i="2213"/>
  <c r="R16" i="2213"/>
  <c r="Q16" i="2213"/>
  <c r="P16" i="2213"/>
  <c r="O16" i="2213"/>
  <c r="N16" i="2213"/>
  <c r="M16" i="2213"/>
  <c r="L16" i="2213"/>
  <c r="K16" i="2213"/>
  <c r="J16" i="2213"/>
  <c r="I16" i="2213"/>
  <c r="H16" i="2213"/>
  <c r="G16" i="2213"/>
  <c r="F16" i="2213"/>
  <c r="E16" i="2213"/>
  <c r="D16" i="2213"/>
  <c r="AE10" i="2213"/>
  <c r="AD10" i="2213"/>
  <c r="AC10" i="2213"/>
  <c r="AB10" i="2213"/>
  <c r="AA10" i="2213"/>
  <c r="Z10" i="2213"/>
  <c r="Y10" i="2213"/>
  <c r="X10" i="2213"/>
  <c r="W10" i="2213"/>
  <c r="V10" i="2213"/>
  <c r="U10" i="2213"/>
  <c r="T10" i="2213"/>
  <c r="S10" i="2213"/>
  <c r="R10" i="2213"/>
  <c r="Q10" i="2213"/>
  <c r="P10" i="2213"/>
  <c r="O10" i="2213"/>
  <c r="N10" i="2213"/>
  <c r="M10" i="2213"/>
  <c r="L10" i="2213"/>
  <c r="K10" i="2213"/>
  <c r="J10" i="2213"/>
  <c r="I10" i="2213"/>
  <c r="H10" i="2213"/>
  <c r="G10" i="2213"/>
  <c r="F10" i="2213"/>
  <c r="J33" i="2213" s="1"/>
  <c r="E10" i="2213"/>
  <c r="D10" i="2213"/>
  <c r="AE7" i="2213"/>
  <c r="AD7" i="2213"/>
  <c r="AC7" i="2213"/>
  <c r="AB7" i="2213"/>
  <c r="AA7" i="2213"/>
  <c r="Z7" i="2213"/>
  <c r="Y7" i="2213"/>
  <c r="X7" i="2213"/>
  <c r="W7" i="2213"/>
  <c r="V7" i="2213"/>
  <c r="U7" i="2213"/>
  <c r="T7" i="2213"/>
  <c r="S7" i="2213"/>
  <c r="R7" i="2213"/>
  <c r="Q7" i="2213"/>
  <c r="P7" i="2213"/>
  <c r="O7" i="2213"/>
  <c r="N7" i="2213"/>
  <c r="M7" i="2213"/>
  <c r="L7" i="2213"/>
  <c r="K7" i="2213"/>
  <c r="J7" i="2213"/>
  <c r="I7" i="2213"/>
  <c r="H7" i="2213"/>
  <c r="G7" i="2213"/>
  <c r="F7" i="2213"/>
  <c r="E7" i="2213"/>
  <c r="D7" i="2213"/>
  <c r="AA33" i="2212"/>
  <c r="X33" i="2212"/>
  <c r="U33" i="2212"/>
  <c r="R33" i="2212"/>
  <c r="O33" i="2212"/>
  <c r="F33" i="2212"/>
  <c r="E33" i="2212"/>
  <c r="Y28" i="2212"/>
  <c r="X28" i="2212"/>
  <c r="S33" i="2212" s="1"/>
  <c r="W28" i="2212"/>
  <c r="V28" i="2212"/>
  <c r="U28" i="2212"/>
  <c r="T28" i="2212"/>
  <c r="S28" i="2212"/>
  <c r="R28" i="2212"/>
  <c r="Q28" i="2212"/>
  <c r="P28" i="2212"/>
  <c r="O28" i="2212"/>
  <c r="N28" i="2212"/>
  <c r="M28" i="2212"/>
  <c r="L28" i="2212"/>
  <c r="K28" i="2212"/>
  <c r="J28" i="2212"/>
  <c r="I28" i="2212"/>
  <c r="H28" i="2212"/>
  <c r="G28" i="2212"/>
  <c r="F28" i="2212"/>
  <c r="E28" i="2212"/>
  <c r="D28" i="2212"/>
  <c r="Y25" i="2212"/>
  <c r="X25" i="2212"/>
  <c r="W25" i="2212"/>
  <c r="V25" i="2212"/>
  <c r="U25" i="2212"/>
  <c r="T25" i="2212"/>
  <c r="S25" i="2212"/>
  <c r="R25" i="2212"/>
  <c r="Q25" i="2212"/>
  <c r="P25" i="2212"/>
  <c r="O25" i="2212"/>
  <c r="N25" i="2212"/>
  <c r="M25" i="2212"/>
  <c r="L25" i="2212"/>
  <c r="K25" i="2212"/>
  <c r="J25" i="2212"/>
  <c r="I25" i="2212"/>
  <c r="H25" i="2212"/>
  <c r="G25" i="2212"/>
  <c r="F25" i="2212"/>
  <c r="E25" i="2212"/>
  <c r="D25" i="2212"/>
  <c r="AE19" i="2212"/>
  <c r="AD19" i="2212"/>
  <c r="AC19" i="2212"/>
  <c r="AB19" i="2212"/>
  <c r="AA19" i="2212"/>
  <c r="Z19" i="2212"/>
  <c r="Y19" i="2212"/>
  <c r="X19" i="2212"/>
  <c r="T33" i="2212" s="1"/>
  <c r="W19" i="2212"/>
  <c r="V19" i="2212"/>
  <c r="U19" i="2212"/>
  <c r="T19" i="2212"/>
  <c r="S19" i="2212"/>
  <c r="R19" i="2212"/>
  <c r="Q19" i="2212"/>
  <c r="P19" i="2212"/>
  <c r="O19" i="2212"/>
  <c r="N19" i="2212"/>
  <c r="G33" i="2212" s="1"/>
  <c r="M19" i="2212"/>
  <c r="H33" i="2212" s="1"/>
  <c r="L19" i="2212"/>
  <c r="P33" i="2212" s="1"/>
  <c r="K19" i="2212"/>
  <c r="L33" i="2212" s="1"/>
  <c r="J19" i="2212"/>
  <c r="I19" i="2212"/>
  <c r="AB33" i="2212" s="1"/>
  <c r="H19" i="2212"/>
  <c r="G19" i="2212"/>
  <c r="F19" i="2212"/>
  <c r="E19" i="2212"/>
  <c r="D19" i="2212"/>
  <c r="AE16" i="2212"/>
  <c r="AD16" i="2212"/>
  <c r="AC16" i="2212"/>
  <c r="AB16" i="2212"/>
  <c r="AA16" i="2212"/>
  <c r="Z16" i="2212"/>
  <c r="X16" i="2212"/>
  <c r="W16" i="2212"/>
  <c r="V16" i="2212"/>
  <c r="U16" i="2212"/>
  <c r="T16" i="2212"/>
  <c r="S16" i="2212"/>
  <c r="R16" i="2212"/>
  <c r="Q16" i="2212"/>
  <c r="P16" i="2212"/>
  <c r="O16" i="2212"/>
  <c r="N16" i="2212"/>
  <c r="M16" i="2212"/>
  <c r="L16" i="2212"/>
  <c r="K16" i="2212"/>
  <c r="J16" i="2212"/>
  <c r="I16" i="2212"/>
  <c r="H16" i="2212"/>
  <c r="G16" i="2212"/>
  <c r="F16" i="2212"/>
  <c r="E16" i="2212"/>
  <c r="D16" i="2212"/>
  <c r="AE10" i="2212"/>
  <c r="AD10" i="2212"/>
  <c r="AC10" i="2212"/>
  <c r="AB10" i="2212"/>
  <c r="AA10" i="2212"/>
  <c r="D33" i="2212" s="1"/>
  <c r="Z10" i="2212"/>
  <c r="Y10" i="2212"/>
  <c r="X10" i="2212"/>
  <c r="W10" i="2212"/>
  <c r="V10" i="2212"/>
  <c r="U10" i="2212"/>
  <c r="T10" i="2212"/>
  <c r="S10" i="2212"/>
  <c r="R10" i="2212"/>
  <c r="Q10" i="2212"/>
  <c r="P10" i="2212"/>
  <c r="O10" i="2212"/>
  <c r="N10" i="2212"/>
  <c r="Q33" i="2212" s="1"/>
  <c r="M10" i="2212"/>
  <c r="L10" i="2212"/>
  <c r="K10" i="2212"/>
  <c r="J10" i="2212"/>
  <c r="I10" i="2212"/>
  <c r="H10" i="2212"/>
  <c r="G10" i="2212"/>
  <c r="F10" i="2212"/>
  <c r="J33" i="2212" s="1"/>
  <c r="E10" i="2212"/>
  <c r="D10" i="2212"/>
  <c r="AE7" i="2212"/>
  <c r="AD7" i="2212"/>
  <c r="AC7" i="2212"/>
  <c r="AB7" i="2212"/>
  <c r="AA7" i="2212"/>
  <c r="Z7" i="2212"/>
  <c r="Y7" i="2212"/>
  <c r="X7" i="2212"/>
  <c r="W7" i="2212"/>
  <c r="V7" i="2212"/>
  <c r="U7" i="2212"/>
  <c r="T7" i="2212"/>
  <c r="S7" i="2212"/>
  <c r="R7" i="2212"/>
  <c r="Q7" i="2212"/>
  <c r="P7" i="2212"/>
  <c r="O7" i="2212"/>
  <c r="N7" i="2212"/>
  <c r="M7" i="2212"/>
  <c r="L7" i="2212"/>
  <c r="K7" i="2212"/>
  <c r="J7" i="2212"/>
  <c r="I7" i="2212"/>
  <c r="H7" i="2212"/>
  <c r="G7" i="2212"/>
  <c r="F7" i="2212"/>
  <c r="E7" i="2212"/>
  <c r="D7" i="2212"/>
  <c r="AA33" i="2211"/>
  <c r="X33" i="2211"/>
  <c r="U33" i="2211"/>
  <c r="R33" i="2211"/>
  <c r="F33" i="2211"/>
  <c r="Y28" i="2211"/>
  <c r="X28" i="2211"/>
  <c r="S33" i="2211" s="1"/>
  <c r="W28" i="2211"/>
  <c r="V28" i="2211"/>
  <c r="U28" i="2211"/>
  <c r="T28" i="2211"/>
  <c r="S28" i="2211"/>
  <c r="R28" i="2211"/>
  <c r="Q28" i="2211"/>
  <c r="P28" i="2211"/>
  <c r="O28" i="2211"/>
  <c r="N28" i="2211"/>
  <c r="M28" i="2211"/>
  <c r="L28" i="2211"/>
  <c r="K28" i="2211"/>
  <c r="J28" i="2211"/>
  <c r="I28" i="2211"/>
  <c r="H28" i="2211"/>
  <c r="G28" i="2211"/>
  <c r="F28" i="2211"/>
  <c r="E28" i="2211"/>
  <c r="D28" i="2211"/>
  <c r="Y25" i="2211"/>
  <c r="X25" i="2211"/>
  <c r="W25" i="2211"/>
  <c r="V25" i="2211"/>
  <c r="U25" i="2211"/>
  <c r="T25" i="2211"/>
  <c r="S25" i="2211"/>
  <c r="R25" i="2211"/>
  <c r="Q25" i="2211"/>
  <c r="P25" i="2211"/>
  <c r="O25" i="2211"/>
  <c r="N25" i="2211"/>
  <c r="M25" i="2211"/>
  <c r="L25" i="2211"/>
  <c r="K25" i="2211"/>
  <c r="J25" i="2211"/>
  <c r="I25" i="2211"/>
  <c r="H25" i="2211"/>
  <c r="G25" i="2211"/>
  <c r="F25" i="2211"/>
  <c r="E25" i="2211"/>
  <c r="D25" i="2211"/>
  <c r="AE19" i="2211"/>
  <c r="AD19" i="2211"/>
  <c r="AC19" i="2211"/>
  <c r="AB19" i="2211"/>
  <c r="AA19" i="2211"/>
  <c r="Z19" i="2211"/>
  <c r="Y19" i="2211"/>
  <c r="X19" i="2211"/>
  <c r="T33" i="2211" s="1"/>
  <c r="W19" i="2211"/>
  <c r="V19" i="2211"/>
  <c r="U19" i="2211"/>
  <c r="T19" i="2211"/>
  <c r="S19" i="2211"/>
  <c r="R19" i="2211"/>
  <c r="Q19" i="2211"/>
  <c r="P19" i="2211"/>
  <c r="O19" i="2211"/>
  <c r="N19" i="2211"/>
  <c r="G33" i="2211" s="1"/>
  <c r="M19" i="2211"/>
  <c r="H33" i="2211" s="1"/>
  <c r="L19" i="2211"/>
  <c r="P33" i="2211" s="1"/>
  <c r="K19" i="2211"/>
  <c r="L33" i="2211" s="1"/>
  <c r="J19" i="2211"/>
  <c r="I19" i="2211"/>
  <c r="AB33" i="2211" s="1"/>
  <c r="H19" i="2211"/>
  <c r="G19" i="2211"/>
  <c r="O33" i="2211" s="1"/>
  <c r="F19" i="2211"/>
  <c r="E19" i="2211"/>
  <c r="D19" i="2211"/>
  <c r="AE16" i="2211"/>
  <c r="AD16" i="2211"/>
  <c r="AC16" i="2211"/>
  <c r="AB16" i="2211"/>
  <c r="AA16" i="2211"/>
  <c r="Z16" i="2211"/>
  <c r="X16" i="2211"/>
  <c r="W16" i="2211"/>
  <c r="V16" i="2211"/>
  <c r="U16" i="2211"/>
  <c r="T16" i="2211"/>
  <c r="S16" i="2211"/>
  <c r="R16" i="2211"/>
  <c r="Q16" i="2211"/>
  <c r="P16" i="2211"/>
  <c r="O16" i="2211"/>
  <c r="N16" i="2211"/>
  <c r="M16" i="2211"/>
  <c r="L16" i="2211"/>
  <c r="K16" i="2211"/>
  <c r="J16" i="2211"/>
  <c r="I16" i="2211"/>
  <c r="H16" i="2211"/>
  <c r="G16" i="2211"/>
  <c r="F16" i="2211"/>
  <c r="E16" i="2211"/>
  <c r="D16" i="2211"/>
  <c r="AE10" i="2211"/>
  <c r="AD10" i="2211"/>
  <c r="AC10" i="2211"/>
  <c r="AB10" i="2211"/>
  <c r="AA10" i="2211"/>
  <c r="Z10" i="2211"/>
  <c r="Y10" i="2211"/>
  <c r="X10" i="2211"/>
  <c r="W10" i="2211"/>
  <c r="V10" i="2211"/>
  <c r="U10" i="2211"/>
  <c r="T10" i="2211"/>
  <c r="S10" i="2211"/>
  <c r="R10" i="2211"/>
  <c r="Q10" i="2211"/>
  <c r="P10" i="2211"/>
  <c r="O10" i="2211"/>
  <c r="N10" i="2211"/>
  <c r="M10" i="2211"/>
  <c r="E33" i="2211" s="1"/>
  <c r="L10" i="2211"/>
  <c r="K10" i="2211"/>
  <c r="J10" i="2211"/>
  <c r="I10" i="2211"/>
  <c r="H10" i="2211"/>
  <c r="G10" i="2211"/>
  <c r="F10" i="2211"/>
  <c r="E10" i="2211"/>
  <c r="D10" i="2211"/>
  <c r="AE7" i="2211"/>
  <c r="AD7" i="2211"/>
  <c r="AC7" i="2211"/>
  <c r="AB7" i="2211"/>
  <c r="AA7" i="2211"/>
  <c r="Z7" i="2211"/>
  <c r="Y7" i="2211"/>
  <c r="X7" i="2211"/>
  <c r="W7" i="2211"/>
  <c r="V7" i="2211"/>
  <c r="U7" i="2211"/>
  <c r="T7" i="2211"/>
  <c r="S7" i="2211"/>
  <c r="R7" i="2211"/>
  <c r="Q7" i="2211"/>
  <c r="P7" i="2211"/>
  <c r="O7" i="2211"/>
  <c r="N7" i="2211"/>
  <c r="M7" i="2211"/>
  <c r="L7" i="2211"/>
  <c r="K7" i="2211"/>
  <c r="J7" i="2211"/>
  <c r="I7" i="2211"/>
  <c r="H7" i="2211"/>
  <c r="G7" i="2211"/>
  <c r="F7" i="2211"/>
  <c r="E7" i="2211"/>
  <c r="D7" i="2211"/>
  <c r="N33" i="2213" l="1"/>
  <c r="W33" i="2213"/>
  <c r="AC33" i="2213"/>
  <c r="D33" i="2213"/>
  <c r="Z33" i="2213"/>
  <c r="Y33" i="2213"/>
  <c r="Q33" i="2213"/>
  <c r="K33" i="2213"/>
  <c r="M33" i="2213"/>
  <c r="V33" i="2213"/>
  <c r="W33" i="2212"/>
  <c r="N33" i="2212"/>
  <c r="AC33" i="2212"/>
  <c r="Z33" i="2212"/>
  <c r="Y33" i="2212"/>
  <c r="K33" i="2212"/>
  <c r="M33" i="2212"/>
  <c r="V33" i="2212"/>
  <c r="Z33" i="2211"/>
  <c r="K33" i="2211"/>
  <c r="W33" i="2211"/>
  <c r="N33" i="2211"/>
  <c r="AC33" i="2211"/>
  <c r="D33" i="2211"/>
  <c r="Y33" i="2211"/>
  <c r="Q33" i="2211"/>
  <c r="J33" i="2211"/>
  <c r="M33" i="2211"/>
  <c r="V33" i="2211"/>
  <c r="AA33" i="2210"/>
  <c r="X33" i="2210"/>
  <c r="U33" i="2210"/>
  <c r="R33" i="2210"/>
  <c r="G33" i="2210"/>
  <c r="F33" i="2210"/>
  <c r="Y28" i="2210"/>
  <c r="X28" i="2210"/>
  <c r="S33" i="2210" s="1"/>
  <c r="W28" i="2210"/>
  <c r="V28" i="2210"/>
  <c r="U28" i="2210"/>
  <c r="T28" i="2210"/>
  <c r="S28" i="2210"/>
  <c r="R28" i="2210"/>
  <c r="Q28" i="2210"/>
  <c r="P28" i="2210"/>
  <c r="O28" i="2210"/>
  <c r="N28" i="2210"/>
  <c r="M28" i="2210"/>
  <c r="L28" i="2210"/>
  <c r="K28" i="2210"/>
  <c r="J28" i="2210"/>
  <c r="I28" i="2210"/>
  <c r="H28" i="2210"/>
  <c r="G28" i="2210"/>
  <c r="F28" i="2210"/>
  <c r="E28" i="2210"/>
  <c r="D28" i="2210"/>
  <c r="Y25" i="2210"/>
  <c r="X25" i="2210"/>
  <c r="W25" i="2210"/>
  <c r="V25" i="2210"/>
  <c r="U25" i="2210"/>
  <c r="T25" i="2210"/>
  <c r="S25" i="2210"/>
  <c r="R25" i="2210"/>
  <c r="Q25" i="2210"/>
  <c r="P25" i="2210"/>
  <c r="O25" i="2210"/>
  <c r="N25" i="2210"/>
  <c r="M25" i="2210"/>
  <c r="L25" i="2210"/>
  <c r="K25" i="2210"/>
  <c r="J25" i="2210"/>
  <c r="I25" i="2210"/>
  <c r="H25" i="2210"/>
  <c r="G25" i="2210"/>
  <c r="F25" i="2210"/>
  <c r="E25" i="2210"/>
  <c r="D25" i="2210"/>
  <c r="AE19" i="2210"/>
  <c r="AD19" i="2210"/>
  <c r="AC19" i="2210"/>
  <c r="AB19" i="2210"/>
  <c r="AA19" i="2210"/>
  <c r="Z19" i="2210"/>
  <c r="Y19" i="2210"/>
  <c r="X19" i="2210"/>
  <c r="T33" i="2210" s="1"/>
  <c r="W19" i="2210"/>
  <c r="V19" i="2210"/>
  <c r="U19" i="2210"/>
  <c r="T19" i="2210"/>
  <c r="S19" i="2210"/>
  <c r="R19" i="2210"/>
  <c r="Q19" i="2210"/>
  <c r="P19" i="2210"/>
  <c r="O19" i="2210"/>
  <c r="N19" i="2210"/>
  <c r="M19" i="2210"/>
  <c r="H33" i="2210" s="1"/>
  <c r="L19" i="2210"/>
  <c r="P33" i="2210" s="1"/>
  <c r="K19" i="2210"/>
  <c r="L33" i="2210" s="1"/>
  <c r="J19" i="2210"/>
  <c r="I19" i="2210"/>
  <c r="AB33" i="2210" s="1"/>
  <c r="H19" i="2210"/>
  <c r="G19" i="2210"/>
  <c r="O33" i="2210" s="1"/>
  <c r="F19" i="2210"/>
  <c r="E19" i="2210"/>
  <c r="D19" i="2210"/>
  <c r="AE16" i="2210"/>
  <c r="AD16" i="2210"/>
  <c r="AC16" i="2210"/>
  <c r="AB16" i="2210"/>
  <c r="AA16" i="2210"/>
  <c r="Z16" i="2210"/>
  <c r="X16" i="2210"/>
  <c r="W16" i="2210"/>
  <c r="V16" i="2210"/>
  <c r="U16" i="2210"/>
  <c r="T16" i="2210"/>
  <c r="S16" i="2210"/>
  <c r="R16" i="2210"/>
  <c r="Q16" i="2210"/>
  <c r="P16" i="2210"/>
  <c r="O16" i="2210"/>
  <c r="N16" i="2210"/>
  <c r="M16" i="2210"/>
  <c r="L16" i="2210"/>
  <c r="K16" i="2210"/>
  <c r="J16" i="2210"/>
  <c r="I16" i="2210"/>
  <c r="H16" i="2210"/>
  <c r="G16" i="2210"/>
  <c r="F16" i="2210"/>
  <c r="E16" i="2210"/>
  <c r="D16" i="2210"/>
  <c r="AE10" i="2210"/>
  <c r="AD10" i="2210"/>
  <c r="AC10" i="2210"/>
  <c r="AB10" i="2210"/>
  <c r="AA10" i="2210"/>
  <c r="Z10" i="2210"/>
  <c r="Y10" i="2210"/>
  <c r="X10" i="2210"/>
  <c r="W10" i="2210"/>
  <c r="V10" i="2210"/>
  <c r="U10" i="2210"/>
  <c r="T10" i="2210"/>
  <c r="S10" i="2210"/>
  <c r="Y33" i="2210" s="1"/>
  <c r="R10" i="2210"/>
  <c r="Q10" i="2210"/>
  <c r="P10" i="2210"/>
  <c r="O10" i="2210"/>
  <c r="N10" i="2210"/>
  <c r="Q33" i="2210" s="1"/>
  <c r="M10" i="2210"/>
  <c r="L10" i="2210"/>
  <c r="K10" i="2210"/>
  <c r="J10" i="2210"/>
  <c r="I10" i="2210"/>
  <c r="H10" i="2210"/>
  <c r="G10" i="2210"/>
  <c r="F10" i="2210"/>
  <c r="J33" i="2210" s="1"/>
  <c r="E10" i="2210"/>
  <c r="D10" i="2210"/>
  <c r="AE7" i="2210"/>
  <c r="AD7" i="2210"/>
  <c r="AC7" i="2210"/>
  <c r="AB7" i="2210"/>
  <c r="AA7" i="2210"/>
  <c r="Z7" i="2210"/>
  <c r="Y7" i="2210"/>
  <c r="X7" i="2210"/>
  <c r="W7" i="2210"/>
  <c r="V7" i="2210"/>
  <c r="U7" i="2210"/>
  <c r="T7" i="2210"/>
  <c r="S7" i="2210"/>
  <c r="R7" i="2210"/>
  <c r="Q7" i="2210"/>
  <c r="P7" i="2210"/>
  <c r="O7" i="2210"/>
  <c r="N7" i="2210"/>
  <c r="M7" i="2210"/>
  <c r="L7" i="2210"/>
  <c r="K7" i="2210"/>
  <c r="J7" i="2210"/>
  <c r="I7" i="2210"/>
  <c r="H7" i="2210"/>
  <c r="G7" i="2210"/>
  <c r="F7" i="2210"/>
  <c r="E7" i="2210"/>
  <c r="D7" i="2210"/>
  <c r="W33" i="2210" l="1"/>
  <c r="N33" i="2210"/>
  <c r="AC33" i="2210"/>
  <c r="Z33" i="2210"/>
  <c r="D33" i="2210"/>
  <c r="E33" i="2210"/>
  <c r="K33" i="2210"/>
  <c r="M33" i="2210"/>
  <c r="V33" i="2210"/>
  <c r="AA33" i="2209"/>
  <c r="X33" i="2209"/>
  <c r="U33" i="2209"/>
  <c r="R33" i="2209"/>
  <c r="F33" i="2209"/>
  <c r="Y28" i="2209"/>
  <c r="X28" i="2209"/>
  <c r="S33" i="2209" s="1"/>
  <c r="W28" i="2209"/>
  <c r="V28" i="2209"/>
  <c r="U28" i="2209"/>
  <c r="T28" i="2209"/>
  <c r="S28" i="2209"/>
  <c r="R28" i="2209"/>
  <c r="Q28" i="2209"/>
  <c r="P28" i="2209"/>
  <c r="O28" i="2209"/>
  <c r="N28" i="2209"/>
  <c r="M28" i="2209"/>
  <c r="L28" i="2209"/>
  <c r="K28" i="2209"/>
  <c r="J28" i="2209"/>
  <c r="I28" i="2209"/>
  <c r="H28" i="2209"/>
  <c r="G28" i="2209"/>
  <c r="F28" i="2209"/>
  <c r="E28" i="2209"/>
  <c r="D28" i="2209"/>
  <c r="Y25" i="2209"/>
  <c r="X25" i="2209"/>
  <c r="W25" i="2209"/>
  <c r="V25" i="2209"/>
  <c r="U25" i="2209"/>
  <c r="T25" i="2209"/>
  <c r="S25" i="2209"/>
  <c r="R25" i="2209"/>
  <c r="Q25" i="2209"/>
  <c r="P25" i="2209"/>
  <c r="O25" i="2209"/>
  <c r="N25" i="2209"/>
  <c r="M25" i="2209"/>
  <c r="L25" i="2209"/>
  <c r="K25" i="2209"/>
  <c r="J25" i="2209"/>
  <c r="I25" i="2209"/>
  <c r="H25" i="2209"/>
  <c r="G25" i="2209"/>
  <c r="F25" i="2209"/>
  <c r="E25" i="2209"/>
  <c r="D25" i="2209"/>
  <c r="AE19" i="2209"/>
  <c r="AD19" i="2209"/>
  <c r="AC19" i="2209"/>
  <c r="AB19" i="2209"/>
  <c r="AA19" i="2209"/>
  <c r="Z19" i="2209"/>
  <c r="Y19" i="2209"/>
  <c r="X19" i="2209"/>
  <c r="T33" i="2209" s="1"/>
  <c r="W19" i="2209"/>
  <c r="V19" i="2209"/>
  <c r="U19" i="2209"/>
  <c r="T19" i="2209"/>
  <c r="S19" i="2209"/>
  <c r="R19" i="2209"/>
  <c r="Q19" i="2209"/>
  <c r="P19" i="2209"/>
  <c r="O19" i="2209"/>
  <c r="N19" i="2209"/>
  <c r="G33" i="2209" s="1"/>
  <c r="M19" i="2209"/>
  <c r="H33" i="2209" s="1"/>
  <c r="L19" i="2209"/>
  <c r="P33" i="2209" s="1"/>
  <c r="K19" i="2209"/>
  <c r="L33" i="2209" s="1"/>
  <c r="J19" i="2209"/>
  <c r="I19" i="2209"/>
  <c r="AB33" i="2209" s="1"/>
  <c r="H19" i="2209"/>
  <c r="G19" i="2209"/>
  <c r="O33" i="2209" s="1"/>
  <c r="F19" i="2209"/>
  <c r="E19" i="2209"/>
  <c r="D19" i="2209"/>
  <c r="AE16" i="2209"/>
  <c r="AD16" i="2209"/>
  <c r="AC16" i="2209"/>
  <c r="AB16" i="2209"/>
  <c r="AA16" i="2209"/>
  <c r="Z16" i="2209"/>
  <c r="X16" i="2209"/>
  <c r="W16" i="2209"/>
  <c r="V16" i="2209"/>
  <c r="U16" i="2209"/>
  <c r="T16" i="2209"/>
  <c r="S16" i="2209"/>
  <c r="R16" i="2209"/>
  <c r="Q16" i="2209"/>
  <c r="P16" i="2209"/>
  <c r="O16" i="2209"/>
  <c r="N16" i="2209"/>
  <c r="M16" i="2209"/>
  <c r="L16" i="2209"/>
  <c r="K16" i="2209"/>
  <c r="J16" i="2209"/>
  <c r="I16" i="2209"/>
  <c r="H16" i="2209"/>
  <c r="G16" i="2209"/>
  <c r="F16" i="2209"/>
  <c r="E16" i="2209"/>
  <c r="D16" i="2209"/>
  <c r="AE10" i="2209"/>
  <c r="AD10" i="2209"/>
  <c r="AC10" i="2209"/>
  <c r="AB10" i="2209"/>
  <c r="AA10" i="2209"/>
  <c r="Z10" i="2209"/>
  <c r="Y10" i="2209"/>
  <c r="X10" i="2209"/>
  <c r="W10" i="2209"/>
  <c r="V10" i="2209"/>
  <c r="U10" i="2209"/>
  <c r="T10" i="2209"/>
  <c r="S10" i="2209"/>
  <c r="R10" i="2209"/>
  <c r="Q10" i="2209"/>
  <c r="P10" i="2209"/>
  <c r="O10" i="2209"/>
  <c r="N10" i="2209"/>
  <c r="M10" i="2209"/>
  <c r="L10" i="2209"/>
  <c r="K10" i="2209"/>
  <c r="J10" i="2209"/>
  <c r="Q33" i="2209" s="1"/>
  <c r="I10" i="2209"/>
  <c r="E33" i="2209" s="1"/>
  <c r="H10" i="2209"/>
  <c r="G10" i="2209"/>
  <c r="F10" i="2209"/>
  <c r="E10" i="2209"/>
  <c r="D10" i="2209"/>
  <c r="AE7" i="2209"/>
  <c r="AD7" i="2209"/>
  <c r="AC7" i="2209"/>
  <c r="AB7" i="2209"/>
  <c r="AA7" i="2209"/>
  <c r="Z7" i="2209"/>
  <c r="Y7" i="2209"/>
  <c r="X7" i="2209"/>
  <c r="W7" i="2209"/>
  <c r="V7" i="2209"/>
  <c r="U7" i="2209"/>
  <c r="T7" i="2209"/>
  <c r="S7" i="2209"/>
  <c r="R7" i="2209"/>
  <c r="Q7" i="2209"/>
  <c r="P7" i="2209"/>
  <c r="O7" i="2209"/>
  <c r="N7" i="2209"/>
  <c r="M7" i="2209"/>
  <c r="L7" i="2209"/>
  <c r="K7" i="2209"/>
  <c r="J7" i="2209"/>
  <c r="I7" i="2209"/>
  <c r="H7" i="2209"/>
  <c r="G7" i="2209"/>
  <c r="F7" i="2209"/>
  <c r="E7" i="2209"/>
  <c r="D7" i="2209"/>
  <c r="J33" i="2209" l="1"/>
  <c r="W33" i="2209"/>
  <c r="N33" i="2209"/>
  <c r="AC33" i="2209"/>
  <c r="D33" i="2209"/>
  <c r="Z33" i="2209"/>
  <c r="Y33" i="2209"/>
  <c r="K33" i="2209"/>
  <c r="M33" i="2209"/>
  <c r="V33" i="2209"/>
  <c r="AA33" i="2208"/>
  <c r="X33" i="2208"/>
  <c r="U33" i="2208"/>
  <c r="R33" i="2208"/>
  <c r="F33" i="2208"/>
  <c r="Y28" i="2208"/>
  <c r="X28" i="2208"/>
  <c r="S33" i="2208" s="1"/>
  <c r="W28" i="2208"/>
  <c r="V28" i="2208"/>
  <c r="U28" i="2208"/>
  <c r="T28" i="2208"/>
  <c r="S28" i="2208"/>
  <c r="R28" i="2208"/>
  <c r="Q28" i="2208"/>
  <c r="P28" i="2208"/>
  <c r="O28" i="2208"/>
  <c r="N28" i="2208"/>
  <c r="M28" i="2208"/>
  <c r="L28" i="2208"/>
  <c r="K28" i="2208"/>
  <c r="J28" i="2208"/>
  <c r="I28" i="2208"/>
  <c r="H28" i="2208"/>
  <c r="G28" i="2208"/>
  <c r="F28" i="2208"/>
  <c r="E28" i="2208"/>
  <c r="D28" i="2208"/>
  <c r="Y25" i="2208"/>
  <c r="X25" i="2208"/>
  <c r="W25" i="2208"/>
  <c r="V25" i="2208"/>
  <c r="U25" i="2208"/>
  <c r="T25" i="2208"/>
  <c r="S25" i="2208"/>
  <c r="R25" i="2208"/>
  <c r="Q25" i="2208"/>
  <c r="P25" i="2208"/>
  <c r="O25" i="2208"/>
  <c r="N25" i="2208"/>
  <c r="M25" i="2208"/>
  <c r="L25" i="2208"/>
  <c r="K25" i="2208"/>
  <c r="J25" i="2208"/>
  <c r="I25" i="2208"/>
  <c r="H25" i="2208"/>
  <c r="G25" i="2208"/>
  <c r="F25" i="2208"/>
  <c r="E25" i="2208"/>
  <c r="D25" i="2208"/>
  <c r="AE19" i="2208"/>
  <c r="AD19" i="2208"/>
  <c r="AC19" i="2208"/>
  <c r="AB19" i="2208"/>
  <c r="AA19" i="2208"/>
  <c r="Z19" i="2208"/>
  <c r="Y19" i="2208"/>
  <c r="X19" i="2208"/>
  <c r="T33" i="2208" s="1"/>
  <c r="W19" i="2208"/>
  <c r="V19" i="2208"/>
  <c r="U19" i="2208"/>
  <c r="T19" i="2208"/>
  <c r="S19" i="2208"/>
  <c r="R19" i="2208"/>
  <c r="Q19" i="2208"/>
  <c r="P19" i="2208"/>
  <c r="O19" i="2208"/>
  <c r="N19" i="2208"/>
  <c r="G33" i="2208" s="1"/>
  <c r="M19" i="2208"/>
  <c r="H33" i="2208" s="1"/>
  <c r="L19" i="2208"/>
  <c r="P33" i="2208" s="1"/>
  <c r="K19" i="2208"/>
  <c r="L33" i="2208" s="1"/>
  <c r="J19" i="2208"/>
  <c r="I19" i="2208"/>
  <c r="AB33" i="2208" s="1"/>
  <c r="H19" i="2208"/>
  <c r="G19" i="2208"/>
  <c r="O33" i="2208" s="1"/>
  <c r="F19" i="2208"/>
  <c r="E19" i="2208"/>
  <c r="D19" i="2208"/>
  <c r="AE16" i="2208"/>
  <c r="AD16" i="2208"/>
  <c r="AC16" i="2208"/>
  <c r="AB16" i="2208"/>
  <c r="AA16" i="2208"/>
  <c r="Z16" i="2208"/>
  <c r="X16" i="2208"/>
  <c r="W16" i="2208"/>
  <c r="V16" i="2208"/>
  <c r="U16" i="2208"/>
  <c r="T16" i="2208"/>
  <c r="S16" i="2208"/>
  <c r="R16" i="2208"/>
  <c r="Q16" i="2208"/>
  <c r="P16" i="2208"/>
  <c r="O16" i="2208"/>
  <c r="N16" i="2208"/>
  <c r="M16" i="2208"/>
  <c r="L16" i="2208"/>
  <c r="K16" i="2208"/>
  <c r="J16" i="2208"/>
  <c r="I16" i="2208"/>
  <c r="H16" i="2208"/>
  <c r="G16" i="2208"/>
  <c r="F16" i="2208"/>
  <c r="E16" i="2208"/>
  <c r="D16" i="2208"/>
  <c r="AE10" i="2208"/>
  <c r="AD10" i="2208"/>
  <c r="AC10" i="2208"/>
  <c r="AB10" i="2208"/>
  <c r="AA10" i="2208"/>
  <c r="Z10" i="2208"/>
  <c r="Y10" i="2208"/>
  <c r="X10" i="2208"/>
  <c r="W10" i="2208"/>
  <c r="V10" i="2208"/>
  <c r="U10" i="2208"/>
  <c r="T10" i="2208"/>
  <c r="S10" i="2208"/>
  <c r="R10" i="2208"/>
  <c r="Q10" i="2208"/>
  <c r="P10" i="2208"/>
  <c r="O10" i="2208"/>
  <c r="N10" i="2208"/>
  <c r="M10" i="2208"/>
  <c r="L10" i="2208"/>
  <c r="K10" i="2208"/>
  <c r="J10" i="2208"/>
  <c r="Q33" i="2208" s="1"/>
  <c r="I10" i="2208"/>
  <c r="E33" i="2208" s="1"/>
  <c r="H10" i="2208"/>
  <c r="G10" i="2208"/>
  <c r="F10" i="2208"/>
  <c r="E10" i="2208"/>
  <c r="D10" i="2208"/>
  <c r="AE7" i="2208"/>
  <c r="AD7" i="2208"/>
  <c r="AC7" i="2208"/>
  <c r="AB7" i="2208"/>
  <c r="AA7" i="2208"/>
  <c r="Z7" i="2208"/>
  <c r="Y7" i="2208"/>
  <c r="X7" i="2208"/>
  <c r="W7" i="2208"/>
  <c r="V7" i="2208"/>
  <c r="U7" i="2208"/>
  <c r="T7" i="2208"/>
  <c r="S7" i="2208"/>
  <c r="R7" i="2208"/>
  <c r="Q7" i="2208"/>
  <c r="P7" i="2208"/>
  <c r="O7" i="2208"/>
  <c r="N7" i="2208"/>
  <c r="M7" i="2208"/>
  <c r="L7" i="2208"/>
  <c r="K7" i="2208"/>
  <c r="J7" i="2208"/>
  <c r="I7" i="2208"/>
  <c r="H7" i="2208"/>
  <c r="G7" i="2208"/>
  <c r="F7" i="2208"/>
  <c r="E7" i="2208"/>
  <c r="D7" i="2208"/>
  <c r="W33" i="2208" l="1"/>
  <c r="AC33" i="2208"/>
  <c r="D33" i="2208"/>
  <c r="Z33" i="2208"/>
  <c r="Y33" i="2208"/>
  <c r="N33" i="2208"/>
  <c r="K33" i="2208"/>
  <c r="J33" i="2208"/>
  <c r="M33" i="2208"/>
  <c r="V33" i="2208"/>
  <c r="AB33" i="2207"/>
  <c r="AA33" i="2207"/>
  <c r="X33" i="2207"/>
  <c r="U33" i="2207"/>
  <c r="R33" i="2207"/>
  <c r="O33" i="2207"/>
  <c r="F33" i="2207"/>
  <c r="Y28" i="2207"/>
  <c r="X28" i="2207"/>
  <c r="S33" i="2207" s="1"/>
  <c r="W28" i="2207"/>
  <c r="V28" i="2207"/>
  <c r="U28" i="2207"/>
  <c r="T28" i="2207"/>
  <c r="S28" i="2207"/>
  <c r="R28" i="2207"/>
  <c r="Q28" i="2207"/>
  <c r="P28" i="2207"/>
  <c r="O28" i="2207"/>
  <c r="N28" i="2207"/>
  <c r="M28" i="2207"/>
  <c r="L28" i="2207"/>
  <c r="K28" i="2207"/>
  <c r="J28" i="2207"/>
  <c r="I28" i="2207"/>
  <c r="H28" i="2207"/>
  <c r="G28" i="2207"/>
  <c r="F28" i="2207"/>
  <c r="E28" i="2207"/>
  <c r="D28" i="2207"/>
  <c r="Y25" i="2207"/>
  <c r="X25" i="2207"/>
  <c r="W25" i="2207"/>
  <c r="V25" i="2207"/>
  <c r="U25" i="2207"/>
  <c r="T25" i="2207"/>
  <c r="S25" i="2207"/>
  <c r="R25" i="2207"/>
  <c r="Q25" i="2207"/>
  <c r="P25" i="2207"/>
  <c r="O25" i="2207"/>
  <c r="N25" i="2207"/>
  <c r="M25" i="2207"/>
  <c r="L25" i="2207"/>
  <c r="K25" i="2207"/>
  <c r="J25" i="2207"/>
  <c r="I25" i="2207"/>
  <c r="H25" i="2207"/>
  <c r="G25" i="2207"/>
  <c r="F25" i="2207"/>
  <c r="E25" i="2207"/>
  <c r="D25" i="2207"/>
  <c r="AE19" i="2207"/>
  <c r="AD19" i="2207"/>
  <c r="AC19" i="2207"/>
  <c r="AB19" i="2207"/>
  <c r="AA19" i="2207"/>
  <c r="Z19" i="2207"/>
  <c r="Y19" i="2207"/>
  <c r="X19" i="2207"/>
  <c r="T33" i="2207" s="1"/>
  <c r="W19" i="2207"/>
  <c r="V19" i="2207"/>
  <c r="U19" i="2207"/>
  <c r="T19" i="2207"/>
  <c r="S19" i="2207"/>
  <c r="R19" i="2207"/>
  <c r="Q19" i="2207"/>
  <c r="P19" i="2207"/>
  <c r="O19" i="2207"/>
  <c r="N19" i="2207"/>
  <c r="G33" i="2207" s="1"/>
  <c r="M19" i="2207"/>
  <c r="H33" i="2207" s="1"/>
  <c r="L19" i="2207"/>
  <c r="P33" i="2207" s="1"/>
  <c r="K19" i="2207"/>
  <c r="L33" i="2207" s="1"/>
  <c r="J19" i="2207"/>
  <c r="I19" i="2207"/>
  <c r="H19" i="2207"/>
  <c r="G19" i="2207"/>
  <c r="F19" i="2207"/>
  <c r="E19" i="2207"/>
  <c r="D19" i="2207"/>
  <c r="AE16" i="2207"/>
  <c r="AD16" i="2207"/>
  <c r="AC16" i="2207"/>
  <c r="AB16" i="2207"/>
  <c r="AA16" i="2207"/>
  <c r="Z16" i="2207"/>
  <c r="X16" i="2207"/>
  <c r="W16" i="2207"/>
  <c r="V16" i="2207"/>
  <c r="U16" i="2207"/>
  <c r="T16" i="2207"/>
  <c r="S16" i="2207"/>
  <c r="R16" i="2207"/>
  <c r="Q16" i="2207"/>
  <c r="P16" i="2207"/>
  <c r="O16" i="2207"/>
  <c r="N16" i="2207"/>
  <c r="M16" i="2207"/>
  <c r="L16" i="2207"/>
  <c r="K16" i="2207"/>
  <c r="J16" i="2207"/>
  <c r="I16" i="2207"/>
  <c r="H16" i="2207"/>
  <c r="G16" i="2207"/>
  <c r="F16" i="2207"/>
  <c r="E16" i="2207"/>
  <c r="D16" i="2207"/>
  <c r="AE10" i="2207"/>
  <c r="AD10" i="2207"/>
  <c r="AC10" i="2207"/>
  <c r="AB10" i="2207"/>
  <c r="AA10" i="2207"/>
  <c r="Z10" i="2207"/>
  <c r="Y10" i="2207"/>
  <c r="X10" i="2207"/>
  <c r="W10" i="2207"/>
  <c r="V10" i="2207"/>
  <c r="U10" i="2207"/>
  <c r="T10" i="2207"/>
  <c r="S10" i="2207"/>
  <c r="R10" i="2207"/>
  <c r="Q10" i="2207"/>
  <c r="P10" i="2207"/>
  <c r="O10" i="2207"/>
  <c r="N10" i="2207"/>
  <c r="M10" i="2207"/>
  <c r="E33" i="2207" s="1"/>
  <c r="L10" i="2207"/>
  <c r="K10" i="2207"/>
  <c r="J10" i="2207"/>
  <c r="Q33" i="2207" s="1"/>
  <c r="I10" i="2207"/>
  <c r="H10" i="2207"/>
  <c r="G10" i="2207"/>
  <c r="F10" i="2207"/>
  <c r="E10" i="2207"/>
  <c r="D10" i="2207"/>
  <c r="AE7" i="2207"/>
  <c r="AD7" i="2207"/>
  <c r="AC7" i="2207"/>
  <c r="AB7" i="2207"/>
  <c r="AA7" i="2207"/>
  <c r="Z7" i="2207"/>
  <c r="Y7" i="2207"/>
  <c r="X7" i="2207"/>
  <c r="W7" i="2207"/>
  <c r="V7" i="2207"/>
  <c r="U7" i="2207"/>
  <c r="T7" i="2207"/>
  <c r="S7" i="2207"/>
  <c r="R7" i="2207"/>
  <c r="Q7" i="2207"/>
  <c r="P7" i="2207"/>
  <c r="O7" i="2207"/>
  <c r="N7" i="2207"/>
  <c r="M7" i="2207"/>
  <c r="L7" i="2207"/>
  <c r="K7" i="2207"/>
  <c r="J7" i="2207"/>
  <c r="I7" i="2207"/>
  <c r="H7" i="2207"/>
  <c r="G7" i="2207"/>
  <c r="F7" i="2207"/>
  <c r="E7" i="2207"/>
  <c r="D7" i="2207"/>
  <c r="AA33" i="2206"/>
  <c r="X33" i="2206"/>
  <c r="U33" i="2206"/>
  <c r="R33" i="2206"/>
  <c r="F33" i="2206"/>
  <c r="Y28" i="2206"/>
  <c r="X28" i="2206"/>
  <c r="S33" i="2206" s="1"/>
  <c r="W28" i="2206"/>
  <c r="V28" i="2206"/>
  <c r="U28" i="2206"/>
  <c r="T28" i="2206"/>
  <c r="S28" i="2206"/>
  <c r="R28" i="2206"/>
  <c r="Q28" i="2206"/>
  <c r="P28" i="2206"/>
  <c r="O28" i="2206"/>
  <c r="N28" i="2206"/>
  <c r="M28" i="2206"/>
  <c r="L28" i="2206"/>
  <c r="K28" i="2206"/>
  <c r="J28" i="2206"/>
  <c r="I28" i="2206"/>
  <c r="H28" i="2206"/>
  <c r="G28" i="2206"/>
  <c r="F28" i="2206"/>
  <c r="E28" i="2206"/>
  <c r="D28" i="2206"/>
  <c r="Y25" i="2206"/>
  <c r="X25" i="2206"/>
  <c r="W25" i="2206"/>
  <c r="V25" i="2206"/>
  <c r="U25" i="2206"/>
  <c r="T25" i="2206"/>
  <c r="S25" i="2206"/>
  <c r="R25" i="2206"/>
  <c r="Q25" i="2206"/>
  <c r="P25" i="2206"/>
  <c r="O25" i="2206"/>
  <c r="N25" i="2206"/>
  <c r="M25" i="2206"/>
  <c r="L25" i="2206"/>
  <c r="K25" i="2206"/>
  <c r="J25" i="2206"/>
  <c r="I25" i="2206"/>
  <c r="H25" i="2206"/>
  <c r="G25" i="2206"/>
  <c r="F25" i="2206"/>
  <c r="E25" i="2206"/>
  <c r="D25" i="2206"/>
  <c r="AE19" i="2206"/>
  <c r="AD19" i="2206"/>
  <c r="AC19" i="2206"/>
  <c r="AB19" i="2206"/>
  <c r="AA19" i="2206"/>
  <c r="Z19" i="2206"/>
  <c r="Y19" i="2206"/>
  <c r="X19" i="2206"/>
  <c r="T33" i="2206" s="1"/>
  <c r="W19" i="2206"/>
  <c r="V19" i="2206"/>
  <c r="U19" i="2206"/>
  <c r="T19" i="2206"/>
  <c r="S19" i="2206"/>
  <c r="R19" i="2206"/>
  <c r="Q19" i="2206"/>
  <c r="P19" i="2206"/>
  <c r="O19" i="2206"/>
  <c r="N19" i="2206"/>
  <c r="G33" i="2206" s="1"/>
  <c r="M19" i="2206"/>
  <c r="H33" i="2206" s="1"/>
  <c r="L19" i="2206"/>
  <c r="P33" i="2206" s="1"/>
  <c r="K19" i="2206"/>
  <c r="L33" i="2206" s="1"/>
  <c r="J19" i="2206"/>
  <c r="I19" i="2206"/>
  <c r="AB33" i="2206" s="1"/>
  <c r="H19" i="2206"/>
  <c r="G19" i="2206"/>
  <c r="O33" i="2206" s="1"/>
  <c r="F19" i="2206"/>
  <c r="E19" i="2206"/>
  <c r="D19" i="2206"/>
  <c r="AE16" i="2206"/>
  <c r="AD16" i="2206"/>
  <c r="AC16" i="2206"/>
  <c r="AB16" i="2206"/>
  <c r="AA16" i="2206"/>
  <c r="Z16" i="2206"/>
  <c r="X16" i="2206"/>
  <c r="W16" i="2206"/>
  <c r="V16" i="2206"/>
  <c r="U16" i="2206"/>
  <c r="T16" i="2206"/>
  <c r="S16" i="2206"/>
  <c r="R16" i="2206"/>
  <c r="Q16" i="2206"/>
  <c r="P16" i="2206"/>
  <c r="O16" i="2206"/>
  <c r="N16" i="2206"/>
  <c r="M16" i="2206"/>
  <c r="L16" i="2206"/>
  <c r="K16" i="2206"/>
  <c r="J16" i="2206"/>
  <c r="I16" i="2206"/>
  <c r="H16" i="2206"/>
  <c r="G16" i="2206"/>
  <c r="F16" i="2206"/>
  <c r="E16" i="2206"/>
  <c r="D16" i="2206"/>
  <c r="AE10" i="2206"/>
  <c r="AD10" i="2206"/>
  <c r="AC10" i="2206"/>
  <c r="AB10" i="2206"/>
  <c r="AA10" i="2206"/>
  <c r="Z10" i="2206"/>
  <c r="Y10" i="2206"/>
  <c r="X10" i="2206"/>
  <c r="W10" i="2206"/>
  <c r="V10" i="2206"/>
  <c r="U10" i="2206"/>
  <c r="T10" i="2206"/>
  <c r="S10" i="2206"/>
  <c r="R10" i="2206"/>
  <c r="Q10" i="2206"/>
  <c r="P10" i="2206"/>
  <c r="O10" i="2206"/>
  <c r="N10" i="2206"/>
  <c r="M10" i="2206"/>
  <c r="L10" i="2206"/>
  <c r="K10" i="2206"/>
  <c r="J10" i="2206"/>
  <c r="Q33" i="2206" s="1"/>
  <c r="I10" i="2206"/>
  <c r="E33" i="2206" s="1"/>
  <c r="H10" i="2206"/>
  <c r="G10" i="2206"/>
  <c r="F10" i="2206"/>
  <c r="E10" i="2206"/>
  <c r="D10" i="2206"/>
  <c r="AE7" i="2206"/>
  <c r="AD7" i="2206"/>
  <c r="AC7" i="2206"/>
  <c r="AB7" i="2206"/>
  <c r="AA7" i="2206"/>
  <c r="Z7" i="2206"/>
  <c r="Y7" i="2206"/>
  <c r="X7" i="2206"/>
  <c r="W7" i="2206"/>
  <c r="V7" i="2206"/>
  <c r="U7" i="2206"/>
  <c r="T7" i="2206"/>
  <c r="S7" i="2206"/>
  <c r="R7" i="2206"/>
  <c r="Q7" i="2206"/>
  <c r="P7" i="2206"/>
  <c r="O7" i="2206"/>
  <c r="N7" i="2206"/>
  <c r="M7" i="2206"/>
  <c r="L7" i="2206"/>
  <c r="K7" i="2206"/>
  <c r="J7" i="2206"/>
  <c r="I7" i="2206"/>
  <c r="H7" i="2206"/>
  <c r="G7" i="2206"/>
  <c r="F7" i="2206"/>
  <c r="E7" i="2206"/>
  <c r="D7" i="2206"/>
  <c r="J33" i="2207" l="1"/>
  <c r="W33" i="2207"/>
  <c r="N33" i="2207"/>
  <c r="AC33" i="2207"/>
  <c r="D33" i="2207"/>
  <c r="Z33" i="2207"/>
  <c r="Y33" i="2207"/>
  <c r="K33" i="2207"/>
  <c r="M33" i="2207"/>
  <c r="V33" i="2207"/>
  <c r="K33" i="2206"/>
  <c r="J33" i="2206"/>
  <c r="W33" i="2206"/>
  <c r="AC33" i="2206"/>
  <c r="D33" i="2206"/>
  <c r="Z33" i="2206"/>
  <c r="Y33" i="2206"/>
  <c r="N33" i="2206"/>
  <c r="M33" i="2206"/>
  <c r="V33" i="2206"/>
  <c r="AA33" i="2205"/>
  <c r="X33" i="2205"/>
  <c r="U33" i="2205"/>
  <c r="R33" i="2205"/>
  <c r="F33" i="2205"/>
  <c r="Y28" i="2205"/>
  <c r="X28" i="2205"/>
  <c r="S33" i="2205" s="1"/>
  <c r="W28" i="2205"/>
  <c r="V28" i="2205"/>
  <c r="U28" i="2205"/>
  <c r="T28" i="2205"/>
  <c r="S28" i="2205"/>
  <c r="R28" i="2205"/>
  <c r="Q28" i="2205"/>
  <c r="P28" i="2205"/>
  <c r="O28" i="2205"/>
  <c r="N28" i="2205"/>
  <c r="M28" i="2205"/>
  <c r="L28" i="2205"/>
  <c r="K28" i="2205"/>
  <c r="J28" i="2205"/>
  <c r="I28" i="2205"/>
  <c r="H28" i="2205"/>
  <c r="G28" i="2205"/>
  <c r="F28" i="2205"/>
  <c r="E28" i="2205"/>
  <c r="D28" i="2205"/>
  <c r="Y25" i="2205"/>
  <c r="X25" i="2205"/>
  <c r="W25" i="2205"/>
  <c r="V25" i="2205"/>
  <c r="U25" i="2205"/>
  <c r="T25" i="2205"/>
  <c r="S25" i="2205"/>
  <c r="R25" i="2205"/>
  <c r="Q25" i="2205"/>
  <c r="P25" i="2205"/>
  <c r="O25" i="2205"/>
  <c r="N25" i="2205"/>
  <c r="M25" i="2205"/>
  <c r="L25" i="2205"/>
  <c r="K25" i="2205"/>
  <c r="J25" i="2205"/>
  <c r="I25" i="2205"/>
  <c r="H25" i="2205"/>
  <c r="G25" i="2205"/>
  <c r="F25" i="2205"/>
  <c r="E25" i="2205"/>
  <c r="D25" i="2205"/>
  <c r="AE19" i="2205"/>
  <c r="AD19" i="2205"/>
  <c r="AC19" i="2205"/>
  <c r="AB19" i="2205"/>
  <c r="AA19" i="2205"/>
  <c r="Z19" i="2205"/>
  <c r="Y19" i="2205"/>
  <c r="X19" i="2205"/>
  <c r="T33" i="2205" s="1"/>
  <c r="W19" i="2205"/>
  <c r="V19" i="2205"/>
  <c r="U19" i="2205"/>
  <c r="T19" i="2205"/>
  <c r="S19" i="2205"/>
  <c r="R19" i="2205"/>
  <c r="Q19" i="2205"/>
  <c r="P19" i="2205"/>
  <c r="O19" i="2205"/>
  <c r="N19" i="2205"/>
  <c r="G33" i="2205" s="1"/>
  <c r="M19" i="2205"/>
  <c r="H33" i="2205" s="1"/>
  <c r="L19" i="2205"/>
  <c r="P33" i="2205" s="1"/>
  <c r="K19" i="2205"/>
  <c r="L33" i="2205" s="1"/>
  <c r="J19" i="2205"/>
  <c r="I19" i="2205"/>
  <c r="AB33" i="2205" s="1"/>
  <c r="H19" i="2205"/>
  <c r="G19" i="2205"/>
  <c r="O33" i="2205" s="1"/>
  <c r="F19" i="2205"/>
  <c r="E19" i="2205"/>
  <c r="D19" i="2205"/>
  <c r="AE16" i="2205"/>
  <c r="AD16" i="2205"/>
  <c r="AC16" i="2205"/>
  <c r="AB16" i="2205"/>
  <c r="AA16" i="2205"/>
  <c r="Z16" i="2205"/>
  <c r="X16" i="2205"/>
  <c r="W16" i="2205"/>
  <c r="V16" i="2205"/>
  <c r="U16" i="2205"/>
  <c r="T16" i="2205"/>
  <c r="S16" i="2205"/>
  <c r="R16" i="2205"/>
  <c r="Q16" i="2205"/>
  <c r="P16" i="2205"/>
  <c r="O16" i="2205"/>
  <c r="N16" i="2205"/>
  <c r="M16" i="2205"/>
  <c r="L16" i="2205"/>
  <c r="K16" i="2205"/>
  <c r="J16" i="2205"/>
  <c r="I16" i="2205"/>
  <c r="H16" i="2205"/>
  <c r="G16" i="2205"/>
  <c r="F16" i="2205"/>
  <c r="E16" i="2205"/>
  <c r="D16" i="2205"/>
  <c r="AE10" i="2205"/>
  <c r="AD10" i="2205"/>
  <c r="AC10" i="2205"/>
  <c r="AB10" i="2205"/>
  <c r="AA10" i="2205"/>
  <c r="Z10" i="2205"/>
  <c r="Y10" i="2205"/>
  <c r="X10" i="2205"/>
  <c r="W10" i="2205"/>
  <c r="V10" i="2205"/>
  <c r="U10" i="2205"/>
  <c r="T10" i="2205"/>
  <c r="S10" i="2205"/>
  <c r="R10" i="2205"/>
  <c r="Q10" i="2205"/>
  <c r="P10" i="2205"/>
  <c r="O10" i="2205"/>
  <c r="N10" i="2205"/>
  <c r="M10" i="2205"/>
  <c r="E33" i="2205" s="1"/>
  <c r="L10" i="2205"/>
  <c r="K10" i="2205"/>
  <c r="J10" i="2205"/>
  <c r="Q33" i="2205" s="1"/>
  <c r="I10" i="2205"/>
  <c r="H10" i="2205"/>
  <c r="G10" i="2205"/>
  <c r="F10" i="2205"/>
  <c r="E10" i="2205"/>
  <c r="D10" i="2205"/>
  <c r="AE7" i="2205"/>
  <c r="AD7" i="2205"/>
  <c r="AC7" i="2205"/>
  <c r="AB7" i="2205"/>
  <c r="AA7" i="2205"/>
  <c r="Z7" i="2205"/>
  <c r="Y7" i="2205"/>
  <c r="X7" i="2205"/>
  <c r="W7" i="2205"/>
  <c r="V7" i="2205"/>
  <c r="U7" i="2205"/>
  <c r="T7" i="2205"/>
  <c r="S7" i="2205"/>
  <c r="R7" i="2205"/>
  <c r="Q7" i="2205"/>
  <c r="P7" i="2205"/>
  <c r="O7" i="2205"/>
  <c r="N7" i="2205"/>
  <c r="M7" i="2205"/>
  <c r="L7" i="2205"/>
  <c r="K7" i="2205"/>
  <c r="J7" i="2205"/>
  <c r="I7" i="2205"/>
  <c r="H7" i="2205"/>
  <c r="G7" i="2205"/>
  <c r="F7" i="2205"/>
  <c r="E7" i="2205"/>
  <c r="D7" i="2205"/>
  <c r="J33" i="2205" l="1"/>
  <c r="W33" i="2205"/>
  <c r="N33" i="2205"/>
  <c r="AC33" i="2205"/>
  <c r="D33" i="2205"/>
  <c r="Z33" i="2205"/>
  <c r="Y33" i="2205"/>
  <c r="K33" i="2205"/>
  <c r="M33" i="2205"/>
  <c r="V33" i="2205"/>
  <c r="AA33" i="2204"/>
  <c r="X33" i="2204"/>
  <c r="U33" i="2204"/>
  <c r="R33" i="2204"/>
  <c r="F33" i="2204"/>
  <c r="Y28" i="2204"/>
  <c r="X28" i="2204"/>
  <c r="S33" i="2204" s="1"/>
  <c r="W28" i="2204"/>
  <c r="V28" i="2204"/>
  <c r="U28" i="2204"/>
  <c r="T28" i="2204"/>
  <c r="S28" i="2204"/>
  <c r="R28" i="2204"/>
  <c r="Q28" i="2204"/>
  <c r="P28" i="2204"/>
  <c r="O28" i="2204"/>
  <c r="N28" i="2204"/>
  <c r="M28" i="2204"/>
  <c r="L28" i="2204"/>
  <c r="K28" i="2204"/>
  <c r="J28" i="2204"/>
  <c r="I28" i="2204"/>
  <c r="H28" i="2204"/>
  <c r="G28" i="2204"/>
  <c r="F28" i="2204"/>
  <c r="E28" i="2204"/>
  <c r="D28" i="2204"/>
  <c r="Y25" i="2204"/>
  <c r="X25" i="2204"/>
  <c r="W25" i="2204"/>
  <c r="V25" i="2204"/>
  <c r="U25" i="2204"/>
  <c r="T25" i="2204"/>
  <c r="S25" i="2204"/>
  <c r="R25" i="2204"/>
  <c r="Q25" i="2204"/>
  <c r="P25" i="2204"/>
  <c r="O25" i="2204"/>
  <c r="N25" i="2204"/>
  <c r="M25" i="2204"/>
  <c r="L25" i="2204"/>
  <c r="K25" i="2204"/>
  <c r="J25" i="2204"/>
  <c r="I25" i="2204"/>
  <c r="H25" i="2204"/>
  <c r="G25" i="2204"/>
  <c r="F25" i="2204"/>
  <c r="E25" i="2204"/>
  <c r="D25" i="2204"/>
  <c r="AE19" i="2204"/>
  <c r="AD19" i="2204"/>
  <c r="AC19" i="2204"/>
  <c r="AB19" i="2204"/>
  <c r="AA19" i="2204"/>
  <c r="Z19" i="2204"/>
  <c r="Y19" i="2204"/>
  <c r="X19" i="2204"/>
  <c r="T33" i="2204" s="1"/>
  <c r="W19" i="2204"/>
  <c r="V19" i="2204"/>
  <c r="U19" i="2204"/>
  <c r="T19" i="2204"/>
  <c r="S19" i="2204"/>
  <c r="R19" i="2204"/>
  <c r="Q19" i="2204"/>
  <c r="P19" i="2204"/>
  <c r="O19" i="2204"/>
  <c r="N19" i="2204"/>
  <c r="G33" i="2204" s="1"/>
  <c r="M19" i="2204"/>
  <c r="H33" i="2204" s="1"/>
  <c r="L19" i="2204"/>
  <c r="P33" i="2204" s="1"/>
  <c r="K19" i="2204"/>
  <c r="L33" i="2204" s="1"/>
  <c r="J19" i="2204"/>
  <c r="I19" i="2204"/>
  <c r="AB33" i="2204" s="1"/>
  <c r="H19" i="2204"/>
  <c r="G19" i="2204"/>
  <c r="O33" i="2204" s="1"/>
  <c r="F19" i="2204"/>
  <c r="E19" i="2204"/>
  <c r="D19" i="2204"/>
  <c r="AE16" i="2204"/>
  <c r="AD16" i="2204"/>
  <c r="AC16" i="2204"/>
  <c r="AB16" i="2204"/>
  <c r="AA16" i="2204"/>
  <c r="Z16" i="2204"/>
  <c r="X16" i="2204"/>
  <c r="W16" i="2204"/>
  <c r="V16" i="2204"/>
  <c r="U16" i="2204"/>
  <c r="T16" i="2204"/>
  <c r="S16" i="2204"/>
  <c r="R16" i="2204"/>
  <c r="Q16" i="2204"/>
  <c r="P16" i="2204"/>
  <c r="O16" i="2204"/>
  <c r="N16" i="2204"/>
  <c r="M16" i="2204"/>
  <c r="L16" i="2204"/>
  <c r="K16" i="2204"/>
  <c r="J16" i="2204"/>
  <c r="I16" i="2204"/>
  <c r="H16" i="2204"/>
  <c r="G16" i="2204"/>
  <c r="F16" i="2204"/>
  <c r="E16" i="2204"/>
  <c r="D16" i="2204"/>
  <c r="AE10" i="2204"/>
  <c r="AD10" i="2204"/>
  <c r="AC10" i="2204"/>
  <c r="AB10" i="2204"/>
  <c r="AA10" i="2204"/>
  <c r="Z10" i="2204"/>
  <c r="Y10" i="2204"/>
  <c r="X10" i="2204"/>
  <c r="W10" i="2204"/>
  <c r="V10" i="2204"/>
  <c r="U10" i="2204"/>
  <c r="T10" i="2204"/>
  <c r="S10" i="2204"/>
  <c r="R10" i="2204"/>
  <c r="Q10" i="2204"/>
  <c r="P10" i="2204"/>
  <c r="O10" i="2204"/>
  <c r="N10" i="2204"/>
  <c r="M10" i="2204"/>
  <c r="L10" i="2204"/>
  <c r="K10" i="2204"/>
  <c r="K33" i="2204" s="1"/>
  <c r="J10" i="2204"/>
  <c r="Q33" i="2204" s="1"/>
  <c r="I10" i="2204"/>
  <c r="H10" i="2204"/>
  <c r="G10" i="2204"/>
  <c r="F10" i="2204"/>
  <c r="E10" i="2204"/>
  <c r="D10" i="2204"/>
  <c r="AE7" i="2204"/>
  <c r="AD7" i="2204"/>
  <c r="AC7" i="2204"/>
  <c r="AB7" i="2204"/>
  <c r="AA7" i="2204"/>
  <c r="Z7" i="2204"/>
  <c r="Y7" i="2204"/>
  <c r="X7" i="2204"/>
  <c r="W7" i="2204"/>
  <c r="V7" i="2204"/>
  <c r="U7" i="2204"/>
  <c r="T7" i="2204"/>
  <c r="S7" i="2204"/>
  <c r="R7" i="2204"/>
  <c r="Q7" i="2204"/>
  <c r="P7" i="2204"/>
  <c r="O7" i="2204"/>
  <c r="N7" i="2204"/>
  <c r="M7" i="2204"/>
  <c r="L7" i="2204"/>
  <c r="K7" i="2204"/>
  <c r="J7" i="2204"/>
  <c r="I7" i="2204"/>
  <c r="H7" i="2204"/>
  <c r="G7" i="2204"/>
  <c r="F7" i="2204"/>
  <c r="E7" i="2204"/>
  <c r="D7" i="2204"/>
  <c r="J33" i="2204" l="1"/>
  <c r="W33" i="2204"/>
  <c r="N33" i="2204"/>
  <c r="AC33" i="2204"/>
  <c r="D33" i="2204"/>
  <c r="Z33" i="2204"/>
  <c r="Y33" i="2204"/>
  <c r="E33" i="2204"/>
  <c r="M33" i="2204"/>
  <c r="V33" i="2204"/>
  <c r="AA33" i="2203"/>
  <c r="X33" i="2203"/>
  <c r="U33" i="2203"/>
  <c r="R33" i="2203"/>
  <c r="F33" i="2203"/>
  <c r="Y28" i="2203"/>
  <c r="X28" i="2203"/>
  <c r="S33" i="2203" s="1"/>
  <c r="W28" i="2203"/>
  <c r="V28" i="2203"/>
  <c r="U28" i="2203"/>
  <c r="T28" i="2203"/>
  <c r="S28" i="2203"/>
  <c r="R28" i="2203"/>
  <c r="Q28" i="2203"/>
  <c r="P28" i="2203"/>
  <c r="O28" i="2203"/>
  <c r="N28" i="2203"/>
  <c r="M28" i="2203"/>
  <c r="L28" i="2203"/>
  <c r="K28" i="2203"/>
  <c r="J28" i="2203"/>
  <c r="I28" i="2203"/>
  <c r="H28" i="2203"/>
  <c r="G28" i="2203"/>
  <c r="F28" i="2203"/>
  <c r="E28" i="2203"/>
  <c r="D28" i="2203"/>
  <c r="Y25" i="2203"/>
  <c r="X25" i="2203"/>
  <c r="W25" i="2203"/>
  <c r="V25" i="2203"/>
  <c r="U25" i="2203"/>
  <c r="T25" i="2203"/>
  <c r="S25" i="2203"/>
  <c r="R25" i="2203"/>
  <c r="Q25" i="2203"/>
  <c r="P25" i="2203"/>
  <c r="O25" i="2203"/>
  <c r="N25" i="2203"/>
  <c r="M25" i="2203"/>
  <c r="L25" i="2203"/>
  <c r="K25" i="2203"/>
  <c r="J25" i="2203"/>
  <c r="I25" i="2203"/>
  <c r="H25" i="2203"/>
  <c r="G25" i="2203"/>
  <c r="F25" i="2203"/>
  <c r="E25" i="2203"/>
  <c r="D25" i="2203"/>
  <c r="AE19" i="2203"/>
  <c r="AD19" i="2203"/>
  <c r="AC19" i="2203"/>
  <c r="AB19" i="2203"/>
  <c r="AA19" i="2203"/>
  <c r="Z19" i="2203"/>
  <c r="Y19" i="2203"/>
  <c r="X19" i="2203"/>
  <c r="T33" i="2203" s="1"/>
  <c r="W19" i="2203"/>
  <c r="V19" i="2203"/>
  <c r="U19" i="2203"/>
  <c r="T19" i="2203"/>
  <c r="S19" i="2203"/>
  <c r="R19" i="2203"/>
  <c r="Q19" i="2203"/>
  <c r="P19" i="2203"/>
  <c r="O19" i="2203"/>
  <c r="N19" i="2203"/>
  <c r="G33" i="2203" s="1"/>
  <c r="M19" i="2203"/>
  <c r="H33" i="2203" s="1"/>
  <c r="L19" i="2203"/>
  <c r="P33" i="2203" s="1"/>
  <c r="K19" i="2203"/>
  <c r="L33" i="2203" s="1"/>
  <c r="J19" i="2203"/>
  <c r="I19" i="2203"/>
  <c r="AB33" i="2203" s="1"/>
  <c r="H19" i="2203"/>
  <c r="G19" i="2203"/>
  <c r="O33" i="2203" s="1"/>
  <c r="F19" i="2203"/>
  <c r="E19" i="2203"/>
  <c r="D19" i="2203"/>
  <c r="AE16" i="2203"/>
  <c r="AD16" i="2203"/>
  <c r="AC16" i="2203"/>
  <c r="AB16" i="2203"/>
  <c r="AA16" i="2203"/>
  <c r="Z16" i="2203"/>
  <c r="X16" i="2203"/>
  <c r="W16" i="2203"/>
  <c r="V16" i="2203"/>
  <c r="U16" i="2203"/>
  <c r="T16" i="2203"/>
  <c r="S16" i="2203"/>
  <c r="R16" i="2203"/>
  <c r="Q16" i="2203"/>
  <c r="P16" i="2203"/>
  <c r="O16" i="2203"/>
  <c r="N16" i="2203"/>
  <c r="M16" i="2203"/>
  <c r="L16" i="2203"/>
  <c r="K16" i="2203"/>
  <c r="J16" i="2203"/>
  <c r="I16" i="2203"/>
  <c r="H16" i="2203"/>
  <c r="G16" i="2203"/>
  <c r="F16" i="2203"/>
  <c r="E16" i="2203"/>
  <c r="D16" i="2203"/>
  <c r="AE10" i="2203"/>
  <c r="AD10" i="2203"/>
  <c r="AC10" i="2203"/>
  <c r="AB10" i="2203"/>
  <c r="AA10" i="2203"/>
  <c r="Z10" i="2203"/>
  <c r="Y10" i="2203"/>
  <c r="X10" i="2203"/>
  <c r="W10" i="2203"/>
  <c r="V10" i="2203"/>
  <c r="U10" i="2203"/>
  <c r="T10" i="2203"/>
  <c r="S10" i="2203"/>
  <c r="R10" i="2203"/>
  <c r="Q10" i="2203"/>
  <c r="P10" i="2203"/>
  <c r="O10" i="2203"/>
  <c r="N10" i="2203"/>
  <c r="M10" i="2203"/>
  <c r="L10" i="2203"/>
  <c r="K10" i="2203"/>
  <c r="J10" i="2203"/>
  <c r="I10" i="2203"/>
  <c r="H10" i="2203"/>
  <c r="G10" i="2203"/>
  <c r="F10" i="2203"/>
  <c r="E10" i="2203"/>
  <c r="D10" i="2203"/>
  <c r="AE7" i="2203"/>
  <c r="AD7" i="2203"/>
  <c r="AC7" i="2203"/>
  <c r="AB7" i="2203"/>
  <c r="AA7" i="2203"/>
  <c r="Z7" i="2203"/>
  <c r="Y7" i="2203"/>
  <c r="X7" i="2203"/>
  <c r="W7" i="2203"/>
  <c r="V7" i="2203"/>
  <c r="U7" i="2203"/>
  <c r="T7" i="2203"/>
  <c r="S7" i="2203"/>
  <c r="R7" i="2203"/>
  <c r="Q7" i="2203"/>
  <c r="P7" i="2203"/>
  <c r="O7" i="2203"/>
  <c r="N7" i="2203"/>
  <c r="M7" i="2203"/>
  <c r="L7" i="2203"/>
  <c r="K7" i="2203"/>
  <c r="J7" i="2203"/>
  <c r="I7" i="2203"/>
  <c r="H7" i="2203"/>
  <c r="G7" i="2203"/>
  <c r="F7" i="2203"/>
  <c r="E7" i="2203"/>
  <c r="D7" i="2203"/>
  <c r="Z33" i="2203" l="1"/>
  <c r="J33" i="2203"/>
  <c r="W33" i="2203"/>
  <c r="N33" i="2203"/>
  <c r="AC33" i="2203"/>
  <c r="D33" i="2203"/>
  <c r="Y33" i="2203"/>
  <c r="Q33" i="2203"/>
  <c r="E33" i="2203"/>
  <c r="K33" i="2203"/>
  <c r="M33" i="2203"/>
  <c r="V33" i="2203"/>
  <c r="AA33" i="2202"/>
  <c r="X33" i="2202"/>
  <c r="U33" i="2202"/>
  <c r="R33" i="2202"/>
  <c r="F33" i="2202"/>
  <c r="E33" i="2202"/>
  <c r="Y28" i="2202"/>
  <c r="X28" i="2202"/>
  <c r="S33" i="2202" s="1"/>
  <c r="W28" i="2202"/>
  <c r="V28" i="2202"/>
  <c r="U28" i="2202"/>
  <c r="T28" i="2202"/>
  <c r="S28" i="2202"/>
  <c r="R28" i="2202"/>
  <c r="Q28" i="2202"/>
  <c r="P28" i="2202"/>
  <c r="O28" i="2202"/>
  <c r="N28" i="2202"/>
  <c r="M28" i="2202"/>
  <c r="L28" i="2202"/>
  <c r="K28" i="2202"/>
  <c r="J28" i="2202"/>
  <c r="I28" i="2202"/>
  <c r="H28" i="2202"/>
  <c r="G28" i="2202"/>
  <c r="F28" i="2202"/>
  <c r="E28" i="2202"/>
  <c r="D28" i="2202"/>
  <c r="Y25" i="2202"/>
  <c r="X25" i="2202"/>
  <c r="W25" i="2202"/>
  <c r="V25" i="2202"/>
  <c r="U25" i="2202"/>
  <c r="T25" i="2202"/>
  <c r="S25" i="2202"/>
  <c r="R25" i="2202"/>
  <c r="Q25" i="2202"/>
  <c r="P25" i="2202"/>
  <c r="O25" i="2202"/>
  <c r="N25" i="2202"/>
  <c r="M25" i="2202"/>
  <c r="L25" i="2202"/>
  <c r="K25" i="2202"/>
  <c r="J25" i="2202"/>
  <c r="I25" i="2202"/>
  <c r="H25" i="2202"/>
  <c r="G25" i="2202"/>
  <c r="F25" i="2202"/>
  <c r="E25" i="2202"/>
  <c r="D25" i="2202"/>
  <c r="AE19" i="2202"/>
  <c r="AD19" i="2202"/>
  <c r="AC19" i="2202"/>
  <c r="AB19" i="2202"/>
  <c r="AA19" i="2202"/>
  <c r="Z19" i="2202"/>
  <c r="Y19" i="2202"/>
  <c r="X19" i="2202"/>
  <c r="T33" i="2202" s="1"/>
  <c r="W19" i="2202"/>
  <c r="V19" i="2202"/>
  <c r="U19" i="2202"/>
  <c r="T19" i="2202"/>
  <c r="S19" i="2202"/>
  <c r="R19" i="2202"/>
  <c r="Q19" i="2202"/>
  <c r="P19" i="2202"/>
  <c r="O19" i="2202"/>
  <c r="N19" i="2202"/>
  <c r="G33" i="2202" s="1"/>
  <c r="M19" i="2202"/>
  <c r="H33" i="2202" s="1"/>
  <c r="L19" i="2202"/>
  <c r="P33" i="2202" s="1"/>
  <c r="K19" i="2202"/>
  <c r="L33" i="2202" s="1"/>
  <c r="J19" i="2202"/>
  <c r="I19" i="2202"/>
  <c r="AB33" i="2202" s="1"/>
  <c r="H19" i="2202"/>
  <c r="G19" i="2202"/>
  <c r="O33" i="2202" s="1"/>
  <c r="F19" i="2202"/>
  <c r="E19" i="2202"/>
  <c r="D19" i="2202"/>
  <c r="AE16" i="2202"/>
  <c r="AD16" i="2202"/>
  <c r="AC16" i="2202"/>
  <c r="AB16" i="2202"/>
  <c r="AA16" i="2202"/>
  <c r="Z16" i="2202"/>
  <c r="X16" i="2202"/>
  <c r="W16" i="2202"/>
  <c r="V16" i="2202"/>
  <c r="U16" i="2202"/>
  <c r="T16" i="2202"/>
  <c r="S16" i="2202"/>
  <c r="R16" i="2202"/>
  <c r="Q16" i="2202"/>
  <c r="P16" i="2202"/>
  <c r="O16" i="2202"/>
  <c r="N16" i="2202"/>
  <c r="M16" i="2202"/>
  <c r="L16" i="2202"/>
  <c r="K16" i="2202"/>
  <c r="J16" i="2202"/>
  <c r="I16" i="2202"/>
  <c r="H16" i="2202"/>
  <c r="G16" i="2202"/>
  <c r="F16" i="2202"/>
  <c r="E16" i="2202"/>
  <c r="D16" i="2202"/>
  <c r="AE10" i="2202"/>
  <c r="AD10" i="2202"/>
  <c r="AC10" i="2202"/>
  <c r="AB10" i="2202"/>
  <c r="AA10" i="2202"/>
  <c r="Z10" i="2202"/>
  <c r="Y10" i="2202"/>
  <c r="X10" i="2202"/>
  <c r="W10" i="2202"/>
  <c r="V10" i="2202"/>
  <c r="U10" i="2202"/>
  <c r="T10" i="2202"/>
  <c r="S10" i="2202"/>
  <c r="R10" i="2202"/>
  <c r="Q10" i="2202"/>
  <c r="P10" i="2202"/>
  <c r="O10" i="2202"/>
  <c r="N10" i="2202"/>
  <c r="Q33" i="2202" s="1"/>
  <c r="M10" i="2202"/>
  <c r="L10" i="2202"/>
  <c r="K10" i="2202"/>
  <c r="J10" i="2202"/>
  <c r="I10" i="2202"/>
  <c r="H10" i="2202"/>
  <c r="G10" i="2202"/>
  <c r="F10" i="2202"/>
  <c r="J33" i="2202" s="1"/>
  <c r="E10" i="2202"/>
  <c r="D10" i="2202"/>
  <c r="AE7" i="2202"/>
  <c r="AD7" i="2202"/>
  <c r="AC7" i="2202"/>
  <c r="AB7" i="2202"/>
  <c r="AA7" i="2202"/>
  <c r="Z7" i="2202"/>
  <c r="Y7" i="2202"/>
  <c r="X7" i="2202"/>
  <c r="W7" i="2202"/>
  <c r="V7" i="2202"/>
  <c r="U7" i="2202"/>
  <c r="T7" i="2202"/>
  <c r="S7" i="2202"/>
  <c r="R7" i="2202"/>
  <c r="Q7" i="2202"/>
  <c r="P7" i="2202"/>
  <c r="O7" i="2202"/>
  <c r="N7" i="2202"/>
  <c r="M7" i="2202"/>
  <c r="L7" i="2202"/>
  <c r="K7" i="2202"/>
  <c r="J7" i="2202"/>
  <c r="I7" i="2202"/>
  <c r="H7" i="2202"/>
  <c r="G7" i="2202"/>
  <c r="F7" i="2202"/>
  <c r="E7" i="2202"/>
  <c r="D7" i="2202"/>
  <c r="W33" i="2202" l="1"/>
  <c r="N33" i="2202"/>
  <c r="AC33" i="2202"/>
  <c r="D33" i="2202"/>
  <c r="Z33" i="2202"/>
  <c r="Y33" i="2202"/>
  <c r="K33" i="2202"/>
  <c r="M33" i="2202"/>
  <c r="V33" i="2202"/>
  <c r="AA33" i="2201"/>
  <c r="X33" i="2201"/>
  <c r="U33" i="2201"/>
  <c r="R33" i="2201"/>
  <c r="F33" i="2201"/>
  <c r="Y28" i="2201"/>
  <c r="X28" i="2201"/>
  <c r="S33" i="2201" s="1"/>
  <c r="W28" i="2201"/>
  <c r="V28" i="2201"/>
  <c r="U28" i="2201"/>
  <c r="T28" i="2201"/>
  <c r="S28" i="2201"/>
  <c r="R28" i="2201"/>
  <c r="Q28" i="2201"/>
  <c r="P28" i="2201"/>
  <c r="O28" i="2201"/>
  <c r="N28" i="2201"/>
  <c r="M28" i="2201"/>
  <c r="L28" i="2201"/>
  <c r="K28" i="2201"/>
  <c r="J28" i="2201"/>
  <c r="I28" i="2201"/>
  <c r="H28" i="2201"/>
  <c r="G28" i="2201"/>
  <c r="F28" i="2201"/>
  <c r="E28" i="2201"/>
  <c r="D28" i="2201"/>
  <c r="Y25" i="2201"/>
  <c r="X25" i="2201"/>
  <c r="W25" i="2201"/>
  <c r="V25" i="2201"/>
  <c r="U25" i="2201"/>
  <c r="T25" i="2201"/>
  <c r="S25" i="2201"/>
  <c r="R25" i="2201"/>
  <c r="Q25" i="2201"/>
  <c r="P25" i="2201"/>
  <c r="O25" i="2201"/>
  <c r="N25" i="2201"/>
  <c r="M25" i="2201"/>
  <c r="L25" i="2201"/>
  <c r="K25" i="2201"/>
  <c r="J25" i="2201"/>
  <c r="I25" i="2201"/>
  <c r="H25" i="2201"/>
  <c r="G25" i="2201"/>
  <c r="F25" i="2201"/>
  <c r="E25" i="2201"/>
  <c r="D25" i="2201"/>
  <c r="AE19" i="2201"/>
  <c r="AD19" i="2201"/>
  <c r="AC19" i="2201"/>
  <c r="AB19" i="2201"/>
  <c r="AA19" i="2201"/>
  <c r="Z19" i="2201"/>
  <c r="Y19" i="2201"/>
  <c r="X19" i="2201"/>
  <c r="T33" i="2201" s="1"/>
  <c r="W19" i="2201"/>
  <c r="V19" i="2201"/>
  <c r="U19" i="2201"/>
  <c r="T19" i="2201"/>
  <c r="S19" i="2201"/>
  <c r="R19" i="2201"/>
  <c r="Q19" i="2201"/>
  <c r="P19" i="2201"/>
  <c r="O19" i="2201"/>
  <c r="N19" i="2201"/>
  <c r="G33" i="2201" s="1"/>
  <c r="M19" i="2201"/>
  <c r="H33" i="2201" s="1"/>
  <c r="L19" i="2201"/>
  <c r="P33" i="2201" s="1"/>
  <c r="K19" i="2201"/>
  <c r="L33" i="2201" s="1"/>
  <c r="J19" i="2201"/>
  <c r="I19" i="2201"/>
  <c r="AB33" i="2201" s="1"/>
  <c r="H19" i="2201"/>
  <c r="G19" i="2201"/>
  <c r="O33" i="2201" s="1"/>
  <c r="F19" i="2201"/>
  <c r="E19" i="2201"/>
  <c r="D19" i="2201"/>
  <c r="AE16" i="2201"/>
  <c r="AD16" i="2201"/>
  <c r="AC16" i="2201"/>
  <c r="AB16" i="2201"/>
  <c r="AA16" i="2201"/>
  <c r="Z16" i="2201"/>
  <c r="X16" i="2201"/>
  <c r="W16" i="2201"/>
  <c r="V16" i="2201"/>
  <c r="U16" i="2201"/>
  <c r="T16" i="2201"/>
  <c r="S16" i="2201"/>
  <c r="R16" i="2201"/>
  <c r="Q16" i="2201"/>
  <c r="P16" i="2201"/>
  <c r="O16" i="2201"/>
  <c r="N16" i="2201"/>
  <c r="M16" i="2201"/>
  <c r="L16" i="2201"/>
  <c r="K16" i="2201"/>
  <c r="J16" i="2201"/>
  <c r="I16" i="2201"/>
  <c r="H16" i="2201"/>
  <c r="G16" i="2201"/>
  <c r="F16" i="2201"/>
  <c r="E16" i="2201"/>
  <c r="D16" i="2201"/>
  <c r="AE10" i="2201"/>
  <c r="AD10" i="2201"/>
  <c r="AC10" i="2201"/>
  <c r="AB10" i="2201"/>
  <c r="AA10" i="2201"/>
  <c r="Z10" i="2201"/>
  <c r="Y10" i="2201"/>
  <c r="X10" i="2201"/>
  <c r="W10" i="2201"/>
  <c r="V10" i="2201"/>
  <c r="U10" i="2201"/>
  <c r="T10" i="2201"/>
  <c r="S10" i="2201"/>
  <c r="R10" i="2201"/>
  <c r="Q10" i="2201"/>
  <c r="P10" i="2201"/>
  <c r="O10" i="2201"/>
  <c r="N10" i="2201"/>
  <c r="M10" i="2201"/>
  <c r="L10" i="2201"/>
  <c r="K10" i="2201"/>
  <c r="J10" i="2201"/>
  <c r="Q33" i="2201" s="1"/>
  <c r="I10" i="2201"/>
  <c r="E33" i="2201" s="1"/>
  <c r="H10" i="2201"/>
  <c r="G10" i="2201"/>
  <c r="F10" i="2201"/>
  <c r="E10" i="2201"/>
  <c r="D10" i="2201"/>
  <c r="AE7" i="2201"/>
  <c r="AD7" i="2201"/>
  <c r="AC7" i="2201"/>
  <c r="AB7" i="2201"/>
  <c r="AA7" i="2201"/>
  <c r="Z7" i="2201"/>
  <c r="Y7" i="2201"/>
  <c r="X7" i="2201"/>
  <c r="W7" i="2201"/>
  <c r="V7" i="2201"/>
  <c r="U7" i="2201"/>
  <c r="T7" i="2201"/>
  <c r="S7" i="2201"/>
  <c r="R7" i="2201"/>
  <c r="Q7" i="2201"/>
  <c r="P7" i="2201"/>
  <c r="O7" i="2201"/>
  <c r="N7" i="2201"/>
  <c r="M7" i="2201"/>
  <c r="L7" i="2201"/>
  <c r="K7" i="2201"/>
  <c r="J7" i="2201"/>
  <c r="I7" i="2201"/>
  <c r="H7" i="2201"/>
  <c r="G7" i="2201"/>
  <c r="F7" i="2201"/>
  <c r="E7" i="2201"/>
  <c r="D7" i="2201"/>
  <c r="J33" i="2201" l="1"/>
  <c r="W33" i="2201"/>
  <c r="AC33" i="2201"/>
  <c r="D33" i="2201"/>
  <c r="Z33" i="2201"/>
  <c r="Y33" i="2201"/>
  <c r="N33" i="2201"/>
  <c r="K33" i="2201"/>
  <c r="M33" i="2201"/>
  <c r="V33" i="2201"/>
  <c r="S51" i="13" l="1"/>
  <c r="S50" i="13"/>
  <c r="S49" i="13"/>
  <c r="S48" i="13"/>
  <c r="S47" i="13"/>
  <c r="S46" i="13"/>
  <c r="S45" i="13"/>
  <c r="S44" i="13"/>
  <c r="S43" i="13"/>
  <c r="S42" i="13"/>
  <c r="S41" i="13"/>
  <c r="S40" i="13"/>
  <c r="S39" i="13"/>
  <c r="S38" i="13"/>
  <c r="S37" i="13"/>
  <c r="S36" i="13"/>
  <c r="S35" i="13"/>
</calcChain>
</file>

<file path=xl/connections.xml><?xml version="1.0" encoding="utf-8"?>
<connections xmlns="http://schemas.openxmlformats.org/spreadsheetml/2006/main">
  <connection id="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0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1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5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2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6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7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2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8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3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19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4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0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5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1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6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2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7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3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8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  <connection id="24" sourceFile="Y:\儲槽作業日報\53GL\取樣回收每月庫存表 0620更新.xlsx" keepAlive="1" name="取樣回收每月庫存表 0620更新111111111111111111111111111111111111111111111111111111111111111111111111111111111111111111111111111111111111111111111111111111111111111111111111111111111111111111111111111111111111111111111111111111111111111111111111111111119" type="5" refreshedVersion="6" background="1" saveData="1">
    <dbPr connection="Provider=Microsoft.ACE.OLEDB.12.0;User ID=Admin;Data Source=Y:\儲槽作業日報\53GL\取樣回收每月庫存表 0620更新.xlsx;Mode=Share Deny Write;Extended Properties=&quot;HDR=YES;&quot;;Jet OLEDB:System database=&quot;&quot;;Jet OLEDB:Registry Path=&quot;&quot;;Jet OLEDB:Engine Type=37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'201706起(資材)$'" commandType="3"/>
  </connection>
</connections>
</file>

<file path=xl/sharedStrings.xml><?xml version="1.0" encoding="utf-8"?>
<sst xmlns="http://schemas.openxmlformats.org/spreadsheetml/2006/main" count="33398" uniqueCount="643">
  <si>
    <t>空</t>
    <phoneticPr fontId="3" type="noConversion"/>
  </si>
  <si>
    <t>EG</t>
    <phoneticPr fontId="3" type="noConversion"/>
  </si>
  <si>
    <t>GAA</t>
    <phoneticPr fontId="3" type="noConversion"/>
  </si>
  <si>
    <t>EBR</t>
    <phoneticPr fontId="3" type="noConversion"/>
  </si>
  <si>
    <t>原料</t>
    <phoneticPr fontId="3" type="noConversion"/>
  </si>
  <si>
    <t>成品</t>
    <phoneticPr fontId="3" type="noConversion"/>
  </si>
  <si>
    <r>
      <rPr>
        <sz val="12"/>
        <rFont val="細明體"/>
        <family val="3"/>
        <charset val="136"/>
      </rPr>
      <t>產</t>
    </r>
    <r>
      <rPr>
        <sz val="12"/>
        <rFont val="DotumChe"/>
        <family val="3"/>
        <charset val="129"/>
      </rPr>
      <t>品</t>
    </r>
    <r>
      <rPr>
        <sz val="12"/>
        <rFont val="細明體"/>
        <family val="3"/>
        <charset val="136"/>
      </rPr>
      <t xml:space="preserve">      </t>
    </r>
    <r>
      <rPr>
        <sz val="12"/>
        <rFont val="DotumChe"/>
        <family val="3"/>
        <charset val="129"/>
      </rPr>
      <t>比重</t>
    </r>
    <r>
      <rPr>
        <sz val="12"/>
        <rFont val="細明體"/>
        <family val="3"/>
        <charset val="136"/>
      </rPr>
      <t xml:space="preserve">    </t>
    </r>
    <r>
      <rPr>
        <sz val="12"/>
        <rFont val="DotumChe"/>
        <family val="3"/>
        <charset val="129"/>
      </rPr>
      <t>溫度</t>
    </r>
    <phoneticPr fontId="3" type="noConversion"/>
  </si>
  <si>
    <t>IPA</t>
    <phoneticPr fontId="3" type="noConversion"/>
  </si>
  <si>
    <t>EG</t>
    <phoneticPr fontId="3" type="noConversion"/>
  </si>
  <si>
    <t>NMP</t>
    <phoneticPr fontId="3" type="noConversion"/>
  </si>
  <si>
    <t>Acetone</t>
    <phoneticPr fontId="3" type="noConversion"/>
  </si>
  <si>
    <t>SEP05</t>
    <phoneticPr fontId="3" type="noConversion"/>
  </si>
  <si>
    <t>PMA</t>
    <phoneticPr fontId="3" type="noConversion"/>
  </si>
  <si>
    <t>PM</t>
    <phoneticPr fontId="3" type="noConversion"/>
  </si>
  <si>
    <t>GAA</t>
    <phoneticPr fontId="3" type="noConversion"/>
  </si>
  <si>
    <r>
      <t>BDG+MEA
澄</t>
    </r>
    <r>
      <rPr>
        <sz val="14"/>
        <rFont val="細明體"/>
        <family val="3"/>
        <charset val="136"/>
      </rPr>
      <t>清</t>
    </r>
    <r>
      <rPr>
        <sz val="14"/>
        <rFont val="DotumChe"/>
        <family val="3"/>
        <charset val="129"/>
      </rPr>
      <t>液</t>
    </r>
    <phoneticPr fontId="3" type="noConversion"/>
  </si>
  <si>
    <t>ANONE</t>
    <phoneticPr fontId="3" type="noConversion"/>
  </si>
  <si>
    <t>EBR</t>
    <phoneticPr fontId="3" type="noConversion"/>
  </si>
  <si>
    <t>NBAC</t>
    <phoneticPr fontId="3" type="noConversion"/>
  </si>
  <si>
    <t>EBRUPS</t>
    <phoneticPr fontId="3" type="noConversion"/>
  </si>
  <si>
    <t>2SEP73(EBR)</t>
    <phoneticPr fontId="3" type="noConversion"/>
  </si>
  <si>
    <t>SEP11</t>
    <phoneticPr fontId="3" type="noConversion"/>
  </si>
  <si>
    <t>ETOH</t>
    <phoneticPr fontId="3" type="noConversion"/>
  </si>
  <si>
    <t>PG2</t>
    <phoneticPr fontId="3" type="noConversion"/>
  </si>
  <si>
    <t>EEP</t>
    <phoneticPr fontId="3" type="noConversion"/>
  </si>
  <si>
    <t>HEA     DPM</t>
    <phoneticPr fontId="3" type="noConversion"/>
  </si>
  <si>
    <t>C02</t>
  </si>
  <si>
    <t>C03</t>
  </si>
  <si>
    <t>C04</t>
  </si>
  <si>
    <t>C05</t>
  </si>
  <si>
    <t>C06</t>
  </si>
  <si>
    <t>槽號</t>
    <phoneticPr fontId="3" type="noConversion"/>
  </si>
  <si>
    <t>液位</t>
    <phoneticPr fontId="3" type="noConversion"/>
  </si>
  <si>
    <t>溫度</t>
    <phoneticPr fontId="3" type="noConversion"/>
  </si>
  <si>
    <t>DPM</t>
    <phoneticPr fontId="3" type="noConversion"/>
  </si>
  <si>
    <t xml:space="preserve"> </t>
    <phoneticPr fontId="2" type="noConversion"/>
  </si>
  <si>
    <t>品名</t>
    <phoneticPr fontId="3" type="noConversion"/>
  </si>
  <si>
    <t>時間</t>
    <phoneticPr fontId="3" type="noConversion"/>
  </si>
  <si>
    <t>TPM</t>
    <phoneticPr fontId="3" type="noConversion"/>
  </si>
  <si>
    <t>TK-603</t>
    <phoneticPr fontId="4" type="noConversion"/>
  </si>
  <si>
    <t>TK-641</t>
    <phoneticPr fontId="4" type="noConversion"/>
  </si>
  <si>
    <t>ACETONE</t>
    <phoneticPr fontId="3" type="noConversion"/>
  </si>
  <si>
    <t>HEA</t>
    <phoneticPr fontId="3" type="noConversion"/>
  </si>
  <si>
    <t>待處理品</t>
    <phoneticPr fontId="3" type="noConversion"/>
  </si>
  <si>
    <t>TK-601</t>
    <phoneticPr fontId="4" type="noConversion"/>
  </si>
  <si>
    <t>TK-602</t>
    <phoneticPr fontId="4" type="noConversion"/>
  </si>
  <si>
    <t>TK-604A</t>
    <phoneticPr fontId="4" type="noConversion"/>
  </si>
  <si>
    <t>TK-604B</t>
    <phoneticPr fontId="4" type="noConversion"/>
  </si>
  <si>
    <t>TK-612</t>
    <phoneticPr fontId="4" type="noConversion"/>
  </si>
  <si>
    <t>TK-621</t>
    <phoneticPr fontId="4" type="noConversion"/>
  </si>
  <si>
    <t>TK-622</t>
    <phoneticPr fontId="4" type="noConversion"/>
  </si>
  <si>
    <t>TK-631</t>
    <phoneticPr fontId="4" type="noConversion"/>
  </si>
  <si>
    <t>TK-643</t>
    <phoneticPr fontId="3" type="noConversion"/>
  </si>
  <si>
    <t>TK-645</t>
    <phoneticPr fontId="3" type="noConversion"/>
  </si>
  <si>
    <t>NMP-2</t>
    <phoneticPr fontId="3" type="noConversion"/>
  </si>
  <si>
    <t>TK-656</t>
    <phoneticPr fontId="3" type="noConversion"/>
  </si>
  <si>
    <t>TK-660</t>
    <phoneticPr fontId="3" type="noConversion"/>
  </si>
  <si>
    <t>TK-651</t>
    <phoneticPr fontId="3" type="noConversion"/>
  </si>
  <si>
    <t>TK-652</t>
    <phoneticPr fontId="3" type="noConversion"/>
  </si>
  <si>
    <t>TK-654</t>
    <phoneticPr fontId="3" type="noConversion"/>
  </si>
  <si>
    <t>TK-657</t>
    <phoneticPr fontId="3" type="noConversion"/>
  </si>
  <si>
    <t>TK-658</t>
    <phoneticPr fontId="3" type="noConversion"/>
  </si>
  <si>
    <t>TK-661</t>
    <phoneticPr fontId="3" type="noConversion"/>
  </si>
  <si>
    <t>TK-662</t>
    <phoneticPr fontId="3" type="noConversion"/>
  </si>
  <si>
    <t>TK-663</t>
    <phoneticPr fontId="3" type="noConversion"/>
  </si>
  <si>
    <t>TK-664</t>
    <phoneticPr fontId="3" type="noConversion"/>
  </si>
  <si>
    <t>TK-665</t>
    <phoneticPr fontId="3" type="noConversion"/>
  </si>
  <si>
    <t>TK-666</t>
    <phoneticPr fontId="3" type="noConversion"/>
  </si>
  <si>
    <t>TK-670</t>
    <phoneticPr fontId="3" type="noConversion"/>
  </si>
  <si>
    <t>記事欄</t>
    <phoneticPr fontId="3" type="noConversion"/>
  </si>
  <si>
    <r>
      <t>CPN環戊</t>
    </r>
    <r>
      <rPr>
        <sz val="14"/>
        <rFont val="細明體"/>
        <family val="3"/>
        <charset val="136"/>
      </rPr>
      <t>酮</t>
    </r>
    <phoneticPr fontId="3" type="noConversion"/>
  </si>
  <si>
    <t>CPN</t>
    <phoneticPr fontId="3" type="noConversion"/>
  </si>
  <si>
    <t>DPM-B1</t>
    <phoneticPr fontId="3" type="noConversion"/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</si>
  <si>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  <phoneticPr fontId="2" type="noConversion"/>
  </si>
  <si>
    <t>TK-671</t>
    <phoneticPr fontId="3" type="noConversion"/>
  </si>
  <si>
    <t>MIBC</t>
    <phoneticPr fontId="3" type="noConversion"/>
  </si>
  <si>
    <t>C08</t>
  </si>
  <si>
    <t>C09</t>
  </si>
  <si>
    <t>604A</t>
  </si>
  <si>
    <t>604B</t>
  </si>
  <si>
    <t>C01</t>
  </si>
  <si>
    <t>C07</t>
  </si>
  <si>
    <t>儲槽作業日報表</t>
    <phoneticPr fontId="3" type="noConversion"/>
  </si>
  <si>
    <t>待處理品</t>
    <phoneticPr fontId="2" type="noConversion"/>
  </si>
  <si>
    <t>成品</t>
    <phoneticPr fontId="2" type="noConversion"/>
  </si>
  <si>
    <t>原料</t>
    <phoneticPr fontId="2" type="noConversion"/>
  </si>
  <si>
    <t>TK-677</t>
  </si>
  <si>
    <t>TK-678</t>
  </si>
  <si>
    <t>TK-680</t>
  </si>
  <si>
    <t>TK-681</t>
  </si>
  <si>
    <t>TK-682</t>
  </si>
  <si>
    <t>TK-683</t>
  </si>
  <si>
    <t>TK-684</t>
  </si>
  <si>
    <t>TK-685</t>
  </si>
  <si>
    <t>TK-686</t>
  </si>
  <si>
    <t>TK-687</t>
  </si>
  <si>
    <t>TK-688</t>
  </si>
  <si>
    <t>TK-689</t>
  </si>
  <si>
    <t>TK-690</t>
  </si>
  <si>
    <t>TK-691</t>
  </si>
  <si>
    <t>TK-692</t>
  </si>
  <si>
    <t>TK-693</t>
  </si>
  <si>
    <t>TK-694</t>
  </si>
  <si>
    <t>TK-695</t>
  </si>
  <si>
    <t>TK-696</t>
  </si>
  <si>
    <t>TK-697</t>
  </si>
  <si>
    <t>TK-698</t>
  </si>
  <si>
    <t>EGE4</t>
    <phoneticPr fontId="2" type="noConversion"/>
  </si>
  <si>
    <t>TK-699</t>
  </si>
  <si>
    <t>CPNE4</t>
    <phoneticPr fontId="2" type="noConversion"/>
  </si>
  <si>
    <t>TK-611</t>
    <phoneticPr fontId="4" type="noConversion"/>
  </si>
  <si>
    <t>TK-613</t>
    <phoneticPr fontId="4" type="noConversion"/>
  </si>
  <si>
    <t>TK614</t>
    <phoneticPr fontId="4" type="noConversion"/>
  </si>
  <si>
    <t>TK-623</t>
    <phoneticPr fontId="4" type="noConversion"/>
  </si>
  <si>
    <t>TK-624</t>
    <phoneticPr fontId="4" type="noConversion"/>
  </si>
  <si>
    <t>TK-C01</t>
    <phoneticPr fontId="4" type="noConversion"/>
  </si>
  <si>
    <t>TK-C02</t>
    <phoneticPr fontId="4" type="noConversion"/>
  </si>
  <si>
    <t>TK-C03</t>
    <phoneticPr fontId="4" type="noConversion"/>
  </si>
  <si>
    <t>TK-C04</t>
    <phoneticPr fontId="4" type="noConversion"/>
  </si>
  <si>
    <t>TK-C05</t>
    <phoneticPr fontId="4" type="noConversion"/>
  </si>
  <si>
    <t>TK-C06</t>
    <phoneticPr fontId="4" type="noConversion"/>
  </si>
  <si>
    <t>TK-C07</t>
    <phoneticPr fontId="4" type="noConversion"/>
  </si>
  <si>
    <t>TK-C08</t>
    <phoneticPr fontId="4" type="noConversion"/>
  </si>
  <si>
    <t>TK-C09</t>
    <phoneticPr fontId="4" type="noConversion"/>
  </si>
  <si>
    <t>TK-632</t>
    <phoneticPr fontId="4" type="noConversion"/>
  </si>
  <si>
    <t>TK-633</t>
    <phoneticPr fontId="4" type="noConversion"/>
  </si>
  <si>
    <t>TK-634</t>
    <phoneticPr fontId="4" type="noConversion"/>
  </si>
  <si>
    <t>TK-642</t>
    <phoneticPr fontId="4" type="noConversion"/>
  </si>
  <si>
    <t>TK-653</t>
    <phoneticPr fontId="3" type="noConversion"/>
  </si>
  <si>
    <t>TK-655</t>
    <phoneticPr fontId="3" type="noConversion"/>
  </si>
  <si>
    <t>TK-659</t>
    <phoneticPr fontId="3" type="noConversion"/>
  </si>
  <si>
    <t>TK-667</t>
    <phoneticPr fontId="3" type="noConversion"/>
  </si>
  <si>
    <t>TK-668</t>
    <phoneticPr fontId="3" type="noConversion"/>
  </si>
  <si>
    <t>TK-669</t>
    <phoneticPr fontId="3" type="noConversion"/>
  </si>
  <si>
    <t>TK-672</t>
    <phoneticPr fontId="3" type="noConversion"/>
  </si>
  <si>
    <t xml:space="preserve"> TK-673</t>
    <phoneticPr fontId="3" type="noConversion"/>
  </si>
  <si>
    <t>TK-674</t>
    <phoneticPr fontId="3" type="noConversion"/>
  </si>
  <si>
    <t>TK-675</t>
    <phoneticPr fontId="3" type="noConversion"/>
  </si>
  <si>
    <t>TK-676</t>
    <phoneticPr fontId="3" type="noConversion"/>
  </si>
  <si>
    <t>底面積</t>
    <phoneticPr fontId="2" type="noConversion"/>
  </si>
  <si>
    <t>現為公升還要*密度=公斤KG</t>
    <phoneticPr fontId="2" type="noConversion"/>
  </si>
  <si>
    <t>最高液位</t>
    <phoneticPr fontId="2" type="noConversion"/>
  </si>
  <si>
    <t>675-678</t>
    <phoneticPr fontId="2" type="noConversion"/>
  </si>
  <si>
    <t>1mm</t>
    <phoneticPr fontId="2" type="noConversion"/>
  </si>
  <si>
    <t>4.6L</t>
    <phoneticPr fontId="2" type="noConversion"/>
  </si>
  <si>
    <t>桶底 1566L</t>
    <phoneticPr fontId="2" type="noConversion"/>
  </si>
  <si>
    <t>681-689,691</t>
    <phoneticPr fontId="2" type="noConversion"/>
  </si>
  <si>
    <t>18.322L</t>
    <phoneticPr fontId="2" type="noConversion"/>
  </si>
  <si>
    <t>桶底87L</t>
    <phoneticPr fontId="2" type="noConversion"/>
  </si>
  <si>
    <t>11.702L</t>
    <phoneticPr fontId="2" type="noConversion"/>
  </si>
  <si>
    <t>692-695</t>
    <phoneticPr fontId="2" type="noConversion"/>
  </si>
  <si>
    <t>35.891L</t>
    <phoneticPr fontId="2" type="noConversion"/>
  </si>
  <si>
    <t>696-699</t>
    <phoneticPr fontId="2" type="noConversion"/>
  </si>
  <si>
    <t>47.051L</t>
    <phoneticPr fontId="2" type="noConversion"/>
  </si>
  <si>
    <t>268.26L</t>
    <phoneticPr fontId="2" type="noConversion"/>
  </si>
  <si>
    <t>1026L</t>
    <phoneticPr fontId="2" type="noConversion"/>
  </si>
  <si>
    <t>514.88L</t>
    <phoneticPr fontId="2" type="noConversion"/>
  </si>
  <si>
    <t>2512.3L</t>
    <phoneticPr fontId="2" type="noConversion"/>
  </si>
  <si>
    <t>5453.1L</t>
    <phoneticPr fontId="2" type="noConversion"/>
  </si>
  <si>
    <t>液位</t>
    <phoneticPr fontId="2" type="noConversion"/>
  </si>
  <si>
    <t>CPNE3-R</t>
    <phoneticPr fontId="3" type="noConversion"/>
  </si>
  <si>
    <t xml:space="preserve">鴻勝化學科技股份有限公司                                    </t>
    <phoneticPr fontId="3" type="noConversion"/>
  </si>
  <si>
    <t xml:space="preserve">                                  </t>
    <phoneticPr fontId="2" type="noConversion"/>
  </si>
  <si>
    <t>500KL</t>
    <phoneticPr fontId="2" type="noConversion"/>
  </si>
  <si>
    <t>51.53L</t>
    <phoneticPr fontId="2" type="noConversion"/>
  </si>
  <si>
    <t>250KL</t>
    <phoneticPr fontId="2" type="noConversion"/>
  </si>
  <si>
    <t>33.183L</t>
    <phoneticPr fontId="2" type="noConversion"/>
  </si>
  <si>
    <t>125KL</t>
    <phoneticPr fontId="2" type="noConversion"/>
  </si>
  <si>
    <t>20.428L</t>
    <phoneticPr fontId="2" type="noConversion"/>
  </si>
  <si>
    <t>70KL</t>
    <phoneticPr fontId="2" type="noConversion"/>
  </si>
  <si>
    <t>50KL</t>
    <phoneticPr fontId="2" type="noConversion"/>
  </si>
  <si>
    <t>50KL
C01~C09
643,645</t>
    <phoneticPr fontId="2" type="noConversion"/>
  </si>
  <si>
    <t>上午:</t>
    <phoneticPr fontId="3" type="noConversion"/>
  </si>
  <si>
    <t>年       月       日</t>
    <phoneticPr fontId="3" type="noConversion"/>
  </si>
  <si>
    <t>備    註</t>
    <phoneticPr fontId="3" type="noConversion"/>
  </si>
  <si>
    <t>年         月         日</t>
    <phoneticPr fontId="3" type="noConversion"/>
  </si>
  <si>
    <t>槽　別</t>
    <phoneticPr fontId="3" type="noConversion"/>
  </si>
  <si>
    <t>液位(mm/%)</t>
    <phoneticPr fontId="3" type="noConversion"/>
  </si>
  <si>
    <t>數量(kg)</t>
    <phoneticPr fontId="4" type="noConversion"/>
  </si>
  <si>
    <t>溫度( ℃)</t>
    <phoneticPr fontId="3" type="noConversion"/>
  </si>
  <si>
    <r>
      <t>液位(</t>
    </r>
    <r>
      <rPr>
        <vertAlign val="superscript"/>
        <sz val="8"/>
        <rFont val="微軟正黑體"/>
        <family val="2"/>
        <charset val="136"/>
      </rPr>
      <t>mm</t>
    </r>
    <r>
      <rPr>
        <sz val="8"/>
        <rFont val="微軟正黑體"/>
        <family val="2"/>
        <charset val="136"/>
      </rPr>
      <t>/</t>
    </r>
    <r>
      <rPr>
        <vertAlign val="subscript"/>
        <sz val="8"/>
        <rFont val="微軟正黑體"/>
        <family val="2"/>
        <charset val="136"/>
      </rPr>
      <t>%</t>
    </r>
    <r>
      <rPr>
        <sz val="8"/>
        <rFont val="微軟正黑體"/>
        <family val="2"/>
        <charset val="136"/>
      </rPr>
      <t>)</t>
    </r>
    <phoneticPr fontId="4" type="noConversion"/>
  </si>
  <si>
    <t>總數量
(kg)</t>
    <phoneticPr fontId="3" type="noConversion"/>
  </si>
  <si>
    <t>經(副)理:</t>
    <phoneticPr fontId="4" type="noConversion"/>
  </si>
  <si>
    <t>課長:</t>
    <phoneticPr fontId="4" type="noConversion"/>
  </si>
  <si>
    <t>組(副)長:</t>
    <phoneticPr fontId="4" type="noConversion"/>
  </si>
  <si>
    <t>記錄員:</t>
    <phoneticPr fontId="4" type="noConversion"/>
  </si>
  <si>
    <t>EGHW</t>
    <phoneticPr fontId="3" type="noConversion"/>
  </si>
  <si>
    <t>GAA</t>
    <phoneticPr fontId="2" type="noConversion"/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</si>
  <si>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</si>
  <si>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</si>
  <si>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</si>
  <si>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</si>
  <si>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</si>
  <si>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</si>
  <si>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</si>
  <si>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</si>
  <si>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</si>
  <si>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</si>
  <si>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</si>
  <si>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</si>
  <si>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F14</t>
  </si>
  <si>
    <t>F15</t>
  </si>
  <si>
    <t>F16</t>
  </si>
  <si>
    <t>F17</t>
  </si>
  <si>
    <t>F18</t>
  </si>
  <si>
    <t>F20</t>
  </si>
  <si>
    <t>F21</t>
  </si>
  <si>
    <t>F23</t>
  </si>
  <si>
    <t>品名</t>
  </si>
  <si>
    <t>編號</t>
  </si>
  <si>
    <t>日期</t>
  </si>
  <si>
    <t>重量</t>
  </si>
  <si>
    <t>來源</t>
  </si>
  <si>
    <t>小計</t>
  </si>
  <si>
    <t>IPA-R1</t>
  </si>
  <si>
    <t>備註</t>
  </si>
  <si>
    <t>總量</t>
  </si>
  <si>
    <t xml:space="preserve"> </t>
  </si>
  <si>
    <t>20170627</t>
  </si>
  <si>
    <t>80</t>
  </si>
  <si>
    <t>320</t>
  </si>
  <si>
    <t>BDGE</t>
  </si>
  <si>
    <t>50</t>
  </si>
  <si>
    <t>170</t>
  </si>
  <si>
    <t>160</t>
  </si>
  <si>
    <t>30</t>
  </si>
  <si>
    <t>20161229</t>
  </si>
  <si>
    <t>90</t>
  </si>
  <si>
    <t>60</t>
  </si>
  <si>
    <t>150</t>
  </si>
  <si>
    <t>20170126</t>
  </si>
  <si>
    <t>40</t>
  </si>
  <si>
    <t>GAAHW</t>
  </si>
  <si>
    <t>TK-602</t>
  </si>
  <si>
    <t>420</t>
  </si>
  <si>
    <t>ANONEHW</t>
  </si>
  <si>
    <t>220</t>
  </si>
  <si>
    <t>100</t>
  </si>
  <si>
    <t>ACTHW</t>
  </si>
  <si>
    <t>110</t>
  </si>
  <si>
    <t>180</t>
  </si>
  <si>
    <t>GBLHW</t>
  </si>
  <si>
    <t>3/19</t>
  </si>
  <si>
    <t>E-12</t>
  </si>
  <si>
    <t>8/26</t>
  </si>
  <si>
    <t>6/26</t>
  </si>
  <si>
    <t>53GL(20150916送驗)</t>
  </si>
  <si>
    <t>2/10</t>
  </si>
  <si>
    <t>115</t>
  </si>
  <si>
    <t>GB8704</t>
  </si>
  <si>
    <t>9/15</t>
  </si>
  <si>
    <t>6/22</t>
  </si>
  <si>
    <t>11/18</t>
  </si>
  <si>
    <t>5/27</t>
  </si>
  <si>
    <t>10</t>
  </si>
  <si>
    <t>9/27</t>
  </si>
  <si>
    <t>470</t>
  </si>
  <si>
    <t>20160223</t>
  </si>
  <si>
    <t>161126</t>
  </si>
  <si>
    <t>E-39</t>
  </si>
  <si>
    <t>20131211破桶換桶 970(20150916送驗)</t>
  </si>
  <si>
    <t>GB8705</t>
  </si>
  <si>
    <t>5/6</t>
  </si>
  <si>
    <t>230</t>
  </si>
  <si>
    <t>6/9</t>
  </si>
  <si>
    <t>10/15</t>
  </si>
  <si>
    <t>11/15</t>
  </si>
  <si>
    <t>20140409</t>
  </si>
  <si>
    <t>20150304</t>
  </si>
  <si>
    <t>20150511</t>
  </si>
  <si>
    <t>20150709</t>
  </si>
  <si>
    <t>20151214</t>
  </si>
  <si>
    <t>70</t>
  </si>
  <si>
    <t>(20150916送驗)</t>
  </si>
  <si>
    <t>20140521</t>
  </si>
  <si>
    <t>20141030</t>
  </si>
  <si>
    <t>1GAL</t>
  </si>
  <si>
    <t>20141222</t>
  </si>
  <si>
    <t>20141231</t>
  </si>
  <si>
    <t>20160324</t>
  </si>
  <si>
    <t>20160530</t>
  </si>
  <si>
    <t>20160831</t>
  </si>
  <si>
    <t>130</t>
  </si>
  <si>
    <t>GB8706-1</t>
  </si>
  <si>
    <t>GB8706-2</t>
  </si>
  <si>
    <t>53GL*2(20150916送驗)</t>
  </si>
  <si>
    <t>GB8707</t>
  </si>
  <si>
    <t>E39</t>
  </si>
  <si>
    <t>20170223</t>
  </si>
  <si>
    <t>GB8708</t>
  </si>
  <si>
    <t>NMPHW</t>
  </si>
  <si>
    <t>1010</t>
  </si>
  <si>
    <t>670</t>
  </si>
  <si>
    <t>MEK</t>
  </si>
  <si>
    <t>20</t>
  </si>
  <si>
    <t>EGHW</t>
  </si>
  <si>
    <t>140</t>
  </si>
  <si>
    <t>EEP</t>
  </si>
  <si>
    <t>400</t>
  </si>
  <si>
    <t>190</t>
  </si>
  <si>
    <t>120</t>
  </si>
  <si>
    <t>PG</t>
  </si>
  <si>
    <t>-30</t>
  </si>
  <si>
    <t>-20</t>
  </si>
  <si>
    <t>270</t>
  </si>
  <si>
    <t>1DPM-1
(DPM HAV)</t>
  </si>
  <si>
    <t>總量統計</t>
  </si>
  <si>
    <t>IPA</t>
  </si>
  <si>
    <t>EBR</t>
  </si>
  <si>
    <t>SEP05(E2)</t>
  </si>
  <si>
    <t>GAA</t>
  </si>
  <si>
    <t>ANONE</t>
  </si>
  <si>
    <t>#REF!</t>
  </si>
  <si>
    <t>5,609.0</t>
  </si>
  <si>
    <t>50.0</t>
  </si>
  <si>
    <t>ACT</t>
  </si>
  <si>
    <t>GBL</t>
  </si>
  <si>
    <t>NMP</t>
  </si>
  <si>
    <t>EG</t>
  </si>
  <si>
    <t>DPM HAV</t>
  </si>
  <si>
    <t>Sulfolane</t>
  </si>
  <si>
    <t>83.0</t>
  </si>
  <si>
    <t>4,050.0</t>
  </si>
  <si>
    <t>897.0</t>
  </si>
  <si>
    <t>103.0</t>
  </si>
  <si>
    <t>請直接以10進位，謝謝</t>
  </si>
  <si>
    <t>F19</t>
  </si>
  <si>
    <t>F24</t>
  </si>
  <si>
    <t>F25</t>
  </si>
  <si>
    <t>F26</t>
  </si>
  <si>
    <t>F27</t>
  </si>
  <si>
    <t>F28</t>
  </si>
  <si>
    <t>水份</t>
  </si>
  <si>
    <t>I9101</t>
  </si>
  <si>
    <t>20240326</t>
  </si>
  <si>
    <t>TK-604</t>
  </si>
  <si>
    <t>20240424</t>
  </si>
  <si>
    <t>I9102</t>
  </si>
  <si>
    <t>I9103</t>
  </si>
  <si>
    <t>C41</t>
  </si>
  <si>
    <t>I9104</t>
  </si>
  <si>
    <t>I9105</t>
  </si>
  <si>
    <t xml:space="preserve">1EBRHW
</t>
  </si>
  <si>
    <t>I9106</t>
  </si>
  <si>
    <t>I9107</t>
  </si>
  <si>
    <t>I9108</t>
  </si>
  <si>
    <t>I9109</t>
  </si>
  <si>
    <t>I9110</t>
  </si>
  <si>
    <t>I9111</t>
  </si>
  <si>
    <t>I9112</t>
  </si>
  <si>
    <t>I9113</t>
  </si>
  <si>
    <t>I9114</t>
  </si>
  <si>
    <t>I9115</t>
  </si>
  <si>
    <t>CPNE3</t>
  </si>
  <si>
    <t>I9116</t>
  </si>
  <si>
    <t>I9117</t>
  </si>
  <si>
    <t>CPNHW
(OEM)</t>
  </si>
  <si>
    <t>I9118</t>
  </si>
  <si>
    <t>I9119</t>
  </si>
  <si>
    <t>I9120</t>
  </si>
  <si>
    <t>I9121</t>
  </si>
  <si>
    <t>M
I
B
C
H
W</t>
  </si>
  <si>
    <t>R9101</t>
  </si>
  <si>
    <t>TK-601</t>
  </si>
  <si>
    <t>R9102</t>
  </si>
  <si>
    <t>290</t>
  </si>
  <si>
    <t>R9103</t>
  </si>
  <si>
    <t>0</t>
  </si>
  <si>
    <t>R9104</t>
  </si>
  <si>
    <t>R9105</t>
  </si>
  <si>
    <t>R9106</t>
  </si>
  <si>
    <t>R9107</t>
  </si>
  <si>
    <t>R9108</t>
  </si>
  <si>
    <t>R9109</t>
  </si>
  <si>
    <t>R9110</t>
  </si>
  <si>
    <t>G9101</t>
  </si>
  <si>
    <t>G9102</t>
  </si>
  <si>
    <t>G9103</t>
  </si>
  <si>
    <t>G9104</t>
  </si>
  <si>
    <t>G9105</t>
  </si>
  <si>
    <t>G9106</t>
  </si>
  <si>
    <t>G9107</t>
  </si>
  <si>
    <t>G9108</t>
  </si>
  <si>
    <t>AN9101</t>
  </si>
  <si>
    <t>AN9102</t>
  </si>
  <si>
    <t>-</t>
  </si>
  <si>
    <t>A9101</t>
  </si>
  <si>
    <t>20240425</t>
  </si>
  <si>
    <t>690</t>
  </si>
  <si>
    <t>A9102</t>
  </si>
  <si>
    <t>A9103</t>
  </si>
  <si>
    <t>A9104</t>
  </si>
  <si>
    <t>A9105</t>
  </si>
  <si>
    <t>A9106</t>
  </si>
  <si>
    <t>A9107</t>
  </si>
  <si>
    <t>A9108</t>
  </si>
  <si>
    <t>S208</t>
  </si>
  <si>
    <t>GB9101</t>
  </si>
  <si>
    <t>20210315</t>
  </si>
  <si>
    <t>-50</t>
  </si>
  <si>
    <t>換桶</t>
  </si>
  <si>
    <t>910</t>
  </si>
  <si>
    <t>1140</t>
  </si>
  <si>
    <t>20200818</t>
  </si>
  <si>
    <t>1130</t>
  </si>
  <si>
    <t>20161126</t>
  </si>
  <si>
    <t>2020/7/16</t>
  </si>
  <si>
    <t>研發取用</t>
  </si>
  <si>
    <t>1110</t>
  </si>
  <si>
    <t>20170728</t>
  </si>
  <si>
    <t>20170829</t>
  </si>
  <si>
    <t>20170927</t>
  </si>
  <si>
    <t>20171030</t>
  </si>
  <si>
    <t>20171129</t>
  </si>
  <si>
    <t>20171228</t>
  </si>
  <si>
    <t>20180129</t>
  </si>
  <si>
    <t>20180205</t>
  </si>
  <si>
    <t>-40</t>
  </si>
  <si>
    <t>20180328</t>
  </si>
  <si>
    <t>20180426</t>
  </si>
  <si>
    <t>20180530</t>
  </si>
  <si>
    <t>20180628</t>
  </si>
  <si>
    <t>20181130</t>
  </si>
  <si>
    <t>1150</t>
  </si>
  <si>
    <t>20180730</t>
  </si>
  <si>
    <t>20180890</t>
  </si>
  <si>
    <t>20180927</t>
  </si>
  <si>
    <t>20181030</t>
  </si>
  <si>
    <t>20181227</t>
  </si>
  <si>
    <t>20190130</t>
  </si>
  <si>
    <t>20190226</t>
  </si>
  <si>
    <t>20190328</t>
  </si>
  <si>
    <t>20190429</t>
  </si>
  <si>
    <t>20190530</t>
  </si>
  <si>
    <t>20190628</t>
  </si>
  <si>
    <t>20190730</t>
  </si>
  <si>
    <t>20190816</t>
  </si>
  <si>
    <t>GB8709</t>
  </si>
  <si>
    <t>20190829</t>
  </si>
  <si>
    <t>20190927</t>
  </si>
  <si>
    <t>20191029</t>
  </si>
  <si>
    <t>20191128</t>
  </si>
  <si>
    <t>20191226</t>
  </si>
  <si>
    <t>20200130</t>
  </si>
  <si>
    <t>20200226</t>
  </si>
  <si>
    <t>20200326</t>
  </si>
  <si>
    <t>20200430</t>
  </si>
  <si>
    <t>20200529</t>
  </si>
  <si>
    <t>20200629</t>
  </si>
  <si>
    <t>20200730</t>
  </si>
  <si>
    <t>20200827</t>
  </si>
  <si>
    <t>20200928</t>
  </si>
  <si>
    <t>20201028</t>
  </si>
  <si>
    <t>20201127</t>
  </si>
  <si>
    <t>GB9110</t>
  </si>
  <si>
    <t>20201225</t>
  </si>
  <si>
    <t>20210129</t>
  </si>
  <si>
    <t>20210224</t>
  </si>
  <si>
    <t>20210326</t>
  </si>
  <si>
    <t>1090</t>
  </si>
  <si>
    <t>20210427</t>
  </si>
  <si>
    <t>20210527</t>
  </si>
  <si>
    <t>20210629</t>
  </si>
  <si>
    <t>20210728</t>
  </si>
  <si>
    <t>20210826</t>
  </si>
  <si>
    <t>20210928</t>
  </si>
  <si>
    <t>20211027</t>
  </si>
  <si>
    <t>20211130</t>
  </si>
  <si>
    <t>20211229</t>
  </si>
  <si>
    <t>20220117</t>
  </si>
  <si>
    <t>GB9111</t>
  </si>
  <si>
    <t>20220126</t>
  </si>
  <si>
    <t>20220223</t>
  </si>
  <si>
    <t>20220329</t>
  </si>
  <si>
    <t>20220427</t>
  </si>
  <si>
    <t>20220629</t>
  </si>
  <si>
    <t>1080</t>
  </si>
  <si>
    <t>20220725</t>
  </si>
  <si>
    <t>20220826</t>
  </si>
  <si>
    <t>20220928</t>
  </si>
  <si>
    <t>20221025</t>
  </si>
  <si>
    <t>20221229</t>
  </si>
  <si>
    <t>20230130</t>
  </si>
  <si>
    <t>20230222</t>
  </si>
  <si>
    <t>20230327</t>
  </si>
  <si>
    <t>20230425</t>
  </si>
  <si>
    <t>20230529</t>
  </si>
  <si>
    <t>20230628</t>
  </si>
  <si>
    <t>20230725</t>
  </si>
  <si>
    <t>20230828</t>
  </si>
  <si>
    <t>20230926</t>
  </si>
  <si>
    <t>20231025</t>
  </si>
  <si>
    <t>GB9112</t>
  </si>
  <si>
    <t>20231122</t>
  </si>
  <si>
    <t>20231226</t>
  </si>
  <si>
    <t>8,920</t>
  </si>
  <si>
    <t>E9101</t>
  </si>
  <si>
    <t>E9102</t>
  </si>
  <si>
    <t>20240226</t>
  </si>
  <si>
    <t>350</t>
  </si>
  <si>
    <t>TK603</t>
  </si>
  <si>
    <t>E9103</t>
  </si>
  <si>
    <t>E9104</t>
  </si>
  <si>
    <t>E9105</t>
  </si>
  <si>
    <t>990</t>
  </si>
  <si>
    <t>285</t>
  </si>
  <si>
    <t>20240124</t>
  </si>
  <si>
    <t>20240202</t>
  </si>
  <si>
    <t>E9107</t>
  </si>
  <si>
    <t>E9108</t>
  </si>
  <si>
    <t>E9109</t>
  </si>
  <si>
    <t>E9110</t>
  </si>
  <si>
    <t>E9111</t>
  </si>
  <si>
    <t>C9101</t>
  </si>
  <si>
    <t>C9102</t>
  </si>
  <si>
    <t>C9103</t>
  </si>
  <si>
    <t>C9104</t>
  </si>
  <si>
    <t>20240426</t>
  </si>
  <si>
    <t>870</t>
  </si>
  <si>
    <t>C9105</t>
  </si>
  <si>
    <t>C9106</t>
  </si>
  <si>
    <t>C9107</t>
  </si>
  <si>
    <t>C9108</t>
  </si>
  <si>
    <t>C9109</t>
  </si>
  <si>
    <t>C9110</t>
  </si>
  <si>
    <t>C9111</t>
  </si>
  <si>
    <t>C9112</t>
  </si>
  <si>
    <t>C9113</t>
  </si>
  <si>
    <t>C9114</t>
  </si>
  <si>
    <t>C9115</t>
  </si>
  <si>
    <t>N9101</t>
  </si>
  <si>
    <t>20240320</t>
  </si>
  <si>
    <t>930</t>
  </si>
  <si>
    <t>N9102</t>
  </si>
  <si>
    <t>N9103</t>
  </si>
  <si>
    <t>TK611</t>
  </si>
  <si>
    <t>20240401</t>
  </si>
  <si>
    <t>N9104</t>
  </si>
  <si>
    <t>940</t>
  </si>
  <si>
    <t>N9105</t>
  </si>
  <si>
    <t>N9106</t>
  </si>
  <si>
    <t>N9107</t>
  </si>
  <si>
    <t>N9108</t>
  </si>
  <si>
    <t>N9109</t>
  </si>
  <si>
    <t>N9110</t>
  </si>
  <si>
    <t>N9111</t>
  </si>
  <si>
    <t>N9112</t>
  </si>
  <si>
    <t>N9113</t>
  </si>
  <si>
    <t>N9114</t>
  </si>
  <si>
    <t>N9115</t>
  </si>
  <si>
    <t>N9116</t>
  </si>
  <si>
    <t>N
S
E
H
W</t>
  </si>
  <si>
    <t>NS9101</t>
  </si>
  <si>
    <t>NS9102</t>
  </si>
  <si>
    <t>M9101</t>
  </si>
  <si>
    <t>20220407</t>
  </si>
  <si>
    <t>20230428</t>
  </si>
  <si>
    <t>TK667</t>
  </si>
  <si>
    <t>M9102</t>
  </si>
  <si>
    <t>M9103</t>
  </si>
  <si>
    <t>M9104</t>
  </si>
  <si>
    <t>M9105</t>
  </si>
  <si>
    <t>2,030</t>
  </si>
  <si>
    <t>D9101</t>
  </si>
  <si>
    <t>D9102</t>
  </si>
  <si>
    <t>D9103</t>
  </si>
  <si>
    <t>D9104</t>
  </si>
  <si>
    <t>D9105</t>
  </si>
  <si>
    <t>c</t>
  </si>
  <si>
    <t xml:space="preserve"> </t>
    <phoneticPr fontId="3" type="noConversion"/>
  </si>
  <si>
    <t>20240528</t>
  </si>
  <si>
    <t>250</t>
  </si>
  <si>
    <t>20240516</t>
  </si>
  <si>
    <t>840</t>
  </si>
  <si>
    <t>(回收液)</t>
  </si>
  <si>
    <t>1,440</t>
  </si>
  <si>
    <t>310</t>
  </si>
  <si>
    <t>730</t>
  </si>
  <si>
    <t>200</t>
  </si>
  <si>
    <t>890</t>
  </si>
  <si>
    <t>1030</t>
  </si>
  <si>
    <t>E9106
(5/30重驗)</t>
  </si>
  <si>
    <t>360</t>
  </si>
  <si>
    <t>20240523</t>
  </si>
  <si>
    <t>850</t>
  </si>
  <si>
    <t>880</t>
  </si>
  <si>
    <t>630</t>
  </si>
  <si>
    <t>202406XX</t>
  </si>
  <si>
    <t>TK675等單</t>
  </si>
  <si>
    <t>20240619</t>
  </si>
  <si>
    <t>530</t>
  </si>
  <si>
    <t>2024/6/24 14:52</t>
  </si>
  <si>
    <t>標記1</t>
  </si>
  <si>
    <t>標記2</t>
  </si>
  <si>
    <t>960</t>
  </si>
  <si>
    <t>1020</t>
  </si>
  <si>
    <t>7,100</t>
  </si>
  <si>
    <t>20240624</t>
  </si>
  <si>
    <t>810</t>
  </si>
  <si>
    <t>860</t>
  </si>
  <si>
    <t>9310</t>
  </si>
  <si>
    <t>830</t>
  </si>
  <si>
    <t>3,880</t>
  </si>
  <si>
    <t>2,270.0</t>
  </si>
  <si>
    <t>CPNE4R</t>
    <phoneticPr fontId="2" type="noConversion"/>
  </si>
  <si>
    <t>PMUPS</t>
    <phoneticPr fontId="3" type="noConversion"/>
  </si>
  <si>
    <t>待處理廢水</t>
    <phoneticPr fontId="2" type="noConversion"/>
  </si>
  <si>
    <t>EBR-P1R</t>
  </si>
  <si>
    <t>NMPUPS</t>
    <phoneticPr fontId="3" type="noConversion"/>
  </si>
  <si>
    <t>ACTUPS</t>
    <phoneticPr fontId="3" type="noConversion"/>
  </si>
  <si>
    <t>EGUPS</t>
  </si>
  <si>
    <t>EGUPS</t>
    <phoneticPr fontId="3" type="noConversion"/>
  </si>
  <si>
    <t>IPAUPS</t>
  </si>
  <si>
    <t>IPAUPS</t>
    <phoneticPr fontId="3" type="noConversion"/>
  </si>
  <si>
    <t>EBR-P1</t>
    <phoneticPr fontId="3" type="noConversion"/>
  </si>
  <si>
    <t>CPN-P1</t>
    <phoneticPr fontId="3" type="noConversion"/>
  </si>
  <si>
    <t>CPN-P1R</t>
  </si>
  <si>
    <t>IPAHW</t>
    <phoneticPr fontId="3" type="noConversion"/>
  </si>
  <si>
    <t>HEAVY ENDS</t>
    <phoneticPr fontId="3" type="noConversion"/>
  </si>
  <si>
    <t>CPN-R</t>
    <phoneticPr fontId="3" type="noConversion"/>
  </si>
  <si>
    <t>NBAC-P1</t>
    <phoneticPr fontId="3" type="noConversion"/>
  </si>
  <si>
    <t>NBAC-P1R</t>
    <phoneticPr fontId="3" type="noConversion"/>
  </si>
  <si>
    <t>CPNE3</t>
    <phoneticPr fontId="3" type="noConversion"/>
  </si>
  <si>
    <t>CPN</t>
  </si>
  <si>
    <t>SEP73E3</t>
    <phoneticPr fontId="3" type="noConversion"/>
  </si>
  <si>
    <t>GAAUPS</t>
    <phoneticPr fontId="3" type="noConversion"/>
  </si>
  <si>
    <t>IPAHQ</t>
    <phoneticPr fontId="2" type="noConversion"/>
  </si>
  <si>
    <t>CPNE3(T)</t>
    <phoneticPr fontId="2" type="noConversion"/>
  </si>
  <si>
    <t>CPN</t>
    <phoneticPr fontId="2" type="noConversion"/>
  </si>
  <si>
    <t>IPA</t>
    <phoneticPr fontId="2" type="noConversion"/>
  </si>
  <si>
    <t>EBR-P1</t>
    <phoneticPr fontId="2" type="noConversion"/>
  </si>
  <si>
    <t>C50110-INV-01(01)</t>
    <phoneticPr fontId="3" type="noConversion"/>
  </si>
  <si>
    <t>DPM-1</t>
    <phoneticPr fontId="3" type="noConversion"/>
  </si>
  <si>
    <t>CPNE3</t>
    <phoneticPr fontId="2" type="noConversion"/>
  </si>
  <si>
    <t xml:space="preserve"> 液位</t>
  </si>
  <si>
    <t>待處理廢水</t>
    <phoneticPr fontId="3" type="noConversion"/>
  </si>
  <si>
    <r>
      <t>EBR</t>
    </r>
    <r>
      <rPr>
        <sz val="7"/>
        <color rgb="FFC00000"/>
        <rFont val="微軟正黑體"/>
        <family val="2"/>
        <charset val="136"/>
      </rPr>
      <t>廢溶劑</t>
    </r>
    <phoneticPr fontId="3" type="noConversion"/>
  </si>
  <si>
    <t>EBR95</t>
    <phoneticPr fontId="3" type="noConversion"/>
  </si>
  <si>
    <t>蘇明宏</t>
    <phoneticPr fontId="2" type="noConversion"/>
  </si>
  <si>
    <t>PMA-C</t>
    <phoneticPr fontId="3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</si>
  <si>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26
蒸氣壓力 ______ (最低氣溫低於16度開啟)</t>
    <phoneticPr fontId="3" type="noConversion"/>
  </si>
  <si>
    <t>洪源松</t>
    <phoneticPr fontId="2" type="noConversion"/>
  </si>
  <si>
    <t>1.儲槽集水井是否關閉(雨天時打開)______
2.馬達pump是否關閉________________
3.現場是否有洩漏__________________
4.儲槽壓力是否正常________________ 
5.儲槽周邊是否異常________________ 
6.現場1T桶GHS標示是否脫落或模糊 ______ 
7.蒸氣是否開啟 ______   當天預報最低氣溫 33
蒸氣壓力 ______ (最低氣溫低於16度開啟)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</si>
</sst>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9">
    <numFmt numFmtId="176" formatCode="_(&quot;$&quot;* #,##0.00_);_(&quot;$&quot;* \(#,##0.00\);_(&quot;$&quot;* &quot;-&quot;??_);_(@_)"/>
    <numFmt numFmtId="177" formatCode="_(* #,##0.00_);_(* \(#,##0.00\);_(* &quot;-&quot;??_);_(@_)"/>
    <numFmt numFmtId="178" formatCode="0_);[Red]\(0\)"/>
    <numFmt numFmtId="179" formatCode="0_ "/>
    <numFmt numFmtId="180" formatCode="#,##0.0000"/>
    <numFmt numFmtId="181" formatCode="0.0000_ "/>
    <numFmt numFmtId="182" formatCode="0.0000"/>
    <numFmt numFmtId="183" formatCode="[&lt;0]&quot;0&quot;;0"/>
    <numFmt numFmtId="184" formatCode="m&quot;月&quot;d&quot;日&quot;"/>
  </numFmts>
  <fonts count="36">
    <font>
      <sz val="12"/>
      <color theme="1"/>
      <name val="新細明體"/>
      <family val="2"/>
      <scheme val="minor"/>
    </font>
    <font>
      <sz val="12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9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新細明體"/>
      <family val="1"/>
      <charset val="136"/>
      <scheme val="minor"/>
    </font>
    <font>
      <sz val="12"/>
      <name val="DotumChe"/>
      <family val="3"/>
      <charset val="129"/>
    </font>
    <font>
      <sz val="12"/>
      <name val="細明體"/>
      <family val="3"/>
      <charset val="136"/>
    </font>
    <font>
      <sz val="14"/>
      <name val="DotumChe"/>
      <family val="3"/>
      <charset val="129"/>
    </font>
    <font>
      <b/>
      <sz val="14"/>
      <color rgb="FF0000FF"/>
      <name val="DotumChe"/>
      <family val="3"/>
      <charset val="129"/>
    </font>
    <font>
      <sz val="14"/>
      <name val="細明體"/>
      <family val="3"/>
      <charset val="136"/>
    </font>
    <font>
      <sz val="18"/>
      <color rgb="FFFF0000"/>
      <name val="微軟正黑體"/>
      <family val="2"/>
      <charset val="136"/>
    </font>
    <font>
      <b/>
      <sz val="12"/>
      <name val="微軟正黑體"/>
      <family val="2"/>
      <charset val="136"/>
    </font>
    <font>
      <sz val="12"/>
      <name val="微軟正黑體"/>
      <family val="2"/>
      <charset val="136"/>
    </font>
    <font>
      <sz val="14"/>
      <name val="微軟正黑體"/>
      <family val="2"/>
      <charset val="136"/>
    </font>
    <font>
      <sz val="6"/>
      <name val="微軟正黑體"/>
      <family val="2"/>
      <charset val="136"/>
    </font>
    <font>
      <sz val="16"/>
      <name val="微軟正黑體"/>
      <family val="2"/>
      <charset val="136"/>
    </font>
    <font>
      <sz val="10"/>
      <name val="微軟正黑體"/>
      <family val="2"/>
      <charset val="136"/>
    </font>
    <font>
      <sz val="11"/>
      <name val="微軟正黑體"/>
      <family val="2"/>
      <charset val="136"/>
    </font>
    <font>
      <sz val="14"/>
      <color rgb="FFFF0000"/>
      <name val="微軟正黑體"/>
      <family val="2"/>
      <charset val="136"/>
    </font>
    <font>
      <sz val="8"/>
      <name val="微軟正黑體"/>
      <family val="2"/>
      <charset val="136"/>
    </font>
    <font>
      <u/>
      <sz val="16"/>
      <name val="微軟正黑體"/>
      <family val="2"/>
      <charset val="136"/>
    </font>
    <font>
      <sz val="9"/>
      <name val="微軟正黑體"/>
      <family val="2"/>
      <charset val="136"/>
    </font>
    <font>
      <vertAlign val="superscript"/>
      <sz val="8"/>
      <name val="微軟正黑體"/>
      <family val="2"/>
      <charset val="136"/>
    </font>
    <font>
      <vertAlign val="subscript"/>
      <sz val="8"/>
      <name val="微軟正黑體"/>
      <family val="2"/>
      <charset val="136"/>
    </font>
    <font>
      <u/>
      <sz val="9"/>
      <name val="微軟正黑體"/>
      <family val="2"/>
      <charset val="136"/>
    </font>
    <font>
      <sz val="7"/>
      <name val="微軟正黑體"/>
      <family val="2"/>
      <charset val="136"/>
    </font>
    <font>
      <sz val="9"/>
      <color theme="1"/>
      <name val="微軟正黑體"/>
      <family val="2"/>
      <charset val="136"/>
    </font>
    <font>
      <sz val="7.5"/>
      <name val="微軟正黑體"/>
      <family val="2"/>
      <charset val="136"/>
    </font>
    <font>
      <u/>
      <sz val="9"/>
      <color theme="7" tint="-0.499984740745262"/>
      <name val="微軟正黑體"/>
      <family val="2"/>
      <charset val="136"/>
    </font>
    <font>
      <sz val="9"/>
      <color theme="7" tint="-0.499984740745262"/>
      <name val="微軟正黑體"/>
      <family val="2"/>
      <charset val="136"/>
    </font>
    <font>
      <sz val="8.5"/>
      <name val="微軟正黑體"/>
      <family val="2"/>
      <charset val="136"/>
    </font>
    <font>
      <b/>
      <sz val="22"/>
      <name val="微軟正黑體"/>
      <family val="2"/>
      <charset val="136"/>
    </font>
    <font>
      <sz val="8"/>
      <color rgb="FFC00000"/>
      <name val="微軟正黑體"/>
      <family val="2"/>
      <charset val="136"/>
    </font>
    <font>
      <sz val="7"/>
      <color rgb="FFC00000"/>
      <name val="微軟正黑體"/>
      <family val="2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59999389629810485"/>
        <bgColor indexed="64"/>
      </patternFill>
    </fill>
  </fills>
  <borders count="6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/>
      <bottom style="double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dashed">
        <color indexed="64"/>
      </left>
      <right style="dashed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 style="dotted">
        <color indexed="64"/>
      </bottom>
      <diagonal/>
    </border>
    <border>
      <left style="dashed">
        <color indexed="64"/>
      </left>
      <right style="dashed">
        <color indexed="64"/>
      </right>
      <top style="hair">
        <color indexed="64"/>
      </top>
      <bottom style="dotted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hair">
        <color indexed="64"/>
      </bottom>
      <diagonal/>
    </border>
    <border>
      <left style="dashed">
        <color indexed="64"/>
      </left>
      <right style="dashed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double">
        <color indexed="64"/>
      </bottom>
      <diagonal/>
    </border>
    <border>
      <left/>
      <right style="dashed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/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double">
        <color indexed="64"/>
      </right>
      <top style="hair">
        <color indexed="64"/>
      </top>
      <bottom style="double">
        <color indexed="64"/>
      </bottom>
      <diagonal/>
    </border>
    <border>
      <left style="double">
        <color indexed="64"/>
      </left>
      <right/>
      <top/>
      <bottom/>
      <diagonal/>
    </border>
  </borders>
  <cellStyleXfs count="23">
    <xf numFmtId="0" fontId="0" fillId="0" borderId="0"/>
    <xf numFmtId="0" fontId="1" fillId="0" borderId="0"/>
    <xf numFmtId="0" fontId="1" fillId="0" borderId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5" fillId="0" borderId="0">
      <alignment vertical="center"/>
    </xf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  <xf numFmtId="177" fontId="1" fillId="0" borderId="0" applyFont="0" applyFill="0" applyBorder="0" applyAlignment="0" applyProtection="0"/>
    <xf numFmtId="176" fontId="1" fillId="0" borderId="0" applyFont="0" applyFill="0" applyBorder="0" applyAlignment="0" applyProtection="0"/>
  </cellStyleXfs>
  <cellXfs count="245">
    <xf numFmtId="0" fontId="0" fillId="0" borderId="0" xfId="0"/>
    <xf numFmtId="0" fontId="6" fillId="3" borderId="5" xfId="1" applyFont="1" applyFill="1" applyBorder="1" applyAlignment="1">
      <alignment horizontal="left" vertical="center" wrapText="1"/>
    </xf>
    <xf numFmtId="0" fontId="8" fillId="3" borderId="17" xfId="1" applyFont="1" applyFill="1" applyBorder="1" applyAlignment="1">
      <alignment horizontal="center" vertical="center"/>
    </xf>
    <xf numFmtId="49" fontId="9" fillId="4" borderId="17" xfId="1" applyNumberFormat="1" applyFont="1" applyFill="1" applyBorder="1" applyAlignment="1">
      <alignment horizontal="center" vertical="center"/>
    </xf>
    <xf numFmtId="0" fontId="8" fillId="3" borderId="17" xfId="1" applyFont="1" applyFill="1" applyBorder="1" applyAlignment="1">
      <alignment horizontal="center" vertical="center" wrapText="1"/>
    </xf>
    <xf numFmtId="180" fontId="9" fillId="4" borderId="17" xfId="1" applyNumberFormat="1" applyFont="1" applyFill="1" applyBorder="1" applyAlignment="1">
      <alignment horizontal="center" vertical="center" wrapText="1"/>
    </xf>
    <xf numFmtId="0" fontId="8" fillId="0" borderId="0" xfId="1" applyFont="1" applyAlignment="1">
      <alignment vertical="center"/>
    </xf>
    <xf numFmtId="0" fontId="8" fillId="0" borderId="18" xfId="1" applyFont="1" applyFill="1" applyBorder="1" applyAlignment="1">
      <alignment horizontal="center" vertical="center" wrapText="1"/>
    </xf>
    <xf numFmtId="0" fontId="8" fillId="0" borderId="19" xfId="1" applyFont="1" applyFill="1" applyBorder="1" applyAlignment="1">
      <alignment horizontal="center" vertical="center"/>
    </xf>
    <xf numFmtId="0" fontId="8" fillId="4" borderId="19" xfId="1" applyFont="1" applyFill="1" applyBorder="1" applyAlignment="1">
      <alignment horizontal="center" vertical="center"/>
    </xf>
    <xf numFmtId="0" fontId="8" fillId="0" borderId="19" xfId="1" applyFont="1" applyFill="1" applyBorder="1" applyAlignment="1">
      <alignment horizontal="center" vertical="center" wrapText="1"/>
    </xf>
    <xf numFmtId="181" fontId="8" fillId="0" borderId="19" xfId="1" applyNumberFormat="1" applyFont="1" applyFill="1" applyBorder="1" applyAlignment="1">
      <alignment horizontal="center" vertical="center"/>
    </xf>
    <xf numFmtId="0" fontId="8" fillId="0" borderId="0" xfId="1" applyFont="1" applyFill="1" applyBorder="1" applyAlignment="1">
      <alignment horizontal="center" vertical="center"/>
    </xf>
    <xf numFmtId="0" fontId="8" fillId="0" borderId="0" xfId="1" applyFont="1" applyFill="1" applyAlignment="1">
      <alignment vertical="center"/>
    </xf>
    <xf numFmtId="0" fontId="8" fillId="0" borderId="19" xfId="1" applyNumberFormat="1" applyFont="1" applyFill="1" applyBorder="1" applyAlignment="1">
      <alignment horizontal="center" vertical="center"/>
    </xf>
    <xf numFmtId="0" fontId="8" fillId="0" borderId="20" xfId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/>
    </xf>
    <xf numFmtId="180" fontId="8" fillId="4" borderId="21" xfId="1" applyNumberFormat="1" applyFont="1" applyFill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/>
    </xf>
    <xf numFmtId="180" fontId="8" fillId="4" borderId="22" xfId="1" applyNumberFormat="1" applyFont="1" applyFill="1" applyBorder="1" applyAlignment="1">
      <alignment horizontal="center" vertical="center"/>
    </xf>
    <xf numFmtId="180" fontId="8" fillId="0" borderId="23" xfId="1" applyNumberFormat="1" applyFont="1" applyBorder="1" applyAlignment="1">
      <alignment horizontal="center" vertical="center"/>
    </xf>
    <xf numFmtId="0" fontId="8" fillId="0" borderId="24" xfId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vertical="center"/>
    </xf>
    <xf numFmtId="180" fontId="8" fillId="0" borderId="19" xfId="1" applyNumberFormat="1" applyFont="1" applyBorder="1" applyAlignment="1">
      <alignment horizontal="center" vertical="center"/>
    </xf>
    <xf numFmtId="180" fontId="8" fillId="4" borderId="19" xfId="1" applyNumberFormat="1" applyFont="1" applyFill="1" applyBorder="1" applyAlignment="1">
      <alignment horizontal="center" vertical="center"/>
    </xf>
    <xf numFmtId="180" fontId="8" fillId="0" borderId="0" xfId="1" applyNumberFormat="1" applyFont="1" applyAlignment="1">
      <alignment horizontal="center" vertical="center"/>
    </xf>
    <xf numFmtId="0" fontId="8" fillId="0" borderId="26" xfId="1" applyFont="1" applyBorder="1" applyAlignment="1">
      <alignment horizontal="center" vertical="center"/>
    </xf>
    <xf numFmtId="180" fontId="8" fillId="0" borderId="27" xfId="1" applyNumberFormat="1" applyFont="1" applyBorder="1" applyAlignment="1">
      <alignment horizontal="center" vertical="center"/>
    </xf>
    <xf numFmtId="180" fontId="8" fillId="0" borderId="28" xfId="1" applyNumberFormat="1" applyFont="1" applyBorder="1" applyAlignment="1">
      <alignment horizontal="center" vertical="center"/>
    </xf>
    <xf numFmtId="180" fontId="8" fillId="4" borderId="28" xfId="1" applyNumberFormat="1" applyFont="1" applyFill="1" applyBorder="1" applyAlignment="1">
      <alignment horizontal="center" vertical="center"/>
    </xf>
    <xf numFmtId="180" fontId="8" fillId="4" borderId="27" xfId="1" applyNumberFormat="1" applyFont="1" applyFill="1" applyBorder="1" applyAlignment="1">
      <alignment horizontal="center" vertical="center"/>
    </xf>
    <xf numFmtId="180" fontId="8" fillId="0" borderId="25" xfId="1" applyNumberFormat="1" applyFont="1" applyFill="1" applyBorder="1" applyAlignment="1">
      <alignment horizontal="center" vertical="center"/>
    </xf>
    <xf numFmtId="0" fontId="8" fillId="0" borderId="29" xfId="1" applyFont="1" applyBorder="1" applyAlignment="1">
      <alignment horizontal="center" vertical="center"/>
    </xf>
    <xf numFmtId="180" fontId="8" fillId="0" borderId="30" xfId="1" applyNumberFormat="1" applyFont="1" applyBorder="1" applyAlignment="1">
      <alignment horizontal="center" vertical="center"/>
    </xf>
    <xf numFmtId="180" fontId="8" fillId="0" borderId="21" xfId="1" applyNumberFormat="1" applyFont="1" applyBorder="1" applyAlignment="1">
      <alignment horizontal="center" vertical="center" wrapText="1"/>
    </xf>
    <xf numFmtId="180" fontId="8" fillId="0" borderId="25" xfId="1" applyNumberFormat="1" applyFont="1" applyBorder="1" applyAlignment="1">
      <alignment horizontal="center" vertical="center" wrapText="1"/>
    </xf>
    <xf numFmtId="180" fontId="8" fillId="0" borderId="27" xfId="1" applyNumberFormat="1" applyFont="1" applyBorder="1" applyAlignment="1">
      <alignment horizontal="center" vertical="center" wrapText="1"/>
    </xf>
    <xf numFmtId="180" fontId="8" fillId="0" borderId="27" xfId="1" applyNumberFormat="1" applyFont="1" applyFill="1" applyBorder="1" applyAlignment="1">
      <alignment horizontal="center" vertical="center"/>
    </xf>
    <xf numFmtId="0" fontId="8" fillId="0" borderId="31" xfId="1" applyFont="1" applyBorder="1" applyAlignment="1">
      <alignment horizontal="center" vertical="center"/>
    </xf>
    <xf numFmtId="180" fontId="8" fillId="0" borderId="22" xfId="1" applyNumberFormat="1" applyFont="1" applyBorder="1" applyAlignment="1">
      <alignment horizontal="center" vertical="center" wrapText="1"/>
    </xf>
    <xf numFmtId="180" fontId="8" fillId="0" borderId="22" xfId="1" applyNumberFormat="1" applyFont="1" applyBorder="1" applyAlignment="1">
      <alignment horizontal="center" wrapText="1"/>
    </xf>
    <xf numFmtId="180" fontId="8" fillId="0" borderId="22" xfId="1" applyNumberFormat="1" applyFont="1" applyFill="1" applyBorder="1" applyAlignment="1">
      <alignment horizontal="center" vertical="center"/>
    </xf>
    <xf numFmtId="0" fontId="8" fillId="0" borderId="32" xfId="1" applyFont="1" applyBorder="1" applyAlignment="1">
      <alignment horizontal="center" vertical="center"/>
    </xf>
    <xf numFmtId="180" fontId="8" fillId="0" borderId="33" xfId="1" applyNumberFormat="1" applyFont="1" applyBorder="1" applyAlignment="1">
      <alignment horizontal="center" vertical="center"/>
    </xf>
    <xf numFmtId="180" fontId="8" fillId="0" borderId="25" xfId="1" applyNumberFormat="1" applyFont="1" applyBorder="1" applyAlignment="1">
      <alignment horizontal="center" wrapText="1"/>
    </xf>
    <xf numFmtId="180" fontId="8" fillId="0" borderId="27" xfId="1" applyNumberFormat="1" applyFont="1" applyBorder="1" applyAlignment="1">
      <alignment horizontal="center" wrapText="1"/>
    </xf>
    <xf numFmtId="0" fontId="8" fillId="0" borderId="34" xfId="1" applyFont="1" applyBorder="1" applyAlignment="1">
      <alignment horizontal="center" vertical="center"/>
    </xf>
    <xf numFmtId="0" fontId="8" fillId="0" borderId="0" xfId="1" applyFont="1" applyAlignment="1">
      <alignment horizontal="center" vertical="center"/>
    </xf>
    <xf numFmtId="0" fontId="8" fillId="0" borderId="35" xfId="1" applyFont="1" applyBorder="1" applyAlignment="1">
      <alignment horizontal="center" vertical="center"/>
    </xf>
    <xf numFmtId="181" fontId="8" fillId="0" borderId="0" xfId="1" applyNumberFormat="1" applyFont="1" applyAlignment="1">
      <alignment horizontal="center" vertical="center"/>
    </xf>
    <xf numFmtId="0" fontId="8" fillId="0" borderId="36" xfId="1" applyFont="1" applyBorder="1" applyAlignment="1">
      <alignment vertical="center"/>
    </xf>
    <xf numFmtId="180" fontId="8" fillId="0" borderId="0" xfId="1" applyNumberFormat="1" applyFont="1" applyAlignment="1">
      <alignment vertical="center"/>
    </xf>
    <xf numFmtId="182" fontId="8" fillId="0" borderId="19" xfId="1" applyNumberFormat="1" applyFont="1" applyFill="1" applyBorder="1" applyAlignment="1">
      <alignment horizontal="center" vertical="center"/>
    </xf>
    <xf numFmtId="0" fontId="13" fillId="0" borderId="0" xfId="1" applyFont="1" applyAlignment="1">
      <alignment vertical="center"/>
    </xf>
    <xf numFmtId="0" fontId="13" fillId="0" borderId="0" xfId="1" applyFont="1"/>
    <xf numFmtId="0" fontId="13" fillId="0" borderId="0" xfId="1" applyFont="1" applyAlignment="1">
      <alignment horizontal="center"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vertical="center" wrapText="1"/>
    </xf>
    <xf numFmtId="0" fontId="15" fillId="0" borderId="0" xfId="1" applyFont="1" applyAlignment="1">
      <alignment vertical="center"/>
    </xf>
    <xf numFmtId="0" fontId="18" fillId="0" borderId="0" xfId="1" applyFont="1" applyAlignment="1">
      <alignment horizontal="right" vertical="center"/>
    </xf>
    <xf numFmtId="0" fontId="19" fillId="0" borderId="0" xfId="1" applyFont="1" applyAlignment="1">
      <alignment vertical="center"/>
    </xf>
    <xf numFmtId="3" fontId="11" fillId="0" borderId="0" xfId="1" applyNumberFormat="1" applyFont="1" applyAlignment="1">
      <alignment horizontal="center" vertical="center"/>
    </xf>
    <xf numFmtId="0" fontId="13" fillId="0" borderId="0" xfId="1" applyFont="1" applyAlignment="1">
      <alignment horizontal="center"/>
    </xf>
    <xf numFmtId="0" fontId="13" fillId="2" borderId="0" xfId="1" applyFont="1" applyFill="1"/>
    <xf numFmtId="0" fontId="13" fillId="2" borderId="0" xfId="1" applyFont="1" applyFill="1" applyBorder="1"/>
    <xf numFmtId="0" fontId="14" fillId="2" borderId="0" xfId="1" applyFont="1" applyFill="1"/>
    <xf numFmtId="0" fontId="17" fillId="2" borderId="3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center"/>
    </xf>
    <xf numFmtId="0" fontId="13" fillId="2" borderId="3" xfId="1" applyFont="1" applyFill="1" applyBorder="1"/>
    <xf numFmtId="0" fontId="20" fillId="2" borderId="3" xfId="1" applyFont="1" applyFill="1" applyBorder="1" applyAlignment="1">
      <alignment horizontal="center" vertical="top" wrapText="1"/>
    </xf>
    <xf numFmtId="183" fontId="22" fillId="2" borderId="3" xfId="2" applyNumberFormat="1" applyFont="1" applyFill="1" applyBorder="1" applyAlignment="1">
      <alignment horizontal="center" vertical="center"/>
    </xf>
    <xf numFmtId="0" fontId="20" fillId="2" borderId="0" xfId="1" applyFont="1" applyFill="1"/>
    <xf numFmtId="179" fontId="22" fillId="2" borderId="3" xfId="1" applyNumberFormat="1" applyFont="1" applyFill="1" applyBorder="1" applyAlignment="1">
      <alignment horizontal="center" vertical="center"/>
    </xf>
    <xf numFmtId="0" fontId="22" fillId="2" borderId="3" xfId="0" applyFont="1" applyFill="1" applyBorder="1" applyAlignment="1">
      <alignment horizontal="center" vertical="center"/>
    </xf>
    <xf numFmtId="178" fontId="13" fillId="2" borderId="0" xfId="1" applyNumberFormat="1" applyFont="1" applyFill="1"/>
    <xf numFmtId="0" fontId="25" fillId="2" borderId="3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top"/>
    </xf>
    <xf numFmtId="183" fontId="22" fillId="2" borderId="4" xfId="2" applyNumberFormat="1" applyFont="1" applyFill="1" applyBorder="1" applyAlignment="1">
      <alignment horizontal="center" vertical="center"/>
    </xf>
    <xf numFmtId="0" fontId="20" fillId="2" borderId="7" xfId="1" applyFont="1" applyFill="1" applyBorder="1" applyAlignment="1">
      <alignment horizontal="center" vertical="center"/>
    </xf>
    <xf numFmtId="0" fontId="20" fillId="2" borderId="39" xfId="1" applyFont="1" applyFill="1" applyBorder="1" applyAlignment="1">
      <alignment horizontal="center" vertical="center"/>
    </xf>
    <xf numFmtId="0" fontId="22" fillId="2" borderId="2" xfId="0" applyFont="1" applyFill="1" applyBorder="1" applyAlignment="1">
      <alignment horizontal="center" vertical="center"/>
    </xf>
    <xf numFmtId="20" fontId="17" fillId="2" borderId="8" xfId="1" applyNumberFormat="1" applyFont="1" applyFill="1" applyBorder="1" applyAlignment="1">
      <alignment horizontal="center" vertical="center"/>
    </xf>
    <xf numFmtId="0" fontId="20" fillId="2" borderId="8" xfId="1" applyFont="1" applyFill="1" applyBorder="1" applyAlignment="1">
      <alignment horizontal="center" vertical="center"/>
    </xf>
    <xf numFmtId="0" fontId="22" fillId="2" borderId="8" xfId="0" applyFont="1" applyFill="1" applyBorder="1" applyAlignment="1">
      <alignment horizontal="center" vertical="center"/>
    </xf>
    <xf numFmtId="0" fontId="17" fillId="2" borderId="4" xfId="1" applyFont="1" applyFill="1" applyBorder="1" applyAlignment="1">
      <alignment horizontal="center" vertical="center"/>
    </xf>
    <xf numFmtId="0" fontId="22" fillId="2" borderId="40" xfId="1" applyFont="1" applyFill="1" applyBorder="1" applyAlignment="1">
      <alignment horizontal="center" vertical="center"/>
    </xf>
    <xf numFmtId="0" fontId="27" fillId="2" borderId="40" xfId="1" applyFont="1" applyFill="1" applyBorder="1" applyAlignment="1">
      <alignment horizontal="center" vertical="center"/>
    </xf>
    <xf numFmtId="0" fontId="22" fillId="2" borderId="3" xfId="1" applyFont="1" applyFill="1" applyBorder="1" applyAlignment="1">
      <alignment horizontal="center" vertical="top"/>
    </xf>
    <xf numFmtId="0" fontId="27" fillId="2" borderId="3" xfId="1" applyFont="1" applyFill="1" applyBorder="1" applyAlignment="1">
      <alignment horizontal="center" vertical="top"/>
    </xf>
    <xf numFmtId="183" fontId="27" fillId="2" borderId="3" xfId="2" applyNumberFormat="1" applyFont="1" applyFill="1" applyBorder="1" applyAlignment="1">
      <alignment horizontal="center" vertical="center"/>
    </xf>
    <xf numFmtId="183" fontId="22" fillId="2" borderId="3" xfId="1" applyNumberFormat="1" applyFont="1" applyFill="1" applyBorder="1" applyAlignment="1">
      <alignment horizontal="center" vertical="center" wrapText="1"/>
    </xf>
    <xf numFmtId="183" fontId="27" fillId="2" borderId="3" xfId="1" applyNumberFormat="1" applyFont="1" applyFill="1" applyBorder="1" applyAlignment="1">
      <alignment horizontal="center" vertical="center" wrapText="1"/>
    </xf>
    <xf numFmtId="0" fontId="27" fillId="2" borderId="3" xfId="0" applyFont="1" applyFill="1" applyBorder="1" applyAlignment="1">
      <alignment horizontal="center" vertical="center"/>
    </xf>
    <xf numFmtId="0" fontId="28" fillId="2" borderId="1" xfId="1" applyFont="1" applyFill="1" applyBorder="1" applyAlignment="1">
      <alignment horizontal="center" vertical="center"/>
    </xf>
    <xf numFmtId="178" fontId="13" fillId="2" borderId="0" xfId="1" applyNumberFormat="1" applyFont="1" applyFill="1" applyAlignment="1">
      <alignment wrapText="1"/>
    </xf>
    <xf numFmtId="0" fontId="20" fillId="2" borderId="3" xfId="1" applyFont="1" applyFill="1" applyBorder="1" applyAlignment="1">
      <alignment horizontal="center" vertical="center" wrapText="1"/>
    </xf>
    <xf numFmtId="0" fontId="20" fillId="2" borderId="11" xfId="1" applyFont="1" applyFill="1" applyBorder="1" applyAlignment="1">
      <alignment horizontal="center" vertical="center" wrapText="1"/>
    </xf>
    <xf numFmtId="0" fontId="20" fillId="2" borderId="5" xfId="1" applyFont="1" applyFill="1" applyBorder="1" applyAlignment="1">
      <alignment horizontal="center" vertical="center"/>
    </xf>
    <xf numFmtId="0" fontId="15" fillId="2" borderId="12" xfId="1" applyFont="1" applyFill="1" applyBorder="1" applyAlignment="1">
      <alignment horizontal="center" vertical="center" wrapText="1"/>
    </xf>
    <xf numFmtId="178" fontId="20" fillId="2" borderId="11" xfId="1" applyNumberFormat="1" applyFont="1" applyFill="1" applyBorder="1" applyAlignment="1">
      <alignment horizontal="center" vertical="center" wrapText="1"/>
    </xf>
    <xf numFmtId="179" fontId="13" fillId="2" borderId="0" xfId="1" applyNumberFormat="1" applyFont="1" applyFill="1"/>
    <xf numFmtId="9" fontId="13" fillId="2" borderId="0" xfId="5" applyFont="1" applyFill="1"/>
    <xf numFmtId="0" fontId="13" fillId="2" borderId="0" xfId="1" applyFont="1" applyFill="1" applyAlignment="1">
      <alignment horizontal="left" vertical="center"/>
    </xf>
    <xf numFmtId="0" fontId="26" fillId="2" borderId="3" xfId="1" applyFont="1" applyFill="1" applyBorder="1" applyAlignment="1">
      <alignment horizontal="center" vertical="top"/>
    </xf>
    <xf numFmtId="0" fontId="29" fillId="2" borderId="3" xfId="1" applyFont="1" applyFill="1" applyBorder="1" applyAlignment="1">
      <alignment horizontal="center" vertical="center" wrapText="1"/>
    </xf>
    <xf numFmtId="183" fontId="30" fillId="2" borderId="4" xfId="2" applyNumberFormat="1" applyFont="1" applyFill="1" applyBorder="1" applyAlignment="1">
      <alignment horizontal="center" vertical="center"/>
    </xf>
    <xf numFmtId="179" fontId="30" fillId="2" borderId="3" xfId="1" applyNumberFormat="1" applyFont="1" applyFill="1" applyBorder="1" applyAlignment="1">
      <alignment horizontal="center" vertical="center"/>
    </xf>
    <xf numFmtId="0" fontId="30" fillId="2" borderId="3" xfId="0" applyFont="1" applyFill="1" applyBorder="1" applyAlignment="1">
      <alignment horizontal="center" vertical="center"/>
    </xf>
    <xf numFmtId="183" fontId="30" fillId="2" borderId="3" xfId="2" applyNumberFormat="1" applyFont="1" applyFill="1" applyBorder="1" applyAlignment="1">
      <alignment horizontal="center" vertical="center"/>
    </xf>
    <xf numFmtId="0" fontId="30" fillId="2" borderId="2" xfId="0" applyFont="1" applyFill="1" applyBorder="1" applyAlignment="1">
      <alignment horizontal="center" vertical="center"/>
    </xf>
    <xf numFmtId="0" fontId="13" fillId="0" borderId="0" xfId="1" applyFont="1" applyAlignment="1" applyProtection="1">
      <alignment vertical="center"/>
      <protection locked="0"/>
    </xf>
    <xf numFmtId="0" fontId="13" fillId="0" borderId="0" xfId="1" applyFont="1" applyProtection="1">
      <protection locked="0"/>
    </xf>
    <xf numFmtId="0" fontId="12" fillId="0" borderId="23" xfId="1" applyFont="1" applyBorder="1" applyAlignment="1" applyProtection="1">
      <alignment vertical="center"/>
      <protection locked="0"/>
    </xf>
    <xf numFmtId="0" fontId="13" fillId="0" borderId="46" xfId="1" applyFont="1" applyBorder="1" applyAlignment="1" applyProtection="1">
      <alignment horizontal="center" vertical="center"/>
      <protection locked="0"/>
    </xf>
    <xf numFmtId="0" fontId="13" fillId="0" borderId="47" xfId="1" applyFont="1" applyBorder="1" applyAlignment="1" applyProtection="1">
      <alignment horizontal="center" vertical="center"/>
      <protection locked="0"/>
    </xf>
    <xf numFmtId="0" fontId="13" fillId="0" borderId="48" xfId="1" applyFont="1" applyBorder="1" applyAlignment="1" applyProtection="1">
      <alignment horizontal="center" vertical="center"/>
      <protection locked="0"/>
    </xf>
    <xf numFmtId="0" fontId="13" fillId="0" borderId="49" xfId="1" applyFont="1" applyBorder="1" applyAlignment="1" applyProtection="1">
      <alignment horizontal="center" vertical="center"/>
      <protection locked="0"/>
    </xf>
    <xf numFmtId="0" fontId="14" fillId="0" borderId="50" xfId="1" applyFont="1" applyBorder="1" applyAlignment="1" applyProtection="1">
      <alignment horizontal="center" vertical="center"/>
      <protection locked="0"/>
    </xf>
    <xf numFmtId="0" fontId="18" fillId="0" borderId="51" xfId="1" applyFont="1" applyBorder="1" applyAlignment="1" applyProtection="1">
      <alignment horizontal="center" vertical="center"/>
      <protection locked="0"/>
    </xf>
    <xf numFmtId="0" fontId="18" fillId="0" borderId="52" xfId="1" applyFont="1" applyBorder="1" applyAlignment="1" applyProtection="1">
      <alignment vertical="center"/>
      <protection locked="0"/>
    </xf>
    <xf numFmtId="0" fontId="18" fillId="0" borderId="53" xfId="1" applyFont="1" applyBorder="1" applyAlignment="1" applyProtection="1">
      <alignment vertical="center"/>
      <protection locked="0"/>
    </xf>
    <xf numFmtId="0" fontId="18" fillId="0" borderId="51" xfId="1" applyFont="1" applyFill="1" applyBorder="1" applyAlignment="1" applyProtection="1">
      <alignment horizontal="center" vertical="center"/>
      <protection locked="0"/>
    </xf>
    <xf numFmtId="0" fontId="18" fillId="0" borderId="54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  <protection locked="0"/>
    </xf>
    <xf numFmtId="0" fontId="18" fillId="2" borderId="52" xfId="1" applyFont="1" applyFill="1" applyBorder="1" applyAlignment="1" applyProtection="1">
      <alignment vertical="center"/>
      <protection locked="0"/>
    </xf>
    <xf numFmtId="0" fontId="18" fillId="2" borderId="53" xfId="1" applyFont="1" applyFill="1" applyBorder="1" applyAlignment="1" applyProtection="1">
      <alignment vertical="center"/>
      <protection locked="0"/>
    </xf>
    <xf numFmtId="0" fontId="18" fillId="2" borderId="51" xfId="1" applyFont="1" applyFill="1" applyBorder="1" applyAlignment="1" applyProtection="1">
      <alignment horizontal="center" vertical="center"/>
      <protection locked="0"/>
    </xf>
    <xf numFmtId="0" fontId="18" fillId="2" borderId="57" xfId="1" applyFont="1" applyFill="1" applyBorder="1" applyAlignment="1" applyProtection="1">
      <alignment horizontal="center" vertical="center"/>
      <protection locked="0"/>
    </xf>
    <xf numFmtId="0" fontId="18" fillId="0" borderId="58" xfId="1" applyFont="1" applyFill="1" applyBorder="1" applyAlignment="1" applyProtection="1">
      <alignment horizontal="center" vertical="center"/>
      <protection locked="0"/>
    </xf>
    <xf numFmtId="0" fontId="18" fillId="0" borderId="59" xfId="1" applyFont="1" applyBorder="1" applyAlignment="1" applyProtection="1">
      <alignment vertical="center"/>
      <protection locked="0"/>
    </xf>
    <xf numFmtId="0" fontId="18" fillId="0" borderId="58" xfId="1" applyFont="1" applyBorder="1" applyAlignment="1" applyProtection="1">
      <alignment horizontal="center" vertical="center"/>
      <protection locked="0"/>
    </xf>
    <xf numFmtId="0" fontId="18" fillId="0" borderId="63" xfId="1" applyFont="1" applyBorder="1" applyAlignment="1" applyProtection="1">
      <alignment vertical="center"/>
      <protection locked="0"/>
    </xf>
    <xf numFmtId="0" fontId="18" fillId="2" borderId="54" xfId="1" applyFont="1" applyFill="1" applyBorder="1" applyAlignment="1" applyProtection="1">
      <alignment vertical="center"/>
    </xf>
    <xf numFmtId="0" fontId="18" fillId="2" borderId="53" xfId="1" applyFont="1" applyFill="1" applyBorder="1" applyAlignment="1" applyProtection="1">
      <alignment vertical="center"/>
    </xf>
    <xf numFmtId="184" fontId="13" fillId="2" borderId="0" xfId="1" applyNumberFormat="1" applyFont="1" applyFill="1"/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5" fillId="2" borderId="3" xfId="1" applyFont="1" applyFill="1" applyBorder="1" applyAlignment="1">
      <alignment horizontal="center" vertical="top"/>
    </xf>
    <xf numFmtId="0" fontId="13" fillId="0" borderId="0" xfId="1" applyFont="1" applyAlignment="1">
      <alignment horizontal="right" vertical="center"/>
    </xf>
    <xf numFmtId="0" fontId="32" fillId="0" borderId="0" xfId="1" applyFont="1"/>
    <xf numFmtId="0" fontId="22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 wrapText="1"/>
    </xf>
    <xf numFmtId="0" fontId="17" fillId="2" borderId="3" xfId="1" applyFont="1" applyFill="1" applyBorder="1" applyAlignment="1">
      <alignment horizontal="center" vertical="top"/>
    </xf>
    <xf numFmtId="0" fontId="33" fillId="2" borderId="3" xfId="1" applyFont="1" applyFill="1" applyBorder="1" applyAlignment="1">
      <alignment horizontal="center" vertical="top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20" fillId="2" borderId="3" xfId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5" fillId="2" borderId="5" xfId="1" applyFont="1" applyFill="1" applyBorder="1" applyAlignment="1">
      <alignment horizontal="center" vertical="center" wrapText="1"/>
    </xf>
    <xf numFmtId="0" fontId="13" fillId="2" borderId="0" xfId="1" applyFont="1" applyFill="1" applyAlignment="1">
      <alignment horizontal="center" vertical="center"/>
    </xf>
    <xf numFmtId="0" fontId="19" fillId="0" borderId="0" xfId="1" applyFont="1" applyAlignment="1">
      <alignment horizontal="left" vertical="center"/>
    </xf>
    <xf numFmtId="0" fontId="13" fillId="0" borderId="0" xfId="1" applyFont="1" applyAlignment="1">
      <alignment horizontal="right" vertical="center"/>
    </xf>
    <xf numFmtId="0" fontId="12" fillId="0" borderId="0" xfId="1" applyFont="1" applyBorder="1" applyAlignment="1" applyProtection="1">
      <alignment horizontal="center" vertical="center"/>
      <protection locked="0"/>
    </xf>
    <xf numFmtId="0" fontId="20" fillId="0" borderId="55" xfId="1" applyFont="1" applyBorder="1" applyAlignment="1" applyProtection="1">
      <alignment horizontal="left" vertical="top" wrapText="1"/>
      <protection locked="0"/>
    </xf>
    <xf numFmtId="0" fontId="20" fillId="0" borderId="56" xfId="1" applyFont="1" applyBorder="1" applyAlignment="1" applyProtection="1">
      <alignment horizontal="left" vertical="top" wrapText="1"/>
      <protection locked="0"/>
    </xf>
    <xf numFmtId="0" fontId="20" fillId="0" borderId="60" xfId="1" applyFont="1" applyBorder="1" applyAlignment="1" applyProtection="1">
      <alignment horizontal="left" vertical="top" wrapText="1"/>
      <protection locked="0"/>
    </xf>
    <xf numFmtId="49" fontId="11" fillId="0" borderId="64" xfId="1" applyNumberFormat="1" applyFont="1" applyBorder="1" applyAlignment="1">
      <alignment horizontal="center" vertical="center" wrapText="1"/>
    </xf>
    <xf numFmtId="9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0" fontId="13" fillId="2" borderId="0" xfId="1" applyFont="1" applyFill="1" applyAlignment="1">
      <alignment horizontal="center" vertical="center"/>
    </xf>
    <xf numFmtId="178" fontId="14" fillId="2" borderId="0" xfId="1" applyNumberFormat="1" applyFont="1" applyFill="1" applyAlignment="1">
      <alignment horizontal="center" vertical="center"/>
    </xf>
    <xf numFmtId="179" fontId="20" fillId="2" borderId="2" xfId="1" applyNumberFormat="1" applyFont="1" applyFill="1" applyBorder="1" applyAlignment="1">
      <alignment horizontal="center" vertical="center"/>
    </xf>
    <xf numFmtId="179" fontId="20" fillId="2" borderId="4" xfId="1" applyNumberFormat="1" applyFont="1" applyFill="1" applyBorder="1" applyAlignment="1">
      <alignment horizontal="center" vertical="center"/>
    </xf>
    <xf numFmtId="179" fontId="20" fillId="2" borderId="13" xfId="1" applyNumberFormat="1" applyFont="1" applyFill="1" applyBorder="1" applyAlignment="1">
      <alignment horizontal="center" vertical="center"/>
    </xf>
    <xf numFmtId="179" fontId="20" fillId="2" borderId="15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/>
    </xf>
    <xf numFmtId="179" fontId="20" fillId="2" borderId="16" xfId="1" applyNumberFormat="1" applyFont="1" applyFill="1" applyBorder="1" applyAlignment="1">
      <alignment horizontal="center" vertical="center"/>
    </xf>
    <xf numFmtId="178" fontId="20" fillId="2" borderId="2" xfId="1" applyNumberFormat="1" applyFont="1" applyFill="1" applyBorder="1" applyAlignment="1">
      <alignment horizontal="center" vertical="center"/>
    </xf>
    <xf numFmtId="178" fontId="20" fillId="2" borderId="4" xfId="1" applyNumberFormat="1" applyFont="1" applyFill="1" applyBorder="1" applyAlignment="1">
      <alignment horizontal="center" vertical="center"/>
    </xf>
    <xf numFmtId="179" fontId="20" fillId="2" borderId="37" xfId="1" applyNumberFormat="1" applyFont="1" applyFill="1" applyBorder="1" applyAlignment="1">
      <alignment horizontal="center" vertical="center"/>
    </xf>
    <xf numFmtId="179" fontId="20" fillId="2" borderId="61" xfId="1" applyNumberFormat="1" applyFont="1" applyFill="1" applyBorder="1" applyAlignment="1">
      <alignment horizontal="center" vertical="center"/>
    </xf>
    <xf numFmtId="179" fontId="20" fillId="2" borderId="40" xfId="1" applyNumberFormat="1" applyFont="1" applyFill="1" applyBorder="1" applyAlignment="1">
      <alignment horizontal="center" vertical="center"/>
    </xf>
    <xf numFmtId="179" fontId="20" fillId="2" borderId="62" xfId="1" applyNumberFormat="1" applyFont="1" applyFill="1" applyBorder="1" applyAlignment="1">
      <alignment horizontal="center" vertical="center"/>
    </xf>
    <xf numFmtId="0" fontId="13" fillId="2" borderId="38" xfId="1" applyFont="1" applyFill="1" applyBorder="1" applyAlignment="1">
      <alignment horizontal="center"/>
    </xf>
    <xf numFmtId="179" fontId="20" fillId="2" borderId="2" xfId="1" applyNumberFormat="1" applyFont="1" applyFill="1" applyBorder="1" applyAlignment="1">
      <alignment horizontal="center" vertical="center" wrapText="1"/>
    </xf>
    <xf numFmtId="179" fontId="20" fillId="2" borderId="4" xfId="1" applyNumberFormat="1" applyFont="1" applyFill="1" applyBorder="1" applyAlignment="1">
      <alignment horizontal="center" vertical="center" wrapText="1"/>
    </xf>
    <xf numFmtId="178" fontId="20" fillId="2" borderId="2" xfId="1" applyNumberFormat="1" applyFont="1" applyFill="1" applyBorder="1" applyAlignment="1">
      <alignment horizontal="center" vertical="center" wrapText="1"/>
    </xf>
    <xf numFmtId="178" fontId="20" fillId="2" borderId="4" xfId="1" applyNumberFormat="1" applyFont="1" applyFill="1" applyBorder="1" applyAlignment="1">
      <alignment horizontal="center" vertical="center" wrapText="1"/>
    </xf>
    <xf numFmtId="179" fontId="20" fillId="2" borderId="13" xfId="1" applyNumberFormat="1" applyFont="1" applyFill="1" applyBorder="1" applyAlignment="1">
      <alignment horizontal="center" vertical="center" wrapText="1"/>
    </xf>
    <xf numFmtId="179" fontId="20" fillId="2" borderId="15" xfId="1" applyNumberFormat="1" applyFont="1" applyFill="1" applyBorder="1" applyAlignment="1">
      <alignment horizontal="center" vertical="center" wrapText="1"/>
    </xf>
    <xf numFmtId="178" fontId="20" fillId="2" borderId="14" xfId="1" applyNumberFormat="1" applyFont="1" applyFill="1" applyBorder="1" applyAlignment="1">
      <alignment horizontal="center" vertical="center"/>
    </xf>
    <xf numFmtId="178" fontId="20" fillId="2" borderId="16" xfId="1" applyNumberFormat="1" applyFont="1" applyFill="1" applyBorder="1" applyAlignment="1">
      <alignment horizontal="center" vertical="center"/>
    </xf>
    <xf numFmtId="179" fontId="20" fillId="2" borderId="14" xfId="1" applyNumberFormat="1" applyFont="1" applyFill="1" applyBorder="1" applyAlignment="1">
      <alignment horizontal="center" vertical="center" wrapText="1"/>
    </xf>
    <xf numFmtId="179" fontId="20" fillId="2" borderId="16" xfId="1" applyNumberFormat="1" applyFont="1" applyFill="1" applyBorder="1" applyAlignment="1">
      <alignment horizontal="center" vertical="center" wrapText="1"/>
    </xf>
    <xf numFmtId="179" fontId="20" fillId="2" borderId="13" xfId="4" applyNumberFormat="1" applyFont="1" applyFill="1" applyBorder="1" applyAlignment="1">
      <alignment horizontal="center" vertical="center" wrapText="1"/>
    </xf>
    <xf numFmtId="179" fontId="20" fillId="2" borderId="15" xfId="4" applyNumberFormat="1" applyFont="1" applyFill="1" applyBorder="1" applyAlignment="1">
      <alignment horizontal="center" vertical="center" wrapText="1"/>
    </xf>
    <xf numFmtId="0" fontId="14" fillId="2" borderId="10" xfId="1" applyFont="1" applyFill="1" applyBorder="1" applyAlignment="1">
      <alignment horizontal="center" vertical="center"/>
    </xf>
    <xf numFmtId="0" fontId="14" fillId="2" borderId="8" xfId="1" applyFont="1" applyFill="1" applyBorder="1" applyAlignment="1">
      <alignment horizontal="center" vertical="center"/>
    </xf>
    <xf numFmtId="0" fontId="14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/>
    </xf>
    <xf numFmtId="0" fontId="13" fillId="2" borderId="8" xfId="1" applyFont="1" applyFill="1" applyBorder="1" applyAlignment="1">
      <alignment horizontal="center"/>
    </xf>
    <xf numFmtId="0" fontId="13" fillId="2" borderId="9" xfId="1" applyFont="1" applyFill="1" applyBorder="1" applyAlignment="1">
      <alignment horizontal="center"/>
    </xf>
    <xf numFmtId="0" fontId="15" fillId="2" borderId="5" xfId="1" applyFont="1" applyFill="1" applyBorder="1" applyAlignment="1">
      <alignment horizontal="center" vertical="center" wrapText="1"/>
    </xf>
    <xf numFmtId="0" fontId="15" fillId="2" borderId="9" xfId="1" applyFont="1" applyFill="1" applyBorder="1" applyAlignment="1">
      <alignment horizontal="center" vertical="center" wrapText="1"/>
    </xf>
    <xf numFmtId="0" fontId="14" fillId="2" borderId="37" xfId="1" applyFont="1" applyFill="1" applyBorder="1" applyAlignment="1">
      <alignment horizontal="center" vertical="center" wrapText="1"/>
    </xf>
    <xf numFmtId="0" fontId="14" fillId="2" borderId="39" xfId="1" applyFont="1" applyFill="1" applyBorder="1" applyAlignment="1">
      <alignment horizontal="center" vertical="center" wrapText="1"/>
    </xf>
    <xf numFmtId="0" fontId="14" fillId="2" borderId="40" xfId="1" applyFont="1" applyFill="1" applyBorder="1" applyAlignment="1">
      <alignment horizontal="center" vertical="center" wrapText="1"/>
    </xf>
    <xf numFmtId="0" fontId="14" fillId="2" borderId="41" xfId="1" applyFont="1" applyFill="1" applyBorder="1" applyAlignment="1">
      <alignment horizontal="center" vertical="center" wrapText="1"/>
    </xf>
    <xf numFmtId="178" fontId="20" fillId="2" borderId="13" xfId="3" applyNumberFormat="1" applyFont="1" applyFill="1" applyBorder="1" applyAlignment="1">
      <alignment horizontal="center" vertical="center"/>
    </xf>
    <xf numFmtId="178" fontId="20" fillId="2" borderId="15" xfId="3" applyNumberFormat="1" applyFont="1" applyFill="1" applyBorder="1" applyAlignment="1">
      <alignment horizontal="center" vertical="center"/>
    </xf>
    <xf numFmtId="178" fontId="20" fillId="2" borderId="14" xfId="3" applyNumberFormat="1" applyFont="1" applyFill="1" applyBorder="1" applyAlignment="1">
      <alignment horizontal="center" vertical="center"/>
    </xf>
    <xf numFmtId="178" fontId="20" fillId="2" borderId="16" xfId="3" applyNumberFormat="1" applyFont="1" applyFill="1" applyBorder="1" applyAlignment="1">
      <alignment horizontal="center" vertical="center"/>
    </xf>
    <xf numFmtId="0" fontId="20" fillId="2" borderId="2" xfId="1" applyFont="1" applyFill="1" applyBorder="1" applyAlignment="1">
      <alignment horizontal="center" vertical="center"/>
    </xf>
    <xf numFmtId="0" fontId="20" fillId="2" borderId="4" xfId="1" applyFont="1" applyFill="1" applyBorder="1" applyAlignment="1">
      <alignment horizontal="center" vertical="center"/>
    </xf>
    <xf numFmtId="20" fontId="17" fillId="2" borderId="2" xfId="1" applyNumberFormat="1" applyFont="1" applyFill="1" applyBorder="1" applyAlignment="1">
      <alignment horizontal="center" vertical="center"/>
    </xf>
    <xf numFmtId="20" fontId="17" fillId="2" borderId="6" xfId="1" applyNumberFormat="1" applyFont="1" applyFill="1" applyBorder="1" applyAlignment="1">
      <alignment horizontal="center" vertical="center"/>
    </xf>
    <xf numFmtId="20" fontId="17" fillId="2" borderId="4" xfId="1" applyNumberFormat="1" applyFont="1" applyFill="1" applyBorder="1" applyAlignment="1">
      <alignment horizontal="center" vertical="center"/>
    </xf>
    <xf numFmtId="0" fontId="20" fillId="2" borderId="3" xfId="1" applyFont="1" applyFill="1" applyBorder="1" applyAlignment="1">
      <alignment horizontal="center" vertical="center"/>
    </xf>
    <xf numFmtId="0" fontId="13" fillId="2" borderId="42" xfId="1" applyFont="1" applyFill="1" applyBorder="1" applyAlignment="1">
      <alignment horizontal="center"/>
    </xf>
    <xf numFmtId="0" fontId="13" fillId="2" borderId="43" xfId="1" applyFont="1" applyFill="1" applyBorder="1" applyAlignment="1">
      <alignment horizontal="center"/>
    </xf>
    <xf numFmtId="0" fontId="13" fillId="2" borderId="44" xfId="1" applyFont="1" applyFill="1" applyBorder="1" applyAlignment="1">
      <alignment horizontal="center"/>
    </xf>
    <xf numFmtId="0" fontId="13" fillId="2" borderId="45" xfId="1" applyFont="1" applyFill="1" applyBorder="1" applyAlignment="1">
      <alignment horizontal="center"/>
    </xf>
    <xf numFmtId="0" fontId="14" fillId="2" borderId="5" xfId="1" applyFont="1" applyFill="1" applyBorder="1" applyAlignment="1">
      <alignment horizontal="center" vertical="center"/>
    </xf>
    <xf numFmtId="0" fontId="17" fillId="2" borderId="40" xfId="1" applyFont="1" applyFill="1" applyBorder="1" applyAlignment="1">
      <alignment horizontal="center" vertical="center"/>
    </xf>
    <xf numFmtId="0" fontId="17" fillId="2" borderId="1" xfId="1" applyFont="1" applyFill="1" applyBorder="1" applyAlignment="1">
      <alignment horizontal="center" vertical="center"/>
    </xf>
    <xf numFmtId="0" fontId="17" fillId="2" borderId="41" xfId="1" applyFont="1" applyFill="1" applyBorder="1" applyAlignment="1">
      <alignment horizontal="center" vertical="center"/>
    </xf>
    <xf numFmtId="0" fontId="20" fillId="2" borderId="37" xfId="1" applyNumberFormat="1" applyFont="1" applyFill="1" applyBorder="1" applyAlignment="1">
      <alignment horizontal="left" vertical="top" wrapText="1"/>
    </xf>
    <xf numFmtId="0" fontId="31" fillId="2" borderId="38" xfId="1" applyNumberFormat="1" applyFont="1" applyFill="1" applyBorder="1" applyAlignment="1">
      <alignment horizontal="left" vertical="top" wrapText="1"/>
    </xf>
    <xf numFmtId="0" fontId="31" fillId="2" borderId="39" xfId="1" applyNumberFormat="1" applyFont="1" applyFill="1" applyBorder="1" applyAlignment="1">
      <alignment horizontal="left" vertical="top" wrapText="1"/>
    </xf>
    <xf numFmtId="0" fontId="31" fillId="2" borderId="18" xfId="1" applyNumberFormat="1" applyFont="1" applyFill="1" applyBorder="1" applyAlignment="1">
      <alignment horizontal="left" vertical="top" wrapText="1"/>
    </xf>
    <xf numFmtId="0" fontId="31" fillId="2" borderId="0" xfId="1" applyNumberFormat="1" applyFont="1" applyFill="1" applyBorder="1" applyAlignment="1">
      <alignment horizontal="left" vertical="top" wrapText="1"/>
    </xf>
    <xf numFmtId="0" fontId="31" fillId="2" borderId="36" xfId="1" applyNumberFormat="1" applyFont="1" applyFill="1" applyBorder="1" applyAlignment="1">
      <alignment horizontal="left" vertical="top" wrapText="1"/>
    </xf>
    <xf numFmtId="0" fontId="31" fillId="2" borderId="40" xfId="1" applyNumberFormat="1" applyFont="1" applyFill="1" applyBorder="1" applyAlignment="1">
      <alignment horizontal="left" vertical="top" wrapText="1"/>
    </xf>
    <xf numFmtId="0" fontId="31" fillId="2" borderId="1" xfId="1" applyNumberFormat="1" applyFont="1" applyFill="1" applyBorder="1" applyAlignment="1">
      <alignment horizontal="left" vertical="top" wrapText="1"/>
    </xf>
    <xf numFmtId="0" fontId="31" fillId="2" borderId="41" xfId="1" applyNumberFormat="1" applyFont="1" applyFill="1" applyBorder="1" applyAlignment="1">
      <alignment horizontal="left" vertical="top" wrapText="1"/>
    </xf>
    <xf numFmtId="20" fontId="17" fillId="2" borderId="3" xfId="1" applyNumberFormat="1" applyFont="1" applyFill="1" applyBorder="1" applyAlignment="1">
      <alignment horizontal="center" vertical="center"/>
    </xf>
    <xf numFmtId="0" fontId="16" fillId="2" borderId="0" xfId="1" applyFont="1" applyFill="1" applyAlignment="1">
      <alignment horizontal="center"/>
    </xf>
    <xf numFmtId="0" fontId="21" fillId="2" borderId="0" xfId="1" applyFont="1" applyFill="1" applyBorder="1" applyAlignment="1">
      <alignment horizontal="center"/>
    </xf>
    <xf numFmtId="31" fontId="13" fillId="2" borderId="1" xfId="1" applyNumberFormat="1" applyFont="1" applyFill="1" applyBorder="1" applyAlignment="1">
      <alignment horizontal="right"/>
    </xf>
  </cellXfs>
  <cellStyles count="23">
    <cellStyle name="一般" xfId="0" builtinId="0"/>
    <cellStyle name="一般 2" xfId="1"/>
    <cellStyle name="一般 2 2" xfId="6"/>
    <cellStyle name="一般 3" xfId="2"/>
    <cellStyle name="千分位 2" xfId="3"/>
    <cellStyle name="千分位 2 2" xfId="7"/>
    <cellStyle name="千分位 2 2 2" xfId="9"/>
    <cellStyle name="千分位 2 2 2 2" xfId="13"/>
    <cellStyle name="千分位 2 2 2 2 2" xfId="21"/>
    <cellStyle name="千分位 2 2 2 3" xfId="17"/>
    <cellStyle name="千分位 2 2 3" xfId="11"/>
    <cellStyle name="千分位 2 2 3 2" xfId="19"/>
    <cellStyle name="千分位 2 2 4" xfId="15"/>
    <cellStyle name="百分比 2" xfId="5"/>
    <cellStyle name="貨幣 2" xfId="4"/>
    <cellStyle name="貨幣 2 2" xfId="8"/>
    <cellStyle name="貨幣 2 2 2" xfId="10"/>
    <cellStyle name="貨幣 2 2 2 2" xfId="14"/>
    <cellStyle name="貨幣 2 2 2 2 2" xfId="22"/>
    <cellStyle name="貨幣 2 2 2 3" xfId="18"/>
    <cellStyle name="貨幣 2 2 3" xfId="12"/>
    <cellStyle name="貨幣 2 2 3 2" xfId="20"/>
    <cellStyle name="貨幣 2 2 4" xfId="16"/>
  </cellStyles>
  <dxfs count="314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微軟正黑體"/>
        <scheme val="none"/>
      </font>
      <fill>
        <patternFill patternType="solid">
          <fgColor rgb="FF000000"/>
          <bgColor rgb="FFFFFFFF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微軟正黑體"/>
        <scheme val="none"/>
      </font>
      <fill>
        <patternFill patternType="solid">
          <fgColor indexed="64"/>
          <bgColor theme="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Medium9"/>
  <colors>
    <mruColors>
      <color rgb="FFFF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30480</xdr:colOff>
          <xdr:row>15</xdr:row>
          <xdr:rowOff>198120</xdr:rowOff>
        </xdr:from>
        <xdr:to>
          <xdr:col>15</xdr:col>
          <xdr:colOff>495300</xdr:colOff>
          <xdr:row>22</xdr:row>
          <xdr:rowOff>388620</xdr:rowOff>
        </xdr:to>
        <xdr:sp macro="" textlink="">
          <xdr:nvSpPr>
            <xdr:cNvPr id="2247681" name="CommandButton1" hidden="1">
              <a:extLst>
                <a:ext uri="{63B3BB69-23CF-44E3-9099-C40C66FF867C}">
                  <a14:compatExt spid="_x0000_s2247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22860</xdr:colOff>
          <xdr:row>25</xdr:row>
          <xdr:rowOff>60960</xdr:rowOff>
        </xdr:from>
        <xdr:to>
          <xdr:col>15</xdr:col>
          <xdr:colOff>548640</xdr:colOff>
          <xdr:row>32</xdr:row>
          <xdr:rowOff>0</xdr:rowOff>
        </xdr:to>
        <xdr:sp macro="" textlink="">
          <xdr:nvSpPr>
            <xdr:cNvPr id="2247682" name="CommandButton2" hidden="1">
              <a:extLst>
                <a:ext uri="{63B3BB69-23CF-44E3-9099-C40C66FF867C}">
                  <a14:compatExt spid="_x0000_s2247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2801" name="Button 1" hidden="1">
              <a:extLst>
                <a:ext uri="{63B3BB69-23CF-44E3-9099-C40C66FF867C}">
                  <a14:compatExt spid="_x0000_s28928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4849" name="Button 1" hidden="1">
              <a:extLst>
                <a:ext uri="{63B3BB69-23CF-44E3-9099-C40C66FF867C}">
                  <a14:compatExt spid="_x0000_s28948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6897" name="Button 1" hidden="1">
              <a:extLst>
                <a:ext uri="{63B3BB69-23CF-44E3-9099-C40C66FF867C}">
                  <a14:compatExt spid="_x0000_s28968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8945" name="Button 1" hidden="1">
              <a:extLst>
                <a:ext uri="{63B3BB69-23CF-44E3-9099-C40C66FF867C}">
                  <a14:compatExt spid="_x0000_s28989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899969" name="Button 1" hidden="1">
              <a:extLst>
                <a:ext uri="{63B3BB69-23CF-44E3-9099-C40C66FF867C}">
                  <a14:compatExt spid="_x0000_s28999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02017" name="Button 1" hidden="1">
              <a:extLst>
                <a:ext uri="{63B3BB69-23CF-44E3-9099-C40C66FF867C}">
                  <a14:compatExt spid="_x0000_s29020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03041" name="Button 1" hidden="1">
              <a:extLst>
                <a:ext uri="{63B3BB69-23CF-44E3-9099-C40C66FF867C}">
                  <a14:compatExt spid="_x0000_s2903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04065" name="Button 1" hidden="1">
              <a:extLst>
                <a:ext uri="{63B3BB69-23CF-44E3-9099-C40C66FF867C}">
                  <a14:compatExt spid="_x0000_s2904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06113" name="Button 1" hidden="1">
              <a:extLst>
                <a:ext uri="{63B3BB69-23CF-44E3-9099-C40C66FF867C}">
                  <a14:compatExt spid="_x0000_s2906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07137" name="Button 1" hidden="1">
              <a:extLst>
                <a:ext uri="{63B3BB69-23CF-44E3-9099-C40C66FF867C}">
                  <a14:compatExt spid="_x0000_s2907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09185" name="Button 1" hidden="1">
              <a:extLst>
                <a:ext uri="{63B3BB69-23CF-44E3-9099-C40C66FF867C}">
                  <a14:compatExt spid="_x0000_s2909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0209" name="Button 1" hidden="1">
              <a:extLst>
                <a:ext uri="{63B3BB69-23CF-44E3-9099-C40C66FF867C}">
                  <a14:compatExt spid="_x0000_s29102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1233" name="Button 1" hidden="1">
              <a:extLst>
                <a:ext uri="{63B3BB69-23CF-44E3-9099-C40C66FF867C}">
                  <a14:compatExt spid="_x0000_s29112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2257" name="Button 1" hidden="1">
              <a:extLst>
                <a:ext uri="{63B3BB69-23CF-44E3-9099-C40C66FF867C}">
                  <a14:compatExt spid="_x0000_s29122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3281" name="Button 1" hidden="1">
              <a:extLst>
                <a:ext uri="{63B3BB69-23CF-44E3-9099-C40C66FF867C}">
                  <a14:compatExt spid="_x0000_s29132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4305" name="Button 1" hidden="1">
              <a:extLst>
                <a:ext uri="{63B3BB69-23CF-44E3-9099-C40C66FF867C}">
                  <a14:compatExt spid="_x0000_s29143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5329" name="Button 1" hidden="1">
              <a:extLst>
                <a:ext uri="{63B3BB69-23CF-44E3-9099-C40C66FF867C}">
                  <a14:compatExt spid="_x0000_s291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6353" name="Button 1" hidden="1">
              <a:extLst>
                <a:ext uri="{63B3BB69-23CF-44E3-9099-C40C66FF867C}">
                  <a14:compatExt spid="_x0000_s2916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7377" name="Button 1" hidden="1">
              <a:extLst>
                <a:ext uri="{63B3BB69-23CF-44E3-9099-C40C66FF867C}">
                  <a14:compatExt spid="_x0000_s2917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8401" name="Button 1" hidden="1">
              <a:extLst>
                <a:ext uri="{63B3BB69-23CF-44E3-9099-C40C66FF867C}">
                  <a14:compatExt spid="_x0000_s2918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19425" name="Button 1" hidden="1">
              <a:extLst>
                <a:ext uri="{63B3BB69-23CF-44E3-9099-C40C66FF867C}">
                  <a14:compatExt spid="_x0000_s29194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0449" name="Button 1" hidden="1">
              <a:extLst>
                <a:ext uri="{63B3BB69-23CF-44E3-9099-C40C66FF867C}">
                  <a14:compatExt spid="_x0000_s2920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1473" name="Button 1" hidden="1">
              <a:extLst>
                <a:ext uri="{63B3BB69-23CF-44E3-9099-C40C66FF867C}">
                  <a14:compatExt spid="_x0000_s292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0</xdr:row>
          <xdr:rowOff>342900</xdr:rowOff>
        </xdr:from>
        <xdr:to>
          <xdr:col>32</xdr:col>
          <xdr:colOff>411480</xdr:colOff>
          <xdr:row>3</xdr:row>
          <xdr:rowOff>30480</xdr:rowOff>
        </xdr:to>
        <xdr:sp macro="" textlink="">
          <xdr:nvSpPr>
            <xdr:cNvPr id="2922497" name="Button 1" hidden="1">
              <a:extLst>
                <a:ext uri="{63B3BB69-23CF-44E3-9099-C40C66FF867C}">
                  <a14:compatExt spid="_x0000_s2922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跳至新增頁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取樣回收每月庫存表 0620更新" connectionId="1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.xml><?xml version="1.0" encoding="utf-8"?>
<queryTable xmlns="http://schemas.openxmlformats.org/spreadsheetml/2006/main" name="取樣回收每月庫存表 0620更新" connectionId="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3.xml><?xml version="1.0" encoding="utf-8"?>
<queryTable xmlns="http://schemas.openxmlformats.org/spreadsheetml/2006/main" name="取樣回收每月庫存表 0620更新" connectionId="1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4.xml><?xml version="1.0" encoding="utf-8"?>
<queryTable xmlns="http://schemas.openxmlformats.org/spreadsheetml/2006/main" name="取樣回收每月庫存表 0620更新" connectionId="1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5.xml><?xml version="1.0" encoding="utf-8"?>
<queryTable xmlns="http://schemas.openxmlformats.org/spreadsheetml/2006/main" name="取樣回收每月庫存表 0620更新" connectionId="1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6.xml><?xml version="1.0" encoding="utf-8"?>
<queryTable xmlns="http://schemas.openxmlformats.org/spreadsheetml/2006/main" name="取樣回收每月庫存表 0620更新" connectionId="2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7.xml><?xml version="1.0" encoding="utf-8"?>
<queryTable xmlns="http://schemas.openxmlformats.org/spreadsheetml/2006/main" name="取樣回收每月庫存表 0620更新" connectionId="2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8.xml><?xml version="1.0" encoding="utf-8"?>
<queryTable xmlns="http://schemas.openxmlformats.org/spreadsheetml/2006/main" name="取樣回收每月庫存表 0620更新" connectionId="2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9.xml><?xml version="1.0" encoding="utf-8"?>
<queryTable xmlns="http://schemas.openxmlformats.org/spreadsheetml/2006/main" name="取樣回收每月庫存表 0620更新" connectionId="2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0.xml><?xml version="1.0" encoding="utf-8"?>
<queryTable xmlns="http://schemas.openxmlformats.org/spreadsheetml/2006/main" name="取樣回收每月庫存表 0620更新" connectionId="2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1.xml><?xml version="1.0" encoding="utf-8"?>
<queryTable xmlns="http://schemas.openxmlformats.org/spreadsheetml/2006/main" name="取樣回收每月庫存表 0620更新" connectionId="2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2.xml><?xml version="1.0" encoding="utf-8"?>
<queryTable xmlns="http://schemas.openxmlformats.org/spreadsheetml/2006/main" name="取樣回收每月庫存表 0620更新" connectionId="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3.xml><?xml version="1.0" encoding="utf-8"?>
<queryTable xmlns="http://schemas.openxmlformats.org/spreadsheetml/2006/main" name="取樣回收每月庫存表 0620更新" connectionId="4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4.xml><?xml version="1.0" encoding="utf-8"?>
<queryTable xmlns="http://schemas.openxmlformats.org/spreadsheetml/2006/main" name="取樣回收每月庫存表 0620更新" connectionId="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5.xml><?xml version="1.0" encoding="utf-8"?>
<queryTable xmlns="http://schemas.openxmlformats.org/spreadsheetml/2006/main" name="取樣回收每月庫存表 0620更新" connectionId="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6.xml><?xml version="1.0" encoding="utf-8"?>
<queryTable xmlns="http://schemas.openxmlformats.org/spreadsheetml/2006/main" name="取樣回收每月庫存表 0620更新" connectionId="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7.xml><?xml version="1.0" encoding="utf-8"?>
<queryTable xmlns="http://schemas.openxmlformats.org/spreadsheetml/2006/main" name="取樣回收每月庫存表 0620更新" connectionId="8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8.xml><?xml version="1.0" encoding="utf-8"?>
<queryTable xmlns="http://schemas.openxmlformats.org/spreadsheetml/2006/main" name="取樣回收每月庫存表 0620更新" connectionId="9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19.xml><?xml version="1.0" encoding="utf-8"?>
<queryTable xmlns="http://schemas.openxmlformats.org/spreadsheetml/2006/main" name="取樣回收每月庫存表 0620更新" connectionId="10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0.xml><?xml version="1.0" encoding="utf-8"?>
<queryTable xmlns="http://schemas.openxmlformats.org/spreadsheetml/2006/main" name="取樣回收每月庫存表 0620更新" connectionId="11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1.xml><?xml version="1.0" encoding="utf-8"?>
<queryTable xmlns="http://schemas.openxmlformats.org/spreadsheetml/2006/main" name="取樣回收每月庫存表 0620更新" connectionId="13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2.xml><?xml version="1.0" encoding="utf-8"?>
<queryTable xmlns="http://schemas.openxmlformats.org/spreadsheetml/2006/main" name="取樣回收每月庫存表 0620更新" connectionId="15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3.xml><?xml version="1.0" encoding="utf-8"?>
<queryTable xmlns="http://schemas.openxmlformats.org/spreadsheetml/2006/main" name="取樣回收每月庫存表 0620更新" connectionId="16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queryTables/queryTable24.xml><?xml version="1.0" encoding="utf-8"?>
<queryTable xmlns="http://schemas.openxmlformats.org/spreadsheetml/2006/main" name="取樣回收每月庫存表 0620更新" connectionId="17" autoFormatId="16" applyNumberFormats="0" applyBorderFormats="0" applyFontFormats="0" applyPatternFormats="0" applyAlignmentFormats="0" applyWidthHeightFormats="0">
  <queryTableRefresh nextId="29">
    <queryTableFields count="28">
      <queryTableField id="1" name="請直接以10進位，謝謝" tableColumnId="1"/>
      <queryTableField id="2" name="F2" tableColumnId="2"/>
      <queryTableField id="3" name="F3" tableColumnId="3"/>
      <queryTableField id="4" name="F4" tableColumnId="4"/>
      <queryTableField id="5" name="F5" tableColumnId="5"/>
      <queryTableField id="6" name="F6" tableColumnId="6"/>
      <queryTableField id="7" name="F7" tableColumnId="7"/>
      <queryTableField id="8" name="F8" tableColumnId="8"/>
      <queryTableField id="9" name="F9" tableColumnId="9"/>
      <queryTableField id="10" name="F10" tableColumnId="10"/>
      <queryTableField id="11" name="F11" tableColumnId="11"/>
      <queryTableField id="12" name="F12" tableColumnId="12"/>
      <queryTableField id="13" name="F13" tableColumnId="13"/>
      <queryTableField id="14" name="F14" tableColumnId="14"/>
      <queryTableField id="15" name="F15" tableColumnId="15"/>
      <queryTableField id="16" name="F16" tableColumnId="16"/>
      <queryTableField id="17" name="F17" tableColumnId="17"/>
      <queryTableField id="18" name="F18" tableColumnId="18"/>
      <queryTableField id="19" name="F19" tableColumnId="19"/>
      <queryTableField id="20" name="F20" tableColumnId="20"/>
      <queryTableField id="21" name="F21" tableColumnId="21"/>
      <queryTableField id="22" name="2024/6/24 14:52" tableColumnId="22"/>
      <queryTableField id="23" name="F23" tableColumnId="23"/>
      <queryTableField id="24" name="F24" tableColumnId="24"/>
      <queryTableField id="25" name="F25" tableColumnId="25"/>
      <queryTableField id="26" name="F26" tableColumnId="26"/>
      <queryTableField id="27" name="F27" tableColumnId="27"/>
      <queryTableField id="28" name="F28" tableColumnId="2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_rels/table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6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7.xml"/></Relationships>
</file>

<file path=xl/tables/_rels/table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8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9.xml"/></Relationships>
</file>

<file path=xl/tables/_rels/table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0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1.xml"/></Relationships>
</file>

<file path=xl/tables/_rels/table2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2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3.xml"/></Relationships>
</file>

<file path=xl/tables/_rels/table2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4.xml"/></Relationships>
</file>

<file path=xl/tables/table1.xml><?xml version="1.0" encoding="utf-8"?>
<table xmlns="http://schemas.openxmlformats.org/spreadsheetml/2006/main" id="2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" ref="AG13:BH189" tableType="queryTable" totalsRowShown="0" headerRowDxfId="3047" dataDxfId="3046" headerRowCellStyle="一般 2" dataCellStyle="一般 2">
  <autoFilter ref="AG13:BH189"/>
  <tableColumns count="28">
    <tableColumn id="1" uniqueName="1" name="請直接以10進位，謝謝" queryTableFieldId="1" dataDxfId="3045" dataCellStyle="一般 2"/>
    <tableColumn id="2" uniqueName="2" name="F2" queryTableFieldId="2" dataDxfId="3044" dataCellStyle="一般 2"/>
    <tableColumn id="3" uniqueName="3" name="F3" queryTableFieldId="3" dataDxfId="3043" dataCellStyle="一般 2"/>
    <tableColumn id="4" uniqueName="4" name="F4" queryTableFieldId="4" dataDxfId="3042" dataCellStyle="一般 2"/>
    <tableColumn id="5" uniqueName="5" name="F5" queryTableFieldId="5" dataDxfId="3041" dataCellStyle="一般 2"/>
    <tableColumn id="6" uniqueName="6" name="F6" queryTableFieldId="6" dataDxfId="3040" dataCellStyle="一般 2"/>
    <tableColumn id="7" uniqueName="7" name="F7" queryTableFieldId="7" dataDxfId="3039" dataCellStyle="一般 2"/>
    <tableColumn id="8" uniqueName="8" name="F8" queryTableFieldId="8" dataDxfId="3038" dataCellStyle="一般 2"/>
    <tableColumn id="9" uniqueName="9" name="F9" queryTableFieldId="9" dataDxfId="3037" dataCellStyle="一般 2"/>
    <tableColumn id="10" uniqueName="10" name="F10" queryTableFieldId="10" dataDxfId="3036" dataCellStyle="一般 2"/>
    <tableColumn id="11" uniqueName="11" name="F11" queryTableFieldId="11" dataDxfId="3035" dataCellStyle="一般 2"/>
    <tableColumn id="12" uniqueName="12" name="F12" queryTableFieldId="12" dataDxfId="3034" dataCellStyle="一般 2"/>
    <tableColumn id="13" uniqueName="13" name="F13" queryTableFieldId="13" dataDxfId="3033" dataCellStyle="一般 2"/>
    <tableColumn id="14" uniqueName="14" name="F14" queryTableFieldId="14" dataDxfId="3032" dataCellStyle="一般 2"/>
    <tableColumn id="15" uniqueName="15" name="F15" queryTableFieldId="15" dataDxfId="3031" dataCellStyle="一般 2"/>
    <tableColumn id="16" uniqueName="16" name="F16" queryTableFieldId="16" dataDxfId="3030" dataCellStyle="一般 2"/>
    <tableColumn id="17" uniqueName="17" name="F17" queryTableFieldId="17" dataDxfId="3029" dataCellStyle="一般 2"/>
    <tableColumn id="18" uniqueName="18" name="F18" queryTableFieldId="18" dataDxfId="3028" dataCellStyle="一般 2"/>
    <tableColumn id="19" uniqueName="19" name="F19" queryTableFieldId="19" dataDxfId="3027" dataCellStyle="一般 2"/>
    <tableColumn id="20" uniqueName="20" name="F20" queryTableFieldId="20" dataDxfId="3026" dataCellStyle="一般 2"/>
    <tableColumn id="21" uniqueName="21" name="F21" queryTableFieldId="21" dataDxfId="3025" dataCellStyle="一般 2"/>
    <tableColumn id="22" uniqueName="22" name="2024/6/24 14:52" queryTableFieldId="22" dataDxfId="3024" dataCellStyle="一般 2"/>
    <tableColumn id="23" uniqueName="23" name="F23" queryTableFieldId="23" dataDxfId="3023" dataCellStyle="一般 2"/>
    <tableColumn id="24" uniqueName="24" name="F24" queryTableFieldId="24" dataDxfId="3022" dataCellStyle="一般 2"/>
    <tableColumn id="25" uniqueName="25" name="F25" queryTableFieldId="25" dataDxfId="3021" dataCellStyle="一般 2"/>
    <tableColumn id="26" uniqueName="26" name="F26" queryTableFieldId="26" dataDxfId="3020" dataCellStyle="一般 2"/>
    <tableColumn id="27" uniqueName="27" name="F27" queryTableFieldId="27" dataDxfId="3019" dataCellStyle="一般 2"/>
    <tableColumn id="28" uniqueName="28" name="F28" queryTableFieldId="28" dataDxfId="3018" dataCellStyle="一般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" ref="AG13:BH189" tableType="queryTable" totalsRowShown="0" headerRowDxfId="2916" dataDxfId="2915" headerRowCellStyle="一般 2" dataCellStyle="一般 2">
  <autoFilter ref="AG13:BH189"/>
  <tableColumns count="28">
    <tableColumn id="1" uniqueName="1" name="請直接以10進位，謝謝" queryTableFieldId="1" dataDxfId="2914" dataCellStyle="一般 2"/>
    <tableColumn id="2" uniqueName="2" name="F2" queryTableFieldId="2" dataDxfId="2913" dataCellStyle="一般 2"/>
    <tableColumn id="3" uniqueName="3" name="F3" queryTableFieldId="3" dataDxfId="2912" dataCellStyle="一般 2"/>
    <tableColumn id="4" uniqueName="4" name="F4" queryTableFieldId="4" dataDxfId="2911" dataCellStyle="一般 2"/>
    <tableColumn id="5" uniqueName="5" name="F5" queryTableFieldId="5" dataDxfId="2910" dataCellStyle="一般 2"/>
    <tableColumn id="6" uniqueName="6" name="F6" queryTableFieldId="6" dataDxfId="2909" dataCellStyle="一般 2"/>
    <tableColumn id="7" uniqueName="7" name="F7" queryTableFieldId="7" dataDxfId="2908" dataCellStyle="一般 2"/>
    <tableColumn id="8" uniqueName="8" name="F8" queryTableFieldId="8" dataDxfId="2907" dataCellStyle="一般 2"/>
    <tableColumn id="9" uniqueName="9" name="F9" queryTableFieldId="9" dataDxfId="2906" dataCellStyle="一般 2"/>
    <tableColumn id="10" uniqueName="10" name="F10" queryTableFieldId="10" dataDxfId="2905" dataCellStyle="一般 2"/>
    <tableColumn id="11" uniqueName="11" name="F11" queryTableFieldId="11" dataDxfId="2904" dataCellStyle="一般 2"/>
    <tableColumn id="12" uniqueName="12" name="F12" queryTableFieldId="12" dataDxfId="2903" dataCellStyle="一般 2"/>
    <tableColumn id="13" uniqueName="13" name="F13" queryTableFieldId="13" dataDxfId="2902" dataCellStyle="一般 2"/>
    <tableColumn id="14" uniqueName="14" name="F14" queryTableFieldId="14" dataDxfId="2901" dataCellStyle="一般 2"/>
    <tableColumn id="15" uniqueName="15" name="F15" queryTableFieldId="15" dataDxfId="2900" dataCellStyle="一般 2"/>
    <tableColumn id="16" uniqueName="16" name="F16" queryTableFieldId="16" dataDxfId="2899" dataCellStyle="一般 2"/>
    <tableColumn id="17" uniqueName="17" name="F17" queryTableFieldId="17" dataDxfId="2898" dataCellStyle="一般 2"/>
    <tableColumn id="18" uniqueName="18" name="F18" queryTableFieldId="18" dataDxfId="2897" dataCellStyle="一般 2"/>
    <tableColumn id="19" uniqueName="19" name="F19" queryTableFieldId="19" dataDxfId="2896" dataCellStyle="一般 2"/>
    <tableColumn id="20" uniqueName="20" name="F20" queryTableFieldId="20" dataDxfId="2895" dataCellStyle="一般 2"/>
    <tableColumn id="21" uniqueName="21" name="F21" queryTableFieldId="21" dataDxfId="2894" dataCellStyle="一般 2"/>
    <tableColumn id="22" uniqueName="22" name="2024/6/24 14:52" queryTableFieldId="22" dataDxfId="2893" dataCellStyle="一般 2"/>
    <tableColumn id="23" uniqueName="23" name="F23" queryTableFieldId="23" dataDxfId="2892" dataCellStyle="一般 2"/>
    <tableColumn id="24" uniqueName="24" name="F24" queryTableFieldId="24" dataDxfId="2891" dataCellStyle="一般 2"/>
    <tableColumn id="25" uniqueName="25" name="F25" queryTableFieldId="25" dataDxfId="2890" dataCellStyle="一般 2"/>
    <tableColumn id="26" uniqueName="26" name="F26" queryTableFieldId="26" dataDxfId="2889" dataCellStyle="一般 2"/>
    <tableColumn id="27" uniqueName="27" name="F27" queryTableFieldId="27" dataDxfId="2888" dataCellStyle="一般 2"/>
    <tableColumn id="28" uniqueName="28" name="F28" queryTableFieldId="28" dataDxfId="2887" dataCellStyle="一般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" ref="AG13:BH189" tableType="queryTable" totalsRowShown="0" headerRowDxfId="2785" dataDxfId="2784" headerRowCellStyle="一般 2" dataCellStyle="一般 2">
  <autoFilter ref="AG13:BH189"/>
  <tableColumns count="28">
    <tableColumn id="1" uniqueName="1" name="請直接以10進位，謝謝" queryTableFieldId="1" dataDxfId="2783" dataCellStyle="一般 2"/>
    <tableColumn id="2" uniqueName="2" name="F2" queryTableFieldId="2" dataDxfId="2782" dataCellStyle="一般 2"/>
    <tableColumn id="3" uniqueName="3" name="F3" queryTableFieldId="3" dataDxfId="2781" dataCellStyle="一般 2"/>
    <tableColumn id="4" uniqueName="4" name="F4" queryTableFieldId="4" dataDxfId="2780" dataCellStyle="一般 2"/>
    <tableColumn id="5" uniqueName="5" name="F5" queryTableFieldId="5" dataDxfId="2779" dataCellStyle="一般 2"/>
    <tableColumn id="6" uniqueName="6" name="F6" queryTableFieldId="6" dataDxfId="2778" dataCellStyle="一般 2"/>
    <tableColumn id="7" uniqueName="7" name="F7" queryTableFieldId="7" dataDxfId="2777" dataCellStyle="一般 2"/>
    <tableColumn id="8" uniqueName="8" name="F8" queryTableFieldId="8" dataDxfId="2776" dataCellStyle="一般 2"/>
    <tableColumn id="9" uniqueName="9" name="F9" queryTableFieldId="9" dataDxfId="2775" dataCellStyle="一般 2"/>
    <tableColumn id="10" uniqueName="10" name="F10" queryTableFieldId="10" dataDxfId="2774" dataCellStyle="一般 2"/>
    <tableColumn id="11" uniqueName="11" name="F11" queryTableFieldId="11" dataDxfId="2773" dataCellStyle="一般 2"/>
    <tableColumn id="12" uniqueName="12" name="F12" queryTableFieldId="12" dataDxfId="2772" dataCellStyle="一般 2"/>
    <tableColumn id="13" uniqueName="13" name="F13" queryTableFieldId="13" dataDxfId="2771" dataCellStyle="一般 2"/>
    <tableColumn id="14" uniqueName="14" name="F14" queryTableFieldId="14" dataDxfId="2770" dataCellStyle="一般 2"/>
    <tableColumn id="15" uniqueName="15" name="F15" queryTableFieldId="15" dataDxfId="2769" dataCellStyle="一般 2"/>
    <tableColumn id="16" uniqueName="16" name="F16" queryTableFieldId="16" dataDxfId="2768" dataCellStyle="一般 2"/>
    <tableColumn id="17" uniqueName="17" name="F17" queryTableFieldId="17" dataDxfId="2767" dataCellStyle="一般 2"/>
    <tableColumn id="18" uniqueName="18" name="F18" queryTableFieldId="18" dataDxfId="2766" dataCellStyle="一般 2"/>
    <tableColumn id="19" uniqueName="19" name="F19" queryTableFieldId="19" dataDxfId="2765" dataCellStyle="一般 2"/>
    <tableColumn id="20" uniqueName="20" name="F20" queryTableFieldId="20" dataDxfId="2764" dataCellStyle="一般 2"/>
    <tableColumn id="21" uniqueName="21" name="F21" queryTableFieldId="21" dataDxfId="2763" dataCellStyle="一般 2"/>
    <tableColumn id="22" uniqueName="22" name="2024/6/24 14:52" queryTableFieldId="22" dataDxfId="2762" dataCellStyle="一般 2"/>
    <tableColumn id="23" uniqueName="23" name="F23" queryTableFieldId="23" dataDxfId="2761" dataCellStyle="一般 2"/>
    <tableColumn id="24" uniqueName="24" name="F24" queryTableFieldId="24" dataDxfId="2760" dataCellStyle="一般 2"/>
    <tableColumn id="25" uniqueName="25" name="F25" queryTableFieldId="25" dataDxfId="2759" dataCellStyle="一般 2"/>
    <tableColumn id="26" uniqueName="26" name="F26" queryTableFieldId="26" dataDxfId="2758" dataCellStyle="一般 2"/>
    <tableColumn id="27" uniqueName="27" name="F27" queryTableFieldId="27" dataDxfId="2757" dataCellStyle="一般 2"/>
    <tableColumn id="28" uniqueName="28" name="F28" queryTableFieldId="28" dataDxfId="2756" dataCellStyle="一般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" ref="AG13:BH189" tableType="queryTable" totalsRowShown="0" headerRowDxfId="2654" dataDxfId="2653" headerRowCellStyle="一般 2" dataCellStyle="一般 2">
  <autoFilter ref="AG13:BH189"/>
  <tableColumns count="28">
    <tableColumn id="1" uniqueName="1" name="請直接以10進位，謝謝" queryTableFieldId="1" dataDxfId="2652" dataCellStyle="一般 2"/>
    <tableColumn id="2" uniqueName="2" name="F2" queryTableFieldId="2" dataDxfId="2651" dataCellStyle="一般 2"/>
    <tableColumn id="3" uniqueName="3" name="F3" queryTableFieldId="3" dataDxfId="2650" dataCellStyle="一般 2"/>
    <tableColumn id="4" uniqueName="4" name="F4" queryTableFieldId="4" dataDxfId="2649" dataCellStyle="一般 2"/>
    <tableColumn id="5" uniqueName="5" name="F5" queryTableFieldId="5" dataDxfId="2648" dataCellStyle="一般 2"/>
    <tableColumn id="6" uniqueName="6" name="F6" queryTableFieldId="6" dataDxfId="2647" dataCellStyle="一般 2"/>
    <tableColumn id="7" uniqueName="7" name="F7" queryTableFieldId="7" dataDxfId="2646" dataCellStyle="一般 2"/>
    <tableColumn id="8" uniqueName="8" name="F8" queryTableFieldId="8" dataDxfId="2645" dataCellStyle="一般 2"/>
    <tableColumn id="9" uniqueName="9" name="F9" queryTableFieldId="9" dataDxfId="2644" dataCellStyle="一般 2"/>
    <tableColumn id="10" uniqueName="10" name="F10" queryTableFieldId="10" dataDxfId="2643" dataCellStyle="一般 2"/>
    <tableColumn id="11" uniqueName="11" name="F11" queryTableFieldId="11" dataDxfId="2642" dataCellStyle="一般 2"/>
    <tableColumn id="12" uniqueName="12" name="F12" queryTableFieldId="12" dataDxfId="2641" dataCellStyle="一般 2"/>
    <tableColumn id="13" uniqueName="13" name="F13" queryTableFieldId="13" dataDxfId="2640" dataCellStyle="一般 2"/>
    <tableColumn id="14" uniqueName="14" name="F14" queryTableFieldId="14" dataDxfId="2639" dataCellStyle="一般 2"/>
    <tableColumn id="15" uniqueName="15" name="F15" queryTableFieldId="15" dataDxfId="2638" dataCellStyle="一般 2"/>
    <tableColumn id="16" uniqueName="16" name="F16" queryTableFieldId="16" dataDxfId="2637" dataCellStyle="一般 2"/>
    <tableColumn id="17" uniqueName="17" name="F17" queryTableFieldId="17" dataDxfId="2636" dataCellStyle="一般 2"/>
    <tableColumn id="18" uniqueName="18" name="F18" queryTableFieldId="18" dataDxfId="2635" dataCellStyle="一般 2"/>
    <tableColumn id="19" uniqueName="19" name="F19" queryTableFieldId="19" dataDxfId="2634" dataCellStyle="一般 2"/>
    <tableColumn id="20" uniqueName="20" name="F20" queryTableFieldId="20" dataDxfId="2633" dataCellStyle="一般 2"/>
    <tableColumn id="21" uniqueName="21" name="F21" queryTableFieldId="21" dataDxfId="2632" dataCellStyle="一般 2"/>
    <tableColumn id="22" uniqueName="22" name="2024/6/24 14:52" queryTableFieldId="22" dataDxfId="2631" dataCellStyle="一般 2"/>
    <tableColumn id="23" uniqueName="23" name="F23" queryTableFieldId="23" dataDxfId="2630" dataCellStyle="一般 2"/>
    <tableColumn id="24" uniqueName="24" name="F24" queryTableFieldId="24" dataDxfId="2629" dataCellStyle="一般 2"/>
    <tableColumn id="25" uniqueName="25" name="F25" queryTableFieldId="25" dataDxfId="2628" dataCellStyle="一般 2"/>
    <tableColumn id="26" uniqueName="26" name="F26" queryTableFieldId="26" dataDxfId="2627" dataCellStyle="一般 2"/>
    <tableColumn id="27" uniqueName="27" name="F27" queryTableFieldId="27" dataDxfId="2626" dataCellStyle="一般 2"/>
    <tableColumn id="28" uniqueName="28" name="F28" queryTableFieldId="28" dataDxfId="2625" dataCellStyle="一般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" ref="AG13:BH189" tableType="queryTable" totalsRowShown="0" headerRowDxfId="2523" dataDxfId="2522" headerRowCellStyle="一般 2" dataCellStyle="一般 2">
  <autoFilter ref="AG13:BH189"/>
  <tableColumns count="28">
    <tableColumn id="1" uniqueName="1" name="請直接以10進位，謝謝" queryTableFieldId="1" dataDxfId="2521" dataCellStyle="一般 2"/>
    <tableColumn id="2" uniqueName="2" name="F2" queryTableFieldId="2" dataDxfId="2520" dataCellStyle="一般 2"/>
    <tableColumn id="3" uniqueName="3" name="F3" queryTableFieldId="3" dataDxfId="2519" dataCellStyle="一般 2"/>
    <tableColumn id="4" uniqueName="4" name="F4" queryTableFieldId="4" dataDxfId="2518" dataCellStyle="一般 2"/>
    <tableColumn id="5" uniqueName="5" name="F5" queryTableFieldId="5" dataDxfId="2517" dataCellStyle="一般 2"/>
    <tableColumn id="6" uniqueName="6" name="F6" queryTableFieldId="6" dataDxfId="2516" dataCellStyle="一般 2"/>
    <tableColumn id="7" uniqueName="7" name="F7" queryTableFieldId="7" dataDxfId="2515" dataCellStyle="一般 2"/>
    <tableColumn id="8" uniqueName="8" name="F8" queryTableFieldId="8" dataDxfId="2514" dataCellStyle="一般 2"/>
    <tableColumn id="9" uniqueName="9" name="F9" queryTableFieldId="9" dataDxfId="2513" dataCellStyle="一般 2"/>
    <tableColumn id="10" uniqueName="10" name="F10" queryTableFieldId="10" dataDxfId="2512" dataCellStyle="一般 2"/>
    <tableColumn id="11" uniqueName="11" name="F11" queryTableFieldId="11" dataDxfId="2511" dataCellStyle="一般 2"/>
    <tableColumn id="12" uniqueName="12" name="F12" queryTableFieldId="12" dataDxfId="2510" dataCellStyle="一般 2"/>
    <tableColumn id="13" uniqueName="13" name="F13" queryTableFieldId="13" dataDxfId="2509" dataCellStyle="一般 2"/>
    <tableColumn id="14" uniqueName="14" name="F14" queryTableFieldId="14" dataDxfId="2508" dataCellStyle="一般 2"/>
    <tableColumn id="15" uniqueName="15" name="F15" queryTableFieldId="15" dataDxfId="2507" dataCellStyle="一般 2"/>
    <tableColumn id="16" uniqueName="16" name="F16" queryTableFieldId="16" dataDxfId="2506" dataCellStyle="一般 2"/>
    <tableColumn id="17" uniqueName="17" name="F17" queryTableFieldId="17" dataDxfId="2505" dataCellStyle="一般 2"/>
    <tableColumn id="18" uniqueName="18" name="F18" queryTableFieldId="18" dataDxfId="2504" dataCellStyle="一般 2"/>
    <tableColumn id="19" uniqueName="19" name="F19" queryTableFieldId="19" dataDxfId="2503" dataCellStyle="一般 2"/>
    <tableColumn id="20" uniqueName="20" name="F20" queryTableFieldId="20" dataDxfId="2502" dataCellStyle="一般 2"/>
    <tableColumn id="21" uniqueName="21" name="F21" queryTableFieldId="21" dataDxfId="2501" dataCellStyle="一般 2"/>
    <tableColumn id="22" uniqueName="22" name="2024/6/24 14:52" queryTableFieldId="22" dataDxfId="2500" dataCellStyle="一般 2"/>
    <tableColumn id="23" uniqueName="23" name="F23" queryTableFieldId="23" dataDxfId="2499" dataCellStyle="一般 2"/>
    <tableColumn id="24" uniqueName="24" name="F24" queryTableFieldId="24" dataDxfId="2498" dataCellStyle="一般 2"/>
    <tableColumn id="25" uniqueName="25" name="F25" queryTableFieldId="25" dataDxfId="2497" dataCellStyle="一般 2"/>
    <tableColumn id="26" uniqueName="26" name="F26" queryTableFieldId="26" dataDxfId="2496" dataCellStyle="一般 2"/>
    <tableColumn id="27" uniqueName="27" name="F27" queryTableFieldId="27" dataDxfId="2495" dataCellStyle="一般 2"/>
    <tableColumn id="28" uniqueName="28" name="F28" queryTableFieldId="28" dataDxfId="2494" dataCellStyle="一般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" ref="AG13:BH189" tableType="queryTable" totalsRowShown="0" headerRowDxfId="2392" dataDxfId="2391" headerRowCellStyle="一般 2" dataCellStyle="一般 2">
  <autoFilter ref="AG13:BH189"/>
  <tableColumns count="28">
    <tableColumn id="1" uniqueName="1" name="請直接以10進位，謝謝" queryTableFieldId="1" dataDxfId="2390" dataCellStyle="一般 2"/>
    <tableColumn id="2" uniqueName="2" name="F2" queryTableFieldId="2" dataDxfId="2389" dataCellStyle="一般 2"/>
    <tableColumn id="3" uniqueName="3" name="F3" queryTableFieldId="3" dataDxfId="2388" dataCellStyle="一般 2"/>
    <tableColumn id="4" uniqueName="4" name="F4" queryTableFieldId="4" dataDxfId="2387" dataCellStyle="一般 2"/>
    <tableColumn id="5" uniqueName="5" name="F5" queryTableFieldId="5" dataDxfId="2386" dataCellStyle="一般 2"/>
    <tableColumn id="6" uniqueName="6" name="F6" queryTableFieldId="6" dataDxfId="2385" dataCellStyle="一般 2"/>
    <tableColumn id="7" uniqueName="7" name="F7" queryTableFieldId="7" dataDxfId="2384" dataCellStyle="一般 2"/>
    <tableColumn id="8" uniqueName="8" name="F8" queryTableFieldId="8" dataDxfId="2383" dataCellStyle="一般 2"/>
    <tableColumn id="9" uniqueName="9" name="F9" queryTableFieldId="9" dataDxfId="2382" dataCellStyle="一般 2"/>
    <tableColumn id="10" uniqueName="10" name="F10" queryTableFieldId="10" dataDxfId="2381" dataCellStyle="一般 2"/>
    <tableColumn id="11" uniqueName="11" name="F11" queryTableFieldId="11" dataDxfId="2380" dataCellStyle="一般 2"/>
    <tableColumn id="12" uniqueName="12" name="F12" queryTableFieldId="12" dataDxfId="2379" dataCellStyle="一般 2"/>
    <tableColumn id="13" uniqueName="13" name="F13" queryTableFieldId="13" dataDxfId="2378" dataCellStyle="一般 2"/>
    <tableColumn id="14" uniqueName="14" name="F14" queryTableFieldId="14" dataDxfId="2377" dataCellStyle="一般 2"/>
    <tableColumn id="15" uniqueName="15" name="F15" queryTableFieldId="15" dataDxfId="2376" dataCellStyle="一般 2"/>
    <tableColumn id="16" uniqueName="16" name="F16" queryTableFieldId="16" dataDxfId="2375" dataCellStyle="一般 2"/>
    <tableColumn id="17" uniqueName="17" name="F17" queryTableFieldId="17" dataDxfId="2374" dataCellStyle="一般 2"/>
    <tableColumn id="18" uniqueName="18" name="F18" queryTableFieldId="18" dataDxfId="2373" dataCellStyle="一般 2"/>
    <tableColumn id="19" uniqueName="19" name="F19" queryTableFieldId="19" dataDxfId="2372" dataCellStyle="一般 2"/>
    <tableColumn id="20" uniqueName="20" name="F20" queryTableFieldId="20" dataDxfId="2371" dataCellStyle="一般 2"/>
    <tableColumn id="21" uniqueName="21" name="F21" queryTableFieldId="21" dataDxfId="2370" dataCellStyle="一般 2"/>
    <tableColumn id="22" uniqueName="22" name="2024/6/24 14:52" queryTableFieldId="22" dataDxfId="2369" dataCellStyle="一般 2"/>
    <tableColumn id="23" uniqueName="23" name="F23" queryTableFieldId="23" dataDxfId="2368" dataCellStyle="一般 2"/>
    <tableColumn id="24" uniqueName="24" name="F24" queryTableFieldId="24" dataDxfId="2367" dataCellStyle="一般 2"/>
    <tableColumn id="25" uniqueName="25" name="F25" queryTableFieldId="25" dataDxfId="2366" dataCellStyle="一般 2"/>
    <tableColumn id="26" uniqueName="26" name="F26" queryTableFieldId="26" dataDxfId="2365" dataCellStyle="一般 2"/>
    <tableColumn id="27" uniqueName="27" name="F27" queryTableFieldId="27" dataDxfId="2364" dataCellStyle="一般 2"/>
    <tableColumn id="28" uniqueName="28" name="F28" queryTableFieldId="28" dataDxfId="2363" dataCellStyle="一般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" ref="AG13:BH189" tableType="queryTable" totalsRowShown="0" headerRowDxfId="2261" dataDxfId="2260" headerRowCellStyle="一般 2" dataCellStyle="一般 2">
  <autoFilter ref="AG13:BH189"/>
  <tableColumns count="28">
    <tableColumn id="1" uniqueName="1" name="請直接以10進位，謝謝" queryTableFieldId="1" dataDxfId="2259" dataCellStyle="一般 2"/>
    <tableColumn id="2" uniqueName="2" name="F2" queryTableFieldId="2" dataDxfId="2258" dataCellStyle="一般 2"/>
    <tableColumn id="3" uniqueName="3" name="F3" queryTableFieldId="3" dataDxfId="2257" dataCellStyle="一般 2"/>
    <tableColumn id="4" uniqueName="4" name="F4" queryTableFieldId="4" dataDxfId="2256" dataCellStyle="一般 2"/>
    <tableColumn id="5" uniqueName="5" name="F5" queryTableFieldId="5" dataDxfId="2255" dataCellStyle="一般 2"/>
    <tableColumn id="6" uniqueName="6" name="F6" queryTableFieldId="6" dataDxfId="2254" dataCellStyle="一般 2"/>
    <tableColumn id="7" uniqueName="7" name="F7" queryTableFieldId="7" dataDxfId="2253" dataCellStyle="一般 2"/>
    <tableColumn id="8" uniqueName="8" name="F8" queryTableFieldId="8" dataDxfId="2252" dataCellStyle="一般 2"/>
    <tableColumn id="9" uniqueName="9" name="F9" queryTableFieldId="9" dataDxfId="2251" dataCellStyle="一般 2"/>
    <tableColumn id="10" uniqueName="10" name="F10" queryTableFieldId="10" dataDxfId="2250" dataCellStyle="一般 2"/>
    <tableColumn id="11" uniqueName="11" name="F11" queryTableFieldId="11" dataDxfId="2249" dataCellStyle="一般 2"/>
    <tableColumn id="12" uniqueName="12" name="F12" queryTableFieldId="12" dataDxfId="2248" dataCellStyle="一般 2"/>
    <tableColumn id="13" uniqueName="13" name="F13" queryTableFieldId="13" dataDxfId="2247" dataCellStyle="一般 2"/>
    <tableColumn id="14" uniqueName="14" name="F14" queryTableFieldId="14" dataDxfId="2246" dataCellStyle="一般 2"/>
    <tableColumn id="15" uniqueName="15" name="F15" queryTableFieldId="15" dataDxfId="2245" dataCellStyle="一般 2"/>
    <tableColumn id="16" uniqueName="16" name="F16" queryTableFieldId="16" dataDxfId="2244" dataCellStyle="一般 2"/>
    <tableColumn id="17" uniqueName="17" name="F17" queryTableFieldId="17" dataDxfId="2243" dataCellStyle="一般 2"/>
    <tableColumn id="18" uniqueName="18" name="F18" queryTableFieldId="18" dataDxfId="2242" dataCellStyle="一般 2"/>
    <tableColumn id="19" uniqueName="19" name="F19" queryTableFieldId="19" dataDxfId="2241" dataCellStyle="一般 2"/>
    <tableColumn id="20" uniqueName="20" name="F20" queryTableFieldId="20" dataDxfId="2240" dataCellStyle="一般 2"/>
    <tableColumn id="21" uniqueName="21" name="F21" queryTableFieldId="21" dataDxfId="2239" dataCellStyle="一般 2"/>
    <tableColumn id="22" uniqueName="22" name="2024/6/24 14:52" queryTableFieldId="22" dataDxfId="2238" dataCellStyle="一般 2"/>
    <tableColumn id="23" uniqueName="23" name="F23" queryTableFieldId="23" dataDxfId="2237" dataCellStyle="一般 2"/>
    <tableColumn id="24" uniqueName="24" name="F24" queryTableFieldId="24" dataDxfId="2236" dataCellStyle="一般 2"/>
    <tableColumn id="25" uniqueName="25" name="F25" queryTableFieldId="25" dataDxfId="2235" dataCellStyle="一般 2"/>
    <tableColumn id="26" uniqueName="26" name="F26" queryTableFieldId="26" dataDxfId="2234" dataCellStyle="一般 2"/>
    <tableColumn id="27" uniqueName="27" name="F27" queryTableFieldId="27" dataDxfId="2233" dataCellStyle="一般 2"/>
    <tableColumn id="28" uniqueName="28" name="F28" queryTableFieldId="28" dataDxfId="2232" dataCellStyle="一般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" ref="AG13:BH189" tableType="queryTable" totalsRowShown="0" headerRowDxfId="2130" dataDxfId="2129" headerRowCellStyle="一般 2" dataCellStyle="一般 2">
  <autoFilter ref="AG13:BH189"/>
  <tableColumns count="28">
    <tableColumn id="1" uniqueName="1" name="請直接以10進位，謝謝" queryTableFieldId="1" dataDxfId="2128" dataCellStyle="一般 2"/>
    <tableColumn id="2" uniqueName="2" name="F2" queryTableFieldId="2" dataDxfId="2127" dataCellStyle="一般 2"/>
    <tableColumn id="3" uniqueName="3" name="F3" queryTableFieldId="3" dataDxfId="2126" dataCellStyle="一般 2"/>
    <tableColumn id="4" uniqueName="4" name="F4" queryTableFieldId="4" dataDxfId="2125" dataCellStyle="一般 2"/>
    <tableColumn id="5" uniqueName="5" name="F5" queryTableFieldId="5" dataDxfId="2124" dataCellStyle="一般 2"/>
    <tableColumn id="6" uniqueName="6" name="F6" queryTableFieldId="6" dataDxfId="2123" dataCellStyle="一般 2"/>
    <tableColumn id="7" uniqueName="7" name="F7" queryTableFieldId="7" dataDxfId="2122" dataCellStyle="一般 2"/>
    <tableColumn id="8" uniqueName="8" name="F8" queryTableFieldId="8" dataDxfId="2121" dataCellStyle="一般 2"/>
    <tableColumn id="9" uniqueName="9" name="F9" queryTableFieldId="9" dataDxfId="2120" dataCellStyle="一般 2"/>
    <tableColumn id="10" uniqueName="10" name="F10" queryTableFieldId="10" dataDxfId="2119" dataCellStyle="一般 2"/>
    <tableColumn id="11" uniqueName="11" name="F11" queryTableFieldId="11" dataDxfId="2118" dataCellStyle="一般 2"/>
    <tableColumn id="12" uniqueName="12" name="F12" queryTableFieldId="12" dataDxfId="2117" dataCellStyle="一般 2"/>
    <tableColumn id="13" uniqueName="13" name="F13" queryTableFieldId="13" dataDxfId="2116" dataCellStyle="一般 2"/>
    <tableColumn id="14" uniqueName="14" name="F14" queryTableFieldId="14" dataDxfId="2115" dataCellStyle="一般 2"/>
    <tableColumn id="15" uniqueName="15" name="F15" queryTableFieldId="15" dataDxfId="2114" dataCellStyle="一般 2"/>
    <tableColumn id="16" uniqueName="16" name="F16" queryTableFieldId="16" dataDxfId="2113" dataCellStyle="一般 2"/>
    <tableColumn id="17" uniqueName="17" name="F17" queryTableFieldId="17" dataDxfId="2112" dataCellStyle="一般 2"/>
    <tableColumn id="18" uniqueName="18" name="F18" queryTableFieldId="18" dataDxfId="2111" dataCellStyle="一般 2"/>
    <tableColumn id="19" uniqueName="19" name="F19" queryTableFieldId="19" dataDxfId="2110" dataCellStyle="一般 2"/>
    <tableColumn id="20" uniqueName="20" name="F20" queryTableFieldId="20" dataDxfId="2109" dataCellStyle="一般 2"/>
    <tableColumn id="21" uniqueName="21" name="F21" queryTableFieldId="21" dataDxfId="2108" dataCellStyle="一般 2"/>
    <tableColumn id="22" uniqueName="22" name="2024/6/24 14:52" queryTableFieldId="22" dataDxfId="2107" dataCellStyle="一般 2"/>
    <tableColumn id="23" uniqueName="23" name="F23" queryTableFieldId="23" dataDxfId="2106" dataCellStyle="一般 2"/>
    <tableColumn id="24" uniqueName="24" name="F24" queryTableFieldId="24" dataDxfId="2105" dataCellStyle="一般 2"/>
    <tableColumn id="25" uniqueName="25" name="F25" queryTableFieldId="25" dataDxfId="2104" dataCellStyle="一般 2"/>
    <tableColumn id="26" uniqueName="26" name="F26" queryTableFieldId="26" dataDxfId="2103" dataCellStyle="一般 2"/>
    <tableColumn id="27" uniqueName="27" name="F27" queryTableFieldId="27" dataDxfId="2102" dataCellStyle="一般 2"/>
    <tableColumn id="28" uniqueName="28" name="F28" queryTableFieldId="28" dataDxfId="2101" dataCellStyle="一般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" ref="AG13:BH189" tableType="queryTable" totalsRowShown="0" headerRowDxfId="1999" dataDxfId="1998" headerRowCellStyle="一般 2" dataCellStyle="一般 2">
  <autoFilter ref="AG13:BH189"/>
  <tableColumns count="28">
    <tableColumn id="1" uniqueName="1" name="請直接以10進位，謝謝" queryTableFieldId="1" dataDxfId="1997" dataCellStyle="一般 2"/>
    <tableColumn id="2" uniqueName="2" name="F2" queryTableFieldId="2" dataDxfId="1996" dataCellStyle="一般 2"/>
    <tableColumn id="3" uniqueName="3" name="F3" queryTableFieldId="3" dataDxfId="1995" dataCellStyle="一般 2"/>
    <tableColumn id="4" uniqueName="4" name="F4" queryTableFieldId="4" dataDxfId="1994" dataCellStyle="一般 2"/>
    <tableColumn id="5" uniqueName="5" name="F5" queryTableFieldId="5" dataDxfId="1993" dataCellStyle="一般 2"/>
    <tableColumn id="6" uniqueName="6" name="F6" queryTableFieldId="6" dataDxfId="1992" dataCellStyle="一般 2"/>
    <tableColumn id="7" uniqueName="7" name="F7" queryTableFieldId="7" dataDxfId="1991" dataCellStyle="一般 2"/>
    <tableColumn id="8" uniqueName="8" name="F8" queryTableFieldId="8" dataDxfId="1990" dataCellStyle="一般 2"/>
    <tableColumn id="9" uniqueName="9" name="F9" queryTableFieldId="9" dataDxfId="1989" dataCellStyle="一般 2"/>
    <tableColumn id="10" uniqueName="10" name="F10" queryTableFieldId="10" dataDxfId="1988" dataCellStyle="一般 2"/>
    <tableColumn id="11" uniqueName="11" name="F11" queryTableFieldId="11" dataDxfId="1987" dataCellStyle="一般 2"/>
    <tableColumn id="12" uniqueName="12" name="F12" queryTableFieldId="12" dataDxfId="1986" dataCellStyle="一般 2"/>
    <tableColumn id="13" uniqueName="13" name="F13" queryTableFieldId="13" dataDxfId="1985" dataCellStyle="一般 2"/>
    <tableColumn id="14" uniqueName="14" name="F14" queryTableFieldId="14" dataDxfId="1984" dataCellStyle="一般 2"/>
    <tableColumn id="15" uniqueName="15" name="F15" queryTableFieldId="15" dataDxfId="1983" dataCellStyle="一般 2"/>
    <tableColumn id="16" uniqueName="16" name="F16" queryTableFieldId="16" dataDxfId="1982" dataCellStyle="一般 2"/>
    <tableColumn id="17" uniqueName="17" name="F17" queryTableFieldId="17" dataDxfId="1981" dataCellStyle="一般 2"/>
    <tableColumn id="18" uniqueName="18" name="F18" queryTableFieldId="18" dataDxfId="1980" dataCellStyle="一般 2"/>
    <tableColumn id="19" uniqueName="19" name="F19" queryTableFieldId="19" dataDxfId="1979" dataCellStyle="一般 2"/>
    <tableColumn id="20" uniqueName="20" name="F20" queryTableFieldId="20" dataDxfId="1978" dataCellStyle="一般 2"/>
    <tableColumn id="21" uniqueName="21" name="F21" queryTableFieldId="21" dataDxfId="1977" dataCellStyle="一般 2"/>
    <tableColumn id="22" uniqueName="22" name="2024/6/24 14:52" queryTableFieldId="22" dataDxfId="1976" dataCellStyle="一般 2"/>
    <tableColumn id="23" uniqueName="23" name="F23" queryTableFieldId="23" dataDxfId="1975" dataCellStyle="一般 2"/>
    <tableColumn id="24" uniqueName="24" name="F24" queryTableFieldId="24" dataDxfId="1974" dataCellStyle="一般 2"/>
    <tableColumn id="25" uniqueName="25" name="F25" queryTableFieldId="25" dataDxfId="1973" dataCellStyle="一般 2"/>
    <tableColumn id="26" uniqueName="26" name="F26" queryTableFieldId="26" dataDxfId="1972" dataCellStyle="一般 2"/>
    <tableColumn id="27" uniqueName="27" name="F27" queryTableFieldId="27" dataDxfId="1971" dataCellStyle="一般 2"/>
    <tableColumn id="28" uniqueName="28" name="F28" queryTableFieldId="28" dataDxfId="1970" dataCellStyle="一般 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" ref="AG13:BH189" tableType="queryTable" totalsRowShown="0" headerRowDxfId="1868" dataDxfId="1867" headerRowCellStyle="一般 2" dataCellStyle="一般 2">
  <autoFilter ref="AG13:BH189"/>
  <tableColumns count="28">
    <tableColumn id="1" uniqueName="1" name="請直接以10進位，謝謝" queryTableFieldId="1" dataDxfId="1866" dataCellStyle="一般 2"/>
    <tableColumn id="2" uniqueName="2" name="F2" queryTableFieldId="2" dataDxfId="1865" dataCellStyle="一般 2"/>
    <tableColumn id="3" uniqueName="3" name="F3" queryTableFieldId="3" dataDxfId="1864" dataCellStyle="一般 2"/>
    <tableColumn id="4" uniqueName="4" name="F4" queryTableFieldId="4" dataDxfId="1863" dataCellStyle="一般 2"/>
    <tableColumn id="5" uniqueName="5" name="F5" queryTableFieldId="5" dataDxfId="1862" dataCellStyle="一般 2"/>
    <tableColumn id="6" uniqueName="6" name="F6" queryTableFieldId="6" dataDxfId="1861" dataCellStyle="一般 2"/>
    <tableColumn id="7" uniqueName="7" name="F7" queryTableFieldId="7" dataDxfId="1860" dataCellStyle="一般 2"/>
    <tableColumn id="8" uniqueName="8" name="F8" queryTableFieldId="8" dataDxfId="1859" dataCellStyle="一般 2"/>
    <tableColumn id="9" uniqueName="9" name="F9" queryTableFieldId="9" dataDxfId="1858" dataCellStyle="一般 2"/>
    <tableColumn id="10" uniqueName="10" name="F10" queryTableFieldId="10" dataDxfId="1857" dataCellStyle="一般 2"/>
    <tableColumn id="11" uniqueName="11" name="F11" queryTableFieldId="11" dataDxfId="1856" dataCellStyle="一般 2"/>
    <tableColumn id="12" uniqueName="12" name="F12" queryTableFieldId="12" dataDxfId="1855" dataCellStyle="一般 2"/>
    <tableColumn id="13" uniqueName="13" name="F13" queryTableFieldId="13" dataDxfId="1854" dataCellStyle="一般 2"/>
    <tableColumn id="14" uniqueName="14" name="F14" queryTableFieldId="14" dataDxfId="1853" dataCellStyle="一般 2"/>
    <tableColumn id="15" uniqueName="15" name="F15" queryTableFieldId="15" dataDxfId="1852" dataCellStyle="一般 2"/>
    <tableColumn id="16" uniqueName="16" name="F16" queryTableFieldId="16" dataDxfId="1851" dataCellStyle="一般 2"/>
    <tableColumn id="17" uniqueName="17" name="F17" queryTableFieldId="17" dataDxfId="1850" dataCellStyle="一般 2"/>
    <tableColumn id="18" uniqueName="18" name="F18" queryTableFieldId="18" dataDxfId="1849" dataCellStyle="一般 2"/>
    <tableColumn id="19" uniqueName="19" name="F19" queryTableFieldId="19" dataDxfId="1848" dataCellStyle="一般 2"/>
    <tableColumn id="20" uniqueName="20" name="F20" queryTableFieldId="20" dataDxfId="1847" dataCellStyle="一般 2"/>
    <tableColumn id="21" uniqueName="21" name="F21" queryTableFieldId="21" dataDxfId="1846" dataCellStyle="一般 2"/>
    <tableColumn id="22" uniqueName="22" name="2024/6/24 14:52" queryTableFieldId="22" dataDxfId="1845" dataCellStyle="一般 2"/>
    <tableColumn id="23" uniqueName="23" name="F23" queryTableFieldId="23" dataDxfId="1844" dataCellStyle="一般 2"/>
    <tableColumn id="24" uniqueName="24" name="F24" queryTableFieldId="24" dataDxfId="1843" dataCellStyle="一般 2"/>
    <tableColumn id="25" uniqueName="25" name="F25" queryTableFieldId="25" dataDxfId="1842" dataCellStyle="一般 2"/>
    <tableColumn id="26" uniqueName="26" name="F26" queryTableFieldId="26" dataDxfId="1841" dataCellStyle="一般 2"/>
    <tableColumn id="27" uniqueName="27" name="F27" queryTableFieldId="27" dataDxfId="1840" dataCellStyle="一般 2"/>
    <tableColumn id="28" uniqueName="28" name="F28" queryTableFieldId="28" dataDxfId="1839" dataCellStyle="一般 2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1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" ref="AG13:BH189" tableType="queryTable" totalsRowShown="0" headerRowDxfId="1737" dataDxfId="1736" headerRowCellStyle="一般 2" dataCellStyle="一般 2">
  <autoFilter ref="AG13:BH189"/>
  <tableColumns count="28">
    <tableColumn id="1" uniqueName="1" name="請直接以10進位，謝謝" queryTableFieldId="1" dataDxfId="1735" dataCellStyle="一般 2"/>
    <tableColumn id="2" uniqueName="2" name="F2" queryTableFieldId="2" dataDxfId="1734" dataCellStyle="一般 2"/>
    <tableColumn id="3" uniqueName="3" name="F3" queryTableFieldId="3" dataDxfId="1733" dataCellStyle="一般 2"/>
    <tableColumn id="4" uniqueName="4" name="F4" queryTableFieldId="4" dataDxfId="1732" dataCellStyle="一般 2"/>
    <tableColumn id="5" uniqueName="5" name="F5" queryTableFieldId="5" dataDxfId="1731" dataCellStyle="一般 2"/>
    <tableColumn id="6" uniqueName="6" name="F6" queryTableFieldId="6" dataDxfId="1730" dataCellStyle="一般 2"/>
    <tableColumn id="7" uniqueName="7" name="F7" queryTableFieldId="7" dataDxfId="1729" dataCellStyle="一般 2"/>
    <tableColumn id="8" uniqueName="8" name="F8" queryTableFieldId="8" dataDxfId="1728" dataCellStyle="一般 2"/>
    <tableColumn id="9" uniqueName="9" name="F9" queryTableFieldId="9" dataDxfId="1727" dataCellStyle="一般 2"/>
    <tableColumn id="10" uniqueName="10" name="F10" queryTableFieldId="10" dataDxfId="1726" dataCellStyle="一般 2"/>
    <tableColumn id="11" uniqueName="11" name="F11" queryTableFieldId="11" dataDxfId="1725" dataCellStyle="一般 2"/>
    <tableColumn id="12" uniqueName="12" name="F12" queryTableFieldId="12" dataDxfId="1724" dataCellStyle="一般 2"/>
    <tableColumn id="13" uniqueName="13" name="F13" queryTableFieldId="13" dataDxfId="1723" dataCellStyle="一般 2"/>
    <tableColumn id="14" uniqueName="14" name="F14" queryTableFieldId="14" dataDxfId="1722" dataCellStyle="一般 2"/>
    <tableColumn id="15" uniqueName="15" name="F15" queryTableFieldId="15" dataDxfId="1721" dataCellStyle="一般 2"/>
    <tableColumn id="16" uniqueName="16" name="F16" queryTableFieldId="16" dataDxfId="1720" dataCellStyle="一般 2"/>
    <tableColumn id="17" uniqueName="17" name="F17" queryTableFieldId="17" dataDxfId="1719" dataCellStyle="一般 2"/>
    <tableColumn id="18" uniqueName="18" name="F18" queryTableFieldId="18" dataDxfId="1718" dataCellStyle="一般 2"/>
    <tableColumn id="19" uniqueName="19" name="F19" queryTableFieldId="19" dataDxfId="1717" dataCellStyle="一般 2"/>
    <tableColumn id="20" uniqueName="20" name="F20" queryTableFieldId="20" dataDxfId="1716" dataCellStyle="一般 2"/>
    <tableColumn id="21" uniqueName="21" name="F21" queryTableFieldId="21" dataDxfId="1715" dataCellStyle="一般 2"/>
    <tableColumn id="22" uniqueName="22" name="2024/6/24 14:52" queryTableFieldId="22" dataDxfId="1714" dataCellStyle="一般 2"/>
    <tableColumn id="23" uniqueName="23" name="F23" queryTableFieldId="23" dataDxfId="1713" dataCellStyle="一般 2"/>
    <tableColumn id="24" uniqueName="24" name="F24" queryTableFieldId="24" dataDxfId="1712" dataCellStyle="一般 2"/>
    <tableColumn id="25" uniqueName="25" name="F25" queryTableFieldId="25" dataDxfId="1711" dataCellStyle="一般 2"/>
    <tableColumn id="26" uniqueName="26" name="F26" queryTableFieldId="26" dataDxfId="1710" dataCellStyle="一般 2"/>
    <tableColumn id="27" uniqueName="27" name="F27" queryTableFieldId="27" dataDxfId="1709" dataCellStyle="一般 2"/>
    <tableColumn id="28" uniqueName="28" name="F28" queryTableFieldId="28" dataDxfId="1708" dataCellStyle="一般 2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id="11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" ref="AG13:BH189" tableType="queryTable" totalsRowShown="0" headerRowDxfId="1606" dataDxfId="1605" headerRowCellStyle="一般 2" dataCellStyle="一般 2">
  <autoFilter ref="AG13:BH189"/>
  <tableColumns count="28">
    <tableColumn id="1" uniqueName="1" name="請直接以10進位，謝謝" queryTableFieldId="1" dataDxfId="1604" dataCellStyle="一般 2"/>
    <tableColumn id="2" uniqueName="2" name="F2" queryTableFieldId="2" dataDxfId="1603" dataCellStyle="一般 2"/>
    <tableColumn id="3" uniqueName="3" name="F3" queryTableFieldId="3" dataDxfId="1602" dataCellStyle="一般 2"/>
    <tableColumn id="4" uniqueName="4" name="F4" queryTableFieldId="4" dataDxfId="1601" dataCellStyle="一般 2"/>
    <tableColumn id="5" uniqueName="5" name="F5" queryTableFieldId="5" dataDxfId="1600" dataCellStyle="一般 2"/>
    <tableColumn id="6" uniqueName="6" name="F6" queryTableFieldId="6" dataDxfId="1599" dataCellStyle="一般 2"/>
    <tableColumn id="7" uniqueName="7" name="F7" queryTableFieldId="7" dataDxfId="1598" dataCellStyle="一般 2"/>
    <tableColumn id="8" uniqueName="8" name="F8" queryTableFieldId="8" dataDxfId="1597" dataCellStyle="一般 2"/>
    <tableColumn id="9" uniqueName="9" name="F9" queryTableFieldId="9" dataDxfId="1596" dataCellStyle="一般 2"/>
    <tableColumn id="10" uniqueName="10" name="F10" queryTableFieldId="10" dataDxfId="1595" dataCellStyle="一般 2"/>
    <tableColumn id="11" uniqueName="11" name="F11" queryTableFieldId="11" dataDxfId="1594" dataCellStyle="一般 2"/>
    <tableColumn id="12" uniqueName="12" name="F12" queryTableFieldId="12" dataDxfId="1593" dataCellStyle="一般 2"/>
    <tableColumn id="13" uniqueName="13" name="F13" queryTableFieldId="13" dataDxfId="1592" dataCellStyle="一般 2"/>
    <tableColumn id="14" uniqueName="14" name="F14" queryTableFieldId="14" dataDxfId="1591" dataCellStyle="一般 2"/>
    <tableColumn id="15" uniqueName="15" name="F15" queryTableFieldId="15" dataDxfId="1590" dataCellStyle="一般 2"/>
    <tableColumn id="16" uniqueName="16" name="F16" queryTableFieldId="16" dataDxfId="1589" dataCellStyle="一般 2"/>
    <tableColumn id="17" uniqueName="17" name="F17" queryTableFieldId="17" dataDxfId="1588" dataCellStyle="一般 2"/>
    <tableColumn id="18" uniqueName="18" name="F18" queryTableFieldId="18" dataDxfId="1587" dataCellStyle="一般 2"/>
    <tableColumn id="19" uniqueName="19" name="F19" queryTableFieldId="19" dataDxfId="1586" dataCellStyle="一般 2"/>
    <tableColumn id="20" uniqueName="20" name="F20" queryTableFieldId="20" dataDxfId="1585" dataCellStyle="一般 2"/>
    <tableColumn id="21" uniqueName="21" name="F21" queryTableFieldId="21" dataDxfId="1584" dataCellStyle="一般 2"/>
    <tableColumn id="22" uniqueName="22" name="2024/6/24 14:52" queryTableFieldId="22" dataDxfId="1583" dataCellStyle="一般 2"/>
    <tableColumn id="23" uniqueName="23" name="F23" queryTableFieldId="23" dataDxfId="1582" dataCellStyle="一般 2"/>
    <tableColumn id="24" uniqueName="24" name="F24" queryTableFieldId="24" dataDxfId="1581" dataCellStyle="一般 2"/>
    <tableColumn id="25" uniqueName="25" name="F25" queryTableFieldId="25" dataDxfId="1580" dataCellStyle="一般 2"/>
    <tableColumn id="26" uniqueName="26" name="F26" queryTableFieldId="26" dataDxfId="1579" dataCellStyle="一般 2"/>
    <tableColumn id="27" uniqueName="27" name="F27" queryTableFieldId="27" dataDxfId="1578" dataCellStyle="一般 2"/>
    <tableColumn id="28" uniqueName="28" name="F28" queryTableFieldId="28" dataDxfId="1577" dataCellStyle="一般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id="1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" ref="AG13:BH189" tableType="queryTable" totalsRowShown="0" headerRowDxfId="1475" dataDxfId="1474" headerRowCellStyle="一般 2" dataCellStyle="一般 2">
  <autoFilter ref="AG13:BH189"/>
  <tableColumns count="28">
    <tableColumn id="1" uniqueName="1" name="請直接以10進位，謝謝" queryTableFieldId="1" dataDxfId="1473" dataCellStyle="一般 2"/>
    <tableColumn id="2" uniqueName="2" name="F2" queryTableFieldId="2" dataDxfId="1472" dataCellStyle="一般 2"/>
    <tableColumn id="3" uniqueName="3" name="F3" queryTableFieldId="3" dataDxfId="1471" dataCellStyle="一般 2"/>
    <tableColumn id="4" uniqueName="4" name="F4" queryTableFieldId="4" dataDxfId="1470" dataCellStyle="一般 2"/>
    <tableColumn id="5" uniqueName="5" name="F5" queryTableFieldId="5" dataDxfId="1469" dataCellStyle="一般 2"/>
    <tableColumn id="6" uniqueName="6" name="F6" queryTableFieldId="6" dataDxfId="1468" dataCellStyle="一般 2"/>
    <tableColumn id="7" uniqueName="7" name="F7" queryTableFieldId="7" dataDxfId="1467" dataCellStyle="一般 2"/>
    <tableColumn id="8" uniqueName="8" name="F8" queryTableFieldId="8" dataDxfId="1466" dataCellStyle="一般 2"/>
    <tableColumn id="9" uniqueName="9" name="F9" queryTableFieldId="9" dataDxfId="1465" dataCellStyle="一般 2"/>
    <tableColumn id="10" uniqueName="10" name="F10" queryTableFieldId="10" dataDxfId="1464" dataCellStyle="一般 2"/>
    <tableColumn id="11" uniqueName="11" name="F11" queryTableFieldId="11" dataDxfId="1463" dataCellStyle="一般 2"/>
    <tableColumn id="12" uniqueName="12" name="F12" queryTableFieldId="12" dataDxfId="1462" dataCellStyle="一般 2"/>
    <tableColumn id="13" uniqueName="13" name="F13" queryTableFieldId="13" dataDxfId="1461" dataCellStyle="一般 2"/>
    <tableColumn id="14" uniqueName="14" name="F14" queryTableFieldId="14" dataDxfId="1460" dataCellStyle="一般 2"/>
    <tableColumn id="15" uniqueName="15" name="F15" queryTableFieldId="15" dataDxfId="1459" dataCellStyle="一般 2"/>
    <tableColumn id="16" uniqueName="16" name="F16" queryTableFieldId="16" dataDxfId="1458" dataCellStyle="一般 2"/>
    <tableColumn id="17" uniqueName="17" name="F17" queryTableFieldId="17" dataDxfId="1457" dataCellStyle="一般 2"/>
    <tableColumn id="18" uniqueName="18" name="F18" queryTableFieldId="18" dataDxfId="1456" dataCellStyle="一般 2"/>
    <tableColumn id="19" uniqueName="19" name="F19" queryTableFieldId="19" dataDxfId="1455" dataCellStyle="一般 2"/>
    <tableColumn id="20" uniqueName="20" name="F20" queryTableFieldId="20" dataDxfId="1454" dataCellStyle="一般 2"/>
    <tableColumn id="21" uniqueName="21" name="F21" queryTableFieldId="21" dataDxfId="1453" dataCellStyle="一般 2"/>
    <tableColumn id="22" uniqueName="22" name="2024/6/24 14:52" queryTableFieldId="22" dataDxfId="1452" dataCellStyle="一般 2"/>
    <tableColumn id="23" uniqueName="23" name="F23" queryTableFieldId="23" dataDxfId="1451" dataCellStyle="一般 2"/>
    <tableColumn id="24" uniqueName="24" name="F24" queryTableFieldId="24" dataDxfId="1450" dataCellStyle="一般 2"/>
    <tableColumn id="25" uniqueName="25" name="F25" queryTableFieldId="25" dataDxfId="1449" dataCellStyle="一般 2"/>
    <tableColumn id="26" uniqueName="26" name="F26" queryTableFieldId="26" dataDxfId="1448" dataCellStyle="一般 2"/>
    <tableColumn id="27" uniqueName="27" name="F27" queryTableFieldId="27" dataDxfId="1447" dataCellStyle="一般 2"/>
    <tableColumn id="28" uniqueName="28" name="F28" queryTableFieldId="28" dataDxfId="1446" dataCellStyle="一般 2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1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" ref="AG13:BH189" tableType="queryTable" totalsRowShown="0" headerRowDxfId="1344" dataDxfId="1343" headerRowCellStyle="一般 2" dataCellStyle="一般 2">
  <autoFilter ref="AG13:BH189"/>
  <tableColumns count="28">
    <tableColumn id="1" uniqueName="1" name="請直接以10進位，謝謝" queryTableFieldId="1" dataDxfId="1342" dataCellStyle="一般 2"/>
    <tableColumn id="2" uniqueName="2" name="F2" queryTableFieldId="2" dataDxfId="1341" dataCellStyle="一般 2"/>
    <tableColumn id="3" uniqueName="3" name="F3" queryTableFieldId="3" dataDxfId="1340" dataCellStyle="一般 2"/>
    <tableColumn id="4" uniqueName="4" name="F4" queryTableFieldId="4" dataDxfId="1339" dataCellStyle="一般 2"/>
    <tableColumn id="5" uniqueName="5" name="F5" queryTableFieldId="5" dataDxfId="1338" dataCellStyle="一般 2"/>
    <tableColumn id="6" uniqueName="6" name="F6" queryTableFieldId="6" dataDxfId="1337" dataCellStyle="一般 2"/>
    <tableColumn id="7" uniqueName="7" name="F7" queryTableFieldId="7" dataDxfId="1336" dataCellStyle="一般 2"/>
    <tableColumn id="8" uniqueName="8" name="F8" queryTableFieldId="8" dataDxfId="1335" dataCellStyle="一般 2"/>
    <tableColumn id="9" uniqueName="9" name="F9" queryTableFieldId="9" dataDxfId="1334" dataCellStyle="一般 2"/>
    <tableColumn id="10" uniqueName="10" name="F10" queryTableFieldId="10" dataDxfId="1333" dataCellStyle="一般 2"/>
    <tableColumn id="11" uniqueName="11" name="F11" queryTableFieldId="11" dataDxfId="1332" dataCellStyle="一般 2"/>
    <tableColumn id="12" uniqueName="12" name="F12" queryTableFieldId="12" dataDxfId="1331" dataCellStyle="一般 2"/>
    <tableColumn id="13" uniqueName="13" name="F13" queryTableFieldId="13" dataDxfId="1330" dataCellStyle="一般 2"/>
    <tableColumn id="14" uniqueName="14" name="F14" queryTableFieldId="14" dataDxfId="1329" dataCellStyle="一般 2"/>
    <tableColumn id="15" uniqueName="15" name="F15" queryTableFieldId="15" dataDxfId="1328" dataCellStyle="一般 2"/>
    <tableColumn id="16" uniqueName="16" name="F16" queryTableFieldId="16" dataDxfId="1327" dataCellStyle="一般 2"/>
    <tableColumn id="17" uniqueName="17" name="F17" queryTableFieldId="17" dataDxfId="1326" dataCellStyle="一般 2"/>
    <tableColumn id="18" uniqueName="18" name="F18" queryTableFieldId="18" dataDxfId="1325" dataCellStyle="一般 2"/>
    <tableColumn id="19" uniqueName="19" name="F19" queryTableFieldId="19" dataDxfId="1324" dataCellStyle="一般 2"/>
    <tableColumn id="20" uniqueName="20" name="F20" queryTableFieldId="20" dataDxfId="1323" dataCellStyle="一般 2"/>
    <tableColumn id="21" uniqueName="21" name="F21" queryTableFieldId="21" dataDxfId="1322" dataCellStyle="一般 2"/>
    <tableColumn id="22" uniqueName="22" name="2024/6/24 14:52" queryTableFieldId="22" dataDxfId="1321" dataCellStyle="一般 2"/>
    <tableColumn id="23" uniqueName="23" name="F23" queryTableFieldId="23" dataDxfId="1320" dataCellStyle="一般 2"/>
    <tableColumn id="24" uniqueName="24" name="F24" queryTableFieldId="24" dataDxfId="1319" dataCellStyle="一般 2"/>
    <tableColumn id="25" uniqueName="25" name="F25" queryTableFieldId="25" dataDxfId="1318" dataCellStyle="一般 2"/>
    <tableColumn id="26" uniqueName="26" name="F26" queryTableFieldId="26" dataDxfId="1317" dataCellStyle="一般 2"/>
    <tableColumn id="27" uniqueName="27" name="F27" queryTableFieldId="27" dataDxfId="1316" dataCellStyle="一般 2"/>
    <tableColumn id="28" uniqueName="28" name="F28" queryTableFieldId="28" dataDxfId="1315" dataCellStyle="一般 2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id="1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" ref="AG13:BH189" tableType="queryTable" totalsRowShown="0" headerRowDxfId="1213" dataDxfId="1212" headerRowCellStyle="一般 2" dataCellStyle="一般 2">
  <autoFilter ref="AG13:BH189"/>
  <tableColumns count="28">
    <tableColumn id="1" uniqueName="1" name="請直接以10進位，謝謝" queryTableFieldId="1" dataDxfId="1211" dataCellStyle="一般 2"/>
    <tableColumn id="2" uniqueName="2" name="F2" queryTableFieldId="2" dataDxfId="1210" dataCellStyle="一般 2"/>
    <tableColumn id="3" uniqueName="3" name="F3" queryTableFieldId="3" dataDxfId="1209" dataCellStyle="一般 2"/>
    <tableColumn id="4" uniqueName="4" name="F4" queryTableFieldId="4" dataDxfId="1208" dataCellStyle="一般 2"/>
    <tableColumn id="5" uniqueName="5" name="F5" queryTableFieldId="5" dataDxfId="1207" dataCellStyle="一般 2"/>
    <tableColumn id="6" uniqueName="6" name="F6" queryTableFieldId="6" dataDxfId="1206" dataCellStyle="一般 2"/>
    <tableColumn id="7" uniqueName="7" name="F7" queryTableFieldId="7" dataDxfId="1205" dataCellStyle="一般 2"/>
    <tableColumn id="8" uniqueName="8" name="F8" queryTableFieldId="8" dataDxfId="1204" dataCellStyle="一般 2"/>
    <tableColumn id="9" uniqueName="9" name="F9" queryTableFieldId="9" dataDxfId="1203" dataCellStyle="一般 2"/>
    <tableColumn id="10" uniqueName="10" name="F10" queryTableFieldId="10" dataDxfId="1202" dataCellStyle="一般 2"/>
    <tableColumn id="11" uniqueName="11" name="F11" queryTableFieldId="11" dataDxfId="1201" dataCellStyle="一般 2"/>
    <tableColumn id="12" uniqueName="12" name="F12" queryTableFieldId="12" dataDxfId="1200" dataCellStyle="一般 2"/>
    <tableColumn id="13" uniqueName="13" name="F13" queryTableFieldId="13" dataDxfId="1199" dataCellStyle="一般 2"/>
    <tableColumn id="14" uniqueName="14" name="F14" queryTableFieldId="14" dataDxfId="1198" dataCellStyle="一般 2"/>
    <tableColumn id="15" uniqueName="15" name="F15" queryTableFieldId="15" dataDxfId="1197" dataCellStyle="一般 2"/>
    <tableColumn id="16" uniqueName="16" name="F16" queryTableFieldId="16" dataDxfId="1196" dataCellStyle="一般 2"/>
    <tableColumn id="17" uniqueName="17" name="F17" queryTableFieldId="17" dataDxfId="1195" dataCellStyle="一般 2"/>
    <tableColumn id="18" uniqueName="18" name="F18" queryTableFieldId="18" dataDxfId="1194" dataCellStyle="一般 2"/>
    <tableColumn id="19" uniqueName="19" name="F19" queryTableFieldId="19" dataDxfId="1193" dataCellStyle="一般 2"/>
    <tableColumn id="20" uniqueName="20" name="F20" queryTableFieldId="20" dataDxfId="1192" dataCellStyle="一般 2"/>
    <tableColumn id="21" uniqueName="21" name="F21" queryTableFieldId="21" dataDxfId="1191" dataCellStyle="一般 2"/>
    <tableColumn id="22" uniqueName="22" name="2024/6/24 14:52" queryTableFieldId="22" dataDxfId="1190" dataCellStyle="一般 2"/>
    <tableColumn id="23" uniqueName="23" name="F23" queryTableFieldId="23" dataDxfId="1189" dataCellStyle="一般 2"/>
    <tableColumn id="24" uniqueName="24" name="F24" queryTableFieldId="24" dataDxfId="1188" dataCellStyle="一般 2"/>
    <tableColumn id="25" uniqueName="25" name="F25" queryTableFieldId="25" dataDxfId="1187" dataCellStyle="一般 2"/>
    <tableColumn id="26" uniqueName="26" name="F26" queryTableFieldId="26" dataDxfId="1186" dataCellStyle="一般 2"/>
    <tableColumn id="27" uniqueName="27" name="F27" queryTableFieldId="27" dataDxfId="1185" dataCellStyle="一般 2"/>
    <tableColumn id="28" uniqueName="28" name="F28" queryTableFieldId="28" dataDxfId="1184" dataCellStyle="一般 2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id="15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" ref="AG13:BH189" tableType="queryTable" totalsRowShown="0" headerRowDxfId="1082" dataDxfId="1081" headerRowCellStyle="一般 2" dataCellStyle="一般 2">
  <autoFilter ref="AG13:BH189"/>
  <tableColumns count="28">
    <tableColumn id="1" uniqueName="1" name="請直接以10進位，謝謝" queryTableFieldId="1" dataDxfId="1080" dataCellStyle="一般 2"/>
    <tableColumn id="2" uniqueName="2" name="F2" queryTableFieldId="2" dataDxfId="1079" dataCellStyle="一般 2"/>
    <tableColumn id="3" uniqueName="3" name="F3" queryTableFieldId="3" dataDxfId="1078" dataCellStyle="一般 2"/>
    <tableColumn id="4" uniqueName="4" name="F4" queryTableFieldId="4" dataDxfId="1077" dataCellStyle="一般 2"/>
    <tableColumn id="5" uniqueName="5" name="F5" queryTableFieldId="5" dataDxfId="1076" dataCellStyle="一般 2"/>
    <tableColumn id="6" uniqueName="6" name="F6" queryTableFieldId="6" dataDxfId="1075" dataCellStyle="一般 2"/>
    <tableColumn id="7" uniqueName="7" name="F7" queryTableFieldId="7" dataDxfId="1074" dataCellStyle="一般 2"/>
    <tableColumn id="8" uniqueName="8" name="F8" queryTableFieldId="8" dataDxfId="1073" dataCellStyle="一般 2"/>
    <tableColumn id="9" uniqueName="9" name="F9" queryTableFieldId="9" dataDxfId="1072" dataCellStyle="一般 2"/>
    <tableColumn id="10" uniqueName="10" name="F10" queryTableFieldId="10" dataDxfId="1071" dataCellStyle="一般 2"/>
    <tableColumn id="11" uniqueName="11" name="F11" queryTableFieldId="11" dataDxfId="1070" dataCellStyle="一般 2"/>
    <tableColumn id="12" uniqueName="12" name="F12" queryTableFieldId="12" dataDxfId="1069" dataCellStyle="一般 2"/>
    <tableColumn id="13" uniqueName="13" name="F13" queryTableFieldId="13" dataDxfId="1068" dataCellStyle="一般 2"/>
    <tableColumn id="14" uniqueName="14" name="F14" queryTableFieldId="14" dataDxfId="1067" dataCellStyle="一般 2"/>
    <tableColumn id="15" uniqueName="15" name="F15" queryTableFieldId="15" dataDxfId="1066" dataCellStyle="一般 2"/>
    <tableColumn id="16" uniqueName="16" name="F16" queryTableFieldId="16" dataDxfId="1065" dataCellStyle="一般 2"/>
    <tableColumn id="17" uniqueName="17" name="F17" queryTableFieldId="17" dataDxfId="1064" dataCellStyle="一般 2"/>
    <tableColumn id="18" uniqueName="18" name="F18" queryTableFieldId="18" dataDxfId="1063" dataCellStyle="一般 2"/>
    <tableColumn id="19" uniqueName="19" name="F19" queryTableFieldId="19" dataDxfId="1062" dataCellStyle="一般 2"/>
    <tableColumn id="20" uniqueName="20" name="F20" queryTableFieldId="20" dataDxfId="1061" dataCellStyle="一般 2"/>
    <tableColumn id="21" uniqueName="21" name="F21" queryTableFieldId="21" dataDxfId="1060" dataCellStyle="一般 2"/>
    <tableColumn id="22" uniqueName="22" name="2024/6/24 14:52" queryTableFieldId="22" dataDxfId="1059" dataCellStyle="一般 2"/>
    <tableColumn id="23" uniqueName="23" name="F23" queryTableFieldId="23" dataDxfId="1058" dataCellStyle="一般 2"/>
    <tableColumn id="24" uniqueName="24" name="F24" queryTableFieldId="24" dataDxfId="1057" dataCellStyle="一般 2"/>
    <tableColumn id="25" uniqueName="25" name="F25" queryTableFieldId="25" dataDxfId="1056" dataCellStyle="一般 2"/>
    <tableColumn id="26" uniqueName="26" name="F26" queryTableFieldId="26" dataDxfId="1055" dataCellStyle="一般 2"/>
    <tableColumn id="27" uniqueName="27" name="F27" queryTableFieldId="27" dataDxfId="1054" dataCellStyle="一般 2"/>
    <tableColumn id="28" uniqueName="28" name="F28" queryTableFieldId="28" dataDxfId="1053" dataCellStyle="一般 2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id="16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" ref="AG13:BH189" tableType="queryTable" totalsRowShown="0" headerRowDxfId="951" dataDxfId="950" headerRowCellStyle="一般 2" dataCellStyle="一般 2">
  <autoFilter ref="AG13:BH189"/>
  <tableColumns count="28">
    <tableColumn id="1" uniqueName="1" name="請直接以10進位，謝謝" queryTableFieldId="1" dataDxfId="949" dataCellStyle="一般 2"/>
    <tableColumn id="2" uniqueName="2" name="F2" queryTableFieldId="2" dataDxfId="948" dataCellStyle="一般 2"/>
    <tableColumn id="3" uniqueName="3" name="F3" queryTableFieldId="3" dataDxfId="947" dataCellStyle="一般 2"/>
    <tableColumn id="4" uniqueName="4" name="F4" queryTableFieldId="4" dataDxfId="946" dataCellStyle="一般 2"/>
    <tableColumn id="5" uniqueName="5" name="F5" queryTableFieldId="5" dataDxfId="945" dataCellStyle="一般 2"/>
    <tableColumn id="6" uniqueName="6" name="F6" queryTableFieldId="6" dataDxfId="944" dataCellStyle="一般 2"/>
    <tableColumn id="7" uniqueName="7" name="F7" queryTableFieldId="7" dataDxfId="943" dataCellStyle="一般 2"/>
    <tableColumn id="8" uniqueName="8" name="F8" queryTableFieldId="8" dataDxfId="942" dataCellStyle="一般 2"/>
    <tableColumn id="9" uniqueName="9" name="F9" queryTableFieldId="9" dataDxfId="941" dataCellStyle="一般 2"/>
    <tableColumn id="10" uniqueName="10" name="F10" queryTableFieldId="10" dataDxfId="940" dataCellStyle="一般 2"/>
    <tableColumn id="11" uniqueName="11" name="F11" queryTableFieldId="11" dataDxfId="939" dataCellStyle="一般 2"/>
    <tableColumn id="12" uniqueName="12" name="F12" queryTableFieldId="12" dataDxfId="938" dataCellStyle="一般 2"/>
    <tableColumn id="13" uniqueName="13" name="F13" queryTableFieldId="13" dataDxfId="937" dataCellStyle="一般 2"/>
    <tableColumn id="14" uniqueName="14" name="F14" queryTableFieldId="14" dataDxfId="936" dataCellStyle="一般 2"/>
    <tableColumn id="15" uniqueName="15" name="F15" queryTableFieldId="15" dataDxfId="935" dataCellStyle="一般 2"/>
    <tableColumn id="16" uniqueName="16" name="F16" queryTableFieldId="16" dataDxfId="934" dataCellStyle="一般 2"/>
    <tableColumn id="17" uniqueName="17" name="F17" queryTableFieldId="17" dataDxfId="933" dataCellStyle="一般 2"/>
    <tableColumn id="18" uniqueName="18" name="F18" queryTableFieldId="18" dataDxfId="932" dataCellStyle="一般 2"/>
    <tableColumn id="19" uniqueName="19" name="F19" queryTableFieldId="19" dataDxfId="931" dataCellStyle="一般 2"/>
    <tableColumn id="20" uniqueName="20" name="F20" queryTableFieldId="20" dataDxfId="930" dataCellStyle="一般 2"/>
    <tableColumn id="21" uniqueName="21" name="F21" queryTableFieldId="21" dataDxfId="929" dataCellStyle="一般 2"/>
    <tableColumn id="22" uniqueName="22" name="2024/6/24 14:52" queryTableFieldId="22" dataDxfId="928" dataCellStyle="一般 2"/>
    <tableColumn id="23" uniqueName="23" name="F23" queryTableFieldId="23" dataDxfId="927" dataCellStyle="一般 2"/>
    <tableColumn id="24" uniqueName="24" name="F24" queryTableFieldId="24" dataDxfId="926" dataCellStyle="一般 2"/>
    <tableColumn id="25" uniqueName="25" name="F25" queryTableFieldId="25" dataDxfId="925" dataCellStyle="一般 2"/>
    <tableColumn id="26" uniqueName="26" name="F26" queryTableFieldId="26" dataDxfId="924" dataCellStyle="一般 2"/>
    <tableColumn id="27" uniqueName="27" name="F27" queryTableFieldId="27" dataDxfId="923" dataCellStyle="一般 2"/>
    <tableColumn id="28" uniqueName="28" name="F28" queryTableFieldId="28" dataDxfId="922" dataCellStyle="一般 2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17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" ref="AG13:BH189" tableType="queryTable" totalsRowShown="0" headerRowDxfId="820" dataDxfId="819" headerRowCellStyle="一般 2" dataCellStyle="一般 2">
  <autoFilter ref="AG13:BH189"/>
  <tableColumns count="28">
    <tableColumn id="1" uniqueName="1" name="請直接以10進位，謝謝" queryTableFieldId="1" dataDxfId="818" dataCellStyle="一般 2"/>
    <tableColumn id="2" uniqueName="2" name="F2" queryTableFieldId="2" dataDxfId="817" dataCellStyle="一般 2"/>
    <tableColumn id="3" uniqueName="3" name="F3" queryTableFieldId="3" dataDxfId="816" dataCellStyle="一般 2"/>
    <tableColumn id="4" uniqueName="4" name="F4" queryTableFieldId="4" dataDxfId="815" dataCellStyle="一般 2"/>
    <tableColumn id="5" uniqueName="5" name="F5" queryTableFieldId="5" dataDxfId="814" dataCellStyle="一般 2"/>
    <tableColumn id="6" uniqueName="6" name="F6" queryTableFieldId="6" dataDxfId="813" dataCellStyle="一般 2"/>
    <tableColumn id="7" uniqueName="7" name="F7" queryTableFieldId="7" dataDxfId="812" dataCellStyle="一般 2"/>
    <tableColumn id="8" uniqueName="8" name="F8" queryTableFieldId="8" dataDxfId="811" dataCellStyle="一般 2"/>
    <tableColumn id="9" uniqueName="9" name="F9" queryTableFieldId="9" dataDxfId="810" dataCellStyle="一般 2"/>
    <tableColumn id="10" uniqueName="10" name="F10" queryTableFieldId="10" dataDxfId="809" dataCellStyle="一般 2"/>
    <tableColumn id="11" uniqueName="11" name="F11" queryTableFieldId="11" dataDxfId="808" dataCellStyle="一般 2"/>
    <tableColumn id="12" uniqueName="12" name="F12" queryTableFieldId="12" dataDxfId="807" dataCellStyle="一般 2"/>
    <tableColumn id="13" uniqueName="13" name="F13" queryTableFieldId="13" dataDxfId="806" dataCellStyle="一般 2"/>
    <tableColumn id="14" uniqueName="14" name="F14" queryTableFieldId="14" dataDxfId="805" dataCellStyle="一般 2"/>
    <tableColumn id="15" uniqueName="15" name="F15" queryTableFieldId="15" dataDxfId="804" dataCellStyle="一般 2"/>
    <tableColumn id="16" uniqueName="16" name="F16" queryTableFieldId="16" dataDxfId="803" dataCellStyle="一般 2"/>
    <tableColumn id="17" uniqueName="17" name="F17" queryTableFieldId="17" dataDxfId="802" dataCellStyle="一般 2"/>
    <tableColumn id="18" uniqueName="18" name="F18" queryTableFieldId="18" dataDxfId="801" dataCellStyle="一般 2"/>
    <tableColumn id="19" uniqueName="19" name="F19" queryTableFieldId="19" dataDxfId="800" dataCellStyle="一般 2"/>
    <tableColumn id="20" uniqueName="20" name="F20" queryTableFieldId="20" dataDxfId="799" dataCellStyle="一般 2"/>
    <tableColumn id="21" uniqueName="21" name="F21" queryTableFieldId="21" dataDxfId="798" dataCellStyle="一般 2"/>
    <tableColumn id="22" uniqueName="22" name="2024/6/24 14:52" queryTableFieldId="22" dataDxfId="797" dataCellStyle="一般 2"/>
    <tableColumn id="23" uniqueName="23" name="F23" queryTableFieldId="23" dataDxfId="796" dataCellStyle="一般 2"/>
    <tableColumn id="24" uniqueName="24" name="F24" queryTableFieldId="24" dataDxfId="795" dataCellStyle="一般 2"/>
    <tableColumn id="25" uniqueName="25" name="F25" queryTableFieldId="25" dataDxfId="794" dataCellStyle="一般 2"/>
    <tableColumn id="26" uniqueName="26" name="F26" queryTableFieldId="26" dataDxfId="793" dataCellStyle="一般 2"/>
    <tableColumn id="27" uniqueName="27" name="F27" queryTableFieldId="27" dataDxfId="792" dataCellStyle="一般 2"/>
    <tableColumn id="28" uniqueName="28" name="F28" queryTableFieldId="28" dataDxfId="791" dataCellStyle="一般 2"/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id="18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" ref="AG13:BH189" tableType="queryTable" totalsRowShown="0" headerRowDxfId="689" dataDxfId="688" headerRowCellStyle="一般 2" dataCellStyle="一般 2">
  <autoFilter ref="AG13:BH189"/>
  <tableColumns count="28">
    <tableColumn id="1" uniqueName="1" name="請直接以10進位，謝謝" queryTableFieldId="1" dataDxfId="687" dataCellStyle="一般 2"/>
    <tableColumn id="2" uniqueName="2" name="F2" queryTableFieldId="2" dataDxfId="686" dataCellStyle="一般 2"/>
    <tableColumn id="3" uniqueName="3" name="F3" queryTableFieldId="3" dataDxfId="685" dataCellStyle="一般 2"/>
    <tableColumn id="4" uniqueName="4" name="F4" queryTableFieldId="4" dataDxfId="684" dataCellStyle="一般 2"/>
    <tableColumn id="5" uniqueName="5" name="F5" queryTableFieldId="5" dataDxfId="683" dataCellStyle="一般 2"/>
    <tableColumn id="6" uniqueName="6" name="F6" queryTableFieldId="6" dataDxfId="682" dataCellStyle="一般 2"/>
    <tableColumn id="7" uniqueName="7" name="F7" queryTableFieldId="7" dataDxfId="681" dataCellStyle="一般 2"/>
    <tableColumn id="8" uniqueName="8" name="F8" queryTableFieldId="8" dataDxfId="680" dataCellStyle="一般 2"/>
    <tableColumn id="9" uniqueName="9" name="F9" queryTableFieldId="9" dataDxfId="679" dataCellStyle="一般 2"/>
    <tableColumn id="10" uniqueName="10" name="F10" queryTableFieldId="10" dataDxfId="678" dataCellStyle="一般 2"/>
    <tableColumn id="11" uniqueName="11" name="F11" queryTableFieldId="11" dataDxfId="677" dataCellStyle="一般 2"/>
    <tableColumn id="12" uniqueName="12" name="F12" queryTableFieldId="12" dataDxfId="676" dataCellStyle="一般 2"/>
    <tableColumn id="13" uniqueName="13" name="F13" queryTableFieldId="13" dataDxfId="675" dataCellStyle="一般 2"/>
    <tableColumn id="14" uniqueName="14" name="F14" queryTableFieldId="14" dataDxfId="674" dataCellStyle="一般 2"/>
    <tableColumn id="15" uniqueName="15" name="F15" queryTableFieldId="15" dataDxfId="673" dataCellStyle="一般 2"/>
    <tableColumn id="16" uniqueName="16" name="F16" queryTableFieldId="16" dataDxfId="672" dataCellStyle="一般 2"/>
    <tableColumn id="17" uniqueName="17" name="F17" queryTableFieldId="17" dataDxfId="671" dataCellStyle="一般 2"/>
    <tableColumn id="18" uniqueName="18" name="F18" queryTableFieldId="18" dataDxfId="670" dataCellStyle="一般 2"/>
    <tableColumn id="19" uniqueName="19" name="F19" queryTableFieldId="19" dataDxfId="669" dataCellStyle="一般 2"/>
    <tableColumn id="20" uniqueName="20" name="F20" queryTableFieldId="20" dataDxfId="668" dataCellStyle="一般 2"/>
    <tableColumn id="21" uniqueName="21" name="F21" queryTableFieldId="21" dataDxfId="667" dataCellStyle="一般 2"/>
    <tableColumn id="22" uniqueName="22" name="2024/6/24 14:52" queryTableFieldId="22" dataDxfId="666" dataCellStyle="一般 2"/>
    <tableColumn id="23" uniqueName="23" name="F23" queryTableFieldId="23" dataDxfId="665" dataCellStyle="一般 2"/>
    <tableColumn id="24" uniqueName="24" name="F24" queryTableFieldId="24" dataDxfId="664" dataCellStyle="一般 2"/>
    <tableColumn id="25" uniqueName="25" name="F25" queryTableFieldId="25" dataDxfId="663" dataCellStyle="一般 2"/>
    <tableColumn id="26" uniqueName="26" name="F26" queryTableFieldId="26" dataDxfId="662" dataCellStyle="一般 2"/>
    <tableColumn id="27" uniqueName="27" name="F27" queryTableFieldId="27" dataDxfId="661" dataCellStyle="一般 2"/>
    <tableColumn id="28" uniqueName="28" name="F28" queryTableFieldId="28" dataDxfId="660" dataCellStyle="一般 2"/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id="19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" ref="AG13:BH189" tableType="queryTable" totalsRowShown="0" headerRowDxfId="558" dataDxfId="557" headerRowCellStyle="一般 2" dataCellStyle="一般 2">
  <autoFilter ref="AG13:BH189"/>
  <tableColumns count="28">
    <tableColumn id="1" uniqueName="1" name="請直接以10進位，謝謝" queryTableFieldId="1" dataDxfId="556" dataCellStyle="一般 2"/>
    <tableColumn id="2" uniqueName="2" name="F2" queryTableFieldId="2" dataDxfId="555" dataCellStyle="一般 2"/>
    <tableColumn id="3" uniqueName="3" name="F3" queryTableFieldId="3" dataDxfId="554" dataCellStyle="一般 2"/>
    <tableColumn id="4" uniqueName="4" name="F4" queryTableFieldId="4" dataDxfId="553" dataCellStyle="一般 2"/>
    <tableColumn id="5" uniqueName="5" name="F5" queryTableFieldId="5" dataDxfId="552" dataCellStyle="一般 2"/>
    <tableColumn id="6" uniqueName="6" name="F6" queryTableFieldId="6" dataDxfId="551" dataCellStyle="一般 2"/>
    <tableColumn id="7" uniqueName="7" name="F7" queryTableFieldId="7" dataDxfId="550" dataCellStyle="一般 2"/>
    <tableColumn id="8" uniqueName="8" name="F8" queryTableFieldId="8" dataDxfId="549" dataCellStyle="一般 2"/>
    <tableColumn id="9" uniqueName="9" name="F9" queryTableFieldId="9" dataDxfId="548" dataCellStyle="一般 2"/>
    <tableColumn id="10" uniqueName="10" name="F10" queryTableFieldId="10" dataDxfId="547" dataCellStyle="一般 2"/>
    <tableColumn id="11" uniqueName="11" name="F11" queryTableFieldId="11" dataDxfId="546" dataCellStyle="一般 2"/>
    <tableColumn id="12" uniqueName="12" name="F12" queryTableFieldId="12" dataDxfId="545" dataCellStyle="一般 2"/>
    <tableColumn id="13" uniqueName="13" name="F13" queryTableFieldId="13" dataDxfId="544" dataCellStyle="一般 2"/>
    <tableColumn id="14" uniqueName="14" name="F14" queryTableFieldId="14" dataDxfId="543" dataCellStyle="一般 2"/>
    <tableColumn id="15" uniqueName="15" name="F15" queryTableFieldId="15" dataDxfId="542" dataCellStyle="一般 2"/>
    <tableColumn id="16" uniqueName="16" name="F16" queryTableFieldId="16" dataDxfId="541" dataCellStyle="一般 2"/>
    <tableColumn id="17" uniqueName="17" name="F17" queryTableFieldId="17" dataDxfId="540" dataCellStyle="一般 2"/>
    <tableColumn id="18" uniqueName="18" name="F18" queryTableFieldId="18" dataDxfId="539" dataCellStyle="一般 2"/>
    <tableColumn id="19" uniqueName="19" name="F19" queryTableFieldId="19" dataDxfId="538" dataCellStyle="一般 2"/>
    <tableColumn id="20" uniqueName="20" name="F20" queryTableFieldId="20" dataDxfId="537" dataCellStyle="一般 2"/>
    <tableColumn id="21" uniqueName="21" name="F21" queryTableFieldId="21" dataDxfId="536" dataCellStyle="一般 2"/>
    <tableColumn id="22" uniqueName="22" name="2024/6/24 14:52" queryTableFieldId="22" dataDxfId="535" dataCellStyle="一般 2"/>
    <tableColumn id="23" uniqueName="23" name="F23" queryTableFieldId="23" dataDxfId="534" dataCellStyle="一般 2"/>
    <tableColumn id="24" uniqueName="24" name="F24" queryTableFieldId="24" dataDxfId="533" dataCellStyle="一般 2"/>
    <tableColumn id="25" uniqueName="25" name="F25" queryTableFieldId="25" dataDxfId="532" dataCellStyle="一般 2"/>
    <tableColumn id="26" uniqueName="26" name="F26" queryTableFieldId="26" dataDxfId="531" dataCellStyle="一般 2"/>
    <tableColumn id="27" uniqueName="27" name="F27" queryTableFieldId="27" dataDxfId="530" dataCellStyle="一般 2"/>
    <tableColumn id="28" uniqueName="28" name="F28" queryTableFieldId="28" dataDxfId="529" dataCellStyle="一般 2"/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id="20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" ref="AG13:BH189" tableType="queryTable" totalsRowShown="0" headerRowDxfId="425" dataDxfId="424" headerRowCellStyle="一般 2" dataCellStyle="一般 2">
  <autoFilter ref="AG13:BH189"/>
  <tableColumns count="28">
    <tableColumn id="1" uniqueName="1" name="請直接以10進位，謝謝" queryTableFieldId="1" dataDxfId="423" dataCellStyle="一般 2"/>
    <tableColumn id="2" uniqueName="2" name="F2" queryTableFieldId="2" dataDxfId="422" dataCellStyle="一般 2"/>
    <tableColumn id="3" uniqueName="3" name="F3" queryTableFieldId="3" dataDxfId="421" dataCellStyle="一般 2"/>
    <tableColumn id="4" uniqueName="4" name="F4" queryTableFieldId="4" dataDxfId="420" dataCellStyle="一般 2"/>
    <tableColumn id="5" uniqueName="5" name="F5" queryTableFieldId="5" dataDxfId="419" dataCellStyle="一般 2"/>
    <tableColumn id="6" uniqueName="6" name="F6" queryTableFieldId="6" dataDxfId="418" dataCellStyle="一般 2"/>
    <tableColumn id="7" uniqueName="7" name="F7" queryTableFieldId="7" dataDxfId="417" dataCellStyle="一般 2"/>
    <tableColumn id="8" uniqueName="8" name="F8" queryTableFieldId="8" dataDxfId="416" dataCellStyle="一般 2"/>
    <tableColumn id="9" uniqueName="9" name="F9" queryTableFieldId="9" dataDxfId="415" dataCellStyle="一般 2"/>
    <tableColumn id="10" uniqueName="10" name="F10" queryTableFieldId="10" dataDxfId="414" dataCellStyle="一般 2"/>
    <tableColumn id="11" uniqueName="11" name="F11" queryTableFieldId="11" dataDxfId="413" dataCellStyle="一般 2"/>
    <tableColumn id="12" uniqueName="12" name="F12" queryTableFieldId="12" dataDxfId="412" dataCellStyle="一般 2"/>
    <tableColumn id="13" uniqueName="13" name="F13" queryTableFieldId="13" dataDxfId="411" dataCellStyle="一般 2"/>
    <tableColumn id="14" uniqueName="14" name="F14" queryTableFieldId="14" dataDxfId="410" dataCellStyle="一般 2"/>
    <tableColumn id="15" uniqueName="15" name="F15" queryTableFieldId="15" dataDxfId="409" dataCellStyle="一般 2"/>
    <tableColumn id="16" uniqueName="16" name="F16" queryTableFieldId="16" dataDxfId="408" dataCellStyle="一般 2"/>
    <tableColumn id="17" uniqueName="17" name="F17" queryTableFieldId="17" dataDxfId="407" dataCellStyle="一般 2"/>
    <tableColumn id="18" uniqueName="18" name="F18" queryTableFieldId="18" dataDxfId="406" dataCellStyle="一般 2"/>
    <tableColumn id="19" uniqueName="19" name="F19" queryTableFieldId="19" dataDxfId="405" dataCellStyle="一般 2"/>
    <tableColumn id="20" uniqueName="20" name="F20" queryTableFieldId="20" dataDxfId="404" dataCellStyle="一般 2"/>
    <tableColumn id="21" uniqueName="21" name="F21" queryTableFieldId="21" dataDxfId="403" dataCellStyle="一般 2"/>
    <tableColumn id="22" uniqueName="22" name="2024/6/24 14:52" queryTableFieldId="22" dataDxfId="402" dataCellStyle="一般 2"/>
    <tableColumn id="23" uniqueName="23" name="F23" queryTableFieldId="23" dataDxfId="401" dataCellStyle="一般 2"/>
    <tableColumn id="24" uniqueName="24" name="F24" queryTableFieldId="24" dataDxfId="400" dataCellStyle="一般 2"/>
    <tableColumn id="25" uniqueName="25" name="F25" queryTableFieldId="25" dataDxfId="399" dataCellStyle="一般 2"/>
    <tableColumn id="26" uniqueName="26" name="F26" queryTableFieldId="26" dataDxfId="398" dataCellStyle="一般 2"/>
    <tableColumn id="27" uniqueName="27" name="F27" queryTableFieldId="27" dataDxfId="397" dataCellStyle="一般 2"/>
    <tableColumn id="28" uniqueName="28" name="F28" queryTableFieldId="28" dataDxfId="396" dataCellStyle="一般 2"/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id="22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" ref="AG13:BH189" tableType="queryTable" totalsRowShown="0" headerRowDxfId="293" dataDxfId="292" headerRowCellStyle="一般 2" dataCellStyle="一般 2">
  <autoFilter ref="AG13:BH189"/>
  <tableColumns count="28">
    <tableColumn id="1" uniqueName="1" name="請直接以10進位，謝謝" queryTableFieldId="1" dataDxfId="291" dataCellStyle="一般 2"/>
    <tableColumn id="2" uniqueName="2" name="F2" queryTableFieldId="2" dataDxfId="290" dataCellStyle="一般 2"/>
    <tableColumn id="3" uniqueName="3" name="F3" queryTableFieldId="3" dataDxfId="289" dataCellStyle="一般 2"/>
    <tableColumn id="4" uniqueName="4" name="F4" queryTableFieldId="4" dataDxfId="288" dataCellStyle="一般 2"/>
    <tableColumn id="5" uniqueName="5" name="F5" queryTableFieldId="5" dataDxfId="287" dataCellStyle="一般 2"/>
    <tableColumn id="6" uniqueName="6" name="F6" queryTableFieldId="6" dataDxfId="286" dataCellStyle="一般 2"/>
    <tableColumn id="7" uniqueName="7" name="F7" queryTableFieldId="7" dataDxfId="285" dataCellStyle="一般 2"/>
    <tableColumn id="8" uniqueName="8" name="F8" queryTableFieldId="8" dataDxfId="284" dataCellStyle="一般 2"/>
    <tableColumn id="9" uniqueName="9" name="F9" queryTableFieldId="9" dataDxfId="283" dataCellStyle="一般 2"/>
    <tableColumn id="10" uniqueName="10" name="F10" queryTableFieldId="10" dataDxfId="282" dataCellStyle="一般 2"/>
    <tableColumn id="11" uniqueName="11" name="F11" queryTableFieldId="11" dataDxfId="281" dataCellStyle="一般 2"/>
    <tableColumn id="12" uniqueName="12" name="F12" queryTableFieldId="12" dataDxfId="280" dataCellStyle="一般 2"/>
    <tableColumn id="13" uniqueName="13" name="F13" queryTableFieldId="13" dataDxfId="279" dataCellStyle="一般 2"/>
    <tableColumn id="14" uniqueName="14" name="F14" queryTableFieldId="14" dataDxfId="278" dataCellStyle="一般 2"/>
    <tableColumn id="15" uniqueName="15" name="F15" queryTableFieldId="15" dataDxfId="277" dataCellStyle="一般 2"/>
    <tableColumn id="16" uniqueName="16" name="F16" queryTableFieldId="16" dataDxfId="276" dataCellStyle="一般 2"/>
    <tableColumn id="17" uniqueName="17" name="F17" queryTableFieldId="17" dataDxfId="275" dataCellStyle="一般 2"/>
    <tableColumn id="18" uniqueName="18" name="F18" queryTableFieldId="18" dataDxfId="274" dataCellStyle="一般 2"/>
    <tableColumn id="19" uniqueName="19" name="F19" queryTableFieldId="19" dataDxfId="273" dataCellStyle="一般 2"/>
    <tableColumn id="20" uniqueName="20" name="F20" queryTableFieldId="20" dataDxfId="272" dataCellStyle="一般 2"/>
    <tableColumn id="21" uniqueName="21" name="F21" queryTableFieldId="21" dataDxfId="271" dataCellStyle="一般 2"/>
    <tableColumn id="22" uniqueName="22" name="2024/6/24 14:52" queryTableFieldId="22" dataDxfId="270" dataCellStyle="一般 2"/>
    <tableColumn id="23" uniqueName="23" name="F23" queryTableFieldId="23" dataDxfId="269" dataCellStyle="一般 2"/>
    <tableColumn id="24" uniqueName="24" name="F24" queryTableFieldId="24" dataDxfId="268" dataCellStyle="一般 2"/>
    <tableColumn id="25" uniqueName="25" name="F25" queryTableFieldId="25" dataDxfId="267" dataCellStyle="一般 2"/>
    <tableColumn id="26" uniqueName="26" name="F26" queryTableFieldId="26" dataDxfId="266" dataCellStyle="一般 2"/>
    <tableColumn id="27" uniqueName="27" name="F27" queryTableFieldId="27" dataDxfId="265" dataCellStyle="一般 2"/>
    <tableColumn id="28" uniqueName="28" name="F28" queryTableFieldId="28" dataDxfId="264" dataCellStyle="一般 2"/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id="23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" ref="AG13:BH189" tableType="queryTable" totalsRowShown="0" headerRowDxfId="161" dataDxfId="160" headerRowCellStyle="一般 2" dataCellStyle="一般 2">
  <autoFilter ref="AG13:BH189"/>
  <tableColumns count="28">
    <tableColumn id="1" uniqueName="1" name="請直接以10進位，謝謝" queryTableFieldId="1" dataDxfId="159" dataCellStyle="一般 2"/>
    <tableColumn id="2" uniqueName="2" name="F2" queryTableFieldId="2" dataDxfId="158" dataCellStyle="一般 2"/>
    <tableColumn id="3" uniqueName="3" name="F3" queryTableFieldId="3" dataDxfId="157" dataCellStyle="一般 2"/>
    <tableColumn id="4" uniqueName="4" name="F4" queryTableFieldId="4" dataDxfId="156" dataCellStyle="一般 2"/>
    <tableColumn id="5" uniqueName="5" name="F5" queryTableFieldId="5" dataDxfId="155" dataCellStyle="一般 2"/>
    <tableColumn id="6" uniqueName="6" name="F6" queryTableFieldId="6" dataDxfId="154" dataCellStyle="一般 2"/>
    <tableColumn id="7" uniqueName="7" name="F7" queryTableFieldId="7" dataDxfId="153" dataCellStyle="一般 2"/>
    <tableColumn id="8" uniqueName="8" name="F8" queryTableFieldId="8" dataDxfId="152" dataCellStyle="一般 2"/>
    <tableColumn id="9" uniqueName="9" name="F9" queryTableFieldId="9" dataDxfId="151" dataCellStyle="一般 2"/>
    <tableColumn id="10" uniqueName="10" name="F10" queryTableFieldId="10" dataDxfId="150" dataCellStyle="一般 2"/>
    <tableColumn id="11" uniqueName="11" name="F11" queryTableFieldId="11" dataDxfId="149" dataCellStyle="一般 2"/>
    <tableColumn id="12" uniqueName="12" name="F12" queryTableFieldId="12" dataDxfId="148" dataCellStyle="一般 2"/>
    <tableColumn id="13" uniqueName="13" name="F13" queryTableFieldId="13" dataDxfId="147" dataCellStyle="一般 2"/>
    <tableColumn id="14" uniqueName="14" name="F14" queryTableFieldId="14" dataDxfId="146" dataCellStyle="一般 2"/>
    <tableColumn id="15" uniqueName="15" name="F15" queryTableFieldId="15" dataDxfId="145" dataCellStyle="一般 2"/>
    <tableColumn id="16" uniqueName="16" name="F16" queryTableFieldId="16" dataDxfId="144" dataCellStyle="一般 2"/>
    <tableColumn id="17" uniqueName="17" name="F17" queryTableFieldId="17" dataDxfId="143" dataCellStyle="一般 2"/>
    <tableColumn id="18" uniqueName="18" name="F18" queryTableFieldId="18" dataDxfId="142" dataCellStyle="一般 2"/>
    <tableColumn id="19" uniqueName="19" name="F19" queryTableFieldId="19" dataDxfId="141" dataCellStyle="一般 2"/>
    <tableColumn id="20" uniqueName="20" name="F20" queryTableFieldId="20" dataDxfId="140" dataCellStyle="一般 2"/>
    <tableColumn id="21" uniqueName="21" name="F21" queryTableFieldId="21" dataDxfId="139" dataCellStyle="一般 2"/>
    <tableColumn id="22" uniqueName="22" name="2024/6/24 14:52" queryTableFieldId="22" dataDxfId="138" dataCellStyle="一般 2"/>
    <tableColumn id="23" uniqueName="23" name="F23" queryTableFieldId="23" dataDxfId="137" dataCellStyle="一般 2"/>
    <tableColumn id="24" uniqueName="24" name="F24" queryTableFieldId="24" dataDxfId="136" dataCellStyle="一般 2"/>
    <tableColumn id="25" uniqueName="25" name="F25" queryTableFieldId="25" dataDxfId="135" dataCellStyle="一般 2"/>
    <tableColumn id="26" uniqueName="26" name="F26" queryTableFieldId="26" dataDxfId="134" dataCellStyle="一般 2"/>
    <tableColumn id="27" uniqueName="27" name="F27" queryTableFieldId="27" dataDxfId="133" dataCellStyle="一般 2"/>
    <tableColumn id="28" uniqueName="28" name="F28" queryTableFieldId="28" dataDxfId="132" dataCellStyle="一般 2"/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id="24" 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displayName="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" ref="AG13:BH189" tableType="queryTable" totalsRowShown="0" headerRowDxfId="29" dataDxfId="28" headerRowCellStyle="一般 2" dataCellStyle="一般 2">
  <autoFilter ref="AG13:BH189"/>
  <tableColumns count="28">
    <tableColumn id="1" uniqueName="1" name="請直接以10進位，謝謝" queryTableFieldId="1" dataDxfId="27" dataCellStyle="一般 2"/>
    <tableColumn id="2" uniqueName="2" name="F2" queryTableFieldId="2" dataDxfId="26" dataCellStyle="一般 2"/>
    <tableColumn id="3" uniqueName="3" name="F3" queryTableFieldId="3" dataDxfId="25" dataCellStyle="一般 2"/>
    <tableColumn id="4" uniqueName="4" name="F4" queryTableFieldId="4" dataDxfId="24" dataCellStyle="一般 2"/>
    <tableColumn id="5" uniqueName="5" name="F5" queryTableFieldId="5" dataDxfId="23" dataCellStyle="一般 2"/>
    <tableColumn id="6" uniqueName="6" name="F6" queryTableFieldId="6" dataDxfId="22" dataCellStyle="一般 2"/>
    <tableColumn id="7" uniqueName="7" name="F7" queryTableFieldId="7" dataDxfId="21" dataCellStyle="一般 2"/>
    <tableColumn id="8" uniqueName="8" name="F8" queryTableFieldId="8" dataDxfId="20" dataCellStyle="一般 2"/>
    <tableColumn id="9" uniqueName="9" name="F9" queryTableFieldId="9" dataDxfId="19" dataCellStyle="一般 2"/>
    <tableColumn id="10" uniqueName="10" name="F10" queryTableFieldId="10" dataDxfId="18" dataCellStyle="一般 2"/>
    <tableColumn id="11" uniqueName="11" name="F11" queryTableFieldId="11" dataDxfId="17" dataCellStyle="一般 2"/>
    <tableColumn id="12" uniqueName="12" name="F12" queryTableFieldId="12" dataDxfId="16" dataCellStyle="一般 2"/>
    <tableColumn id="13" uniqueName="13" name="F13" queryTableFieldId="13" dataDxfId="15" dataCellStyle="一般 2"/>
    <tableColumn id="14" uniqueName="14" name="F14" queryTableFieldId="14" dataDxfId="14" dataCellStyle="一般 2"/>
    <tableColumn id="15" uniqueName="15" name="F15" queryTableFieldId="15" dataDxfId="13" dataCellStyle="一般 2"/>
    <tableColumn id="16" uniqueName="16" name="F16" queryTableFieldId="16" dataDxfId="12" dataCellStyle="一般 2"/>
    <tableColumn id="17" uniqueName="17" name="F17" queryTableFieldId="17" dataDxfId="11" dataCellStyle="一般 2"/>
    <tableColumn id="18" uniqueName="18" name="F18" queryTableFieldId="18" dataDxfId="10" dataCellStyle="一般 2"/>
    <tableColumn id="19" uniqueName="19" name="F19" queryTableFieldId="19" dataDxfId="9" dataCellStyle="一般 2"/>
    <tableColumn id="20" uniqueName="20" name="F20" queryTableFieldId="20" dataDxfId="8" dataCellStyle="一般 2"/>
    <tableColumn id="21" uniqueName="21" name="F21" queryTableFieldId="21" dataDxfId="7" dataCellStyle="一般 2"/>
    <tableColumn id="22" uniqueName="22" name="2024/6/24 14:52" queryTableFieldId="22" dataDxfId="6" dataCellStyle="一般 2"/>
    <tableColumn id="23" uniqueName="23" name="F23" queryTableFieldId="23" dataDxfId="5" dataCellStyle="一般 2"/>
    <tableColumn id="24" uniqueName="24" name="F24" queryTableFieldId="24" dataDxfId="4" dataCellStyle="一般 2"/>
    <tableColumn id="25" uniqueName="25" name="F25" queryTableFieldId="25" dataDxfId="3" dataCellStyle="一般 2"/>
    <tableColumn id="26" uniqueName="26" name="F26" queryTableFieldId="26" dataDxfId="2" dataCellStyle="一般 2"/>
    <tableColumn id="27" uniqueName="27" name="F27" queryTableFieldId="27" dataDxfId="1" dataCellStyle="一般 2"/>
    <tableColumn id="28" uniqueName="28" name="F28" queryTableFieldId="28" dataDxfId="0" dataCellStyle="一般 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8357890-2BA6-4CC5-90A2-87AD6187BD32}">
  <we:reference id="wa104381026" version="1.2.0.0" store="zh-TW" storeType="OMEX"/>
  <we:alternateReferences>
    <we:reference id="WA104381026" version="1.2.0.0" store="WA104381026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4.xml"/><Relationship Id="rId4" Type="http://schemas.openxmlformats.org/officeDocument/2006/relationships/ctrlProp" Target="../ctrlProps/ctrlProp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5" Type="http://schemas.openxmlformats.org/officeDocument/2006/relationships/table" Target="../tables/table6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5" Type="http://schemas.openxmlformats.org/officeDocument/2006/relationships/table" Target="../tables/table7.xml"/><Relationship Id="rId4" Type="http://schemas.openxmlformats.org/officeDocument/2006/relationships/ctrlProp" Target="../ctrlProps/ctrlProp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5" Type="http://schemas.openxmlformats.org/officeDocument/2006/relationships/table" Target="../tables/table11.xml"/><Relationship Id="rId4" Type="http://schemas.openxmlformats.org/officeDocument/2006/relationships/ctrlProp" Target="../ctrlProps/ctrlProp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5" Type="http://schemas.openxmlformats.org/officeDocument/2006/relationships/table" Target="../tables/table12.xml"/><Relationship Id="rId4" Type="http://schemas.openxmlformats.org/officeDocument/2006/relationships/ctrlProp" Target="../ctrlProps/ctrlProp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5" Type="http://schemas.openxmlformats.org/officeDocument/2006/relationships/table" Target="../tables/table13.xml"/><Relationship Id="rId4" Type="http://schemas.openxmlformats.org/officeDocument/2006/relationships/ctrlProp" Target="../ctrlProps/ctrlProp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5" Type="http://schemas.openxmlformats.org/officeDocument/2006/relationships/table" Target="../tables/table14.xml"/><Relationship Id="rId4" Type="http://schemas.openxmlformats.org/officeDocument/2006/relationships/ctrlProp" Target="../ctrlProps/ctrlProp14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5" Type="http://schemas.openxmlformats.org/officeDocument/2006/relationships/table" Target="../tables/table15.xml"/><Relationship Id="rId4" Type="http://schemas.openxmlformats.org/officeDocument/2006/relationships/ctrlProp" Target="../ctrlProps/ctrlProp1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5" Type="http://schemas.openxmlformats.org/officeDocument/2006/relationships/table" Target="../tables/table16.xml"/><Relationship Id="rId4" Type="http://schemas.openxmlformats.org/officeDocument/2006/relationships/ctrlProp" Target="../ctrlProps/ctrlProp1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5" Type="http://schemas.openxmlformats.org/officeDocument/2006/relationships/table" Target="../tables/table17.xml"/><Relationship Id="rId4" Type="http://schemas.openxmlformats.org/officeDocument/2006/relationships/ctrlProp" Target="../ctrlProps/ctrlProp17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5" Type="http://schemas.openxmlformats.org/officeDocument/2006/relationships/table" Target="../tables/table18.xml"/><Relationship Id="rId4" Type="http://schemas.openxmlformats.org/officeDocument/2006/relationships/ctrlProp" Target="../ctrlProps/ctrlProp1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5" Type="http://schemas.openxmlformats.org/officeDocument/2006/relationships/table" Target="../tables/table19.xml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5" Type="http://schemas.openxmlformats.org/officeDocument/2006/relationships/table" Target="../tables/table20.xml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table" Target="../tables/table21.xml"/><Relationship Id="rId4" Type="http://schemas.openxmlformats.org/officeDocument/2006/relationships/ctrlProp" Target="../ctrlProps/ctrlProp21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table" Target="../tables/table22.xml"/><Relationship Id="rId4" Type="http://schemas.openxmlformats.org/officeDocument/2006/relationships/ctrlProp" Target="../ctrlProps/ctrlProp2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table" Target="../tables/table23.xml"/><Relationship Id="rId4" Type="http://schemas.openxmlformats.org/officeDocument/2006/relationships/ctrlProp" Target="../ctrlProps/ctrlProp23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5" Type="http://schemas.openxmlformats.org/officeDocument/2006/relationships/table" Target="../tables/table2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21">
    <pageSetUpPr fitToPage="1"/>
  </sheetPr>
  <dimension ref="A1:X100"/>
  <sheetViews>
    <sheetView view="pageBreakPreview" topLeftCell="A25" zoomScale="85" zoomScaleNormal="100" zoomScaleSheetLayoutView="85" workbookViewId="0">
      <selection activeCell="K44" sqref="K44"/>
    </sheetView>
  </sheetViews>
  <sheetFormatPr defaultColWidth="9" defaultRowHeight="15.6"/>
  <cols>
    <col min="1" max="1" width="7.33203125" style="54" customWidth="1"/>
    <col min="2" max="2" width="8.6640625" style="54" customWidth="1"/>
    <col min="3" max="3" width="6.6640625" style="54" customWidth="1"/>
    <col min="4" max="4" width="7.33203125" style="54" customWidth="1"/>
    <col min="5" max="5" width="8.6640625" style="54" customWidth="1"/>
    <col min="6" max="6" width="6.6640625" style="54" customWidth="1"/>
    <col min="7" max="7" width="7.33203125" style="54" customWidth="1"/>
    <col min="8" max="8" width="8.6640625" style="54" customWidth="1"/>
    <col min="9" max="9" width="6.6640625" style="54" customWidth="1"/>
    <col min="10" max="10" width="7.33203125" style="54" customWidth="1"/>
    <col min="11" max="11" width="8.6640625" style="54" customWidth="1"/>
    <col min="12" max="12" width="6.6640625" style="54" customWidth="1"/>
    <col min="13" max="13" width="23.88671875" style="54" customWidth="1"/>
    <col min="14" max="14" width="17.6640625" style="54" customWidth="1"/>
    <col min="15" max="16" width="11.88671875" style="54" customWidth="1"/>
    <col min="17" max="17" width="17.44140625" style="63" customWidth="1"/>
    <col min="18" max="18" width="13.6640625" style="63" customWidth="1"/>
    <col min="19" max="19" width="14.33203125" style="63" customWidth="1"/>
    <col min="20" max="20" width="9" style="54"/>
    <col min="21" max="21" width="20.77734375" style="54" bestFit="1" customWidth="1"/>
    <col min="22" max="22" width="9" style="54"/>
    <col min="23" max="23" width="13.77734375" style="54" bestFit="1" customWidth="1"/>
    <col min="24" max="16384" width="9" style="54"/>
  </cols>
  <sheetData>
    <row r="1" spans="1:24" s="53" customFormat="1" ht="21" customHeight="1" thickBot="1">
      <c r="A1" s="168" t="s">
        <v>172</v>
      </c>
      <c r="B1" s="168"/>
      <c r="C1" s="111"/>
      <c r="D1" s="111"/>
      <c r="E1" s="112"/>
      <c r="F1" s="111"/>
      <c r="G1" s="113"/>
      <c r="H1" s="113"/>
      <c r="I1" s="113"/>
      <c r="J1" s="113"/>
      <c r="K1" s="113"/>
      <c r="L1" s="113"/>
      <c r="M1" s="113" t="s">
        <v>173</v>
      </c>
      <c r="Q1" s="55"/>
      <c r="R1" s="55"/>
      <c r="S1" s="55"/>
    </row>
    <row r="2" spans="1:24" s="59" customFormat="1" ht="25.65" customHeight="1" thickTop="1" thickBot="1">
      <c r="A2" s="114" t="s">
        <v>31</v>
      </c>
      <c r="B2" s="115" t="s">
        <v>159</v>
      </c>
      <c r="C2" s="116" t="s">
        <v>33</v>
      </c>
      <c r="D2" s="114" t="s">
        <v>31</v>
      </c>
      <c r="E2" s="115" t="s">
        <v>159</v>
      </c>
      <c r="F2" s="117" t="s">
        <v>33</v>
      </c>
      <c r="G2" s="114" t="s">
        <v>31</v>
      </c>
      <c r="H2" s="115" t="s">
        <v>32</v>
      </c>
      <c r="I2" s="117" t="s">
        <v>33</v>
      </c>
      <c r="J2" s="114" t="s">
        <v>31</v>
      </c>
      <c r="K2" s="115" t="s">
        <v>32</v>
      </c>
      <c r="L2" s="117" t="s">
        <v>33</v>
      </c>
      <c r="M2" s="118" t="s">
        <v>174</v>
      </c>
      <c r="N2" s="56"/>
      <c r="O2" s="56"/>
      <c r="P2" s="57" t="s">
        <v>139</v>
      </c>
      <c r="Q2" s="58" t="s">
        <v>140</v>
      </c>
      <c r="S2" s="60" t="s">
        <v>141</v>
      </c>
      <c r="U2" s="137" t="s">
        <v>142</v>
      </c>
      <c r="V2" s="136">
        <v>0.01</v>
      </c>
      <c r="W2" s="137" t="s">
        <v>154</v>
      </c>
      <c r="X2" s="61" t="s">
        <v>145</v>
      </c>
    </row>
    <row r="3" spans="1:24" s="53" customFormat="1" ht="22.2" customHeight="1" thickTop="1">
      <c r="A3" s="119">
        <v>601</v>
      </c>
      <c r="B3" s="120">
        <v>142</v>
      </c>
      <c r="C3" s="121">
        <v>27</v>
      </c>
      <c r="D3" s="122" t="s">
        <v>76</v>
      </c>
      <c r="E3" s="120">
        <v>5805</v>
      </c>
      <c r="F3" s="121">
        <v>26</v>
      </c>
      <c r="G3" s="119">
        <v>661</v>
      </c>
      <c r="H3" s="120">
        <v>5276</v>
      </c>
      <c r="I3" s="123">
        <v>29</v>
      </c>
      <c r="J3" s="119">
        <v>681</v>
      </c>
      <c r="K3" s="120">
        <v>3920</v>
      </c>
      <c r="L3" s="124">
        <v>28</v>
      </c>
      <c r="M3" s="169" t="s">
        <v>569</v>
      </c>
      <c r="N3" s="137" t="s">
        <v>142</v>
      </c>
      <c r="O3" s="137" t="s">
        <v>143</v>
      </c>
      <c r="P3" s="137" t="s">
        <v>144</v>
      </c>
      <c r="Q3" s="61" t="s">
        <v>145</v>
      </c>
      <c r="S3" s="53">
        <v>5900</v>
      </c>
      <c r="U3" s="137" t="s">
        <v>146</v>
      </c>
      <c r="V3" s="136">
        <v>0.01</v>
      </c>
      <c r="W3" s="137" t="s">
        <v>155</v>
      </c>
      <c r="X3" s="61" t="s">
        <v>148</v>
      </c>
    </row>
    <row r="4" spans="1:24" s="53" customFormat="1" ht="22.2" customHeight="1">
      <c r="A4" s="119">
        <v>602</v>
      </c>
      <c r="B4" s="120">
        <v>278</v>
      </c>
      <c r="C4" s="121">
        <v>27</v>
      </c>
      <c r="D4" s="122" t="s">
        <v>77</v>
      </c>
      <c r="E4" s="120">
        <v>5689</v>
      </c>
      <c r="F4" s="121">
        <v>29</v>
      </c>
      <c r="G4" s="119">
        <v>662</v>
      </c>
      <c r="H4" s="120">
        <v>6710</v>
      </c>
      <c r="I4" s="123">
        <v>30</v>
      </c>
      <c r="J4" s="119">
        <v>682</v>
      </c>
      <c r="K4" s="120">
        <v>3271</v>
      </c>
      <c r="L4" s="133">
        <v>27</v>
      </c>
      <c r="M4" s="170"/>
      <c r="N4" s="137" t="s">
        <v>146</v>
      </c>
      <c r="O4" s="137" t="s">
        <v>143</v>
      </c>
      <c r="P4" s="137" t="s">
        <v>147</v>
      </c>
      <c r="Q4" s="61" t="s">
        <v>148</v>
      </c>
      <c r="S4" s="53">
        <v>5600</v>
      </c>
      <c r="U4" s="62">
        <v>680690</v>
      </c>
      <c r="V4" s="136">
        <v>0.01</v>
      </c>
      <c r="W4" s="137" t="s">
        <v>156</v>
      </c>
      <c r="X4" s="61" t="s">
        <v>148</v>
      </c>
    </row>
    <row r="5" spans="1:24" s="53" customFormat="1" ht="22.2" customHeight="1">
      <c r="A5" s="119">
        <v>603</v>
      </c>
      <c r="B5" s="120">
        <v>5784</v>
      </c>
      <c r="C5" s="121">
        <v>27</v>
      </c>
      <c r="D5" s="122">
        <v>631</v>
      </c>
      <c r="E5" s="120">
        <v>5200</v>
      </c>
      <c r="F5" s="121">
        <v>28</v>
      </c>
      <c r="G5" s="119">
        <v>663</v>
      </c>
      <c r="H5" s="120">
        <v>0</v>
      </c>
      <c r="I5" s="123">
        <v>29</v>
      </c>
      <c r="J5" s="119">
        <v>683</v>
      </c>
      <c r="K5" s="120">
        <v>2756</v>
      </c>
      <c r="L5" s="133">
        <v>26</v>
      </c>
      <c r="M5" s="170"/>
      <c r="N5" s="62">
        <v>680690</v>
      </c>
      <c r="O5" s="137" t="s">
        <v>143</v>
      </c>
      <c r="P5" s="137" t="s">
        <v>149</v>
      </c>
      <c r="Q5" s="61" t="s">
        <v>148</v>
      </c>
      <c r="S5" s="53">
        <v>4100</v>
      </c>
      <c r="U5" s="137" t="s">
        <v>150</v>
      </c>
      <c r="V5" s="136">
        <v>0.01</v>
      </c>
      <c r="W5" s="137" t="s">
        <v>157</v>
      </c>
      <c r="X5" s="61" t="s">
        <v>148</v>
      </c>
    </row>
    <row r="6" spans="1:24" s="53" customFormat="1" ht="22.2" customHeight="1">
      <c r="A6" s="119" t="s">
        <v>78</v>
      </c>
      <c r="B6" s="125">
        <v>1169</v>
      </c>
      <c r="C6" s="126">
        <v>29</v>
      </c>
      <c r="D6" s="127">
        <v>632</v>
      </c>
      <c r="E6" s="125">
        <v>1099</v>
      </c>
      <c r="F6" s="126">
        <v>35</v>
      </c>
      <c r="G6" s="127">
        <v>664</v>
      </c>
      <c r="H6" s="120">
        <v>913</v>
      </c>
      <c r="I6" s="124">
        <v>28</v>
      </c>
      <c r="J6" s="127">
        <v>684</v>
      </c>
      <c r="K6" s="125">
        <v>306</v>
      </c>
      <c r="L6" s="133">
        <v>27</v>
      </c>
      <c r="M6" s="170"/>
      <c r="N6" s="137" t="s">
        <v>150</v>
      </c>
      <c r="O6" s="137" t="s">
        <v>143</v>
      </c>
      <c r="P6" s="137" t="s">
        <v>151</v>
      </c>
      <c r="Q6" s="61" t="s">
        <v>148</v>
      </c>
      <c r="S6" s="53">
        <v>7000</v>
      </c>
      <c r="U6" s="137" t="s">
        <v>152</v>
      </c>
      <c r="V6" s="136">
        <v>0.01</v>
      </c>
      <c r="W6" s="137" t="s">
        <v>158</v>
      </c>
      <c r="X6" s="61" t="s">
        <v>148</v>
      </c>
    </row>
    <row r="7" spans="1:24" s="53" customFormat="1" ht="22.2" customHeight="1">
      <c r="A7" s="119" t="s">
        <v>79</v>
      </c>
      <c r="B7" s="125">
        <v>3966</v>
      </c>
      <c r="C7" s="126">
        <v>27</v>
      </c>
      <c r="D7" s="127">
        <v>633</v>
      </c>
      <c r="E7" s="125">
        <v>3859</v>
      </c>
      <c r="F7" s="126">
        <v>23</v>
      </c>
      <c r="G7" s="127">
        <v>665</v>
      </c>
      <c r="H7" s="125">
        <v>4712</v>
      </c>
      <c r="I7" s="124">
        <v>28</v>
      </c>
      <c r="J7" s="127">
        <v>685</v>
      </c>
      <c r="K7" s="125">
        <v>303</v>
      </c>
      <c r="L7" s="133">
        <v>27</v>
      </c>
      <c r="M7" s="170"/>
      <c r="N7" s="137" t="s">
        <v>152</v>
      </c>
      <c r="O7" s="137" t="s">
        <v>143</v>
      </c>
      <c r="P7" s="137" t="s">
        <v>153</v>
      </c>
      <c r="Q7" s="61" t="s">
        <v>148</v>
      </c>
      <c r="S7" s="53">
        <v>11590</v>
      </c>
      <c r="X7" s="55"/>
    </row>
    <row r="8" spans="1:24" s="53" customFormat="1" ht="22.2" customHeight="1">
      <c r="A8" s="119">
        <v>611</v>
      </c>
      <c r="B8" s="125">
        <v>38.71</v>
      </c>
      <c r="C8" s="134">
        <v>25</v>
      </c>
      <c r="D8" s="127">
        <v>634</v>
      </c>
      <c r="E8" s="125">
        <v>8678</v>
      </c>
      <c r="F8" s="126">
        <v>28</v>
      </c>
      <c r="G8" s="127">
        <v>666</v>
      </c>
      <c r="H8" s="125">
        <v>0</v>
      </c>
      <c r="I8" s="124">
        <v>28</v>
      </c>
      <c r="J8" s="127">
        <v>686</v>
      </c>
      <c r="K8" s="125">
        <v>302</v>
      </c>
      <c r="L8" s="133">
        <v>26</v>
      </c>
      <c r="M8" s="170"/>
      <c r="N8" s="137" t="s">
        <v>163</v>
      </c>
      <c r="O8" s="137" t="s">
        <v>143</v>
      </c>
      <c r="P8" s="137" t="s">
        <v>164</v>
      </c>
      <c r="Q8" s="61" t="s">
        <v>148</v>
      </c>
      <c r="S8" s="53">
        <v>9200</v>
      </c>
    </row>
    <row r="9" spans="1:24" s="53" customFormat="1" ht="22.2" customHeight="1">
      <c r="A9" s="119">
        <v>612</v>
      </c>
      <c r="B9" s="125">
        <v>77.02</v>
      </c>
      <c r="C9" s="134">
        <v>25</v>
      </c>
      <c r="D9" s="127">
        <v>641</v>
      </c>
      <c r="E9" s="125">
        <v>3381</v>
      </c>
      <c r="F9" s="126">
        <v>27</v>
      </c>
      <c r="G9" s="127">
        <v>667</v>
      </c>
      <c r="H9" s="125">
        <v>-817</v>
      </c>
      <c r="I9" s="124">
        <v>29</v>
      </c>
      <c r="J9" s="127">
        <v>687</v>
      </c>
      <c r="K9" s="125">
        <v>327</v>
      </c>
      <c r="L9" s="133">
        <v>28</v>
      </c>
      <c r="M9" s="170"/>
      <c r="N9" s="137" t="s">
        <v>165</v>
      </c>
      <c r="O9" s="137" t="s">
        <v>143</v>
      </c>
      <c r="P9" s="137" t="s">
        <v>166</v>
      </c>
      <c r="Q9" s="61" t="s">
        <v>148</v>
      </c>
      <c r="S9" s="53">
        <v>6800</v>
      </c>
    </row>
    <row r="10" spans="1:24" s="53" customFormat="1" ht="22.2" customHeight="1">
      <c r="A10" s="119">
        <v>613</v>
      </c>
      <c r="B10" s="125">
        <v>49.61</v>
      </c>
      <c r="C10" s="134">
        <v>25</v>
      </c>
      <c r="D10" s="127">
        <v>642</v>
      </c>
      <c r="E10" s="125">
        <v>3955</v>
      </c>
      <c r="F10" s="126">
        <v>28</v>
      </c>
      <c r="G10" s="127">
        <v>668</v>
      </c>
      <c r="H10" s="125">
        <v>-817</v>
      </c>
      <c r="I10" s="124">
        <v>29</v>
      </c>
      <c r="J10" s="127">
        <v>688</v>
      </c>
      <c r="K10" s="125">
        <v>320</v>
      </c>
      <c r="L10" s="133">
        <v>27</v>
      </c>
      <c r="M10" s="170"/>
      <c r="N10" s="137" t="s">
        <v>167</v>
      </c>
      <c r="O10" s="136" t="s">
        <v>143</v>
      </c>
      <c r="P10" s="137" t="s">
        <v>168</v>
      </c>
      <c r="Q10" s="61" t="s">
        <v>148</v>
      </c>
      <c r="S10" s="53">
        <v>5500</v>
      </c>
    </row>
    <row r="11" spans="1:24" s="53" customFormat="1" ht="22.2" customHeight="1">
      <c r="A11" s="119">
        <v>614</v>
      </c>
      <c r="B11" s="125">
        <v>7.33</v>
      </c>
      <c r="C11" s="134">
        <v>25</v>
      </c>
      <c r="D11" s="127">
        <v>643</v>
      </c>
      <c r="E11" s="125">
        <v>2290</v>
      </c>
      <c r="F11" s="126">
        <v>29</v>
      </c>
      <c r="G11" s="127">
        <v>669</v>
      </c>
      <c r="H11" s="125">
        <v>1034</v>
      </c>
      <c r="I11" s="124">
        <v>30</v>
      </c>
      <c r="J11" s="127">
        <v>689</v>
      </c>
      <c r="K11" s="125">
        <v>343</v>
      </c>
      <c r="L11" s="133">
        <v>26</v>
      </c>
      <c r="M11" s="170"/>
      <c r="N11" s="137" t="s">
        <v>169</v>
      </c>
      <c r="O11" s="136" t="s">
        <v>143</v>
      </c>
      <c r="P11" s="137">
        <v>9.0746000000000002</v>
      </c>
      <c r="Q11" s="61" t="s">
        <v>148</v>
      </c>
      <c r="S11" s="53">
        <v>7100</v>
      </c>
    </row>
    <row r="12" spans="1:24" s="53" customFormat="1" ht="22.2" customHeight="1">
      <c r="A12" s="119">
        <v>621</v>
      </c>
      <c r="B12" s="125">
        <v>4253</v>
      </c>
      <c r="C12" s="126">
        <v>30</v>
      </c>
      <c r="D12" s="127">
        <v>645</v>
      </c>
      <c r="E12" s="125">
        <v>63</v>
      </c>
      <c r="F12" s="126">
        <v>28</v>
      </c>
      <c r="G12" s="127">
        <v>670</v>
      </c>
      <c r="H12" s="125">
        <v>-9909</v>
      </c>
      <c r="I12" s="124">
        <v>30</v>
      </c>
      <c r="J12" s="127">
        <v>690</v>
      </c>
      <c r="K12" s="125">
        <v>374</v>
      </c>
      <c r="L12" s="124">
        <v>27</v>
      </c>
      <c r="M12" s="170"/>
      <c r="N12" s="62" t="s">
        <v>170</v>
      </c>
      <c r="O12" s="136" t="s">
        <v>143</v>
      </c>
      <c r="P12" s="137">
        <v>9.0746000000000002</v>
      </c>
      <c r="Q12" s="61" t="s">
        <v>148</v>
      </c>
      <c r="S12" s="53">
        <v>5500</v>
      </c>
    </row>
    <row r="13" spans="1:24" s="53" customFormat="1" ht="22.2" customHeight="1">
      <c r="A13" s="119">
        <v>622</v>
      </c>
      <c r="B13" s="125">
        <v>3963</v>
      </c>
      <c r="C13" s="126">
        <v>30</v>
      </c>
      <c r="D13" s="127">
        <v>651</v>
      </c>
      <c r="E13" s="125">
        <v>459</v>
      </c>
      <c r="F13" s="126">
        <v>29</v>
      </c>
      <c r="G13" s="127">
        <v>671</v>
      </c>
      <c r="H13" s="125">
        <v>0</v>
      </c>
      <c r="I13" s="124">
        <v>28</v>
      </c>
      <c r="J13" s="127">
        <v>691</v>
      </c>
      <c r="K13" s="125">
        <v>2348</v>
      </c>
      <c r="L13" s="133">
        <v>27</v>
      </c>
      <c r="M13" s="170"/>
      <c r="N13" s="172" t="s">
        <v>171</v>
      </c>
      <c r="O13" s="173" t="s">
        <v>143</v>
      </c>
      <c r="P13" s="174">
        <v>7.0686</v>
      </c>
      <c r="Q13" s="166" t="s">
        <v>148</v>
      </c>
      <c r="S13" s="167">
        <v>7000</v>
      </c>
    </row>
    <row r="14" spans="1:24" s="53" customFormat="1" ht="22.2" customHeight="1">
      <c r="A14" s="119">
        <v>623</v>
      </c>
      <c r="B14" s="125">
        <v>4619</v>
      </c>
      <c r="C14" s="126">
        <v>34</v>
      </c>
      <c r="D14" s="127">
        <v>652</v>
      </c>
      <c r="E14" s="125">
        <v>3871</v>
      </c>
      <c r="F14" s="126">
        <v>30</v>
      </c>
      <c r="G14" s="127">
        <v>672</v>
      </c>
      <c r="H14" s="125">
        <v>2508</v>
      </c>
      <c r="I14" s="124">
        <v>28</v>
      </c>
      <c r="J14" s="127">
        <v>692</v>
      </c>
      <c r="K14" s="125">
        <v>350</v>
      </c>
      <c r="L14" s="133">
        <v>28</v>
      </c>
      <c r="M14" s="170"/>
      <c r="N14" s="172"/>
      <c r="O14" s="173"/>
      <c r="P14" s="174"/>
      <c r="Q14" s="166"/>
      <c r="S14" s="167"/>
    </row>
    <row r="15" spans="1:24" s="53" customFormat="1" ht="22.2" customHeight="1">
      <c r="A15" s="122">
        <v>624</v>
      </c>
      <c r="B15" s="125">
        <v>1888</v>
      </c>
      <c r="C15" s="126">
        <v>28</v>
      </c>
      <c r="D15" s="128">
        <v>653</v>
      </c>
      <c r="E15" s="125">
        <v>4366</v>
      </c>
      <c r="F15" s="126">
        <v>26</v>
      </c>
      <c r="G15" s="127">
        <v>673</v>
      </c>
      <c r="H15" s="125">
        <v>0</v>
      </c>
      <c r="I15" s="124">
        <v>28</v>
      </c>
      <c r="J15" s="127">
        <v>693</v>
      </c>
      <c r="K15" s="125">
        <v>3225</v>
      </c>
      <c r="L15" s="133">
        <v>28</v>
      </c>
      <c r="M15" s="170"/>
      <c r="N15" s="172"/>
      <c r="O15" s="173"/>
      <c r="P15" s="174"/>
      <c r="Q15" s="166"/>
      <c r="R15" s="55"/>
      <c r="S15" s="139">
        <v>6000</v>
      </c>
    </row>
    <row r="16" spans="1:24" s="53" customFormat="1" ht="22.2" customHeight="1">
      <c r="A16" s="122" t="s">
        <v>80</v>
      </c>
      <c r="B16" s="125">
        <v>7181</v>
      </c>
      <c r="C16" s="126">
        <v>29</v>
      </c>
      <c r="D16" s="127">
        <v>654</v>
      </c>
      <c r="E16" s="125">
        <v>3128</v>
      </c>
      <c r="F16" s="126">
        <v>28</v>
      </c>
      <c r="G16" s="127">
        <v>674</v>
      </c>
      <c r="H16" s="125">
        <v>0</v>
      </c>
      <c r="I16" s="124">
        <v>27</v>
      </c>
      <c r="J16" s="127">
        <v>694</v>
      </c>
      <c r="K16" s="125">
        <v>402</v>
      </c>
      <c r="L16" s="133">
        <v>27</v>
      </c>
      <c r="M16" s="170"/>
      <c r="Q16" s="55"/>
      <c r="R16" s="55"/>
      <c r="S16" s="55"/>
    </row>
    <row r="17" spans="1:19" s="53" customFormat="1" ht="22.2" customHeight="1">
      <c r="A17" s="122" t="s">
        <v>26</v>
      </c>
      <c r="B17" s="125">
        <v>7169</v>
      </c>
      <c r="C17" s="126">
        <v>34</v>
      </c>
      <c r="D17" s="128">
        <v>655</v>
      </c>
      <c r="E17" s="125">
        <v>4933</v>
      </c>
      <c r="F17" s="126">
        <v>30</v>
      </c>
      <c r="G17" s="127">
        <v>675</v>
      </c>
      <c r="H17" s="125">
        <v>5.72</v>
      </c>
      <c r="I17" s="133">
        <v>25</v>
      </c>
      <c r="J17" s="127">
        <v>695</v>
      </c>
      <c r="K17" s="125">
        <v>3934</v>
      </c>
      <c r="L17" s="133">
        <v>28</v>
      </c>
      <c r="M17" s="170"/>
      <c r="Q17" s="55"/>
      <c r="R17" s="55"/>
      <c r="S17" s="55"/>
    </row>
    <row r="18" spans="1:19" s="53" customFormat="1" ht="22.2" customHeight="1">
      <c r="A18" s="122" t="s">
        <v>27</v>
      </c>
      <c r="B18" s="125">
        <v>659</v>
      </c>
      <c r="C18" s="126">
        <v>25</v>
      </c>
      <c r="D18" s="127">
        <v>656</v>
      </c>
      <c r="E18" s="125">
        <v>4696</v>
      </c>
      <c r="F18" s="126">
        <v>28</v>
      </c>
      <c r="G18" s="127">
        <v>676</v>
      </c>
      <c r="H18" s="125">
        <v>41.42</v>
      </c>
      <c r="I18" s="133">
        <v>25</v>
      </c>
      <c r="J18" s="127">
        <v>696</v>
      </c>
      <c r="K18" s="125">
        <v>741</v>
      </c>
      <c r="L18" s="133">
        <v>28</v>
      </c>
      <c r="M18" s="170"/>
      <c r="Q18" s="55"/>
      <c r="R18" s="55"/>
      <c r="S18" s="55"/>
    </row>
    <row r="19" spans="1:19" s="53" customFormat="1" ht="22.2" customHeight="1">
      <c r="A19" s="122" t="s">
        <v>28</v>
      </c>
      <c r="B19" s="125">
        <v>0</v>
      </c>
      <c r="C19" s="126">
        <v>25</v>
      </c>
      <c r="D19" s="127">
        <v>657</v>
      </c>
      <c r="E19" s="125">
        <v>6015</v>
      </c>
      <c r="F19" s="126">
        <v>30</v>
      </c>
      <c r="G19" s="127">
        <v>677</v>
      </c>
      <c r="H19" s="125">
        <v>2.73</v>
      </c>
      <c r="I19" s="133">
        <v>25</v>
      </c>
      <c r="J19" s="127">
        <v>697</v>
      </c>
      <c r="K19" s="125">
        <v>3310</v>
      </c>
      <c r="L19" s="133">
        <v>29</v>
      </c>
      <c r="M19" s="170"/>
      <c r="Q19" s="55"/>
      <c r="R19" s="55"/>
      <c r="S19" s="55"/>
    </row>
    <row r="20" spans="1:19" s="53" customFormat="1" ht="22.2" customHeight="1">
      <c r="A20" s="122" t="s">
        <v>29</v>
      </c>
      <c r="B20" s="125">
        <v>0</v>
      </c>
      <c r="C20" s="126">
        <v>29</v>
      </c>
      <c r="D20" s="128">
        <v>658</v>
      </c>
      <c r="E20" s="125">
        <v>4088</v>
      </c>
      <c r="F20" s="126">
        <v>30</v>
      </c>
      <c r="G20" s="127">
        <v>678</v>
      </c>
      <c r="H20" s="125">
        <v>5.81</v>
      </c>
      <c r="I20" s="133">
        <v>25</v>
      </c>
      <c r="J20" s="127">
        <v>698</v>
      </c>
      <c r="K20" s="125">
        <v>4165</v>
      </c>
      <c r="L20" s="133">
        <v>34</v>
      </c>
      <c r="M20" s="170"/>
      <c r="Q20" s="55"/>
      <c r="R20" s="55"/>
      <c r="S20" s="55"/>
    </row>
    <row r="21" spans="1:19" s="53" customFormat="1" ht="22.2" customHeight="1">
      <c r="A21" s="122" t="s">
        <v>30</v>
      </c>
      <c r="B21" s="125">
        <v>0</v>
      </c>
      <c r="C21" s="126">
        <v>29</v>
      </c>
      <c r="D21" s="127">
        <v>659</v>
      </c>
      <c r="E21" s="125">
        <v>552</v>
      </c>
      <c r="F21" s="126">
        <v>26</v>
      </c>
      <c r="G21" s="127">
        <v>680</v>
      </c>
      <c r="H21" s="125">
        <v>542</v>
      </c>
      <c r="I21" s="133">
        <v>27</v>
      </c>
      <c r="J21" s="127">
        <v>699</v>
      </c>
      <c r="K21" s="125">
        <v>1766</v>
      </c>
      <c r="L21" s="133">
        <v>27</v>
      </c>
      <c r="M21" s="170"/>
      <c r="Q21" s="55"/>
      <c r="R21" s="55"/>
      <c r="S21" s="55"/>
    </row>
    <row r="22" spans="1:19" s="53" customFormat="1" ht="22.2" customHeight="1" thickBot="1">
      <c r="A22" s="129" t="s">
        <v>81</v>
      </c>
      <c r="B22" s="130">
        <v>4972</v>
      </c>
      <c r="C22" s="130">
        <v>28</v>
      </c>
      <c r="D22" s="131">
        <v>660</v>
      </c>
      <c r="E22" s="130">
        <v>2500</v>
      </c>
      <c r="F22" s="132">
        <v>30</v>
      </c>
      <c r="G22" s="131"/>
      <c r="H22" s="130"/>
      <c r="I22" s="132"/>
      <c r="J22" s="131"/>
      <c r="K22" s="130"/>
      <c r="L22" s="132"/>
      <c r="M22" s="171"/>
      <c r="Q22" s="55"/>
      <c r="R22" s="55"/>
      <c r="S22" s="55"/>
    </row>
    <row r="23" spans="1:19" ht="36.6" customHeight="1" thickTop="1">
      <c r="A23" s="112"/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</row>
    <row r="24" spans="1:19" ht="21" customHeight="1" thickBot="1">
      <c r="A24" s="168"/>
      <c r="B24" s="168"/>
      <c r="C24" s="111"/>
      <c r="D24" s="111"/>
      <c r="E24" s="111"/>
      <c r="F24" s="111"/>
      <c r="G24" s="111"/>
      <c r="H24" s="111"/>
      <c r="I24" s="113"/>
      <c r="J24" s="111"/>
      <c r="K24" s="111"/>
      <c r="L24" s="113"/>
      <c r="M24" s="113" t="s">
        <v>175</v>
      </c>
    </row>
    <row r="25" spans="1:19" ht="20.100000000000001" customHeight="1" thickTop="1" thickBot="1">
      <c r="A25" s="114" t="s">
        <v>31</v>
      </c>
      <c r="B25" s="115" t="s">
        <v>159</v>
      </c>
      <c r="C25" s="116" t="s">
        <v>33</v>
      </c>
      <c r="D25" s="114" t="s">
        <v>31</v>
      </c>
      <c r="E25" s="115" t="s">
        <v>159</v>
      </c>
      <c r="F25" s="117" t="s">
        <v>33</v>
      </c>
      <c r="G25" s="114" t="s">
        <v>31</v>
      </c>
      <c r="H25" s="115" t="s">
        <v>32</v>
      </c>
      <c r="I25" s="117" t="s">
        <v>33</v>
      </c>
      <c r="J25" s="114" t="s">
        <v>31</v>
      </c>
      <c r="K25" s="115" t="s">
        <v>32</v>
      </c>
      <c r="L25" s="117" t="s">
        <v>33</v>
      </c>
      <c r="M25" s="118" t="s">
        <v>174</v>
      </c>
    </row>
    <row r="26" spans="1:19" ht="21.75" customHeight="1" thickTop="1">
      <c r="A26" s="119">
        <v>601</v>
      </c>
      <c r="B26" s="120">
        <v>142</v>
      </c>
      <c r="C26" s="121">
        <v>31</v>
      </c>
      <c r="D26" s="122" t="s">
        <v>76</v>
      </c>
      <c r="E26" s="120">
        <v>5808</v>
      </c>
      <c r="F26" s="121">
        <v>27</v>
      </c>
      <c r="G26" s="119">
        <v>661</v>
      </c>
      <c r="H26" s="120">
        <v>5280</v>
      </c>
      <c r="I26" s="123">
        <v>30</v>
      </c>
      <c r="J26" s="119">
        <v>681</v>
      </c>
      <c r="K26" s="120">
        <v>3504</v>
      </c>
      <c r="L26" s="124">
        <v>31</v>
      </c>
      <c r="M26" s="169"/>
    </row>
    <row r="27" spans="1:19" ht="21.75" customHeight="1">
      <c r="A27" s="119">
        <v>602</v>
      </c>
      <c r="B27" s="120">
        <v>278</v>
      </c>
      <c r="C27" s="121">
        <v>33</v>
      </c>
      <c r="D27" s="122" t="s">
        <v>77</v>
      </c>
      <c r="E27" s="120">
        <v>5693</v>
      </c>
      <c r="F27" s="121">
        <v>30</v>
      </c>
      <c r="G27" s="119">
        <v>662</v>
      </c>
      <c r="H27" s="120">
        <v>5481</v>
      </c>
      <c r="I27" s="123">
        <v>32</v>
      </c>
      <c r="J27" s="119">
        <v>682</v>
      </c>
      <c r="K27" s="120">
        <v>2871</v>
      </c>
      <c r="L27" s="133">
        <v>30</v>
      </c>
      <c r="M27" s="170"/>
    </row>
    <row r="28" spans="1:19" ht="21.75" customHeight="1">
      <c r="A28" s="119">
        <v>603</v>
      </c>
      <c r="B28" s="120">
        <v>6344</v>
      </c>
      <c r="C28" s="121">
        <v>28</v>
      </c>
      <c r="D28" s="122">
        <v>631</v>
      </c>
      <c r="E28" s="120">
        <v>2356</v>
      </c>
      <c r="F28" s="121">
        <v>29</v>
      </c>
      <c r="G28" s="119">
        <v>663</v>
      </c>
      <c r="H28" s="120">
        <v>0</v>
      </c>
      <c r="I28" s="123">
        <v>34</v>
      </c>
      <c r="J28" s="119">
        <v>683</v>
      </c>
      <c r="K28" s="120">
        <v>1607</v>
      </c>
      <c r="L28" s="133">
        <v>32</v>
      </c>
      <c r="M28" s="170"/>
    </row>
    <row r="29" spans="1:19" ht="21.75" customHeight="1">
      <c r="A29" s="119" t="s">
        <v>78</v>
      </c>
      <c r="B29" s="125">
        <v>895</v>
      </c>
      <c r="C29" s="126">
        <v>31</v>
      </c>
      <c r="D29" s="127">
        <v>632</v>
      </c>
      <c r="E29" s="125">
        <v>1099</v>
      </c>
      <c r="F29" s="126">
        <v>38</v>
      </c>
      <c r="G29" s="127">
        <v>664</v>
      </c>
      <c r="H29" s="120">
        <v>1013</v>
      </c>
      <c r="I29" s="124">
        <v>33</v>
      </c>
      <c r="J29" s="127">
        <v>684</v>
      </c>
      <c r="K29" s="125">
        <v>302</v>
      </c>
      <c r="L29" s="133">
        <v>32</v>
      </c>
      <c r="M29" s="170"/>
    </row>
    <row r="30" spans="1:19" ht="21.75" customHeight="1">
      <c r="A30" s="119" t="s">
        <v>79</v>
      </c>
      <c r="B30" s="125">
        <v>5288</v>
      </c>
      <c r="C30" s="126">
        <v>29</v>
      </c>
      <c r="D30" s="127">
        <v>633</v>
      </c>
      <c r="E30" s="125">
        <v>3859</v>
      </c>
      <c r="F30" s="126">
        <v>24</v>
      </c>
      <c r="G30" s="127">
        <v>665</v>
      </c>
      <c r="H30" s="125">
        <v>4215</v>
      </c>
      <c r="I30" s="124">
        <v>33</v>
      </c>
      <c r="J30" s="127">
        <v>685</v>
      </c>
      <c r="K30" s="125">
        <v>1411</v>
      </c>
      <c r="L30" s="133">
        <v>31</v>
      </c>
      <c r="M30" s="170"/>
    </row>
    <row r="31" spans="1:19" ht="21.75" customHeight="1">
      <c r="A31" s="119">
        <v>611</v>
      </c>
      <c r="B31" s="125">
        <v>38.72</v>
      </c>
      <c r="C31" s="134">
        <v>25</v>
      </c>
      <c r="D31" s="127">
        <v>634</v>
      </c>
      <c r="E31" s="125">
        <v>8955</v>
      </c>
      <c r="F31" s="126">
        <v>32</v>
      </c>
      <c r="G31" s="127">
        <v>666</v>
      </c>
      <c r="H31" s="125">
        <v>0</v>
      </c>
      <c r="I31" s="124">
        <v>32</v>
      </c>
      <c r="J31" s="127">
        <v>686</v>
      </c>
      <c r="K31" s="125">
        <v>299</v>
      </c>
      <c r="L31" s="133">
        <v>30</v>
      </c>
      <c r="M31" s="170"/>
    </row>
    <row r="32" spans="1:19" ht="21.75" customHeight="1">
      <c r="A32" s="119">
        <v>612</v>
      </c>
      <c r="B32" s="125">
        <v>77.13</v>
      </c>
      <c r="C32" s="134">
        <v>25</v>
      </c>
      <c r="D32" s="127">
        <v>641</v>
      </c>
      <c r="E32" s="125">
        <v>3381</v>
      </c>
      <c r="F32" s="126">
        <v>29</v>
      </c>
      <c r="G32" s="127">
        <v>667</v>
      </c>
      <c r="H32" s="125">
        <v>-817</v>
      </c>
      <c r="I32" s="124">
        <v>33</v>
      </c>
      <c r="J32" s="127">
        <v>687</v>
      </c>
      <c r="K32" s="125">
        <v>324</v>
      </c>
      <c r="L32" s="133">
        <v>31</v>
      </c>
      <c r="M32" s="170"/>
    </row>
    <row r="33" spans="1:13" ht="21.75" customHeight="1">
      <c r="A33" s="119">
        <v>613</v>
      </c>
      <c r="B33" s="125">
        <v>20.02</v>
      </c>
      <c r="C33" s="134">
        <v>25</v>
      </c>
      <c r="D33" s="127">
        <v>642</v>
      </c>
      <c r="E33" s="125">
        <v>3965</v>
      </c>
      <c r="F33" s="126">
        <v>30</v>
      </c>
      <c r="G33" s="127">
        <v>668</v>
      </c>
      <c r="H33" s="125">
        <v>-815</v>
      </c>
      <c r="I33" s="124">
        <v>34</v>
      </c>
      <c r="J33" s="127">
        <v>688</v>
      </c>
      <c r="K33" s="125">
        <v>2531</v>
      </c>
      <c r="L33" s="133">
        <v>32</v>
      </c>
      <c r="M33" s="170"/>
    </row>
    <row r="34" spans="1:13" ht="21.75" customHeight="1">
      <c r="A34" s="119">
        <v>614</v>
      </c>
      <c r="B34" s="125">
        <v>49.31</v>
      </c>
      <c r="C34" s="134">
        <v>25</v>
      </c>
      <c r="D34" s="127">
        <v>643</v>
      </c>
      <c r="E34" s="125">
        <v>177</v>
      </c>
      <c r="F34" s="126">
        <v>30</v>
      </c>
      <c r="G34" s="127">
        <v>669</v>
      </c>
      <c r="H34" s="125">
        <v>1032</v>
      </c>
      <c r="I34" s="124">
        <v>32</v>
      </c>
      <c r="J34" s="127">
        <v>689</v>
      </c>
      <c r="K34" s="125">
        <v>340</v>
      </c>
      <c r="L34" s="133">
        <v>31</v>
      </c>
      <c r="M34" s="170"/>
    </row>
    <row r="35" spans="1:13" ht="21.75" customHeight="1">
      <c r="A35" s="119">
        <v>621</v>
      </c>
      <c r="B35" s="125">
        <v>4253</v>
      </c>
      <c r="C35" s="126">
        <v>32</v>
      </c>
      <c r="D35" s="127">
        <v>645</v>
      </c>
      <c r="E35" s="125">
        <v>2840</v>
      </c>
      <c r="F35" s="126">
        <v>31</v>
      </c>
      <c r="G35" s="127">
        <v>670</v>
      </c>
      <c r="H35" s="125">
        <v>-9909</v>
      </c>
      <c r="I35" s="124">
        <v>32</v>
      </c>
      <c r="J35" s="127">
        <v>690</v>
      </c>
      <c r="K35" s="125">
        <v>372</v>
      </c>
      <c r="L35" s="124">
        <v>30</v>
      </c>
      <c r="M35" s="170"/>
    </row>
    <row r="36" spans="1:13" ht="21.75" customHeight="1">
      <c r="A36" s="119">
        <v>622</v>
      </c>
      <c r="B36" s="125">
        <v>3963</v>
      </c>
      <c r="C36" s="126">
        <v>30</v>
      </c>
      <c r="D36" s="127">
        <v>651</v>
      </c>
      <c r="E36" s="125">
        <v>458</v>
      </c>
      <c r="F36" s="126">
        <v>34</v>
      </c>
      <c r="G36" s="127">
        <v>671</v>
      </c>
      <c r="H36" s="125">
        <v>0</v>
      </c>
      <c r="I36" s="124">
        <v>32</v>
      </c>
      <c r="J36" s="127">
        <v>691</v>
      </c>
      <c r="K36" s="125">
        <v>2553</v>
      </c>
      <c r="L36" s="133">
        <v>31</v>
      </c>
      <c r="M36" s="170"/>
    </row>
    <row r="37" spans="1:13" ht="21.75" customHeight="1">
      <c r="A37" s="119">
        <v>623</v>
      </c>
      <c r="B37" s="125">
        <v>4570</v>
      </c>
      <c r="C37" s="126">
        <v>29</v>
      </c>
      <c r="D37" s="127">
        <v>652</v>
      </c>
      <c r="E37" s="125">
        <v>4000</v>
      </c>
      <c r="F37" s="126">
        <v>30</v>
      </c>
      <c r="G37" s="127">
        <v>672</v>
      </c>
      <c r="H37" s="125">
        <v>2509</v>
      </c>
      <c r="I37" s="124">
        <v>33</v>
      </c>
      <c r="J37" s="127">
        <v>692</v>
      </c>
      <c r="K37" s="125">
        <v>348</v>
      </c>
      <c r="L37" s="133">
        <v>30</v>
      </c>
      <c r="M37" s="170"/>
    </row>
    <row r="38" spans="1:13" ht="21.75" customHeight="1">
      <c r="A38" s="122">
        <v>624</v>
      </c>
      <c r="B38" s="125">
        <v>1231</v>
      </c>
      <c r="C38" s="126">
        <v>31</v>
      </c>
      <c r="D38" s="128">
        <v>653</v>
      </c>
      <c r="E38" s="125">
        <v>4367</v>
      </c>
      <c r="F38" s="126">
        <v>27</v>
      </c>
      <c r="G38" s="127">
        <v>673</v>
      </c>
      <c r="H38" s="125">
        <v>0</v>
      </c>
      <c r="I38" s="124">
        <v>32</v>
      </c>
      <c r="J38" s="127">
        <v>693</v>
      </c>
      <c r="K38" s="125">
        <v>3222</v>
      </c>
      <c r="L38" s="133">
        <v>32</v>
      </c>
      <c r="M38" s="170"/>
    </row>
    <row r="39" spans="1:13" ht="21.75" customHeight="1">
      <c r="A39" s="122" t="s">
        <v>80</v>
      </c>
      <c r="B39" s="125">
        <v>7186</v>
      </c>
      <c r="C39" s="126">
        <v>32</v>
      </c>
      <c r="D39" s="127">
        <v>654</v>
      </c>
      <c r="E39" s="125">
        <v>3129</v>
      </c>
      <c r="F39" s="126">
        <v>33</v>
      </c>
      <c r="G39" s="127">
        <v>674</v>
      </c>
      <c r="H39" s="125">
        <v>0</v>
      </c>
      <c r="I39" s="124">
        <v>32</v>
      </c>
      <c r="J39" s="127">
        <v>694</v>
      </c>
      <c r="K39" s="125">
        <v>400</v>
      </c>
      <c r="L39" s="133">
        <v>31</v>
      </c>
      <c r="M39" s="170"/>
    </row>
    <row r="40" spans="1:13" ht="21.75" customHeight="1">
      <c r="A40" s="122" t="s">
        <v>26</v>
      </c>
      <c r="B40" s="125">
        <v>7175</v>
      </c>
      <c r="C40" s="126">
        <v>35</v>
      </c>
      <c r="D40" s="128">
        <v>655</v>
      </c>
      <c r="E40" s="125">
        <v>4936</v>
      </c>
      <c r="F40" s="126">
        <v>32</v>
      </c>
      <c r="G40" s="127">
        <v>675</v>
      </c>
      <c r="H40" s="125">
        <v>11.22</v>
      </c>
      <c r="I40" s="133">
        <v>25</v>
      </c>
      <c r="J40" s="127">
        <v>695</v>
      </c>
      <c r="K40" s="125">
        <v>3899</v>
      </c>
      <c r="L40" s="133">
        <v>30</v>
      </c>
      <c r="M40" s="170"/>
    </row>
    <row r="41" spans="1:13" ht="21.75" customHeight="1">
      <c r="A41" s="122" t="s">
        <v>27</v>
      </c>
      <c r="B41" s="125">
        <v>3735</v>
      </c>
      <c r="C41" s="126">
        <v>26</v>
      </c>
      <c r="D41" s="127">
        <v>656</v>
      </c>
      <c r="E41" s="125">
        <v>4709</v>
      </c>
      <c r="F41" s="126">
        <v>30</v>
      </c>
      <c r="G41" s="127">
        <v>676</v>
      </c>
      <c r="H41" s="125">
        <v>84.71</v>
      </c>
      <c r="I41" s="133">
        <v>25</v>
      </c>
      <c r="J41" s="127">
        <v>696</v>
      </c>
      <c r="K41" s="125">
        <v>737</v>
      </c>
      <c r="L41" s="133">
        <v>32</v>
      </c>
      <c r="M41" s="170"/>
    </row>
    <row r="42" spans="1:13" ht="21.75" customHeight="1">
      <c r="A42" s="122" t="s">
        <v>28</v>
      </c>
      <c r="B42" s="125">
        <v>6027</v>
      </c>
      <c r="C42" s="126">
        <v>23</v>
      </c>
      <c r="D42" s="127">
        <v>657</v>
      </c>
      <c r="E42" s="125">
        <v>6020</v>
      </c>
      <c r="F42" s="126">
        <v>30</v>
      </c>
      <c r="G42" s="127">
        <v>677</v>
      </c>
      <c r="H42" s="125">
        <v>2.73</v>
      </c>
      <c r="I42" s="133">
        <v>25</v>
      </c>
      <c r="J42" s="127">
        <v>697</v>
      </c>
      <c r="K42" s="125">
        <v>3308</v>
      </c>
      <c r="L42" s="133">
        <v>31</v>
      </c>
      <c r="M42" s="170"/>
    </row>
    <row r="43" spans="1:13" ht="21.75" customHeight="1">
      <c r="A43" s="122" t="s">
        <v>29</v>
      </c>
      <c r="B43" s="125">
        <v>0</v>
      </c>
      <c r="C43" s="126">
        <v>30</v>
      </c>
      <c r="D43" s="128">
        <v>658</v>
      </c>
      <c r="E43" s="125">
        <v>2738</v>
      </c>
      <c r="F43" s="126">
        <v>34</v>
      </c>
      <c r="G43" s="127">
        <v>678</v>
      </c>
      <c r="H43" s="125">
        <v>5.81</v>
      </c>
      <c r="I43" s="133">
        <v>25</v>
      </c>
      <c r="J43" s="127">
        <v>698</v>
      </c>
      <c r="K43" s="125">
        <v>3694</v>
      </c>
      <c r="L43" s="133">
        <v>35</v>
      </c>
      <c r="M43" s="170"/>
    </row>
    <row r="44" spans="1:13" ht="21.75" customHeight="1">
      <c r="A44" s="122" t="s">
        <v>30</v>
      </c>
      <c r="B44" s="125">
        <v>2837</v>
      </c>
      <c r="C44" s="126">
        <v>29</v>
      </c>
      <c r="D44" s="127">
        <v>659</v>
      </c>
      <c r="E44" s="125">
        <v>3914</v>
      </c>
      <c r="F44" s="126">
        <v>29</v>
      </c>
      <c r="G44" s="127">
        <v>680</v>
      </c>
      <c r="H44" s="125">
        <v>540</v>
      </c>
      <c r="I44" s="133">
        <v>30</v>
      </c>
      <c r="J44" s="127">
        <v>699</v>
      </c>
      <c r="K44" s="125">
        <v>1763</v>
      </c>
      <c r="L44" s="133">
        <v>31</v>
      </c>
      <c r="M44" s="170"/>
    </row>
    <row r="45" spans="1:13" ht="21.75" customHeight="1" thickBot="1">
      <c r="A45" s="129" t="s">
        <v>81</v>
      </c>
      <c r="B45" s="130">
        <v>416</v>
      </c>
      <c r="C45" s="130">
        <v>31</v>
      </c>
      <c r="D45" s="131">
        <v>660</v>
      </c>
      <c r="E45" s="130">
        <v>2500</v>
      </c>
      <c r="F45" s="132">
        <v>32</v>
      </c>
      <c r="G45" s="131"/>
      <c r="H45" s="130"/>
      <c r="I45" s="132"/>
      <c r="J45" s="131"/>
      <c r="K45" s="130"/>
      <c r="L45" s="132"/>
      <c r="M45" s="171"/>
    </row>
    <row r="46" spans="1:13" ht="16.2" thickTop="1"/>
    <row r="100" spans="1:1" ht="25.5" customHeight="1">
      <c r="A100" s="140" t="s">
        <v>634</v>
      </c>
    </row>
  </sheetData>
  <sheetProtection selectLockedCells="1"/>
  <mergeCells count="9">
    <mergeCell ref="Q13:Q15"/>
    <mergeCell ref="S13:S14"/>
    <mergeCell ref="A24:B24"/>
    <mergeCell ref="M26:M45"/>
    <mergeCell ref="A1:B1"/>
    <mergeCell ref="M3:M22"/>
    <mergeCell ref="N13:N15"/>
    <mergeCell ref="O13:O15"/>
    <mergeCell ref="P13:P15"/>
  </mergeCells>
  <phoneticPr fontId="2" type="noConversion"/>
  <dataValidations count="11">
    <dataValidation type="custom" errorStyle="warning" allowBlank="1" showInputMessage="1" showErrorMessage="1" error="***你在睡喔,醒醒好嗎" sqref="E8 B6:B7 B4 B15 E31 B29:B30 B27 B38">
      <formula1>B4&lt;=9100</formula1>
    </dataValidation>
    <dataValidation type="custom" errorStyle="warning" allowBlank="1" showInputMessage="1" showErrorMessage="1" error="***你在睡喔,醒醒好嗎" sqref="B8:B11 H17:H20 B31:B34 H40:H43">
      <formula1>B8&lt;=100</formula1>
    </dataValidation>
    <dataValidation type="custom" errorStyle="warning" allowBlank="1" showInputMessage="1" showErrorMessage="1" error="***你在睡喔,醒醒好嗎" sqref="E3:E4 B16:B22 E20:E22 H3:H16 E26:E27 B39:B45 E43:E45 H26:H39 E19 E42">
      <formula1>B3&lt;=7400</formula1>
    </dataValidation>
    <dataValidation type="custom" errorStyle="warning" allowBlank="1" showInputMessage="1" showErrorMessage="1" error="***你在睡喔,醒醒好嗎" sqref="E14:E18 E37:E41">
      <formula1>E14&lt;=5500</formula1>
    </dataValidation>
    <dataValidation type="custom" errorStyle="warning" allowBlank="1" showInputMessage="1" showErrorMessage="1" error="***你在睡喔,醒醒好嗎" sqref="H21 K12 H44 K35">
      <formula1>H12&lt;=4100</formula1>
    </dataValidation>
    <dataValidation type="custom" errorStyle="warning" allowBlank="1" showInputMessage="1" showErrorMessage="1" error="***你在睡喔,醒醒好嗎" sqref="E5:E6 B5 K14:K17 B12:B13 B3 E28:E29 B28 K37:K40 B35:B36 B26">
      <formula1>B3&lt;=7000</formula1>
    </dataValidation>
    <dataValidation type="custom" errorStyle="warning" allowBlank="1" showInputMessage="1" showErrorMessage="1" error="***你在睡喔,醒醒好嗎" sqref="K18:K21 K41:K44">
      <formula1>K18&lt;=12000</formula1>
    </dataValidation>
    <dataValidation type="custom" errorStyle="warning" allowBlank="1" showInputMessage="1" showErrorMessage="1" error="***你在睡喔,醒醒好嗎" sqref="B14 E7 K13 E9:E10 E13 K3:K7 K9:K10 B37 E30 E36 K26:K30 K32:K33 K36 E32:E33">
      <formula1>B3&lt;=5600</formula1>
    </dataValidation>
    <dataValidation type="custom" errorStyle="warning" allowBlank="1" showInputMessage="1" showErrorMessage="1" error="***你在睡喔,醒醒好嗎" sqref="K11 K8 K34 K31">
      <formula1>K8&lt;=5700</formula1>
    </dataValidation>
    <dataValidation type="custom" errorStyle="warning" allowBlank="1" showInputMessage="1" showErrorMessage="1" error="***你在睡喔,醒醒好嗎" sqref="E12 E34:E35">
      <formula1>E12&lt;=6000</formula1>
    </dataValidation>
    <dataValidation type="custom" errorStyle="warning" allowBlank="1" showInputMessage="1" showErrorMessage="1" error="***你在睡喔,醒醒好嗎" sqref="E11">
      <formula1>E11&lt;=6000</formula1>
    </dataValidation>
  </dataValidations>
  <printOptions horizontalCentered="1"/>
  <pageMargins left="0.39370078740157483" right="0.19685039370078741" top="0.19685039370078741" bottom="0" header="0" footer="0"/>
  <pageSetup paperSize="9" scale="84" pageOrder="overThenDown" orientation="portrait" horizontalDpi="180" verticalDpi="18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247682" r:id="rId4" name="CommandButton2">
          <controlPr autoLine="0" r:id="rId5">
            <anchor moveWithCells="1">
              <from>
                <xdr:col>13</xdr:col>
                <xdr:colOff>22860</xdr:colOff>
                <xdr:row>25</xdr:row>
                <xdr:rowOff>60960</xdr:rowOff>
              </from>
              <to>
                <xdr:col>15</xdr:col>
                <xdr:colOff>548640</xdr:colOff>
                <xdr:row>32</xdr:row>
                <xdr:rowOff>0</xdr:rowOff>
              </to>
            </anchor>
          </controlPr>
        </control>
      </mc:Choice>
      <mc:Fallback>
        <control shapeId="2247682" r:id="rId4" name="CommandButton2"/>
      </mc:Fallback>
    </mc:AlternateContent>
    <mc:AlternateContent xmlns:mc="http://schemas.openxmlformats.org/markup-compatibility/2006">
      <mc:Choice Requires="x14">
        <control shapeId="2247681" r:id="rId6" name="CommandButton1">
          <controlPr autoLine="0" r:id="rId7">
            <anchor moveWithCells="1">
              <from>
                <xdr:col>13</xdr:col>
                <xdr:colOff>30480</xdr:colOff>
                <xdr:row>15</xdr:row>
                <xdr:rowOff>198120</xdr:rowOff>
              </from>
              <to>
                <xdr:col>15</xdr:col>
                <xdr:colOff>495300</xdr:colOff>
                <xdr:row>22</xdr:row>
                <xdr:rowOff>388620</xdr:rowOff>
              </to>
            </anchor>
          </controlPr>
        </control>
      </mc:Choice>
      <mc:Fallback>
        <control shapeId="2247681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>
    <pageSetUpPr fitToPage="1"/>
  </sheetPr>
  <dimension ref="A1:X93"/>
  <sheetViews>
    <sheetView showRuler="0" view="pageBreakPreview" zoomScale="60" zoomScaleNormal="60" workbookViewId="0">
      <pane ySplit="1" topLeftCell="A14" activePane="bottomLeft" state="frozen"/>
      <selection activeCell="AA15" sqref="AA15"/>
      <selection pane="bottomLeft" activeCell="AA15" sqref="AA15"/>
    </sheetView>
  </sheetViews>
  <sheetFormatPr defaultColWidth="9" defaultRowHeight="16.2"/>
  <cols>
    <col min="1" max="1" width="9.44140625" style="47" customWidth="1"/>
    <col min="2" max="10" width="10.6640625" style="47" customWidth="1"/>
    <col min="11" max="12" width="10.6640625" style="6" customWidth="1"/>
    <col min="13" max="13" width="10.6640625" style="50" customWidth="1"/>
    <col min="14" max="16" width="10.6640625" style="6" customWidth="1"/>
    <col min="17" max="17" width="12.88671875" style="47" customWidth="1"/>
    <col min="18" max="18" width="10.6640625" style="6" customWidth="1"/>
    <col min="19" max="19" width="10.6640625" style="47" customWidth="1"/>
    <col min="20" max="20" width="10.6640625" style="6" customWidth="1"/>
    <col min="21" max="21" width="10.6640625" style="51" customWidth="1"/>
    <col min="22" max="23" width="9.88671875" style="6" bestFit="1" customWidth="1"/>
    <col min="24" max="24" width="15.44140625" style="6" bestFit="1" customWidth="1"/>
    <col min="25" max="16384" width="9" style="6"/>
  </cols>
  <sheetData>
    <row r="1" spans="1:24" ht="49.2" customHeight="1">
      <c r="A1" s="1" t="s">
        <v>6</v>
      </c>
      <c r="B1" s="2" t="s">
        <v>7</v>
      </c>
      <c r="C1" s="2" t="s">
        <v>8</v>
      </c>
      <c r="D1" s="2" t="s">
        <v>9</v>
      </c>
      <c r="E1" s="2" t="s">
        <v>10</v>
      </c>
      <c r="F1" s="3" t="s">
        <v>11</v>
      </c>
      <c r="G1" s="2" t="s">
        <v>12</v>
      </c>
      <c r="H1" s="2" t="s">
        <v>13</v>
      </c>
      <c r="I1" s="2" t="s">
        <v>14</v>
      </c>
      <c r="J1" s="4" t="s">
        <v>15</v>
      </c>
      <c r="K1" s="2" t="s">
        <v>16</v>
      </c>
      <c r="L1" s="2" t="s">
        <v>17</v>
      </c>
      <c r="M1" s="2" t="s">
        <v>18</v>
      </c>
      <c r="N1" s="2" t="s">
        <v>19</v>
      </c>
      <c r="O1" s="4" t="s">
        <v>20</v>
      </c>
      <c r="P1" s="3" t="s">
        <v>21</v>
      </c>
      <c r="Q1" s="2" t="s">
        <v>70</v>
      </c>
      <c r="R1" s="2" t="s">
        <v>22</v>
      </c>
      <c r="S1" s="2" t="s">
        <v>23</v>
      </c>
      <c r="T1" s="2" t="s">
        <v>24</v>
      </c>
      <c r="U1" s="5" t="s">
        <v>25</v>
      </c>
      <c r="V1" s="5" t="s">
        <v>34</v>
      </c>
      <c r="W1" s="5" t="s">
        <v>38</v>
      </c>
      <c r="X1" s="5" t="s">
        <v>75</v>
      </c>
    </row>
    <row r="2" spans="1:24" s="13" customFormat="1" ht="26.4" customHeight="1" thickBot="1">
      <c r="A2" s="7">
        <v>1</v>
      </c>
      <c r="B2" s="8">
        <v>0.80020000000000002</v>
      </c>
      <c r="C2" s="8">
        <v>1.1264000000000001</v>
      </c>
      <c r="D2" s="8">
        <v>1.0450999999999999</v>
      </c>
      <c r="E2" s="8">
        <v>0.81089999999999995</v>
      </c>
      <c r="F2" s="9"/>
      <c r="G2" s="8">
        <v>0.80520000000000003</v>
      </c>
      <c r="H2" s="8">
        <v>0.93820000000000003</v>
      </c>
      <c r="I2" s="8">
        <v>1.0691999999999999</v>
      </c>
      <c r="J2" s="10">
        <v>0.98939999999999995</v>
      </c>
      <c r="K2" s="8">
        <v>0.96160000000000001</v>
      </c>
      <c r="L2" s="11">
        <v>0.95099999999999996</v>
      </c>
      <c r="M2" s="8"/>
      <c r="N2" s="11">
        <v>0.94899999999999995</v>
      </c>
      <c r="O2" s="11">
        <v>0.93500000000000005</v>
      </c>
      <c r="P2" s="9"/>
      <c r="Q2" s="27">
        <v>0.95454000000000006</v>
      </c>
      <c r="R2" s="8">
        <v>0.82220000000000004</v>
      </c>
      <c r="S2" s="12">
        <v>1.0519000000000001</v>
      </c>
      <c r="T2" s="8">
        <v>0.96960000000000002</v>
      </c>
      <c r="U2" s="8">
        <v>1.028</v>
      </c>
      <c r="V2" s="16">
        <v>0.96399999999999997</v>
      </c>
      <c r="W2" s="16">
        <v>0.97658999999999996</v>
      </c>
      <c r="X2" s="16">
        <v>0.81481000000000003</v>
      </c>
    </row>
    <row r="3" spans="1:24" s="13" customFormat="1" ht="26.4" customHeight="1" thickTop="1" thickBot="1">
      <c r="A3" s="7">
        <v>2</v>
      </c>
      <c r="B3" s="8">
        <v>0.79930000000000001</v>
      </c>
      <c r="C3" s="8">
        <v>1.1257999999999999</v>
      </c>
      <c r="D3" s="8">
        <v>1.0471999999999999</v>
      </c>
      <c r="E3" s="14">
        <v>0.81</v>
      </c>
      <c r="F3" s="9"/>
      <c r="G3" s="8">
        <v>0.80420000000000003</v>
      </c>
      <c r="H3" s="8">
        <v>0.93730000000000002</v>
      </c>
      <c r="I3" s="8">
        <v>1.0681</v>
      </c>
      <c r="J3" s="10">
        <v>0.98939999999999995</v>
      </c>
      <c r="K3" s="8">
        <v>0.9607</v>
      </c>
      <c r="L3" s="11">
        <v>0.96</v>
      </c>
      <c r="M3" s="8"/>
      <c r="N3" s="11">
        <v>0.94899999999999995</v>
      </c>
      <c r="O3" s="11">
        <v>0.93500000000000005</v>
      </c>
      <c r="P3" s="9"/>
      <c r="Q3" s="27">
        <v>0.95454000000000006</v>
      </c>
      <c r="R3" s="8">
        <v>0.82120000000000004</v>
      </c>
      <c r="S3" s="12">
        <v>1.0511999999999999</v>
      </c>
      <c r="T3" s="8">
        <v>0.96870000000000001</v>
      </c>
      <c r="U3" s="8">
        <v>1.028</v>
      </c>
      <c r="V3" s="16">
        <v>0.96399999999999997</v>
      </c>
      <c r="W3" s="16">
        <v>0.97658999999999996</v>
      </c>
      <c r="X3" s="16">
        <v>0.81481000000000003</v>
      </c>
    </row>
    <row r="4" spans="1:24" s="13" customFormat="1" ht="26.4" customHeight="1" thickTop="1" thickBot="1">
      <c r="A4" s="7">
        <v>3</v>
      </c>
      <c r="B4" s="8">
        <v>0.7984</v>
      </c>
      <c r="C4" s="8">
        <v>1.1251</v>
      </c>
      <c r="D4" s="8">
        <v>1.0463</v>
      </c>
      <c r="E4" s="8">
        <v>0.80910000000000004</v>
      </c>
      <c r="F4" s="9"/>
      <c r="G4" s="8">
        <v>0.80320000000000003</v>
      </c>
      <c r="H4" s="8">
        <v>0.93630000000000002</v>
      </c>
      <c r="I4" s="14">
        <v>1.0669999999999999</v>
      </c>
      <c r="J4" s="10">
        <v>0.98939999999999995</v>
      </c>
      <c r="K4" s="8">
        <v>0.95989999999999998</v>
      </c>
      <c r="L4" s="11">
        <v>0.95899999999999996</v>
      </c>
      <c r="M4" s="8"/>
      <c r="N4" s="11">
        <v>0.94899999999999995</v>
      </c>
      <c r="O4" s="11">
        <v>0.93500000000000005</v>
      </c>
      <c r="P4" s="9"/>
      <c r="Q4" s="27">
        <v>0.95454000000000006</v>
      </c>
      <c r="R4" s="8">
        <v>0.82020000000000004</v>
      </c>
      <c r="S4" s="12">
        <v>1.0504</v>
      </c>
      <c r="T4" s="8">
        <v>0.96789999999999998</v>
      </c>
      <c r="U4" s="8">
        <v>1.028</v>
      </c>
      <c r="V4" s="16">
        <v>0.96399999999999997</v>
      </c>
      <c r="W4" s="16">
        <v>0.97658999999999996</v>
      </c>
      <c r="X4" s="16">
        <v>0.81481000000000003</v>
      </c>
    </row>
    <row r="5" spans="1:24" s="13" customFormat="1" ht="24" customHeight="1" thickTop="1" thickBot="1">
      <c r="A5" s="7">
        <v>4</v>
      </c>
      <c r="B5" s="8">
        <v>0.79749999999999999</v>
      </c>
      <c r="C5" s="8">
        <v>1.1245000000000001</v>
      </c>
      <c r="D5" s="8">
        <v>1.0454000000000001</v>
      </c>
      <c r="E5" s="8">
        <v>0.80820000000000003</v>
      </c>
      <c r="F5" s="9"/>
      <c r="G5" s="8">
        <v>0.80220000000000002</v>
      </c>
      <c r="H5" s="8">
        <v>0.93530000000000002</v>
      </c>
      <c r="I5" s="8">
        <v>1.0658000000000001</v>
      </c>
      <c r="J5" s="10">
        <v>0.98939999999999995</v>
      </c>
      <c r="K5" s="8">
        <v>0.95899999999999996</v>
      </c>
      <c r="L5" s="11">
        <v>0.95799999999999996</v>
      </c>
      <c r="M5" s="8"/>
      <c r="N5" s="11">
        <v>0.94899999999999995</v>
      </c>
      <c r="O5" s="11">
        <v>0.93500000000000005</v>
      </c>
      <c r="P5" s="9"/>
      <c r="Q5" s="27">
        <v>0.95454000000000006</v>
      </c>
      <c r="R5" s="8">
        <v>0.81920000000000004</v>
      </c>
      <c r="S5" s="12">
        <v>1.0497000000000001</v>
      </c>
      <c r="T5" s="8">
        <v>0.96699999999999997</v>
      </c>
      <c r="U5" s="8">
        <v>1.028</v>
      </c>
      <c r="V5" s="16">
        <v>0.96399999999999997</v>
      </c>
      <c r="W5" s="16">
        <v>0.97658999999999996</v>
      </c>
      <c r="X5" s="16">
        <v>0.81481000000000003</v>
      </c>
    </row>
    <row r="6" spans="1:24" ht="22.5" customHeight="1" thickTop="1" thickBot="1">
      <c r="A6" s="15">
        <v>5</v>
      </c>
      <c r="B6" s="16">
        <v>0.79659999999999997</v>
      </c>
      <c r="C6" s="16">
        <v>1.1237999999999999</v>
      </c>
      <c r="D6" s="16">
        <v>1.0445</v>
      </c>
      <c r="E6" s="16">
        <v>0.80730000000000002</v>
      </c>
      <c r="F6" s="17"/>
      <c r="G6" s="16">
        <v>0.80120000000000002</v>
      </c>
      <c r="H6" s="16">
        <v>0.93440000000000001</v>
      </c>
      <c r="I6" s="16">
        <v>1.0647</v>
      </c>
      <c r="J6" s="16">
        <v>0.98939999999999995</v>
      </c>
      <c r="K6" s="16">
        <v>0.95820000000000005</v>
      </c>
      <c r="L6" s="16">
        <v>0.95699999999999996</v>
      </c>
      <c r="M6" s="18"/>
      <c r="N6" s="18">
        <v>0.94899999999999995</v>
      </c>
      <c r="O6" s="18">
        <v>0.93500000000000005</v>
      </c>
      <c r="P6" s="19"/>
      <c r="Q6" s="27">
        <v>0.95454000000000006</v>
      </c>
      <c r="R6" s="18">
        <v>0.81820000000000004</v>
      </c>
      <c r="S6" s="20">
        <v>1.0488</v>
      </c>
      <c r="T6" s="16">
        <v>0.96609999999999996</v>
      </c>
      <c r="U6" s="16">
        <v>1.028</v>
      </c>
      <c r="V6" s="16">
        <v>0.96399999999999997</v>
      </c>
      <c r="W6" s="16">
        <v>0.97658999999999996</v>
      </c>
      <c r="X6" s="16">
        <v>0.81481000000000003</v>
      </c>
    </row>
    <row r="7" spans="1:24" ht="22.5" customHeight="1" thickTop="1" thickBot="1">
      <c r="A7" s="21">
        <v>6</v>
      </c>
      <c r="B7" s="22">
        <v>0.79569999999999996</v>
      </c>
      <c r="C7" s="22">
        <v>1.123</v>
      </c>
      <c r="D7" s="22">
        <v>1.0436000000000001</v>
      </c>
      <c r="E7" s="22">
        <v>0.80620000000000003</v>
      </c>
      <c r="F7" s="22"/>
      <c r="G7" s="22">
        <v>0.80020000000000002</v>
      </c>
      <c r="H7" s="22">
        <v>0.93340000000000001</v>
      </c>
      <c r="I7" s="22">
        <v>1.0636000000000001</v>
      </c>
      <c r="J7" s="22">
        <v>0.98939999999999995</v>
      </c>
      <c r="K7" s="22">
        <v>0.95730000000000004</v>
      </c>
      <c r="L7" s="22">
        <v>0.95599999999999996</v>
      </c>
      <c r="M7" s="16">
        <v>0.88029999999999997</v>
      </c>
      <c r="N7" s="23">
        <v>0.94799999999999995</v>
      </c>
      <c r="O7" s="23">
        <v>0.93500000000000005</v>
      </c>
      <c r="P7" s="24"/>
      <c r="Q7" s="27">
        <v>0.95454000000000006</v>
      </c>
      <c r="R7" s="23">
        <v>0.81720000000000004</v>
      </c>
      <c r="S7" s="25">
        <v>1.0481</v>
      </c>
      <c r="T7" s="22">
        <v>0.96509999999999996</v>
      </c>
      <c r="U7" s="8">
        <v>1.028</v>
      </c>
      <c r="V7" s="16">
        <v>0.96399999999999997</v>
      </c>
      <c r="W7" s="16">
        <v>0.9758</v>
      </c>
      <c r="X7" s="16">
        <v>0.81481000000000003</v>
      </c>
    </row>
    <row r="8" spans="1:24" ht="22.5" customHeight="1" thickTop="1" thickBot="1">
      <c r="A8" s="26">
        <v>7</v>
      </c>
      <c r="B8" s="27">
        <v>0.79479999999999995</v>
      </c>
      <c r="C8" s="27">
        <v>1.1222000000000001</v>
      </c>
      <c r="D8" s="27">
        <v>1.0427</v>
      </c>
      <c r="E8" s="27">
        <v>0.80510000000000004</v>
      </c>
      <c r="F8" s="27"/>
      <c r="G8" s="28">
        <v>0.79920000000000002</v>
      </c>
      <c r="H8" s="28">
        <v>0.9325</v>
      </c>
      <c r="I8" s="28">
        <v>1.0625</v>
      </c>
      <c r="J8" s="28">
        <v>0.98939999999999995</v>
      </c>
      <c r="K8" s="28">
        <v>0.95640000000000003</v>
      </c>
      <c r="L8" s="28">
        <v>0.95499999999999996</v>
      </c>
      <c r="M8" s="22">
        <v>0.88029999999999997</v>
      </c>
      <c r="N8" s="28">
        <v>0.94799999999999995</v>
      </c>
      <c r="O8" s="28">
        <v>0.93500000000000005</v>
      </c>
      <c r="P8" s="29"/>
      <c r="Q8" s="27">
        <v>0.95454000000000006</v>
      </c>
      <c r="R8" s="28">
        <v>0.81620000000000004</v>
      </c>
      <c r="S8" s="25">
        <v>1.0472999999999999</v>
      </c>
      <c r="T8" s="22">
        <v>0.96430000000000005</v>
      </c>
      <c r="U8" s="8">
        <v>1.028</v>
      </c>
      <c r="V8" s="16">
        <v>0.96399999999999997</v>
      </c>
      <c r="W8" s="16">
        <v>0.97501000000000004</v>
      </c>
      <c r="X8" s="16">
        <v>0.81481000000000003</v>
      </c>
    </row>
    <row r="9" spans="1:24" ht="22.5" customHeight="1" thickTop="1" thickBot="1">
      <c r="A9" s="26">
        <v>8</v>
      </c>
      <c r="B9" s="27">
        <v>0.79400000000000004</v>
      </c>
      <c r="C9" s="27">
        <v>1.1214</v>
      </c>
      <c r="D9" s="27">
        <v>1.0418000000000001</v>
      </c>
      <c r="E9" s="27">
        <v>0.80389999999999995</v>
      </c>
      <c r="F9" s="27"/>
      <c r="G9" s="27">
        <v>0.79820000000000002</v>
      </c>
      <c r="H9" s="27">
        <v>0.93149999999999999</v>
      </c>
      <c r="I9" s="27">
        <v>1.0613999999999999</v>
      </c>
      <c r="J9" s="27">
        <v>0.98939999999999995</v>
      </c>
      <c r="K9" s="27">
        <v>0.9556</v>
      </c>
      <c r="L9" s="27">
        <v>0.95399999999999996</v>
      </c>
      <c r="M9" s="27">
        <v>0.88029999999999997</v>
      </c>
      <c r="N9" s="28">
        <v>0.94799999999999995</v>
      </c>
      <c r="O9" s="28">
        <v>0.93500000000000005</v>
      </c>
      <c r="P9" s="29"/>
      <c r="Q9" s="27">
        <v>0.95454000000000006</v>
      </c>
      <c r="R9" s="28">
        <v>0.81520000000000004</v>
      </c>
      <c r="S9" s="27">
        <v>1.0465</v>
      </c>
      <c r="T9" s="22">
        <v>0.96330000000000005</v>
      </c>
      <c r="U9" s="8">
        <v>1.028</v>
      </c>
      <c r="V9" s="16">
        <v>0.96399999999999997</v>
      </c>
      <c r="W9" s="16">
        <v>0.97422000000000009</v>
      </c>
      <c r="X9" s="16">
        <v>0.81481000000000003</v>
      </c>
    </row>
    <row r="10" spans="1:24" ht="22.5" customHeight="1" thickTop="1" thickBot="1">
      <c r="A10" s="26">
        <v>9</v>
      </c>
      <c r="B10" s="27">
        <v>0.79310000000000003</v>
      </c>
      <c r="C10" s="27">
        <v>1.1206</v>
      </c>
      <c r="D10" s="27">
        <v>1.0408999999999999</v>
      </c>
      <c r="E10" s="27">
        <v>0.80269999999999997</v>
      </c>
      <c r="F10" s="27"/>
      <c r="G10" s="27">
        <v>0.79720000000000002</v>
      </c>
      <c r="H10" s="27">
        <v>0.93059999999999998</v>
      </c>
      <c r="I10" s="27">
        <v>1.0602</v>
      </c>
      <c r="J10" s="27">
        <v>0.98939999999999995</v>
      </c>
      <c r="K10" s="27">
        <v>0.95469999999999999</v>
      </c>
      <c r="L10" s="27">
        <v>0.95299999999999996</v>
      </c>
      <c r="M10" s="27">
        <v>0.88029999999999997</v>
      </c>
      <c r="N10" s="27">
        <v>0.94799999999999995</v>
      </c>
      <c r="O10" s="27">
        <v>0.93400000000000005</v>
      </c>
      <c r="P10" s="30"/>
      <c r="Q10" s="27">
        <v>0.95454000000000006</v>
      </c>
      <c r="R10" s="27">
        <v>0.81420000000000003</v>
      </c>
      <c r="S10" s="27">
        <v>1.0458000000000001</v>
      </c>
      <c r="T10" s="27">
        <v>0.96230000000000004</v>
      </c>
      <c r="U10" s="8">
        <v>1.028</v>
      </c>
      <c r="V10" s="16">
        <v>0.96399999999999997</v>
      </c>
      <c r="W10" s="16">
        <v>0.97343000000000013</v>
      </c>
      <c r="X10" s="16">
        <v>0.81481000000000003</v>
      </c>
    </row>
    <row r="11" spans="1:24" ht="22.5" customHeight="1" thickTop="1" thickBot="1">
      <c r="A11" s="15">
        <v>10</v>
      </c>
      <c r="B11" s="16">
        <v>0.7923</v>
      </c>
      <c r="C11" s="16">
        <v>1.1197999999999999</v>
      </c>
      <c r="D11" s="16">
        <v>1.04</v>
      </c>
      <c r="E11" s="16">
        <v>0.80159999999999998</v>
      </c>
      <c r="F11" s="16">
        <v>0.94240000000000002</v>
      </c>
      <c r="G11" s="16">
        <v>0.97619999999999996</v>
      </c>
      <c r="H11" s="16">
        <v>0.92969999999999997</v>
      </c>
      <c r="I11" s="16">
        <v>1.0590999999999999</v>
      </c>
      <c r="J11" s="16">
        <v>0.98850000000000005</v>
      </c>
      <c r="K11" s="16">
        <v>0.95379999999999998</v>
      </c>
      <c r="L11" s="16">
        <v>0.95199999999999996</v>
      </c>
      <c r="M11" s="16">
        <v>0.88029999999999997</v>
      </c>
      <c r="N11" s="16">
        <v>0.94799999999999995</v>
      </c>
      <c r="O11" s="16">
        <v>0.93400000000000005</v>
      </c>
      <c r="P11" s="16">
        <v>0.94511999999999996</v>
      </c>
      <c r="Q11" s="27">
        <v>0.95454000000000006</v>
      </c>
      <c r="R11" s="16">
        <v>0.81320000000000003</v>
      </c>
      <c r="S11" s="16">
        <v>1.0449999999999999</v>
      </c>
      <c r="T11" s="16">
        <v>0.96140000000000003</v>
      </c>
      <c r="U11" s="16">
        <v>1.028</v>
      </c>
      <c r="V11" s="16">
        <v>0.96399999999999997</v>
      </c>
      <c r="W11" s="16">
        <v>0.97264000000000017</v>
      </c>
      <c r="X11" s="16">
        <v>0.81481000000000003</v>
      </c>
    </row>
    <row r="12" spans="1:24" ht="22.5" customHeight="1" thickTop="1" thickBot="1">
      <c r="A12" s="21">
        <v>11</v>
      </c>
      <c r="B12" s="22">
        <v>0.79139999999999999</v>
      </c>
      <c r="C12" s="22">
        <v>1.119</v>
      </c>
      <c r="D12" s="22">
        <v>1.0390999999999999</v>
      </c>
      <c r="E12" s="22">
        <v>0.8004</v>
      </c>
      <c r="F12" s="22">
        <v>0.94155</v>
      </c>
      <c r="G12" s="22">
        <v>0.97519999999999996</v>
      </c>
      <c r="H12" s="22">
        <v>0.92869999999999997</v>
      </c>
      <c r="I12" s="22">
        <v>1.0580000000000001</v>
      </c>
      <c r="J12" s="22">
        <v>0.98770000000000002</v>
      </c>
      <c r="K12" s="22">
        <v>0.95299999999999996</v>
      </c>
      <c r="L12" s="22">
        <v>0.95099999999999996</v>
      </c>
      <c r="M12" s="22">
        <v>0.88029999999999997</v>
      </c>
      <c r="N12" s="22">
        <v>0.94</v>
      </c>
      <c r="O12" s="22">
        <v>0.93400000000000005</v>
      </c>
      <c r="P12" s="22">
        <v>0.94420000000000004</v>
      </c>
      <c r="Q12" s="27">
        <v>0.95454000000000006</v>
      </c>
      <c r="R12" s="31">
        <v>0.81220000000000003</v>
      </c>
      <c r="S12" s="22">
        <v>1.0442</v>
      </c>
      <c r="T12" s="22">
        <v>0.96040000000000003</v>
      </c>
      <c r="U12" s="8">
        <v>1.028</v>
      </c>
      <c r="V12" s="16">
        <v>0.96399999999999997</v>
      </c>
      <c r="W12" s="16">
        <v>0.97192000000000012</v>
      </c>
      <c r="X12" s="16">
        <v>0.8145</v>
      </c>
    </row>
    <row r="13" spans="1:24" ht="22.5" customHeight="1" thickTop="1" thickBot="1">
      <c r="A13" s="26">
        <v>12</v>
      </c>
      <c r="B13" s="27">
        <v>0.79059999999999997</v>
      </c>
      <c r="C13" s="27">
        <v>1.1182000000000001</v>
      </c>
      <c r="D13" s="27">
        <v>1.0383</v>
      </c>
      <c r="E13" s="27">
        <v>0.79930000000000001</v>
      </c>
      <c r="F13" s="27">
        <v>0.94059999999999999</v>
      </c>
      <c r="G13" s="27">
        <v>0.97419999999999995</v>
      </c>
      <c r="H13" s="27">
        <v>0.92769999999999997</v>
      </c>
      <c r="I13" s="27">
        <v>1.0569</v>
      </c>
      <c r="J13" s="27">
        <v>0.9869</v>
      </c>
      <c r="K13" s="27">
        <v>0.95209999999999995</v>
      </c>
      <c r="L13" s="27">
        <v>0.95</v>
      </c>
      <c r="M13" s="27">
        <v>0.88029999999999997</v>
      </c>
      <c r="N13" s="27">
        <v>0.94</v>
      </c>
      <c r="O13" s="27">
        <v>0.93400000000000005</v>
      </c>
      <c r="P13" s="27">
        <v>0.94320999999999999</v>
      </c>
      <c r="Q13" s="27">
        <v>0.95454000000000006</v>
      </c>
      <c r="R13" s="27">
        <v>0.81120000000000003</v>
      </c>
      <c r="S13" s="27">
        <v>1.0434000000000001</v>
      </c>
      <c r="T13" s="22">
        <v>0.96050000000000002</v>
      </c>
      <c r="U13" s="8">
        <v>1.028</v>
      </c>
      <c r="V13" s="16">
        <v>0.96399999999999997</v>
      </c>
      <c r="W13" s="16">
        <v>0.97120000000000006</v>
      </c>
      <c r="X13" s="16">
        <v>0.81410000000000005</v>
      </c>
    </row>
    <row r="14" spans="1:24" ht="22.5" customHeight="1" thickTop="1" thickBot="1">
      <c r="A14" s="26">
        <v>13</v>
      </c>
      <c r="B14" s="27">
        <v>0.78969999999999996</v>
      </c>
      <c r="C14" s="27">
        <v>1.1173999999999999</v>
      </c>
      <c r="D14" s="27">
        <v>1.0374000000000001</v>
      </c>
      <c r="E14" s="27">
        <v>0.79810000000000003</v>
      </c>
      <c r="F14" s="27">
        <v>0.93964999999999999</v>
      </c>
      <c r="G14" s="27">
        <v>0.97319999999999995</v>
      </c>
      <c r="H14" s="27">
        <v>0.92669999999999997</v>
      </c>
      <c r="I14" s="27">
        <v>1.0558000000000001</v>
      </c>
      <c r="J14" s="27">
        <v>0.98609999999999998</v>
      </c>
      <c r="K14" s="27">
        <v>0.95130000000000003</v>
      </c>
      <c r="L14" s="27">
        <v>0.94899999999999995</v>
      </c>
      <c r="M14" s="27">
        <v>0.88029999999999997</v>
      </c>
      <c r="N14" s="27">
        <v>0.94</v>
      </c>
      <c r="O14" s="27">
        <v>0.93400000000000005</v>
      </c>
      <c r="P14" s="27">
        <v>0.94220999999999999</v>
      </c>
      <c r="Q14" s="27">
        <v>0.95454000000000006</v>
      </c>
      <c r="R14" s="27">
        <v>0.81020000000000003</v>
      </c>
      <c r="S14" s="27">
        <v>1.0427</v>
      </c>
      <c r="T14" s="22">
        <v>0.95950000000000002</v>
      </c>
      <c r="U14" s="8">
        <v>1.028</v>
      </c>
      <c r="V14" s="16">
        <v>0.96399999999999997</v>
      </c>
      <c r="W14" s="16">
        <v>0.97048000000000001</v>
      </c>
      <c r="X14" s="16">
        <v>0.81369999999999998</v>
      </c>
    </row>
    <row r="15" spans="1:24" ht="22.5" customHeight="1" thickTop="1" thickBot="1">
      <c r="A15" s="32">
        <v>14</v>
      </c>
      <c r="B15" s="33">
        <v>0.78890000000000005</v>
      </c>
      <c r="C15" s="33">
        <v>1.1166</v>
      </c>
      <c r="D15" s="33">
        <v>1.0365</v>
      </c>
      <c r="E15" s="27">
        <v>0.79700000000000004</v>
      </c>
      <c r="F15" s="27">
        <v>0.93937999999999999</v>
      </c>
      <c r="G15" s="27">
        <v>0.97219999999999995</v>
      </c>
      <c r="H15" s="27">
        <v>0.92569999999999997</v>
      </c>
      <c r="I15" s="27">
        <v>1.0546</v>
      </c>
      <c r="J15" s="27">
        <v>0.98529999999999995</v>
      </c>
      <c r="K15" s="27">
        <v>0.95040000000000002</v>
      </c>
      <c r="L15" s="27">
        <v>0.94799999999999995</v>
      </c>
      <c r="M15" s="27">
        <v>0.88029999999999997</v>
      </c>
      <c r="N15" s="27">
        <v>0.94</v>
      </c>
      <c r="O15" s="27">
        <v>0.93400000000000005</v>
      </c>
      <c r="P15" s="27">
        <v>0.94116999999999995</v>
      </c>
      <c r="Q15" s="27">
        <v>0.95454000000000006</v>
      </c>
      <c r="R15" s="27">
        <v>0.80920000000000003</v>
      </c>
      <c r="S15" s="27">
        <v>1.0419</v>
      </c>
      <c r="T15" s="27">
        <v>0.95850000000000002</v>
      </c>
      <c r="U15" s="8">
        <v>1.028</v>
      </c>
      <c r="V15" s="16">
        <v>0.96399999999999997</v>
      </c>
      <c r="W15" s="16">
        <v>0.96975999999999996</v>
      </c>
      <c r="X15" s="16">
        <v>0.81330000000000002</v>
      </c>
    </row>
    <row r="16" spans="1:24" ht="22.5" customHeight="1" thickTop="1" thickBot="1">
      <c r="A16" s="15">
        <v>15</v>
      </c>
      <c r="B16" s="16">
        <v>0.78800000000000003</v>
      </c>
      <c r="C16" s="16">
        <v>1.1157999999999999</v>
      </c>
      <c r="D16" s="16">
        <v>1.0356000000000001</v>
      </c>
      <c r="E16" s="16">
        <v>0.79469999999999996</v>
      </c>
      <c r="F16" s="16">
        <v>0.93791999999999998</v>
      </c>
      <c r="G16" s="16">
        <v>0.97119999999999995</v>
      </c>
      <c r="H16" s="16">
        <v>0.92469999999999997</v>
      </c>
      <c r="I16" s="16">
        <v>1.0535000000000001</v>
      </c>
      <c r="J16" s="16">
        <v>0.98450000000000004</v>
      </c>
      <c r="K16" s="34">
        <v>0.94950000000000001</v>
      </c>
      <c r="L16" s="16">
        <v>0.94699999999999995</v>
      </c>
      <c r="M16" s="16">
        <v>0.88029999999999997</v>
      </c>
      <c r="N16" s="16">
        <v>0.94</v>
      </c>
      <c r="O16" s="16">
        <v>0.93400000000000005</v>
      </c>
      <c r="P16" s="16">
        <v>0.94037000000000004</v>
      </c>
      <c r="Q16" s="27">
        <v>0.95454000000000006</v>
      </c>
      <c r="R16" s="16">
        <v>0.80830000000000002</v>
      </c>
      <c r="S16" s="16">
        <v>1.0411999999999999</v>
      </c>
      <c r="T16" s="16">
        <v>0.95750000000000002</v>
      </c>
      <c r="U16" s="16">
        <v>1.028</v>
      </c>
      <c r="V16" s="16">
        <v>0.96399999999999997</v>
      </c>
      <c r="W16" s="16">
        <v>0.9690399999999999</v>
      </c>
      <c r="X16" s="16">
        <v>0.81293000000000004</v>
      </c>
    </row>
    <row r="17" spans="1:24" ht="22.5" customHeight="1" thickTop="1" thickBot="1">
      <c r="A17" s="21">
        <v>16</v>
      </c>
      <c r="B17" s="22">
        <v>0.78720000000000001</v>
      </c>
      <c r="C17" s="22">
        <v>1.1152</v>
      </c>
      <c r="D17" s="22">
        <v>1.0347999999999999</v>
      </c>
      <c r="E17" s="22">
        <v>0.79359999999999997</v>
      </c>
      <c r="F17" s="22">
        <v>0.93676999999999999</v>
      </c>
      <c r="G17" s="22">
        <v>0.97</v>
      </c>
      <c r="H17" s="22">
        <v>0.92369999999999997</v>
      </c>
      <c r="I17" s="22">
        <v>1.0524</v>
      </c>
      <c r="J17" s="22">
        <v>0.98370000000000002</v>
      </c>
      <c r="K17" s="35">
        <v>0.9486</v>
      </c>
      <c r="L17" s="22">
        <v>0.94599999999999995</v>
      </c>
      <c r="M17" s="22">
        <v>0.88029999999999997</v>
      </c>
      <c r="N17" s="22">
        <v>0.94</v>
      </c>
      <c r="O17" s="22">
        <v>0.93400000000000005</v>
      </c>
      <c r="P17" s="22">
        <v>0.93915999999999999</v>
      </c>
      <c r="Q17" s="27">
        <v>0.9536</v>
      </c>
      <c r="R17" s="22">
        <v>0.80740000000000001</v>
      </c>
      <c r="S17" s="22">
        <v>1.0404</v>
      </c>
      <c r="T17" s="22">
        <v>0.95650000000000002</v>
      </c>
      <c r="U17" s="8">
        <v>1.028</v>
      </c>
      <c r="V17" s="16">
        <v>0.96399999999999997</v>
      </c>
      <c r="W17" s="16">
        <v>0.96829999999999994</v>
      </c>
      <c r="X17" s="16">
        <v>0.81200000000000006</v>
      </c>
    </row>
    <row r="18" spans="1:24" ht="22.5" customHeight="1" thickTop="1" thickBot="1">
      <c r="A18" s="26">
        <v>17</v>
      </c>
      <c r="B18" s="27">
        <v>0.78639999999999999</v>
      </c>
      <c r="C18" s="27">
        <v>1.1145</v>
      </c>
      <c r="D18" s="27">
        <v>1.0339</v>
      </c>
      <c r="E18" s="27">
        <v>0.79249999999999998</v>
      </c>
      <c r="F18" s="27">
        <v>0.93696999999999997</v>
      </c>
      <c r="G18" s="27">
        <v>0.96899999999999997</v>
      </c>
      <c r="H18" s="27">
        <v>0.92269999999999996</v>
      </c>
      <c r="I18" s="27">
        <v>1.0512999999999999</v>
      </c>
      <c r="J18" s="27">
        <v>0.98260000000000003</v>
      </c>
      <c r="K18" s="36">
        <v>0.94779999999999998</v>
      </c>
      <c r="L18" s="27">
        <v>0.94499999999999995</v>
      </c>
      <c r="M18" s="27">
        <v>0.88029999999999997</v>
      </c>
      <c r="N18" s="27">
        <v>0.94</v>
      </c>
      <c r="O18" s="27">
        <v>0.93400000000000005</v>
      </c>
      <c r="P18" s="27">
        <v>0.93815000000000004</v>
      </c>
      <c r="Q18" s="27">
        <v>0.95279999999999998</v>
      </c>
      <c r="R18" s="27">
        <v>0.80649999999999999</v>
      </c>
      <c r="S18" s="27">
        <v>1.0397000000000001</v>
      </c>
      <c r="T18" s="22">
        <v>0.95489999999999997</v>
      </c>
      <c r="U18" s="8">
        <v>1.028</v>
      </c>
      <c r="V18" s="16">
        <v>0.96399999999999997</v>
      </c>
      <c r="W18" s="16">
        <v>0.96755999999999998</v>
      </c>
      <c r="X18" s="16">
        <v>0.81110000000000004</v>
      </c>
    </row>
    <row r="19" spans="1:24" ht="22.5" customHeight="1" thickTop="1" thickBot="1">
      <c r="A19" s="26">
        <v>18</v>
      </c>
      <c r="B19" s="27">
        <v>0.78569999999999995</v>
      </c>
      <c r="C19" s="27">
        <v>1.1138999999999999</v>
      </c>
      <c r="D19" s="27">
        <v>1.0330999999999999</v>
      </c>
      <c r="E19" s="27">
        <v>0.79139999999999999</v>
      </c>
      <c r="F19" s="27">
        <v>0.93486000000000002</v>
      </c>
      <c r="G19" s="27">
        <v>0.96799999999999997</v>
      </c>
      <c r="H19" s="27">
        <v>0.92169999999999996</v>
      </c>
      <c r="I19" s="27">
        <v>1.0502</v>
      </c>
      <c r="J19" s="27">
        <v>0.98209999999999997</v>
      </c>
      <c r="K19" s="36">
        <v>0.94689999999999996</v>
      </c>
      <c r="L19" s="27">
        <v>0.94399999999999995</v>
      </c>
      <c r="M19" s="27">
        <v>0.88029999999999997</v>
      </c>
      <c r="N19" s="27">
        <v>0.94</v>
      </c>
      <c r="O19" s="27">
        <v>0.93400000000000005</v>
      </c>
      <c r="P19" s="27">
        <v>0.93713999999999997</v>
      </c>
      <c r="Q19" s="27">
        <v>0.95201000000000002</v>
      </c>
      <c r="R19" s="37">
        <v>0.80569999999999997</v>
      </c>
      <c r="S19" s="27">
        <v>1.0389999999999999</v>
      </c>
      <c r="T19" s="22">
        <v>0.95320000000000005</v>
      </c>
      <c r="U19" s="8">
        <v>1.028</v>
      </c>
      <c r="V19" s="16">
        <v>0.96399999999999997</v>
      </c>
      <c r="W19" s="16">
        <v>0.96682000000000001</v>
      </c>
      <c r="X19" s="16">
        <v>0.81020000000000003</v>
      </c>
    </row>
    <row r="20" spans="1:24" ht="22.5" customHeight="1" thickTop="1" thickBot="1">
      <c r="A20" s="26">
        <v>19</v>
      </c>
      <c r="B20" s="27">
        <v>0.78490000000000004</v>
      </c>
      <c r="C20" s="27">
        <v>1.1132</v>
      </c>
      <c r="D20" s="27">
        <v>1.0322</v>
      </c>
      <c r="E20" s="27">
        <v>0.7903</v>
      </c>
      <c r="F20" s="27">
        <v>0.93391000000000002</v>
      </c>
      <c r="G20" s="27">
        <v>0.96699999999999997</v>
      </c>
      <c r="H20" s="27">
        <v>0.92069999999999996</v>
      </c>
      <c r="I20" s="27">
        <v>1.0489999999999999</v>
      </c>
      <c r="J20" s="27">
        <v>0.98129999999999995</v>
      </c>
      <c r="K20" s="36">
        <v>0.94599999999999995</v>
      </c>
      <c r="L20" s="27">
        <v>0.94299999999999995</v>
      </c>
      <c r="M20" s="27">
        <v>0.88029999999999997</v>
      </c>
      <c r="N20" s="27">
        <v>0.94</v>
      </c>
      <c r="O20" s="27">
        <v>0.93400000000000005</v>
      </c>
      <c r="P20" s="27">
        <v>0.93613000000000002</v>
      </c>
      <c r="Q20" s="27">
        <v>0.95123000000000002</v>
      </c>
      <c r="R20" s="37">
        <v>0.80479999999999996</v>
      </c>
      <c r="S20" s="27">
        <v>1.0371999999999999</v>
      </c>
      <c r="T20" s="22">
        <v>0.9516</v>
      </c>
      <c r="U20" s="8">
        <v>1.028</v>
      </c>
      <c r="V20" s="16">
        <v>0.96399999999999997</v>
      </c>
      <c r="W20" s="16">
        <v>0.96608000000000005</v>
      </c>
      <c r="X20" s="16">
        <v>0.80920000000000003</v>
      </c>
    </row>
    <row r="21" spans="1:24" ht="22.5" customHeight="1" thickTop="1" thickBot="1">
      <c r="A21" s="38">
        <v>20</v>
      </c>
      <c r="B21" s="28">
        <v>0.78410000000000002</v>
      </c>
      <c r="C21" s="28">
        <v>1.1126</v>
      </c>
      <c r="D21" s="28">
        <v>1.0314000000000001</v>
      </c>
      <c r="E21" s="18">
        <v>0.78920000000000001</v>
      </c>
      <c r="F21" s="16">
        <v>0.93288000000000004</v>
      </c>
      <c r="G21" s="18">
        <v>0.96589999999999998</v>
      </c>
      <c r="H21" s="18">
        <v>0.91969999999999996</v>
      </c>
      <c r="I21" s="18">
        <v>1.0479000000000001</v>
      </c>
      <c r="J21" s="18">
        <v>0.98050000000000004</v>
      </c>
      <c r="K21" s="39">
        <v>0.94520000000000004</v>
      </c>
      <c r="L21" s="18">
        <v>0.94199999999999995</v>
      </c>
      <c r="M21" s="40">
        <v>0.88029999999999997</v>
      </c>
      <c r="N21" s="18">
        <v>0.94</v>
      </c>
      <c r="O21" s="18">
        <v>0.93</v>
      </c>
      <c r="P21" s="16">
        <v>0.93506</v>
      </c>
      <c r="Q21" s="27">
        <v>0.95038</v>
      </c>
      <c r="R21" s="41">
        <v>0.80369999999999997</v>
      </c>
      <c r="S21" s="18">
        <v>1.0363899999999999</v>
      </c>
      <c r="T21" s="16">
        <v>0.95</v>
      </c>
      <c r="U21" s="16">
        <v>1.028</v>
      </c>
      <c r="V21" s="16">
        <v>0.96399999999999997</v>
      </c>
      <c r="W21" s="16">
        <v>0.96534000000000009</v>
      </c>
      <c r="X21" s="16">
        <v>0.80813999999999997</v>
      </c>
    </row>
    <row r="22" spans="1:24" ht="22.5" customHeight="1" thickTop="1" thickBot="1">
      <c r="A22" s="42">
        <v>21</v>
      </c>
      <c r="B22" s="43">
        <v>0.78320000000000001</v>
      </c>
      <c r="C22" s="43">
        <v>1.1119000000000001</v>
      </c>
      <c r="D22" s="43">
        <v>1.0305</v>
      </c>
      <c r="E22" s="22">
        <v>0.78800000000000003</v>
      </c>
      <c r="F22" s="22">
        <v>0.93198000000000003</v>
      </c>
      <c r="G22" s="22">
        <v>0.96489999999999998</v>
      </c>
      <c r="H22" s="22">
        <v>0.91879999999999995</v>
      </c>
      <c r="I22" s="22">
        <v>1.0468</v>
      </c>
      <c r="J22" s="22">
        <v>0.97960000000000003</v>
      </c>
      <c r="K22" s="35">
        <v>0.94430000000000003</v>
      </c>
      <c r="L22" s="22">
        <v>0.94099999999999995</v>
      </c>
      <c r="M22" s="44">
        <v>0.87909999999999999</v>
      </c>
      <c r="N22" s="22">
        <v>0.94</v>
      </c>
      <c r="O22" s="22">
        <v>0.93</v>
      </c>
      <c r="P22" s="16">
        <v>0.93506</v>
      </c>
      <c r="Q22" s="27">
        <v>0.94969000000000003</v>
      </c>
      <c r="R22" s="31">
        <v>0.80289999999999995</v>
      </c>
      <c r="S22" s="22">
        <v>1.03566</v>
      </c>
      <c r="T22" s="22">
        <v>0.94889999999999997</v>
      </c>
      <c r="U22" s="8">
        <v>1.028</v>
      </c>
      <c r="V22" s="8">
        <v>0.96079999999999999</v>
      </c>
      <c r="W22" s="52">
        <v>0.96470000000000011</v>
      </c>
      <c r="X22" s="52">
        <v>0.80730000000000002</v>
      </c>
    </row>
    <row r="23" spans="1:24" ht="22.5" customHeight="1" thickTop="1">
      <c r="A23" s="26">
        <v>22</v>
      </c>
      <c r="B23" s="27">
        <v>0.7823</v>
      </c>
      <c r="C23" s="27">
        <v>1.1111</v>
      </c>
      <c r="D23" s="27">
        <v>1.0295000000000001</v>
      </c>
      <c r="E23" s="27">
        <v>0.78680000000000005</v>
      </c>
      <c r="F23" s="27">
        <v>0.93115999999999999</v>
      </c>
      <c r="G23" s="27">
        <v>0.96379999999999999</v>
      </c>
      <c r="H23" s="27">
        <v>0.91779999999999995</v>
      </c>
      <c r="I23" s="27">
        <v>1.0457000000000001</v>
      </c>
      <c r="J23" s="27">
        <v>0.9788</v>
      </c>
      <c r="K23" s="36">
        <v>0.94330000000000003</v>
      </c>
      <c r="L23" s="27">
        <v>0.94</v>
      </c>
      <c r="M23" s="45">
        <v>0.878</v>
      </c>
      <c r="N23" s="27">
        <v>0.93200000000000005</v>
      </c>
      <c r="O23" s="27">
        <v>0.93</v>
      </c>
      <c r="P23" s="27">
        <v>0.93327000000000004</v>
      </c>
      <c r="Q23" s="27">
        <v>0.94908999999999999</v>
      </c>
      <c r="R23" s="37">
        <v>0.80179999999999996</v>
      </c>
      <c r="S23" s="27">
        <v>1.0349299999999999</v>
      </c>
      <c r="T23" s="22">
        <v>0.94730000000000003</v>
      </c>
      <c r="U23" s="8">
        <v>1.028</v>
      </c>
      <c r="V23" s="8">
        <v>0.96079999999999999</v>
      </c>
      <c r="W23" s="52">
        <v>0.96406000000000014</v>
      </c>
      <c r="X23" s="52">
        <v>0.80669999999999997</v>
      </c>
    </row>
    <row r="24" spans="1:24" ht="22.5" customHeight="1">
      <c r="A24" s="26">
        <v>23</v>
      </c>
      <c r="B24" s="27">
        <v>0.78139999999999998</v>
      </c>
      <c r="C24" s="27">
        <v>1.1104000000000001</v>
      </c>
      <c r="D24" s="27">
        <v>1.0286</v>
      </c>
      <c r="E24" s="27">
        <v>0.78559999999999997</v>
      </c>
      <c r="F24" s="27">
        <v>0.93006999999999995</v>
      </c>
      <c r="G24" s="27">
        <v>0.96220000000000006</v>
      </c>
      <c r="H24" s="27">
        <v>0.91669999999999996</v>
      </c>
      <c r="I24" s="27">
        <v>1.0446</v>
      </c>
      <c r="J24" s="27">
        <v>0.97799999999999998</v>
      </c>
      <c r="K24" s="36">
        <v>0.94240000000000002</v>
      </c>
      <c r="L24" s="27">
        <v>0.93899999999999995</v>
      </c>
      <c r="M24" s="45">
        <v>0.877</v>
      </c>
      <c r="N24" s="27">
        <v>0.93200000000000005</v>
      </c>
      <c r="O24" s="27">
        <v>0.93</v>
      </c>
      <c r="P24" s="27">
        <v>0.93208999999999997</v>
      </c>
      <c r="Q24" s="27">
        <v>0.94820000000000004</v>
      </c>
      <c r="R24" s="37">
        <v>0.80089999999999995</v>
      </c>
      <c r="S24" s="27">
        <v>1.0341899999999999</v>
      </c>
      <c r="T24" s="22">
        <v>0.94599999999999995</v>
      </c>
      <c r="U24" s="8">
        <v>1.0269999999999999</v>
      </c>
      <c r="V24" s="8">
        <v>0.96079999999999999</v>
      </c>
      <c r="W24" s="52">
        <v>0.96342000000000017</v>
      </c>
      <c r="X24" s="52">
        <v>0.80610000000000004</v>
      </c>
    </row>
    <row r="25" spans="1:24" ht="22.5" customHeight="1">
      <c r="A25" s="26">
        <v>24</v>
      </c>
      <c r="B25" s="27">
        <v>0.78049999999999997</v>
      </c>
      <c r="C25" s="27">
        <v>1.1095999999999999</v>
      </c>
      <c r="D25" s="27">
        <v>1.0276000000000001</v>
      </c>
      <c r="E25" s="27">
        <v>0.78439999999999999</v>
      </c>
      <c r="F25" s="27">
        <v>0.92910000000000004</v>
      </c>
      <c r="G25" s="27">
        <v>0.96120000000000005</v>
      </c>
      <c r="H25" s="27">
        <v>0.91569999999999996</v>
      </c>
      <c r="I25" s="27">
        <v>1.0434000000000001</v>
      </c>
      <c r="J25" s="27">
        <v>0.97719999999999996</v>
      </c>
      <c r="K25" s="36">
        <v>0.9415</v>
      </c>
      <c r="L25" s="27">
        <v>0.93799999999999994</v>
      </c>
      <c r="M25" s="45">
        <v>0.87590000000000001</v>
      </c>
      <c r="N25" s="27">
        <v>0.93200000000000005</v>
      </c>
      <c r="O25" s="27">
        <v>0.93</v>
      </c>
      <c r="P25" s="27">
        <v>0.93159999999999998</v>
      </c>
      <c r="Q25" s="27">
        <v>0.94747000000000003</v>
      </c>
      <c r="R25" s="37">
        <v>0.8</v>
      </c>
      <c r="S25" s="27">
        <v>1.03346</v>
      </c>
      <c r="T25" s="22">
        <v>0.9446</v>
      </c>
      <c r="U25" s="8">
        <v>1.026</v>
      </c>
      <c r="V25" s="8">
        <v>0.96079999999999999</v>
      </c>
      <c r="W25" s="52">
        <v>0.96278000000000019</v>
      </c>
      <c r="X25" s="52">
        <v>0.80549999999999999</v>
      </c>
    </row>
    <row r="26" spans="1:24" ht="22.5" customHeight="1" thickBot="1">
      <c r="A26" s="46">
        <v>25</v>
      </c>
      <c r="B26" s="18">
        <v>0.77959999999999996</v>
      </c>
      <c r="C26" s="18">
        <v>1.1089</v>
      </c>
      <c r="D26" s="18">
        <v>1.0266999999999999</v>
      </c>
      <c r="E26" s="18">
        <v>0.78320000000000001</v>
      </c>
      <c r="F26" s="16">
        <v>0.92813000000000001</v>
      </c>
      <c r="G26" s="18">
        <v>0.96020000000000005</v>
      </c>
      <c r="H26" s="18">
        <v>0.91469999999999996</v>
      </c>
      <c r="I26" s="18">
        <v>1.0423</v>
      </c>
      <c r="J26" s="18">
        <v>0.97640000000000005</v>
      </c>
      <c r="K26" s="39">
        <v>0.9405</v>
      </c>
      <c r="L26" s="18">
        <v>0.93700000000000006</v>
      </c>
      <c r="M26" s="40">
        <v>0.87509999999999999</v>
      </c>
      <c r="N26" s="18">
        <v>0.93</v>
      </c>
      <c r="O26" s="18">
        <v>0.92600000000000005</v>
      </c>
      <c r="P26" s="16">
        <v>0.93084</v>
      </c>
      <c r="Q26" s="27">
        <v>0.94674000000000003</v>
      </c>
      <c r="R26" s="41">
        <v>0.79910000000000003</v>
      </c>
      <c r="S26" s="18">
        <v>1.0327299999999999</v>
      </c>
      <c r="T26" s="16">
        <v>0.94330000000000003</v>
      </c>
      <c r="U26" s="16">
        <v>1.0249999999999999</v>
      </c>
      <c r="V26" s="8">
        <v>0.96079999999999999</v>
      </c>
      <c r="W26" s="52">
        <v>0.96214000000000022</v>
      </c>
      <c r="X26" s="52">
        <v>0.80493999999999999</v>
      </c>
    </row>
    <row r="27" spans="1:24" ht="22.5" customHeight="1" thickTop="1" thickBot="1">
      <c r="A27" s="21">
        <v>26</v>
      </c>
      <c r="B27" s="22">
        <v>0.77869999999999995</v>
      </c>
      <c r="C27" s="22">
        <v>1.1081000000000001</v>
      </c>
      <c r="D27" s="22">
        <v>1.0258</v>
      </c>
      <c r="E27" s="22">
        <v>0.78210000000000002</v>
      </c>
      <c r="F27" s="22">
        <v>0.92717000000000005</v>
      </c>
      <c r="G27" s="22">
        <v>0.95899999999999996</v>
      </c>
      <c r="H27" s="22">
        <v>0.91390000000000005</v>
      </c>
      <c r="I27" s="22">
        <v>1.0411999999999999</v>
      </c>
      <c r="J27" s="22">
        <v>0.97550000000000003</v>
      </c>
      <c r="K27" s="35">
        <v>0.93959999999999999</v>
      </c>
      <c r="L27" s="22">
        <v>0.93600000000000005</v>
      </c>
      <c r="M27" s="44">
        <v>0.87409999999999999</v>
      </c>
      <c r="N27" s="22">
        <v>0.93</v>
      </c>
      <c r="O27" s="22">
        <v>0.92600000000000005</v>
      </c>
      <c r="P27" s="22">
        <v>0.92906</v>
      </c>
      <c r="Q27" s="27">
        <v>0.94603000000000004</v>
      </c>
      <c r="R27" s="31">
        <v>0.79820000000000002</v>
      </c>
      <c r="S27" s="22">
        <v>1.031998</v>
      </c>
      <c r="T27" s="22">
        <v>0.94220000000000004</v>
      </c>
      <c r="U27" s="8">
        <v>1.024</v>
      </c>
      <c r="V27" s="16">
        <v>0.95760000000000001</v>
      </c>
      <c r="W27" s="52">
        <v>0.96155000000000024</v>
      </c>
      <c r="X27" s="52">
        <v>0.80459999999999998</v>
      </c>
    </row>
    <row r="28" spans="1:24" ht="22.5" customHeight="1" thickTop="1" thickBot="1">
      <c r="A28" s="26">
        <v>27</v>
      </c>
      <c r="B28" s="27">
        <v>0.77790000000000004</v>
      </c>
      <c r="C28" s="27">
        <v>1.1073999999999999</v>
      </c>
      <c r="D28" s="27">
        <v>1.0247999999999999</v>
      </c>
      <c r="E28" s="27">
        <v>0.78100000000000003</v>
      </c>
      <c r="F28" s="27">
        <v>0.92620999999999998</v>
      </c>
      <c r="G28" s="27">
        <v>0.95799999999999996</v>
      </c>
      <c r="H28" s="27">
        <v>0.91290000000000004</v>
      </c>
      <c r="I28" s="27">
        <v>1.0401</v>
      </c>
      <c r="J28" s="27">
        <v>0.97470000000000001</v>
      </c>
      <c r="K28" s="36">
        <v>0.93869999999999998</v>
      </c>
      <c r="L28" s="27">
        <v>0.93500000000000005</v>
      </c>
      <c r="M28" s="45">
        <v>0.87309999999999999</v>
      </c>
      <c r="N28" s="27">
        <v>0.93</v>
      </c>
      <c r="O28" s="27">
        <v>0.92600000000000005</v>
      </c>
      <c r="P28" s="27">
        <v>0.92805000000000004</v>
      </c>
      <c r="Q28" s="27">
        <v>0.94532000000000005</v>
      </c>
      <c r="R28" s="37">
        <v>0.79720000000000002</v>
      </c>
      <c r="S28" s="27">
        <v>1.031266</v>
      </c>
      <c r="T28" s="22">
        <v>0.94120000000000004</v>
      </c>
      <c r="U28" s="8">
        <v>1.0229999999999999</v>
      </c>
      <c r="V28" s="16">
        <v>0.95760000000000001</v>
      </c>
      <c r="W28" s="52">
        <v>0.96096000000000026</v>
      </c>
      <c r="X28" s="52">
        <v>0.80430000000000001</v>
      </c>
    </row>
    <row r="29" spans="1:24" ht="22.5" customHeight="1" thickTop="1" thickBot="1">
      <c r="A29" s="26">
        <v>28</v>
      </c>
      <c r="B29" s="27">
        <v>0.77700000000000002</v>
      </c>
      <c r="C29" s="27">
        <v>1.1066</v>
      </c>
      <c r="D29" s="27">
        <v>1.0239</v>
      </c>
      <c r="E29" s="27">
        <v>0.77980000000000005</v>
      </c>
      <c r="F29" s="27">
        <v>0.92527000000000004</v>
      </c>
      <c r="G29" s="27">
        <v>0.95699999999999996</v>
      </c>
      <c r="H29" s="27">
        <v>0.91200000000000003</v>
      </c>
      <c r="I29" s="27">
        <v>1.0389999999999999</v>
      </c>
      <c r="J29" s="27">
        <v>0.97389999999999999</v>
      </c>
      <c r="K29" s="36">
        <v>0.93779999999999997</v>
      </c>
      <c r="L29" s="27">
        <v>0.93400000000000005</v>
      </c>
      <c r="M29" s="45">
        <v>0.872</v>
      </c>
      <c r="N29" s="27">
        <v>0.93</v>
      </c>
      <c r="O29" s="27">
        <v>0.92600000000000005</v>
      </c>
      <c r="P29" s="27">
        <v>0.92706</v>
      </c>
      <c r="Q29" s="27">
        <v>0.94462000000000002</v>
      </c>
      <c r="R29" s="37">
        <v>0.79630000000000001</v>
      </c>
      <c r="S29" s="27">
        <v>1.0305340000000001</v>
      </c>
      <c r="T29" s="22">
        <v>0.94010000000000005</v>
      </c>
      <c r="U29" s="8">
        <v>1.022</v>
      </c>
      <c r="V29" s="16">
        <v>0.95760000000000001</v>
      </c>
      <c r="W29" s="52">
        <v>0.96037000000000028</v>
      </c>
      <c r="X29" s="52">
        <v>0.80400000000000005</v>
      </c>
    </row>
    <row r="30" spans="1:24" ht="22.5" customHeight="1" thickTop="1" thickBot="1">
      <c r="A30" s="26">
        <v>29</v>
      </c>
      <c r="B30" s="27">
        <v>0.7762</v>
      </c>
      <c r="C30" s="27">
        <v>1.1059000000000001</v>
      </c>
      <c r="D30" s="27">
        <v>1.0228999999999999</v>
      </c>
      <c r="E30" s="27">
        <v>0.77869999999999995</v>
      </c>
      <c r="F30" s="27">
        <v>0.92430000000000001</v>
      </c>
      <c r="G30" s="27">
        <v>0.95589999999999997</v>
      </c>
      <c r="H30" s="27">
        <v>0.91100000000000003</v>
      </c>
      <c r="I30" s="27">
        <v>1.0378000000000001</v>
      </c>
      <c r="J30" s="27">
        <v>0.97309999999999997</v>
      </c>
      <c r="K30" s="36">
        <v>0.93689999999999996</v>
      </c>
      <c r="L30" s="27">
        <v>0.93300000000000005</v>
      </c>
      <c r="M30" s="45">
        <v>0.871</v>
      </c>
      <c r="N30" s="27">
        <v>0.93</v>
      </c>
      <c r="O30" s="27">
        <v>0.92600000000000005</v>
      </c>
      <c r="P30" s="27">
        <v>0.92603000000000002</v>
      </c>
      <c r="Q30" s="27">
        <v>0.94393000000000005</v>
      </c>
      <c r="R30" s="37">
        <v>0.79549999999999998</v>
      </c>
      <c r="S30" s="27">
        <v>1.0298020000000001</v>
      </c>
      <c r="T30" s="22">
        <v>0.93910000000000005</v>
      </c>
      <c r="U30" s="8">
        <v>1.0209999999999999</v>
      </c>
      <c r="V30" s="16">
        <v>0.95760000000000001</v>
      </c>
      <c r="W30" s="52">
        <v>0.9597800000000003</v>
      </c>
      <c r="X30" s="52">
        <v>0.80369999999999997</v>
      </c>
    </row>
    <row r="31" spans="1:24" ht="22.5" customHeight="1" thickTop="1" thickBot="1">
      <c r="A31" s="38">
        <v>30</v>
      </c>
      <c r="B31" s="28">
        <v>0.77529999999999999</v>
      </c>
      <c r="C31" s="28">
        <v>1.1051</v>
      </c>
      <c r="D31" s="28">
        <v>1.022</v>
      </c>
      <c r="E31" s="18">
        <v>0.77759999999999996</v>
      </c>
      <c r="F31" s="16">
        <v>0.92340999999999995</v>
      </c>
      <c r="G31" s="18">
        <v>0.95469999999999999</v>
      </c>
      <c r="H31" s="18">
        <v>0.91</v>
      </c>
      <c r="I31" s="18">
        <v>1.0367</v>
      </c>
      <c r="J31" s="18">
        <v>0.97230000000000005</v>
      </c>
      <c r="K31" s="39">
        <v>0.93600000000000005</v>
      </c>
      <c r="L31" s="18">
        <v>0.93200000000000005</v>
      </c>
      <c r="M31" s="40">
        <v>0.86990000000000001</v>
      </c>
      <c r="N31" s="18">
        <v>0.93</v>
      </c>
      <c r="O31" s="18">
        <v>0.92200000000000004</v>
      </c>
      <c r="P31" s="16">
        <v>0.92508999999999997</v>
      </c>
      <c r="Q31" s="27">
        <v>0.94333</v>
      </c>
      <c r="R31" s="41">
        <v>0.79459999999999997</v>
      </c>
      <c r="S31" s="18">
        <v>1.0289999999999999</v>
      </c>
      <c r="T31" s="16">
        <v>0.93810000000000004</v>
      </c>
      <c r="U31" s="16">
        <v>1.02</v>
      </c>
      <c r="V31" s="16">
        <v>0.95760000000000001</v>
      </c>
      <c r="W31" s="52">
        <v>0.95919000000000032</v>
      </c>
      <c r="X31" s="52">
        <v>0.80335999999999996</v>
      </c>
    </row>
    <row r="32" spans="1:24" ht="22.5" customHeight="1" thickTop="1" thickBot="1">
      <c r="A32" s="42">
        <v>31</v>
      </c>
      <c r="B32" s="43">
        <v>0.77439999999999998</v>
      </c>
      <c r="C32" s="43">
        <v>1.1041000000000001</v>
      </c>
      <c r="D32" s="43">
        <v>1.0210999999999999</v>
      </c>
      <c r="E32" s="22">
        <v>0.77644999999999997</v>
      </c>
      <c r="F32" s="22">
        <v>0.92235</v>
      </c>
      <c r="G32" s="22">
        <v>0.95370999999999995</v>
      </c>
      <c r="H32" s="22">
        <v>0.90905000000000002</v>
      </c>
      <c r="I32" s="22">
        <v>1.0356000000000001</v>
      </c>
      <c r="J32" s="22">
        <v>0.97140000000000004</v>
      </c>
      <c r="K32" s="35">
        <v>0.93510000000000004</v>
      </c>
      <c r="L32" s="22">
        <v>0.93100000000000005</v>
      </c>
      <c r="M32" s="44">
        <v>0.86887000000000003</v>
      </c>
      <c r="N32" s="22">
        <v>0.93</v>
      </c>
      <c r="O32" s="22">
        <v>0.92279999999999995</v>
      </c>
      <c r="P32" s="22">
        <v>0.92406999999999995</v>
      </c>
      <c r="Q32" s="27">
        <v>0.94257999999999997</v>
      </c>
      <c r="R32" s="31">
        <v>0.79379999999999995</v>
      </c>
      <c r="S32" s="22">
        <v>1.028268</v>
      </c>
      <c r="T32" s="22">
        <v>0.93710000000000004</v>
      </c>
      <c r="U32" s="8">
        <v>1.0189999999999999</v>
      </c>
      <c r="V32" s="16">
        <v>0.95760000000000001</v>
      </c>
      <c r="W32" s="52">
        <v>0.95860000000000034</v>
      </c>
      <c r="X32" s="52">
        <v>0.80249999999999999</v>
      </c>
    </row>
    <row r="33" spans="1:24" ht="22.5" customHeight="1" thickTop="1" thickBot="1">
      <c r="A33" s="26">
        <v>32</v>
      </c>
      <c r="B33" s="27">
        <v>0.77349999999999997</v>
      </c>
      <c r="C33" s="27">
        <v>1.103</v>
      </c>
      <c r="D33" s="27">
        <v>1.0202</v>
      </c>
      <c r="E33" s="27">
        <v>0.77532000000000001</v>
      </c>
      <c r="F33" s="27">
        <v>0.9214</v>
      </c>
      <c r="G33" s="27">
        <v>0.95264000000000004</v>
      </c>
      <c r="H33" s="27">
        <v>0.90808</v>
      </c>
      <c r="I33" s="27">
        <v>1.0345</v>
      </c>
      <c r="J33" s="27">
        <v>0.97060000000000002</v>
      </c>
      <c r="K33" s="36">
        <v>0.93420000000000003</v>
      </c>
      <c r="L33" s="27">
        <v>0.93</v>
      </c>
      <c r="M33" s="45">
        <v>0.86782000000000004</v>
      </c>
      <c r="N33" s="27">
        <v>0.93</v>
      </c>
      <c r="O33" s="27">
        <v>0.92200000000000004</v>
      </c>
      <c r="P33" s="27">
        <v>0.92298000000000002</v>
      </c>
      <c r="Q33" s="27">
        <v>0.94189999999999996</v>
      </c>
      <c r="R33" s="37">
        <v>0.79300000000000004</v>
      </c>
      <c r="S33" s="27">
        <v>1.027536</v>
      </c>
      <c r="T33" s="22">
        <v>0.93600000000000005</v>
      </c>
      <c r="U33" s="8">
        <v>1.018</v>
      </c>
      <c r="V33" s="16">
        <v>0.95760000000000001</v>
      </c>
      <c r="W33" s="52">
        <v>0.95801000000000036</v>
      </c>
      <c r="X33" s="52">
        <v>0.80159999999999998</v>
      </c>
    </row>
    <row r="34" spans="1:24" ht="22.5" customHeight="1" thickTop="1" thickBot="1">
      <c r="A34" s="26">
        <v>33</v>
      </c>
      <c r="B34" s="27">
        <v>0.77270000000000005</v>
      </c>
      <c r="C34" s="27">
        <v>1.1020000000000001</v>
      </c>
      <c r="D34" s="27">
        <v>1.0194000000000001</v>
      </c>
      <c r="E34" s="27">
        <v>0.77419000000000004</v>
      </c>
      <c r="F34" s="27">
        <v>0.92042999999999997</v>
      </c>
      <c r="G34" s="27">
        <v>0.95157000000000003</v>
      </c>
      <c r="H34" s="27">
        <v>0.90710999999999997</v>
      </c>
      <c r="I34" s="27">
        <v>1.0334000000000001</v>
      </c>
      <c r="J34" s="27">
        <v>0.9698</v>
      </c>
      <c r="K34" s="36">
        <v>0.93330000000000002</v>
      </c>
      <c r="L34" s="27">
        <v>0.92900000000000005</v>
      </c>
      <c r="M34" s="45">
        <v>0.86677000000000004</v>
      </c>
      <c r="N34" s="27">
        <v>0.93</v>
      </c>
      <c r="O34" s="27">
        <v>0.92120000000000002</v>
      </c>
      <c r="P34" s="27">
        <v>0.92198999999999998</v>
      </c>
      <c r="Q34" s="27">
        <v>0.94125000000000003</v>
      </c>
      <c r="R34" s="37">
        <v>0.7923</v>
      </c>
      <c r="S34" s="27">
        <v>1.0268040000000001</v>
      </c>
      <c r="T34" s="22">
        <v>0.93500000000000005</v>
      </c>
      <c r="U34" s="8">
        <v>1.0169999999999999</v>
      </c>
      <c r="V34" s="16">
        <v>0.95760000000000001</v>
      </c>
      <c r="W34" s="52">
        <v>0.95742000000000038</v>
      </c>
      <c r="X34" s="52">
        <v>0.80069999999999997</v>
      </c>
    </row>
    <row r="35" spans="1:24" ht="22.5" customHeight="1" thickTop="1" thickBot="1">
      <c r="A35" s="26">
        <v>34</v>
      </c>
      <c r="B35" s="27">
        <v>0.77180000000000004</v>
      </c>
      <c r="C35" s="27">
        <v>1.1009</v>
      </c>
      <c r="D35" s="27">
        <v>1.0185</v>
      </c>
      <c r="E35" s="27">
        <v>0.77305999999999997</v>
      </c>
      <c r="F35" s="27">
        <v>0.91946000000000006</v>
      </c>
      <c r="G35" s="27">
        <v>0.95050000000000001</v>
      </c>
      <c r="H35" s="27">
        <v>0.90613999999999995</v>
      </c>
      <c r="I35" s="27">
        <v>1.0322</v>
      </c>
      <c r="J35" s="27">
        <v>0.96899999999999997</v>
      </c>
      <c r="K35" s="36">
        <v>0.93240000000000001</v>
      </c>
      <c r="L35" s="27">
        <v>0.92800000000000005</v>
      </c>
      <c r="M35" s="45">
        <v>0.86572000000000005</v>
      </c>
      <c r="N35" s="27">
        <v>0.93</v>
      </c>
      <c r="O35" s="27">
        <v>0.9204</v>
      </c>
      <c r="P35" s="27">
        <v>0.92093999999999998</v>
      </c>
      <c r="Q35" s="27">
        <v>0.94059000000000004</v>
      </c>
      <c r="R35" s="37">
        <v>0.79159999999999997</v>
      </c>
      <c r="S35" s="27">
        <f>S34-0.000732</f>
        <v>1.0260720000000001</v>
      </c>
      <c r="T35" s="22">
        <v>0.93400000000000005</v>
      </c>
      <c r="U35" s="8">
        <v>1.016</v>
      </c>
      <c r="V35" s="16">
        <v>0.95760000000000001</v>
      </c>
      <c r="W35" s="52">
        <v>0.9568300000000004</v>
      </c>
      <c r="X35" s="52">
        <v>0.79979999999999996</v>
      </c>
    </row>
    <row r="36" spans="1:24" ht="22.5" customHeight="1" thickTop="1" thickBot="1">
      <c r="A36" s="46">
        <v>35</v>
      </c>
      <c r="B36" s="18">
        <v>0.77090000000000003</v>
      </c>
      <c r="C36" s="18">
        <v>1.0999000000000001</v>
      </c>
      <c r="D36" s="18">
        <v>1.0176000000000001</v>
      </c>
      <c r="E36" s="18">
        <v>0.77193000000000001</v>
      </c>
      <c r="F36" s="16">
        <v>0.91851000000000005</v>
      </c>
      <c r="G36" s="18">
        <v>0.94943</v>
      </c>
      <c r="H36" s="18">
        <v>0.90517000000000003</v>
      </c>
      <c r="I36" s="18">
        <v>1.0310999999999999</v>
      </c>
      <c r="J36" s="18">
        <v>0.96819999999999995</v>
      </c>
      <c r="K36" s="39">
        <v>0.93149999999999999</v>
      </c>
      <c r="L36" s="18">
        <v>0.92700000000000005</v>
      </c>
      <c r="M36" s="40">
        <v>0.86467000000000005</v>
      </c>
      <c r="N36" s="18">
        <v>0.93</v>
      </c>
      <c r="O36" s="18">
        <v>0.91959999999999997</v>
      </c>
      <c r="P36" s="16">
        <v>0.91995000000000005</v>
      </c>
      <c r="Q36" s="27">
        <v>0.93994</v>
      </c>
      <c r="R36" s="41">
        <v>0.79079999999999995</v>
      </c>
      <c r="S36" s="18">
        <f>S35-0.000732</f>
        <v>1.0253400000000001</v>
      </c>
      <c r="T36" s="16">
        <v>0.93300000000000005</v>
      </c>
      <c r="U36" s="16">
        <v>1.0149999999999999</v>
      </c>
      <c r="V36" s="16">
        <v>0.95760000000000001</v>
      </c>
      <c r="W36" s="52">
        <v>0.95624000000000042</v>
      </c>
      <c r="X36" s="52">
        <v>0.79900000000000004</v>
      </c>
    </row>
    <row r="37" spans="1:24" ht="22.5" customHeight="1" thickTop="1" thickBot="1">
      <c r="A37" s="21">
        <v>36</v>
      </c>
      <c r="B37" s="22">
        <v>0.77</v>
      </c>
      <c r="C37" s="22">
        <v>1.0988</v>
      </c>
      <c r="D37" s="22">
        <v>1.0166999999999999</v>
      </c>
      <c r="E37" s="22">
        <v>0.77080000000000004</v>
      </c>
      <c r="F37" s="22">
        <v>0.91754999999999998</v>
      </c>
      <c r="G37" s="22">
        <v>0.94835999999999998</v>
      </c>
      <c r="H37" s="22">
        <v>0.9042</v>
      </c>
      <c r="I37" s="22">
        <v>1.03</v>
      </c>
      <c r="J37" s="22">
        <v>0.96730000000000005</v>
      </c>
      <c r="K37" s="35">
        <v>0.93059999999999998</v>
      </c>
      <c r="L37" s="22">
        <v>0.92600000000000005</v>
      </c>
      <c r="M37" s="44">
        <v>0.86362000000000005</v>
      </c>
      <c r="N37" s="22">
        <v>0.93</v>
      </c>
      <c r="O37" s="22">
        <v>0.91879999999999995</v>
      </c>
      <c r="P37" s="22">
        <v>0.91888999999999998</v>
      </c>
      <c r="Q37" s="27">
        <v>0.93930000000000002</v>
      </c>
      <c r="R37" s="31">
        <v>0.79008</v>
      </c>
      <c r="S37" s="22">
        <f t="shared" ref="S37:S51" si="0">S36-0.000732</f>
        <v>1.0246080000000002</v>
      </c>
      <c r="T37" s="22">
        <v>0.93194666666666703</v>
      </c>
      <c r="U37" s="8">
        <v>1.0142</v>
      </c>
      <c r="V37" s="16">
        <v>0.95760000000000001</v>
      </c>
      <c r="W37" s="52">
        <v>0.95565000000000044</v>
      </c>
      <c r="X37" s="52">
        <v>0.7984</v>
      </c>
    </row>
    <row r="38" spans="1:24" ht="22.5" customHeight="1" thickTop="1" thickBot="1">
      <c r="A38" s="26">
        <v>37</v>
      </c>
      <c r="B38" s="27">
        <v>0.76910000000000001</v>
      </c>
      <c r="C38" s="27">
        <v>1.0978000000000001</v>
      </c>
      <c r="D38" s="27">
        <v>1.0158</v>
      </c>
      <c r="E38" s="27">
        <v>0.76929999999999998</v>
      </c>
      <c r="F38" s="27">
        <v>0.91654000000000002</v>
      </c>
      <c r="G38" s="27">
        <v>0.94699999999999995</v>
      </c>
      <c r="H38" s="27">
        <v>0.90310000000000001</v>
      </c>
      <c r="I38" s="27">
        <v>1.0288999999999999</v>
      </c>
      <c r="J38" s="27">
        <v>0.96650000000000003</v>
      </c>
      <c r="K38" s="36">
        <v>0.92979999999999996</v>
      </c>
      <c r="L38" s="27">
        <v>0.92500000000000004</v>
      </c>
      <c r="M38" s="45">
        <v>0.86270000000000002</v>
      </c>
      <c r="N38" s="27">
        <v>0.92600000000000005</v>
      </c>
      <c r="O38" s="27">
        <v>0.92200000000000004</v>
      </c>
      <c r="P38" s="27">
        <v>0.91785000000000005</v>
      </c>
      <c r="Q38" s="27">
        <v>0.93864999999999998</v>
      </c>
      <c r="R38" s="37">
        <v>0.78934000000000004</v>
      </c>
      <c r="S38" s="27">
        <f t="shared" si="0"/>
        <v>1.0238760000000002</v>
      </c>
      <c r="T38" s="22">
        <v>0.930922424242424</v>
      </c>
      <c r="U38" s="8">
        <v>1.0134000000000001</v>
      </c>
      <c r="V38" s="16">
        <v>0.95760000000000001</v>
      </c>
      <c r="W38" s="52">
        <v>0.95506000000000046</v>
      </c>
      <c r="X38" s="52">
        <v>0.79779999999999995</v>
      </c>
    </row>
    <row r="39" spans="1:24" ht="22.5" customHeight="1" thickTop="1" thickBot="1">
      <c r="A39" s="26">
        <v>38</v>
      </c>
      <c r="B39" s="27">
        <v>0.76829999999999998</v>
      </c>
      <c r="C39" s="27">
        <v>1.0967</v>
      </c>
      <c r="D39" s="27">
        <v>1.0149999999999999</v>
      </c>
      <c r="E39" s="27">
        <v>0.7681</v>
      </c>
      <c r="F39" s="27">
        <v>0.91556999999999999</v>
      </c>
      <c r="G39" s="27">
        <v>0.94589999999999996</v>
      </c>
      <c r="H39" s="27">
        <v>0.90210000000000001</v>
      </c>
      <c r="I39" s="27">
        <v>1.0278</v>
      </c>
      <c r="J39" s="27">
        <v>0.9657</v>
      </c>
      <c r="K39" s="36">
        <v>0.92889999999999995</v>
      </c>
      <c r="L39" s="27">
        <v>0.92400000000000004</v>
      </c>
      <c r="M39" s="45">
        <v>0.86170000000000002</v>
      </c>
      <c r="N39" s="27">
        <v>0.92600000000000005</v>
      </c>
      <c r="O39" s="27">
        <v>0.92200000000000004</v>
      </c>
      <c r="P39" s="27">
        <v>0.91686000000000001</v>
      </c>
      <c r="Q39" s="27">
        <v>0.93801999999999996</v>
      </c>
      <c r="R39" s="37">
        <v>0.78859999999999997</v>
      </c>
      <c r="S39" s="27">
        <f t="shared" si="0"/>
        <v>1.0231440000000003</v>
      </c>
      <c r="T39" s="22">
        <v>0.92989818181818196</v>
      </c>
      <c r="U39" s="8">
        <v>1.0125999999999999</v>
      </c>
      <c r="V39" s="16">
        <v>0.95760000000000001</v>
      </c>
      <c r="W39" s="52">
        <v>0.95447000000000048</v>
      </c>
      <c r="X39" s="52">
        <v>0.79720000000000002</v>
      </c>
    </row>
    <row r="40" spans="1:24" ht="22.5" customHeight="1" thickTop="1" thickBot="1">
      <c r="A40" s="26">
        <v>39</v>
      </c>
      <c r="B40" s="27">
        <v>0.76739999999999997</v>
      </c>
      <c r="C40" s="27">
        <v>1.0956999999999999</v>
      </c>
      <c r="D40" s="27">
        <v>1.0141</v>
      </c>
      <c r="E40" s="27">
        <v>0.76700000000000002</v>
      </c>
      <c r="F40" s="27">
        <v>0.91459999999999997</v>
      </c>
      <c r="G40" s="27">
        <v>0.94489999999999996</v>
      </c>
      <c r="H40" s="27">
        <v>0.90110000000000001</v>
      </c>
      <c r="I40" s="27">
        <v>1.0266</v>
      </c>
      <c r="J40" s="27">
        <v>0.96489999999999998</v>
      </c>
      <c r="K40" s="36">
        <v>0.92810000000000004</v>
      </c>
      <c r="L40" s="27">
        <v>0.92300000000000004</v>
      </c>
      <c r="M40" s="45">
        <v>0.86070000000000002</v>
      </c>
      <c r="N40" s="27">
        <v>0.92600000000000005</v>
      </c>
      <c r="O40" s="27">
        <v>0.92200000000000004</v>
      </c>
      <c r="P40" s="27">
        <v>0.91579999999999995</v>
      </c>
      <c r="Q40" s="27">
        <v>0.93740000000000001</v>
      </c>
      <c r="R40" s="37">
        <v>0.78786</v>
      </c>
      <c r="S40" s="27">
        <f t="shared" si="0"/>
        <v>1.0224120000000003</v>
      </c>
      <c r="T40" s="22">
        <v>0.92887393939393903</v>
      </c>
      <c r="U40" s="8">
        <v>1.0118</v>
      </c>
      <c r="V40" s="16">
        <v>0.95760000000000001</v>
      </c>
      <c r="W40" s="52">
        <v>0.95388000000000051</v>
      </c>
      <c r="X40" s="52">
        <v>0.79659999999999997</v>
      </c>
    </row>
    <row r="41" spans="1:24" ht="22.5" customHeight="1" thickTop="1" thickBot="1">
      <c r="A41" s="46">
        <v>40</v>
      </c>
      <c r="B41" s="18">
        <v>0.76649999999999996</v>
      </c>
      <c r="C41" s="18">
        <v>1.0946</v>
      </c>
      <c r="D41" s="18">
        <v>1.0132000000000001</v>
      </c>
      <c r="E41" s="18">
        <v>0.76580000000000004</v>
      </c>
      <c r="F41" s="16">
        <v>0.91366000000000003</v>
      </c>
      <c r="G41" s="18">
        <v>0.94389999999999996</v>
      </c>
      <c r="H41" s="18">
        <v>0.9002</v>
      </c>
      <c r="I41" s="18">
        <v>1.0255000000000001</v>
      </c>
      <c r="J41" s="18">
        <v>0.96409999999999996</v>
      </c>
      <c r="K41" s="39">
        <v>0.92720000000000002</v>
      </c>
      <c r="L41" s="18">
        <v>0.92200000000000004</v>
      </c>
      <c r="M41" s="40">
        <v>0.85970000000000002</v>
      </c>
      <c r="N41" s="18">
        <v>0.92600000000000005</v>
      </c>
      <c r="O41" s="18">
        <v>0.92200000000000004</v>
      </c>
      <c r="P41" s="16">
        <v>0.91478000000000004</v>
      </c>
      <c r="Q41" s="27">
        <v>0.93681999999999999</v>
      </c>
      <c r="R41" s="41">
        <v>0.78712000000000004</v>
      </c>
      <c r="S41" s="18">
        <f t="shared" si="0"/>
        <v>1.0216800000000004</v>
      </c>
      <c r="T41" s="16">
        <v>0.92784969696969699</v>
      </c>
      <c r="U41" s="16">
        <v>1.0109999999999999</v>
      </c>
      <c r="V41" s="16">
        <v>0.95760000000000001</v>
      </c>
      <c r="W41" s="52">
        <v>0.95329000000000053</v>
      </c>
      <c r="X41" s="52">
        <v>0.79620000000000002</v>
      </c>
    </row>
    <row r="42" spans="1:24" ht="22.5" customHeight="1" thickTop="1" thickBot="1">
      <c r="A42" s="21">
        <v>41</v>
      </c>
      <c r="B42" s="22">
        <v>0.76559999999999995</v>
      </c>
      <c r="C42" s="22">
        <v>1.0935999999999999</v>
      </c>
      <c r="D42" s="22">
        <v>1.0123</v>
      </c>
      <c r="E42" s="22">
        <v>0.76459999999999995</v>
      </c>
      <c r="F42" s="22">
        <v>0.91269</v>
      </c>
      <c r="G42" s="22">
        <v>0.94289999999999996</v>
      </c>
      <c r="H42" s="22">
        <v>0.8992</v>
      </c>
      <c r="I42" s="22">
        <v>1.0244</v>
      </c>
      <c r="J42" s="22">
        <v>0.96330000000000005</v>
      </c>
      <c r="K42" s="22">
        <v>0.9264</v>
      </c>
      <c r="L42" s="22">
        <v>0.92100000000000004</v>
      </c>
      <c r="M42" s="44">
        <v>0.85870000000000002</v>
      </c>
      <c r="N42" s="22">
        <v>0.92600000000000005</v>
      </c>
      <c r="O42" s="22">
        <v>0.92200000000000004</v>
      </c>
      <c r="P42" s="22">
        <v>0.91374999999999995</v>
      </c>
      <c r="Q42" s="27">
        <v>0.93681999999999999</v>
      </c>
      <c r="R42" s="31">
        <v>0.78637999999999997</v>
      </c>
      <c r="S42" s="22">
        <f t="shared" si="0"/>
        <v>1.0209480000000004</v>
      </c>
      <c r="T42" s="22">
        <v>0.92682545454545395</v>
      </c>
      <c r="U42" s="8">
        <v>1.0098</v>
      </c>
      <c r="V42" s="16">
        <v>0.95760000000000001</v>
      </c>
      <c r="W42" s="52">
        <v>0.95329000000000053</v>
      </c>
      <c r="X42" s="52">
        <v>0.79620000000000002</v>
      </c>
    </row>
    <row r="43" spans="1:24" ht="22.5" customHeight="1" thickTop="1" thickBot="1">
      <c r="A43" s="26">
        <v>42</v>
      </c>
      <c r="B43" s="27">
        <v>0.76470000000000005</v>
      </c>
      <c r="C43" s="27">
        <v>1.0925</v>
      </c>
      <c r="D43" s="27">
        <v>1.0114000000000001</v>
      </c>
      <c r="E43" s="27">
        <v>0.76349999999999996</v>
      </c>
      <c r="F43" s="27">
        <v>0.91171999999999997</v>
      </c>
      <c r="G43" s="22">
        <v>0.94189999999999996</v>
      </c>
      <c r="H43" s="22">
        <v>0.8982</v>
      </c>
      <c r="I43" s="22">
        <v>1.0233000000000001</v>
      </c>
      <c r="J43" s="27">
        <v>0.96250000000000002</v>
      </c>
      <c r="K43" s="22">
        <v>0.92549999999999999</v>
      </c>
      <c r="L43" s="22">
        <v>0.92</v>
      </c>
      <c r="M43" s="45">
        <v>0.85770000000000002</v>
      </c>
      <c r="N43" s="22">
        <v>0.92600000000000005</v>
      </c>
      <c r="O43" s="27">
        <v>0.92200000000000004</v>
      </c>
      <c r="P43" s="27">
        <v>0.91273000000000004</v>
      </c>
      <c r="Q43" s="27">
        <v>0.93681999999999999</v>
      </c>
      <c r="R43" s="37">
        <v>0.78564000000000001</v>
      </c>
      <c r="S43" s="27">
        <f t="shared" si="0"/>
        <v>1.0202160000000005</v>
      </c>
      <c r="T43" s="22">
        <v>0.92580121212121202</v>
      </c>
      <c r="U43" s="8">
        <v>1.0085999999999999</v>
      </c>
      <c r="V43" s="16">
        <v>0.95760000000000001</v>
      </c>
      <c r="W43" s="52">
        <v>0.95329000000000053</v>
      </c>
      <c r="X43" s="52">
        <v>0.79620000000000002</v>
      </c>
    </row>
    <row r="44" spans="1:24" ht="22.5" customHeight="1" thickTop="1" thickBot="1">
      <c r="A44" s="26">
        <v>43</v>
      </c>
      <c r="B44" s="27">
        <v>0.76390000000000002</v>
      </c>
      <c r="C44" s="27">
        <v>1.0914999999999999</v>
      </c>
      <c r="D44" s="27">
        <v>1.0105999999999999</v>
      </c>
      <c r="E44" s="27">
        <v>0.76229999999999998</v>
      </c>
      <c r="F44" s="27">
        <v>0.91073000000000004</v>
      </c>
      <c r="G44" s="27">
        <v>0.94089999999999996</v>
      </c>
      <c r="H44" s="27">
        <v>0.8972</v>
      </c>
      <c r="I44" s="27">
        <v>1.0222</v>
      </c>
      <c r="J44" s="27">
        <v>0.9617</v>
      </c>
      <c r="K44" s="27">
        <v>0.92459999999999998</v>
      </c>
      <c r="L44" s="27">
        <v>0.91900000000000004</v>
      </c>
      <c r="M44" s="45">
        <v>0.85670000000000002</v>
      </c>
      <c r="N44" s="22">
        <v>0.92600000000000005</v>
      </c>
      <c r="O44" s="27">
        <v>0.92200000000000004</v>
      </c>
      <c r="P44" s="27">
        <v>0.91168000000000005</v>
      </c>
      <c r="Q44" s="27">
        <v>0.93681999999999999</v>
      </c>
      <c r="R44" s="37">
        <v>0.78490000000000004</v>
      </c>
      <c r="S44" s="27">
        <f t="shared" si="0"/>
        <v>1.0194840000000005</v>
      </c>
      <c r="T44" s="22">
        <v>0.92477696969696899</v>
      </c>
      <c r="U44" s="8">
        <v>1.0074000000000001</v>
      </c>
      <c r="V44" s="16">
        <v>0.95760000000000001</v>
      </c>
      <c r="W44" s="52">
        <v>0.95329000000000053</v>
      </c>
      <c r="X44" s="52">
        <v>0.79620000000000002</v>
      </c>
    </row>
    <row r="45" spans="1:24" ht="22.5" customHeight="1" thickTop="1" thickBot="1">
      <c r="A45" s="26">
        <v>44</v>
      </c>
      <c r="B45" s="27">
        <v>0.76300000000000001</v>
      </c>
      <c r="C45" s="27">
        <v>1.0904</v>
      </c>
      <c r="D45" s="27">
        <v>1.0097</v>
      </c>
      <c r="E45" s="27">
        <v>0.76119999999999999</v>
      </c>
      <c r="F45" s="27">
        <v>0.90983999999999998</v>
      </c>
      <c r="G45" s="27">
        <v>0.93389999999999995</v>
      </c>
      <c r="H45" s="22">
        <v>0.8962</v>
      </c>
      <c r="I45" s="22">
        <v>1.0209999999999999</v>
      </c>
      <c r="J45" s="27">
        <v>0.96089999999999998</v>
      </c>
      <c r="K45" s="27">
        <v>0.92369999999999997</v>
      </c>
      <c r="L45" s="27">
        <v>0.91800000000000004</v>
      </c>
      <c r="M45" s="45">
        <v>0.85570000000000002</v>
      </c>
      <c r="N45" s="22">
        <v>0.92600000000000005</v>
      </c>
      <c r="O45" s="27">
        <v>0.92200000000000004</v>
      </c>
      <c r="P45" s="27">
        <v>0.91064999999999996</v>
      </c>
      <c r="Q45" s="27">
        <v>0.93681999999999999</v>
      </c>
      <c r="R45" s="37">
        <v>0.78415999999999997</v>
      </c>
      <c r="S45" s="27">
        <f t="shared" si="0"/>
        <v>1.0187520000000005</v>
      </c>
      <c r="T45" s="22">
        <v>0.92375272727272695</v>
      </c>
      <c r="U45" s="8">
        <v>1.0062</v>
      </c>
      <c r="V45" s="16">
        <v>0.95760000000000001</v>
      </c>
      <c r="W45" s="52">
        <v>0.95329000000000053</v>
      </c>
      <c r="X45" s="52">
        <v>0.79620000000000002</v>
      </c>
    </row>
    <row r="46" spans="1:24" ht="22.5" customHeight="1" thickTop="1" thickBot="1">
      <c r="A46" s="46">
        <v>45</v>
      </c>
      <c r="B46" s="18">
        <v>0.7621</v>
      </c>
      <c r="C46" s="18">
        <v>1.0893999999999999</v>
      </c>
      <c r="D46" s="18">
        <v>1.0087999999999999</v>
      </c>
      <c r="E46" s="18">
        <v>0.76</v>
      </c>
      <c r="F46" s="16">
        <v>0.90878000000000003</v>
      </c>
      <c r="G46" s="18">
        <v>0.93889999999999996</v>
      </c>
      <c r="H46" s="18">
        <v>0.8952</v>
      </c>
      <c r="I46" s="18">
        <v>1.0199</v>
      </c>
      <c r="J46" s="18">
        <v>0.96009999999999995</v>
      </c>
      <c r="K46" s="18">
        <v>0.92279999999999995</v>
      </c>
      <c r="L46" s="18">
        <v>0.91700000000000004</v>
      </c>
      <c r="M46" s="40">
        <v>0.85470000000000002</v>
      </c>
      <c r="N46" s="16">
        <v>0.92600000000000005</v>
      </c>
      <c r="O46" s="18">
        <v>0.92200000000000004</v>
      </c>
      <c r="P46" s="16">
        <v>0.90963000000000005</v>
      </c>
      <c r="Q46" s="27">
        <v>0.93681999999999999</v>
      </c>
      <c r="R46" s="41">
        <v>0.78342000000000001</v>
      </c>
      <c r="S46" s="18">
        <f t="shared" si="0"/>
        <v>1.0180200000000006</v>
      </c>
      <c r="T46" s="16">
        <v>0.92272848484848502</v>
      </c>
      <c r="U46" s="16">
        <v>1.0049999999999999</v>
      </c>
      <c r="V46" s="16">
        <v>0.95760000000000001</v>
      </c>
      <c r="W46" s="52">
        <v>0.95329000000000053</v>
      </c>
      <c r="X46" s="52">
        <v>0.79620000000000002</v>
      </c>
    </row>
    <row r="47" spans="1:24" ht="17.399999999999999" thickTop="1" thickBot="1">
      <c r="A47" s="47">
        <v>46</v>
      </c>
      <c r="B47" s="22">
        <v>0.76124999999999998</v>
      </c>
      <c r="C47" s="22">
        <v>1.08833</v>
      </c>
      <c r="D47" s="22">
        <v>1.0079499999999999</v>
      </c>
      <c r="E47" s="22">
        <v>0.75887000000000004</v>
      </c>
      <c r="F47" s="22">
        <v>0.90781999999999996</v>
      </c>
      <c r="G47" s="22">
        <v>0.93489999999999995</v>
      </c>
      <c r="H47" s="22">
        <v>0.89419999999999999</v>
      </c>
      <c r="I47" s="22">
        <v>1.0187999999999999</v>
      </c>
      <c r="J47" s="22">
        <v>0.95930000000000004</v>
      </c>
      <c r="K47" s="22">
        <v>0.92190000000000005</v>
      </c>
      <c r="L47" s="22">
        <v>0.91600000000000004</v>
      </c>
      <c r="M47" s="44">
        <v>0.85370000000000001</v>
      </c>
      <c r="N47" s="22">
        <v>0.92600000000000005</v>
      </c>
      <c r="O47" s="22">
        <v>0.92200000000000004</v>
      </c>
      <c r="P47" s="22">
        <v>0.90856000000000003</v>
      </c>
      <c r="Q47" s="27">
        <v>0.93681999999999999</v>
      </c>
      <c r="R47" s="31">
        <v>0.78268000000000004</v>
      </c>
      <c r="S47" s="22">
        <f t="shared" si="0"/>
        <v>1.0172880000000006</v>
      </c>
      <c r="T47" s="22">
        <v>0.92170424242424398</v>
      </c>
      <c r="U47" s="8">
        <v>1.0038</v>
      </c>
      <c r="V47" s="16">
        <v>0.95760000000000001</v>
      </c>
      <c r="W47" s="52">
        <v>0.95329000000000053</v>
      </c>
      <c r="X47" s="52">
        <v>0.79620000000000002</v>
      </c>
    </row>
    <row r="48" spans="1:24" ht="17.399999999999999" thickTop="1" thickBot="1">
      <c r="A48" s="47">
        <v>47</v>
      </c>
      <c r="B48" s="27">
        <v>0.76037999999999994</v>
      </c>
      <c r="C48" s="27">
        <v>1.08728</v>
      </c>
      <c r="D48" s="27">
        <v>1.00708</v>
      </c>
      <c r="E48" s="27">
        <v>0.75771999999999995</v>
      </c>
      <c r="F48" s="27">
        <v>0.90683000000000002</v>
      </c>
      <c r="G48" s="22">
        <v>0.93330000000000002</v>
      </c>
      <c r="H48" s="22">
        <v>0.89319999999999999</v>
      </c>
      <c r="I48" s="22">
        <v>1.0177</v>
      </c>
      <c r="J48" s="27">
        <v>0.95850000000000002</v>
      </c>
      <c r="K48" s="22">
        <v>0.92100000000000004</v>
      </c>
      <c r="L48" s="22">
        <v>0.91500000000000004</v>
      </c>
      <c r="M48" s="45">
        <v>0.85270000000000001</v>
      </c>
      <c r="N48" s="22">
        <v>0.92600000000000005</v>
      </c>
      <c r="O48" s="27">
        <v>0.92200000000000004</v>
      </c>
      <c r="P48" s="27">
        <v>0.90751999999999999</v>
      </c>
      <c r="Q48" s="27">
        <v>0.93681999999999999</v>
      </c>
      <c r="R48" s="37">
        <v>0.78193999999999997</v>
      </c>
      <c r="S48" s="27">
        <f t="shared" si="0"/>
        <v>1.0165560000000007</v>
      </c>
      <c r="T48" s="22">
        <v>0.92068000000000205</v>
      </c>
      <c r="U48" s="8">
        <v>1.0025999999999999</v>
      </c>
      <c r="V48" s="16">
        <v>0.95760000000000001</v>
      </c>
      <c r="W48" s="52">
        <v>0.95329000000000053</v>
      </c>
      <c r="X48" s="52">
        <v>0.79620000000000002</v>
      </c>
    </row>
    <row r="49" spans="1:24" ht="17.399999999999999" thickTop="1" thickBot="1">
      <c r="A49" s="47">
        <v>48</v>
      </c>
      <c r="B49" s="27">
        <v>0.75951000000000002</v>
      </c>
      <c r="C49" s="27">
        <v>1.08623</v>
      </c>
      <c r="D49" s="27">
        <v>1.00621</v>
      </c>
      <c r="E49" s="27">
        <v>0.75656999999999996</v>
      </c>
      <c r="F49" s="27">
        <v>0.90585000000000004</v>
      </c>
      <c r="G49" s="27">
        <v>0.93169999999999997</v>
      </c>
      <c r="H49" s="27">
        <v>0.89219999999999999</v>
      </c>
      <c r="I49" s="27">
        <v>1.0165999999999999</v>
      </c>
      <c r="J49" s="27">
        <v>0.9577</v>
      </c>
      <c r="K49" s="27">
        <v>0.92010000000000003</v>
      </c>
      <c r="L49" s="27">
        <v>0.91400000000000003</v>
      </c>
      <c r="M49" s="45">
        <v>0.85170000000000001</v>
      </c>
      <c r="N49" s="22">
        <v>0.92600000000000005</v>
      </c>
      <c r="O49" s="27">
        <v>0.92200000000000004</v>
      </c>
      <c r="P49" s="27">
        <v>0.90647999999999995</v>
      </c>
      <c r="Q49" s="27">
        <v>0.93681999999999999</v>
      </c>
      <c r="R49" s="37">
        <v>0.78120000000000001</v>
      </c>
      <c r="S49" s="27">
        <f t="shared" si="0"/>
        <v>1.0158240000000007</v>
      </c>
      <c r="T49" s="22">
        <v>0.91965575757576001</v>
      </c>
      <c r="U49" s="8">
        <v>1.0014000000000001</v>
      </c>
      <c r="V49" s="16">
        <v>0.95760000000000001</v>
      </c>
      <c r="W49" s="52">
        <v>0.95329000000000053</v>
      </c>
      <c r="X49" s="52">
        <v>0.79620000000000002</v>
      </c>
    </row>
    <row r="50" spans="1:24" ht="17.399999999999999" thickTop="1" thickBot="1">
      <c r="A50" s="47">
        <v>49</v>
      </c>
      <c r="B50" s="27">
        <v>0.75863999999999998</v>
      </c>
      <c r="C50" s="27">
        <v>1.08518</v>
      </c>
      <c r="D50" s="27">
        <v>1.0053399999999999</v>
      </c>
      <c r="E50" s="27">
        <v>0.75541999999999998</v>
      </c>
      <c r="F50" s="27">
        <v>0.90488000000000002</v>
      </c>
      <c r="G50" s="27">
        <v>0.93010000000000004</v>
      </c>
      <c r="H50" s="22">
        <v>0.89119999999999999</v>
      </c>
      <c r="I50" s="22">
        <v>1.0154000000000001</v>
      </c>
      <c r="J50" s="27">
        <v>0.95689999999999997</v>
      </c>
      <c r="K50" s="27">
        <v>0.91920000000000002</v>
      </c>
      <c r="L50" s="27">
        <v>0.91300000000000003</v>
      </c>
      <c r="M50" s="45">
        <v>0.85070000000000001</v>
      </c>
      <c r="N50" s="22">
        <v>0.92600000000000005</v>
      </c>
      <c r="O50" s="27">
        <v>0.92200000000000004</v>
      </c>
      <c r="P50" s="27">
        <v>0.90542999999999996</v>
      </c>
      <c r="Q50" s="27">
        <v>0.93681999999999999</v>
      </c>
      <c r="R50" s="37">
        <v>0.78046000000000004</v>
      </c>
      <c r="S50" s="27">
        <f t="shared" si="0"/>
        <v>1.0150920000000008</v>
      </c>
      <c r="T50" s="22">
        <v>0.91863151515151897</v>
      </c>
      <c r="U50" s="8">
        <v>1.0002</v>
      </c>
      <c r="V50" s="16">
        <v>0.95760000000000001</v>
      </c>
      <c r="W50" s="52">
        <v>0.95329000000000053</v>
      </c>
      <c r="X50" s="52">
        <v>0.79620000000000002</v>
      </c>
    </row>
    <row r="51" spans="1:24" ht="17.399999999999999" thickTop="1" thickBot="1">
      <c r="A51" s="48">
        <v>50</v>
      </c>
      <c r="B51" s="18">
        <v>0.75777000000000005</v>
      </c>
      <c r="C51" s="18">
        <v>1.08413</v>
      </c>
      <c r="D51" s="18">
        <v>1.00447</v>
      </c>
      <c r="E51" s="18">
        <v>0.75427</v>
      </c>
      <c r="F51" s="16">
        <v>0.90390999999999999</v>
      </c>
      <c r="G51" s="18">
        <v>0.92849999999999999</v>
      </c>
      <c r="H51" s="18">
        <v>0.89019999999999999</v>
      </c>
      <c r="I51" s="18">
        <v>1.0143</v>
      </c>
      <c r="J51" s="18">
        <v>0.95609999999999995</v>
      </c>
      <c r="K51" s="18">
        <v>0.91830000000000001</v>
      </c>
      <c r="L51" s="18">
        <v>0.91200000000000003</v>
      </c>
      <c r="M51" s="40">
        <v>0.84970000000000001</v>
      </c>
      <c r="N51" s="16">
        <v>0.92600000000000005</v>
      </c>
      <c r="O51" s="18">
        <v>0.92200000000000004</v>
      </c>
      <c r="P51" s="16">
        <v>0.90439000000000003</v>
      </c>
      <c r="Q51" s="27">
        <v>0.93681999999999999</v>
      </c>
      <c r="R51" s="41">
        <v>0.77971999999999997</v>
      </c>
      <c r="S51" s="18">
        <f t="shared" si="0"/>
        <v>1.0143600000000008</v>
      </c>
      <c r="T51" s="16">
        <v>0.91760727272727705</v>
      </c>
      <c r="U51" s="16">
        <v>0.999</v>
      </c>
      <c r="V51" s="16">
        <v>0.95760000000000001</v>
      </c>
      <c r="W51" s="52">
        <v>0.95329000000000053</v>
      </c>
      <c r="X51" s="52">
        <v>0.79620000000000002</v>
      </c>
    </row>
    <row r="52" spans="1:24" ht="17.399999999999999" thickTop="1" thickBot="1">
      <c r="A52" s="48">
        <v>51</v>
      </c>
      <c r="B52" s="49"/>
      <c r="C52" s="49"/>
      <c r="D52" s="49"/>
      <c r="E52" s="49"/>
      <c r="F52" s="49"/>
      <c r="G52" s="49"/>
      <c r="H52" s="49"/>
      <c r="I52" s="49">
        <v>1.0132000000000001</v>
      </c>
      <c r="J52" s="49"/>
      <c r="U52" s="8"/>
    </row>
    <row r="53" spans="1:24" ht="17.399999999999999" thickTop="1" thickBot="1">
      <c r="A53" s="48">
        <v>52</v>
      </c>
      <c r="I53" s="47">
        <v>1.0121</v>
      </c>
      <c r="U53" s="8"/>
    </row>
    <row r="54" spans="1:24" ht="17.399999999999999" thickTop="1" thickBot="1">
      <c r="A54" s="48">
        <v>53</v>
      </c>
      <c r="I54" s="47">
        <v>1.0109999999999999</v>
      </c>
      <c r="U54" s="8"/>
    </row>
    <row r="55" spans="1:24" ht="17.399999999999999" thickTop="1" thickBot="1">
      <c r="A55" s="48">
        <v>54</v>
      </c>
      <c r="I55" s="47">
        <v>1.0098</v>
      </c>
      <c r="U55" s="8"/>
    </row>
    <row r="56" spans="1:24" ht="17.399999999999999" thickTop="1" thickBot="1">
      <c r="A56" s="48">
        <v>55</v>
      </c>
      <c r="I56" s="47">
        <v>1.0086999999999999</v>
      </c>
      <c r="U56" s="8"/>
    </row>
    <row r="57" spans="1:24" ht="17.399999999999999" thickTop="1" thickBot="1">
      <c r="A57" s="48">
        <v>56</v>
      </c>
      <c r="I57" s="47">
        <v>1.0076000000000001</v>
      </c>
      <c r="U57" s="8"/>
    </row>
    <row r="58" spans="1:24" ht="17.399999999999999" thickTop="1" thickBot="1">
      <c r="A58" s="48">
        <v>57</v>
      </c>
      <c r="I58" s="47">
        <v>1.0065</v>
      </c>
      <c r="U58" s="8"/>
    </row>
    <row r="59" spans="1:24" ht="17.399999999999999" thickTop="1" thickBot="1">
      <c r="A59" s="48">
        <v>58</v>
      </c>
      <c r="I59" s="47">
        <v>1.0054000000000001</v>
      </c>
      <c r="U59" s="8"/>
    </row>
    <row r="60" spans="1:24" ht="17.399999999999999" thickTop="1" thickBot="1">
      <c r="A60" s="48">
        <v>59</v>
      </c>
      <c r="I60" s="47">
        <v>1.0042</v>
      </c>
      <c r="U60" s="8"/>
    </row>
    <row r="61" spans="1:24" ht="17.399999999999999" thickTop="1" thickBot="1">
      <c r="A61" s="48">
        <v>60</v>
      </c>
      <c r="I61" s="47">
        <v>1.0031000000000001</v>
      </c>
      <c r="U61" s="8"/>
    </row>
    <row r="62" spans="1:24" ht="16.8" thickTop="1">
      <c r="U62" s="8"/>
    </row>
    <row r="63" spans="1:24">
      <c r="U63" s="8"/>
    </row>
    <row r="64" spans="1:24">
      <c r="U64" s="8"/>
    </row>
    <row r="65" spans="21:21">
      <c r="U65" s="8"/>
    </row>
    <row r="66" spans="21:21">
      <c r="U66" s="8"/>
    </row>
    <row r="67" spans="21:21">
      <c r="U67" s="8"/>
    </row>
    <row r="68" spans="21:21">
      <c r="U68" s="8"/>
    </row>
    <row r="69" spans="21:21">
      <c r="U69" s="8"/>
    </row>
    <row r="70" spans="21:21">
      <c r="U70" s="8"/>
    </row>
    <row r="71" spans="21:21">
      <c r="U71" s="8"/>
    </row>
    <row r="72" spans="21:21">
      <c r="U72" s="8"/>
    </row>
    <row r="73" spans="21:21">
      <c r="U73" s="8"/>
    </row>
    <row r="74" spans="21:21">
      <c r="U74" s="8"/>
    </row>
    <row r="75" spans="21:21">
      <c r="U75" s="8"/>
    </row>
    <row r="76" spans="21:21">
      <c r="U76" s="8"/>
    </row>
    <row r="77" spans="21:21">
      <c r="U77" s="8"/>
    </row>
    <row r="78" spans="21:21">
      <c r="U78" s="8"/>
    </row>
    <row r="79" spans="21:21">
      <c r="U79" s="8"/>
    </row>
    <row r="80" spans="21:21">
      <c r="U80" s="8"/>
    </row>
    <row r="81" spans="21:21">
      <c r="U81" s="8"/>
    </row>
    <row r="82" spans="21:21">
      <c r="U82" s="8"/>
    </row>
    <row r="83" spans="21:21">
      <c r="U83" s="8"/>
    </row>
    <row r="84" spans="21:21">
      <c r="U84" s="8"/>
    </row>
    <row r="85" spans="21:21">
      <c r="U85" s="8"/>
    </row>
    <row r="86" spans="21:21">
      <c r="U86" s="8"/>
    </row>
    <row r="87" spans="21:21">
      <c r="U87" s="8"/>
    </row>
    <row r="88" spans="21:21">
      <c r="U88" s="8"/>
    </row>
    <row r="89" spans="21:21">
      <c r="U89" s="8"/>
    </row>
    <row r="90" spans="21:21">
      <c r="U90" s="8"/>
    </row>
    <row r="91" spans="21:21">
      <c r="U91" s="8"/>
    </row>
    <row r="92" spans="21:21">
      <c r="U92" s="8"/>
    </row>
    <row r="93" spans="21:21">
      <c r="U93" s="8"/>
    </row>
  </sheetData>
  <phoneticPr fontId="2" type="noConversion"/>
  <pageMargins left="0.42" right="0.2" top="0.36" bottom="0.43" header="0.5" footer="0.5"/>
  <pageSetup paperSize="9" scale="41" orientation="landscape" verticalDpi="18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0">
    <pageSetUpPr fitToPage="1"/>
  </sheetPr>
  <dimension ref="A1:CU223"/>
  <sheetViews>
    <sheetView view="pageBreakPreview" topLeftCell="A4" zoomScale="70" zoomScaleNormal="100" zoomScaleSheetLayoutView="70" workbookViewId="0">
      <selection activeCell="AF28" sqref="AF2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46203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47" t="s" ph="1">
        <v>177</v>
      </c>
      <c r="D6" s="71">
        <v>3693</v>
      </c>
      <c r="E6" s="71">
        <v>7534</v>
      </c>
      <c r="F6" s="71">
        <v>5838</v>
      </c>
      <c r="G6" s="71">
        <v>1749</v>
      </c>
      <c r="H6" s="71">
        <v>5857</v>
      </c>
      <c r="I6" s="71">
        <v>38.630000000000003</v>
      </c>
      <c r="J6" s="71">
        <v>76.87</v>
      </c>
      <c r="K6" s="71">
        <v>6.71</v>
      </c>
      <c r="L6" s="71">
        <v>6.95</v>
      </c>
      <c r="M6" s="71">
        <v>5018</v>
      </c>
      <c r="N6" s="71">
        <v>6117</v>
      </c>
      <c r="O6" s="71">
        <v>221</v>
      </c>
      <c r="P6" s="71">
        <v>3233</v>
      </c>
      <c r="Q6" s="71">
        <v>7306</v>
      </c>
      <c r="R6" s="71">
        <v>4623</v>
      </c>
      <c r="S6" s="71">
        <v>55</v>
      </c>
      <c r="T6" s="71">
        <v>0</v>
      </c>
      <c r="U6" s="71">
        <v>0</v>
      </c>
      <c r="V6" s="71">
        <v>6541</v>
      </c>
      <c r="W6" s="71">
        <v>7053</v>
      </c>
      <c r="X6" s="71">
        <v>7170</v>
      </c>
      <c r="Y6" s="71">
        <v>6956</v>
      </c>
      <c r="Z6" s="71">
        <v>3726</v>
      </c>
      <c r="AA6" s="71">
        <v>0</v>
      </c>
      <c r="AB6" s="71">
        <v>2041</v>
      </c>
      <c r="AC6" s="71">
        <v>3243</v>
      </c>
      <c r="AD6" s="71">
        <v>5007</v>
      </c>
      <c r="AE6" s="71">
        <v>4800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115844.06829708001</v>
      </c>
      <c r="E7" s="73" ph="1">
        <f>E6*51.53*LOOKUP(E8,密度!$A$2:$A$50,密度!$B$2:$B$50)</f>
        <v>301652.39454000001</v>
      </c>
      <c r="F7" s="73" ph="1">
        <f>F6*33.183*LOOKUP(F8,密度!$A$2:$A$50,密度!$C$2:$C$50)</f>
        <v>214663.7404674</v>
      </c>
      <c r="G7" s="73" ph="1">
        <f xml:space="preserve"> (G6+2)*51.53*LOOKUP(G8,密度!$A$2:$A$50,密度!$B$2:$B$50)</f>
        <v>70107.956309999994</v>
      </c>
      <c r="H7" s="73" ph="1">
        <f>(H6)*51.53*LOOKUP(H8,密度!$A$2:$A$50,密度!$B$2:$B$50)</f>
        <v>235292.01931599999</v>
      </c>
      <c r="I7" s="73" ph="1">
        <f>I6*290.8*1.0267</f>
        <v>11533.5412268</v>
      </c>
      <c r="J7" s="73" ph="1">
        <f>J6*290.8*0.7892</f>
        <v>17641.615803200002</v>
      </c>
      <c r="K7" s="73" ph="1">
        <f>K6*290.8*1.1126</f>
        <v>2170.9807768000001</v>
      </c>
      <c r="L7" s="73" ph="1">
        <f>L6*290.8*0.777</f>
        <v>1570.3636200000001</v>
      </c>
      <c r="M7" s="73" ph="1">
        <f>M6*33.183*LOOKUP(M8,密度!$A$2:$A$50,密度!$D$2:$D$50)</f>
        <v>170491.93782660001</v>
      </c>
      <c r="N7" s="73" ph="1">
        <f>N6*33.183*LOOKUP(N8,密度!$A$2:$A$50,密度!$E$2:$E$50)</f>
        <v>158060.84604569999</v>
      </c>
      <c r="O7" s="73" ph="1">
        <f>O6*20.428*LOOKUP(O8,密度!$A$2:$A$50,密度!$C$2:$C$50)</f>
        <v>4992.6828691999999</v>
      </c>
      <c r="P7" s="73" ph="1">
        <f>P6*51.53*LOOKUP(P8,密度!$A$2:$A$50,密度!$B$2:$B$50)</f>
        <v>129878.62360399999</v>
      </c>
      <c r="Q7" s="73" ph="1">
        <f>Q6*1.5*1.5*3.1416*LOOKUP(W8,密度!$A$2:$A$50,密度!$L$2:$L$50)</f>
        <v>48286.384146000004</v>
      </c>
      <c r="R7" s="73" ph="1">
        <f>R6*1.5*1.5*3.1416*LOOKUP(R8,密度!$A$2:$A$50,密度!$L$2:$L$50)</f>
        <v>30259.955602800001</v>
      </c>
      <c r="S7" s="73" ph="1">
        <f>S6*1.5*1.5*3.1416*LOOKUP(S8,密度!$A$2:$A$50,密度!$L$2:$L$50)</f>
        <v>364.28030100000001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43184.155568400005</v>
      </c>
      <c r="W7" s="73" ph="1">
        <f>W6*1.5*1.5*3.1416*LOOKUP(W8,密度!$A$2:$A$50,密度!$L$2:$L$50)</f>
        <v>46614.271473000001</v>
      </c>
      <c r="X7" s="73" ph="1">
        <f>X6*1.5*1.5*3.1416*LOOKUP(X8,密度!$A$2:$A$50,密度!$L$2:$L$50)</f>
        <v>47843.677727999995</v>
      </c>
      <c r="Y7" s="73" ph="1">
        <f>Y6*1.5*1.5*3.1416*LOOKUP(Y8,密度!$A$2:$A$50,密度!$L$2:$L$50)</f>
        <v>45973.184796000001</v>
      </c>
      <c r="Z7" s="73" ph="1">
        <f>Z6*33.183*LOOKUP(Z8,密度!$A$2:$A$50,密度!$L$2:$L$50)</f>
        <v>115850.546946</v>
      </c>
      <c r="AA7" s="73" ph="1">
        <f>AA6*33.183*LOOKUP(AA8,密度!$A$2:$A$50,密度!$D$2:$D$50)</f>
        <v>0</v>
      </c>
      <c r="AB7" s="73" ph="1">
        <f>AB6*20.428*LOOKUP(AB8,密度!$A$2:$A$50,密度!$D$2:$D$50)</f>
        <v>42885.983472799999</v>
      </c>
      <c r="AC7" s="73" ph="1">
        <f>AC6*51.53*LOOKUP(AC8,密度!$A$2:$A$50,密度!$Q$2:$Q$50)</f>
        <v>158211.41606460002</v>
      </c>
      <c r="AD7" s="73" ph="1">
        <f>AD6*20.428*LOOKUP(AD8,密度!$A$2:$A$50,密度!$V$2:$V$50)</f>
        <v>97946.196969600001</v>
      </c>
      <c r="AE7" s="73" ph="1">
        <f>AE6*20.428</f>
        <v>98054.400000000009</v>
      </c>
    </row>
    <row r="8" spans="1:99" ph="1">
      <c r="B8" s="241" ph="1"/>
      <c r="C8" s="68" t="s" ph="1">
        <v>179</v>
      </c>
      <c r="D8" s="74">
        <v>27</v>
      </c>
      <c r="E8" s="74">
        <v>28</v>
      </c>
      <c r="F8" s="74">
        <v>26</v>
      </c>
      <c r="G8" s="74">
        <v>28</v>
      </c>
      <c r="H8" s="74">
        <v>25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29</v>
      </c>
      <c r="O8" s="74">
        <v>29</v>
      </c>
      <c r="P8" s="74">
        <v>25</v>
      </c>
      <c r="Q8" s="74">
        <v>31</v>
      </c>
      <c r="R8" s="74">
        <v>36</v>
      </c>
      <c r="S8" s="74">
        <v>25</v>
      </c>
      <c r="T8" s="74">
        <v>22</v>
      </c>
      <c r="U8" s="74">
        <v>28</v>
      </c>
      <c r="V8" s="74">
        <v>28</v>
      </c>
      <c r="W8" s="74">
        <v>27</v>
      </c>
      <c r="X8" s="74">
        <v>18</v>
      </c>
      <c r="Y8" s="74">
        <v>27</v>
      </c>
      <c r="Z8" s="74">
        <v>25</v>
      </c>
      <c r="AA8" s="74">
        <v>27</v>
      </c>
      <c r="AB8" s="74">
        <v>23</v>
      </c>
      <c r="AC8" s="74">
        <v>25</v>
      </c>
      <c r="AD8" s="74">
        <v>30</v>
      </c>
      <c r="AE8" s="74">
        <v>27</v>
      </c>
    </row>
    <row r="9" spans="1:99" ht="26.4" ph="1">
      <c r="B9" s="241" ph="1">
        <v>0.66666666666666663</v>
      </c>
      <c r="C9" s="147" t="s" ph="1">
        <v>180</v>
      </c>
      <c r="D9" s="71">
        <v>4058</v>
      </c>
      <c r="E9" s="71">
        <v>7534</v>
      </c>
      <c r="F9" s="71">
        <v>5842</v>
      </c>
      <c r="G9" s="71">
        <v>3072</v>
      </c>
      <c r="H9" s="71">
        <v>5570</v>
      </c>
      <c r="I9" s="71">
        <v>38.65</v>
      </c>
      <c r="J9" s="71">
        <v>77.02</v>
      </c>
      <c r="K9" s="71">
        <v>6.78</v>
      </c>
      <c r="L9" s="71">
        <v>90.07</v>
      </c>
      <c r="M9" s="71">
        <v>5020</v>
      </c>
      <c r="N9" s="71">
        <v>6124</v>
      </c>
      <c r="O9" s="71">
        <v>220</v>
      </c>
      <c r="P9" s="71">
        <v>2872</v>
      </c>
      <c r="Q9" s="71">
        <v>7316</v>
      </c>
      <c r="R9" s="71">
        <v>7238</v>
      </c>
      <c r="S9" s="71">
        <v>5318</v>
      </c>
      <c r="T9" s="71">
        <v>3351</v>
      </c>
      <c r="U9" s="71">
        <v>0</v>
      </c>
      <c r="V9" s="71">
        <v>1608</v>
      </c>
      <c r="W9" s="71">
        <v>7062</v>
      </c>
      <c r="X9" s="71">
        <v>7178</v>
      </c>
      <c r="Y9" s="71">
        <v>6968</v>
      </c>
      <c r="Z9" s="71">
        <v>673</v>
      </c>
      <c r="AA9" s="71">
        <v>0</v>
      </c>
      <c r="AB9" s="71">
        <v>1913</v>
      </c>
      <c r="AC9" s="71">
        <v>2947</v>
      </c>
      <c r="AD9" s="71">
        <v>5478</v>
      </c>
      <c r="AE9" s="71">
        <v>4795</v>
      </c>
    </row>
    <row r="10" spans="1:99" s="72" customFormat="1" ht="22.2" ph="1">
      <c r="B10" s="241" ph="1"/>
      <c r="C10" s="147" t="s" ph="1">
        <v>178</v>
      </c>
      <c r="D10" s="73" ph="1">
        <f>D9*33.183*LOOKUP(D11,密度!$A$2:$A$50,密度!$Q$2:$Q$50)</f>
        <v>127025.62368462</v>
      </c>
      <c r="E10" s="73" ph="1">
        <f>E9*51.53*LOOKUP(E11,密度!$A$2:$A$50,密度!$B$2:$B$50)</f>
        <v>301652.39454000001</v>
      </c>
      <c r="F10" s="73" ph="1">
        <f>F9*33.183*LOOKUP(F11,密度!$A$2:$A$50,密度!$C$2:$C$50)</f>
        <v>214229.2555386</v>
      </c>
      <c r="G10" s="73" ph="1">
        <f xml:space="preserve"> (G9+2)*51.53*LOOKUP(G11,密度!$A$2:$A$50,密度!$B$2:$B$50)</f>
        <v>122810.016466</v>
      </c>
      <c r="H10" s="73" ph="1">
        <f>(H9)*51.53*LOOKUP(H11,密度!$A$2:$A$50,密度!$B$2:$B$50)</f>
        <v>223016.17170000004</v>
      </c>
      <c r="I10" s="73" ph="1">
        <f>I9*290.8*1.0267</f>
        <v>11539.512514</v>
      </c>
      <c r="J10" s="73" ph="1">
        <f>J9*290.8*0.7892</f>
        <v>17676.040707200002</v>
      </c>
      <c r="K10" s="73" ph="1">
        <f>K9*290.8*1.1126</f>
        <v>2193.6288624000003</v>
      </c>
      <c r="L10" s="73" ph="1">
        <f>L9*290.8*0.777</f>
        <v>20351.460611999999</v>
      </c>
      <c r="M10" s="73" ph="1">
        <f>M9*33.183*LOOKUP(M11,密度!$A$2:$A$50,密度!$D$2:$D$50)</f>
        <v>168777.49831200001</v>
      </c>
      <c r="N10" s="73" ph="1">
        <f>N9*33.183*LOOKUP(N11,密度!$A$2:$A$50,密度!$E$2:$E$50)</f>
        <v>157554.86436144001</v>
      </c>
      <c r="O10" s="73" ph="1">
        <f>O9*20.428*LOOKUP(O11,密度!$A$2:$A$50,密度!$C$2:$C$50)</f>
        <v>4909.8698000000004</v>
      </c>
      <c r="P10" s="73" ph="1">
        <f>P9*51.53*LOOKUP(P11,密度!$A$2:$A$50,密度!$B$2:$B$50)</f>
        <v>114739.872248</v>
      </c>
      <c r="Q10" s="73" ph="1">
        <f>Q9*1.5*1.5*3.1416*LOOKUP(W11,密度!$A$2:$A$50,密度!$L$2:$L$50)</f>
        <v>48249.047800799999</v>
      </c>
      <c r="R10" s="73" ph="1">
        <f>R9*1.5*1.5*3.1416*LOOKUP(R11,密度!$A$2:$A$50,密度!$L$2:$L$50)</f>
        <v>47427.662343600001</v>
      </c>
      <c r="S10" s="73" ph="1">
        <f>S9*1.5*1.5*3.1416*LOOKUP(S11,密度!$A$2:$A$50,密度!$L$2:$L$50)</f>
        <v>35222.593467600003</v>
      </c>
      <c r="T10" s="73" ph="1">
        <f>T9*1.5*1.5*3.1416*LOOKUP(T11,密度!$A$2:$A$50,密度!$L$2:$L$50)</f>
        <v>22265.665883999998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10616.132419200001</v>
      </c>
      <c r="W10" s="73" ph="1">
        <f>W9*1.5*1.5*3.1416*LOOKUP(W11,密度!$A$2:$A$50,密度!$L$2:$L$50)</f>
        <v>46573.916835600001</v>
      </c>
      <c r="X10" s="73" ph="1">
        <f>X9*1.5*1.5*3.1416*LOOKUP(X11,密度!$A$2:$A$50,密度!$L$2:$L$50)</f>
        <v>47795.582973599994</v>
      </c>
      <c r="Y10" s="73" ph="1">
        <f>Y9*1.5*1.5*3.1416*LOOKUP(Y11,密度!$A$2:$A$50,密度!$L$2:$L$50)</f>
        <v>45953.986478400002</v>
      </c>
      <c r="Z10" s="73" ph="1">
        <f>Z9*33.183*LOOKUP(Z11,密度!$A$2:$A$50,密度!$L$2:$L$50)</f>
        <v>20701.911393000002</v>
      </c>
      <c r="AA10" s="73" ph="1">
        <f>AA9*33.183*LOOKUP(AA11,密度!$A$2:$A$50,密度!$D$2:$D$50)</f>
        <v>0</v>
      </c>
      <c r="AB10" s="73" ph="1">
        <f>AB9*20.428*LOOKUP(AB11,密度!$A$2:$A$50,密度!$D$2:$D$50)</f>
        <v>40086.996111200002</v>
      </c>
      <c r="AC10" s="73" ph="1">
        <f>AC9*51.53*LOOKUP(AC11,密度!$A$2:$A$50,密度!$Q$2:$Q$50)</f>
        <v>143139.17138779999</v>
      </c>
      <c r="AD10" s="73" ph="1">
        <f>AD9*20.428*LOOKUP(AD11,密度!$A$2:$A$50,密度!$V$2:$V$50)</f>
        <v>107159.8296384</v>
      </c>
      <c r="AE10" s="73" ph="1">
        <f>AE9*20.428</f>
        <v>97952.260000000009</v>
      </c>
    </row>
    <row r="11" spans="1:99" ph="1">
      <c r="A11" s="64" t="s" ph="1">
        <v>162</v>
      </c>
      <c r="B11" s="241" ph="1"/>
      <c r="C11" s="147" t="s" ph="1">
        <v>179</v>
      </c>
      <c r="D11" s="74">
        <v>30</v>
      </c>
      <c r="E11" s="74">
        <v>28</v>
      </c>
      <c r="F11" s="74">
        <v>30</v>
      </c>
      <c r="G11" s="74">
        <v>30</v>
      </c>
      <c r="H11" s="74">
        <v>28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32</v>
      </c>
      <c r="O11" s="74">
        <v>42</v>
      </c>
      <c r="P11" s="74">
        <v>30</v>
      </c>
      <c r="Q11" s="74">
        <v>34</v>
      </c>
      <c r="R11" s="74">
        <v>35</v>
      </c>
      <c r="S11" s="74">
        <v>25</v>
      </c>
      <c r="T11" s="74">
        <v>22</v>
      </c>
      <c r="U11" s="74">
        <v>34</v>
      </c>
      <c r="V11" s="74">
        <v>28</v>
      </c>
      <c r="W11" s="74">
        <v>29</v>
      </c>
      <c r="X11" s="74">
        <v>20</v>
      </c>
      <c r="Y11" s="74">
        <v>29</v>
      </c>
      <c r="Z11" s="74">
        <v>35</v>
      </c>
      <c r="AA11" s="74">
        <v>47</v>
      </c>
      <c r="AB11" s="74">
        <v>26</v>
      </c>
      <c r="AC11" s="74">
        <v>31</v>
      </c>
      <c r="AD11" s="74">
        <v>37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4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47" t="s" ph="1">
        <v>177</v>
      </c>
      <c r="D15" s="78">
        <v>5186</v>
      </c>
      <c r="E15" s="78">
        <v>1482</v>
      </c>
      <c r="F15" s="78">
        <v>3401</v>
      </c>
      <c r="G15" s="78">
        <v>1424</v>
      </c>
      <c r="H15" s="78">
        <v>2029</v>
      </c>
      <c r="I15" s="78">
        <v>2632</v>
      </c>
      <c r="J15" s="78">
        <v>906</v>
      </c>
      <c r="K15" s="78">
        <v>3359</v>
      </c>
      <c r="L15" s="78">
        <v>5843</v>
      </c>
      <c r="M15" s="78">
        <v>6017</v>
      </c>
      <c r="N15" s="78">
        <v>376</v>
      </c>
      <c r="O15" s="78">
        <v>7013</v>
      </c>
      <c r="P15" s="78">
        <v>5688</v>
      </c>
      <c r="Q15" s="78">
        <v>559</v>
      </c>
      <c r="R15" s="78">
        <v>1947</v>
      </c>
      <c r="S15" s="78">
        <v>0</v>
      </c>
      <c r="T15" s="78">
        <v>4449</v>
      </c>
      <c r="U15" s="78">
        <v>2672</v>
      </c>
      <c r="V15" s="78">
        <v>641</v>
      </c>
      <c r="W15" s="71">
        <v>4904</v>
      </c>
      <c r="X15" s="78">
        <v>1285</v>
      </c>
      <c r="Y15" s="106">
        <v>-2366</v>
      </c>
      <c r="Z15" s="78">
        <v>1269</v>
      </c>
      <c r="AA15" s="78">
        <v>2542</v>
      </c>
      <c r="AB15" s="78" ph="1">
        <v>0</v>
      </c>
      <c r="AC15" s="78" ph="1">
        <v>0</v>
      </c>
      <c r="AD15" s="78">
        <v>5.72</v>
      </c>
      <c r="AE15" s="78">
        <v>60.98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47" t="s" ph="1">
        <v>178</v>
      </c>
      <c r="D16" s="73" ph="1">
        <f>D15*7.0686*LOOKUP(D17,密度!$A$2:$A$50,密度!$L$2:$L$50)</f>
        <v>34348.320745199999</v>
      </c>
      <c r="E16" s="73" ph="1">
        <f>E15*7.0686*LOOKUP(E17,密度!$A$2:$A$50,密度!$L$2:$L$50)</f>
        <v>9815.6982924000004</v>
      </c>
      <c r="F16" s="73" ph="1">
        <f>F15*9.0746*LOOKUP(F17,密度!$A$2:$A$50,密度!$L$2:$L$50)</f>
        <v>28733.1872926</v>
      </c>
      <c r="G16" s="73" ph="1">
        <f>G15*9.0746*LOOKUP(G17,密度!$A$2:$A$50,密度!$B$2:$B$50)</f>
        <v>10062.54081248</v>
      </c>
      <c r="H16" s="73" ph="1">
        <f>H15*9.0746*LOOKUP(H17,密度!$A$2:$A$50,密度!$L$2:$L$50)</f>
        <v>17270.796869199999</v>
      </c>
      <c r="I16" s="73" ph="1">
        <f>I15*9.0746*LOOKUP(I17,密度!$A$2:$A$50,密度!$U$2:$U$50)</f>
        <v>24409.802838399999</v>
      </c>
      <c r="J16" s="73" ph="1">
        <f>J15*9.0746*LOOKUP(J17,密度!$A$2:$A$50,密度!$L$2:$L$50)</f>
        <v>7678.9628184000012</v>
      </c>
      <c r="K16" s="73" ph="1">
        <f>K15*9.0746*LOOKUP(K17,密度!$A$2:$A$50,密度!$C$2:$C$50)</f>
        <v>33755.303242359994</v>
      </c>
      <c r="L16" s="73" ph="1">
        <f>L15*9.0746*LOOKUP(L17,密度!$A$2:$A$50,密度!$E$2:$E$50)</f>
        <v>41347.247906440003</v>
      </c>
      <c r="M16" s="73" ph="1">
        <f>M15*9.0746*LOOKUP(M17,密度!$A$2:$A$50,密度!$M$2:$M$50)</f>
        <v>47558.227202200003</v>
      </c>
      <c r="N16" s="73" ph="1">
        <f>N15*9.0746*LOOKUP(N17,密度!$A$2:$A$50,密度!$M$2:$M$50)</f>
        <v>2985.8846049600002</v>
      </c>
      <c r="O16" s="73" ph="1">
        <f>O15*9.0746*LOOKUP(O17,密度!$A$2:$A$50,密度!$G$2:$G$50)</f>
        <v>60903.642498599998</v>
      </c>
      <c r="P16" s="73" ph="1">
        <f ca="1">P15*9.0746*LOOKUP(P17,密度!$A$2:$A$51,密度!$Q$2:$Q$50)</f>
        <v>48757.812732576</v>
      </c>
      <c r="Q16" s="73" ph="1">
        <f>Q15*9.0746*LOOKUP(Q17,密度!$A$2:$A$50,密度!$Q$2:$Q$50)</f>
        <v>4802.5293234359997</v>
      </c>
      <c r="R16" s="73" ph="1">
        <f>MAX(R15*9.0746*LOOKUP(R17,密度!$A$2:$A$50,密度!$B$2:$B$50),0)</f>
        <v>13714.092700440002</v>
      </c>
      <c r="S16" s="73" ph="1">
        <f>S15*9.0746*LOOKUP(S17,密度!$A$2:$A$50,密度!$Q$2:$Q$50)</f>
        <v>0</v>
      </c>
      <c r="T16" s="73" ph="1">
        <f>T15*9.0746*LOOKUP(T17,密度!$A$2:$A$50,密度!$O$2:$O$50)</f>
        <v>37385.301140400006</v>
      </c>
      <c r="U16" s="73" ph="1">
        <f>U15*9.0746*LOOKUP(U17,密度!$A$2:$A$50,密度!$H$2:$H$50)</f>
        <v>22135.38865248</v>
      </c>
      <c r="V16" s="73" ph="1">
        <f>MAX(5600*LOOKUP(V17,密度!$A$2:$A$50,密度!$Q$2:$Q$50)+V15*9.0476*LOOKUP(V17,密度!$A$2:$A$50,密度!$Q$2:$Q$50),0)</f>
        <v>10744.951643927998</v>
      </c>
      <c r="W16" s="73" ph="1">
        <f>MAX(5600*LOOKUP(W17,密度!$A$2:$A$50,密度!$Q$2:$Q$50)+W15*9.0476*LOOKUP(W17,密度!$A$2:$A$50,密度!$Q$2:$Q$50),0)</f>
        <v>47137.662779232</v>
      </c>
      <c r="X16" s="73" ph="1">
        <f>MAX(5600*LOOKUP(X17,密度!$A$2:$A$50,密度!$I$2:$I$50)+X15*9.0476*LOOKUP(X17,密度!$A$2:$A$50,密度!$I$2:$I$50),0)</f>
        <v>17877.315074800001</v>
      </c>
      <c r="Y16" s="107" ph="1">
        <v>0</v>
      </c>
      <c r="Z16" s="73" ph="1">
        <f>Z15*9.0746*LOOKUP(Z17,密度!$A$2:$A$50,密度!$D$2:$D$50)</f>
        <v>11790.89185086</v>
      </c>
      <c r="AA16" s="73" ph="1">
        <f>AA15*9.0746*LOOKUP(AA17,密度!$A$2:$A$50,密度!$B$2:$B$50)</f>
        <v>17962.765972839999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13993.90294944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25</v>
      </c>
      <c r="E17" s="74">
        <v>25</v>
      </c>
      <c r="F17" s="74">
        <v>31</v>
      </c>
      <c r="G17" s="74">
        <v>26</v>
      </c>
      <c r="H17" s="74">
        <v>24</v>
      </c>
      <c r="I17" s="74">
        <v>28</v>
      </c>
      <c r="J17" s="74">
        <v>28</v>
      </c>
      <c r="K17" s="74">
        <v>27</v>
      </c>
      <c r="L17" s="74">
        <v>28</v>
      </c>
      <c r="M17" s="74">
        <v>29</v>
      </c>
      <c r="N17" s="74">
        <v>25</v>
      </c>
      <c r="O17" s="74">
        <v>28</v>
      </c>
      <c r="P17" s="74">
        <v>28</v>
      </c>
      <c r="Q17" s="74">
        <v>25</v>
      </c>
      <c r="R17" s="74">
        <v>29</v>
      </c>
      <c r="S17" s="74">
        <v>27</v>
      </c>
      <c r="T17" s="74">
        <v>27</v>
      </c>
      <c r="U17" s="74">
        <v>27</v>
      </c>
      <c r="V17" s="74">
        <v>31</v>
      </c>
      <c r="W17" s="74">
        <v>30</v>
      </c>
      <c r="X17" s="74">
        <v>29</v>
      </c>
      <c r="Y17" s="108">
        <v>29</v>
      </c>
      <c r="Z17" s="74">
        <v>28</v>
      </c>
      <c r="AA17" s="74">
        <v>26</v>
      </c>
      <c r="AB17" s="74">
        <v>26</v>
      </c>
      <c r="AC17" s="74">
        <v>25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5197</v>
      </c>
      <c r="E18" s="71">
        <v>1484</v>
      </c>
      <c r="F18" s="71">
        <v>3650</v>
      </c>
      <c r="G18" s="71">
        <v>1545</v>
      </c>
      <c r="H18" s="71">
        <v>2032</v>
      </c>
      <c r="I18" s="71">
        <v>2632</v>
      </c>
      <c r="J18" s="71">
        <v>978</v>
      </c>
      <c r="K18" s="71">
        <v>3361</v>
      </c>
      <c r="L18" s="71">
        <v>5860</v>
      </c>
      <c r="M18" s="71">
        <v>6030</v>
      </c>
      <c r="N18" s="71">
        <v>377</v>
      </c>
      <c r="O18" s="71">
        <v>4542</v>
      </c>
      <c r="P18" s="71">
        <v>5695</v>
      </c>
      <c r="Q18" s="71">
        <v>556</v>
      </c>
      <c r="R18" s="71">
        <v>1948</v>
      </c>
      <c r="S18" s="71">
        <v>0</v>
      </c>
      <c r="T18" s="71">
        <v>4453</v>
      </c>
      <c r="U18" s="71">
        <v>2674</v>
      </c>
      <c r="V18" s="71">
        <v>-656</v>
      </c>
      <c r="W18" s="71">
        <v>4903</v>
      </c>
      <c r="X18" s="71">
        <v>1284</v>
      </c>
      <c r="Y18" s="109">
        <v>-9909</v>
      </c>
      <c r="Z18" s="71">
        <v>1268</v>
      </c>
      <c r="AA18" s="71">
        <v>2546</v>
      </c>
      <c r="AB18" s="71">
        <v>20</v>
      </c>
      <c r="AC18" s="71">
        <v>0</v>
      </c>
      <c r="AD18" s="71">
        <v>33.840000000000003</v>
      </c>
      <c r="AE18" s="71">
        <v>84.54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47" t="s" ph="1">
        <v>178</v>
      </c>
      <c r="D19" s="73" ph="1">
        <f>D18*7.0686*LOOKUP(D20,密度!$A$2:$A$50,密度!$L$2:$L$50)</f>
        <v>34017.086149199997</v>
      </c>
      <c r="E19" s="73" ph="1">
        <f>E18*7.0686*LOOKUP(E20,密度!$A$2:$A$50,密度!$L$2:$L$50)</f>
        <v>9713.5570224000003</v>
      </c>
      <c r="F19" s="73" ph="1">
        <f>F18*9.0746*LOOKUP(F20,密度!$A$2:$A$50,密度!$L$2:$L$50)</f>
        <v>30803.729700000004</v>
      </c>
      <c r="G19" s="73" ph="1">
        <f>G18*9.0746*LOOKUP(G20,密度!$A$2:$A$50,密度!$B$2:$B$50)</f>
        <v>10882.5234834</v>
      </c>
      <c r="H19" s="73" ph="1">
        <f>H18*9.0746*LOOKUP(H20,密度!$A$2:$A$50,密度!$L$2:$L$50)</f>
        <v>17259.453619200001</v>
      </c>
      <c r="I19" s="73" ph="1">
        <f>I18*9.0746*LOOKUP(I20,密度!$A$2:$A$50,密度!$U$2:$U$50)</f>
        <v>24362.034144000001</v>
      </c>
      <c r="J19" s="73" ph="1">
        <f>J18*9.0746*LOOKUP(J20,密度!$A$2:$A$50,密度!$L$2:$L$50)</f>
        <v>8253.7116839999999</v>
      </c>
      <c r="K19" s="73" ph="1">
        <f>K18*9.0746*LOOKUP(K20,密度!$A$2:$A$50,密度!$C$2:$C$50)</f>
        <v>33674.75255546</v>
      </c>
      <c r="L19" s="73" ph="1">
        <f>L18*9.0746*LOOKUP(L20,密度!$A$2:$A$50,密度!$E$2:$E$50)</f>
        <v>41350.556505599998</v>
      </c>
      <c r="M19" s="73" ph="1">
        <f>M18*9.0746*LOOKUP(M20,密度!$A$2:$A$50,密度!$M$2:$M$50)</f>
        <v>47372.058153360005</v>
      </c>
      <c r="N19" s="73" ph="1">
        <f>N18*9.0746*LOOKUP(N20,密度!$A$2:$A$50,密度!$M$2:$M$50)</f>
        <v>2961.7356424240002</v>
      </c>
      <c r="O19" s="73" ph="1">
        <f>O18*9.0746*LOOKUP(O20,密度!$A$2:$A$50,密度!$G$2:$G$50)</f>
        <v>39220.701968124005</v>
      </c>
      <c r="P19" s="73" ph="1">
        <f ca="1">P18*9.0746*LOOKUP(P20,密度!$A$2:$A$51,密度!$Q$2:$Q$50)</f>
        <v>48751.150070510004</v>
      </c>
      <c r="Q19" s="73" ph="1">
        <f>Q18*9.0746*LOOKUP(Q20,密度!$A$2:$A$50,密度!$Q$2:$Q$50)</f>
        <v>4739.2171096800002</v>
      </c>
      <c r="R19" s="73" ph="1">
        <f>MAX(R18*9.0746*LOOKUP(R20,密度!$A$2:$A$50,密度!$B$2:$B$50),0)</f>
        <v>13705.226816240001</v>
      </c>
      <c r="S19" s="73" ph="1">
        <f>S18*9.0746*LOOKUP(S20,密度!$A$2:$A$50,密度!$Q$2:$Q$50)</f>
        <v>0</v>
      </c>
      <c r="T19" s="73" ph="1">
        <f>T18*9.0746*LOOKUP(T20,密度!$A$2:$A$50,密度!$O$2:$O$50)</f>
        <v>37257.276683600001</v>
      </c>
      <c r="U19" s="73" ph="1">
        <f>U18*9.0746*LOOKUP(U20,密度!$A$2:$A$50,密度!$H$2:$H$50)</f>
        <v>22081.587164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46959.762209031993</v>
      </c>
      <c r="X19" s="73" ph="1">
        <f>MAX(5600*LOOKUP(X20,密度!$A$2:$A$50,密度!$I$2:$I$50)+X18*9.0476*LOOKUP(X20,密度!$A$2:$A$50,密度!$I$2:$I$50),0)</f>
        <v>17830.047815040001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11739.02597456</v>
      </c>
      <c r="AA19" s="73" ph="1">
        <f>AA18*9.0746*LOOKUP(AA20,密度!$A$2:$A$50,密度!$B$2:$B$50)</f>
        <v>17951.7548532</v>
      </c>
      <c r="AB19" s="73" ph="1">
        <f>AB18*9.0746*LOOKUP(AB20,密度!$A$2:$A$50,密度!$L$2:$L$50)</f>
        <v>168.60606800000002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8281.367942400002</v>
      </c>
      <c r="AE19" s="73" ph="1">
        <f>AE18*268.68*LOOKUP(AE20,密度!$A$2:$A$50,密度!B5:B53)+IF(AE18&lt;=0,0,1566*LOOKUP(AE20,密度!$A$2:$A$50,密度!B5:B53))</f>
        <v>18865.720994399999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36</v>
      </c>
      <c r="E20" s="81">
        <v>36</v>
      </c>
      <c r="F20" s="81">
        <v>32</v>
      </c>
      <c r="G20" s="81">
        <v>29</v>
      </c>
      <c r="H20" s="81">
        <v>26</v>
      </c>
      <c r="I20" s="81">
        <v>30</v>
      </c>
      <c r="J20" s="81">
        <v>32</v>
      </c>
      <c r="K20" s="81">
        <v>31</v>
      </c>
      <c r="L20" s="81">
        <v>30</v>
      </c>
      <c r="M20" s="81">
        <v>34</v>
      </c>
      <c r="N20" s="81">
        <v>34</v>
      </c>
      <c r="O20" s="81">
        <v>33</v>
      </c>
      <c r="P20" s="81">
        <v>30</v>
      </c>
      <c r="Q20" s="81">
        <v>36</v>
      </c>
      <c r="R20" s="81">
        <v>30</v>
      </c>
      <c r="S20" s="81">
        <v>34</v>
      </c>
      <c r="T20" s="81">
        <v>30</v>
      </c>
      <c r="U20" s="81">
        <v>30</v>
      </c>
      <c r="V20" s="81">
        <v>38</v>
      </c>
      <c r="W20" s="81">
        <v>35</v>
      </c>
      <c r="X20" s="81">
        <v>31</v>
      </c>
      <c r="Y20" s="110">
        <v>31</v>
      </c>
      <c r="Z20" s="81">
        <v>32</v>
      </c>
      <c r="AA20" s="81">
        <v>28</v>
      </c>
      <c r="AB20" s="81">
        <v>33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47" t="s" ph="1">
        <v>177</v>
      </c>
      <c r="D24" s="71">
        <v>2.97</v>
      </c>
      <c r="E24" s="71">
        <v>5.79</v>
      </c>
      <c r="F24" s="71">
        <v>7</v>
      </c>
      <c r="G24" s="71">
        <v>3030</v>
      </c>
      <c r="H24" s="71">
        <v>3918</v>
      </c>
      <c r="I24" s="71">
        <v>2581</v>
      </c>
      <c r="J24" s="71">
        <v>1305</v>
      </c>
      <c r="K24" s="71">
        <v>224</v>
      </c>
      <c r="L24" s="71">
        <v>302</v>
      </c>
      <c r="M24" s="71">
        <v>324</v>
      </c>
      <c r="N24" s="71">
        <v>2636</v>
      </c>
      <c r="O24" s="71">
        <v>341</v>
      </c>
      <c r="P24" s="71">
        <v>1122</v>
      </c>
      <c r="Q24" s="90">
        <v>1470</v>
      </c>
      <c r="R24" s="71">
        <v>6003</v>
      </c>
      <c r="S24" s="71">
        <v>2521</v>
      </c>
      <c r="T24" s="71">
        <v>367</v>
      </c>
      <c r="U24" s="71">
        <v>6408</v>
      </c>
      <c r="V24" s="71">
        <v>883</v>
      </c>
      <c r="W24" s="71">
        <v>408</v>
      </c>
      <c r="X24" s="71">
        <v>4914</v>
      </c>
      <c r="Y24" s="71">
        <v>5245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2238.0740465039999</v>
      </c>
      <c r="E25" s="91" ph="1">
        <f>E24*268.68*LOOKUP(E26,密度!$A$2:$A$50,密度!$C$2:$C$50)+IF(E24&lt;=0,0,1566*LOOKUP(E26,密度!$A$2:$A$50,密度!$C$2:$C$50))</f>
        <v>3461.6056690800001</v>
      </c>
      <c r="F25" s="91" ph="1">
        <f>F24*11.702*LOOKUP(F26,密度!$A$2:$A$50,密度!$Q$2:$Q$50)</f>
        <v>77.321082020000006</v>
      </c>
      <c r="G25" s="91" ph="1">
        <f>G24*18.322*LOOKUP(G26,密度!$A$2:$A$50,密度!$B$2:$B$50)</f>
        <v>43135.667819999995</v>
      </c>
      <c r="H25" s="91" ph="1">
        <f>H24*18.322*LOOKUP(H26,密度!$A$2:$A$50,密度!$B$2:$B$50)</f>
        <v>55777.408091999998</v>
      </c>
      <c r="I25" s="91" ph="1">
        <f>I24*18.322*LOOKUP(I26,密度!$A$2:$A$50,密度!$Q$2:$Q$50)</f>
        <v>44670.212638839999</v>
      </c>
      <c r="J25" s="91" ph="1">
        <f>J24*18.322*LOOKUP(J26,密度!$A$2:$A$50,密度!$Q$2:$Q$50)</f>
        <v>22602.7997172</v>
      </c>
      <c r="K25" s="91" ph="1">
        <f>K24*18.322*LOOKUP(K26,密度!$A$2:$A$50,密度!$Q$2:$Q$50)</f>
        <v>3885.5421427199999</v>
      </c>
      <c r="L25" s="91" ph="1">
        <f>L24*18.322*LOOKUP(L26,密度!$A$2:$A$50,密度!$Q$2:$Q$50)</f>
        <v>5234.6148213199995</v>
      </c>
      <c r="M25" s="91" ph="1">
        <f>M24*18.322*LOOKUP(M26,密度!$A$2:$A$50,密度!$Q$2:$Q$50)</f>
        <v>5620.1591707199996</v>
      </c>
      <c r="N25" s="91" ph="1">
        <f>N24*18.322*LOOKUP(N26,密度!$A$2:$A$50,密度!$Q$2:$Q$50)</f>
        <v>45759.761516240003</v>
      </c>
      <c r="O25" s="91" ph="1">
        <f>O24*18.322*LOOKUP(O26,密度!$A$2:$A$50,密度!$C$2:$C$50)</f>
        <v>6923.1893962000004</v>
      </c>
      <c r="P25" s="91" ph="1">
        <f>P24*11.702*LOOKUP(P26,密度!$A$2:$A$50,密度!$B$2:$B$50)</f>
        <v>10224.0537828</v>
      </c>
      <c r="Q25" s="92" ph="1">
        <f>Q24*18.322*LOOKUP(Q26,密度!$A$2:$A$50,密度!$B$2:$B$50)</f>
        <v>20927.205180000001</v>
      </c>
      <c r="R25" s="91" ph="1">
        <f>R24*35.891*LOOKUP(R26,密度!$A$2:$A$50,密度!$C$2:$C$50)</f>
        <v>238421.03454179998</v>
      </c>
      <c r="S25" s="91" ph="1">
        <f>S24*35.891*LOOKUP(S26,密度!$A$2:$A$50,密度!$B$2:$B$50)</f>
        <v>70539.152095599988</v>
      </c>
      <c r="T25" s="91" ph="1">
        <f>T24*35.891*LOOKUP(T26,密度!$A$2:$A$50,密度!$Q$2:$Q$50)</f>
        <v>12398.142176249999</v>
      </c>
      <c r="U25" s="91" ph="1">
        <f>U24*35.891</f>
        <v>229989.52799999999</v>
      </c>
      <c r="V25" s="91" ph="1">
        <f>V24*47.051*LOOKUP(V26,密度!$A$2:$A$50,密度!$B$2:$B$50)</f>
        <v>32389.2873268</v>
      </c>
      <c r="W25" s="91" ph="1">
        <f>W24*47.051*LOOKUP(W26,密度!$A$2:$A$50,密度!$B$2:$B$50)</f>
        <v>14983.108644</v>
      </c>
      <c r="X25" s="91" ph="1">
        <f>X24*47.051*LOOKUP(X26,密度!$A$2:$A$61,密度!$I$2:$I$61)</f>
        <v>240734.40889679999</v>
      </c>
      <c r="Y25" s="91" ph="1">
        <f>Y24*47.051*LOOKUP(Y26,密度!$A$2:$A$50,密度!$L$2:$L$50)</f>
        <v>229754.50284500004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29</v>
      </c>
      <c r="G26" s="74">
        <v>28</v>
      </c>
      <c r="H26" s="74">
        <v>28</v>
      </c>
      <c r="I26" s="74">
        <v>28</v>
      </c>
      <c r="J26" s="74">
        <v>27</v>
      </c>
      <c r="K26" s="74">
        <v>25</v>
      </c>
      <c r="L26" s="74">
        <v>26</v>
      </c>
      <c r="M26" s="74">
        <v>25</v>
      </c>
      <c r="N26" s="74">
        <v>24</v>
      </c>
      <c r="O26" s="74">
        <v>26</v>
      </c>
      <c r="P26" s="74">
        <v>26</v>
      </c>
      <c r="Q26" s="93">
        <v>28</v>
      </c>
      <c r="R26" s="74">
        <v>28</v>
      </c>
      <c r="S26" s="74">
        <v>25</v>
      </c>
      <c r="T26" s="74">
        <v>33</v>
      </c>
      <c r="U26" s="74">
        <v>28</v>
      </c>
      <c r="V26" s="74">
        <v>25</v>
      </c>
      <c r="W26" s="74">
        <v>24</v>
      </c>
      <c r="X26" s="74">
        <v>26</v>
      </c>
      <c r="Y26" s="74">
        <v>31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47" t="s" ph="1">
        <v>180</v>
      </c>
      <c r="D27" s="71">
        <v>2.98</v>
      </c>
      <c r="E27" s="71">
        <v>5.77</v>
      </c>
      <c r="F27" s="71">
        <v>3</v>
      </c>
      <c r="G27" s="71">
        <v>2607</v>
      </c>
      <c r="H27" s="71">
        <v>3167</v>
      </c>
      <c r="I27" s="71">
        <v>1408</v>
      </c>
      <c r="J27" s="71">
        <v>1303</v>
      </c>
      <c r="K27" s="71">
        <v>218</v>
      </c>
      <c r="L27" s="71">
        <v>294</v>
      </c>
      <c r="M27" s="71">
        <v>2646</v>
      </c>
      <c r="N27" s="71">
        <v>3798</v>
      </c>
      <c r="O27" s="71">
        <v>334</v>
      </c>
      <c r="P27" s="71">
        <v>1119</v>
      </c>
      <c r="Q27" s="90">
        <v>1750</v>
      </c>
      <c r="R27" s="71">
        <v>5083</v>
      </c>
      <c r="S27" s="71">
        <v>2518</v>
      </c>
      <c r="T27" s="71">
        <v>365</v>
      </c>
      <c r="U27" s="71">
        <v>6493</v>
      </c>
      <c r="V27" s="71">
        <v>878</v>
      </c>
      <c r="W27" s="71">
        <v>404</v>
      </c>
      <c r="X27" s="71">
        <v>4913</v>
      </c>
      <c r="Y27" s="71">
        <v>6005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47" t="s" ph="1">
        <v>178</v>
      </c>
      <c r="D28" s="91" ph="1">
        <f>D27*268.68*LOOKUP(D29,密度!$A$2:$A$50,密度!$Q$2:$Q$50)+IF(D27&lt;=0,0,1566*LOOKUP(D29,密度!$A$2:$A$50,密度!$Q$2:$Q$50))</f>
        <v>2240.617747536</v>
      </c>
      <c r="E28" s="91" ph="1">
        <f>E27*268.68*LOOKUP(E29,密度!$A$2:$A$50,密度!$C$2:$C$50)+IF(E27&lt;=0,0,1566*LOOKUP(E29,密度!$A$2:$A$50,密度!$C$2:$C$50))</f>
        <v>3455.6468840399998</v>
      </c>
      <c r="F28" s="91" ph="1">
        <f>F27*11.702*LOOKUP(F29,密度!$A$2:$A$50,密度!$Q$2:$Q$50)</f>
        <v>33.090213480000003</v>
      </c>
      <c r="G28" s="91" ph="1">
        <f>G27*18.322*LOOKUP(G29,密度!$A$2:$A$50,密度!$B$2:$B$50)</f>
        <v>36989.567577599999</v>
      </c>
      <c r="H28" s="91" ph="1">
        <f>H27*18.322*LOOKUP(H29,密度!$A$2:$A$50,密度!$B$2:$B$50)</f>
        <v>44987.3825822</v>
      </c>
      <c r="I28" s="91" ph="1">
        <f>I27*18.322*LOOKUP(I29,密度!$A$2:$A$50,密度!$Q$2:$Q$50)</f>
        <v>24335.438702079999</v>
      </c>
      <c r="J28" s="91" ph="1">
        <f>J27*18.322*LOOKUP(J29,密度!$A$2:$A$50,密度!$Q$2:$Q$50)</f>
        <v>22551.447914919998</v>
      </c>
      <c r="K28" s="91" ph="1">
        <f>K27*18.322*LOOKUP(K29,密度!$A$2:$A$50,密度!$Q$2:$Q$50)</f>
        <v>3764.8492656799999</v>
      </c>
      <c r="L28" s="91" ph="1">
        <f>L27*18.322*LOOKUP(L29,密度!$A$2:$A$50,密度!$Q$2:$Q$50)</f>
        <v>5066.6460541199995</v>
      </c>
      <c r="M28" s="91" ph="1">
        <f>M27*18.322*LOOKUP(M29,密度!$A$2:$A$50,密度!$Q$2:$Q$50)</f>
        <v>45568.302479279999</v>
      </c>
      <c r="N28" s="91" ph="1">
        <f>N27*18.322*LOOKUP(N29,密度!$A$2:$A$50,密度!$Q$2:$Q$50)</f>
        <v>65781.941245919996</v>
      </c>
      <c r="O28" s="91" ph="1">
        <f>O27*18.322*LOOKUP(O29,密度!$A$2:$A$50,密度!$C$2:$C$50)</f>
        <v>6756.5929468000004</v>
      </c>
      <c r="P28" s="91" ph="1">
        <f>P27*11.702*LOOKUP(P29,密度!$A$2:$A$50,密度!$B$2:$B$50)</f>
        <v>10163.9803956</v>
      </c>
      <c r="Q28" s="92" ph="1">
        <f>Q27*18.322*LOOKUP(Q29,密度!$A$2:$A$50,密度!$B$2:$B$50)</f>
        <v>24858.831549999999</v>
      </c>
      <c r="R28" s="91" ph="1">
        <f>R27*35.891*LOOKUP(R29,密度!$A$2:$A$50,密度!$C$2:$C$50)</f>
        <v>201607.76146029998</v>
      </c>
      <c r="S28" s="91" ph="1">
        <f>S27*35.891*LOOKUP(S29,密度!$A$2:$A$50,密度!$B$2:$B$50)</f>
        <v>70220.239025999996</v>
      </c>
      <c r="T28" s="91" ph="1">
        <f>T27*35.891*LOOKUP(T29,密度!$A$2:$A$50,密度!$Q$2:$Q$50)</f>
        <v>12296.516809749999</v>
      </c>
      <c r="U28" s="91" ph="1">
        <f>U27*35.891</f>
        <v>233040.26299999998</v>
      </c>
      <c r="V28" s="91" ph="1">
        <f>V27*47.051*LOOKUP(V29,密度!$A$2:$A$50,密度!$B$2:$B$50)</f>
        <v>32168.702828599995</v>
      </c>
      <c r="W28" s="91" ph="1">
        <f>W27*47.051*LOOKUP(W29,密度!$A$2:$A$50,密度!$B$2:$B$50)</f>
        <v>14801.999934799998</v>
      </c>
      <c r="X28" s="91" ph="1">
        <f>X27*47.051*LOOKUP(X29,密度!$A$2:$A$61,密度!$I$2:$I$61)</f>
        <v>240685.41939560001</v>
      </c>
      <c r="Y28" s="91" ph="1">
        <f>Y27*47.051*LOOKUP(Y29,密度!$A$2:$A$50,密度!$L$2:$L$50)</f>
        <v>262198.28464000003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47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30</v>
      </c>
      <c r="I29" s="74">
        <v>30</v>
      </c>
      <c r="J29" s="74">
        <v>28</v>
      </c>
      <c r="K29" s="74">
        <v>31</v>
      </c>
      <c r="L29" s="74">
        <v>34</v>
      </c>
      <c r="M29" s="74">
        <v>35</v>
      </c>
      <c r="N29" s="74">
        <v>27</v>
      </c>
      <c r="O29" s="74">
        <v>31</v>
      </c>
      <c r="P29" s="74">
        <v>29</v>
      </c>
      <c r="Q29" s="93">
        <v>30</v>
      </c>
      <c r="R29" s="74">
        <v>30</v>
      </c>
      <c r="S29" s="74">
        <v>28</v>
      </c>
      <c r="T29" s="74">
        <v>37</v>
      </c>
      <c r="U29" s="74">
        <v>30</v>
      </c>
      <c r="V29" s="74">
        <v>26</v>
      </c>
      <c r="W29" s="74">
        <v>26</v>
      </c>
      <c r="X29" s="74">
        <v>26</v>
      </c>
      <c r="Y29" s="74">
        <v>34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47" t="s" ph="1">
        <v>5</v>
      </c>
      <c r="F32" s="146" t="s" ph="1">
        <v>43</v>
      </c>
      <c r="G32" s="97" t="s" ph="1">
        <v>4</v>
      </c>
      <c r="H32" s="147" t="s" ph="1">
        <v>5</v>
      </c>
      <c r="I32" s="146" t="s" ph="1">
        <v>43</v>
      </c>
      <c r="J32" s="97" t="s" ph="1">
        <v>4</v>
      </c>
      <c r="K32" s="147" t="s" ph="1">
        <v>5</v>
      </c>
      <c r="L32" s="146" t="s" ph="1">
        <v>43</v>
      </c>
      <c r="M32" s="97" t="s" ph="1">
        <v>4</v>
      </c>
      <c r="N32" s="147" t="s" ph="1">
        <v>5</v>
      </c>
      <c r="O32" s="146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7" t="s" ph="1">
        <v>5</v>
      </c>
      <c r="U32" s="99" t="s" ph="1">
        <v>43</v>
      </c>
      <c r="V32" s="97" t="s" ph="1">
        <v>4</v>
      </c>
      <c r="W32" s="147" t="s" ph="1">
        <v>5</v>
      </c>
      <c r="X32" s="99" t="s" ph="1">
        <v>43</v>
      </c>
      <c r="Y32" s="100" t="s" ph="1">
        <v>4</v>
      </c>
      <c r="Z32" s="147" t="s" ph="1">
        <v>5</v>
      </c>
      <c r="AA32" s="146" t="s" ph="1">
        <v>43</v>
      </c>
      <c r="AB32" s="97" t="s" ph="1">
        <v>85</v>
      </c>
      <c r="AC32" s="14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51826.02208576</v>
      </c>
      <c r="E33" s="190" ph="1">
        <f>M10+I10</f>
        <v>180317.01082600001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1522252632456786910111213141516171819202123456789101112131415161718192022232424356789101112131415161718192021222345678910111213141516171819202345678910111213149101516171819222123234567891012131415161711181920212224252345678910111213122[[#This Row],[F25]]</f>
        <v>3880</v>
      </c>
      <c r="G33" s="216" ph="1">
        <f>N19</f>
        <v>2961.7356424240002</v>
      </c>
      <c r="H33" s="190" ph="1">
        <f>M19</f>
        <v>47372.058153360005</v>
      </c>
      <c r="I33" s="194" ph="1">
        <v>0</v>
      </c>
      <c r="J33" s="198" ph="1">
        <f>F10+O28</f>
        <v>220985.8484854</v>
      </c>
      <c r="K33" s="190" ph="1">
        <f>O10+K10+E28+R28</f>
        <v>212166.90700673999</v>
      </c>
      <c r="L33" s="200" ph="1">
        <f>K19</f>
        <v>33674.75255546</v>
      </c>
      <c r="M33" s="198" ph="1">
        <f>G10+H10+W28+S28+V28+E10+R19+P28+Q28</f>
        <v>813397.56325723999</v>
      </c>
      <c r="N33" s="190" ph="1">
        <f>L10+P10++G28+H28+AD19+AE19</f>
        <v>244215.37195659999</v>
      </c>
      <c r="O33" s="194" ph="1">
        <f>G19</f>
        <v>10882.5234834</v>
      </c>
      <c r="P33" s="198" ph="1">
        <f>L19</f>
        <v>41350.556505599998</v>
      </c>
      <c r="Q33" s="190" ph="1">
        <f>J10+N10</f>
        <v>175230.90506864002</v>
      </c>
      <c r="R33" s="194" ph="1">
        <f>BE23</f>
        <v>890</v>
      </c>
      <c r="S33" s="198" ph="1">
        <f>X28</f>
        <v>240685.41939560001</v>
      </c>
      <c r="T33" s="190" ph="1">
        <f>X19</f>
        <v>17830.047815040001</v>
      </c>
      <c r="U33" s="179" ph="1">
        <f>BE21</f>
        <v>730</v>
      </c>
      <c r="V33" s="192" ph="1">
        <f ca="1">P19+Q19+S19+M28+N28+J28+D10+AC10+D19+E19+H19+J19+O19+V19+W19+K28+L28</f>
        <v>621812.6218644859</v>
      </c>
      <c r="W33" s="192" ph="1">
        <f>D28+F28+T28+I28</f>
        <v>38905.663472845998</v>
      </c>
      <c r="X33" s="194" ph="1">
        <f>BE29+BE31</f>
        <v>10200</v>
      </c>
      <c r="Y33" s="196" ph="1">
        <f>+Q10+R10+S10+T10+U10+V10+W10+X10+Y10</f>
        <v>304104.58820279996</v>
      </c>
      <c r="Z33" s="177" ph="1">
        <f>T19+U19+Y28+Z10</f>
        <v>342239.05988060002</v>
      </c>
      <c r="AA33" s="179" ph="1">
        <f>BE19</f>
        <v>1440</v>
      </c>
      <c r="AB33" s="181" ph="1">
        <f>I19</f>
        <v>24362.034144000001</v>
      </c>
      <c r="AC33" s="183" ph="1">
        <f>AD10+AB19</f>
        <v>107328.43570639999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45" t="s" ph="1">
        <v>185</v>
      </c>
      <c r="AA36" s="145" ph="1"/>
      <c r="AB36" s="176" t="s" ph="1">
        <v>638</v>
      </c>
      <c r="AC36" s="176" ph="1"/>
      <c r="AD36" s="176" ph="1"/>
      <c r="AE36" s="176" ph="1"/>
      <c r="BA36" s="64" ph="1">
        <v>2270</v>
      </c>
    </row>
    <row r="37" spans="1:57" s="14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45" t="s" ph="1">
        <v>342</v>
      </c>
      <c r="AI37" s="145" t="s" ph="1">
        <v>209</v>
      </c>
      <c r="AJ37" s="145" t="s" ph="1">
        <v>210</v>
      </c>
      <c r="AK37" s="145" t="s" ph="1">
        <v>211</v>
      </c>
      <c r="AM37" s="145" t="s" ph="1">
        <v>210</v>
      </c>
      <c r="AN37" s="145" t="s" ph="1">
        <v>211</v>
      </c>
      <c r="AO37" s="145" t="s" ph="1">
        <v>212</v>
      </c>
      <c r="AP37" s="145" t="s" ph="1">
        <v>210</v>
      </c>
      <c r="AQ37" s="145" t="s" ph="1">
        <v>211</v>
      </c>
      <c r="AR37" s="145" t="s" ph="1">
        <v>212</v>
      </c>
      <c r="AS37" s="145" t="s" ph="1">
        <v>210</v>
      </c>
      <c r="AT37" s="145" t="s" ph="1">
        <v>211</v>
      </c>
      <c r="AU37" s="145" t="s" ph="1">
        <v>212</v>
      </c>
      <c r="AV37" s="145" t="s" ph="1">
        <v>210</v>
      </c>
      <c r="AW37" s="145" t="s" ph="1">
        <v>211</v>
      </c>
      <c r="AX37" s="145" t="s" ph="1">
        <v>212</v>
      </c>
      <c r="AY37" s="145" t="s" ph="1">
        <v>211</v>
      </c>
      <c r="AZ37" s="145" t="s" ph="1">
        <v>213</v>
      </c>
      <c r="BD37" s="145" t="s" ph="1">
        <v>305</v>
      </c>
      <c r="BE37" s="14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3148" priority="101">
      <formula>ABS(D$7-D$10)&gt;=1000</formula>
    </cfRule>
  </conditionalFormatting>
  <conditionalFormatting sqref="E4 E6:E11">
    <cfRule type="expression" dxfId="3147" priority="100">
      <formula>ABS(E$7-E$10)&gt;=1000</formula>
    </cfRule>
  </conditionalFormatting>
  <conditionalFormatting sqref="F4:F11">
    <cfRule type="expression" dxfId="3146" priority="99">
      <formula>ABS(F$7-F$10)&gt;=1000</formula>
    </cfRule>
  </conditionalFormatting>
  <conditionalFormatting sqref="G4:G11">
    <cfRule type="expression" dxfId="3145" priority="98">
      <formula>ABS(G$7-G$10)&gt;=1000</formula>
    </cfRule>
  </conditionalFormatting>
  <conditionalFormatting sqref="H4:H11">
    <cfRule type="expression" dxfId="3144" priority="97">
      <formula>ABS(H$7-H$10)&gt;=1000</formula>
    </cfRule>
  </conditionalFormatting>
  <conditionalFormatting sqref="I4:I11">
    <cfRule type="expression" dxfId="3143" priority="96">
      <formula>ABS(I$7-I$10)&gt;=1000</formula>
    </cfRule>
  </conditionalFormatting>
  <conditionalFormatting sqref="J4:J11">
    <cfRule type="expression" dxfId="3142" priority="95">
      <formula>ABS(J$7-J$10)&gt;=1000</formula>
    </cfRule>
  </conditionalFormatting>
  <conditionalFormatting sqref="K4:K11">
    <cfRule type="expression" dxfId="3141" priority="94">
      <formula>ABS(K$7-K$10)&gt;=1000</formula>
    </cfRule>
  </conditionalFormatting>
  <conditionalFormatting sqref="L4:L11">
    <cfRule type="expression" dxfId="3140" priority="93">
      <formula>ABS(L$7-L$10)&gt;=1000</formula>
    </cfRule>
  </conditionalFormatting>
  <conditionalFormatting sqref="M4 M6:M11">
    <cfRule type="expression" dxfId="3139" priority="92">
      <formula>ABS(M$7-M$10)&gt;=1000</formula>
    </cfRule>
  </conditionalFormatting>
  <conditionalFormatting sqref="N4 N6:N11">
    <cfRule type="expression" dxfId="3138" priority="91">
      <formula>ABS(N$7-N$10)&gt;=1000</formula>
    </cfRule>
  </conditionalFormatting>
  <conditionalFormatting sqref="O4 O6:O11">
    <cfRule type="expression" dxfId="3137" priority="90">
      <formula>ABS(O$7-O$10)&gt;=1000</formula>
    </cfRule>
  </conditionalFormatting>
  <conditionalFormatting sqref="P4 P6:P11">
    <cfRule type="expression" dxfId="3136" priority="89">
      <formula>ABS(P$7-P$10)&gt;=1000</formula>
    </cfRule>
  </conditionalFormatting>
  <conditionalFormatting sqref="Q4:Q11">
    <cfRule type="expression" dxfId="3135" priority="88">
      <formula>ABS(Q$7-Q$10)&gt;=1000</formula>
    </cfRule>
  </conditionalFormatting>
  <conditionalFormatting sqref="R4:R11">
    <cfRule type="expression" dxfId="3134" priority="87">
      <formula>ABS(R$7-R$10)&gt;=1000</formula>
    </cfRule>
  </conditionalFormatting>
  <conditionalFormatting sqref="S4:S11">
    <cfRule type="expression" dxfId="3133" priority="86">
      <formula>ABS(S$7-S$10)&gt;=1000</formula>
    </cfRule>
  </conditionalFormatting>
  <conditionalFormatting sqref="T4:T9 T11">
    <cfRule type="expression" dxfId="3132" priority="85">
      <formula>ABS(T$7-T$10)&gt;=1000</formula>
    </cfRule>
  </conditionalFormatting>
  <conditionalFormatting sqref="U4:U9 U11">
    <cfRule type="expression" dxfId="3131" priority="84">
      <formula>ABS(U$7-U$10)&gt;=1000</formula>
    </cfRule>
  </conditionalFormatting>
  <conditionalFormatting sqref="V4:V9 V11">
    <cfRule type="expression" dxfId="3130" priority="83">
      <formula>ABS(V$7-V$10)&gt;=1000</formula>
    </cfRule>
  </conditionalFormatting>
  <conditionalFormatting sqref="W4:W9 W11">
    <cfRule type="expression" dxfId="3129" priority="82">
      <formula>ABS(W$7-W$10)&gt;=1000</formula>
    </cfRule>
  </conditionalFormatting>
  <conditionalFormatting sqref="X4:X9 X11">
    <cfRule type="expression" dxfId="3128" priority="81">
      <formula>ABS(X$7-X$10)&gt;=1000</formula>
    </cfRule>
  </conditionalFormatting>
  <conditionalFormatting sqref="Y4:Y9 Y11">
    <cfRule type="expression" dxfId="3127" priority="80">
      <formula>ABS(Y$7-Y$10)&gt;=1000</formula>
    </cfRule>
  </conditionalFormatting>
  <conditionalFormatting sqref="Z4:Z11">
    <cfRule type="expression" dxfId="3126" priority="79">
      <formula>ABS(Z$7-Z$10)&gt;=1000</formula>
    </cfRule>
  </conditionalFormatting>
  <conditionalFormatting sqref="AA4:AA11">
    <cfRule type="expression" dxfId="3125" priority="78">
      <formula>ABS(AA$7-AA$10)&gt;=1000</formula>
    </cfRule>
  </conditionalFormatting>
  <conditionalFormatting sqref="AB4:AB11">
    <cfRule type="expression" dxfId="3124" priority="77">
      <formula>ABS(AB$7-AB$10)&gt;=1000</formula>
    </cfRule>
  </conditionalFormatting>
  <conditionalFormatting sqref="AC4 AC6:AC11">
    <cfRule type="expression" dxfId="3123" priority="76">
      <formula>ABS(AC$7-AC$10)&gt;=1000</formula>
    </cfRule>
  </conditionalFormatting>
  <conditionalFormatting sqref="AD4 AD6:AD11">
    <cfRule type="expression" dxfId="3122" priority="75">
      <formula>ABS(AD$7-AD$10)&gt;=1000</formula>
    </cfRule>
  </conditionalFormatting>
  <conditionalFormatting sqref="AE4 AE6:AE11">
    <cfRule type="expression" dxfId="3121" priority="74">
      <formula>ABS(AE$7-AE$10)&gt;=1000</formula>
    </cfRule>
  </conditionalFormatting>
  <conditionalFormatting sqref="D13:D20">
    <cfRule type="expression" dxfId="3120" priority="73">
      <formula>ABS(D$16-D$19)&gt;=1000</formula>
    </cfRule>
  </conditionalFormatting>
  <conditionalFormatting sqref="E13:E20">
    <cfRule type="expression" dxfId="3119" priority="72">
      <formula>ABS(E$16-E$19)&gt;=1000</formula>
    </cfRule>
  </conditionalFormatting>
  <conditionalFormatting sqref="F13 F15:F20">
    <cfRule type="expression" dxfId="3118" priority="71">
      <formula>ABS(F$16-F$19)&gt;=1000</formula>
    </cfRule>
  </conditionalFormatting>
  <conditionalFormatting sqref="G13:G20">
    <cfRule type="expression" dxfId="3117" priority="70">
      <formula>ABS(G$16-G$19)&gt;=1000</formula>
    </cfRule>
  </conditionalFormatting>
  <conditionalFormatting sqref="H13 H15:H20">
    <cfRule type="expression" dxfId="3116" priority="69">
      <formula>ABS(H$16-H$19)&gt;=1000</formula>
    </cfRule>
  </conditionalFormatting>
  <conditionalFormatting sqref="I13:I20">
    <cfRule type="expression" dxfId="3115" priority="68">
      <formula>ABS(I$16-I$19)&gt;=1000</formula>
    </cfRule>
  </conditionalFormatting>
  <conditionalFormatting sqref="J13:J20">
    <cfRule type="expression" dxfId="3114" priority="67">
      <formula>ABS(J$16-J$19)&gt;=1000</formula>
    </cfRule>
  </conditionalFormatting>
  <conditionalFormatting sqref="L13:L20">
    <cfRule type="expression" dxfId="3113" priority="66">
      <formula>ABS(L$16-L$19)&gt;=1000</formula>
    </cfRule>
  </conditionalFormatting>
  <conditionalFormatting sqref="M13 M15 M17:M18 M20">
    <cfRule type="expression" dxfId="3112" priority="65">
      <formula>ABS(M$16-M$19)&gt;=1000</formula>
    </cfRule>
  </conditionalFormatting>
  <conditionalFormatting sqref="N13:N20">
    <cfRule type="expression" dxfId="3111" priority="64">
      <formula>ABS(N$16-N$19)&gt;=1000</formula>
    </cfRule>
  </conditionalFormatting>
  <conditionalFormatting sqref="O13:O20">
    <cfRule type="expression" dxfId="3110" priority="63">
      <formula>ABS(O$16-O$19)&gt;=1000</formula>
    </cfRule>
  </conditionalFormatting>
  <conditionalFormatting sqref="P13:P20">
    <cfRule type="expression" dxfId="3109" priority="62">
      <formula>ABS(P$16-P$19)&gt;=1000</formula>
    </cfRule>
  </conditionalFormatting>
  <conditionalFormatting sqref="Q13 Q15:Q20">
    <cfRule type="expression" dxfId="3108" priority="61">
      <formula>ABS(Q$16-Q$19)&gt;=1000</formula>
    </cfRule>
  </conditionalFormatting>
  <conditionalFormatting sqref="R13:R20">
    <cfRule type="expression" dxfId="3107" priority="60">
      <formula>ABS(R$16-R$19)&gt;=1000</formula>
    </cfRule>
  </conditionalFormatting>
  <conditionalFormatting sqref="S13:S20">
    <cfRule type="expression" dxfId="3106" priority="59">
      <formula>ABS(S$16-S$19)&gt;=1000</formula>
    </cfRule>
  </conditionalFormatting>
  <conditionalFormatting sqref="T13:T15 T17:T20">
    <cfRule type="expression" dxfId="3105" priority="58">
      <formula>ABS(T$16-T$19)&gt;=1000</formula>
    </cfRule>
  </conditionalFormatting>
  <conditionalFormatting sqref="U13:U20">
    <cfRule type="expression" dxfId="3104" priority="57">
      <formula>ABS(U$16-U$19)&gt;=1000</formula>
    </cfRule>
  </conditionalFormatting>
  <conditionalFormatting sqref="V13:V20">
    <cfRule type="expression" dxfId="3103" priority="56">
      <formula>ABS(V$16-V$19)&gt;=1000</formula>
    </cfRule>
  </conditionalFormatting>
  <conditionalFormatting sqref="W13 W20 W15:W18">
    <cfRule type="expression" dxfId="3102" priority="55">
      <formula>ABS(W$16-W$19)&gt;=1000</formula>
    </cfRule>
  </conditionalFormatting>
  <conditionalFormatting sqref="X13 X15:X20 Y19">
    <cfRule type="expression" dxfId="3101" priority="54">
      <formula>ABS(X$16-X$19)&gt;=1000</formula>
    </cfRule>
  </conditionalFormatting>
  <conditionalFormatting sqref="Y13 Y15:Y18 Y20">
    <cfRule type="expression" dxfId="3100" priority="53">
      <formula>ABS(Y$16-Y$19)&gt;=1000</formula>
    </cfRule>
  </conditionalFormatting>
  <conditionalFormatting sqref="Z13:Z20">
    <cfRule type="expression" dxfId="3099" priority="52">
      <formula>ABS(Z$16-Z$19)&gt;=1000</formula>
    </cfRule>
  </conditionalFormatting>
  <conditionalFormatting sqref="AA13:AA20">
    <cfRule type="expression" dxfId="3098" priority="51">
      <formula>ABS(AA$16-AA$19)&gt;=1000</formula>
    </cfRule>
  </conditionalFormatting>
  <conditionalFormatting sqref="AB13 AB15:AB20">
    <cfRule type="expression" dxfId="3097" priority="50">
      <formula>ABS(AB$16-AB$19)&gt;=1000</formula>
    </cfRule>
  </conditionalFormatting>
  <conditionalFormatting sqref="AC13 AC15:AC20">
    <cfRule type="expression" dxfId="3096" priority="49">
      <formula>ABS(AC$16-AC$19)&gt;=1000</formula>
    </cfRule>
  </conditionalFormatting>
  <conditionalFormatting sqref="AD13:AD20">
    <cfRule type="expression" dxfId="3095" priority="48">
      <formula>ABS(AD$16-AD$19)&gt;=1000</formula>
    </cfRule>
  </conditionalFormatting>
  <conditionalFormatting sqref="AE13:AE20">
    <cfRule type="expression" dxfId="3094" priority="47">
      <formula>ABS(AE$16-AE$19)&gt;=1000</formula>
    </cfRule>
  </conditionalFormatting>
  <conditionalFormatting sqref="D22:D29">
    <cfRule type="expression" dxfId="3093" priority="46">
      <formula>ABS(D$25-D$28)&gt;=1000</formula>
    </cfRule>
  </conditionalFormatting>
  <conditionalFormatting sqref="E22:E29">
    <cfRule type="expression" dxfId="3092" priority="45">
      <formula>ABS(E$25-E$28)&gt;=1000</formula>
    </cfRule>
  </conditionalFormatting>
  <conditionalFormatting sqref="F22:F29">
    <cfRule type="expression" dxfId="3091" priority="44">
      <formula>ABS(F$25-F$28)&gt;=1000</formula>
    </cfRule>
  </conditionalFormatting>
  <conditionalFormatting sqref="G22:G29">
    <cfRule type="expression" dxfId="3090" priority="43">
      <formula>ABS(G$25-G$28)&gt;=1000</formula>
    </cfRule>
  </conditionalFormatting>
  <conditionalFormatting sqref="H22:H29">
    <cfRule type="expression" dxfId="3089" priority="42">
      <formula>ABS(H$25-H$28)&gt;=1000</formula>
    </cfRule>
  </conditionalFormatting>
  <conditionalFormatting sqref="I22 I24:I29">
    <cfRule type="expression" dxfId="3088" priority="41">
      <formula>ABS(I$25-I$28)&gt;=1000</formula>
    </cfRule>
  </conditionalFormatting>
  <conditionalFormatting sqref="J22:J29 K22">
    <cfRule type="expression" dxfId="3087" priority="40">
      <formula>ABS(J$25-J$28)&gt;=1000</formula>
    </cfRule>
  </conditionalFormatting>
  <conditionalFormatting sqref="K23:K29 L25 L28">
    <cfRule type="expression" dxfId="3086" priority="39">
      <formula>ABS(K$25-K$28)&gt;=1000</formula>
    </cfRule>
  </conditionalFormatting>
  <conditionalFormatting sqref="L22 L26:L27 L29 L24">
    <cfRule type="expression" dxfId="3085" priority="38">
      <formula>ABS(L$25-L$28)&gt;=1000</formula>
    </cfRule>
  </conditionalFormatting>
  <conditionalFormatting sqref="M22:M29">
    <cfRule type="expression" dxfId="3084" priority="37">
      <formula>ABS(M$25-M$28)&gt;=1000</formula>
    </cfRule>
  </conditionalFormatting>
  <conditionalFormatting sqref="N22:N29">
    <cfRule type="expression" dxfId="3083" priority="36">
      <formula>ABS(N$25-N$28)&gt;=1000</formula>
    </cfRule>
  </conditionalFormatting>
  <conditionalFormatting sqref="O22:O29">
    <cfRule type="expression" dxfId="3082" priority="35">
      <formula>ABS(O$25-O$28)&gt;=1000</formula>
    </cfRule>
  </conditionalFormatting>
  <conditionalFormatting sqref="P22:P29">
    <cfRule type="expression" dxfId="3081" priority="34">
      <formula>ABS(P$25-P$28)&gt;=1000</formula>
    </cfRule>
  </conditionalFormatting>
  <conditionalFormatting sqref="Q22:Q29">
    <cfRule type="expression" dxfId="3080" priority="33">
      <formula>ABS(Q$25-Q$28)&gt;=1000</formula>
    </cfRule>
  </conditionalFormatting>
  <conditionalFormatting sqref="R22:R29">
    <cfRule type="expression" dxfId="3079" priority="32">
      <formula>ABS(R$25-R$28)&gt;=1000</formula>
    </cfRule>
  </conditionalFormatting>
  <conditionalFormatting sqref="S22:S29">
    <cfRule type="expression" dxfId="3078" priority="31">
      <formula>ABS(S$25-S$28)&gt;=1000</formula>
    </cfRule>
  </conditionalFormatting>
  <conditionalFormatting sqref="T22:T29">
    <cfRule type="expression" dxfId="3077" priority="30">
      <formula>ABS(T$25-T$28)&gt;=1000</formula>
    </cfRule>
  </conditionalFormatting>
  <conditionalFormatting sqref="U22:U29">
    <cfRule type="expression" dxfId="3076" priority="29">
      <formula>ABS(U$25-U$28)&gt;=1000</formula>
    </cfRule>
  </conditionalFormatting>
  <conditionalFormatting sqref="V22:V29">
    <cfRule type="expression" dxfId="3075" priority="28">
      <formula>ABS(V$25-V$28)&gt;=1000</formula>
    </cfRule>
  </conditionalFormatting>
  <conditionalFormatting sqref="W22:W29">
    <cfRule type="expression" dxfId="3074" priority="27">
      <formula>ABS(W$25-W$28)&gt;=1000</formula>
    </cfRule>
  </conditionalFormatting>
  <conditionalFormatting sqref="X22:X29">
    <cfRule type="expression" dxfId="3073" priority="26">
      <formula>ABS(X$25-X$28)&gt;=1000</formula>
    </cfRule>
  </conditionalFormatting>
  <conditionalFormatting sqref="Y22:Y29">
    <cfRule type="expression" dxfId="3072" priority="25">
      <formula>ABS(Y$25-Y$28)&gt;=1000</formula>
    </cfRule>
  </conditionalFormatting>
  <conditionalFormatting sqref="I23">
    <cfRule type="expression" dxfId="3071" priority="24">
      <formula>ABS(I$25-I$28)&gt;=1000</formula>
    </cfRule>
  </conditionalFormatting>
  <conditionalFormatting sqref="Q14">
    <cfRule type="expression" dxfId="3070" priority="23">
      <formula>ABS(Q$16-Q$19)&gt;=1000</formula>
    </cfRule>
  </conditionalFormatting>
  <conditionalFormatting sqref="W14">
    <cfRule type="expression" dxfId="3069" priority="22">
      <formula>ABS(W$16-W$19)&gt;=1000</formula>
    </cfRule>
  </conditionalFormatting>
  <conditionalFormatting sqref="X14">
    <cfRule type="expression" dxfId="3068" priority="21">
      <formula>ABS(X$16-X$19)&gt;=1000</formula>
    </cfRule>
  </conditionalFormatting>
  <conditionalFormatting sqref="T10:Y10">
    <cfRule type="expression" dxfId="3067" priority="20">
      <formula>ABS(T$7-T$10)&gt;=1000</formula>
    </cfRule>
  </conditionalFormatting>
  <conditionalFormatting sqref="W19">
    <cfRule type="expression" dxfId="3066" priority="19">
      <formula>ABS(W$16-W$19)&gt;=1000</formula>
    </cfRule>
  </conditionalFormatting>
  <conditionalFormatting sqref="AC5">
    <cfRule type="expression" dxfId="3065" priority="18">
      <formula>ABS(AC$7-AC$10)&gt;=1000</formula>
    </cfRule>
  </conditionalFormatting>
  <conditionalFormatting sqref="M14">
    <cfRule type="expression" dxfId="3064" priority="17">
      <formula>ABS(M$16-M$19)&gt;=1000</formula>
    </cfRule>
  </conditionalFormatting>
  <conditionalFormatting sqref="M16">
    <cfRule type="expression" dxfId="3063" priority="16">
      <formula>ABS(M$16-M$19)&gt;=1000</formula>
    </cfRule>
  </conditionalFormatting>
  <conditionalFormatting sqref="M19">
    <cfRule type="expression" dxfId="3062" priority="15">
      <formula>ABS(M$16-M$19)&gt;=1000</formula>
    </cfRule>
  </conditionalFormatting>
  <conditionalFormatting sqref="K13:K20">
    <cfRule type="expression" dxfId="3061" priority="14">
      <formula>ABS(K$16-K$19)&gt;=1000</formula>
    </cfRule>
  </conditionalFormatting>
  <conditionalFormatting sqref="E5">
    <cfRule type="expression" dxfId="3060" priority="13">
      <formula>ABS(E$7-E$10)&gt;=1000</formula>
    </cfRule>
  </conditionalFormatting>
  <conditionalFormatting sqref="AB14:AC14">
    <cfRule type="expression" dxfId="3059" priority="12">
      <formula>ABS(AB$16-AB$19)&gt;=1000</formula>
    </cfRule>
  </conditionalFormatting>
  <conditionalFormatting sqref="M5">
    <cfRule type="expression" dxfId="3058" priority="11">
      <formula>ABS(M$7-M$10)&gt;=1000</formula>
    </cfRule>
  </conditionalFormatting>
  <conditionalFormatting sqref="N5">
    <cfRule type="expression" dxfId="3057" priority="10">
      <formula>ABS(N$7-N$10)&gt;=1000</formula>
    </cfRule>
  </conditionalFormatting>
  <conditionalFormatting sqref="O5">
    <cfRule type="expression" dxfId="3056" priority="9">
      <formula>ABS(O$7-O$10)&gt;=1000</formula>
    </cfRule>
  </conditionalFormatting>
  <conditionalFormatting sqref="P5">
    <cfRule type="expression" dxfId="3055" priority="8">
      <formula>ABS(P$7-P$10)&gt;=1000</formula>
    </cfRule>
  </conditionalFormatting>
  <conditionalFormatting sqref="L23">
    <cfRule type="expression" dxfId="3054" priority="7">
      <formula>ABS(L$25-L$28)&gt;=1000</formula>
    </cfRule>
  </conditionalFormatting>
  <conditionalFormatting sqref="Y14">
    <cfRule type="expression" dxfId="3053" priority="6">
      <formula>ABS(Y$16-Y$19)&gt;=1000</formula>
    </cfRule>
  </conditionalFormatting>
  <conditionalFormatting sqref="F14">
    <cfRule type="expression" dxfId="3052" priority="5">
      <formula>ABS(F$16-F$19)&gt;=1000</formula>
    </cfRule>
  </conditionalFormatting>
  <conditionalFormatting sqref="H14">
    <cfRule type="expression" dxfId="3051" priority="4">
      <formula>ABS(H$16-H$19)&gt;=1000</formula>
    </cfRule>
  </conditionalFormatting>
  <conditionalFormatting sqref="AD5">
    <cfRule type="expression" dxfId="3050" priority="3">
      <formula>ABS(AD$7-AD$10)&gt;=1000</formula>
    </cfRule>
  </conditionalFormatting>
  <conditionalFormatting sqref="AE5">
    <cfRule type="expression" dxfId="3049" priority="2">
      <formula>ABS(AE$7-AE$10)&gt;=1000</formula>
    </cfRule>
  </conditionalFormatting>
  <conditionalFormatting sqref="T16">
    <cfRule type="expression" dxfId="3048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28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1">
    <pageSetUpPr fitToPage="1"/>
  </sheetPr>
  <dimension ref="A1:CU223"/>
  <sheetViews>
    <sheetView view="pageBreakPreview" zoomScale="85" zoomScaleNormal="100" zoomScaleSheetLayoutView="85" workbookViewId="0">
      <selection activeCell="AB36" sqref="AB36:AC3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46204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48" t="s" ph="1">
        <v>177</v>
      </c>
      <c r="D6" s="71">
        <v>4783</v>
      </c>
      <c r="E6" s="71">
        <v>7540</v>
      </c>
      <c r="F6" s="71">
        <v>5841</v>
      </c>
      <c r="G6" s="71">
        <v>3072</v>
      </c>
      <c r="H6" s="71">
        <v>4989</v>
      </c>
      <c r="I6" s="71">
        <v>38.71</v>
      </c>
      <c r="J6" s="71">
        <v>77.010000000000005</v>
      </c>
      <c r="K6" s="71">
        <v>6.82</v>
      </c>
      <c r="L6" s="71">
        <v>7.21</v>
      </c>
      <c r="M6" s="71">
        <v>5021</v>
      </c>
      <c r="N6" s="71">
        <v>6123</v>
      </c>
      <c r="O6" s="71">
        <v>221</v>
      </c>
      <c r="P6" s="71">
        <v>2910</v>
      </c>
      <c r="Q6" s="71">
        <v>7319</v>
      </c>
      <c r="R6" s="71">
        <v>7249</v>
      </c>
      <c r="S6" s="71">
        <v>5321</v>
      </c>
      <c r="T6" s="71">
        <v>3354</v>
      </c>
      <c r="U6" s="71">
        <v>0</v>
      </c>
      <c r="V6" s="71">
        <v>0</v>
      </c>
      <c r="W6" s="71">
        <v>7063</v>
      </c>
      <c r="X6" s="71">
        <v>7190</v>
      </c>
      <c r="Y6" s="71">
        <v>6981</v>
      </c>
      <c r="Z6" s="71">
        <v>674</v>
      </c>
      <c r="AA6" s="71">
        <v>0</v>
      </c>
      <c r="AB6" s="71">
        <v>1914</v>
      </c>
      <c r="AC6" s="71">
        <v>2344</v>
      </c>
      <c r="AD6" s="71">
        <v>5470</v>
      </c>
      <c r="AE6" s="71">
        <v>4797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149492.98880909997</v>
      </c>
      <c r="E7" s="73" ph="1">
        <f>E6*51.53*LOOKUP(E8,密度!$A$2:$A$50,密度!$B$2:$B$50)</f>
        <v>301892.6274</v>
      </c>
      <c r="F7" s="73" ph="1">
        <f>F6*33.183*LOOKUP(F8,密度!$A$2:$A$50,密度!$C$2:$C$50)</f>
        <v>214483.31785980001</v>
      </c>
      <c r="G7" s="73" ph="1">
        <f xml:space="preserve"> (G6+2)*51.53*LOOKUP(G8,密度!$A$2:$A$50,密度!$B$2:$B$50)</f>
        <v>122952.579364</v>
      </c>
      <c r="H7" s="73" ph="1">
        <f>(H6)*51.53*LOOKUP(H8,密度!$A$2:$A$50,密度!$B$2:$B$50)</f>
        <v>199753.62309000001</v>
      </c>
      <c r="I7" s="73" ph="1">
        <f>I6*290.8*1.0267</f>
        <v>11557.4263756</v>
      </c>
      <c r="J7" s="73" ph="1">
        <f>J6*290.8*0.7892</f>
        <v>17673.745713600001</v>
      </c>
      <c r="K7" s="73" ph="1">
        <f>K6*290.8*1.1126</f>
        <v>2206.5706256000003</v>
      </c>
      <c r="L7" s="73" ph="1">
        <f>L6*290.8*0.777</f>
        <v>1629.1110360000002</v>
      </c>
      <c r="M7" s="73" ph="1">
        <f>M6*33.183*LOOKUP(M8,密度!$A$2:$A$50,密度!$D$2:$D$50)</f>
        <v>170427.25420469997</v>
      </c>
      <c r="N7" s="73" ph="1">
        <f>N6*33.183*LOOKUP(N8,密度!$A$2:$A$50,密度!$E$2:$E$50)</f>
        <v>158439.38111819999</v>
      </c>
      <c r="O7" s="73" ph="1">
        <f>O6*20.428*LOOKUP(O8,密度!$A$2:$A$50,密度!$C$2:$C$50)</f>
        <v>4989.0711987999994</v>
      </c>
      <c r="P7" s="73" ph="1">
        <f>P6*51.53*LOOKUP(P8,密度!$A$2:$A$50,密度!$B$2:$B$50)</f>
        <v>116512.93710000001</v>
      </c>
      <c r="Q7" s="73" ph="1">
        <f>Q6*1.5*1.5*3.1416*LOOKUP(W8,密度!$A$2:$A$50,密度!$L$2:$L$50)</f>
        <v>48268.832812200002</v>
      </c>
      <c r="R7" s="73" ph="1">
        <f>R6*1.5*1.5*3.1416*LOOKUP(R8,密度!$A$2:$A$50,密度!$L$2:$L$50)</f>
        <v>47499.740857800003</v>
      </c>
      <c r="S7" s="73" ph="1">
        <f>S6*1.5*1.5*3.1416*LOOKUP(S8,密度!$A$2:$A$50,密度!$L$2:$L$50)</f>
        <v>35129.627240399997</v>
      </c>
      <c r="T7" s="73" ph="1">
        <f>T6*1.5*1.5*3.1416*LOOKUP(T8,密度!$A$2:$A$50,密度!$L$2:$L$50)</f>
        <v>22214.4750828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46580.511839400002</v>
      </c>
      <c r="X7" s="73" ph="1">
        <f>X6*1.5*1.5*3.1416*LOOKUP(X8,密度!$A$2:$A$50,密度!$L$2:$L$50)</f>
        <v>47468.900556000001</v>
      </c>
      <c r="Y7" s="73" ph="1">
        <f>Y6*1.5*1.5*3.1416*LOOKUP(Y8,密度!$A$2:$A$50,密度!$L$2:$L$50)</f>
        <v>46089.067424400004</v>
      </c>
      <c r="Z7" s="73" ph="1">
        <f>Z6*33.183*LOOKUP(Z8,密度!$A$2:$A$50,密度!$L$2:$L$50)</f>
        <v>20933.960112000001</v>
      </c>
      <c r="AA7" s="73" ph="1">
        <f>AA6*33.183*LOOKUP(AA8,密度!$A$2:$A$50,密度!$D$2:$D$50)</f>
        <v>0</v>
      </c>
      <c r="AB7" s="73" ph="1">
        <f>AB6*20.428*LOOKUP(AB8,密度!$A$2:$A$50,密度!$D$2:$D$50)</f>
        <v>40178.329699200003</v>
      </c>
      <c r="AC7" s="73" ph="1">
        <f>AC6*51.53*LOOKUP(AC8,密度!$A$2:$A$50,密度!$Q$2:$Q$50)</f>
        <v>113941.3592456</v>
      </c>
      <c r="AD7" s="73" ph="1">
        <f>AD6*20.428*LOOKUP(AD8,密度!$A$2:$A$50,密度!$V$2:$V$50)</f>
        <v>107003.334816</v>
      </c>
      <c r="AE7" s="73" ph="1">
        <f>AE6*20.428</f>
        <v>97993.116000000009</v>
      </c>
    </row>
    <row r="8" spans="1:99" ph="1">
      <c r="B8" s="241" ph="1"/>
      <c r="C8" s="68" t="s" ph="1">
        <v>179</v>
      </c>
      <c r="D8" s="74">
        <v>32</v>
      </c>
      <c r="E8" s="74">
        <v>28</v>
      </c>
      <c r="F8" s="74">
        <v>28</v>
      </c>
      <c r="G8" s="74">
        <v>29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28</v>
      </c>
      <c r="O8" s="74">
        <v>30</v>
      </c>
      <c r="P8" s="74">
        <v>28</v>
      </c>
      <c r="Q8" s="74">
        <v>33</v>
      </c>
      <c r="R8" s="74">
        <v>35</v>
      </c>
      <c r="S8" s="74">
        <v>28</v>
      </c>
      <c r="T8" s="74">
        <v>25</v>
      </c>
      <c r="U8" s="74">
        <v>30</v>
      </c>
      <c r="V8" s="74">
        <v>28</v>
      </c>
      <c r="W8" s="74">
        <v>29</v>
      </c>
      <c r="X8" s="74">
        <v>28</v>
      </c>
      <c r="Y8" s="74">
        <v>28</v>
      </c>
      <c r="Z8" s="74">
        <v>26</v>
      </c>
      <c r="AA8" s="74">
        <v>29</v>
      </c>
      <c r="AB8" s="74">
        <v>24</v>
      </c>
      <c r="AC8" s="74">
        <v>30</v>
      </c>
      <c r="AD8" s="74">
        <v>31</v>
      </c>
      <c r="AE8" s="74">
        <v>28</v>
      </c>
    </row>
    <row r="9" spans="1:99" ht="26.4" ph="1">
      <c r="B9" s="241" ph="1">
        <v>0.66666666666666663</v>
      </c>
      <c r="C9" s="148" t="s" ph="1">
        <v>180</v>
      </c>
      <c r="D9" s="71">
        <v>5135</v>
      </c>
      <c r="E9" s="71">
        <v>7542</v>
      </c>
      <c r="F9" s="71">
        <v>5844</v>
      </c>
      <c r="G9" s="71">
        <v>3510</v>
      </c>
      <c r="H9" s="71">
        <v>4702</v>
      </c>
      <c r="I9" s="71">
        <v>38.71</v>
      </c>
      <c r="J9" s="71">
        <v>77.12</v>
      </c>
      <c r="K9" s="71">
        <v>6.82</v>
      </c>
      <c r="L9" s="71">
        <v>23.01</v>
      </c>
      <c r="M9" s="71">
        <v>5022</v>
      </c>
      <c r="N9" s="71">
        <v>6044</v>
      </c>
      <c r="O9" s="71">
        <v>221</v>
      </c>
      <c r="P9" s="71">
        <v>3164</v>
      </c>
      <c r="Q9" s="71">
        <v>7327</v>
      </c>
      <c r="R9" s="71">
        <v>7250</v>
      </c>
      <c r="S9" s="71">
        <v>7281</v>
      </c>
      <c r="T9" s="71">
        <v>4970</v>
      </c>
      <c r="U9" s="71">
        <v>0</v>
      </c>
      <c r="V9" s="71">
        <v>839</v>
      </c>
      <c r="W9" s="71">
        <v>5287</v>
      </c>
      <c r="X9" s="71">
        <v>7186</v>
      </c>
      <c r="Y9" s="71">
        <v>6977</v>
      </c>
      <c r="Z9" s="71">
        <v>940</v>
      </c>
      <c r="AA9" s="71">
        <v>0</v>
      </c>
      <c r="AB9" s="71">
        <v>1915</v>
      </c>
      <c r="AC9" s="71">
        <v>2277</v>
      </c>
      <c r="AD9" s="71">
        <v>5471</v>
      </c>
      <c r="AE9" s="71">
        <v>4908</v>
      </c>
    </row>
    <row r="10" spans="1:99" s="72" customFormat="1" ht="22.2" ph="1">
      <c r="B10" s="241" ph="1"/>
      <c r="C10" s="148" t="s" ph="1">
        <v>178</v>
      </c>
      <c r="D10" s="73" ph="1">
        <f>D9*33.183*LOOKUP(D11,密度!$A$2:$A$50,密度!$Q$2:$Q$50)</f>
        <v>160494.77263949998</v>
      </c>
      <c r="E10" s="73" ph="1">
        <f>E9*51.53*LOOKUP(E11,密度!$A$2:$A$50,密度!$B$2:$B$50)</f>
        <v>300962.242944</v>
      </c>
      <c r="F10" s="73" ph="1">
        <f>F9*33.183*LOOKUP(F11,密度!$A$2:$A$50,密度!$C$2:$C$50)</f>
        <v>214457.7337668</v>
      </c>
      <c r="G10" s="73" ph="1">
        <f xml:space="preserve"> (G9+2)*51.53*LOOKUP(G11,密度!$A$2:$A$50,密度!$B$2:$B$50)</f>
        <v>140145.76998400001</v>
      </c>
      <c r="H10" s="73" ph="1">
        <f>(H9)*51.53*LOOKUP(H11,密度!$A$2:$A$50,密度!$B$2:$B$50)</f>
        <v>187632.52006399998</v>
      </c>
      <c r="I10" s="73" ph="1">
        <f>I9*290.8*1.0267</f>
        <v>11557.4263756</v>
      </c>
      <c r="J10" s="73" ph="1">
        <f>J9*290.8*0.7892</f>
        <v>17698.990643200003</v>
      </c>
      <c r="K10" s="73" ph="1">
        <f>K9*290.8*1.1126</f>
        <v>2206.5706256000003</v>
      </c>
      <c r="L10" s="73" ph="1">
        <f>L9*290.8*0.777</f>
        <v>5199.1463160000012</v>
      </c>
      <c r="M10" s="73" ph="1">
        <f>M9*33.183*LOOKUP(M11,密度!$A$2:$A$50,密度!$D$2:$D$50)</f>
        <v>170311.216572</v>
      </c>
      <c r="N10" s="73" ph="1">
        <f>N9*33.183*LOOKUP(N11,密度!$A$2:$A$50,密度!$E$2:$E$50)</f>
        <v>155496.66887664</v>
      </c>
      <c r="O10" s="73" ph="1">
        <f>O9*20.428*LOOKUP(O11,密度!$A$2:$A$50,密度!$C$2:$C$50)</f>
        <v>4951.1486595999995</v>
      </c>
      <c r="P10" s="73" ph="1">
        <f>P9*51.53*LOOKUP(P11,密度!$A$2:$A$50,密度!$B$2:$B$50)</f>
        <v>126112.15162</v>
      </c>
      <c r="Q10" s="73" ph="1">
        <f>Q9*1.5*1.5*3.1416*LOOKUP(W11,密度!$A$2:$A$50,密度!$L$2:$L$50)</f>
        <v>48269.801210400001</v>
      </c>
      <c r="R10" s="73" ph="1">
        <f>R9*1.5*1.5*3.1416*LOOKUP(R11,密度!$A$2:$A$50,密度!$L$2:$L$50)</f>
        <v>47506.293449999997</v>
      </c>
      <c r="S10" s="73" ph="1">
        <f>S9*1.5*1.5*3.1416*LOOKUP(S11,密度!$A$2:$A$50,密度!$L$2:$L$50)</f>
        <v>48069.689144400007</v>
      </c>
      <c r="T10" s="73" ph="1">
        <f>T9*1.5*1.5*3.1416*LOOKUP(T11,密度!$A$2:$A$50,密度!$L$2:$L$50)</f>
        <v>32917.692654000006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5539.1387436000005</v>
      </c>
      <c r="W10" s="73" ph="1">
        <f>W9*1.5*1.5*3.1416*LOOKUP(W11,密度!$A$2:$A$50,密度!$L$2:$L$50)</f>
        <v>34830.413402400001</v>
      </c>
      <c r="X10" s="73" ph="1">
        <f>X9*1.5*1.5*3.1416*LOOKUP(X11,密度!$A$2:$A$50,密度!$L$2:$L$50)</f>
        <v>47442.492266400004</v>
      </c>
      <c r="Y10" s="73" ph="1">
        <f>Y9*1.5*1.5*3.1416*LOOKUP(Y11,密度!$A$2:$A$50,密度!$L$2:$L$50)</f>
        <v>45964.0238904</v>
      </c>
      <c r="Z10" s="73" ph="1">
        <f>Z9*33.183*LOOKUP(Z11,密度!$A$2:$A$50,密度!$L$2:$L$50)</f>
        <v>29070.962640000002</v>
      </c>
      <c r="AA10" s="73" ph="1">
        <f>AA9*33.183*LOOKUP(AA11,密度!$A$2:$A$50,密度!$D$2:$D$50)</f>
        <v>0</v>
      </c>
      <c r="AB10" s="73" ph="1">
        <f>AB9*20.428*LOOKUP(AB11,密度!$A$2:$A$50,密度!$D$2:$D$50)</f>
        <v>40054.578918000007</v>
      </c>
      <c r="AC10" s="73" ph="1">
        <f>AC9*51.53*LOOKUP(AC11,密度!$A$2:$A$50,密度!$Q$2:$Q$50)</f>
        <v>110596.5026298</v>
      </c>
      <c r="AD10" s="73" ph="1">
        <f>AD9*20.428*LOOKUP(AD11,密度!$A$2:$A$50,密度!$V$2:$V$50)</f>
        <v>107022.89666880001</v>
      </c>
      <c r="AE10" s="73" ph="1">
        <f>AE9*20.428</f>
        <v>100260.62400000001</v>
      </c>
    </row>
    <row r="11" spans="1:99" ph="1">
      <c r="A11" s="64" t="s" ph="1">
        <v>162</v>
      </c>
      <c r="B11" s="241" ph="1"/>
      <c r="C11" s="148" t="s" ph="1">
        <v>179</v>
      </c>
      <c r="D11" s="74">
        <v>32</v>
      </c>
      <c r="E11" s="74">
        <v>31</v>
      </c>
      <c r="F11" s="74">
        <v>29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30</v>
      </c>
      <c r="N11" s="74">
        <v>32</v>
      </c>
      <c r="O11" s="74">
        <v>38</v>
      </c>
      <c r="P11" s="74">
        <v>32</v>
      </c>
      <c r="Q11" s="74">
        <v>34</v>
      </c>
      <c r="R11" s="74">
        <v>35</v>
      </c>
      <c r="S11" s="74">
        <v>28</v>
      </c>
      <c r="T11" s="74">
        <v>25</v>
      </c>
      <c r="U11" s="74">
        <v>32</v>
      </c>
      <c r="V11" s="74">
        <v>28</v>
      </c>
      <c r="W11" s="74">
        <v>30</v>
      </c>
      <c r="X11" s="74">
        <v>28</v>
      </c>
      <c r="Y11" s="74">
        <v>30</v>
      </c>
      <c r="Z11" s="74">
        <v>30</v>
      </c>
      <c r="AA11" s="74">
        <v>37</v>
      </c>
      <c r="AB11" s="74">
        <v>28</v>
      </c>
      <c r="AC11" s="74">
        <v>31</v>
      </c>
      <c r="AD11" s="74">
        <v>35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48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48" t="s" ph="1">
        <v>177</v>
      </c>
      <c r="D15" s="78">
        <v>5194</v>
      </c>
      <c r="E15" s="78">
        <v>1509</v>
      </c>
      <c r="F15" s="78">
        <v>4460</v>
      </c>
      <c r="G15" s="78">
        <v>1806</v>
      </c>
      <c r="H15" s="78">
        <v>2055</v>
      </c>
      <c r="I15" s="78">
        <v>2683</v>
      </c>
      <c r="J15" s="78">
        <v>1068</v>
      </c>
      <c r="K15" s="78">
        <v>3364</v>
      </c>
      <c r="L15" s="78">
        <v>5846</v>
      </c>
      <c r="M15" s="78">
        <v>6028</v>
      </c>
      <c r="N15" s="78">
        <v>371</v>
      </c>
      <c r="O15" s="78">
        <v>5083</v>
      </c>
      <c r="P15" s="78">
        <v>3949</v>
      </c>
      <c r="Q15" s="78">
        <v>11</v>
      </c>
      <c r="R15" s="78">
        <v>1947</v>
      </c>
      <c r="S15" s="78">
        <v>0</v>
      </c>
      <c r="T15" s="78">
        <v>4459</v>
      </c>
      <c r="U15" s="78">
        <v>2673</v>
      </c>
      <c r="V15" s="78">
        <v>1753</v>
      </c>
      <c r="W15" s="71">
        <v>2497</v>
      </c>
      <c r="X15" s="78">
        <v>1286</v>
      </c>
      <c r="Y15" s="106">
        <v>-2369</v>
      </c>
      <c r="Z15" s="78">
        <v>1270</v>
      </c>
      <c r="AA15" s="78">
        <v>2542</v>
      </c>
      <c r="AB15" s="78" ph="1">
        <v>0</v>
      </c>
      <c r="AC15" s="78" ph="1">
        <v>0</v>
      </c>
      <c r="AD15" s="78">
        <v>0</v>
      </c>
      <c r="AE15" s="78">
        <v>46.9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48" t="s" ph="1">
        <v>178</v>
      </c>
      <c r="D16" s="73" ph="1">
        <f>D15*7.0686*LOOKUP(D17,密度!$A$2:$A$50,密度!$L$2:$L$50)</f>
        <v>34217.735428800006</v>
      </c>
      <c r="E16" s="73" ph="1">
        <f>E15*7.0686*LOOKUP(E17,密度!$A$2:$A$50,密度!$L$2:$L$50)</f>
        <v>9951.8607342000014</v>
      </c>
      <c r="F16" s="73" ph="1">
        <f>F15*9.0746*LOOKUP(F17,密度!$A$2:$A$50,密度!$L$2:$L$50)</f>
        <v>37761.044028000004</v>
      </c>
      <c r="G16" s="73" ph="1">
        <f>G15*9.0746*LOOKUP(G17,密度!$A$2:$A$50,密度!$B$2:$B$50)</f>
        <v>12720.930363120002</v>
      </c>
      <c r="H16" s="73" ph="1">
        <f>H15*9.0746*LOOKUP(H17,密度!$A$2:$A$50,密度!$L$2:$L$50)</f>
        <v>17417.515002</v>
      </c>
      <c r="I16" s="73" ph="1">
        <f>I15*9.0746*LOOKUP(I17,密度!$A$2:$A$50,密度!$U$2:$U$50)</f>
        <v>24834.094836</v>
      </c>
      <c r="J16" s="73" ph="1">
        <f>J15*9.0746*LOOKUP(J17,密度!$A$2:$A$50,密度!$L$2:$L$50)</f>
        <v>9042.3307224</v>
      </c>
      <c r="K16" s="73" ph="1">
        <f>K15*9.0746*LOOKUP(K17,密度!$A$2:$A$50,密度!$C$2:$C$50)</f>
        <v>33759.758870960002</v>
      </c>
      <c r="L16" s="73" ph="1">
        <f>L15*9.0746*LOOKUP(L17,密度!$A$2:$A$50,密度!$E$2:$E$50)</f>
        <v>41251.766780160004</v>
      </c>
      <c r="M16" s="73" ph="1">
        <f>M15*9.0746*LOOKUP(M17,密度!$A$2:$A$50,密度!$M$2:$M$50)</f>
        <v>47528.656347656004</v>
      </c>
      <c r="N16" s="73" ph="1">
        <f>N15*9.0746*LOOKUP(N17,密度!$A$2:$A$50,密度!$M$2:$M$50)</f>
        <v>2942.8120160600001</v>
      </c>
      <c r="O16" s="73" ph="1">
        <f>O15*9.0746*LOOKUP(O17,密度!$A$2:$A$50,密度!$G$2:$G$50)</f>
        <v>44036.67531146</v>
      </c>
      <c r="P16" s="73" ph="1">
        <f ca="1">P15*9.0746*LOOKUP(P17,密度!$A$2:$A$51,密度!$Q$2:$Q$50)</f>
        <v>33826.293565922002</v>
      </c>
      <c r="Q16" s="73" ph="1">
        <f>Q15*9.0746*LOOKUP(Q17,密度!$A$2:$A$50,密度!$Q$2:$Q$50)</f>
        <v>94.223658958000001</v>
      </c>
      <c r="R16" s="73" ph="1">
        <f>MAX(R15*9.0746*LOOKUP(R17,密度!$A$2:$A$50,密度!$B$2:$B$50),0)</f>
        <v>13698.19127886</v>
      </c>
      <c r="S16" s="73" ph="1">
        <f>S15*9.0746*LOOKUP(S17,密度!$A$2:$A$50,密度!$Q$2:$Q$50)</f>
        <v>0</v>
      </c>
      <c r="T16" s="73" ph="1">
        <f>T15*9.0746*LOOKUP(T17,密度!$A$2:$A$50,密度!$O$2:$O$50)</f>
        <v>37469.331936400005</v>
      </c>
      <c r="U16" s="73" ph="1">
        <f>U15*9.0746*LOOKUP(U17,密度!$A$2:$A$50,密度!$H$2:$H$50)</f>
        <v>22097.5856838</v>
      </c>
      <c r="V16" s="73" ph="1">
        <f>MAX(5600*LOOKUP(V17,密度!$A$2:$A$50,密度!$Q$2:$Q$50)+V15*9.0476*LOOKUP(V17,密度!$A$2:$A$50,密度!$Q$2:$Q$50),0)</f>
        <v>20185.477893251998</v>
      </c>
      <c r="W16" s="73" ph="1">
        <f>MAX(5600*LOOKUP(W17,密度!$A$2:$A$50,密度!$Q$2:$Q$50)+W15*9.0476*LOOKUP(W17,密度!$A$2:$A$50,密度!$Q$2:$Q$50),0)</f>
        <v>26516.978963747999</v>
      </c>
      <c r="X16" s="73" ph="1">
        <f>MAX(5600*LOOKUP(X17,密度!$A$2:$A$50,密度!$I$2:$I$50)+X15*9.0476*LOOKUP(X17,密度!$A$2:$A$50,密度!$I$2:$I$50),0)</f>
        <v>17867.745939119999</v>
      </c>
      <c r="Y16" s="107" ph="1">
        <v>0</v>
      </c>
      <c r="Z16" s="73" ph="1">
        <f>Z15*9.0746*LOOKUP(Z17,密度!$A$2:$A$50,密度!$D$2:$D$50)</f>
        <v>11788.6585918</v>
      </c>
      <c r="AA16" s="73" ph="1">
        <f>AA15*9.0746*LOOKUP(AA17,密度!$A$2:$A$50,密度!$B$2:$B$50)</f>
        <v>17923.550996400001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11044.6649232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29</v>
      </c>
      <c r="F17" s="74">
        <v>29</v>
      </c>
      <c r="G17" s="74">
        <v>29</v>
      </c>
      <c r="H17" s="74">
        <v>28</v>
      </c>
      <c r="I17" s="74">
        <v>30</v>
      </c>
      <c r="J17" s="74">
        <v>29</v>
      </c>
      <c r="K17" s="74">
        <v>29</v>
      </c>
      <c r="L17" s="74">
        <v>30</v>
      </c>
      <c r="M17" s="74">
        <v>31</v>
      </c>
      <c r="N17" s="74">
        <v>26</v>
      </c>
      <c r="O17" s="74">
        <v>30</v>
      </c>
      <c r="P17" s="74">
        <v>29</v>
      </c>
      <c r="Q17" s="74">
        <v>29</v>
      </c>
      <c r="R17" s="74">
        <v>30</v>
      </c>
      <c r="S17" s="74">
        <v>29</v>
      </c>
      <c r="T17" s="74">
        <v>29</v>
      </c>
      <c r="U17" s="74">
        <v>29</v>
      </c>
      <c r="V17" s="74">
        <v>34</v>
      </c>
      <c r="W17" s="74">
        <v>34</v>
      </c>
      <c r="X17" s="74">
        <v>30</v>
      </c>
      <c r="Y17" s="108">
        <v>30</v>
      </c>
      <c r="Z17" s="74">
        <v>29</v>
      </c>
      <c r="AA17" s="74">
        <v>28</v>
      </c>
      <c r="AB17" s="74">
        <v>30</v>
      </c>
      <c r="AC17" s="74">
        <v>30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2465</v>
      </c>
      <c r="E18" s="71">
        <v>2398</v>
      </c>
      <c r="F18" s="71">
        <v>2585</v>
      </c>
      <c r="G18" s="71">
        <v>1894</v>
      </c>
      <c r="H18" s="71">
        <v>2033</v>
      </c>
      <c r="I18" s="71">
        <v>2633</v>
      </c>
      <c r="J18" s="71">
        <v>1120</v>
      </c>
      <c r="K18" s="71">
        <v>3362</v>
      </c>
      <c r="L18" s="71">
        <v>5867</v>
      </c>
      <c r="M18" s="71">
        <v>3082</v>
      </c>
      <c r="N18" s="71">
        <v>2965</v>
      </c>
      <c r="O18" s="71">
        <v>5332</v>
      </c>
      <c r="P18" s="71">
        <v>2217</v>
      </c>
      <c r="Q18" s="71">
        <v>0</v>
      </c>
      <c r="R18" s="71">
        <v>1949</v>
      </c>
      <c r="S18" s="71">
        <v>0</v>
      </c>
      <c r="T18" s="71">
        <v>3836</v>
      </c>
      <c r="U18" s="71">
        <v>2665</v>
      </c>
      <c r="V18" s="71">
        <v>1751</v>
      </c>
      <c r="W18" s="71">
        <v>1281</v>
      </c>
      <c r="X18" s="71">
        <v>1286</v>
      </c>
      <c r="Y18" s="109">
        <v>-9909</v>
      </c>
      <c r="Z18" s="71">
        <v>1088</v>
      </c>
      <c r="AA18" s="71">
        <v>2546</v>
      </c>
      <c r="AB18" s="71">
        <v>0</v>
      </c>
      <c r="AC18" s="71">
        <v>0</v>
      </c>
      <c r="AD18" s="71">
        <v>6.91</v>
      </c>
      <c r="AE18" s="71">
        <v>84.82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48" t="s" ph="1">
        <v>178</v>
      </c>
      <c r="D19" s="73" ph="1">
        <f>D18*7.0686*LOOKUP(D20,密度!$A$2:$A$50,密度!$L$2:$L$50)</f>
        <v>16169.563871999999</v>
      </c>
      <c r="E19" s="73" ph="1">
        <f>E18*7.0686*LOOKUP(E20,密度!$A$2:$A$50,密度!$L$2:$L$50)</f>
        <v>15747.017101199999</v>
      </c>
      <c r="F19" s="73" ph="1">
        <f>F18*9.0746*LOOKUP(F20,密度!$A$2:$A$50,密度!$L$2:$L$50)</f>
        <v>21675.045084000001</v>
      </c>
      <c r="G19" s="73" ph="1">
        <f>G18*9.0746*LOOKUP(G20,密度!$A$2:$A$50,密度!$B$2:$B$50)</f>
        <v>13309.83923456</v>
      </c>
      <c r="H19" s="73" ph="1">
        <f>H18*9.0746*LOOKUP(H20,密度!$A$2:$A$50,密度!$L$2:$L$50)</f>
        <v>17231.050121200002</v>
      </c>
      <c r="I19" s="73" ph="1">
        <f>I18*9.0746*LOOKUP(I20,密度!$A$2:$A$50,密度!$U$2:$U$50)</f>
        <v>24323.503392400002</v>
      </c>
      <c r="J19" s="73" ph="1">
        <f>J18*9.0746*LOOKUP(J20,密度!$A$2:$A$50,密度!$L$2:$L$50)</f>
        <v>9431.776256000001</v>
      </c>
      <c r="K19" s="73" ph="1">
        <f>K18*9.0746*LOOKUP(K20,密度!$A$2:$A$50,密度!$C$2:$C$50)</f>
        <v>33715.280626520005</v>
      </c>
      <c r="L19" s="73" ph="1">
        <f>L18*9.0746*LOOKUP(L20,密度!$A$2:$A$50,密度!$E$2:$E$50)</f>
        <v>41278.562622024001</v>
      </c>
      <c r="M19" s="73" ph="1">
        <f>M18*9.0746*LOOKUP(M20,密度!$A$2:$A$50,密度!$M$2:$M$50)</f>
        <v>24212.385278384001</v>
      </c>
      <c r="N19" s="73" ph="1">
        <f>N18*9.0746*LOOKUP(N20,密度!$A$2:$A$50,密度!$M$2:$M$50)</f>
        <v>23377.980436430003</v>
      </c>
      <c r="O19" s="73" ph="1">
        <f>O18*9.0746*LOOKUP(O20,密度!$A$2:$A$50,密度!$G$2:$G$50)</f>
        <v>45990.671723600004</v>
      </c>
      <c r="P19" s="73" ph="1">
        <f ca="1">P18*9.0746*LOOKUP(P20,密度!$A$2:$A$51,密度!$Q$2:$Q$50)</f>
        <v>18978.279140705999</v>
      </c>
      <c r="Q19" s="73" ph="1">
        <f>Q18*9.0746*LOOKUP(Q20,密度!$A$2:$A$50,密度!$Q$2:$Q$50)</f>
        <v>0</v>
      </c>
      <c r="R19" s="73" ph="1">
        <f>MAX(R18*9.0746*LOOKUP(R20,密度!$A$2:$A$50,密度!$B$2:$B$50),0)</f>
        <v>13712.262353620001</v>
      </c>
      <c r="S19" s="73" ph="1">
        <f>S18*9.0746*LOOKUP(S20,密度!$A$2:$A$50,密度!$Q$2:$Q$50)</f>
        <v>0</v>
      </c>
      <c r="T19" s="73" ph="1">
        <f>T18*9.0746*LOOKUP(T20,密度!$A$2:$A$50,密度!$O$2:$O$50)</f>
        <v>32094.972683200001</v>
      </c>
      <c r="U19" s="73" ph="1">
        <f>U18*9.0746*LOOKUP(U20,密度!$A$2:$A$50,密度!$H$2:$H$50)</f>
        <v>21984.291571450001</v>
      </c>
      <c r="V19" s="73" ph="1">
        <f>MAX(5600*LOOKUP(V20,密度!$A$2:$A$50,密度!$Q$2:$Q$50)+V18*9.0476*LOOKUP(V20,密度!$A$2:$A$50,密度!$Q$2:$Q$50),0)</f>
        <v>20182.609678499997</v>
      </c>
      <c r="W19" s="73" ph="1">
        <f>MAX(5600*LOOKUP(W20,密度!$A$2:$A$50,密度!$Q$2:$Q$50)+W18*9.0476*LOOKUP(W20,密度!$A$2:$A$50,密度!$Q$2:$Q$50),0)</f>
        <v>16168.719149604</v>
      </c>
      <c r="X19" s="73" ph="1">
        <f>MAX(5600*LOOKUP(X20,密度!$A$2:$A$50,密度!$I$2:$I$50)+X18*9.0476*LOOKUP(X20,密度!$A$2:$A$50,密度!$I$2:$I$50),0)</f>
        <v>17829.828469199998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10064.704197120001</v>
      </c>
      <c r="AA19" s="73" ph="1">
        <f>AA18*9.0746*LOOKUP(AA20,密度!$A$2:$A$50,密度!$B$2:$B$50)</f>
        <v>17852.40794732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2659.3437276</v>
      </c>
      <c r="AE19" s="73" ph="1">
        <f>AE18*268.68*LOOKUP(AE20,密度!$A$2:$A$50,密度!B5:B53)+IF(AE18&lt;=0,0,1566*LOOKUP(AE20,密度!$A$2:$A$50,密度!B5:B53))</f>
        <v>18924.175015199999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34</v>
      </c>
      <c r="E20" s="81">
        <v>33</v>
      </c>
      <c r="F20" s="81">
        <v>38</v>
      </c>
      <c r="G20" s="81">
        <v>31</v>
      </c>
      <c r="H20" s="81">
        <v>28</v>
      </c>
      <c r="I20" s="81">
        <v>32</v>
      </c>
      <c r="J20" s="81">
        <v>34</v>
      </c>
      <c r="K20" s="81">
        <v>30</v>
      </c>
      <c r="L20" s="81">
        <v>32</v>
      </c>
      <c r="M20" s="81">
        <v>34</v>
      </c>
      <c r="N20" s="81">
        <v>31</v>
      </c>
      <c r="O20" s="81">
        <v>34</v>
      </c>
      <c r="P20" s="81">
        <v>30</v>
      </c>
      <c r="Q20" s="81">
        <v>36</v>
      </c>
      <c r="R20" s="81">
        <v>30</v>
      </c>
      <c r="S20" s="81">
        <v>34</v>
      </c>
      <c r="T20" s="81">
        <v>32</v>
      </c>
      <c r="U20" s="81">
        <v>31</v>
      </c>
      <c r="V20" s="81">
        <v>33</v>
      </c>
      <c r="W20" s="81">
        <v>34</v>
      </c>
      <c r="X20" s="81">
        <v>32</v>
      </c>
      <c r="Y20" s="110">
        <v>32</v>
      </c>
      <c r="Z20" s="81">
        <v>33</v>
      </c>
      <c r="AA20" s="81">
        <v>33</v>
      </c>
      <c r="AB20" s="81">
        <v>33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48" t="s" ph="1">
        <v>177</v>
      </c>
      <c r="D24" s="71">
        <v>3.01</v>
      </c>
      <c r="E24" s="71">
        <v>5.82</v>
      </c>
      <c r="F24" s="71">
        <v>7</v>
      </c>
      <c r="G24" s="71">
        <v>3083</v>
      </c>
      <c r="H24" s="71">
        <v>3917</v>
      </c>
      <c r="I24" s="71">
        <v>2554</v>
      </c>
      <c r="J24" s="71">
        <v>2426</v>
      </c>
      <c r="K24" s="71">
        <v>224</v>
      </c>
      <c r="L24" s="71">
        <v>302</v>
      </c>
      <c r="M24" s="71">
        <v>3816</v>
      </c>
      <c r="N24" s="71">
        <v>3804</v>
      </c>
      <c r="O24" s="71">
        <v>340</v>
      </c>
      <c r="P24" s="71">
        <v>1722</v>
      </c>
      <c r="Q24" s="90">
        <v>1850</v>
      </c>
      <c r="R24" s="71">
        <v>4985</v>
      </c>
      <c r="S24" s="71">
        <v>2522</v>
      </c>
      <c r="T24" s="71">
        <v>371</v>
      </c>
      <c r="U24" s="71">
        <v>6615</v>
      </c>
      <c r="V24" s="71">
        <v>884</v>
      </c>
      <c r="W24" s="71">
        <v>407</v>
      </c>
      <c r="X24" s="71">
        <v>4914</v>
      </c>
      <c r="Y24" s="71">
        <v>6319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2248.2488506319996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77.321082020000006</v>
      </c>
      <c r="G25" s="91" ph="1">
        <f>G24*18.322*LOOKUP(G26,密度!$A$2:$A$50,密度!$B$2:$B$50)</f>
        <v>43794.158667799995</v>
      </c>
      <c r="H25" s="91" ph="1">
        <f>H24*18.322*LOOKUP(H26,密度!$A$2:$A$50,密度!$B$2:$B$50)</f>
        <v>55705.75807879999</v>
      </c>
      <c r="I25" s="91" ph="1">
        <f>I24*18.322*LOOKUP(I26,密度!$A$2:$A$50,密度!$Q$2:$Q$50)</f>
        <v>44235.670864159998</v>
      </c>
      <c r="J25" s="91" ph="1">
        <f>J24*18.322*LOOKUP(J26,密度!$A$2:$A$50,密度!$Q$2:$Q$50)</f>
        <v>41987.57685464</v>
      </c>
      <c r="K25" s="91" ph="1">
        <f>K24*18.322*LOOKUP(K26,密度!$A$2:$A$50,密度!$Q$2:$Q$50)</f>
        <v>3879.71428096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66093.704000639991</v>
      </c>
      <c r="N25" s="91" ph="1">
        <f>N24*18.322*LOOKUP(N26,密度!$A$2:$A$50,密度!$Q$2:$Q$50)</f>
        <v>65885.862164159989</v>
      </c>
      <c r="O25" s="91" ph="1">
        <f>O24*18.322*LOOKUP(O26,密度!$A$2:$A$50,密度!$C$2:$C$50)</f>
        <v>6893.5425679999998</v>
      </c>
      <c r="P25" s="91" ph="1">
        <f>P24*11.702*LOOKUP(P26,密度!$A$2:$A$50,密度!$B$2:$B$50)</f>
        <v>15675.341547600001</v>
      </c>
      <c r="Q25" s="92" ph="1">
        <f>Q24*18.322*LOOKUP(Q26,密度!$A$2:$A$50,密度!$B$2:$B$50)</f>
        <v>26309.842339999999</v>
      </c>
      <c r="R25" s="91" ph="1">
        <f>R24*35.891*LOOKUP(R26,密度!$A$2:$A$50,密度!$C$2:$C$50)</f>
        <v>197989.14829099999</v>
      </c>
      <c r="S25" s="91" ph="1">
        <f>S24*35.891*LOOKUP(S26,密度!$A$2:$A$50,密度!$B$2:$B$50)</f>
        <v>70413.253645799996</v>
      </c>
      <c r="T25" s="91" ph="1">
        <f>T24*35.891*LOOKUP(T26,密度!$A$2:$A$50,密度!$Q$2:$Q$50)</f>
        <v>12587.46612452</v>
      </c>
      <c r="U25" s="91" ph="1">
        <f>U24*35.891</f>
        <v>237418.965</v>
      </c>
      <c r="V25" s="91" ph="1">
        <f>V24*47.051*LOOKUP(V26,密度!$A$2:$A$50,密度!$B$2:$B$50)</f>
        <v>32317.826268000004</v>
      </c>
      <c r="W25" s="91" ph="1">
        <f>W24*47.051*LOOKUP(W26,密度!$A$2:$A$50,密度!$B$2:$B$50)</f>
        <v>14879.361189000001</v>
      </c>
      <c r="X25" s="91" ph="1">
        <f>X24*47.051*LOOKUP(X26,密度!$A$2:$A$61,密度!$I$2:$I$61)</f>
        <v>239693.9701338</v>
      </c>
      <c r="Y25" s="91" ph="1">
        <f>Y24*47.051*LOOKUP(Y26,密度!$A$2:$A$50,密度!$L$2:$L$50)</f>
        <v>277395.14597700007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29</v>
      </c>
      <c r="G26" s="74">
        <v>30</v>
      </c>
      <c r="H26" s="74">
        <v>29</v>
      </c>
      <c r="I26" s="74">
        <v>27</v>
      </c>
      <c r="J26" s="74">
        <v>28</v>
      </c>
      <c r="K26" s="74">
        <v>27</v>
      </c>
      <c r="L26" s="74">
        <v>28</v>
      </c>
      <c r="M26" s="74">
        <v>27</v>
      </c>
      <c r="N26" s="74">
        <v>27</v>
      </c>
      <c r="O26" s="74">
        <v>28</v>
      </c>
      <c r="P26" s="74">
        <v>27</v>
      </c>
      <c r="Q26" s="93">
        <v>29</v>
      </c>
      <c r="R26" s="74">
        <v>28</v>
      </c>
      <c r="S26" s="74">
        <v>27</v>
      </c>
      <c r="T26" s="74">
        <v>27</v>
      </c>
      <c r="U26" s="74">
        <v>28</v>
      </c>
      <c r="V26" s="74">
        <v>28</v>
      </c>
      <c r="W26" s="74">
        <v>28</v>
      </c>
      <c r="X26" s="74">
        <v>30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48" t="s" ph="1">
        <v>180</v>
      </c>
      <c r="D27" s="71">
        <v>3.11</v>
      </c>
      <c r="E27" s="71">
        <v>5.81</v>
      </c>
      <c r="F27" s="71">
        <v>3.5</v>
      </c>
      <c r="G27" s="71">
        <v>2675</v>
      </c>
      <c r="H27" s="71">
        <v>2840</v>
      </c>
      <c r="I27" s="71">
        <v>1848</v>
      </c>
      <c r="J27" s="71">
        <v>4667</v>
      </c>
      <c r="K27" s="71">
        <v>2451</v>
      </c>
      <c r="L27" s="71">
        <v>297</v>
      </c>
      <c r="M27" s="71">
        <v>3816</v>
      </c>
      <c r="N27" s="71">
        <v>3803</v>
      </c>
      <c r="O27" s="71">
        <v>356</v>
      </c>
      <c r="P27" s="71">
        <v>1722</v>
      </c>
      <c r="Q27" s="90">
        <v>1978</v>
      </c>
      <c r="R27" s="71">
        <v>4982</v>
      </c>
      <c r="S27" s="71">
        <v>2520</v>
      </c>
      <c r="T27" s="71">
        <v>374</v>
      </c>
      <c r="U27" s="71">
        <v>6685</v>
      </c>
      <c r="V27" s="71">
        <v>880</v>
      </c>
      <c r="W27" s="71">
        <v>405</v>
      </c>
      <c r="X27" s="71">
        <v>4913</v>
      </c>
      <c r="Y27" s="71">
        <v>4382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48" t="s" ph="1">
        <v>178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38.635966809999999</v>
      </c>
      <c r="G28" s="91" ph="1">
        <f>G27*18.322*LOOKUP(G29,密度!$A$2:$A$50,密度!$B$2:$B$50)</f>
        <v>37910.279224999998</v>
      </c>
      <c r="H28" s="91" ph="1">
        <f>H27*18.322*LOOKUP(H29,密度!$A$2:$A$50,密度!$B$2:$B$50)</f>
        <v>40342.332343999995</v>
      </c>
      <c r="I28" s="91" ph="1">
        <f>I27*18.322*LOOKUP(I29,密度!$A$2:$A$50,密度!$Q$2:$Q$50)</f>
        <v>31914.869004479995</v>
      </c>
      <c r="J28" s="91" ph="1">
        <f>J27*18.322*LOOKUP(J29,密度!$A$2:$A$50,密度!$Q$2:$Q$50)</f>
        <v>80598.860196919995</v>
      </c>
      <c r="K28" s="91" ph="1">
        <f>K27*18.322*LOOKUP(K29,密度!$A$2:$A$50,密度!$Q$2:$Q$50)</f>
        <v>42362.329729260004</v>
      </c>
      <c r="L28" s="91" ph="1">
        <f>L27*18.322*LOOKUP(L29,密度!$A$2:$A$50,密度!$Q$2:$Q$50)</f>
        <v>5125.4750646000002</v>
      </c>
      <c r="M28" s="91" ph="1">
        <f>M27*18.322*LOOKUP(M29,密度!$A$2:$A$50,密度!$Q$2:$Q$50)</f>
        <v>65954.569664159993</v>
      </c>
      <c r="N28" s="91" ph="1">
        <f>N27*18.322*LOOKUP(N29,密度!$A$2:$A$50,密度!$Q$2:$Q$50)</f>
        <v>65729.881664779998</v>
      </c>
      <c r="O28" s="91" ph="1">
        <f>O27*18.322*LOOKUP(O29,密度!$A$2:$A$50,密度!$C$2:$C$50)</f>
        <v>7201.6379912000002</v>
      </c>
      <c r="P28" s="91" ph="1">
        <f>P27*11.702*LOOKUP(P29,密度!$A$2:$A$50,密度!$B$2:$B$50)</f>
        <v>15622.9493532</v>
      </c>
      <c r="Q28" s="92" ph="1">
        <f>Q27*18.322*LOOKUP(Q29,密度!$A$2:$A$50,密度!$B$2:$B$50)</f>
        <v>28032.348525999998</v>
      </c>
      <c r="R28" s="91" ph="1">
        <f>R27*35.891*LOOKUP(R29,密度!$A$2:$A$50,密度!$C$2:$C$50)</f>
        <v>197422.97494420002</v>
      </c>
      <c r="S28" s="91" ph="1">
        <f>S27*35.891*LOOKUP(S29,密度!$A$2:$A$50,密度!$B$2:$B$50)</f>
        <v>70122.256595999992</v>
      </c>
      <c r="T28" s="91" ph="1">
        <f>T27*35.891*LOOKUP(T29,密度!$A$2:$A$50,密度!$Q$2:$Q$50)</f>
        <v>12662.539329219999</v>
      </c>
      <c r="U28" s="91" ph="1">
        <f>U27*35.891</f>
        <v>239931.33499999999</v>
      </c>
      <c r="V28" s="91" ph="1">
        <f>V27*47.051*LOOKUP(V29,密度!$A$2:$A$50,密度!$B$2:$B$50)</f>
        <v>32026.674680000004</v>
      </c>
      <c r="W28" s="91" ph="1">
        <f>W27*47.051*LOOKUP(W29,密度!$A$2:$A$50,密度!$B$2:$B$50)</f>
        <v>14756.699232000001</v>
      </c>
      <c r="X28" s="91" ph="1">
        <f>X27*47.051*LOOKUP(X29,密度!$A$2:$A$61,密度!$I$2:$I$61)</f>
        <v>238350.68760929999</v>
      </c>
      <c r="Y28" s="91" ph="1">
        <f>Y27*47.051*LOOKUP(Y29,密度!$A$2:$A$50,密度!$L$2:$L$50)</f>
        <v>191951.23574200002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48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30</v>
      </c>
      <c r="I29" s="74">
        <v>31</v>
      </c>
      <c r="J29" s="74">
        <v>31</v>
      </c>
      <c r="K29" s="74">
        <v>30</v>
      </c>
      <c r="L29" s="74">
        <v>32</v>
      </c>
      <c r="M29" s="74">
        <v>30</v>
      </c>
      <c r="N29" s="74">
        <v>30</v>
      </c>
      <c r="O29" s="74">
        <v>31</v>
      </c>
      <c r="P29" s="74">
        <v>30</v>
      </c>
      <c r="Q29" s="93">
        <v>32</v>
      </c>
      <c r="R29" s="74">
        <v>31</v>
      </c>
      <c r="S29" s="74">
        <v>30</v>
      </c>
      <c r="T29" s="74">
        <v>30</v>
      </c>
      <c r="U29" s="74">
        <v>31</v>
      </c>
      <c r="V29" s="74">
        <v>32</v>
      </c>
      <c r="W29" s="74">
        <v>31</v>
      </c>
      <c r="X29" s="74">
        <v>35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48" t="s" ph="1">
        <v>5</v>
      </c>
      <c r="F32" s="149" t="s" ph="1">
        <v>43</v>
      </c>
      <c r="G32" s="97" t="s" ph="1">
        <v>4</v>
      </c>
      <c r="H32" s="148" t="s" ph="1">
        <v>5</v>
      </c>
      <c r="I32" s="149" t="s" ph="1">
        <v>43</v>
      </c>
      <c r="J32" s="97" t="s" ph="1">
        <v>4</v>
      </c>
      <c r="K32" s="148" t="s" ph="1">
        <v>5</v>
      </c>
      <c r="L32" s="149" t="s" ph="1">
        <v>43</v>
      </c>
      <c r="M32" s="97" t="s" ph="1">
        <v>4</v>
      </c>
      <c r="N32" s="148" t="s" ph="1">
        <v>5</v>
      </c>
      <c r="O32" s="149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48" t="s" ph="1">
        <v>5</v>
      </c>
      <c r="U32" s="99" t="s" ph="1">
        <v>43</v>
      </c>
      <c r="V32" s="97" t="s" ph="1">
        <v>4</v>
      </c>
      <c r="W32" s="148" t="s" ph="1">
        <v>5</v>
      </c>
      <c r="X32" s="99" t="s" ph="1">
        <v>43</v>
      </c>
      <c r="Y32" s="100" t="s" ph="1">
        <v>4</v>
      </c>
      <c r="Z32" s="148" t="s" ph="1">
        <v>5</v>
      </c>
      <c r="AA32" s="149" t="s" ph="1">
        <v>43</v>
      </c>
      <c r="AB32" s="97" t="s" ph="1">
        <v>85</v>
      </c>
      <c r="AC32" s="148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50119.283115120008</v>
      </c>
      <c r="E33" s="190" ph="1">
        <f>M10+I10</f>
        <v>181868.64294759999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1522252632456786910111213141516171819202123456789101112131415161718192022232424356789101112131415161718192021222345678910111213141516171819202345678910111213149101516171819222123234567891012131415161711181920212224252345678910111213123[[#This Row],[F25]]</f>
        <v>3880</v>
      </c>
      <c r="G33" s="216" ph="1">
        <f>N19</f>
        <v>23377.980436430003</v>
      </c>
      <c r="H33" s="190" ph="1">
        <f>M19</f>
        <v>24212.385278384001</v>
      </c>
      <c r="I33" s="194" ph="1">
        <v>0</v>
      </c>
      <c r="J33" s="198" ph="1">
        <f>F10+O28</f>
        <v>221659.37175799999</v>
      </c>
      <c r="K33" s="190" ph="1">
        <f>O10+K10+E28+R28</f>
        <v>208048.25868352002</v>
      </c>
      <c r="L33" s="200" ph="1">
        <f>K19</f>
        <v>33715.280626520005</v>
      </c>
      <c r="M33" s="198" ph="1">
        <f>G10+H10+W28+S28+V28+E10+R19+P28+Q28</f>
        <v>803013.72373282013</v>
      </c>
      <c r="N33" s="190" ph="1">
        <f>L10+P10++G28+H28+AD19+AE19</f>
        <v>231147.42824780001</v>
      </c>
      <c r="O33" s="194" ph="1">
        <f>G19</f>
        <v>13309.83923456</v>
      </c>
      <c r="P33" s="198" ph="1">
        <f>L19</f>
        <v>41278.562622024001</v>
      </c>
      <c r="Q33" s="190" ph="1">
        <f>J10+N10</f>
        <v>173195.65951984</v>
      </c>
      <c r="R33" s="194" ph="1">
        <f>BE23</f>
        <v>890</v>
      </c>
      <c r="S33" s="198" ph="1">
        <f>X28</f>
        <v>238350.68760929999</v>
      </c>
      <c r="T33" s="190" ph="1">
        <f>X19</f>
        <v>17829.828469199998</v>
      </c>
      <c r="U33" s="179" ph="1">
        <f>BE21</f>
        <v>730</v>
      </c>
      <c r="V33" s="192" ph="1">
        <f ca="1">P19+Q19+S19+M28+N28+J28+D10+AC10+D19+E19+H19+J19+O19+V19+W19+K28+L28</f>
        <v>690762.07863183005</v>
      </c>
      <c r="W33" s="192" ph="1">
        <f>D28+F28+T28+I28</f>
        <v>46889.730161461994</v>
      </c>
      <c r="X33" s="194" ph="1">
        <f>BE29+BE31</f>
        <v>10200</v>
      </c>
      <c r="Y33" s="196" ph="1">
        <f>+Q10+R10+S10+T10+U10+V10+W10+X10+Y10</f>
        <v>310539.54476160003</v>
      </c>
      <c r="Z33" s="177" ph="1">
        <f>T19+U19+Y28+Z10</f>
        <v>275101.46263665002</v>
      </c>
      <c r="AA33" s="179" ph="1">
        <f>BE19</f>
        <v>1440</v>
      </c>
      <c r="AB33" s="181" ph="1">
        <f>I19</f>
        <v>24323.503392400002</v>
      </c>
      <c r="AC33" s="183" ph="1">
        <f>AD10+AB19</f>
        <v>107022.89666880001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0" t="s" ph="1">
        <v>185</v>
      </c>
      <c r="AA36" s="150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0" t="s" ph="1">
        <v>342</v>
      </c>
      <c r="AI37" s="150" t="s" ph="1">
        <v>209</v>
      </c>
      <c r="AJ37" s="150" t="s" ph="1">
        <v>210</v>
      </c>
      <c r="AK37" s="150" t="s" ph="1">
        <v>211</v>
      </c>
      <c r="AM37" s="150" t="s" ph="1">
        <v>210</v>
      </c>
      <c r="AN37" s="150" t="s" ph="1">
        <v>211</v>
      </c>
      <c r="AO37" s="150" t="s" ph="1">
        <v>212</v>
      </c>
      <c r="AP37" s="150" t="s" ph="1">
        <v>210</v>
      </c>
      <c r="AQ37" s="150" t="s" ph="1">
        <v>211</v>
      </c>
      <c r="AR37" s="150" t="s" ph="1">
        <v>212</v>
      </c>
      <c r="AS37" s="150" t="s" ph="1">
        <v>210</v>
      </c>
      <c r="AT37" s="150" t="s" ph="1">
        <v>211</v>
      </c>
      <c r="AU37" s="150" t="s" ph="1">
        <v>212</v>
      </c>
      <c r="AV37" s="150" t="s" ph="1">
        <v>210</v>
      </c>
      <c r="AW37" s="150" t="s" ph="1">
        <v>211</v>
      </c>
      <c r="AX37" s="150" t="s" ph="1">
        <v>212</v>
      </c>
      <c r="AY37" s="150" t="s" ph="1">
        <v>211</v>
      </c>
      <c r="AZ37" s="150" t="s" ph="1">
        <v>213</v>
      </c>
      <c r="BD37" s="150" t="s" ph="1">
        <v>305</v>
      </c>
      <c r="BE37" s="15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017" priority="101">
      <formula>ABS(D$7-D$10)&gt;=1000</formula>
    </cfRule>
  </conditionalFormatting>
  <conditionalFormatting sqref="E4 E6:E11">
    <cfRule type="expression" dxfId="3016" priority="100">
      <formula>ABS(E$7-E$10)&gt;=1000</formula>
    </cfRule>
  </conditionalFormatting>
  <conditionalFormatting sqref="F4:F11">
    <cfRule type="expression" dxfId="3015" priority="99">
      <formula>ABS(F$7-F$10)&gt;=1000</formula>
    </cfRule>
  </conditionalFormatting>
  <conditionalFormatting sqref="G4:G11">
    <cfRule type="expression" dxfId="3014" priority="98">
      <formula>ABS(G$7-G$10)&gt;=1000</formula>
    </cfRule>
  </conditionalFormatting>
  <conditionalFormatting sqref="H4:H11">
    <cfRule type="expression" dxfId="3013" priority="97">
      <formula>ABS(H$7-H$10)&gt;=1000</formula>
    </cfRule>
  </conditionalFormatting>
  <conditionalFormatting sqref="I4:I11">
    <cfRule type="expression" dxfId="3012" priority="96">
      <formula>ABS(I$7-I$10)&gt;=1000</formula>
    </cfRule>
  </conditionalFormatting>
  <conditionalFormatting sqref="J4:J11">
    <cfRule type="expression" dxfId="3011" priority="95">
      <formula>ABS(J$7-J$10)&gt;=1000</formula>
    </cfRule>
  </conditionalFormatting>
  <conditionalFormatting sqref="K4:K11">
    <cfRule type="expression" dxfId="3010" priority="94">
      <formula>ABS(K$7-K$10)&gt;=1000</formula>
    </cfRule>
  </conditionalFormatting>
  <conditionalFormatting sqref="L4:L11">
    <cfRule type="expression" dxfId="3009" priority="93">
      <formula>ABS(L$7-L$10)&gt;=1000</formula>
    </cfRule>
  </conditionalFormatting>
  <conditionalFormatting sqref="M4 M6:M11">
    <cfRule type="expression" dxfId="3008" priority="92">
      <formula>ABS(M$7-M$10)&gt;=1000</formula>
    </cfRule>
  </conditionalFormatting>
  <conditionalFormatting sqref="N4 N6:N11">
    <cfRule type="expression" dxfId="3007" priority="91">
      <formula>ABS(N$7-N$10)&gt;=1000</formula>
    </cfRule>
  </conditionalFormatting>
  <conditionalFormatting sqref="O4 O6:O11">
    <cfRule type="expression" dxfId="3006" priority="90">
      <formula>ABS(O$7-O$10)&gt;=1000</formula>
    </cfRule>
  </conditionalFormatting>
  <conditionalFormatting sqref="P4 P6:P11">
    <cfRule type="expression" dxfId="3005" priority="89">
      <formula>ABS(P$7-P$10)&gt;=1000</formula>
    </cfRule>
  </conditionalFormatting>
  <conditionalFormatting sqref="Q4:Q11">
    <cfRule type="expression" dxfId="3004" priority="88">
      <formula>ABS(Q$7-Q$10)&gt;=1000</formula>
    </cfRule>
  </conditionalFormatting>
  <conditionalFormatting sqref="R4:R11">
    <cfRule type="expression" dxfId="3003" priority="87">
      <formula>ABS(R$7-R$10)&gt;=1000</formula>
    </cfRule>
  </conditionalFormatting>
  <conditionalFormatting sqref="S4:S11">
    <cfRule type="expression" dxfId="3002" priority="86">
      <formula>ABS(S$7-S$10)&gt;=1000</formula>
    </cfRule>
  </conditionalFormatting>
  <conditionalFormatting sqref="T4:T9 T11">
    <cfRule type="expression" dxfId="3001" priority="85">
      <formula>ABS(T$7-T$10)&gt;=1000</formula>
    </cfRule>
  </conditionalFormatting>
  <conditionalFormatting sqref="U4:U9 U11">
    <cfRule type="expression" dxfId="3000" priority="84">
      <formula>ABS(U$7-U$10)&gt;=1000</formula>
    </cfRule>
  </conditionalFormatting>
  <conditionalFormatting sqref="V4:V9 V11">
    <cfRule type="expression" dxfId="2999" priority="83">
      <formula>ABS(V$7-V$10)&gt;=1000</formula>
    </cfRule>
  </conditionalFormatting>
  <conditionalFormatting sqref="W4:W9 W11">
    <cfRule type="expression" dxfId="2998" priority="82">
      <formula>ABS(W$7-W$10)&gt;=1000</formula>
    </cfRule>
  </conditionalFormatting>
  <conditionalFormatting sqref="X4:X9 X11">
    <cfRule type="expression" dxfId="2997" priority="81">
      <formula>ABS(X$7-X$10)&gt;=1000</formula>
    </cfRule>
  </conditionalFormatting>
  <conditionalFormatting sqref="Y4:Y9 Y11">
    <cfRule type="expression" dxfId="2996" priority="80">
      <formula>ABS(Y$7-Y$10)&gt;=1000</formula>
    </cfRule>
  </conditionalFormatting>
  <conditionalFormatting sqref="Z4:Z11">
    <cfRule type="expression" dxfId="2995" priority="79">
      <formula>ABS(Z$7-Z$10)&gt;=1000</formula>
    </cfRule>
  </conditionalFormatting>
  <conditionalFormatting sqref="AA4:AA11">
    <cfRule type="expression" dxfId="2994" priority="78">
      <formula>ABS(AA$7-AA$10)&gt;=1000</formula>
    </cfRule>
  </conditionalFormatting>
  <conditionalFormatting sqref="AB4:AB11">
    <cfRule type="expression" dxfId="2993" priority="77">
      <formula>ABS(AB$7-AB$10)&gt;=1000</formula>
    </cfRule>
  </conditionalFormatting>
  <conditionalFormatting sqref="AC4 AC6:AC11">
    <cfRule type="expression" dxfId="2992" priority="76">
      <formula>ABS(AC$7-AC$10)&gt;=1000</formula>
    </cfRule>
  </conditionalFormatting>
  <conditionalFormatting sqref="AD4 AD6:AD11">
    <cfRule type="expression" dxfId="2991" priority="75">
      <formula>ABS(AD$7-AD$10)&gt;=1000</formula>
    </cfRule>
  </conditionalFormatting>
  <conditionalFormatting sqref="AE4 AE6:AE11">
    <cfRule type="expression" dxfId="2990" priority="74">
      <formula>ABS(AE$7-AE$10)&gt;=1000</formula>
    </cfRule>
  </conditionalFormatting>
  <conditionalFormatting sqref="D13:D20">
    <cfRule type="expression" dxfId="2989" priority="73">
      <formula>ABS(D$16-D$19)&gt;=1000</formula>
    </cfRule>
  </conditionalFormatting>
  <conditionalFormatting sqref="E13:E20">
    <cfRule type="expression" dxfId="2988" priority="72">
      <formula>ABS(E$16-E$19)&gt;=1000</formula>
    </cfRule>
  </conditionalFormatting>
  <conditionalFormatting sqref="F13 F15:F20">
    <cfRule type="expression" dxfId="2987" priority="71">
      <formula>ABS(F$16-F$19)&gt;=1000</formula>
    </cfRule>
  </conditionalFormatting>
  <conditionalFormatting sqref="G13:G20">
    <cfRule type="expression" dxfId="2986" priority="70">
      <formula>ABS(G$16-G$19)&gt;=1000</formula>
    </cfRule>
  </conditionalFormatting>
  <conditionalFormatting sqref="H13 H15:H20">
    <cfRule type="expression" dxfId="2985" priority="69">
      <formula>ABS(H$16-H$19)&gt;=1000</formula>
    </cfRule>
  </conditionalFormatting>
  <conditionalFormatting sqref="I13:I20">
    <cfRule type="expression" dxfId="2984" priority="68">
      <formula>ABS(I$16-I$19)&gt;=1000</formula>
    </cfRule>
  </conditionalFormatting>
  <conditionalFormatting sqref="J13:J20">
    <cfRule type="expression" dxfId="2983" priority="67">
      <formula>ABS(J$16-J$19)&gt;=1000</formula>
    </cfRule>
  </conditionalFormatting>
  <conditionalFormatting sqref="L13:L20">
    <cfRule type="expression" dxfId="2982" priority="66">
      <formula>ABS(L$16-L$19)&gt;=1000</formula>
    </cfRule>
  </conditionalFormatting>
  <conditionalFormatting sqref="M13 M15 M17:M18 M20">
    <cfRule type="expression" dxfId="2981" priority="65">
      <formula>ABS(M$16-M$19)&gt;=1000</formula>
    </cfRule>
  </conditionalFormatting>
  <conditionalFormatting sqref="N13:N20">
    <cfRule type="expression" dxfId="2980" priority="64">
      <formula>ABS(N$16-N$19)&gt;=1000</formula>
    </cfRule>
  </conditionalFormatting>
  <conditionalFormatting sqref="O13:O20">
    <cfRule type="expression" dxfId="2979" priority="63">
      <formula>ABS(O$16-O$19)&gt;=1000</formula>
    </cfRule>
  </conditionalFormatting>
  <conditionalFormatting sqref="P13:P20">
    <cfRule type="expression" dxfId="2978" priority="62">
      <formula>ABS(P$16-P$19)&gt;=1000</formula>
    </cfRule>
  </conditionalFormatting>
  <conditionalFormatting sqref="Q13 Q15:Q20">
    <cfRule type="expression" dxfId="2977" priority="61">
      <formula>ABS(Q$16-Q$19)&gt;=1000</formula>
    </cfRule>
  </conditionalFormatting>
  <conditionalFormatting sqref="R13:R20">
    <cfRule type="expression" dxfId="2976" priority="60">
      <formula>ABS(R$16-R$19)&gt;=1000</formula>
    </cfRule>
  </conditionalFormatting>
  <conditionalFormatting sqref="S13:S20">
    <cfRule type="expression" dxfId="2975" priority="59">
      <formula>ABS(S$16-S$19)&gt;=1000</formula>
    </cfRule>
  </conditionalFormatting>
  <conditionalFormatting sqref="T13:T15 T17:T20">
    <cfRule type="expression" dxfId="2974" priority="58">
      <formula>ABS(T$16-T$19)&gt;=1000</formula>
    </cfRule>
  </conditionalFormatting>
  <conditionalFormatting sqref="U13:U20">
    <cfRule type="expression" dxfId="2973" priority="57">
      <formula>ABS(U$16-U$19)&gt;=1000</formula>
    </cfRule>
  </conditionalFormatting>
  <conditionalFormatting sqref="V13:V20">
    <cfRule type="expression" dxfId="2972" priority="56">
      <formula>ABS(V$16-V$19)&gt;=1000</formula>
    </cfRule>
  </conditionalFormatting>
  <conditionalFormatting sqref="W13 W20 W15:W18">
    <cfRule type="expression" dxfId="2971" priority="55">
      <formula>ABS(W$16-W$19)&gt;=1000</formula>
    </cfRule>
  </conditionalFormatting>
  <conditionalFormatting sqref="X13 X15:X20 Y19">
    <cfRule type="expression" dxfId="2970" priority="54">
      <formula>ABS(X$16-X$19)&gt;=1000</formula>
    </cfRule>
  </conditionalFormatting>
  <conditionalFormatting sqref="Y13 Y15:Y18 Y20">
    <cfRule type="expression" dxfId="2969" priority="53">
      <formula>ABS(Y$16-Y$19)&gt;=1000</formula>
    </cfRule>
  </conditionalFormatting>
  <conditionalFormatting sqref="Z13:Z20">
    <cfRule type="expression" dxfId="2968" priority="52">
      <formula>ABS(Z$16-Z$19)&gt;=1000</formula>
    </cfRule>
  </conditionalFormatting>
  <conditionalFormatting sqref="AA13:AA20">
    <cfRule type="expression" dxfId="2967" priority="51">
      <formula>ABS(AA$16-AA$19)&gt;=1000</formula>
    </cfRule>
  </conditionalFormatting>
  <conditionalFormatting sqref="AB13 AB15:AB20">
    <cfRule type="expression" dxfId="2966" priority="50">
      <formula>ABS(AB$16-AB$19)&gt;=1000</formula>
    </cfRule>
  </conditionalFormatting>
  <conditionalFormatting sqref="AC13 AC15:AC20">
    <cfRule type="expression" dxfId="2965" priority="49">
      <formula>ABS(AC$16-AC$19)&gt;=1000</formula>
    </cfRule>
  </conditionalFormatting>
  <conditionalFormatting sqref="AD13:AD20">
    <cfRule type="expression" dxfId="2964" priority="48">
      <formula>ABS(AD$16-AD$19)&gt;=1000</formula>
    </cfRule>
  </conditionalFormatting>
  <conditionalFormatting sqref="AE13:AE20">
    <cfRule type="expression" dxfId="2963" priority="47">
      <formula>ABS(AE$16-AE$19)&gt;=1000</formula>
    </cfRule>
  </conditionalFormatting>
  <conditionalFormatting sqref="D22:D29">
    <cfRule type="expression" dxfId="2962" priority="46">
      <formula>ABS(D$25-D$28)&gt;=1000</formula>
    </cfRule>
  </conditionalFormatting>
  <conditionalFormatting sqref="E22:E29">
    <cfRule type="expression" dxfId="2961" priority="45">
      <formula>ABS(E$25-E$28)&gt;=1000</formula>
    </cfRule>
  </conditionalFormatting>
  <conditionalFormatting sqref="F22:F29">
    <cfRule type="expression" dxfId="2960" priority="44">
      <formula>ABS(F$25-F$28)&gt;=1000</formula>
    </cfRule>
  </conditionalFormatting>
  <conditionalFormatting sqref="G22:G29">
    <cfRule type="expression" dxfId="2959" priority="43">
      <formula>ABS(G$25-G$28)&gt;=1000</formula>
    </cfRule>
  </conditionalFormatting>
  <conditionalFormatting sqref="H22:H29">
    <cfRule type="expression" dxfId="2958" priority="42">
      <formula>ABS(H$25-H$28)&gt;=1000</formula>
    </cfRule>
  </conditionalFormatting>
  <conditionalFormatting sqref="I22 I24:I29">
    <cfRule type="expression" dxfId="2957" priority="41">
      <formula>ABS(I$25-I$28)&gt;=1000</formula>
    </cfRule>
  </conditionalFormatting>
  <conditionalFormatting sqref="J22:J29 K22">
    <cfRule type="expression" dxfId="2956" priority="40">
      <formula>ABS(J$25-J$28)&gt;=1000</formula>
    </cfRule>
  </conditionalFormatting>
  <conditionalFormatting sqref="K23:K29 L25 L28">
    <cfRule type="expression" dxfId="2955" priority="39">
      <formula>ABS(K$25-K$28)&gt;=1000</formula>
    </cfRule>
  </conditionalFormatting>
  <conditionalFormatting sqref="L22 L26:L27 L29 L24">
    <cfRule type="expression" dxfId="2954" priority="38">
      <formula>ABS(L$25-L$28)&gt;=1000</formula>
    </cfRule>
  </conditionalFormatting>
  <conditionalFormatting sqref="M22:M29">
    <cfRule type="expression" dxfId="2953" priority="37">
      <formula>ABS(M$25-M$28)&gt;=1000</formula>
    </cfRule>
  </conditionalFormatting>
  <conditionalFormatting sqref="N22:N29">
    <cfRule type="expression" dxfId="2952" priority="36">
      <formula>ABS(N$25-N$28)&gt;=1000</formula>
    </cfRule>
  </conditionalFormatting>
  <conditionalFormatting sqref="O22:O29">
    <cfRule type="expression" dxfId="2951" priority="35">
      <formula>ABS(O$25-O$28)&gt;=1000</formula>
    </cfRule>
  </conditionalFormatting>
  <conditionalFormatting sqref="P22:P29">
    <cfRule type="expression" dxfId="2950" priority="34">
      <formula>ABS(P$25-P$28)&gt;=1000</formula>
    </cfRule>
  </conditionalFormatting>
  <conditionalFormatting sqref="Q22:Q29">
    <cfRule type="expression" dxfId="2949" priority="33">
      <formula>ABS(Q$25-Q$28)&gt;=1000</formula>
    </cfRule>
  </conditionalFormatting>
  <conditionalFormatting sqref="R22:R29">
    <cfRule type="expression" dxfId="2948" priority="32">
      <formula>ABS(R$25-R$28)&gt;=1000</formula>
    </cfRule>
  </conditionalFormatting>
  <conditionalFormatting sqref="S22:S29">
    <cfRule type="expression" dxfId="2947" priority="31">
      <formula>ABS(S$25-S$28)&gt;=1000</formula>
    </cfRule>
  </conditionalFormatting>
  <conditionalFormatting sqref="T22:T29">
    <cfRule type="expression" dxfId="2946" priority="30">
      <formula>ABS(T$25-T$28)&gt;=1000</formula>
    </cfRule>
  </conditionalFormatting>
  <conditionalFormatting sqref="U22:U29">
    <cfRule type="expression" dxfId="2945" priority="29">
      <formula>ABS(U$25-U$28)&gt;=1000</formula>
    </cfRule>
  </conditionalFormatting>
  <conditionalFormatting sqref="V22:V29">
    <cfRule type="expression" dxfId="2944" priority="28">
      <formula>ABS(V$25-V$28)&gt;=1000</formula>
    </cfRule>
  </conditionalFormatting>
  <conditionalFormatting sqref="W22:W29">
    <cfRule type="expression" dxfId="2943" priority="27">
      <formula>ABS(W$25-W$28)&gt;=1000</formula>
    </cfRule>
  </conditionalFormatting>
  <conditionalFormatting sqref="X22:X29">
    <cfRule type="expression" dxfId="2942" priority="26">
      <formula>ABS(X$25-X$28)&gt;=1000</formula>
    </cfRule>
  </conditionalFormatting>
  <conditionalFormatting sqref="Y22:Y29">
    <cfRule type="expression" dxfId="2941" priority="25">
      <formula>ABS(Y$25-Y$28)&gt;=1000</formula>
    </cfRule>
  </conditionalFormatting>
  <conditionalFormatting sqref="I23">
    <cfRule type="expression" dxfId="2940" priority="24">
      <formula>ABS(I$25-I$28)&gt;=1000</formula>
    </cfRule>
  </conditionalFormatting>
  <conditionalFormatting sqref="Q14">
    <cfRule type="expression" dxfId="2939" priority="23">
      <formula>ABS(Q$16-Q$19)&gt;=1000</formula>
    </cfRule>
  </conditionalFormatting>
  <conditionalFormatting sqref="W14">
    <cfRule type="expression" dxfId="2938" priority="22">
      <formula>ABS(W$16-W$19)&gt;=1000</formula>
    </cfRule>
  </conditionalFormatting>
  <conditionalFormatting sqref="X14">
    <cfRule type="expression" dxfId="2937" priority="21">
      <formula>ABS(X$16-X$19)&gt;=1000</formula>
    </cfRule>
  </conditionalFormatting>
  <conditionalFormatting sqref="T10:Y10">
    <cfRule type="expression" dxfId="2936" priority="20">
      <formula>ABS(T$7-T$10)&gt;=1000</formula>
    </cfRule>
  </conditionalFormatting>
  <conditionalFormatting sqref="W19">
    <cfRule type="expression" dxfId="2935" priority="19">
      <formula>ABS(W$16-W$19)&gt;=1000</formula>
    </cfRule>
  </conditionalFormatting>
  <conditionalFormatting sqref="AC5">
    <cfRule type="expression" dxfId="2934" priority="18">
      <formula>ABS(AC$7-AC$10)&gt;=1000</formula>
    </cfRule>
  </conditionalFormatting>
  <conditionalFormatting sqref="M14">
    <cfRule type="expression" dxfId="2933" priority="17">
      <formula>ABS(M$16-M$19)&gt;=1000</formula>
    </cfRule>
  </conditionalFormatting>
  <conditionalFormatting sqref="M16">
    <cfRule type="expression" dxfId="2932" priority="16">
      <formula>ABS(M$16-M$19)&gt;=1000</formula>
    </cfRule>
  </conditionalFormatting>
  <conditionalFormatting sqref="M19">
    <cfRule type="expression" dxfId="2931" priority="15">
      <formula>ABS(M$16-M$19)&gt;=1000</formula>
    </cfRule>
  </conditionalFormatting>
  <conditionalFormatting sqref="K13:K20">
    <cfRule type="expression" dxfId="2930" priority="14">
      <formula>ABS(K$16-K$19)&gt;=1000</formula>
    </cfRule>
  </conditionalFormatting>
  <conditionalFormatting sqref="E5">
    <cfRule type="expression" dxfId="2929" priority="13">
      <formula>ABS(E$7-E$10)&gt;=1000</formula>
    </cfRule>
  </conditionalFormatting>
  <conditionalFormatting sqref="AB14:AC14">
    <cfRule type="expression" dxfId="2928" priority="12">
      <formula>ABS(AB$16-AB$19)&gt;=1000</formula>
    </cfRule>
  </conditionalFormatting>
  <conditionalFormatting sqref="M5">
    <cfRule type="expression" dxfId="2927" priority="11">
      <formula>ABS(M$7-M$10)&gt;=1000</formula>
    </cfRule>
  </conditionalFormatting>
  <conditionalFormatting sqref="N5">
    <cfRule type="expression" dxfId="2926" priority="10">
      <formula>ABS(N$7-N$10)&gt;=1000</formula>
    </cfRule>
  </conditionalFormatting>
  <conditionalFormatting sqref="O5">
    <cfRule type="expression" dxfId="2925" priority="9">
      <formula>ABS(O$7-O$10)&gt;=1000</formula>
    </cfRule>
  </conditionalFormatting>
  <conditionalFormatting sqref="P5">
    <cfRule type="expression" dxfId="2924" priority="8">
      <formula>ABS(P$7-P$10)&gt;=1000</formula>
    </cfRule>
  </conditionalFormatting>
  <conditionalFormatting sqref="L23">
    <cfRule type="expression" dxfId="2923" priority="7">
      <formula>ABS(L$25-L$28)&gt;=1000</formula>
    </cfRule>
  </conditionalFormatting>
  <conditionalFormatting sqref="Y14">
    <cfRule type="expression" dxfId="2922" priority="6">
      <formula>ABS(Y$16-Y$19)&gt;=1000</formula>
    </cfRule>
  </conditionalFormatting>
  <conditionalFormatting sqref="F14">
    <cfRule type="expression" dxfId="2921" priority="5">
      <formula>ABS(F$16-F$19)&gt;=1000</formula>
    </cfRule>
  </conditionalFormatting>
  <conditionalFormatting sqref="H14">
    <cfRule type="expression" dxfId="2920" priority="4">
      <formula>ABS(H$16-H$19)&gt;=1000</formula>
    </cfRule>
  </conditionalFormatting>
  <conditionalFormatting sqref="AD5">
    <cfRule type="expression" dxfId="2919" priority="3">
      <formula>ABS(AD$7-AD$10)&gt;=1000</formula>
    </cfRule>
  </conditionalFormatting>
  <conditionalFormatting sqref="AE5">
    <cfRule type="expression" dxfId="2918" priority="2">
      <formula>ABS(AE$7-AE$10)&gt;=1000</formula>
    </cfRule>
  </conditionalFormatting>
  <conditionalFormatting sqref="T16">
    <cfRule type="expression" dxfId="2917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48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2">
    <pageSetUpPr fitToPage="1"/>
  </sheetPr>
  <dimension ref="A1:CU223"/>
  <sheetViews>
    <sheetView view="pageBreakPreview" topLeftCell="A5" zoomScale="70" zoomScaleNormal="100" zoomScaleSheetLayoutView="70" workbookViewId="0">
      <selection activeCell="O15" sqref="O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46205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1" t="s" ph="1">
        <v>177</v>
      </c>
      <c r="D6" s="71">
        <v>5858</v>
      </c>
      <c r="E6" s="71">
        <v>7543</v>
      </c>
      <c r="F6" s="71">
        <v>5842</v>
      </c>
      <c r="G6" s="71">
        <v>3510</v>
      </c>
      <c r="H6" s="71">
        <v>4118</v>
      </c>
      <c r="I6" s="71">
        <v>38.71</v>
      </c>
      <c r="J6" s="71">
        <v>77.02</v>
      </c>
      <c r="K6" s="71">
        <v>6.71</v>
      </c>
      <c r="L6" s="71">
        <v>7.11</v>
      </c>
      <c r="M6" s="71">
        <v>5023</v>
      </c>
      <c r="N6" s="71">
        <v>5928</v>
      </c>
      <c r="O6" s="71">
        <v>221</v>
      </c>
      <c r="P6" s="71">
        <v>3088</v>
      </c>
      <c r="Q6" s="71">
        <v>7324</v>
      </c>
      <c r="R6" s="71">
        <v>7249</v>
      </c>
      <c r="S6" s="71">
        <v>7280</v>
      </c>
      <c r="T6" s="71">
        <v>4973</v>
      </c>
      <c r="U6" s="71">
        <v>0</v>
      </c>
      <c r="V6" s="71">
        <v>840</v>
      </c>
      <c r="W6" s="71">
        <v>1569</v>
      </c>
      <c r="X6" s="71">
        <v>7185</v>
      </c>
      <c r="Y6" s="71">
        <v>6975</v>
      </c>
      <c r="Z6" s="71">
        <v>1724</v>
      </c>
      <c r="AA6" s="71">
        <v>0</v>
      </c>
      <c r="AB6" s="71">
        <v>1915</v>
      </c>
      <c r="AC6" s="71">
        <v>1857</v>
      </c>
      <c r="AD6" s="71">
        <v>5465</v>
      </c>
      <c r="AE6" s="71">
        <v>4808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183092.1865866</v>
      </c>
      <c r="E7" s="73" ph="1">
        <f>E6*51.53*LOOKUP(E8,密度!$A$2:$A$50,密度!$B$2:$B$50)</f>
        <v>301002.14777600003</v>
      </c>
      <c r="F7" s="73" ph="1">
        <f>F6*33.183*LOOKUP(F8,密度!$A$2:$A$50,密度!$C$2:$C$50)</f>
        <v>214675.1222364</v>
      </c>
      <c r="G7" s="73" ph="1">
        <f xml:space="preserve"> (G6+2)*51.53*LOOKUP(G8,密度!$A$2:$A$50,密度!$B$2:$B$50)</f>
        <v>140471.52203200001</v>
      </c>
      <c r="H7" s="73" ph="1">
        <f>(H6)*51.53*LOOKUP(H8,密度!$A$2:$A$50,密度!$B$2:$B$50)</f>
        <v>164879.81958000001</v>
      </c>
      <c r="I7" s="73" ph="1">
        <f>I6*290.8*1.0267</f>
        <v>11557.4263756</v>
      </c>
      <c r="J7" s="73" ph="1">
        <f>J6*290.8*0.7892</f>
        <v>17676.040707200002</v>
      </c>
      <c r="K7" s="73" ph="1">
        <f>K6*290.8*1.1126</f>
        <v>2170.9807768000001</v>
      </c>
      <c r="L7" s="73" ph="1">
        <f>L6*290.8*0.777</f>
        <v>1606.5158760000002</v>
      </c>
      <c r="M7" s="73" ph="1">
        <f>M6*33.183*LOOKUP(M8,密度!$A$2:$A$50,密度!$D$2:$D$50)</f>
        <v>170345.129598</v>
      </c>
      <c r="N7" s="73" ph="1">
        <f>N6*33.183*LOOKUP(N8,密度!$A$2:$A$50,密度!$E$2:$E$50)</f>
        <v>152960.78154239999</v>
      </c>
      <c r="O7" s="73" ph="1">
        <f>O6*20.428*LOOKUP(O8,密度!$A$2:$A$50,密度!$C$2:$C$50)</f>
        <v>4989.0711987999994</v>
      </c>
      <c r="P7" s="73" ph="1">
        <f>P6*51.53*LOOKUP(P8,密度!$A$2:$A$50,密度!$B$2:$B$50)</f>
        <v>123639.84528000001</v>
      </c>
      <c r="Q7" s="73" ph="1">
        <f>Q6*1.5*1.5*3.1416*LOOKUP(W8,密度!$A$2:$A$50,密度!$L$2:$L$50)</f>
        <v>48301.8078312</v>
      </c>
      <c r="R7" s="73" ph="1">
        <f>R6*1.5*1.5*3.1416*LOOKUP(R8,密度!$A$2:$A$50,密度!$L$2:$L$50)</f>
        <v>47602.221420599999</v>
      </c>
      <c r="S7" s="73" ph="1">
        <f>S6*1.5*1.5*3.1416*LOOKUP(S8,密度!$A$2:$A$50,密度!$L$2:$L$50)</f>
        <v>48114.546479999997</v>
      </c>
      <c r="T7" s="73" ph="1">
        <f>T6*1.5*1.5*3.1416*LOOKUP(T8,密度!$A$2:$A$50,密度!$L$2:$L$50)</f>
        <v>32937.562488600001</v>
      </c>
      <c r="U7" s="73" ph="1">
        <f>U6*1.5*1.5*3.1416*LOOKUP(U8,密度!$A$2:$A$50,密度!$L$2:$L$50)</f>
        <v>0</v>
      </c>
      <c r="V7" s="73" ph="1">
        <f>V6*1.5*1.5*3.1416*LOOKUP(V8,密度!$A$2:$A$50,密度!$L$2:$L$50)</f>
        <v>5545.7408160000005</v>
      </c>
      <c r="W7" s="73" ph="1">
        <f>W6*1.5*1.5*3.1416*LOOKUP(W8,密度!$A$2:$A$50,密度!$L$2:$L$50)</f>
        <v>10347.560962200001</v>
      </c>
      <c r="X7" s="73" ph="1">
        <f>X6*1.5*1.5*3.1416*LOOKUP(X8,密度!$A$2:$A$50,密度!$L$2:$L$50)</f>
        <v>47334.314412</v>
      </c>
      <c r="Y7" s="73" ph="1">
        <f>Y6*1.5*1.5*3.1416*LOOKUP(Y8,密度!$A$2:$A$50,密度!$L$2:$L$50)</f>
        <v>46000.151505000002</v>
      </c>
      <c r="Z7" s="73" ph="1">
        <f>Z6*33.183*LOOKUP(Z8,密度!$A$2:$A$50,密度!$L$2:$L$50)</f>
        <v>53489.005020000004</v>
      </c>
      <c r="AA7" s="73" ph="1">
        <f>AA6*33.183*LOOKUP(AA8,密度!$A$2:$A$50,密度!$D$2:$D$50)</f>
        <v>0</v>
      </c>
      <c r="AB7" s="73" ph="1">
        <f>AB6*20.428*LOOKUP(AB8,密度!$A$2:$A$50,密度!$D$2:$D$50)</f>
        <v>40164.113854000003</v>
      </c>
      <c r="AC7" s="73" ph="1">
        <f>AC6*51.53*LOOKUP(AC8,密度!$A$2:$A$50,密度!$Q$2:$Q$50)</f>
        <v>90268.389129300005</v>
      </c>
      <c r="AD7" s="73" ph="1">
        <f>AD6*20.428*LOOKUP(AD8,密度!$A$2:$A$50,密度!$V$2:$V$50)</f>
        <v>106905.52555200001</v>
      </c>
      <c r="AE7" s="73" ph="1">
        <f>AE6*20.428</f>
        <v>98217.824000000008</v>
      </c>
    </row>
    <row r="8" spans="1:99" ph="1">
      <c r="B8" s="241" ph="1"/>
      <c r="C8" s="68" t="s" ph="1">
        <v>179</v>
      </c>
      <c r="D8" s="74">
        <v>32</v>
      </c>
      <c r="E8" s="74">
        <v>31</v>
      </c>
      <c r="F8" s="74">
        <v>27</v>
      </c>
      <c r="G8" s="74">
        <v>29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28</v>
      </c>
      <c r="Q8" s="74">
        <v>32</v>
      </c>
      <c r="R8" s="74">
        <v>33</v>
      </c>
      <c r="S8" s="74">
        <v>27</v>
      </c>
      <c r="T8" s="74">
        <v>25</v>
      </c>
      <c r="U8" s="74">
        <v>30</v>
      </c>
      <c r="V8" s="74">
        <v>28</v>
      </c>
      <c r="W8" s="74">
        <v>29</v>
      </c>
      <c r="X8" s="74">
        <v>30</v>
      </c>
      <c r="Y8" s="74">
        <v>29</v>
      </c>
      <c r="Z8" s="74">
        <v>27</v>
      </c>
      <c r="AA8" s="74">
        <v>28</v>
      </c>
      <c r="AB8" s="74">
        <v>25</v>
      </c>
      <c r="AC8" s="74">
        <v>30</v>
      </c>
      <c r="AD8" s="74">
        <v>30</v>
      </c>
      <c r="AE8" s="74">
        <v>29</v>
      </c>
    </row>
    <row r="9" spans="1:99" ht="26.4" ph="1">
      <c r="B9" s="241" ph="1">
        <v>0.66666666666666663</v>
      </c>
      <c r="C9" s="151" t="s" ph="1">
        <v>180</v>
      </c>
      <c r="D9" s="71">
        <v>6209</v>
      </c>
      <c r="E9" s="71">
        <v>6864</v>
      </c>
      <c r="F9" s="71">
        <v>5844</v>
      </c>
      <c r="G9" s="71">
        <v>5255</v>
      </c>
      <c r="H9" s="71">
        <v>3836</v>
      </c>
      <c r="I9" s="71">
        <v>38.71</v>
      </c>
      <c r="J9" s="71">
        <v>77.12</v>
      </c>
      <c r="K9" s="71">
        <v>6.81</v>
      </c>
      <c r="L9" s="71">
        <v>67.599999999999994</v>
      </c>
      <c r="M9" s="71">
        <v>5023</v>
      </c>
      <c r="N9" s="71">
        <v>5933</v>
      </c>
      <c r="O9" s="71">
        <v>221</v>
      </c>
      <c r="P9" s="71">
        <v>2555</v>
      </c>
      <c r="Q9" s="71">
        <v>7330</v>
      </c>
      <c r="R9" s="71">
        <v>7255</v>
      </c>
      <c r="S9" s="71">
        <v>7289</v>
      </c>
      <c r="T9" s="71">
        <v>7023</v>
      </c>
      <c r="U9" s="71">
        <v>5614</v>
      </c>
      <c r="V9" s="71">
        <v>840</v>
      </c>
      <c r="W9" s="71">
        <v>680</v>
      </c>
      <c r="X9" s="71">
        <v>7190</v>
      </c>
      <c r="Y9" s="71">
        <v>6982</v>
      </c>
      <c r="Z9" s="71">
        <v>2091</v>
      </c>
      <c r="AA9" s="71">
        <v>0</v>
      </c>
      <c r="AB9" s="71">
        <v>1915</v>
      </c>
      <c r="AC9" s="71">
        <v>1932</v>
      </c>
      <c r="AD9" s="71">
        <v>5464</v>
      </c>
      <c r="AE9" s="71">
        <v>4808</v>
      </c>
    </row>
    <row r="10" spans="1:99" s="72" customFormat="1" ht="22.2" ph="1">
      <c r="B10" s="241" ph="1"/>
      <c r="C10" s="151" t="s" ph="1">
        <v>178</v>
      </c>
      <c r="D10" s="73" ph="1">
        <f>D9*33.183*LOOKUP(D11,密度!$A$2:$A$50,密度!$Q$2:$Q$50)</f>
        <v>193792.81179573</v>
      </c>
      <c r="E10" s="73" ph="1">
        <f>E9*51.53*LOOKUP(E11,密度!$A$2:$A$50,密度!$B$2:$B$50)</f>
        <v>273305.47358400002</v>
      </c>
      <c r="F10" s="73" ph="1">
        <f>F9*33.183*LOOKUP(F11,密度!$A$2:$A$50,密度!$C$2:$C$50)</f>
        <v>214302.59660519997</v>
      </c>
      <c r="G10" s="73" ph="1">
        <f xml:space="preserve"> (G9+2)*51.53*LOOKUP(G11,密度!$A$2:$A$50,密度!$B$2:$B$50)</f>
        <v>209779.70182400002</v>
      </c>
      <c r="H10" s="73" ph="1">
        <f>(H9)*51.53*LOOKUP(H11,密度!$A$2:$A$50,密度!$B$2:$B$50)</f>
        <v>153074.93555200001</v>
      </c>
      <c r="I10" s="73" ph="1">
        <f>I9*290.8*1.0267</f>
        <v>11557.4263756</v>
      </c>
      <c r="J10" s="73" ph="1">
        <f>J9*290.8*0.7892</f>
        <v>17698.990643200003</v>
      </c>
      <c r="K10" s="73" ph="1">
        <f>K9*290.8*1.1126</f>
        <v>2203.3351848000002</v>
      </c>
      <c r="L10" s="73" ph="1">
        <f>L9*290.8*0.777</f>
        <v>15274.328159999999</v>
      </c>
      <c r="M10" s="73" ph="1">
        <f>M9*33.183*LOOKUP(M11,密度!$A$2:$A$50,密度!$D$2:$D$50)</f>
        <v>169178.38213499999</v>
      </c>
      <c r="N10" s="73" ph="1">
        <f>N9*33.183*LOOKUP(N11,密度!$A$2:$A$50,密度!$E$2:$E$50)</f>
        <v>152640.92264147999</v>
      </c>
      <c r="O10" s="73" ph="1">
        <f>O9*20.428*LOOKUP(O11,密度!$A$2:$A$50,密度!$C$2:$C$50)</f>
        <v>4927.6728019999991</v>
      </c>
      <c r="P10" s="73" ph="1">
        <f>P9*51.53*LOOKUP(P11,密度!$A$2:$A$50,密度!$B$2:$B$50)</f>
        <v>101838.35252499999</v>
      </c>
      <c r="Q10" s="73" ph="1">
        <f>Q9*1.5*1.5*3.1416*LOOKUP(W11,密度!$A$2:$A$50,密度!$L$2:$L$50)</f>
        <v>47823.249473999997</v>
      </c>
      <c r="R10" s="73" ph="1">
        <f>R9*1.5*1.5*3.1416*LOOKUP(R11,密度!$A$2:$A$50,密度!$L$2:$L$50)</f>
        <v>47539.056411000005</v>
      </c>
      <c r="S10" s="73" ph="1">
        <f>S9*1.5*1.5*3.1416*LOOKUP(S11,密度!$A$2:$A$50,密度!$L$2:$L$50)</f>
        <v>48019.459672800003</v>
      </c>
      <c r="T10" s="73" ph="1">
        <f>T9*1.5*1.5*3.1416*LOOKUP(T11,密度!$A$2:$A$50,密度!$L$2:$L$50)</f>
        <v>46465.640020799998</v>
      </c>
      <c r="U10" s="73" ph="1">
        <f>U9*1.5*1.5*3.1416*LOOKUP(U11,密度!$A$2:$A$50,密度!$L$2:$L$50)</f>
        <v>36905.301972000001</v>
      </c>
      <c r="V10" s="73" ph="1">
        <f>V9*1.5*1.5*3.1416*LOOKUP(V11,密度!$A$2:$A$50,密度!$L$2:$L$50)</f>
        <v>5545.7408160000005</v>
      </c>
      <c r="W10" s="73" ph="1">
        <f>W9*1.5*1.5*3.1416*LOOKUP(W11,密度!$A$2:$A$50,密度!$L$2:$L$50)</f>
        <v>4436.5361040000007</v>
      </c>
      <c r="X10" s="73" ph="1">
        <f>X9*1.5*1.5*3.1416*LOOKUP(X11,密度!$A$2:$A$50,密度!$L$2:$L$50)</f>
        <v>47468.900556000001</v>
      </c>
      <c r="Y10" s="73" ph="1">
        <f>Y9*1.5*1.5*3.1416*LOOKUP(Y11,密度!$A$2:$A$50,密度!$L$2:$L$50)</f>
        <v>45996.963566400002</v>
      </c>
      <c r="Z10" s="73" ph="1">
        <f>Z9*33.183*LOOKUP(Z11,密度!$A$2:$A$50,密度!$L$2:$L$50)</f>
        <v>64389.885984000008</v>
      </c>
      <c r="AA10" s="73" ph="1">
        <f>AA9*33.183*LOOKUP(AA11,密度!$A$2:$A$50,密度!$D$2:$D$50)</f>
        <v>0</v>
      </c>
      <c r="AB10" s="73" ph="1">
        <f>AB9*20.428*LOOKUP(AB11,密度!$A$2:$A$50,密度!$D$2:$D$50)</f>
        <v>40054.578918000007</v>
      </c>
      <c r="AC10" s="73" ph="1">
        <f>AC9*51.53*LOOKUP(AC11,密度!$A$2:$A$50,密度!$Q$2:$Q$50)</f>
        <v>93771.758723999999</v>
      </c>
      <c r="AD10" s="73" ph="1">
        <f>AD9*20.428*LOOKUP(AD11,密度!$A$2:$A$50,密度!$V$2:$V$50)</f>
        <v>106885.9636992</v>
      </c>
      <c r="AE10" s="73" ph="1">
        <f>AE9*20.428</f>
        <v>98217.824000000008</v>
      </c>
    </row>
    <row r="11" spans="1:99" ph="1">
      <c r="A11" s="64" t="s" ph="1">
        <v>162</v>
      </c>
      <c r="B11" s="241" ph="1"/>
      <c r="C11" s="151" t="s" ph="1">
        <v>179</v>
      </c>
      <c r="D11" s="74">
        <v>34</v>
      </c>
      <c r="E11" s="74">
        <v>33</v>
      </c>
      <c r="F11" s="74">
        <v>30</v>
      </c>
      <c r="G11" s="74">
        <v>31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32</v>
      </c>
      <c r="O11" s="74">
        <v>43</v>
      </c>
      <c r="P11" s="74">
        <v>32</v>
      </c>
      <c r="Q11" s="74">
        <v>35</v>
      </c>
      <c r="R11" s="74">
        <v>35</v>
      </c>
      <c r="S11" s="74">
        <v>30</v>
      </c>
      <c r="T11" s="74">
        <v>26</v>
      </c>
      <c r="U11" s="74">
        <v>32</v>
      </c>
      <c r="V11" s="74">
        <v>28</v>
      </c>
      <c r="W11" s="74">
        <v>39</v>
      </c>
      <c r="X11" s="74">
        <v>28</v>
      </c>
      <c r="Y11" s="74">
        <v>30</v>
      </c>
      <c r="Z11" s="74">
        <v>34</v>
      </c>
      <c r="AA11" s="74">
        <v>33</v>
      </c>
      <c r="AB11" s="74">
        <v>28</v>
      </c>
      <c r="AC11" s="74">
        <v>32</v>
      </c>
      <c r="AD11" s="74">
        <v>36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1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1" t="s" ph="1">
        <v>177</v>
      </c>
      <c r="D15" s="78">
        <v>696</v>
      </c>
      <c r="E15" s="78">
        <v>2398</v>
      </c>
      <c r="F15" s="78">
        <v>2837</v>
      </c>
      <c r="G15" s="78">
        <v>2135</v>
      </c>
      <c r="H15" s="78">
        <v>2033</v>
      </c>
      <c r="I15" s="78">
        <v>2632</v>
      </c>
      <c r="J15" s="78">
        <v>1176</v>
      </c>
      <c r="K15" s="78">
        <v>3362</v>
      </c>
      <c r="L15" s="78">
        <v>5860</v>
      </c>
      <c r="M15" s="78">
        <v>3079</v>
      </c>
      <c r="N15" s="78">
        <v>2966</v>
      </c>
      <c r="O15" s="78">
        <v>5847</v>
      </c>
      <c r="P15" s="78">
        <v>2216</v>
      </c>
      <c r="Q15" s="78">
        <v>0</v>
      </c>
      <c r="R15" s="78">
        <v>1950</v>
      </c>
      <c r="S15" s="78">
        <v>0</v>
      </c>
      <c r="T15" s="78">
        <v>3834</v>
      </c>
      <c r="U15" s="78">
        <v>2664</v>
      </c>
      <c r="V15" s="78">
        <v>1244</v>
      </c>
      <c r="W15" s="71">
        <v>-817</v>
      </c>
      <c r="X15" s="78">
        <v>1286</v>
      </c>
      <c r="Y15" s="106">
        <v>-9909</v>
      </c>
      <c r="Z15" s="78">
        <v>1089</v>
      </c>
      <c r="AA15" s="78">
        <v>2545</v>
      </c>
      <c r="AB15" s="78" ph="1">
        <v>0</v>
      </c>
      <c r="AC15" s="78" ph="1">
        <v>0</v>
      </c>
      <c r="AD15" s="78">
        <v>0</v>
      </c>
      <c r="AE15" s="78">
        <v>34.01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1" t="s" ph="1">
        <v>178</v>
      </c>
      <c r="D16" s="73" ph="1">
        <f>D15*7.0686*LOOKUP(D17,密度!$A$2:$A$50,密度!$L$2:$L$50)</f>
        <v>4590.1226448000007</v>
      </c>
      <c r="E16" s="73" ph="1">
        <f>E15*7.0686*LOOKUP(E17,密度!$A$2:$A$50,密度!$L$2:$L$50)</f>
        <v>15814.819112399999</v>
      </c>
      <c r="F16" s="73" ph="1">
        <f>F15*9.0746*LOOKUP(F17,密度!$A$2:$A$50,密度!$L$2:$L$50)</f>
        <v>23891.026105600002</v>
      </c>
      <c r="G16" s="73" ph="1">
        <f>G15*9.0746*LOOKUP(G17,密度!$A$2:$A$50,密度!$B$2:$B$50)</f>
        <v>15053.808567000002</v>
      </c>
      <c r="H16" s="73" ph="1">
        <f>H15*9.0746*LOOKUP(H17,密度!$A$2:$A$50,密度!$L$2:$L$50)</f>
        <v>17267.947444800004</v>
      </c>
      <c r="I16" s="73" ph="1">
        <f>I15*9.0746*LOOKUP(I17,密度!$A$2:$A$50,密度!$U$2:$U$50)</f>
        <v>24409.802838399999</v>
      </c>
      <c r="J16" s="73" ph="1">
        <f>J15*9.0746*LOOKUP(J17,密度!$A$2:$A$50,密度!$L$2:$L$50)</f>
        <v>9956.7237168000011</v>
      </c>
      <c r="K16" s="73" ph="1">
        <f>K15*9.0746*LOOKUP(K17,密度!$A$2:$A$50,密度!$C$2:$C$50)</f>
        <v>33761.04383432</v>
      </c>
      <c r="L16" s="73" ph="1">
        <f>L15*9.0746*LOOKUP(L17,密度!$A$2:$A$50,密度!$E$2:$E$50)</f>
        <v>41409.051377199998</v>
      </c>
      <c r="M16" s="73" ph="1">
        <f>M15*9.0746*LOOKUP(M17,密度!$A$2:$A$50,密度!$M$2:$M$50)</f>
        <v>24247.492546388003</v>
      </c>
      <c r="N16" s="73" ph="1">
        <f>N15*9.0746*LOOKUP(N17,密度!$A$2:$A$50,密度!$M$2:$M$50)</f>
        <v>23499.71664916</v>
      </c>
      <c r="O16" s="73" ph="1">
        <f>O15*9.0746*LOOKUP(O17,密度!$A$2:$A$50,密度!$G$2:$G$50)</f>
        <v>50655.60506514</v>
      </c>
      <c r="P16" s="73" ph="1">
        <f ca="1">P15*9.0746*LOOKUP(P17,密度!$A$2:$A$51,密度!$Q$2:$Q$50)</f>
        <v>18969.718798288002</v>
      </c>
      <c r="Q16" s="73" ph="1">
        <f>Q15*9.0746*LOOKUP(Q17,密度!$A$2:$A$50,密度!$Q$2:$Q$50)</f>
        <v>0</v>
      </c>
      <c r="R16" s="73" ph="1">
        <f>MAX(R15*9.0746*LOOKUP(R17,密度!$A$2:$A$50,密度!$B$2:$B$50),0)</f>
        <v>13719.297891</v>
      </c>
      <c r="S16" s="73" ph="1">
        <f>S15*9.0746*LOOKUP(S17,密度!$A$2:$A$50,密度!$Q$2:$Q$50)</f>
        <v>0</v>
      </c>
      <c r="T16" s="73" ph="1">
        <f>T15*9.0746*LOOKUP(T17,密度!$A$2:$A$50,密度!$O$2:$O$50)</f>
        <v>32217.407186400003</v>
      </c>
      <c r="U16" s="73" ph="1">
        <f>U15*9.0746*LOOKUP(U17,密度!$A$2:$A$50,密度!$H$2:$H$50)</f>
        <v>22023.183038400002</v>
      </c>
      <c r="V16" s="73" ph="1">
        <f>MAX(5600*LOOKUP(V17,密度!$A$2:$A$50,密度!$Q$2:$Q$50)+V15*9.0476*LOOKUP(V17,密度!$A$2:$A$50,密度!$Q$2:$Q$50),0)</f>
        <v>15900.029399952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17867.745939119999</v>
      </c>
      <c r="Y16" s="107" ph="1">
        <v>0</v>
      </c>
      <c r="Z16" s="73" ph="1">
        <f>Z15*9.0746*LOOKUP(Z17,密度!$A$2:$A$50,密度!$D$2:$D$50)</f>
        <v>10108.54268226</v>
      </c>
      <c r="AA16" s="73" ph="1">
        <f>AA15*9.0746*LOOKUP(AA17,密度!$A$2:$A$50,密度!$B$2:$B$50)</f>
        <v>17926.2280034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0</v>
      </c>
      <c r="AE16" s="73" ph="1">
        <f>AE15*268.68*LOOKUP(AE17,密度!$A$2:$A$50,密度!B2:B50)+IF(AE15&lt;=0,0,1566*LOOKUP(AE17,密度!$A$2:$A$50,密度!B2:B50))</f>
        <v>8344.6877812799994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29</v>
      </c>
      <c r="E17" s="74">
        <v>29</v>
      </c>
      <c r="F17" s="74">
        <v>34</v>
      </c>
      <c r="G17" s="74">
        <v>28</v>
      </c>
      <c r="H17" s="74">
        <v>26</v>
      </c>
      <c r="I17" s="74">
        <v>28</v>
      </c>
      <c r="J17" s="74">
        <v>29</v>
      </c>
      <c r="K17" s="74">
        <v>28</v>
      </c>
      <c r="L17" s="74">
        <v>29</v>
      </c>
      <c r="M17" s="74">
        <v>32</v>
      </c>
      <c r="N17" s="74">
        <v>27</v>
      </c>
      <c r="O17" s="74">
        <v>30</v>
      </c>
      <c r="P17" s="74">
        <v>30</v>
      </c>
      <c r="Q17" s="74">
        <v>29</v>
      </c>
      <c r="R17" s="74">
        <v>30</v>
      </c>
      <c r="S17" s="74">
        <v>29</v>
      </c>
      <c r="T17" s="74">
        <v>29</v>
      </c>
      <c r="U17" s="74">
        <v>29</v>
      </c>
      <c r="V17" s="74">
        <v>30</v>
      </c>
      <c r="W17" s="74">
        <v>30</v>
      </c>
      <c r="X17" s="74">
        <v>30</v>
      </c>
      <c r="Y17" s="108">
        <v>30</v>
      </c>
      <c r="Z17" s="74">
        <v>29</v>
      </c>
      <c r="AA17" s="74">
        <v>29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1648</v>
      </c>
      <c r="E18" s="71">
        <v>747</v>
      </c>
      <c r="F18" s="71">
        <v>2977</v>
      </c>
      <c r="G18" s="71">
        <v>2285</v>
      </c>
      <c r="H18" s="71">
        <v>2034</v>
      </c>
      <c r="I18" s="71">
        <v>2634</v>
      </c>
      <c r="J18" s="71">
        <v>1222</v>
      </c>
      <c r="K18" s="71">
        <v>3363</v>
      </c>
      <c r="L18" s="71">
        <v>5869</v>
      </c>
      <c r="M18" s="71">
        <v>2084</v>
      </c>
      <c r="N18" s="71">
        <v>1088</v>
      </c>
      <c r="O18" s="71">
        <v>3401</v>
      </c>
      <c r="P18" s="71">
        <v>2216</v>
      </c>
      <c r="Q18" s="71">
        <v>0</v>
      </c>
      <c r="R18" s="71">
        <v>1950</v>
      </c>
      <c r="S18" s="71">
        <v>0</v>
      </c>
      <c r="T18" s="71">
        <v>3835</v>
      </c>
      <c r="U18" s="71">
        <v>2665</v>
      </c>
      <c r="V18" s="71">
        <v>87</v>
      </c>
      <c r="W18" s="71">
        <v>-817</v>
      </c>
      <c r="X18" s="71">
        <v>1275</v>
      </c>
      <c r="Y18" s="109">
        <v>-9909</v>
      </c>
      <c r="Z18" s="71">
        <v>958</v>
      </c>
      <c r="AA18" s="71">
        <v>2547</v>
      </c>
      <c r="AB18" s="71">
        <v>0</v>
      </c>
      <c r="AC18" s="71">
        <v>0</v>
      </c>
      <c r="AD18" s="71">
        <v>0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1" t="s" ph="1">
        <v>178</v>
      </c>
      <c r="D19" s="73" ph="1">
        <f>D18*7.0686*LOOKUP(D20,密度!$A$2:$A$50,密度!$L$2:$L$50)</f>
        <v>10810.3209984</v>
      </c>
      <c r="E19" s="73" ph="1">
        <f>E18*7.0686*LOOKUP(E20,密度!$A$2:$A$50,密度!$L$2:$L$50)</f>
        <v>4894.7863734000002</v>
      </c>
      <c r="F19" s="73" ph="1">
        <f>F18*9.0746*LOOKUP(F20,密度!$A$2:$A$50,密度!$L$2:$L$50)</f>
        <v>24988.952885000002</v>
      </c>
      <c r="G19" s="73" ph="1">
        <f>G18*9.0746*LOOKUP(G20,密度!$A$2:$A$50,密度!$B$2:$B$50)</f>
        <v>16057.5409984</v>
      </c>
      <c r="H19" s="73" ph="1">
        <f>H18*9.0746*LOOKUP(H20,密度!$A$2:$A$50,密度!$L$2:$L$50)</f>
        <v>17202.610324800004</v>
      </c>
      <c r="I19" s="73" ph="1">
        <f>I18*9.0746*LOOKUP(I20,密度!$A$2:$A$50,密度!$U$2:$U$50)</f>
        <v>24284.9363424</v>
      </c>
      <c r="J19" s="73" ph="1">
        <f>J18*9.0746*LOOKUP(J20,密度!$A$2:$A$50,密度!$L$2:$L$50)</f>
        <v>10290.741593600002</v>
      </c>
      <c r="K19" s="73" ph="1">
        <f>K18*9.0746*LOOKUP(K20,密度!$A$2:$A$50,密度!$C$2:$C$50)</f>
        <v>33661.221419400004</v>
      </c>
      <c r="L19" s="73" ph="1">
        <f>L18*9.0746*LOOKUP(L20,密度!$A$2:$A$50,密度!$E$2:$E$50)</f>
        <v>41232.451584806004</v>
      </c>
      <c r="M19" s="73" ph="1">
        <f>M18*9.0746*LOOKUP(M20,密度!$A$2:$A$50,密度!$M$2:$M$50)</f>
        <v>16352.177652088001</v>
      </c>
      <c r="N19" s="73" ph="1">
        <f>N18*9.0746*LOOKUP(N20,密度!$A$2:$A$50,密度!$M$2:$M$50)</f>
        <v>8568.1298767360004</v>
      </c>
      <c r="O19" s="73" ph="1">
        <f>O18*9.0746*LOOKUP(O20,密度!$A$2:$A$50,密度!$G$2:$G$50)</f>
        <v>29335.010227300001</v>
      </c>
      <c r="P19" s="73" ph="1">
        <f ca="1">P18*9.0746*LOOKUP(P20,密度!$A$2:$A$51,密度!$Q$2:$Q$50)</f>
        <v>18954.636813088</v>
      </c>
      <c r="Q19" s="73" ph="1">
        <f>Q18*9.0746*LOOKUP(Q20,密度!$A$2:$A$50,密度!$Q$2:$Q$50)</f>
        <v>0</v>
      </c>
      <c r="R19" s="73" ph="1">
        <f>MAX(R18*9.0746*LOOKUP(R20,密度!$A$2:$A$50,密度!$B$2:$B$50),0)</f>
        <v>13673.289669000002</v>
      </c>
      <c r="S19" s="73" ph="1">
        <f>S18*9.0746*LOOKUP(S20,密度!$A$2:$A$50,密度!$Q$2:$Q$50)</f>
        <v>0</v>
      </c>
      <c r="T19" s="73" ph="1">
        <f>T18*9.0746*LOOKUP(T20,密度!$A$2:$A$50,密度!$O$2:$O$50)</f>
        <v>32086.605902000003</v>
      </c>
      <c r="U19" s="73" ph="1">
        <f>U18*9.0746*LOOKUP(U20,密度!$A$2:$A$50,密度!$H$2:$H$50)</f>
        <v>21984.291571450001</v>
      </c>
      <c r="V19" s="73" ph="1">
        <f>MAX(5600*LOOKUP(V20,密度!$A$2:$A$50,密度!$Q$2:$Q$50)+V18*9.0476*LOOKUP(V20,密度!$A$2:$A$50,密度!$Q$2:$Q$50),0)</f>
        <v>5995.290087379999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17708.022045999998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8846.4718156800009</v>
      </c>
      <c r="AA19" s="73" ph="1">
        <f>AA18*9.0746*LOOKUP(AA20,密度!$A$2:$A$50,密度!$B$2:$B$50)</f>
        <v>17838.618185160001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0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34</v>
      </c>
      <c r="E20" s="81">
        <v>35</v>
      </c>
      <c r="F20" s="81">
        <v>37</v>
      </c>
      <c r="G20" s="81">
        <v>31</v>
      </c>
      <c r="H20" s="81">
        <v>30</v>
      </c>
      <c r="I20" s="81">
        <v>34</v>
      </c>
      <c r="J20" s="81">
        <v>34</v>
      </c>
      <c r="K20" s="81">
        <v>32</v>
      </c>
      <c r="L20" s="81">
        <v>33</v>
      </c>
      <c r="M20" s="81">
        <v>35</v>
      </c>
      <c r="N20" s="81">
        <v>32</v>
      </c>
      <c r="O20" s="81">
        <v>34</v>
      </c>
      <c r="P20" s="81">
        <v>31</v>
      </c>
      <c r="Q20" s="81">
        <v>35</v>
      </c>
      <c r="R20" s="81">
        <v>33</v>
      </c>
      <c r="S20" s="81">
        <v>36</v>
      </c>
      <c r="T20" s="81">
        <v>32</v>
      </c>
      <c r="U20" s="81">
        <v>31</v>
      </c>
      <c r="V20" s="81">
        <v>37</v>
      </c>
      <c r="W20" s="81">
        <v>37</v>
      </c>
      <c r="X20" s="81">
        <v>33</v>
      </c>
      <c r="Y20" s="110">
        <v>33</v>
      </c>
      <c r="Z20" s="81">
        <v>35</v>
      </c>
      <c r="AA20" s="81">
        <v>34</v>
      </c>
      <c r="AB20" s="81">
        <v>33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1" t="s" ph="1">
        <v>177</v>
      </c>
      <c r="D24" s="71">
        <v>3.11</v>
      </c>
      <c r="E24" s="71">
        <v>5.86</v>
      </c>
      <c r="F24" s="71">
        <v>7.1</v>
      </c>
      <c r="G24" s="71">
        <v>2002</v>
      </c>
      <c r="H24" s="71">
        <v>3618</v>
      </c>
      <c r="I24" s="71">
        <v>2533</v>
      </c>
      <c r="J24" s="71">
        <v>4671</v>
      </c>
      <c r="K24" s="71">
        <v>2455</v>
      </c>
      <c r="L24" s="71">
        <v>302</v>
      </c>
      <c r="M24" s="71">
        <v>3818</v>
      </c>
      <c r="N24" s="71">
        <v>3806</v>
      </c>
      <c r="O24" s="71">
        <v>340</v>
      </c>
      <c r="P24" s="71">
        <v>3795</v>
      </c>
      <c r="Q24" s="90">
        <v>2110</v>
      </c>
      <c r="R24" s="71">
        <v>4987</v>
      </c>
      <c r="S24" s="71">
        <v>2524</v>
      </c>
      <c r="T24" s="71">
        <v>378</v>
      </c>
      <c r="U24" s="71">
        <v>6807</v>
      </c>
      <c r="V24" s="71">
        <v>884</v>
      </c>
      <c r="W24" s="71">
        <v>409</v>
      </c>
      <c r="X24" s="71">
        <v>4912</v>
      </c>
      <c r="Y24" s="71">
        <v>4156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2273.685860952</v>
      </c>
      <c r="E25" s="91" ph="1">
        <f>E24*268.68*LOOKUP(E26,密度!$A$2:$A$50,密度!$C$2:$C$50)+IF(E24&lt;=0,0,1566*LOOKUP(E26,密度!$A$2:$A$50,密度!$C$2:$C$50))</f>
        <v>3482.4614167200002</v>
      </c>
      <c r="F25" s="91" ph="1">
        <f>F24*11.702*LOOKUP(F26,密度!$A$2:$A$50,密度!$Q$2:$Q$50)</f>
        <v>78.600145725999994</v>
      </c>
      <c r="G25" s="91" ph="1">
        <f>G24*18.322*LOOKUP(G26,密度!$A$2:$A$50,密度!$B$2:$B$50)</f>
        <v>28500.860388000001</v>
      </c>
      <c r="H25" s="91" ph="1">
        <f>H24*18.322*LOOKUP(H26,密度!$A$2:$A$50,密度!$B$2:$B$50)</f>
        <v>51566.209988399998</v>
      </c>
      <c r="I25" s="91" ph="1">
        <f>I24*18.322*LOOKUP(I26,密度!$A$2:$A$50,密度!$Q$2:$Q$50)</f>
        <v>43904.898484780002</v>
      </c>
      <c r="J25" s="91" ph="1">
        <f>J24*18.322*LOOKUP(J26,密度!$A$2:$A$50,密度!$Q$2:$Q$50)</f>
        <v>80902.434849839992</v>
      </c>
      <c r="K25" s="91" ph="1">
        <f>K24*18.322*LOOKUP(K26,密度!$A$2:$A$50,密度!$Q$2:$Q$50)</f>
        <v>42520.975713199994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66128.344306719999</v>
      </c>
      <c r="N25" s="91" ph="1">
        <f>N24*18.322*LOOKUP(N26,密度!$A$2:$A$50,密度!$Q$2:$Q$50)</f>
        <v>66019.524085679994</v>
      </c>
      <c r="O25" s="91" ph="1">
        <f>O24*18.322*LOOKUP(O26,密度!$A$2:$A$50,密度!$C$2:$C$50)</f>
        <v>6902.8867879999998</v>
      </c>
      <c r="P25" s="91" ph="1">
        <f>P24*11.702*LOOKUP(P26,密度!$A$2:$A$50,密度!$B$2:$B$50)</f>
        <v>34545.831111</v>
      </c>
      <c r="Q25" s="92" ph="1">
        <f>Q24*18.322*LOOKUP(Q26,密度!$A$2:$A$50,密度!$B$2:$B$50)</f>
        <v>30073.162818000001</v>
      </c>
      <c r="R25" s="91" ph="1">
        <f>R24*35.891*LOOKUP(R26,密度!$A$2:$A$50,密度!$C$2:$C$50)</f>
        <v>198211.77298579997</v>
      </c>
      <c r="S25" s="91" ph="1">
        <f>S24*35.891*LOOKUP(S26,密度!$A$2:$A$50,密度!$B$2:$B$50)</f>
        <v>70387.562867999994</v>
      </c>
      <c r="T25" s="91" ph="1">
        <f>T24*35.891*LOOKUP(T26,密度!$A$2:$A$50,密度!$Q$2:$Q$50)</f>
        <v>12815.468726759998</v>
      </c>
      <c r="U25" s="91" ph="1">
        <f>U24*35.891</f>
        <v>244310.03699999998</v>
      </c>
      <c r="V25" s="91" ph="1">
        <f>V24*47.051*LOOKUP(V26,密度!$A$2:$A$50,密度!$B$2:$B$50)</f>
        <v>32247.118025200001</v>
      </c>
      <c r="W25" s="91" ph="1">
        <f>W24*47.051*LOOKUP(W26,密度!$A$2:$A$50,密度!$B$2:$B$50)</f>
        <v>14969.7979161</v>
      </c>
      <c r="X25" s="91" ph="1">
        <f>X24*47.051*LOOKUP(X26,密度!$A$2:$A$61,密度!$I$2:$I$61)</f>
        <v>238302.1733232</v>
      </c>
      <c r="Y25" s="91" ph="1">
        <f>Y24*47.051*LOOKUP(Y26,密度!$A$2:$A$50,密度!$L$2:$L$50)</f>
        <v>182638.05490400002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26</v>
      </c>
      <c r="G26" s="74">
        <v>28</v>
      </c>
      <c r="H26" s="74">
        <v>27</v>
      </c>
      <c r="I26" s="74">
        <v>26</v>
      </c>
      <c r="J26" s="74">
        <v>27</v>
      </c>
      <c r="K26" s="74">
        <v>27</v>
      </c>
      <c r="L26" s="74">
        <v>28</v>
      </c>
      <c r="M26" s="74">
        <v>27</v>
      </c>
      <c r="N26" s="74">
        <v>25</v>
      </c>
      <c r="O26" s="74">
        <v>26</v>
      </c>
      <c r="P26" s="74">
        <v>27</v>
      </c>
      <c r="Q26" s="93">
        <v>27</v>
      </c>
      <c r="R26" s="74">
        <v>27</v>
      </c>
      <c r="S26" s="74">
        <v>28</v>
      </c>
      <c r="T26" s="74">
        <v>28</v>
      </c>
      <c r="U26" s="74">
        <v>29</v>
      </c>
      <c r="V26" s="74">
        <v>30</v>
      </c>
      <c r="W26" s="74">
        <v>27</v>
      </c>
      <c r="X26" s="74">
        <v>35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1" t="s" ph="1">
        <v>180</v>
      </c>
      <c r="D27" s="71">
        <v>3.11</v>
      </c>
      <c r="E27" s="71">
        <v>5.81</v>
      </c>
      <c r="F27" s="71">
        <v>3.2</v>
      </c>
      <c r="G27" s="71">
        <v>1563</v>
      </c>
      <c r="H27" s="71">
        <v>3175</v>
      </c>
      <c r="I27" s="71">
        <v>1328</v>
      </c>
      <c r="J27" s="71">
        <v>4671</v>
      </c>
      <c r="K27" s="71">
        <v>2452</v>
      </c>
      <c r="L27" s="71">
        <v>296</v>
      </c>
      <c r="M27" s="71">
        <v>3817</v>
      </c>
      <c r="N27" s="71">
        <v>3804</v>
      </c>
      <c r="O27" s="71">
        <v>334</v>
      </c>
      <c r="P27" s="71">
        <v>355</v>
      </c>
      <c r="Q27" s="90">
        <v>2427</v>
      </c>
      <c r="R27" s="71">
        <v>4448</v>
      </c>
      <c r="S27" s="71">
        <v>3645</v>
      </c>
      <c r="T27" s="71">
        <v>380</v>
      </c>
      <c r="U27" s="71">
        <v>6693</v>
      </c>
      <c r="V27" s="71">
        <v>879</v>
      </c>
      <c r="W27" s="71">
        <v>405</v>
      </c>
      <c r="X27" s="71">
        <v>4789</v>
      </c>
      <c r="Y27" s="71">
        <v>2533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1" t="s" ph="1">
        <v>178</v>
      </c>
      <c r="D28" s="91" ph="1">
        <f>D27*268.68*LOOKUP(D29,密度!$A$2:$A$50,密度!$Q$2:$Q$50)+IF(D27&lt;=0,0,1566*LOOKUP(D29,密度!$A$2:$A$50,密度!$Q$2:$Q$50))</f>
        <v>2273.685860952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35.296227712000004</v>
      </c>
      <c r="G28" s="91" ph="1">
        <f>G27*18.322*LOOKUP(G29,密度!$A$2:$A$50,密度!$B$2:$B$50)</f>
        <v>22176.714278399999</v>
      </c>
      <c r="H28" s="91" ph="1">
        <f>H27*18.322*LOOKUP(H29,密度!$A$2:$A$50,密度!$B$2:$B$50)</f>
        <v>44996.312724999996</v>
      </c>
      <c r="I28" s="91" ph="1">
        <f>I27*18.322*LOOKUP(I29,密度!$A$2:$A$50,密度!$Q$2:$Q$50)</f>
        <v>22934.494609279998</v>
      </c>
      <c r="J28" s="91" ph="1">
        <f>J27*18.322*LOOKUP(J29,密度!$A$2:$A$50,密度!$Q$2:$Q$50)</f>
        <v>80609.744197799984</v>
      </c>
      <c r="K28" s="91" ph="1">
        <f>K27*18.322*LOOKUP(K29,密度!$A$2:$A$50,密度!$Q$2:$Q$50)</f>
        <v>42379.613421519993</v>
      </c>
      <c r="L28" s="91" ph="1">
        <f>L27*18.322*LOOKUP(L29,密度!$A$2:$A$50,密度!$Q$2:$Q$50)</f>
        <v>5104.6924200000003</v>
      </c>
      <c r="M28" s="91" ph="1">
        <f>M27*18.322*LOOKUP(M29,密度!$A$2:$A$50,密度!$Q$2:$Q$50)</f>
        <v>65871.84620059999</v>
      </c>
      <c r="N28" s="91" ph="1">
        <f>N27*18.322*LOOKUP(N29,密度!$A$2:$A$50,密度!$Q$2:$Q$50)</f>
        <v>65647.498807199983</v>
      </c>
      <c r="O28" s="91" ph="1">
        <f>O27*18.322*LOOKUP(O29,密度!$A$2:$A$50,密度!$C$2:$C$50)</f>
        <v>6743.7418960000005</v>
      </c>
      <c r="P28" s="91" ph="1">
        <f>P27*11.702*LOOKUP(P29,密度!$A$2:$A$50,密度!$B$2:$B$50)</f>
        <v>3213.2814349999999</v>
      </c>
      <c r="Q28" s="92" ph="1">
        <f>Q27*18.322*LOOKUP(Q29,密度!$A$2:$A$50,密度!$B$2:$B$50)</f>
        <v>34360.032613800002</v>
      </c>
      <c r="R28" s="91" ph="1">
        <f>R27*35.891*LOOKUP(R29,密度!$A$2:$A$50,密度!$C$2:$C$50)</f>
        <v>176421.6649568</v>
      </c>
      <c r="S28" s="91" ph="1">
        <f>S27*35.891*LOOKUP(S29,密度!$A$2:$A$50,密度!$B$2:$B$50)</f>
        <v>101191.35458249999</v>
      </c>
      <c r="T28" s="91" ph="1">
        <f>T27*35.891*LOOKUP(T29,密度!$A$2:$A$50,密度!$Q$2:$Q$50)</f>
        <v>12855.452736399999</v>
      </c>
      <c r="U28" s="91" ph="1">
        <f>U27*35.891</f>
        <v>240218.46299999999</v>
      </c>
      <c r="V28" s="91" ph="1">
        <f>V27*47.051*LOOKUP(V29,密度!$A$2:$A$50,密度!$B$2:$B$50)</f>
        <v>32064.724823700002</v>
      </c>
      <c r="W28" s="91" ph="1">
        <f>W27*47.051*LOOKUP(W29,密度!$A$2:$A$50,密度!$B$2:$B$50)</f>
        <v>14739.549142500002</v>
      </c>
      <c r="X28" s="91" ph="1">
        <f>X27*47.051*LOOKUP(X29,密度!$A$2:$A$61,密度!$I$2:$I$61)</f>
        <v>232087.05617</v>
      </c>
      <c r="Y28" s="91" ph="1">
        <f>Y27*47.051*LOOKUP(Y29,密度!$A$2:$A$50,密度!$L$2:$L$50)</f>
        <v>110837.57019000001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1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32</v>
      </c>
      <c r="I29" s="74">
        <v>31</v>
      </c>
      <c r="J29" s="74">
        <v>32</v>
      </c>
      <c r="K29" s="74">
        <v>30</v>
      </c>
      <c r="L29" s="74">
        <v>33</v>
      </c>
      <c r="M29" s="74">
        <v>32</v>
      </c>
      <c r="N29" s="74">
        <v>32</v>
      </c>
      <c r="O29" s="74">
        <v>33</v>
      </c>
      <c r="P29" s="74">
        <v>32</v>
      </c>
      <c r="Q29" s="93">
        <v>33</v>
      </c>
      <c r="R29" s="74">
        <v>30</v>
      </c>
      <c r="S29" s="74">
        <v>32</v>
      </c>
      <c r="T29" s="74">
        <v>31</v>
      </c>
      <c r="U29" s="74">
        <v>31</v>
      </c>
      <c r="V29" s="74">
        <v>30</v>
      </c>
      <c r="W29" s="74">
        <v>32</v>
      </c>
      <c r="X29" s="74">
        <v>36</v>
      </c>
      <c r="Y29" s="74">
        <v>32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1" t="s" ph="1">
        <v>5</v>
      </c>
      <c r="F32" s="152" t="s" ph="1">
        <v>43</v>
      </c>
      <c r="G32" s="97" t="s" ph="1">
        <v>4</v>
      </c>
      <c r="H32" s="151" t="s" ph="1">
        <v>5</v>
      </c>
      <c r="I32" s="152" t="s" ph="1">
        <v>43</v>
      </c>
      <c r="J32" s="97" t="s" ph="1">
        <v>4</v>
      </c>
      <c r="K32" s="151" t="s" ph="1">
        <v>5</v>
      </c>
      <c r="L32" s="152" t="s" ph="1">
        <v>43</v>
      </c>
      <c r="M32" s="97" t="s" ph="1">
        <v>4</v>
      </c>
      <c r="N32" s="151" t="s" ph="1">
        <v>5</v>
      </c>
      <c r="O32" s="152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1" t="s" ph="1">
        <v>5</v>
      </c>
      <c r="U32" s="99" t="s" ph="1">
        <v>43</v>
      </c>
      <c r="V32" s="97" t="s" ph="1">
        <v>4</v>
      </c>
      <c r="W32" s="151" t="s" ph="1">
        <v>5</v>
      </c>
      <c r="X32" s="99" t="s" ph="1">
        <v>43</v>
      </c>
      <c r="Y32" s="100" t="s" ph="1">
        <v>4</v>
      </c>
      <c r="Z32" s="151" t="s" ph="1">
        <v>5</v>
      </c>
      <c r="AA32" s="152" t="s" ph="1">
        <v>43</v>
      </c>
      <c r="AB32" s="97" t="s" ph="1">
        <v>85</v>
      </c>
      <c r="AC32" s="151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48901.050733680007</v>
      </c>
      <c r="E33" s="190" ph="1">
        <f>M10+I10</f>
        <v>180735.80851060001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1522252632456786910111213141516171819202123456789101112131415161718192022232424356789101112131415161718192021222345678910111213141516171819202345678910111213149101516171819222123234567891012131415161711181920212224252345678910111213124[[#This Row],[F25]]</f>
        <v>3880</v>
      </c>
      <c r="G33" s="216" ph="1">
        <f>N19</f>
        <v>8568.1298767360004</v>
      </c>
      <c r="H33" s="190" ph="1">
        <f>M19</f>
        <v>16352.177652088001</v>
      </c>
      <c r="I33" s="194" ph="1">
        <v>0</v>
      </c>
      <c r="J33" s="198" ph="1">
        <f>F10+O28</f>
        <v>221046.33850119996</v>
      </c>
      <c r="K33" s="190" ph="1">
        <f>O10+K10+E28+R28</f>
        <v>187020.23739771999</v>
      </c>
      <c r="L33" s="200" ph="1">
        <f>K19</f>
        <v>33661.221419400004</v>
      </c>
      <c r="M33" s="198" ph="1">
        <f>G10+H10+W28+S28+V28+E10+R19+P28+Q28</f>
        <v>835402.34322650009</v>
      </c>
      <c r="N33" s="190" ph="1">
        <f>L10+P10++G28+H28+AD19+AE19</f>
        <v>203186.91862399998</v>
      </c>
      <c r="O33" s="194" ph="1">
        <f>G19</f>
        <v>16057.5409984</v>
      </c>
      <c r="P33" s="198" ph="1">
        <f>L19</f>
        <v>41232.451584806004</v>
      </c>
      <c r="Q33" s="190" ph="1">
        <f>J10+N10</f>
        <v>170339.91328467999</v>
      </c>
      <c r="R33" s="194" ph="1">
        <f>BE23</f>
        <v>890</v>
      </c>
      <c r="S33" s="198" ph="1">
        <f>X28</f>
        <v>232087.05617</v>
      </c>
      <c r="T33" s="190" ph="1">
        <f>X19</f>
        <v>17708.022045999998</v>
      </c>
      <c r="U33" s="179" ph="1">
        <f>BE21</f>
        <v>730</v>
      </c>
      <c r="V33" s="192" ph="1">
        <f ca="1">P19+Q19+S19+M28+N28+J28+D10+AC10+D19+E19+H19+J19+O19+V19+W19+K28+L28</f>
        <v>644661.36198481801</v>
      </c>
      <c r="W33" s="192" ph="1">
        <f>D28+F28+T28+I28</f>
        <v>38098.929434343998</v>
      </c>
      <c r="X33" s="194" ph="1">
        <f>BE29+BE31</f>
        <v>10200</v>
      </c>
      <c r="Y33" s="196" ph="1">
        <f>+Q10+R10+S10+T10+U10+V10+W10+X10+Y10</f>
        <v>330200.84859299997</v>
      </c>
      <c r="Z33" s="177" ph="1">
        <f>T19+U19+Y28+Z10</f>
        <v>229298.35364745004</v>
      </c>
      <c r="AA33" s="179" ph="1">
        <f>BE19</f>
        <v>1440</v>
      </c>
      <c r="AB33" s="181" ph="1">
        <f>I19</f>
        <v>24284.9363424</v>
      </c>
      <c r="AC33" s="183" ph="1">
        <f>AD10+AB19</f>
        <v>106885.9636992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3" t="s" ph="1">
        <v>185</v>
      </c>
      <c r="AA36" s="153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3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3" t="s" ph="1">
        <v>342</v>
      </c>
      <c r="AI37" s="153" t="s" ph="1">
        <v>209</v>
      </c>
      <c r="AJ37" s="153" t="s" ph="1">
        <v>210</v>
      </c>
      <c r="AK37" s="153" t="s" ph="1">
        <v>211</v>
      </c>
      <c r="AM37" s="153" t="s" ph="1">
        <v>210</v>
      </c>
      <c r="AN37" s="153" t="s" ph="1">
        <v>211</v>
      </c>
      <c r="AO37" s="153" t="s" ph="1">
        <v>212</v>
      </c>
      <c r="AP37" s="153" t="s" ph="1">
        <v>210</v>
      </c>
      <c r="AQ37" s="153" t="s" ph="1">
        <v>211</v>
      </c>
      <c r="AR37" s="153" t="s" ph="1">
        <v>212</v>
      </c>
      <c r="AS37" s="153" t="s" ph="1">
        <v>210</v>
      </c>
      <c r="AT37" s="153" t="s" ph="1">
        <v>211</v>
      </c>
      <c r="AU37" s="153" t="s" ph="1">
        <v>212</v>
      </c>
      <c r="AV37" s="153" t="s" ph="1">
        <v>210</v>
      </c>
      <c r="AW37" s="153" t="s" ph="1">
        <v>211</v>
      </c>
      <c r="AX37" s="153" t="s" ph="1">
        <v>212</v>
      </c>
      <c r="AY37" s="153" t="s" ph="1">
        <v>211</v>
      </c>
      <c r="AZ37" s="153" t="s" ph="1">
        <v>213</v>
      </c>
      <c r="BD37" s="153" t="s" ph="1">
        <v>305</v>
      </c>
      <c r="BE37" s="153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886" priority="101">
      <formula>ABS(D$7-D$10)&gt;=1000</formula>
    </cfRule>
  </conditionalFormatting>
  <conditionalFormatting sqref="E4 E6:E11">
    <cfRule type="expression" dxfId="2885" priority="100">
      <formula>ABS(E$7-E$10)&gt;=1000</formula>
    </cfRule>
  </conditionalFormatting>
  <conditionalFormatting sqref="F4:F11">
    <cfRule type="expression" dxfId="2884" priority="99">
      <formula>ABS(F$7-F$10)&gt;=1000</formula>
    </cfRule>
  </conditionalFormatting>
  <conditionalFormatting sqref="G4:G11">
    <cfRule type="expression" dxfId="2883" priority="98">
      <formula>ABS(G$7-G$10)&gt;=1000</formula>
    </cfRule>
  </conditionalFormatting>
  <conditionalFormatting sqref="H4:H11">
    <cfRule type="expression" dxfId="2882" priority="97">
      <formula>ABS(H$7-H$10)&gt;=1000</formula>
    </cfRule>
  </conditionalFormatting>
  <conditionalFormatting sqref="I4:I11">
    <cfRule type="expression" dxfId="2881" priority="96">
      <formula>ABS(I$7-I$10)&gt;=1000</formula>
    </cfRule>
  </conditionalFormatting>
  <conditionalFormatting sqref="J4:J11">
    <cfRule type="expression" dxfId="2880" priority="95">
      <formula>ABS(J$7-J$10)&gt;=1000</formula>
    </cfRule>
  </conditionalFormatting>
  <conditionalFormatting sqref="K4:K11">
    <cfRule type="expression" dxfId="2879" priority="94">
      <formula>ABS(K$7-K$10)&gt;=1000</formula>
    </cfRule>
  </conditionalFormatting>
  <conditionalFormatting sqref="L4:L11">
    <cfRule type="expression" dxfId="2878" priority="93">
      <formula>ABS(L$7-L$10)&gt;=1000</formula>
    </cfRule>
  </conditionalFormatting>
  <conditionalFormatting sqref="M4 M6:M11">
    <cfRule type="expression" dxfId="2877" priority="92">
      <formula>ABS(M$7-M$10)&gt;=1000</formula>
    </cfRule>
  </conditionalFormatting>
  <conditionalFormatting sqref="N4 N6:N11">
    <cfRule type="expression" dxfId="2876" priority="91">
      <formula>ABS(N$7-N$10)&gt;=1000</formula>
    </cfRule>
  </conditionalFormatting>
  <conditionalFormatting sqref="O4 O6:O11">
    <cfRule type="expression" dxfId="2875" priority="90">
      <formula>ABS(O$7-O$10)&gt;=1000</formula>
    </cfRule>
  </conditionalFormatting>
  <conditionalFormatting sqref="P4 P6:P11">
    <cfRule type="expression" dxfId="2874" priority="89">
      <formula>ABS(P$7-P$10)&gt;=1000</formula>
    </cfRule>
  </conditionalFormatting>
  <conditionalFormatting sqref="Q4:Q11">
    <cfRule type="expression" dxfId="2873" priority="88">
      <formula>ABS(Q$7-Q$10)&gt;=1000</formula>
    </cfRule>
  </conditionalFormatting>
  <conditionalFormatting sqref="R4:R11">
    <cfRule type="expression" dxfId="2872" priority="87">
      <formula>ABS(R$7-R$10)&gt;=1000</formula>
    </cfRule>
  </conditionalFormatting>
  <conditionalFormatting sqref="S4:S11">
    <cfRule type="expression" dxfId="2871" priority="86">
      <formula>ABS(S$7-S$10)&gt;=1000</formula>
    </cfRule>
  </conditionalFormatting>
  <conditionalFormatting sqref="T4:T9 T11">
    <cfRule type="expression" dxfId="2870" priority="85">
      <formula>ABS(T$7-T$10)&gt;=1000</formula>
    </cfRule>
  </conditionalFormatting>
  <conditionalFormatting sqref="U4:U9 U11">
    <cfRule type="expression" dxfId="2869" priority="84">
      <formula>ABS(U$7-U$10)&gt;=1000</formula>
    </cfRule>
  </conditionalFormatting>
  <conditionalFormatting sqref="V4:V9 V11">
    <cfRule type="expression" dxfId="2868" priority="83">
      <formula>ABS(V$7-V$10)&gt;=1000</formula>
    </cfRule>
  </conditionalFormatting>
  <conditionalFormatting sqref="W4:W9 W11">
    <cfRule type="expression" dxfId="2867" priority="82">
      <formula>ABS(W$7-W$10)&gt;=1000</formula>
    </cfRule>
  </conditionalFormatting>
  <conditionalFormatting sqref="X4:X9 X11">
    <cfRule type="expression" dxfId="2866" priority="81">
      <formula>ABS(X$7-X$10)&gt;=1000</formula>
    </cfRule>
  </conditionalFormatting>
  <conditionalFormatting sqref="Y4:Y9 Y11">
    <cfRule type="expression" dxfId="2865" priority="80">
      <formula>ABS(Y$7-Y$10)&gt;=1000</formula>
    </cfRule>
  </conditionalFormatting>
  <conditionalFormatting sqref="Z4:Z11">
    <cfRule type="expression" dxfId="2864" priority="79">
      <formula>ABS(Z$7-Z$10)&gt;=1000</formula>
    </cfRule>
  </conditionalFormatting>
  <conditionalFormatting sqref="AA4:AA11">
    <cfRule type="expression" dxfId="2863" priority="78">
      <formula>ABS(AA$7-AA$10)&gt;=1000</formula>
    </cfRule>
  </conditionalFormatting>
  <conditionalFormatting sqref="AB4:AB11">
    <cfRule type="expression" dxfId="2862" priority="77">
      <formula>ABS(AB$7-AB$10)&gt;=1000</formula>
    </cfRule>
  </conditionalFormatting>
  <conditionalFormatting sqref="AC4 AC6:AC11">
    <cfRule type="expression" dxfId="2861" priority="76">
      <formula>ABS(AC$7-AC$10)&gt;=1000</formula>
    </cfRule>
  </conditionalFormatting>
  <conditionalFormatting sqref="AD4 AD6:AD11">
    <cfRule type="expression" dxfId="2860" priority="75">
      <formula>ABS(AD$7-AD$10)&gt;=1000</formula>
    </cfRule>
  </conditionalFormatting>
  <conditionalFormatting sqref="AE4 AE6:AE11">
    <cfRule type="expression" dxfId="2859" priority="74">
      <formula>ABS(AE$7-AE$10)&gt;=1000</formula>
    </cfRule>
  </conditionalFormatting>
  <conditionalFormatting sqref="D13:D20">
    <cfRule type="expression" dxfId="2858" priority="73">
      <formula>ABS(D$16-D$19)&gt;=1000</formula>
    </cfRule>
  </conditionalFormatting>
  <conditionalFormatting sqref="E13:E20">
    <cfRule type="expression" dxfId="2857" priority="72">
      <formula>ABS(E$16-E$19)&gt;=1000</formula>
    </cfRule>
  </conditionalFormatting>
  <conditionalFormatting sqref="F13 F15:F20">
    <cfRule type="expression" dxfId="2856" priority="71">
      <formula>ABS(F$16-F$19)&gt;=1000</formula>
    </cfRule>
  </conditionalFormatting>
  <conditionalFormatting sqref="G13:G20">
    <cfRule type="expression" dxfId="2855" priority="70">
      <formula>ABS(G$16-G$19)&gt;=1000</formula>
    </cfRule>
  </conditionalFormatting>
  <conditionalFormatting sqref="H13 H15:H20">
    <cfRule type="expression" dxfId="2854" priority="69">
      <formula>ABS(H$16-H$19)&gt;=1000</formula>
    </cfRule>
  </conditionalFormatting>
  <conditionalFormatting sqref="I13:I20">
    <cfRule type="expression" dxfId="2853" priority="68">
      <formula>ABS(I$16-I$19)&gt;=1000</formula>
    </cfRule>
  </conditionalFormatting>
  <conditionalFormatting sqref="J13:J20">
    <cfRule type="expression" dxfId="2852" priority="67">
      <formula>ABS(J$16-J$19)&gt;=1000</formula>
    </cfRule>
  </conditionalFormatting>
  <conditionalFormatting sqref="L13:L20">
    <cfRule type="expression" dxfId="2851" priority="66">
      <formula>ABS(L$16-L$19)&gt;=1000</formula>
    </cfRule>
  </conditionalFormatting>
  <conditionalFormatting sqref="M13 M15 M17:M18 M20">
    <cfRule type="expression" dxfId="2850" priority="65">
      <formula>ABS(M$16-M$19)&gt;=1000</formula>
    </cfRule>
  </conditionalFormatting>
  <conditionalFormatting sqref="N13:N20">
    <cfRule type="expression" dxfId="2849" priority="64">
      <formula>ABS(N$16-N$19)&gt;=1000</formula>
    </cfRule>
  </conditionalFormatting>
  <conditionalFormatting sqref="O13:O20">
    <cfRule type="expression" dxfId="2848" priority="63">
      <formula>ABS(O$16-O$19)&gt;=1000</formula>
    </cfRule>
  </conditionalFormatting>
  <conditionalFormatting sqref="P13:P20">
    <cfRule type="expression" dxfId="2847" priority="62">
      <formula>ABS(P$16-P$19)&gt;=1000</formula>
    </cfRule>
  </conditionalFormatting>
  <conditionalFormatting sqref="Q13 Q15:Q20">
    <cfRule type="expression" dxfId="2846" priority="61">
      <formula>ABS(Q$16-Q$19)&gt;=1000</formula>
    </cfRule>
  </conditionalFormatting>
  <conditionalFormatting sqref="R13:R20">
    <cfRule type="expression" dxfId="2845" priority="60">
      <formula>ABS(R$16-R$19)&gt;=1000</formula>
    </cfRule>
  </conditionalFormatting>
  <conditionalFormatting sqref="S13:S20">
    <cfRule type="expression" dxfId="2844" priority="59">
      <formula>ABS(S$16-S$19)&gt;=1000</formula>
    </cfRule>
  </conditionalFormatting>
  <conditionalFormatting sqref="T13:T15 T17:T20">
    <cfRule type="expression" dxfId="2843" priority="58">
      <formula>ABS(T$16-T$19)&gt;=1000</formula>
    </cfRule>
  </conditionalFormatting>
  <conditionalFormatting sqref="U13:U20">
    <cfRule type="expression" dxfId="2842" priority="57">
      <formula>ABS(U$16-U$19)&gt;=1000</formula>
    </cfRule>
  </conditionalFormatting>
  <conditionalFormatting sqref="V13:V20">
    <cfRule type="expression" dxfId="2841" priority="56">
      <formula>ABS(V$16-V$19)&gt;=1000</formula>
    </cfRule>
  </conditionalFormatting>
  <conditionalFormatting sqref="W13 W20 W15:W18">
    <cfRule type="expression" dxfId="2840" priority="55">
      <formula>ABS(W$16-W$19)&gt;=1000</formula>
    </cfRule>
  </conditionalFormatting>
  <conditionalFormatting sqref="X13 X15:X20 Y19">
    <cfRule type="expression" dxfId="2839" priority="54">
      <formula>ABS(X$16-X$19)&gt;=1000</formula>
    </cfRule>
  </conditionalFormatting>
  <conditionalFormatting sqref="Y13 Y15:Y18 Y20">
    <cfRule type="expression" dxfId="2838" priority="53">
      <formula>ABS(Y$16-Y$19)&gt;=1000</formula>
    </cfRule>
  </conditionalFormatting>
  <conditionalFormatting sqref="Z13:Z20">
    <cfRule type="expression" dxfId="2837" priority="52">
      <formula>ABS(Z$16-Z$19)&gt;=1000</formula>
    </cfRule>
  </conditionalFormatting>
  <conditionalFormatting sqref="AA13:AA20">
    <cfRule type="expression" dxfId="2836" priority="51">
      <formula>ABS(AA$16-AA$19)&gt;=1000</formula>
    </cfRule>
  </conditionalFormatting>
  <conditionalFormatting sqref="AB13 AB15:AB20">
    <cfRule type="expression" dxfId="2835" priority="50">
      <formula>ABS(AB$16-AB$19)&gt;=1000</formula>
    </cfRule>
  </conditionalFormatting>
  <conditionalFormatting sqref="AC13 AC15:AC20">
    <cfRule type="expression" dxfId="2834" priority="49">
      <formula>ABS(AC$16-AC$19)&gt;=1000</formula>
    </cfRule>
  </conditionalFormatting>
  <conditionalFormatting sqref="AD13:AD20">
    <cfRule type="expression" dxfId="2833" priority="48">
      <formula>ABS(AD$16-AD$19)&gt;=1000</formula>
    </cfRule>
  </conditionalFormatting>
  <conditionalFormatting sqref="AE13:AE20">
    <cfRule type="expression" dxfId="2832" priority="47">
      <formula>ABS(AE$16-AE$19)&gt;=1000</formula>
    </cfRule>
  </conditionalFormatting>
  <conditionalFormatting sqref="D22:D29">
    <cfRule type="expression" dxfId="2831" priority="46">
      <formula>ABS(D$25-D$28)&gt;=1000</formula>
    </cfRule>
  </conditionalFormatting>
  <conditionalFormatting sqref="E22:E29">
    <cfRule type="expression" dxfId="2830" priority="45">
      <formula>ABS(E$25-E$28)&gt;=1000</formula>
    </cfRule>
  </conditionalFormatting>
  <conditionalFormatting sqref="F22:F29">
    <cfRule type="expression" dxfId="2829" priority="44">
      <formula>ABS(F$25-F$28)&gt;=1000</formula>
    </cfRule>
  </conditionalFormatting>
  <conditionalFormatting sqref="G22:G29">
    <cfRule type="expression" dxfId="2828" priority="43">
      <formula>ABS(G$25-G$28)&gt;=1000</formula>
    </cfRule>
  </conditionalFormatting>
  <conditionalFormatting sqref="H22:H29">
    <cfRule type="expression" dxfId="2827" priority="42">
      <formula>ABS(H$25-H$28)&gt;=1000</formula>
    </cfRule>
  </conditionalFormatting>
  <conditionalFormatting sqref="I22 I24:I29">
    <cfRule type="expression" dxfId="2826" priority="41">
      <formula>ABS(I$25-I$28)&gt;=1000</formula>
    </cfRule>
  </conditionalFormatting>
  <conditionalFormatting sqref="J22:J29 K22">
    <cfRule type="expression" dxfId="2825" priority="40">
      <formula>ABS(J$25-J$28)&gt;=1000</formula>
    </cfRule>
  </conditionalFormatting>
  <conditionalFormatting sqref="K23:K29 L25 L28">
    <cfRule type="expression" dxfId="2824" priority="39">
      <formula>ABS(K$25-K$28)&gt;=1000</formula>
    </cfRule>
  </conditionalFormatting>
  <conditionalFormatting sqref="L22 L26:L27 L29 L24">
    <cfRule type="expression" dxfId="2823" priority="38">
      <formula>ABS(L$25-L$28)&gt;=1000</formula>
    </cfRule>
  </conditionalFormatting>
  <conditionalFormatting sqref="M22:M29">
    <cfRule type="expression" dxfId="2822" priority="37">
      <formula>ABS(M$25-M$28)&gt;=1000</formula>
    </cfRule>
  </conditionalFormatting>
  <conditionalFormatting sqref="N22:N29">
    <cfRule type="expression" dxfId="2821" priority="36">
      <formula>ABS(N$25-N$28)&gt;=1000</formula>
    </cfRule>
  </conditionalFormatting>
  <conditionalFormatting sqref="O22:O29">
    <cfRule type="expression" dxfId="2820" priority="35">
      <formula>ABS(O$25-O$28)&gt;=1000</formula>
    </cfRule>
  </conditionalFormatting>
  <conditionalFormatting sqref="P22:P29">
    <cfRule type="expression" dxfId="2819" priority="34">
      <formula>ABS(P$25-P$28)&gt;=1000</formula>
    </cfRule>
  </conditionalFormatting>
  <conditionalFormatting sqref="Q22:Q29">
    <cfRule type="expression" dxfId="2818" priority="33">
      <formula>ABS(Q$25-Q$28)&gt;=1000</formula>
    </cfRule>
  </conditionalFormatting>
  <conditionalFormatting sqref="R22:R29">
    <cfRule type="expression" dxfId="2817" priority="32">
      <formula>ABS(R$25-R$28)&gt;=1000</formula>
    </cfRule>
  </conditionalFormatting>
  <conditionalFormatting sqref="S22:S29">
    <cfRule type="expression" dxfId="2816" priority="31">
      <formula>ABS(S$25-S$28)&gt;=1000</formula>
    </cfRule>
  </conditionalFormatting>
  <conditionalFormatting sqref="T22:T29">
    <cfRule type="expression" dxfId="2815" priority="30">
      <formula>ABS(T$25-T$28)&gt;=1000</formula>
    </cfRule>
  </conditionalFormatting>
  <conditionalFormatting sqref="U22:U29">
    <cfRule type="expression" dxfId="2814" priority="29">
      <formula>ABS(U$25-U$28)&gt;=1000</formula>
    </cfRule>
  </conditionalFormatting>
  <conditionalFormatting sqref="V22:V29">
    <cfRule type="expression" dxfId="2813" priority="28">
      <formula>ABS(V$25-V$28)&gt;=1000</formula>
    </cfRule>
  </conditionalFormatting>
  <conditionalFormatting sqref="W22:W29">
    <cfRule type="expression" dxfId="2812" priority="27">
      <formula>ABS(W$25-W$28)&gt;=1000</formula>
    </cfRule>
  </conditionalFormatting>
  <conditionalFormatting sqref="X22:X29">
    <cfRule type="expression" dxfId="2811" priority="26">
      <formula>ABS(X$25-X$28)&gt;=1000</formula>
    </cfRule>
  </conditionalFormatting>
  <conditionalFormatting sqref="Y22:Y29">
    <cfRule type="expression" dxfId="2810" priority="25">
      <formula>ABS(Y$25-Y$28)&gt;=1000</formula>
    </cfRule>
  </conditionalFormatting>
  <conditionalFormatting sqref="I23">
    <cfRule type="expression" dxfId="2809" priority="24">
      <formula>ABS(I$25-I$28)&gt;=1000</formula>
    </cfRule>
  </conditionalFormatting>
  <conditionalFormatting sqref="Q14">
    <cfRule type="expression" dxfId="2808" priority="23">
      <formula>ABS(Q$16-Q$19)&gt;=1000</formula>
    </cfRule>
  </conditionalFormatting>
  <conditionalFormatting sqref="W14">
    <cfRule type="expression" dxfId="2807" priority="22">
      <formula>ABS(W$16-W$19)&gt;=1000</formula>
    </cfRule>
  </conditionalFormatting>
  <conditionalFormatting sqref="X14">
    <cfRule type="expression" dxfId="2806" priority="21">
      <formula>ABS(X$16-X$19)&gt;=1000</formula>
    </cfRule>
  </conditionalFormatting>
  <conditionalFormatting sqref="T10:Y10">
    <cfRule type="expression" dxfId="2805" priority="20">
      <formula>ABS(T$7-T$10)&gt;=1000</formula>
    </cfRule>
  </conditionalFormatting>
  <conditionalFormatting sqref="W19">
    <cfRule type="expression" dxfId="2804" priority="19">
      <formula>ABS(W$16-W$19)&gt;=1000</formula>
    </cfRule>
  </conditionalFormatting>
  <conditionalFormatting sqref="AC5">
    <cfRule type="expression" dxfId="2803" priority="18">
      <formula>ABS(AC$7-AC$10)&gt;=1000</formula>
    </cfRule>
  </conditionalFormatting>
  <conditionalFormatting sqref="M14">
    <cfRule type="expression" dxfId="2802" priority="17">
      <formula>ABS(M$16-M$19)&gt;=1000</formula>
    </cfRule>
  </conditionalFormatting>
  <conditionalFormatting sqref="M16">
    <cfRule type="expression" dxfId="2801" priority="16">
      <formula>ABS(M$16-M$19)&gt;=1000</formula>
    </cfRule>
  </conditionalFormatting>
  <conditionalFormatting sqref="M19">
    <cfRule type="expression" dxfId="2800" priority="15">
      <formula>ABS(M$16-M$19)&gt;=1000</formula>
    </cfRule>
  </conditionalFormatting>
  <conditionalFormatting sqref="K13:K20">
    <cfRule type="expression" dxfId="2799" priority="14">
      <formula>ABS(K$16-K$19)&gt;=1000</formula>
    </cfRule>
  </conditionalFormatting>
  <conditionalFormatting sqref="E5">
    <cfRule type="expression" dxfId="2798" priority="13">
      <formula>ABS(E$7-E$10)&gt;=1000</formula>
    </cfRule>
  </conditionalFormatting>
  <conditionalFormatting sqref="AB14:AC14">
    <cfRule type="expression" dxfId="2797" priority="12">
      <formula>ABS(AB$16-AB$19)&gt;=1000</formula>
    </cfRule>
  </conditionalFormatting>
  <conditionalFormatting sqref="M5">
    <cfRule type="expression" dxfId="2796" priority="11">
      <formula>ABS(M$7-M$10)&gt;=1000</formula>
    </cfRule>
  </conditionalFormatting>
  <conditionalFormatting sqref="N5">
    <cfRule type="expression" dxfId="2795" priority="10">
      <formula>ABS(N$7-N$10)&gt;=1000</formula>
    </cfRule>
  </conditionalFormatting>
  <conditionalFormatting sqref="O5">
    <cfRule type="expression" dxfId="2794" priority="9">
      <formula>ABS(O$7-O$10)&gt;=1000</formula>
    </cfRule>
  </conditionalFormatting>
  <conditionalFormatting sqref="P5">
    <cfRule type="expression" dxfId="2793" priority="8">
      <formula>ABS(P$7-P$10)&gt;=1000</formula>
    </cfRule>
  </conditionalFormatting>
  <conditionalFormatting sqref="L23">
    <cfRule type="expression" dxfId="2792" priority="7">
      <formula>ABS(L$25-L$28)&gt;=1000</formula>
    </cfRule>
  </conditionalFormatting>
  <conditionalFormatting sqref="Y14">
    <cfRule type="expression" dxfId="2791" priority="6">
      <formula>ABS(Y$16-Y$19)&gt;=1000</formula>
    </cfRule>
  </conditionalFormatting>
  <conditionalFormatting sqref="F14">
    <cfRule type="expression" dxfId="2790" priority="5">
      <formula>ABS(F$16-F$19)&gt;=1000</formula>
    </cfRule>
  </conditionalFormatting>
  <conditionalFormatting sqref="H14">
    <cfRule type="expression" dxfId="2789" priority="4">
      <formula>ABS(H$16-H$19)&gt;=1000</formula>
    </cfRule>
  </conditionalFormatting>
  <conditionalFormatting sqref="AD5">
    <cfRule type="expression" dxfId="2788" priority="3">
      <formula>ABS(AD$7-AD$10)&gt;=1000</formula>
    </cfRule>
  </conditionalFormatting>
  <conditionalFormatting sqref="AE5">
    <cfRule type="expression" dxfId="2787" priority="2">
      <formula>ABS(AE$7-AE$10)&gt;=1000</formula>
    </cfRule>
  </conditionalFormatting>
  <conditionalFormatting sqref="T16">
    <cfRule type="expression" dxfId="2786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68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3">
    <pageSetUpPr fitToPage="1"/>
  </sheetPr>
  <dimension ref="A1:CU223"/>
  <sheetViews>
    <sheetView view="pageBreakPreview" topLeftCell="A7" zoomScale="70" zoomScaleNormal="100" zoomScaleSheetLayoutView="70" workbookViewId="0">
      <selection activeCell="O15" sqref="O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46206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6" t="s" ph="1">
        <v>177</v>
      </c>
      <c r="D6" s="71">
        <v>6921</v>
      </c>
      <c r="E6" s="71">
        <v>6671</v>
      </c>
      <c r="F6" s="71">
        <v>5844</v>
      </c>
      <c r="G6" s="71">
        <v>5264</v>
      </c>
      <c r="H6" s="71">
        <v>3242</v>
      </c>
      <c r="I6" s="71">
        <v>38.71</v>
      </c>
      <c r="J6" s="71">
        <v>77.010000000000005</v>
      </c>
      <c r="K6" s="71">
        <v>6.71</v>
      </c>
      <c r="L6" s="71">
        <v>6.82</v>
      </c>
      <c r="M6" s="71">
        <v>5024</v>
      </c>
      <c r="N6" s="71">
        <v>5931</v>
      </c>
      <c r="O6" s="71">
        <v>221</v>
      </c>
      <c r="P6" s="71">
        <v>2851</v>
      </c>
      <c r="Q6" s="71">
        <v>7330</v>
      </c>
      <c r="R6" s="71">
        <v>7255</v>
      </c>
      <c r="S6" s="71">
        <v>7289</v>
      </c>
      <c r="T6" s="71">
        <v>7026</v>
      </c>
      <c r="U6" s="71">
        <v>5616</v>
      </c>
      <c r="V6" s="71">
        <v>840</v>
      </c>
      <c r="W6" s="71">
        <v>0</v>
      </c>
      <c r="X6" s="71">
        <v>4972</v>
      </c>
      <c r="Y6" s="71">
        <v>6980</v>
      </c>
      <c r="Z6" s="71">
        <v>2728</v>
      </c>
      <c r="AA6" s="71">
        <v>0</v>
      </c>
      <c r="AB6" s="71">
        <v>1917</v>
      </c>
      <c r="AC6" s="71">
        <v>1541</v>
      </c>
      <c r="AD6" s="71">
        <v>5459</v>
      </c>
      <c r="AE6" s="71">
        <v>4808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216316.32355169998</v>
      </c>
      <c r="E7" s="73" ph="1">
        <f>E6*51.53*LOOKUP(E8,密度!$A$2:$A$50,密度!$B$2:$B$50)</f>
        <v>266205.134272</v>
      </c>
      <c r="F7" s="73" ph="1">
        <f>F6*33.183*LOOKUP(F8,密度!$A$2:$A$50,密度!$C$2:$C$50)</f>
        <v>214748.61594479997</v>
      </c>
      <c r="G7" s="73" ph="1">
        <f xml:space="preserve"> (G6+2)*51.53*LOOKUP(G8,密度!$A$2:$A$50,密度!$B$2:$B$50)</f>
        <v>210627.28787599999</v>
      </c>
      <c r="H7" s="73" ph="1">
        <f>(H6)*51.53*LOOKUP(H8,密度!$A$2:$A$50,密度!$B$2:$B$50)</f>
        <v>129805.82202000001</v>
      </c>
      <c r="I7" s="73" ph="1">
        <f>I6*290.8*1.0267</f>
        <v>11557.4263756</v>
      </c>
      <c r="J7" s="73" ph="1">
        <f>J6*290.8*0.7892</f>
        <v>17673.745713600001</v>
      </c>
      <c r="K7" s="73" ph="1">
        <f>K6*290.8*1.1126</f>
        <v>2170.9807768000001</v>
      </c>
      <c r="L7" s="73" ph="1">
        <f>L6*290.8*0.777</f>
        <v>1540.989912</v>
      </c>
      <c r="M7" s="73" ph="1">
        <f>M6*33.183*LOOKUP(M8,密度!$A$2:$A$50,密度!$D$2:$D$50)</f>
        <v>170379.04262399999</v>
      </c>
      <c r="N7" s="73" ph="1">
        <f>N6*33.183*LOOKUP(N8,密度!$A$2:$A$50,密度!$E$2:$E$50)</f>
        <v>153038.19084479997</v>
      </c>
      <c r="O7" s="73" ph="1">
        <f>O6*20.428*LOOKUP(O8,密度!$A$2:$A$50,密度!$C$2:$C$50)</f>
        <v>4989.0711987999994</v>
      </c>
      <c r="P7" s="73" ph="1">
        <f>P6*51.53*LOOKUP(P8,密度!$A$2:$A$50,密度!$B$2:$B$50)</f>
        <v>114150.64731</v>
      </c>
      <c r="Q7" s="73" ph="1">
        <f>Q6*1.5*1.5*3.1416*LOOKUP(W8,密度!$A$2:$A$50,密度!$L$2:$L$50)</f>
        <v>48341.377853999998</v>
      </c>
      <c r="R7" s="73" ph="1">
        <f>R6*1.5*1.5*3.1416*LOOKUP(R8,密度!$A$2:$A$50,密度!$L$2:$L$50)</f>
        <v>47641.621797</v>
      </c>
      <c r="S7" s="73" ph="1">
        <f>S6*1.5*1.5*3.1416*LOOKUP(S8,密度!$A$2:$A$50,密度!$L$2:$L$50)</f>
        <v>48174.028749000005</v>
      </c>
      <c r="T7" s="73" ph="1">
        <f>T6*1.5*1.5*3.1416*LOOKUP(T8,密度!$A$2:$A$50,密度!$L$2:$L$50)</f>
        <v>46535.152633199999</v>
      </c>
      <c r="U7" s="73" ph="1">
        <f>U6*1.5*1.5*3.1416*LOOKUP(U8,密度!$A$2:$A$50,密度!$L$2:$L$50)</f>
        <v>36997.844083199998</v>
      </c>
      <c r="V7" s="73" ph="1">
        <f>V6*1.5*1.5*3.1416*LOOKUP(V8,密度!$A$2:$A$50,密度!$L$2:$L$50)</f>
        <v>5545.7408160000005</v>
      </c>
      <c r="W7" s="73" ph="1">
        <f>W6*1.5*1.5*3.1416*LOOKUP(W8,密度!$A$2:$A$50,密度!$L$2:$L$50)</f>
        <v>0</v>
      </c>
      <c r="X7" s="73" ph="1">
        <f>X6*1.5*1.5*3.1416*LOOKUP(X8,密度!$A$2:$A$50,密度!$L$2:$L$50)</f>
        <v>32755.213814400002</v>
      </c>
      <c r="Y7" s="73" ph="1">
        <f>Y6*1.5*1.5*3.1416*LOOKUP(Y8,密度!$A$2:$A$50,密度!$L$2:$L$50)</f>
        <v>46033.126524000007</v>
      </c>
      <c r="Z7" s="73" ph="1">
        <f>Z6*33.183*LOOKUP(Z8,密度!$A$2:$A$50,密度!$L$2:$L$50)</f>
        <v>84639.214440000011</v>
      </c>
      <c r="AA7" s="73" ph="1">
        <f>AA6*33.183*LOOKUP(AA8,密度!$A$2:$A$50,密度!$D$2:$D$50)</f>
        <v>0</v>
      </c>
      <c r="AB7" s="73" ph="1">
        <f>AB6*20.428*LOOKUP(AB8,密度!$A$2:$A$50,密度!$D$2:$D$50)</f>
        <v>40206.060709199999</v>
      </c>
      <c r="AC7" s="73" ph="1">
        <f>AC6*51.53*LOOKUP(AC8,密度!$A$2:$A$50,密度!$Q$2:$Q$50)</f>
        <v>74907.69394089999</v>
      </c>
      <c r="AD7" s="73" ph="1">
        <f>AD6*20.428*LOOKUP(AD8,密度!$A$2:$A$50,密度!$V$2:$V$50)</f>
        <v>106788.15443520001</v>
      </c>
      <c r="AE7" s="73" ph="1">
        <f>AE6*20.428</f>
        <v>98217.824000000008</v>
      </c>
    </row>
    <row r="8" spans="1:99" ph="1">
      <c r="B8" s="241" ph="1"/>
      <c r="C8" s="68" t="s" ph="1">
        <v>179</v>
      </c>
      <c r="D8" s="74">
        <v>32</v>
      </c>
      <c r="E8" s="74">
        <v>31</v>
      </c>
      <c r="F8" s="74">
        <v>27</v>
      </c>
      <c r="G8" s="74">
        <v>29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28</v>
      </c>
      <c r="Q8" s="74">
        <v>32</v>
      </c>
      <c r="R8" s="74">
        <v>33</v>
      </c>
      <c r="S8" s="74">
        <v>27</v>
      </c>
      <c r="T8" s="74">
        <v>25</v>
      </c>
      <c r="U8" s="74">
        <v>30</v>
      </c>
      <c r="V8" s="74">
        <v>28</v>
      </c>
      <c r="W8" s="74">
        <v>29</v>
      </c>
      <c r="X8" s="74">
        <v>30</v>
      </c>
      <c r="Y8" s="74">
        <v>29</v>
      </c>
      <c r="Z8" s="74">
        <v>27</v>
      </c>
      <c r="AA8" s="74">
        <v>28</v>
      </c>
      <c r="AB8" s="74">
        <v>25</v>
      </c>
      <c r="AC8" s="74">
        <v>30</v>
      </c>
      <c r="AD8" s="74">
        <v>30</v>
      </c>
      <c r="AE8" s="74">
        <v>29</v>
      </c>
    </row>
    <row r="9" spans="1:99" ht="26.4" ph="1">
      <c r="B9" s="241" ph="1">
        <v>0.66666666666666663</v>
      </c>
      <c r="C9" s="156" t="s" ph="1">
        <v>180</v>
      </c>
      <c r="D9" s="71">
        <v>6942</v>
      </c>
      <c r="E9" s="71">
        <v>5804</v>
      </c>
      <c r="F9" s="71">
        <v>5846</v>
      </c>
      <c r="G9" s="71">
        <v>5921</v>
      </c>
      <c r="H9" s="71">
        <v>2961</v>
      </c>
      <c r="I9" s="71">
        <v>38.71</v>
      </c>
      <c r="J9" s="71">
        <v>77.22</v>
      </c>
      <c r="K9" s="71">
        <v>6.82</v>
      </c>
      <c r="L9" s="71">
        <v>80.91</v>
      </c>
      <c r="M9" s="71">
        <v>5026</v>
      </c>
      <c r="N9" s="71">
        <v>5937</v>
      </c>
      <c r="O9" s="71">
        <v>221</v>
      </c>
      <c r="P9" s="71">
        <v>2200</v>
      </c>
      <c r="Q9" s="71">
        <v>7337</v>
      </c>
      <c r="R9" s="71">
        <v>7261</v>
      </c>
      <c r="S9" s="71">
        <v>7299</v>
      </c>
      <c r="T9" s="71">
        <v>7034</v>
      </c>
      <c r="U9" s="71">
        <v>7057</v>
      </c>
      <c r="V9" s="71">
        <v>7028</v>
      </c>
      <c r="W9" s="71">
        <v>0</v>
      </c>
      <c r="X9" s="71">
        <v>4902</v>
      </c>
      <c r="Y9" s="71">
        <v>6989</v>
      </c>
      <c r="Z9" s="71">
        <v>2863</v>
      </c>
      <c r="AA9" s="71">
        <v>0</v>
      </c>
      <c r="AB9" s="71">
        <v>1917</v>
      </c>
      <c r="AC9" s="71">
        <v>1930</v>
      </c>
      <c r="AD9" s="71">
        <v>5464</v>
      </c>
      <c r="AE9" s="71">
        <v>4881</v>
      </c>
    </row>
    <row r="10" spans="1:99" s="72" customFormat="1" ht="22.2" ph="1">
      <c r="B10" s="241" ph="1"/>
      <c r="C10" s="156" t="s" ph="1">
        <v>178</v>
      </c>
      <c r="D10" s="73" ph="1">
        <f>D9*33.183*LOOKUP(D11,密度!$A$2:$A$50,密度!$Q$2:$Q$50)</f>
        <v>216822.94832250001</v>
      </c>
      <c r="E10" s="73" ph="1">
        <f>E9*51.53*LOOKUP(E11,密度!$A$2:$A$50,密度!$B$2:$B$50)</f>
        <v>231099.20872400003</v>
      </c>
      <c r="F10" s="73" ph="1">
        <f>F9*33.183*LOOKUP(F11,密度!$A$2:$A$50,密度!$C$2:$C$50)</f>
        <v>214375.9376718</v>
      </c>
      <c r="G10" s="73" ph="1">
        <f xml:space="preserve"> (G9+2)*51.53*LOOKUP(G11,密度!$A$2:$A$50,密度!$B$2:$B$50)</f>
        <v>236356.31993599999</v>
      </c>
      <c r="H10" s="73" ph="1">
        <f>(H9)*51.53*LOOKUP(H11,密度!$A$2:$A$50,密度!$B$2:$B$50)</f>
        <v>118020.885255</v>
      </c>
      <c r="I10" s="73" ph="1">
        <f>I9*290.8*1.0267</f>
        <v>11557.4263756</v>
      </c>
      <c r="J10" s="73" ph="1">
        <f>J9*290.8*0.7892</f>
        <v>17721.9405792</v>
      </c>
      <c r="K10" s="73" ph="1">
        <f>K9*290.8*1.1126</f>
        <v>2206.5706256000003</v>
      </c>
      <c r="L10" s="73" ph="1">
        <f>L9*290.8*0.777</f>
        <v>18281.743956000002</v>
      </c>
      <c r="M10" s="73" ph="1">
        <f>M9*33.183*LOOKUP(M11,密度!$A$2:$A$50,密度!$D$2:$D$50)</f>
        <v>170146.66871160001</v>
      </c>
      <c r="N10" s="73" ph="1">
        <f>N9*33.183*LOOKUP(N11,密度!$A$2:$A$50,密度!$E$2:$E$50)</f>
        <v>152521.21397349</v>
      </c>
      <c r="O10" s="73" ph="1">
        <f>O9*20.428*LOOKUP(O11,密度!$A$2:$A$50,密度!$C$2:$C$50)</f>
        <v>4941.6680248000002</v>
      </c>
      <c r="P10" s="73" ph="1">
        <f>P9*51.53*LOOKUP(P11,密度!$A$2:$A$50,密度!$B$2:$B$50)</f>
        <v>87790.630399999995</v>
      </c>
      <c r="Q10" s="73" ph="1">
        <f>Q9*1.5*1.5*3.1416*LOOKUP(W11,密度!$A$2:$A$50,密度!$L$2:$L$50)</f>
        <v>47817.057380400001</v>
      </c>
      <c r="R10" s="73" ph="1">
        <f>R9*1.5*1.5*3.1416*LOOKUP(R11,密度!$A$2:$A$50,密度!$L$2:$L$50)</f>
        <v>47475.721754999999</v>
      </c>
      <c r="S10" s="73" ph="1">
        <f>S9*1.5*1.5*3.1416*LOOKUP(S11,密度!$A$2:$A$50,密度!$L$2:$L$50)</f>
        <v>48136.932736200004</v>
      </c>
      <c r="T10" s="73" ph="1">
        <f>T9*1.5*1.5*3.1416*LOOKUP(T11,密度!$A$2:$A$50,密度!$L$2:$L$50)</f>
        <v>46289.815664399997</v>
      </c>
      <c r="U10" s="73" ph="1">
        <f>U9*1.5*1.5*3.1416*LOOKUP(U11,密度!$A$2:$A$50,密度!$L$2:$L$50)</f>
        <v>46491.058706400006</v>
      </c>
      <c r="V10" s="73" ph="1">
        <f>V9*1.5*1.5*3.1416*LOOKUP(V11,密度!$A$2:$A$50,密度!$L$2:$L$50)</f>
        <v>46349.686706399996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32432.6594592</v>
      </c>
      <c r="Y10" s="73" ph="1">
        <f>Y9*1.5*1.5*3.1416*LOOKUP(Y11,密度!$A$2:$A$50,密度!$L$2:$L$50)</f>
        <v>45993.676667400003</v>
      </c>
      <c r="Z10" s="73" ph="1">
        <f>Z9*33.183*LOOKUP(Z11,密度!$A$2:$A$50,密度!$L$2:$L$50)</f>
        <v>88257.721041000012</v>
      </c>
      <c r="AA10" s="73" ph="1">
        <f>AA9*33.183*LOOKUP(AA11,密度!$A$2:$A$50,密度!$D$2:$D$50)</f>
        <v>0</v>
      </c>
      <c r="AB10" s="73" ph="1">
        <f>AB9*20.428*LOOKUP(AB11,密度!$A$2:$A$50,密度!$D$2:$D$50)</f>
        <v>40057.250900400002</v>
      </c>
      <c r="AC10" s="73" ph="1">
        <f>AC9*51.53*LOOKUP(AC11,密度!$A$2:$A$50,密度!$Q$2:$Q$50)</f>
        <v>93610.042125000007</v>
      </c>
      <c r="AD10" s="73" ph="1">
        <f>AD9*20.428*LOOKUP(AD11,密度!$A$2:$A$50,密度!$V$2:$V$50)</f>
        <v>106885.9636992</v>
      </c>
      <c r="AE10" s="73" ph="1">
        <f>AE9*20.428</f>
        <v>99709.067999999999</v>
      </c>
    </row>
    <row r="11" spans="1:99" ph="1">
      <c r="A11" s="64" t="s" ph="1">
        <v>162</v>
      </c>
      <c r="B11" s="241" ph="1"/>
      <c r="C11" s="156" t="s" ph="1">
        <v>179</v>
      </c>
      <c r="D11" s="74">
        <v>33</v>
      </c>
      <c r="E11" s="74">
        <v>33</v>
      </c>
      <c r="F11" s="74">
        <v>30</v>
      </c>
      <c r="G11" s="74">
        <v>31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33</v>
      </c>
      <c r="O11" s="74">
        <v>40</v>
      </c>
      <c r="P11" s="74">
        <v>31</v>
      </c>
      <c r="Q11" s="74">
        <v>29</v>
      </c>
      <c r="R11" s="74">
        <v>37</v>
      </c>
      <c r="S11" s="74">
        <v>29</v>
      </c>
      <c r="T11" s="74">
        <v>31</v>
      </c>
      <c r="U11" s="74">
        <v>30</v>
      </c>
      <c r="V11" s="74">
        <v>29</v>
      </c>
      <c r="W11" s="74">
        <v>40</v>
      </c>
      <c r="X11" s="74">
        <v>26</v>
      </c>
      <c r="Y11" s="74">
        <v>31</v>
      </c>
      <c r="Z11" s="74">
        <v>33</v>
      </c>
      <c r="AA11" s="74">
        <v>32</v>
      </c>
      <c r="AB11" s="74">
        <v>29</v>
      </c>
      <c r="AC11" s="74">
        <v>33</v>
      </c>
      <c r="AD11" s="74">
        <v>35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6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6" t="s" ph="1">
        <v>177</v>
      </c>
      <c r="D15" s="78">
        <v>1660</v>
      </c>
      <c r="E15" s="78">
        <v>65</v>
      </c>
      <c r="F15" s="78">
        <v>3297</v>
      </c>
      <c r="G15" s="78">
        <v>2539</v>
      </c>
      <c r="H15" s="78">
        <v>2034</v>
      </c>
      <c r="I15" s="78">
        <v>2633</v>
      </c>
      <c r="J15" s="78">
        <v>790</v>
      </c>
      <c r="K15" s="78">
        <v>3363</v>
      </c>
      <c r="L15" s="78">
        <v>5864</v>
      </c>
      <c r="M15" s="78">
        <v>2929</v>
      </c>
      <c r="N15" s="78">
        <v>231</v>
      </c>
      <c r="O15" s="78">
        <v>3943</v>
      </c>
      <c r="P15" s="78">
        <v>2217</v>
      </c>
      <c r="Q15" s="78">
        <v>0</v>
      </c>
      <c r="R15" s="78">
        <v>1951</v>
      </c>
      <c r="S15" s="78">
        <v>0</v>
      </c>
      <c r="T15" s="78">
        <v>3835</v>
      </c>
      <c r="U15" s="78">
        <v>2665</v>
      </c>
      <c r="V15" s="78">
        <v>-817</v>
      </c>
      <c r="W15" s="71">
        <v>-817</v>
      </c>
      <c r="X15" s="78">
        <v>1276</v>
      </c>
      <c r="Y15" s="106">
        <v>-9909</v>
      </c>
      <c r="Z15" s="78">
        <v>957</v>
      </c>
      <c r="AA15" s="78">
        <v>2544</v>
      </c>
      <c r="AB15" s="78" ph="1">
        <v>0</v>
      </c>
      <c r="AC15" s="78" ph="1">
        <v>0</v>
      </c>
      <c r="AD15" s="78">
        <v>5.61</v>
      </c>
      <c r="AE15" s="78">
        <v>17.920000000000002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6" t="s" ph="1">
        <v>178</v>
      </c>
      <c r="D16" s="73" ph="1">
        <f>D15*7.0686*LOOKUP(D17,密度!$A$2:$A$50,密度!$L$2:$L$50)</f>
        <v>10947.706308000001</v>
      </c>
      <c r="E16" s="73" ph="1">
        <f>E15*7.0686*LOOKUP(E17,密度!$A$2:$A$50,密度!$L$2:$L$50)</f>
        <v>428.67524700000001</v>
      </c>
      <c r="F16" s="73" ph="1">
        <f>F15*9.0746*LOOKUP(F17,密度!$A$2:$A$50,密度!$L$2:$L$50)</f>
        <v>27764.791353600001</v>
      </c>
      <c r="G16" s="73" ph="1">
        <f>G15*9.0746*LOOKUP(G17,密度!$A$2:$A$50,密度!$B$2:$B$50)</f>
        <v>17902.398103800002</v>
      </c>
      <c r="H16" s="73" ph="1">
        <f>H15*9.0746*LOOKUP(H17,密度!$A$2:$A$50,密度!$L$2:$L$50)</f>
        <v>17276.441270400002</v>
      </c>
      <c r="I16" s="73" ph="1">
        <f>I15*9.0746*LOOKUP(I17,密度!$A$2:$A$50,密度!$U$2:$U$50)</f>
        <v>24419.0770796</v>
      </c>
      <c r="J16" s="73" ph="1">
        <f>J15*9.0746*LOOKUP(J17,密度!$A$2:$A$50,密度!$L$2:$L$50)</f>
        <v>6688.6154220000008</v>
      </c>
      <c r="K16" s="73" ph="1">
        <f>K15*9.0746*LOOKUP(K17,密度!$A$2:$A$50,密度!$C$2:$C$50)</f>
        <v>33771.085786680007</v>
      </c>
      <c r="L16" s="73" ph="1">
        <f>L15*9.0746*LOOKUP(L17,密度!$A$2:$A$50,密度!$E$2:$E$50)</f>
        <v>41437.316941279998</v>
      </c>
      <c r="M16" s="73" ph="1">
        <f>M15*9.0746*LOOKUP(M17,密度!$A$2:$A$50,密度!$M$2:$M$50)</f>
        <v>23066.224640588003</v>
      </c>
      <c r="N16" s="73" ph="1">
        <f>N15*9.0746*LOOKUP(N17,密度!$A$2:$A$50,密度!$M$2:$M$50)</f>
        <v>1830.2206830600003</v>
      </c>
      <c r="O16" s="73" ph="1">
        <f>O15*9.0746*LOOKUP(O17,密度!$A$2:$A$50,密度!$G$2:$G$50)</f>
        <v>34160.261804659996</v>
      </c>
      <c r="P16" s="73" ph="1">
        <f ca="1">P15*9.0746*LOOKUP(P17,密度!$A$2:$A$51,密度!$Q$2:$Q$50)</f>
        <v>18978.279140705999</v>
      </c>
      <c r="Q16" s="73" ph="1">
        <f>Q15*9.0746*LOOKUP(Q17,密度!$A$2:$A$50,密度!$Q$2:$Q$50)</f>
        <v>0</v>
      </c>
      <c r="R16" s="73" ph="1">
        <f>MAX(R15*9.0746*LOOKUP(R17,密度!$A$2:$A$50,密度!$B$2:$B$50),0)</f>
        <v>13726.333428380001</v>
      </c>
      <c r="S16" s="73" ph="1">
        <f>S15*9.0746*LOOKUP(S17,密度!$A$2:$A$50,密度!$Q$2:$Q$50)</f>
        <v>0</v>
      </c>
      <c r="T16" s="73" ph="1">
        <f>T15*9.0746*LOOKUP(T17,密度!$A$2:$A$50,密度!$O$2:$O$50)</f>
        <v>32225.810266</v>
      </c>
      <c r="U16" s="73" ph="1">
        <f>U15*9.0746*LOOKUP(U17,密度!$A$2:$A$50,密度!$H$2:$H$50)</f>
        <v>22031.449999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17773.949469919997</v>
      </c>
      <c r="Y16" s="107" ph="1">
        <v>0</v>
      </c>
      <c r="Z16" s="73" ph="1">
        <f>Z15*9.0746*LOOKUP(Z17,密度!$A$2:$A$50,密度!$D$2:$D$50)</f>
        <v>8883.2647813799995</v>
      </c>
      <c r="AA16" s="73" ph="1">
        <f>AA15*9.0746*LOOKUP(AA17,密度!$A$2:$A$50,密度!$B$2:$B$50)</f>
        <v>17919.184298880002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4974.4292697599994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29</v>
      </c>
      <c r="E17" s="74">
        <v>29</v>
      </c>
      <c r="F17" s="74">
        <v>34</v>
      </c>
      <c r="G17" s="74">
        <v>28</v>
      </c>
      <c r="H17" s="74">
        <v>26</v>
      </c>
      <c r="I17" s="74">
        <v>28</v>
      </c>
      <c r="J17" s="74">
        <v>29</v>
      </c>
      <c r="K17" s="74">
        <v>28</v>
      </c>
      <c r="L17" s="74">
        <v>29</v>
      </c>
      <c r="M17" s="74">
        <v>32</v>
      </c>
      <c r="N17" s="74">
        <v>27</v>
      </c>
      <c r="O17" s="74">
        <v>30</v>
      </c>
      <c r="P17" s="74">
        <v>30</v>
      </c>
      <c r="Q17" s="74">
        <v>29</v>
      </c>
      <c r="R17" s="74">
        <v>30</v>
      </c>
      <c r="S17" s="74">
        <v>29</v>
      </c>
      <c r="T17" s="74">
        <v>29</v>
      </c>
      <c r="U17" s="74">
        <v>29</v>
      </c>
      <c r="V17" s="74">
        <v>30</v>
      </c>
      <c r="W17" s="74">
        <v>30</v>
      </c>
      <c r="X17" s="74">
        <v>30</v>
      </c>
      <c r="Y17" s="108">
        <v>30</v>
      </c>
      <c r="Z17" s="74">
        <v>29</v>
      </c>
      <c r="AA17" s="74">
        <v>29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71</v>
      </c>
      <c r="E18" s="71">
        <v>1248</v>
      </c>
      <c r="F18" s="71">
        <v>3520</v>
      </c>
      <c r="G18" s="71">
        <v>2695</v>
      </c>
      <c r="H18" s="71">
        <v>2036</v>
      </c>
      <c r="I18" s="71">
        <v>2636</v>
      </c>
      <c r="J18" s="71">
        <v>335</v>
      </c>
      <c r="K18" s="71">
        <v>3365</v>
      </c>
      <c r="L18" s="71">
        <v>5876</v>
      </c>
      <c r="M18" s="71">
        <v>2935</v>
      </c>
      <c r="N18" s="71">
        <v>2133</v>
      </c>
      <c r="O18" s="71">
        <v>4162</v>
      </c>
      <c r="P18" s="71">
        <v>2218</v>
      </c>
      <c r="Q18" s="71">
        <v>0</v>
      </c>
      <c r="R18" s="71">
        <v>1953</v>
      </c>
      <c r="S18" s="71">
        <v>0</v>
      </c>
      <c r="T18" s="71">
        <v>3838</v>
      </c>
      <c r="U18" s="71">
        <v>2667</v>
      </c>
      <c r="V18" s="71">
        <v>-674</v>
      </c>
      <c r="W18" s="71">
        <v>-817</v>
      </c>
      <c r="X18" s="71">
        <v>1276</v>
      </c>
      <c r="Y18" s="109">
        <v>-9909</v>
      </c>
      <c r="Z18" s="71">
        <v>828</v>
      </c>
      <c r="AA18" s="71">
        <v>2548</v>
      </c>
      <c r="AB18" s="71">
        <v>0</v>
      </c>
      <c r="AC18" s="71">
        <v>0</v>
      </c>
      <c r="AD18" s="71">
        <v>5.52</v>
      </c>
      <c r="AE18" s="71">
        <v>71.709999999999994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6" t="s" ph="1">
        <v>178</v>
      </c>
      <c r="D19" s="73" ph="1">
        <f>D18*7.0686*LOOKUP(D20,密度!$A$2:$A$50,密度!$L$2:$L$50)</f>
        <v>466.23778740000006</v>
      </c>
      <c r="E19" s="73" ph="1">
        <f>E18*7.0686*LOOKUP(E20,密度!$A$2:$A$50,密度!$L$2:$L$50)</f>
        <v>8186.4566784000008</v>
      </c>
      <c r="F19" s="73" ph="1">
        <f>F18*9.0746*LOOKUP(F20,密度!$A$2:$A$50,密度!$L$2:$L$50)</f>
        <v>29610.782784000003</v>
      </c>
      <c r="G19" s="73" ph="1">
        <f>G18*9.0746*LOOKUP(G20,密度!$A$2:$A$50,密度!$B$2:$B$50)</f>
        <v>18938.762796800002</v>
      </c>
      <c r="H19" s="73" ph="1">
        <f>H18*9.0746*LOOKUP(H20,密度!$A$2:$A$50,密度!$L$2:$L$50)</f>
        <v>17256.477150400002</v>
      </c>
      <c r="I19" s="73" ph="1">
        <f>I18*9.0746*LOOKUP(I20,密度!$A$2:$A$50,密度!$U$2:$U$50)</f>
        <v>24279.455283999996</v>
      </c>
      <c r="J19" s="73" ph="1">
        <f>J18*9.0746*LOOKUP(J20,密度!$A$2:$A$50,密度!$L$2:$L$50)</f>
        <v>2827.1916300000003</v>
      </c>
      <c r="K19" s="73" ph="1">
        <f>K18*9.0746*LOOKUP(K20,密度!$A$2:$A$50,密度!$C$2:$C$50)</f>
        <v>33745.365647899998</v>
      </c>
      <c r="L19" s="73" ph="1">
        <f>L18*9.0746*LOOKUP(L20,密度!$A$2:$A$50,密度!$E$2:$E$50)</f>
        <v>41341.884091872002</v>
      </c>
      <c r="M19" s="73" ph="1">
        <f>M18*9.0746*LOOKUP(M20,密度!$A$2:$A$50,密度!$M$2:$M$50)</f>
        <v>23029.578411170001</v>
      </c>
      <c r="N19" s="73" ph="1">
        <f>N18*9.0746*LOOKUP(N20,密度!$A$2:$A$50,密度!$M$2:$M$50)</f>
        <v>16817.953548366</v>
      </c>
      <c r="O19" s="73" ph="1">
        <f>O18*9.0746*LOOKUP(O20,密度!$A$2:$A$50,密度!$G$2:$G$50)</f>
        <v>35939.357461764004</v>
      </c>
      <c r="P19" s="73" ph="1">
        <f ca="1">P18*9.0746*LOOKUP(P20,密度!$A$2:$A$51,密度!$Q$2:$Q$50)</f>
        <v>18958.05721132</v>
      </c>
      <c r="Q19" s="73" ph="1">
        <f>Q18*9.0746*LOOKUP(Q20,密度!$A$2:$A$50,密度!$Q$2:$Q$50)</f>
        <v>0</v>
      </c>
      <c r="R19" s="73" ph="1">
        <f>MAX(R18*9.0746*LOOKUP(R20,密度!$A$2:$A$50,密度!$B$2:$B$50),0)</f>
        <v>13708.503654300001</v>
      </c>
      <c r="S19" s="73" ph="1">
        <f>S18*9.0746*LOOKUP(S20,密度!$A$2:$A$50,密度!$Q$2:$Q$50)</f>
        <v>0</v>
      </c>
      <c r="T19" s="73" ph="1">
        <f>T18*9.0746*LOOKUP(T20,密度!$A$2:$A$50,密度!$O$2:$O$50)</f>
        <v>32083.843593760001</v>
      </c>
      <c r="U19" s="73" ph="1">
        <f>U18*9.0746*LOOKUP(U20,密度!$A$2:$A$50,密度!$H$2:$H$50)</f>
        <v>21977.314202256002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17696.798150719998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7652.7735227999992</v>
      </c>
      <c r="AA19" s="73" ph="1">
        <f>AA18*9.0746*LOOKUP(AA20,密度!$A$2:$A$50,密度!$B$2:$B$50)</f>
        <v>17866.431834160001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2369.1612672000001</v>
      </c>
      <c r="AE19" s="73" ph="1">
        <f>AE18*268.68*LOOKUP(AE20,密度!$A$2:$A$50,密度!B5:B53)+IF(AE18&lt;=0,0,1566*LOOKUP(AE20,密度!$A$2:$A$50,密度!B5:B53))</f>
        <v>16187.274255599999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34</v>
      </c>
      <c r="F20" s="81">
        <v>35</v>
      </c>
      <c r="G20" s="81">
        <v>31</v>
      </c>
      <c r="H20" s="81">
        <v>28</v>
      </c>
      <c r="I20" s="81">
        <v>35</v>
      </c>
      <c r="J20" s="81">
        <v>32</v>
      </c>
      <c r="K20" s="81">
        <v>30</v>
      </c>
      <c r="L20" s="81">
        <v>32</v>
      </c>
      <c r="M20" s="81">
        <v>35</v>
      </c>
      <c r="N20" s="81">
        <v>31</v>
      </c>
      <c r="O20" s="81">
        <v>33</v>
      </c>
      <c r="P20" s="81">
        <v>32</v>
      </c>
      <c r="Q20" s="81">
        <v>36</v>
      </c>
      <c r="R20" s="81">
        <v>32</v>
      </c>
      <c r="S20" s="81">
        <v>35</v>
      </c>
      <c r="T20" s="81">
        <v>33</v>
      </c>
      <c r="U20" s="81">
        <v>32</v>
      </c>
      <c r="V20" s="81">
        <v>37</v>
      </c>
      <c r="W20" s="81">
        <v>37</v>
      </c>
      <c r="X20" s="81">
        <v>34</v>
      </c>
      <c r="Y20" s="110">
        <v>34</v>
      </c>
      <c r="Z20" s="81">
        <v>34</v>
      </c>
      <c r="AA20" s="81">
        <v>33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6" t="s" ph="1">
        <v>177</v>
      </c>
      <c r="D24" s="71">
        <v>60.52</v>
      </c>
      <c r="E24" s="71">
        <v>5.81</v>
      </c>
      <c r="F24" s="71">
        <v>16.3</v>
      </c>
      <c r="G24" s="71">
        <v>1887</v>
      </c>
      <c r="H24" s="71">
        <v>2541</v>
      </c>
      <c r="I24" s="71">
        <v>1660</v>
      </c>
      <c r="J24" s="71">
        <v>4675</v>
      </c>
      <c r="K24" s="71">
        <v>2456</v>
      </c>
      <c r="L24" s="71">
        <v>302</v>
      </c>
      <c r="M24" s="71">
        <v>2884</v>
      </c>
      <c r="N24" s="71">
        <v>3809</v>
      </c>
      <c r="O24" s="71">
        <v>340</v>
      </c>
      <c r="P24" s="71">
        <v>2884</v>
      </c>
      <c r="Q24" s="90">
        <v>2572</v>
      </c>
      <c r="R24" s="71">
        <v>4451</v>
      </c>
      <c r="S24" s="71">
        <v>3649</v>
      </c>
      <c r="T24" s="71">
        <v>383</v>
      </c>
      <c r="U24" s="71">
        <v>6847</v>
      </c>
      <c r="V24" s="71">
        <v>884</v>
      </c>
      <c r="W24" s="71">
        <v>409</v>
      </c>
      <c r="X24" s="71">
        <v>4790</v>
      </c>
      <c r="Y24" s="71">
        <v>2535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16877.073485664005</v>
      </c>
      <c r="E25" s="91" ph="1">
        <f>E24*268.68*LOOKUP(E26,密度!$A$2:$A$50,密度!$C$2:$C$50)+IF(E24&lt;=0,0,1566*LOOKUP(E26,密度!$A$2:$A$50,密度!$C$2:$C$50))</f>
        <v>3467.5644541199999</v>
      </c>
      <c r="F25" s="91" ph="1">
        <f>F24*11.702*LOOKUP(F26,密度!$A$2:$A$50,密度!$Q$2:$Q$50)</f>
        <v>180.44822187800003</v>
      </c>
      <c r="G25" s="91" ph="1">
        <f>G24*18.322*LOOKUP(G26,密度!$A$2:$A$50,密度!$B$2:$B$50)</f>
        <v>26863.698078000001</v>
      </c>
      <c r="H25" s="91" ph="1">
        <f>H24*18.322*LOOKUP(H26,密度!$A$2:$A$50,密度!$B$2:$B$50)</f>
        <v>36216.069535800001</v>
      </c>
      <c r="I25" s="91" ph="1">
        <f>I24*18.322*LOOKUP(I26,密度!$A$2:$A$50,密度!$Q$2:$Q$50)</f>
        <v>28773.0483556</v>
      </c>
      <c r="J25" s="91" ph="1">
        <f>J24*18.322*LOOKUP(J26,密度!$A$2:$A$50,密度!$Q$2:$Q$50)</f>
        <v>80971.715461999993</v>
      </c>
      <c r="K25" s="91" ph="1">
        <f>K24*18.322*LOOKUP(K26,密度!$A$2:$A$50,密度!$Q$2:$Q$50)</f>
        <v>42538.295866239998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49951.321367360004</v>
      </c>
      <c r="N25" s="91" ph="1">
        <f>N24*18.322*LOOKUP(N26,密度!$A$2:$A$50,密度!$Q$2:$Q$50)</f>
        <v>66071.562596520002</v>
      </c>
      <c r="O25" s="91" ph="1">
        <f>O24*18.322*LOOKUP(O26,密度!$A$2:$A$50,密度!$C$2:$C$50)</f>
        <v>6902.8867879999998</v>
      </c>
      <c r="P25" s="91" ph="1">
        <f>P24*11.702*LOOKUP(P26,密度!$A$2:$A$50,密度!$B$2:$B$50)</f>
        <v>26253.011047200001</v>
      </c>
      <c r="Q25" s="92" ph="1">
        <f>Q24*18.322*LOOKUP(Q26,密度!$A$2:$A$50,密度!$B$2:$B$50)</f>
        <v>36657.9027336</v>
      </c>
      <c r="R25" s="91" ph="1">
        <f>R24*35.891*LOOKUP(R26,密度!$A$2:$A$50,密度!$C$2:$C$50)</f>
        <v>176908.08132339997</v>
      </c>
      <c r="S25" s="91" ph="1">
        <f>S24*35.891*LOOKUP(S26,密度!$A$2:$A$50,密度!$B$2:$B$50)</f>
        <v>101760.783243</v>
      </c>
      <c r="T25" s="91" ph="1">
        <f>T24*35.891*LOOKUP(T26,密度!$A$2:$A$50,密度!$Q$2:$Q$50)</f>
        <v>12984.98550886</v>
      </c>
      <c r="U25" s="91" ph="1">
        <f>U24*35.891</f>
        <v>245745.677</v>
      </c>
      <c r="V25" s="91" ph="1">
        <f>V24*47.051*LOOKUP(V26,密度!$A$2:$A$50,密度!$B$2:$B$50)</f>
        <v>32247.118025200001</v>
      </c>
      <c r="W25" s="91" ph="1">
        <f>W24*47.051*LOOKUP(W26,密度!$A$2:$A$50,密度!$B$2:$B$50)</f>
        <v>14969.7979161</v>
      </c>
      <c r="X25" s="91" ph="1">
        <f>X24*47.051*LOOKUP(X26,密度!$A$2:$A$61,密度!$I$2:$I$61)</f>
        <v>232383.43041899998</v>
      </c>
      <c r="Y25" s="91" ph="1">
        <f>Y24*47.051*LOOKUP(Y26,密度!$A$2:$A$50,密度!$L$2:$L$50)</f>
        <v>111402.18219000001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26</v>
      </c>
      <c r="G26" s="74">
        <v>28</v>
      </c>
      <c r="H26" s="74">
        <v>27</v>
      </c>
      <c r="I26" s="74">
        <v>26</v>
      </c>
      <c r="J26" s="74">
        <v>27</v>
      </c>
      <c r="K26" s="74">
        <v>27</v>
      </c>
      <c r="L26" s="74">
        <v>28</v>
      </c>
      <c r="M26" s="74">
        <v>27</v>
      </c>
      <c r="N26" s="74">
        <v>25</v>
      </c>
      <c r="O26" s="74">
        <v>26</v>
      </c>
      <c r="P26" s="74">
        <v>27</v>
      </c>
      <c r="Q26" s="93">
        <v>27</v>
      </c>
      <c r="R26" s="74">
        <v>27</v>
      </c>
      <c r="S26" s="74">
        <v>28</v>
      </c>
      <c r="T26" s="74">
        <v>28</v>
      </c>
      <c r="U26" s="74">
        <v>29</v>
      </c>
      <c r="V26" s="74">
        <v>30</v>
      </c>
      <c r="W26" s="74">
        <v>27</v>
      </c>
      <c r="X26" s="74">
        <v>35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6" t="s" ph="1">
        <v>180</v>
      </c>
      <c r="D27" s="71">
        <v>19.32</v>
      </c>
      <c r="E27" s="71">
        <v>5.82</v>
      </c>
      <c r="F27" s="71">
        <v>1866</v>
      </c>
      <c r="G27" s="71">
        <v>1430</v>
      </c>
      <c r="H27" s="71">
        <v>2098</v>
      </c>
      <c r="I27" s="71">
        <v>0</v>
      </c>
      <c r="J27" s="71">
        <v>4674</v>
      </c>
      <c r="K27" s="71">
        <v>2454</v>
      </c>
      <c r="L27" s="71">
        <v>296</v>
      </c>
      <c r="M27" s="71">
        <v>2271</v>
      </c>
      <c r="N27" s="71">
        <v>3807</v>
      </c>
      <c r="O27" s="71">
        <v>337</v>
      </c>
      <c r="P27" s="71">
        <v>2846</v>
      </c>
      <c r="Q27" s="90">
        <v>2855</v>
      </c>
      <c r="R27" s="71">
        <v>4447</v>
      </c>
      <c r="S27" s="71">
        <v>3645</v>
      </c>
      <c r="T27" s="71">
        <v>383</v>
      </c>
      <c r="U27" s="71">
        <v>6770</v>
      </c>
      <c r="V27" s="71">
        <v>879</v>
      </c>
      <c r="W27" s="71">
        <v>406</v>
      </c>
      <c r="X27" s="71">
        <v>4664</v>
      </c>
      <c r="Y27" s="71">
        <v>911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6" t="s" ph="1">
        <v>178</v>
      </c>
      <c r="D28" s="91" ph="1">
        <f>D27*268.68*LOOKUP(D29,密度!$A$2:$A$50,密度!$Q$2:$Q$50)+IF(D27&lt;=0,0,1566*LOOKUP(D29,密度!$A$2:$A$50,密度!$Q$2:$Q$50))</f>
        <v>6397.0252338239998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20567.2643508</v>
      </c>
      <c r="G28" s="91" ph="1">
        <f>G27*18.322*LOOKUP(G29,密度!$A$2:$A$50,密度!$B$2:$B$50)</f>
        <v>20336.797051999998</v>
      </c>
      <c r="H28" s="91" ph="1">
        <f>H27*18.322*LOOKUP(H29,密度!$A$2:$A$50,密度!$B$2:$B$50)</f>
        <v>29802.187766799998</v>
      </c>
      <c r="I28" s="91" ph="1">
        <f>I27*18.322*LOOKUP(I29,密度!$A$2:$A$50,密度!$Q$2:$Q$50)</f>
        <v>0</v>
      </c>
      <c r="J28" s="91" ph="1">
        <f>J27*18.322*LOOKUP(J29,密度!$A$2:$A$50,密度!$Q$2:$Q$50)</f>
        <v>80719.749852239984</v>
      </c>
      <c r="K28" s="91" ph="1">
        <f>K27*18.322*LOOKUP(K29,密度!$A$2:$A$50,密度!$Q$2:$Q$50)</f>
        <v>42349.884877199991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39191.763877799996</v>
      </c>
      <c r="N28" s="91" ph="1">
        <f>N27*18.322*LOOKUP(N29,密度!$A$2:$A$50,密度!$Q$2:$Q$50)</f>
        <v>65699.271282599992</v>
      </c>
      <c r="O28" s="91" ph="1">
        <f>O27*18.322*LOOKUP(O29,密度!$A$2:$A$50,密度!$C$2:$C$50)</f>
        <v>6810.488942</v>
      </c>
      <c r="P28" s="91" ph="1">
        <f>P27*11.702*LOOKUP(P29,密度!$A$2:$A$50,密度!$B$2:$B$50)</f>
        <v>25760.560461999998</v>
      </c>
      <c r="Q28" s="92" ph="1">
        <f>Q27*18.322*LOOKUP(Q29,密度!$A$2:$A$50,密度!$B$2:$B$50)</f>
        <v>40461.251284999998</v>
      </c>
      <c r="R28" s="91" ph="1">
        <f>R27*35.891*LOOKUP(R29,密度!$A$2:$A$50,密度!$C$2:$C$50)</f>
        <v>176222.3945357</v>
      </c>
      <c r="S28" s="91" ph="1">
        <f>S27*35.891*LOOKUP(S29,密度!$A$2:$A$50,密度!$B$2:$B$50)</f>
        <v>101309.09500799999</v>
      </c>
      <c r="T28" s="91" ph="1">
        <f>T27*35.891*LOOKUP(T29,密度!$A$2:$A$50,密度!$Q$2:$Q$50)</f>
        <v>12947.595700699998</v>
      </c>
      <c r="U28" s="91" ph="1">
        <f>U27*35.891</f>
        <v>242982.06999999998</v>
      </c>
      <c r="V28" s="91" ph="1">
        <f>V27*47.051*LOOKUP(V29,密度!$A$2:$A$50,密度!$B$2:$B$50)</f>
        <v>32027.502777600002</v>
      </c>
      <c r="W28" s="91" ph="1">
        <f>W27*47.051*LOOKUP(W29,密度!$A$2:$A$50,密度!$B$2:$B$50)</f>
        <v>14775.943091000001</v>
      </c>
      <c r="X28" s="91" ph="1">
        <f>X27*47.051*LOOKUP(X29,密度!$A$2:$A$61,密度!$I$2:$I$61)</f>
        <v>226029.23992000002</v>
      </c>
      <c r="Y28" s="91" ph="1">
        <f>Y27*47.051*LOOKUP(Y29,密度!$A$2:$A$50,密度!$L$2:$L$50)</f>
        <v>39905.882191000004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6" t="s" ph="1">
        <v>179</v>
      </c>
      <c r="D29" s="74">
        <v>25</v>
      </c>
      <c r="E29" s="74">
        <v>25</v>
      </c>
      <c r="F29" s="74">
        <v>32</v>
      </c>
      <c r="G29" s="74">
        <v>29</v>
      </c>
      <c r="H29" s="74">
        <v>30</v>
      </c>
      <c r="I29" s="74">
        <v>31</v>
      </c>
      <c r="J29" s="74">
        <v>31</v>
      </c>
      <c r="K29" s="74">
        <v>32</v>
      </c>
      <c r="L29" s="74">
        <v>31</v>
      </c>
      <c r="M29" s="74">
        <v>32</v>
      </c>
      <c r="N29" s="74">
        <v>32</v>
      </c>
      <c r="O29" s="74">
        <v>32</v>
      </c>
      <c r="P29" s="74">
        <v>32</v>
      </c>
      <c r="Q29" s="93">
        <v>32</v>
      </c>
      <c r="R29" s="74">
        <v>31</v>
      </c>
      <c r="S29" s="74">
        <v>31</v>
      </c>
      <c r="T29" s="74">
        <v>32</v>
      </c>
      <c r="U29" s="74">
        <v>31</v>
      </c>
      <c r="V29" s="74">
        <v>31</v>
      </c>
      <c r="W29" s="74">
        <v>32</v>
      </c>
      <c r="X29" s="74">
        <v>36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6" t="s" ph="1">
        <v>5</v>
      </c>
      <c r="F32" s="155" t="s" ph="1">
        <v>43</v>
      </c>
      <c r="G32" s="97" t="s" ph="1">
        <v>4</v>
      </c>
      <c r="H32" s="156" t="s" ph="1">
        <v>5</v>
      </c>
      <c r="I32" s="155" t="s" ph="1">
        <v>43</v>
      </c>
      <c r="J32" s="97" t="s" ph="1">
        <v>4</v>
      </c>
      <c r="K32" s="156" t="s" ph="1">
        <v>5</v>
      </c>
      <c r="L32" s="155" t="s" ph="1">
        <v>43</v>
      </c>
      <c r="M32" s="97" t="s" ph="1">
        <v>4</v>
      </c>
      <c r="N32" s="156" t="s" ph="1">
        <v>5</v>
      </c>
      <c r="O32" s="155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6" t="s" ph="1">
        <v>5</v>
      </c>
      <c r="U32" s="99" t="s" ph="1">
        <v>43</v>
      </c>
      <c r="V32" s="97" t="s" ph="1">
        <v>4</v>
      </c>
      <c r="W32" s="156" t="s" ph="1">
        <v>5</v>
      </c>
      <c r="X32" s="99" t="s" ph="1">
        <v>43</v>
      </c>
      <c r="Y32" s="100" t="s" ph="1">
        <v>4</v>
      </c>
      <c r="Z32" s="156" t="s" ph="1">
        <v>5</v>
      </c>
      <c r="AA32" s="155" t="s" ph="1">
        <v>43</v>
      </c>
      <c r="AB32" s="97" t="s" ph="1">
        <v>85</v>
      </c>
      <c r="AC32" s="156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47710.024423200004</v>
      </c>
      <c r="E33" s="190" ph="1">
        <f>M10+I10</f>
        <v>181704.0950872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1522252632456786910111213141516171819202123456789101112131415161718192022232424356789101112131415161718192021222345678910111213141516171819202345678910111213149101516171819222123234567891012131415161711181920212224252345678910111213125[[#This Row],[F25]]</f>
        <v>3880</v>
      </c>
      <c r="G33" s="216" ph="1">
        <f>N19</f>
        <v>16817.953548366</v>
      </c>
      <c r="H33" s="190" ph="1">
        <f>M19</f>
        <v>23029.578411170001</v>
      </c>
      <c r="I33" s="194" ph="1">
        <v>0</v>
      </c>
      <c r="J33" s="198" ph="1">
        <f>F10+O28</f>
        <v>221186.42661379999</v>
      </c>
      <c r="K33" s="190" ph="1">
        <f>O10+K10+E28+R28</f>
        <v>186841.17703274</v>
      </c>
      <c r="L33" s="200" ph="1">
        <f>K19</f>
        <v>33745.365647899998</v>
      </c>
      <c r="M33" s="198" ph="1">
        <f>G10+H10+W28+S28+V28+E10+R19+P28+Q28</f>
        <v>813519.27019290009</v>
      </c>
      <c r="N33" s="190" ph="1">
        <f>L10+P10++G28+H28+AD19+AE19</f>
        <v>174767.79469759998</v>
      </c>
      <c r="O33" s="194" ph="1">
        <f>G19</f>
        <v>18938.762796800002</v>
      </c>
      <c r="P33" s="198" ph="1">
        <f>L19</f>
        <v>41341.884091872002</v>
      </c>
      <c r="Q33" s="190" ph="1">
        <f>J10+N10</f>
        <v>170243.15455268999</v>
      </c>
      <c r="R33" s="194" ph="1">
        <f>BE23</f>
        <v>890</v>
      </c>
      <c r="S33" s="198" ph="1">
        <f>X28</f>
        <v>226029.23992000002</v>
      </c>
      <c r="T33" s="190" ph="1">
        <f>X19</f>
        <v>17696.798150719998</v>
      </c>
      <c r="U33" s="179" ph="1">
        <f>BE21</f>
        <v>730</v>
      </c>
      <c r="V33" s="192" ph="1">
        <f ca="1">P19+Q19+S19+M28+N28+J28+D10+AC10+D19+E19+H19+J19+O19+V19+W19+K28+L28</f>
        <v>627139.343681584</v>
      </c>
      <c r="W33" s="192" ph="1">
        <f>D28+F28+T28+I28</f>
        <v>39911.885285323995</v>
      </c>
      <c r="X33" s="194" ph="1">
        <f>BE29+BE31</f>
        <v>10200</v>
      </c>
      <c r="Y33" s="196" ph="1">
        <f>+Q10+R10+S10+T10+U10+V10+W10+X10+Y10</f>
        <v>360986.60907539999</v>
      </c>
      <c r="Z33" s="177" ph="1">
        <f>T19+U19+Y28+Z10</f>
        <v>182224.76102801602</v>
      </c>
      <c r="AA33" s="179" ph="1">
        <f>BE19</f>
        <v>1440</v>
      </c>
      <c r="AB33" s="181" ph="1">
        <f>I19</f>
        <v>24279.455283999996</v>
      </c>
      <c r="AC33" s="183" ph="1">
        <f>AD10+AB19</f>
        <v>106885.9636992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4" t="s" ph="1">
        <v>185</v>
      </c>
      <c r="AA36" s="154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4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4" t="s" ph="1">
        <v>342</v>
      </c>
      <c r="AI37" s="154" t="s" ph="1">
        <v>209</v>
      </c>
      <c r="AJ37" s="154" t="s" ph="1">
        <v>210</v>
      </c>
      <c r="AK37" s="154" t="s" ph="1">
        <v>211</v>
      </c>
      <c r="AM37" s="154" t="s" ph="1">
        <v>210</v>
      </c>
      <c r="AN37" s="154" t="s" ph="1">
        <v>211</v>
      </c>
      <c r="AO37" s="154" t="s" ph="1">
        <v>212</v>
      </c>
      <c r="AP37" s="154" t="s" ph="1">
        <v>210</v>
      </c>
      <c r="AQ37" s="154" t="s" ph="1">
        <v>211</v>
      </c>
      <c r="AR37" s="154" t="s" ph="1">
        <v>212</v>
      </c>
      <c r="AS37" s="154" t="s" ph="1">
        <v>210</v>
      </c>
      <c r="AT37" s="154" t="s" ph="1">
        <v>211</v>
      </c>
      <c r="AU37" s="154" t="s" ph="1">
        <v>212</v>
      </c>
      <c r="AV37" s="154" t="s" ph="1">
        <v>210</v>
      </c>
      <c r="AW37" s="154" t="s" ph="1">
        <v>211</v>
      </c>
      <c r="AX37" s="154" t="s" ph="1">
        <v>212</v>
      </c>
      <c r="AY37" s="154" t="s" ph="1">
        <v>211</v>
      </c>
      <c r="AZ37" s="154" t="s" ph="1">
        <v>213</v>
      </c>
      <c r="BD37" s="154" t="s" ph="1">
        <v>305</v>
      </c>
      <c r="BE37" s="154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755" priority="101">
      <formula>ABS(D$7-D$10)&gt;=1000</formula>
    </cfRule>
  </conditionalFormatting>
  <conditionalFormatting sqref="E4 E6:E11">
    <cfRule type="expression" dxfId="2754" priority="100">
      <formula>ABS(E$7-E$10)&gt;=1000</formula>
    </cfRule>
  </conditionalFormatting>
  <conditionalFormatting sqref="F4:F11">
    <cfRule type="expression" dxfId="2753" priority="99">
      <formula>ABS(F$7-F$10)&gt;=1000</formula>
    </cfRule>
  </conditionalFormatting>
  <conditionalFormatting sqref="G4:G11">
    <cfRule type="expression" dxfId="2752" priority="98">
      <formula>ABS(G$7-G$10)&gt;=1000</formula>
    </cfRule>
  </conditionalFormatting>
  <conditionalFormatting sqref="H4:H11">
    <cfRule type="expression" dxfId="2751" priority="97">
      <formula>ABS(H$7-H$10)&gt;=1000</formula>
    </cfRule>
  </conditionalFormatting>
  <conditionalFormatting sqref="I4:I11">
    <cfRule type="expression" dxfId="2750" priority="96">
      <formula>ABS(I$7-I$10)&gt;=1000</formula>
    </cfRule>
  </conditionalFormatting>
  <conditionalFormatting sqref="J4:J11">
    <cfRule type="expression" dxfId="2749" priority="95">
      <formula>ABS(J$7-J$10)&gt;=1000</formula>
    </cfRule>
  </conditionalFormatting>
  <conditionalFormatting sqref="K4:K11">
    <cfRule type="expression" dxfId="2748" priority="94">
      <formula>ABS(K$7-K$10)&gt;=1000</formula>
    </cfRule>
  </conditionalFormatting>
  <conditionalFormatting sqref="L4:L11">
    <cfRule type="expression" dxfId="2747" priority="93">
      <formula>ABS(L$7-L$10)&gt;=1000</formula>
    </cfRule>
  </conditionalFormatting>
  <conditionalFormatting sqref="M4 M6:M11">
    <cfRule type="expression" dxfId="2746" priority="92">
      <formula>ABS(M$7-M$10)&gt;=1000</formula>
    </cfRule>
  </conditionalFormatting>
  <conditionalFormatting sqref="N4 N6:N11">
    <cfRule type="expression" dxfId="2745" priority="91">
      <formula>ABS(N$7-N$10)&gt;=1000</formula>
    </cfRule>
  </conditionalFormatting>
  <conditionalFormatting sqref="O4 O6:O11">
    <cfRule type="expression" dxfId="2744" priority="90">
      <formula>ABS(O$7-O$10)&gt;=1000</formula>
    </cfRule>
  </conditionalFormatting>
  <conditionalFormatting sqref="P4 P6:P11">
    <cfRule type="expression" dxfId="2743" priority="89">
      <formula>ABS(P$7-P$10)&gt;=1000</formula>
    </cfRule>
  </conditionalFormatting>
  <conditionalFormatting sqref="Q4:Q11">
    <cfRule type="expression" dxfId="2742" priority="88">
      <formula>ABS(Q$7-Q$10)&gt;=1000</formula>
    </cfRule>
  </conditionalFormatting>
  <conditionalFormatting sqref="R4:R11">
    <cfRule type="expression" dxfId="2741" priority="87">
      <formula>ABS(R$7-R$10)&gt;=1000</formula>
    </cfRule>
  </conditionalFormatting>
  <conditionalFormatting sqref="S4:S11">
    <cfRule type="expression" dxfId="2740" priority="86">
      <formula>ABS(S$7-S$10)&gt;=1000</formula>
    </cfRule>
  </conditionalFormatting>
  <conditionalFormatting sqref="T4:T9 T11">
    <cfRule type="expression" dxfId="2739" priority="85">
      <formula>ABS(T$7-T$10)&gt;=1000</formula>
    </cfRule>
  </conditionalFormatting>
  <conditionalFormatting sqref="U4:U9 U11">
    <cfRule type="expression" dxfId="2738" priority="84">
      <formula>ABS(U$7-U$10)&gt;=1000</formula>
    </cfRule>
  </conditionalFormatting>
  <conditionalFormatting sqref="V4:V9 V11">
    <cfRule type="expression" dxfId="2737" priority="83">
      <formula>ABS(V$7-V$10)&gt;=1000</formula>
    </cfRule>
  </conditionalFormatting>
  <conditionalFormatting sqref="W4:W9 W11">
    <cfRule type="expression" dxfId="2736" priority="82">
      <formula>ABS(W$7-W$10)&gt;=1000</formula>
    </cfRule>
  </conditionalFormatting>
  <conditionalFormatting sqref="X4:X9 X11">
    <cfRule type="expression" dxfId="2735" priority="81">
      <formula>ABS(X$7-X$10)&gt;=1000</formula>
    </cfRule>
  </conditionalFormatting>
  <conditionalFormatting sqref="Y4:Y9 Y11">
    <cfRule type="expression" dxfId="2734" priority="80">
      <formula>ABS(Y$7-Y$10)&gt;=1000</formula>
    </cfRule>
  </conditionalFormatting>
  <conditionalFormatting sqref="Z4:Z11">
    <cfRule type="expression" dxfId="2733" priority="79">
      <formula>ABS(Z$7-Z$10)&gt;=1000</formula>
    </cfRule>
  </conditionalFormatting>
  <conditionalFormatting sqref="AA4:AA11">
    <cfRule type="expression" dxfId="2732" priority="78">
      <formula>ABS(AA$7-AA$10)&gt;=1000</formula>
    </cfRule>
  </conditionalFormatting>
  <conditionalFormatting sqref="AB4:AB11">
    <cfRule type="expression" dxfId="2731" priority="77">
      <formula>ABS(AB$7-AB$10)&gt;=1000</formula>
    </cfRule>
  </conditionalFormatting>
  <conditionalFormatting sqref="AC4 AC6:AC11">
    <cfRule type="expression" dxfId="2730" priority="76">
      <formula>ABS(AC$7-AC$10)&gt;=1000</formula>
    </cfRule>
  </conditionalFormatting>
  <conditionalFormatting sqref="AD4 AD6:AD11">
    <cfRule type="expression" dxfId="2729" priority="75">
      <formula>ABS(AD$7-AD$10)&gt;=1000</formula>
    </cfRule>
  </conditionalFormatting>
  <conditionalFormatting sqref="AE4 AE6:AE11">
    <cfRule type="expression" dxfId="2728" priority="74">
      <formula>ABS(AE$7-AE$10)&gt;=1000</formula>
    </cfRule>
  </conditionalFormatting>
  <conditionalFormatting sqref="D13:D20">
    <cfRule type="expression" dxfId="2727" priority="73">
      <formula>ABS(D$16-D$19)&gt;=1000</formula>
    </cfRule>
  </conditionalFormatting>
  <conditionalFormatting sqref="E13:E20">
    <cfRule type="expression" dxfId="2726" priority="72">
      <formula>ABS(E$16-E$19)&gt;=1000</formula>
    </cfRule>
  </conditionalFormatting>
  <conditionalFormatting sqref="F13 F15:F20">
    <cfRule type="expression" dxfId="2725" priority="71">
      <formula>ABS(F$16-F$19)&gt;=1000</formula>
    </cfRule>
  </conditionalFormatting>
  <conditionalFormatting sqref="G13:G20">
    <cfRule type="expression" dxfId="2724" priority="70">
      <formula>ABS(G$16-G$19)&gt;=1000</formula>
    </cfRule>
  </conditionalFormatting>
  <conditionalFormatting sqref="H13 H15:H20">
    <cfRule type="expression" dxfId="2723" priority="69">
      <formula>ABS(H$16-H$19)&gt;=1000</formula>
    </cfRule>
  </conditionalFormatting>
  <conditionalFormatting sqref="I13:I20">
    <cfRule type="expression" dxfId="2722" priority="68">
      <formula>ABS(I$16-I$19)&gt;=1000</formula>
    </cfRule>
  </conditionalFormatting>
  <conditionalFormatting sqref="J13:J20">
    <cfRule type="expression" dxfId="2721" priority="67">
      <formula>ABS(J$16-J$19)&gt;=1000</formula>
    </cfRule>
  </conditionalFormatting>
  <conditionalFormatting sqref="L13:L20">
    <cfRule type="expression" dxfId="2720" priority="66">
      <formula>ABS(L$16-L$19)&gt;=1000</formula>
    </cfRule>
  </conditionalFormatting>
  <conditionalFormatting sqref="M13 M15 M17:M18 M20">
    <cfRule type="expression" dxfId="2719" priority="65">
      <formula>ABS(M$16-M$19)&gt;=1000</formula>
    </cfRule>
  </conditionalFormatting>
  <conditionalFormatting sqref="N13:N20">
    <cfRule type="expression" dxfId="2718" priority="64">
      <formula>ABS(N$16-N$19)&gt;=1000</formula>
    </cfRule>
  </conditionalFormatting>
  <conditionalFormatting sqref="O13:O20">
    <cfRule type="expression" dxfId="2717" priority="63">
      <formula>ABS(O$16-O$19)&gt;=1000</formula>
    </cfRule>
  </conditionalFormatting>
  <conditionalFormatting sqref="P13:P20">
    <cfRule type="expression" dxfId="2716" priority="62">
      <formula>ABS(P$16-P$19)&gt;=1000</formula>
    </cfRule>
  </conditionalFormatting>
  <conditionalFormatting sqref="Q13 Q15:Q20">
    <cfRule type="expression" dxfId="2715" priority="61">
      <formula>ABS(Q$16-Q$19)&gt;=1000</formula>
    </cfRule>
  </conditionalFormatting>
  <conditionalFormatting sqref="R13:R20">
    <cfRule type="expression" dxfId="2714" priority="60">
      <formula>ABS(R$16-R$19)&gt;=1000</formula>
    </cfRule>
  </conditionalFormatting>
  <conditionalFormatting sqref="S13:S20">
    <cfRule type="expression" dxfId="2713" priority="59">
      <formula>ABS(S$16-S$19)&gt;=1000</formula>
    </cfRule>
  </conditionalFormatting>
  <conditionalFormatting sqref="T13:T15 T17:T20">
    <cfRule type="expression" dxfId="2712" priority="58">
      <formula>ABS(T$16-T$19)&gt;=1000</formula>
    </cfRule>
  </conditionalFormatting>
  <conditionalFormatting sqref="U13:U20">
    <cfRule type="expression" dxfId="2711" priority="57">
      <formula>ABS(U$16-U$19)&gt;=1000</formula>
    </cfRule>
  </conditionalFormatting>
  <conditionalFormatting sqref="V13:V20">
    <cfRule type="expression" dxfId="2710" priority="56">
      <formula>ABS(V$16-V$19)&gt;=1000</formula>
    </cfRule>
  </conditionalFormatting>
  <conditionalFormatting sqref="W13 W20 W15:W18">
    <cfRule type="expression" dxfId="2709" priority="55">
      <formula>ABS(W$16-W$19)&gt;=1000</formula>
    </cfRule>
  </conditionalFormatting>
  <conditionalFormatting sqref="X13 X15:X20 Y19">
    <cfRule type="expression" dxfId="2708" priority="54">
      <formula>ABS(X$16-X$19)&gt;=1000</formula>
    </cfRule>
  </conditionalFormatting>
  <conditionalFormatting sqref="Y13 Y15:Y18 Y20">
    <cfRule type="expression" dxfId="2707" priority="53">
      <formula>ABS(Y$16-Y$19)&gt;=1000</formula>
    </cfRule>
  </conditionalFormatting>
  <conditionalFormatting sqref="Z13:Z20">
    <cfRule type="expression" dxfId="2706" priority="52">
      <formula>ABS(Z$16-Z$19)&gt;=1000</formula>
    </cfRule>
  </conditionalFormatting>
  <conditionalFormatting sqref="AA13:AA20">
    <cfRule type="expression" dxfId="2705" priority="51">
      <formula>ABS(AA$16-AA$19)&gt;=1000</formula>
    </cfRule>
  </conditionalFormatting>
  <conditionalFormatting sqref="AB13 AB15:AB20">
    <cfRule type="expression" dxfId="2704" priority="50">
      <formula>ABS(AB$16-AB$19)&gt;=1000</formula>
    </cfRule>
  </conditionalFormatting>
  <conditionalFormatting sqref="AC13 AC15:AC20">
    <cfRule type="expression" dxfId="2703" priority="49">
      <formula>ABS(AC$16-AC$19)&gt;=1000</formula>
    </cfRule>
  </conditionalFormatting>
  <conditionalFormatting sqref="AD13:AD20">
    <cfRule type="expression" dxfId="2702" priority="48">
      <formula>ABS(AD$16-AD$19)&gt;=1000</formula>
    </cfRule>
  </conditionalFormatting>
  <conditionalFormatting sqref="AE13:AE20">
    <cfRule type="expression" dxfId="2701" priority="47">
      <formula>ABS(AE$16-AE$19)&gt;=1000</formula>
    </cfRule>
  </conditionalFormatting>
  <conditionalFormatting sqref="D22:D29">
    <cfRule type="expression" dxfId="2700" priority="46">
      <formula>ABS(D$25-D$28)&gt;=1000</formula>
    </cfRule>
  </conditionalFormatting>
  <conditionalFormatting sqref="E22:E29">
    <cfRule type="expression" dxfId="2699" priority="45">
      <formula>ABS(E$25-E$28)&gt;=1000</formula>
    </cfRule>
  </conditionalFormatting>
  <conditionalFormatting sqref="F22:F29">
    <cfRule type="expression" dxfId="2698" priority="44">
      <formula>ABS(F$25-F$28)&gt;=1000</formula>
    </cfRule>
  </conditionalFormatting>
  <conditionalFormatting sqref="G22:G29">
    <cfRule type="expression" dxfId="2697" priority="43">
      <formula>ABS(G$25-G$28)&gt;=1000</formula>
    </cfRule>
  </conditionalFormatting>
  <conditionalFormatting sqref="H22:H29">
    <cfRule type="expression" dxfId="2696" priority="42">
      <formula>ABS(H$25-H$28)&gt;=1000</formula>
    </cfRule>
  </conditionalFormatting>
  <conditionalFormatting sqref="I22 I24:I29">
    <cfRule type="expression" dxfId="2695" priority="41">
      <formula>ABS(I$25-I$28)&gt;=1000</formula>
    </cfRule>
  </conditionalFormatting>
  <conditionalFormatting sqref="J22:J29 K22">
    <cfRule type="expression" dxfId="2694" priority="40">
      <formula>ABS(J$25-J$28)&gt;=1000</formula>
    </cfRule>
  </conditionalFormatting>
  <conditionalFormatting sqref="K23:K29 L25 L28">
    <cfRule type="expression" dxfId="2693" priority="39">
      <formula>ABS(K$25-K$28)&gt;=1000</formula>
    </cfRule>
  </conditionalFormatting>
  <conditionalFormatting sqref="L22 L26:L27 L29 L24">
    <cfRule type="expression" dxfId="2692" priority="38">
      <formula>ABS(L$25-L$28)&gt;=1000</formula>
    </cfRule>
  </conditionalFormatting>
  <conditionalFormatting sqref="M22:M29">
    <cfRule type="expression" dxfId="2691" priority="37">
      <formula>ABS(M$25-M$28)&gt;=1000</formula>
    </cfRule>
  </conditionalFormatting>
  <conditionalFormatting sqref="N22:N29">
    <cfRule type="expression" dxfId="2690" priority="36">
      <formula>ABS(N$25-N$28)&gt;=1000</formula>
    </cfRule>
  </conditionalFormatting>
  <conditionalFormatting sqref="O22:O29">
    <cfRule type="expression" dxfId="2689" priority="35">
      <formula>ABS(O$25-O$28)&gt;=1000</formula>
    </cfRule>
  </conditionalFormatting>
  <conditionalFormatting sqref="P22:P29">
    <cfRule type="expression" dxfId="2688" priority="34">
      <formula>ABS(P$25-P$28)&gt;=1000</formula>
    </cfRule>
  </conditionalFormatting>
  <conditionalFormatting sqref="Q22:Q29">
    <cfRule type="expression" dxfId="2687" priority="33">
      <formula>ABS(Q$25-Q$28)&gt;=1000</formula>
    </cfRule>
  </conditionalFormatting>
  <conditionalFormatting sqref="R22:R29">
    <cfRule type="expression" dxfId="2686" priority="32">
      <formula>ABS(R$25-R$28)&gt;=1000</formula>
    </cfRule>
  </conditionalFormatting>
  <conditionalFormatting sqref="S22:S29">
    <cfRule type="expression" dxfId="2685" priority="31">
      <formula>ABS(S$25-S$28)&gt;=1000</formula>
    </cfRule>
  </conditionalFormatting>
  <conditionalFormatting sqref="T22:T29">
    <cfRule type="expression" dxfId="2684" priority="30">
      <formula>ABS(T$25-T$28)&gt;=1000</formula>
    </cfRule>
  </conditionalFormatting>
  <conditionalFormatting sqref="U22:U29">
    <cfRule type="expression" dxfId="2683" priority="29">
      <formula>ABS(U$25-U$28)&gt;=1000</formula>
    </cfRule>
  </conditionalFormatting>
  <conditionalFormatting sqref="V22:V29">
    <cfRule type="expression" dxfId="2682" priority="28">
      <formula>ABS(V$25-V$28)&gt;=1000</formula>
    </cfRule>
  </conditionalFormatting>
  <conditionalFormatting sqref="W22:W29">
    <cfRule type="expression" dxfId="2681" priority="27">
      <formula>ABS(W$25-W$28)&gt;=1000</formula>
    </cfRule>
  </conditionalFormatting>
  <conditionalFormatting sqref="X22:X29">
    <cfRule type="expression" dxfId="2680" priority="26">
      <formula>ABS(X$25-X$28)&gt;=1000</formula>
    </cfRule>
  </conditionalFormatting>
  <conditionalFormatting sqref="Y22:Y29">
    <cfRule type="expression" dxfId="2679" priority="25">
      <formula>ABS(Y$25-Y$28)&gt;=1000</formula>
    </cfRule>
  </conditionalFormatting>
  <conditionalFormatting sqref="I23">
    <cfRule type="expression" dxfId="2678" priority="24">
      <formula>ABS(I$25-I$28)&gt;=1000</formula>
    </cfRule>
  </conditionalFormatting>
  <conditionalFormatting sqref="Q14">
    <cfRule type="expression" dxfId="2677" priority="23">
      <formula>ABS(Q$16-Q$19)&gt;=1000</formula>
    </cfRule>
  </conditionalFormatting>
  <conditionalFormatting sqref="W14">
    <cfRule type="expression" dxfId="2676" priority="22">
      <formula>ABS(W$16-W$19)&gt;=1000</formula>
    </cfRule>
  </conditionalFormatting>
  <conditionalFormatting sqref="X14">
    <cfRule type="expression" dxfId="2675" priority="21">
      <formula>ABS(X$16-X$19)&gt;=1000</formula>
    </cfRule>
  </conditionalFormatting>
  <conditionalFormatting sqref="T10:Y10">
    <cfRule type="expression" dxfId="2674" priority="20">
      <formula>ABS(T$7-T$10)&gt;=1000</formula>
    </cfRule>
  </conditionalFormatting>
  <conditionalFormatting sqref="W19">
    <cfRule type="expression" dxfId="2673" priority="19">
      <formula>ABS(W$16-W$19)&gt;=1000</formula>
    </cfRule>
  </conditionalFormatting>
  <conditionalFormatting sqref="AC5">
    <cfRule type="expression" dxfId="2672" priority="18">
      <formula>ABS(AC$7-AC$10)&gt;=1000</formula>
    </cfRule>
  </conditionalFormatting>
  <conditionalFormatting sqref="M14">
    <cfRule type="expression" dxfId="2671" priority="17">
      <formula>ABS(M$16-M$19)&gt;=1000</formula>
    </cfRule>
  </conditionalFormatting>
  <conditionalFormatting sqref="M16">
    <cfRule type="expression" dxfId="2670" priority="16">
      <formula>ABS(M$16-M$19)&gt;=1000</formula>
    </cfRule>
  </conditionalFormatting>
  <conditionalFormatting sqref="M19">
    <cfRule type="expression" dxfId="2669" priority="15">
      <formula>ABS(M$16-M$19)&gt;=1000</formula>
    </cfRule>
  </conditionalFormatting>
  <conditionalFormatting sqref="K13:K20">
    <cfRule type="expression" dxfId="2668" priority="14">
      <formula>ABS(K$16-K$19)&gt;=1000</formula>
    </cfRule>
  </conditionalFormatting>
  <conditionalFormatting sqref="E5">
    <cfRule type="expression" dxfId="2667" priority="13">
      <formula>ABS(E$7-E$10)&gt;=1000</formula>
    </cfRule>
  </conditionalFormatting>
  <conditionalFormatting sqref="AB14:AC14">
    <cfRule type="expression" dxfId="2666" priority="12">
      <formula>ABS(AB$16-AB$19)&gt;=1000</formula>
    </cfRule>
  </conditionalFormatting>
  <conditionalFormatting sqref="M5">
    <cfRule type="expression" dxfId="2665" priority="11">
      <formula>ABS(M$7-M$10)&gt;=1000</formula>
    </cfRule>
  </conditionalFormatting>
  <conditionalFormatting sqref="N5">
    <cfRule type="expression" dxfId="2664" priority="10">
      <formula>ABS(N$7-N$10)&gt;=1000</formula>
    </cfRule>
  </conditionalFormatting>
  <conditionalFormatting sqref="O5">
    <cfRule type="expression" dxfId="2663" priority="9">
      <formula>ABS(O$7-O$10)&gt;=1000</formula>
    </cfRule>
  </conditionalFormatting>
  <conditionalFormatting sqref="P5">
    <cfRule type="expression" dxfId="2662" priority="8">
      <formula>ABS(P$7-P$10)&gt;=1000</formula>
    </cfRule>
  </conditionalFormatting>
  <conditionalFormatting sqref="L23">
    <cfRule type="expression" dxfId="2661" priority="7">
      <formula>ABS(L$25-L$28)&gt;=1000</formula>
    </cfRule>
  </conditionalFormatting>
  <conditionalFormatting sqref="Y14">
    <cfRule type="expression" dxfId="2660" priority="6">
      <formula>ABS(Y$16-Y$19)&gt;=1000</formula>
    </cfRule>
  </conditionalFormatting>
  <conditionalFormatting sqref="F14">
    <cfRule type="expression" dxfId="2659" priority="5">
      <formula>ABS(F$16-F$19)&gt;=1000</formula>
    </cfRule>
  </conditionalFormatting>
  <conditionalFormatting sqref="H14">
    <cfRule type="expression" dxfId="2658" priority="4">
      <formula>ABS(H$16-H$19)&gt;=1000</formula>
    </cfRule>
  </conditionalFormatting>
  <conditionalFormatting sqref="AD5">
    <cfRule type="expression" dxfId="2657" priority="3">
      <formula>ABS(AD$7-AD$10)&gt;=1000</formula>
    </cfRule>
  </conditionalFormatting>
  <conditionalFormatting sqref="AE5">
    <cfRule type="expression" dxfId="2656" priority="2">
      <formula>ABS(AE$7-AE$10)&gt;=1000</formula>
    </cfRule>
  </conditionalFormatting>
  <conditionalFormatting sqref="T16">
    <cfRule type="expression" dxfId="2655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894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4">
    <pageSetUpPr fitToPage="1"/>
  </sheetPr>
  <dimension ref="A1:CU223"/>
  <sheetViews>
    <sheetView view="pageBreakPreview" topLeftCell="A5" zoomScale="70" zoomScaleNormal="100" zoomScaleSheetLayoutView="70" workbookViewId="0">
      <selection activeCell="D6" sqref="D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46209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7" t="s" ph="1">
        <v>177</v>
      </c>
      <c r="D6" s="71">
        <v>3097</v>
      </c>
      <c r="E6" s="71">
        <v>5807</v>
      </c>
      <c r="F6" s="71">
        <v>5847</v>
      </c>
      <c r="G6" s="71">
        <v>7035</v>
      </c>
      <c r="H6" s="71">
        <v>1182</v>
      </c>
      <c r="I6" s="71">
        <v>38.72</v>
      </c>
      <c r="J6" s="71">
        <v>77.03</v>
      </c>
      <c r="K6" s="71">
        <v>6.72</v>
      </c>
      <c r="L6" s="71">
        <v>6.41</v>
      </c>
      <c r="M6" s="71">
        <v>5029</v>
      </c>
      <c r="N6" s="71">
        <v>5936</v>
      </c>
      <c r="O6" s="71">
        <v>221</v>
      </c>
      <c r="P6" s="71">
        <v>2423</v>
      </c>
      <c r="Q6" s="71">
        <v>4174</v>
      </c>
      <c r="R6" s="71">
        <v>7266</v>
      </c>
      <c r="S6" s="71">
        <v>7305</v>
      </c>
      <c r="T6" s="71">
        <v>7043</v>
      </c>
      <c r="U6" s="71">
        <v>7065</v>
      </c>
      <c r="V6" s="71">
        <v>7049</v>
      </c>
      <c r="W6" s="71">
        <v>7082</v>
      </c>
      <c r="X6" s="71">
        <v>2539</v>
      </c>
      <c r="Y6" s="71">
        <v>0</v>
      </c>
      <c r="Z6" s="71">
        <v>5971</v>
      </c>
      <c r="AA6" s="71">
        <v>0</v>
      </c>
      <c r="AB6" s="71">
        <v>1918</v>
      </c>
      <c r="AC6" s="71">
        <v>2237</v>
      </c>
      <c r="AD6" s="71">
        <v>5456</v>
      </c>
      <c r="AE6" s="71">
        <v>4588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96943.902550830011</v>
      </c>
      <c r="E7" s="73" ph="1">
        <f>E6*51.53*LOOKUP(E8,密度!$A$2:$A$50,密度!$B$2:$B$50)</f>
        <v>231727.35942400002</v>
      </c>
      <c r="F7" s="73" ph="1">
        <f>F6*33.183*LOOKUP(F8,密度!$A$2:$A$50,密度!$C$2:$C$50)</f>
        <v>214858.85650739996</v>
      </c>
      <c r="G7" s="73" ph="1">
        <f xml:space="preserve"> (G6+2)*51.53*LOOKUP(G8,密度!$A$2:$A$50,密度!$B$2:$B$50)</f>
        <v>281136.657733</v>
      </c>
      <c r="H7" s="73" ph="1">
        <f>(H6)*51.53*LOOKUP(H8,密度!$A$2:$A$50,密度!$B$2:$B$50)</f>
        <v>47325.873420000004</v>
      </c>
      <c r="I7" s="73" ph="1">
        <f>I6*290.8*1.0267</f>
        <v>11560.412019199999</v>
      </c>
      <c r="J7" s="73" ph="1">
        <f>J6*290.8*0.7892</f>
        <v>17678.335700800002</v>
      </c>
      <c r="K7" s="73" ph="1">
        <f>K6*290.8*1.1126</f>
        <v>2174.2162176000002</v>
      </c>
      <c r="L7" s="73" ph="1">
        <f>L6*290.8*0.777</f>
        <v>1448.3497560000001</v>
      </c>
      <c r="M7" s="73" ph="1">
        <f>M6*33.183*LOOKUP(M8,密度!$A$2:$A$50,密度!$D$2:$D$50)</f>
        <v>170548.607754</v>
      </c>
      <c r="N7" s="73" ph="1">
        <f>N6*33.183*LOOKUP(N8,密度!$A$2:$A$50,密度!$E$2:$E$50)</f>
        <v>152940.6859176</v>
      </c>
      <c r="O7" s="73" ph="1">
        <f>O6*20.428*LOOKUP(O8,密度!$A$2:$A$50,密度!$C$2:$C$50)</f>
        <v>4989.0711987999994</v>
      </c>
      <c r="P7" s="73" ph="1">
        <f>P6*51.53*LOOKUP(P8,密度!$A$2:$A$50,密度!$B$2:$B$50)</f>
        <v>97014.036630000002</v>
      </c>
      <c r="Q7" s="73" ph="1">
        <f>Q6*1.5*1.5*3.1416*LOOKUP(W8,密度!$A$2:$A$50,密度!$L$2:$L$50)</f>
        <v>27527.5458612</v>
      </c>
      <c r="R7" s="73" ph="1">
        <f>R6*1.5*1.5*3.1416*LOOKUP(R8,密度!$A$2:$A$50,密度!$L$2:$L$50)</f>
        <v>47662.495372800004</v>
      </c>
      <c r="S7" s="73" ph="1">
        <f>S6*1.5*1.5*3.1416*LOOKUP(S8,密度!$A$2:$A$50,密度!$L$2:$L$50)</f>
        <v>48228.138881999999</v>
      </c>
      <c r="T7" s="73" ph="1">
        <f>T6*1.5*1.5*3.1416*LOOKUP(T8,密度!$A$2:$A$50,密度!$L$2:$L$50)</f>
        <v>46548.180063</v>
      </c>
      <c r="U7" s="73" ph="1">
        <f>U6*1.5*1.5*3.1416*LOOKUP(U8,密度!$A$2:$A$50,密度!$L$2:$L$50)</f>
        <v>46593.701847000004</v>
      </c>
      <c r="V7" s="73" ph="1">
        <f>V6*1.5*1.5*3.1416*LOOKUP(V8,密度!$A$2:$A$50,密度!$L$2:$L$50)</f>
        <v>46538.0083476</v>
      </c>
      <c r="W7" s="73" ph="1">
        <f>W6*1.5*1.5*3.1416*LOOKUP(W8,密度!$A$2:$A$50,密度!$L$2:$L$50)</f>
        <v>46705.816911599999</v>
      </c>
      <c r="X7" s="73" ph="1">
        <f>X6*1.5*1.5*3.1416*LOOKUP(X8,密度!$A$2:$A$50,密度!$L$2:$L$50)</f>
        <v>16762.661823599999</v>
      </c>
      <c r="Y7" s="73" ph="1">
        <f>Y6*1.5*1.5*3.1416*LOOKUP(Y8,密度!$A$2:$A$50,密度!$L$2:$L$50)</f>
        <v>0</v>
      </c>
      <c r="Z7" s="73" ph="1">
        <f>Z6*33.183*LOOKUP(Z8,密度!$A$2:$A$50,密度!$L$2:$L$50)</f>
        <v>184860.60156900002</v>
      </c>
      <c r="AA7" s="73" ph="1">
        <f>AA6*33.183*LOOKUP(AA8,密度!$A$2:$A$50,密度!$D$2:$D$50)</f>
        <v>0</v>
      </c>
      <c r="AB7" s="73" ph="1">
        <f>AB6*20.428*LOOKUP(AB8,密度!$A$2:$A$50,密度!$D$2:$D$50)</f>
        <v>40191.771323200002</v>
      </c>
      <c r="AC7" s="73" ph="1">
        <f>AC6*51.53*LOOKUP(AC8,密度!$A$2:$A$50,密度!$Q$2:$Q$50)</f>
        <v>108740.11119130001</v>
      </c>
      <c r="AD7" s="73" ph="1">
        <f>AD6*20.428*LOOKUP(AD8,密度!$A$2:$A$50,密度!$V$2:$V$50)</f>
        <v>106729.46887680001</v>
      </c>
      <c r="AE7" s="73" ph="1">
        <f>AE6*20.428</f>
        <v>93723.664000000004</v>
      </c>
    </row>
    <row r="8" spans="1:99" ph="1">
      <c r="B8" s="241" ph="1"/>
      <c r="C8" s="68" t="s" ph="1">
        <v>179</v>
      </c>
      <c r="D8" s="74">
        <v>30</v>
      </c>
      <c r="E8" s="74">
        <v>31</v>
      </c>
      <c r="F8" s="74">
        <v>27</v>
      </c>
      <c r="G8" s="74">
        <v>30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30</v>
      </c>
      <c r="P8" s="74">
        <v>28</v>
      </c>
      <c r="Q8" s="74">
        <v>34</v>
      </c>
      <c r="R8" s="74">
        <v>34</v>
      </c>
      <c r="S8" s="74">
        <v>28</v>
      </c>
      <c r="T8" s="74">
        <v>27</v>
      </c>
      <c r="U8" s="74">
        <v>29</v>
      </c>
      <c r="V8" s="74">
        <v>28</v>
      </c>
      <c r="W8" s="74">
        <v>29</v>
      </c>
      <c r="X8" s="74">
        <v>28</v>
      </c>
      <c r="Y8" s="74">
        <v>28</v>
      </c>
      <c r="Z8" s="74">
        <v>29</v>
      </c>
      <c r="AA8" s="74">
        <v>29</v>
      </c>
      <c r="AB8" s="74">
        <v>26</v>
      </c>
      <c r="AC8" s="74">
        <v>30</v>
      </c>
      <c r="AD8" s="74">
        <v>28</v>
      </c>
      <c r="AE8" s="74">
        <v>29</v>
      </c>
    </row>
    <row r="9" spans="1:99" ht="26.4" ph="1">
      <c r="B9" s="241" ph="1">
        <v>0.66666666666666663</v>
      </c>
      <c r="C9" s="157" t="s" ph="1">
        <v>180</v>
      </c>
      <c r="D9" s="71">
        <v>2558</v>
      </c>
      <c r="E9" s="71">
        <v>5039</v>
      </c>
      <c r="F9" s="71">
        <v>5848</v>
      </c>
      <c r="G9" s="71">
        <v>7482</v>
      </c>
      <c r="H9" s="71">
        <v>888</v>
      </c>
      <c r="I9" s="71">
        <v>38.71</v>
      </c>
      <c r="J9" s="71">
        <v>77.209999999999994</v>
      </c>
      <c r="K9" s="71">
        <v>6.81</v>
      </c>
      <c r="L9" s="71">
        <v>29.11</v>
      </c>
      <c r="M9" s="71">
        <v>5029</v>
      </c>
      <c r="N9" s="71">
        <v>5942</v>
      </c>
      <c r="O9" s="71">
        <v>221</v>
      </c>
      <c r="P9" s="71">
        <v>2235</v>
      </c>
      <c r="Q9" s="71">
        <v>1046</v>
      </c>
      <c r="R9" s="71">
        <v>7272</v>
      </c>
      <c r="S9" s="71">
        <v>7314</v>
      </c>
      <c r="T9" s="71">
        <v>7049</v>
      </c>
      <c r="U9" s="71">
        <v>7071</v>
      </c>
      <c r="V9" s="71">
        <v>7058</v>
      </c>
      <c r="W9" s="71">
        <v>7072</v>
      </c>
      <c r="X9" s="71">
        <v>7091</v>
      </c>
      <c r="Y9" s="71">
        <v>3283</v>
      </c>
      <c r="Z9" s="71">
        <v>3654</v>
      </c>
      <c r="AA9" s="71">
        <v>0</v>
      </c>
      <c r="AB9" s="71">
        <v>1917</v>
      </c>
      <c r="AC9" s="71">
        <v>2235</v>
      </c>
      <c r="AD9" s="71">
        <v>5459</v>
      </c>
      <c r="AE9" s="71">
        <v>4566</v>
      </c>
    </row>
    <row r="10" spans="1:99" s="72" customFormat="1" ht="22.2" ph="1">
      <c r="B10" s="241" ph="1"/>
      <c r="C10" s="157" t="s" ph="1">
        <v>178</v>
      </c>
      <c r="D10" s="73" ph="1">
        <f>D9*33.183*LOOKUP(D11,密度!$A$2:$A$50,密度!$Q$2:$Q$50)</f>
        <v>79839.267607260001</v>
      </c>
      <c r="E10" s="73" ph="1">
        <f>E9*51.53*LOOKUP(E11,密度!$A$2:$A$50,密度!$B$2:$B$50)</f>
        <v>200639.02700900001</v>
      </c>
      <c r="F10" s="73" ph="1">
        <f>F9*33.183*LOOKUP(F11,密度!$A$2:$A$50,密度!$C$2:$C$50)</f>
        <v>213847.71076800002</v>
      </c>
      <c r="G10" s="73" ph="1">
        <f xml:space="preserve"> (G9+2)*51.53*LOOKUP(G11,密度!$A$2:$A$50,密度!$B$2:$B$50)</f>
        <v>298300.67722000001</v>
      </c>
      <c r="H10" s="73" ph="1">
        <f>(H9)*51.53*LOOKUP(H11,密度!$A$2:$A$50,密度!$B$2:$B$50)</f>
        <v>35357.701128000001</v>
      </c>
      <c r="I10" s="73" ph="1">
        <f>I9*290.8*1.0267</f>
        <v>11557.4263756</v>
      </c>
      <c r="J10" s="73" ph="1">
        <f>J9*290.8*0.7892</f>
        <v>17719.645585599999</v>
      </c>
      <c r="K10" s="73" ph="1">
        <f>K9*290.8*1.1126</f>
        <v>2203.3351848000002</v>
      </c>
      <c r="L10" s="73" ph="1">
        <f>L9*290.8*0.777</f>
        <v>6577.4510760000003</v>
      </c>
      <c r="M10" s="73" ph="1">
        <f>M9*33.183*LOOKUP(M11,密度!$A$2:$A$50,密度!$D$2:$D$50)</f>
        <v>168779.70829980003</v>
      </c>
      <c r="N10" s="73" ph="1">
        <f>N9*33.183*LOOKUP(N11,密度!$A$2:$A$50,密度!$E$2:$E$50)</f>
        <v>152204.05185498</v>
      </c>
      <c r="O10" s="73" ph="1">
        <f>O9*20.428*LOOKUP(O11,密度!$A$2:$A$50,密度!$C$2:$C$50)</f>
        <v>4941.6680248000002</v>
      </c>
      <c r="P10" s="73" ph="1">
        <f>P9*51.53*LOOKUP(P11,密度!$A$2:$A$50,密度!$B$2:$B$50)</f>
        <v>88991.511285000015</v>
      </c>
      <c r="Q10" s="73" ph="1">
        <f>Q9*1.5*1.5*3.1416*LOOKUP(W11,密度!$A$2:$A$50,密度!$L$2:$L$50)</f>
        <v>6876.1927079999996</v>
      </c>
      <c r="R10" s="73" ph="1">
        <f>R9*1.5*1.5*3.1416*LOOKUP(R11,密度!$A$2:$A$50,密度!$L$2:$L$50)</f>
        <v>47496.2419008</v>
      </c>
      <c r="S10" s="73" ph="1">
        <f>S9*1.5*1.5*3.1416*LOOKUP(S11,密度!$A$2:$A$50,密度!$L$2:$L$50)</f>
        <v>48080.758572000006</v>
      </c>
      <c r="T10" s="73" ph="1">
        <f>T9*1.5*1.5*3.1416*LOOKUP(T11,密度!$A$2:$A$50,密度!$L$2:$L$50)</f>
        <v>46538.0083476</v>
      </c>
      <c r="U10" s="73" ph="1">
        <f>U9*1.5*1.5*3.1416*LOOKUP(U11,密度!$A$2:$A$50,密度!$L$2:$L$50)</f>
        <v>46483.325658000002</v>
      </c>
      <c r="V10" s="73" ph="1">
        <f>V9*1.5*1.5*3.1416*LOOKUP(V11,密度!$A$2:$A$50,密度!$L$2:$L$50)</f>
        <v>46597.426999200005</v>
      </c>
      <c r="W10" s="73" ph="1">
        <f>W9*1.5*1.5*3.1416*LOOKUP(W11,密度!$A$2:$A$50,密度!$L$2:$L$50)</f>
        <v>46489.899455999999</v>
      </c>
      <c r="X10" s="73" ph="1">
        <f>X9*1.5*1.5*3.1416*LOOKUP(X11,密度!$A$2:$A$50,密度!$L$2:$L$50)</f>
        <v>46815.295388400002</v>
      </c>
      <c r="Y10" s="73" ph="1">
        <f>Y9*1.5*1.5*3.1416*LOOKUP(Y11,密度!$A$2:$A$50,密度!$L$2:$L$50)</f>
        <v>21651.397475400001</v>
      </c>
      <c r="Z10" s="73" ph="1">
        <f>Z9*33.183*LOOKUP(Z11,密度!$A$2:$A$50,密度!$L$2:$L$50)</f>
        <v>112035.630168</v>
      </c>
      <c r="AA10" s="73" ph="1">
        <f>AA9*33.183*LOOKUP(AA11,密度!$A$2:$A$50,密度!$D$2:$D$50)</f>
        <v>0</v>
      </c>
      <c r="AB10" s="73" ph="1">
        <f>AB9*20.428*LOOKUP(AB11,密度!$A$2:$A$50,密度!$D$2:$D$50)</f>
        <v>40057.250900400002</v>
      </c>
      <c r="AC10" s="73" ph="1">
        <f>AC9*51.53*LOOKUP(AC11,密度!$A$2:$A$50,密度!$Q$2:$Q$50)</f>
        <v>108252.466827</v>
      </c>
      <c r="AD10" s="73" ph="1">
        <f>AD9*20.428*LOOKUP(AD11,密度!$A$2:$A$50,密度!$V$2:$V$50)</f>
        <v>106788.15443520001</v>
      </c>
      <c r="AE10" s="73" ph="1">
        <f>AE9*20.428</f>
        <v>93274.248000000007</v>
      </c>
    </row>
    <row r="11" spans="1:99" ph="1">
      <c r="A11" s="64" t="s" ph="1">
        <v>162</v>
      </c>
      <c r="B11" s="241" ph="1"/>
      <c r="C11" s="157" t="s" ph="1">
        <v>179</v>
      </c>
      <c r="D11" s="74">
        <v>34</v>
      </c>
      <c r="E11" s="74">
        <v>33</v>
      </c>
      <c r="F11" s="74">
        <v>33</v>
      </c>
      <c r="G11" s="74">
        <v>32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35</v>
      </c>
      <c r="O11" s="74">
        <v>40</v>
      </c>
      <c r="P11" s="74">
        <v>33</v>
      </c>
      <c r="Q11" s="74">
        <v>40</v>
      </c>
      <c r="R11" s="74">
        <v>38</v>
      </c>
      <c r="S11" s="74">
        <v>32</v>
      </c>
      <c r="T11" s="74">
        <v>28</v>
      </c>
      <c r="U11" s="74">
        <v>32</v>
      </c>
      <c r="V11" s="74">
        <v>28</v>
      </c>
      <c r="W11" s="74">
        <v>32</v>
      </c>
      <c r="X11" s="74">
        <v>28</v>
      </c>
      <c r="Y11" s="74">
        <v>29</v>
      </c>
      <c r="Z11" s="74">
        <v>38</v>
      </c>
      <c r="AA11" s="74">
        <v>36</v>
      </c>
      <c r="AB11" s="74">
        <v>29</v>
      </c>
      <c r="AC11" s="74">
        <v>35</v>
      </c>
      <c r="AD11" s="74">
        <v>35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7" t="s" ph="1">
        <v>177</v>
      </c>
      <c r="D15" s="78">
        <v>3667</v>
      </c>
      <c r="E15" s="78">
        <v>73</v>
      </c>
      <c r="F15" s="78">
        <v>3555</v>
      </c>
      <c r="G15" s="78">
        <v>3607</v>
      </c>
      <c r="H15" s="78">
        <v>2035</v>
      </c>
      <c r="I15" s="78">
        <v>2636</v>
      </c>
      <c r="J15" s="78">
        <v>3259</v>
      </c>
      <c r="K15" s="78">
        <v>3365</v>
      </c>
      <c r="L15" s="78">
        <v>5865</v>
      </c>
      <c r="M15" s="78">
        <v>6747</v>
      </c>
      <c r="N15" s="78">
        <v>1171</v>
      </c>
      <c r="O15" s="78">
        <v>4157</v>
      </c>
      <c r="P15" s="78">
        <v>4303</v>
      </c>
      <c r="Q15" s="78">
        <v>0</v>
      </c>
      <c r="R15" s="78">
        <v>1953</v>
      </c>
      <c r="S15" s="78">
        <v>0</v>
      </c>
      <c r="T15" s="78">
        <v>3837</v>
      </c>
      <c r="U15" s="78">
        <v>2667</v>
      </c>
      <c r="V15" s="78">
        <v>3113</v>
      </c>
      <c r="W15" s="71">
        <v>5008</v>
      </c>
      <c r="X15" s="78">
        <v>1276</v>
      </c>
      <c r="Y15" s="106">
        <v>-9903</v>
      </c>
      <c r="Z15" s="78">
        <v>830</v>
      </c>
      <c r="AA15" s="78">
        <v>2543</v>
      </c>
      <c r="AB15" s="78" ph="1">
        <v>0</v>
      </c>
      <c r="AC15" s="78" ph="1">
        <v>0</v>
      </c>
      <c r="AD15" s="78">
        <v>5.21</v>
      </c>
      <c r="AE15" s="78">
        <v>36.119999999999997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7" t="s" ph="1">
        <v>178</v>
      </c>
      <c r="D16" s="73" ph="1">
        <f>D15*7.0686*LOOKUP(D17,密度!$A$2:$A$50,密度!$L$2:$L$50)</f>
        <v>24209.7994908</v>
      </c>
      <c r="E16" s="73" ph="1">
        <f>E15*7.0686*LOOKUP(E17,密度!$A$2:$A$50,密度!$L$2:$L$50)</f>
        <v>481.43527740000002</v>
      </c>
      <c r="F16" s="73" ph="1">
        <f>F15*9.0746*LOOKUP(F17,密度!$A$2:$A$50,密度!$L$2:$L$50)</f>
        <v>30034.248993000001</v>
      </c>
      <c r="G16" s="73" ph="1">
        <f>G15*9.0746*LOOKUP(G17,密度!$A$2:$A$50,密度!$B$2:$B$50)</f>
        <v>25406.64220364</v>
      </c>
      <c r="H16" s="73" ph="1">
        <f>H15*9.0746*LOOKUP(H17,密度!$A$2:$A$50,密度!$L$2:$L$50)</f>
        <v>17266.468285000003</v>
      </c>
      <c r="I16" s="73" ph="1">
        <f>I15*9.0746*LOOKUP(I17,密度!$A$2:$A$50,密度!$U$2:$U$50)</f>
        <v>24422.979157599999</v>
      </c>
      <c r="J16" s="73" ph="1">
        <f>J15*9.0746*LOOKUP(J17,密度!$A$2:$A$50,密度!$L$2:$L$50)</f>
        <v>27444.784659200002</v>
      </c>
      <c r="K16" s="73" ph="1">
        <f>K15*9.0746*LOOKUP(K17,密度!$A$2:$A$50,密度!$C$2:$C$50)</f>
        <v>33745.365647899998</v>
      </c>
      <c r="L16" s="73" ph="1">
        <f>L15*9.0746*LOOKUP(L17,密度!$A$2:$A$50,密度!$E$2:$E$50)</f>
        <v>41385.838550399996</v>
      </c>
      <c r="M16" s="73" ph="1">
        <f>M15*9.0746*LOOKUP(M17,密度!$A$2:$A$50,密度!$M$2:$M$50)</f>
        <v>53260.78116138</v>
      </c>
      <c r="N16" s="73" ph="1">
        <f>N15*9.0746*LOOKUP(N17,密度!$A$2:$A$50,密度!$M$2:$M$50)</f>
        <v>9266.1829551999999</v>
      </c>
      <c r="O16" s="73" ph="1">
        <f>O15*9.0746*LOOKUP(O17,密度!$A$2:$A$50,密度!$G$2:$G$50)</f>
        <v>36014.255217340004</v>
      </c>
      <c r="P16" s="73" ph="1">
        <f ca="1">P15*9.0746*LOOKUP(P17,密度!$A$2:$A$51,密度!$Q$2:$Q$50)</f>
        <v>36858.582226933999</v>
      </c>
      <c r="Q16" s="73" ph="1">
        <f>Q15*9.0746*LOOKUP(Q17,密度!$A$2:$A$50,密度!$Q$2:$Q$50)</f>
        <v>0</v>
      </c>
      <c r="R16" s="73" ph="1">
        <f>MAX(R15*9.0746*LOOKUP(R17,密度!$A$2:$A$50,密度!$B$2:$B$50),0)</f>
        <v>13724.45407872</v>
      </c>
      <c r="S16" s="73" ph="1">
        <f>S15*9.0746*LOOKUP(S17,密度!$A$2:$A$50,密度!$Q$2:$Q$50)</f>
        <v>0</v>
      </c>
      <c r="T16" s="73" ph="1">
        <f>T15*9.0746*LOOKUP(T17,密度!$A$2:$A$50,密度!$O$2:$O$50)</f>
        <v>32242.616425200002</v>
      </c>
      <c r="U16" s="73" ph="1">
        <f>U15*9.0746*LOOKUP(U17,密度!$A$2:$A$50,密度!$H$2:$H$50)</f>
        <v>22047.9839202</v>
      </c>
      <c r="V16" s="73" ph="1">
        <f>MAX(5600*LOOKUP(V17,密度!$A$2:$A$50,密度!$Q$2:$Q$50)+V15*9.0476*LOOKUP(V17,密度!$A$2:$A$50,密度!$Q$2:$Q$50),0)</f>
        <v>31803.421911719997</v>
      </c>
      <c r="W16" s="73" ph="1">
        <f>MAX(5600*LOOKUP(W17,密度!$A$2:$A$50,密度!$Q$2:$Q$50)+W15*9.0476*LOOKUP(W17,密度!$A$2:$A$50,密度!$Q$2:$Q$50),0)</f>
        <v>47987.106734463996</v>
      </c>
      <c r="X16" s="73" ph="1">
        <f>MAX(5600*LOOKUP(X17,密度!$A$2:$A$50,密度!$I$2:$I$50)+X15*9.0476*LOOKUP(X17,密度!$A$2:$A$50,密度!$I$2:$I$50),0)</f>
        <v>17755.090258559998</v>
      </c>
      <c r="Y16" s="107" ph="1">
        <v>0</v>
      </c>
      <c r="Z16" s="73" ph="1">
        <f>Z15*9.0746*LOOKUP(Z17,密度!$A$2:$A$50,密度!$D$2:$D$50)</f>
        <v>7711.9308402000006</v>
      </c>
      <c r="AA16" s="73" ph="1">
        <f>AA15*9.0746*LOOKUP(AA17,密度!$A$2:$A$50,密度!$B$2:$B$50)</f>
        <v>17930.601960600001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2312.1554548799995</v>
      </c>
      <c r="AE16" s="73" ph="1">
        <f>AE15*268.68*LOOKUP(AE17,密度!$A$2:$A$50,密度!B2:B50)+IF(AE15&lt;=0,0,1566*LOOKUP(AE17,密度!$A$2:$A$50,密度!B2:B50))</f>
        <v>8786.6545593599985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29</v>
      </c>
      <c r="F17" s="74">
        <v>31</v>
      </c>
      <c r="G17" s="74">
        <v>29</v>
      </c>
      <c r="H17" s="74">
        <v>27</v>
      </c>
      <c r="I17" s="74">
        <v>29</v>
      </c>
      <c r="J17" s="74">
        <v>34</v>
      </c>
      <c r="K17" s="74">
        <v>30</v>
      </c>
      <c r="L17" s="74">
        <v>30</v>
      </c>
      <c r="M17" s="74">
        <v>30</v>
      </c>
      <c r="N17" s="74">
        <v>28</v>
      </c>
      <c r="O17" s="74">
        <v>30</v>
      </c>
      <c r="P17" s="74">
        <v>29</v>
      </c>
      <c r="Q17" s="74">
        <v>27</v>
      </c>
      <c r="R17" s="74">
        <v>31</v>
      </c>
      <c r="S17" s="74">
        <v>28</v>
      </c>
      <c r="T17" s="74">
        <v>29</v>
      </c>
      <c r="U17" s="74">
        <v>29</v>
      </c>
      <c r="V17" s="74">
        <v>32</v>
      </c>
      <c r="W17" s="74">
        <v>31</v>
      </c>
      <c r="X17" s="74">
        <v>31</v>
      </c>
      <c r="Y17" s="108">
        <v>31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3673</v>
      </c>
      <c r="E18" s="71">
        <v>72</v>
      </c>
      <c r="F18" s="71">
        <v>4590</v>
      </c>
      <c r="G18" s="71">
        <v>3720</v>
      </c>
      <c r="H18" s="71">
        <v>2037</v>
      </c>
      <c r="I18" s="71">
        <v>2637</v>
      </c>
      <c r="J18" s="71">
        <v>3690</v>
      </c>
      <c r="K18" s="71">
        <v>3367</v>
      </c>
      <c r="L18" s="71">
        <v>5880</v>
      </c>
      <c r="M18" s="71">
        <v>4859</v>
      </c>
      <c r="N18" s="71">
        <v>1172</v>
      </c>
      <c r="O18" s="71">
        <v>4160</v>
      </c>
      <c r="P18" s="71">
        <v>5424</v>
      </c>
      <c r="Q18" s="71">
        <v>0</v>
      </c>
      <c r="R18" s="71">
        <v>1953</v>
      </c>
      <c r="S18" s="71">
        <v>0</v>
      </c>
      <c r="T18" s="71">
        <v>3838</v>
      </c>
      <c r="U18" s="71">
        <v>2668</v>
      </c>
      <c r="V18" s="71">
        <v>3588</v>
      </c>
      <c r="W18" s="71">
        <v>5008</v>
      </c>
      <c r="X18" s="71">
        <v>1276</v>
      </c>
      <c r="Y18" s="109">
        <v>-9909</v>
      </c>
      <c r="Z18" s="71">
        <v>699</v>
      </c>
      <c r="AA18" s="71">
        <v>2545</v>
      </c>
      <c r="AB18" s="71">
        <v>0</v>
      </c>
      <c r="AC18" s="71">
        <v>0</v>
      </c>
      <c r="AD18" s="71">
        <v>8.91</v>
      </c>
      <c r="AE18" s="71">
        <v>84.61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7" t="s" ph="1">
        <v>178</v>
      </c>
      <c r="D19" s="73" ph="1">
        <f>D18*7.0686*LOOKUP(D20,密度!$A$2:$A$50,密度!$L$2:$L$50)</f>
        <v>24041.708182800001</v>
      </c>
      <c r="E19" s="73" ph="1">
        <f>E18*7.0686*LOOKUP(E20,密度!$A$2:$A$50,密度!$L$2:$L$50)</f>
        <v>471.27769920000003</v>
      </c>
      <c r="F19" s="73" ph="1">
        <f>F18*9.0746*LOOKUP(F20,密度!$A$2:$A$50,密度!$L$2:$L$50)</f>
        <v>38486.830536000009</v>
      </c>
      <c r="G19" s="73" ph="1">
        <f>G18*9.0746*LOOKUP(G20,密度!$A$2:$A$50,密度!$B$2:$B$50)</f>
        <v>26172.199053600001</v>
      </c>
      <c r="H19" s="73" ph="1">
        <f>H18*9.0746*LOOKUP(H20,密度!$A$2:$A$50,密度!$L$2:$L$50)</f>
        <v>17209.497946200001</v>
      </c>
      <c r="I19" s="73" ph="1">
        <f>I18*9.0746*LOOKUP(I20,密度!$A$2:$A$50,密度!$U$2:$U$50)</f>
        <v>24231.234674519997</v>
      </c>
      <c r="J19" s="73" ph="1">
        <f>J18*9.0746*LOOKUP(J20,密度!$A$2:$A$50,密度!$L$2:$L$50)</f>
        <v>30873.422628</v>
      </c>
      <c r="K19" s="73" ph="1">
        <f>K18*9.0746*LOOKUP(K20,密度!$A$2:$A$50,密度!$C$2:$C$50)</f>
        <v>33637.094780380001</v>
      </c>
      <c r="L19" s="73" ph="1">
        <f>L18*9.0746*LOOKUP(L20,密度!$A$2:$A$50,密度!$E$2:$E$50)</f>
        <v>41249.436422879997</v>
      </c>
      <c r="M19" s="73" ph="1">
        <f>M18*9.0746*LOOKUP(M20,密度!$A$2:$A$50,密度!$M$2:$M$50)</f>
        <v>38039.446403780006</v>
      </c>
      <c r="N19" s="73" ph="1">
        <f>N18*9.0746*LOOKUP(N20,密度!$A$2:$A$50,密度!$M$2:$M$50)</f>
        <v>9229.6399039840016</v>
      </c>
      <c r="O19" s="73" ph="1">
        <f>O18*9.0746*LOOKUP(O20,密度!$A$2:$A$50,密度!$G$2:$G$50)</f>
        <v>35881.694368000004</v>
      </c>
      <c r="P19" s="73" ph="1">
        <f ca="1">P18*9.0746*LOOKUP(P20,密度!$A$2:$A$51,密度!$Q$2:$Q$50)</f>
        <v>46232.938134720003</v>
      </c>
      <c r="Q19" s="73" ph="1">
        <f>Q18*9.0746*LOOKUP(Q20,密度!$A$2:$A$50,密度!$Q$2:$Q$50)</f>
        <v>0</v>
      </c>
      <c r="R19" s="73" ph="1">
        <f>MAX(R18*9.0746*LOOKUP(R20,密度!$A$2:$A$50,密度!$B$2:$B$50),0)</f>
        <v>13678.375074840002</v>
      </c>
      <c r="S19" s="73" ph="1">
        <f>S18*9.0746*LOOKUP(S20,密度!$A$2:$A$50,密度!$Q$2:$Q$50)</f>
        <v>0</v>
      </c>
      <c r="T19" s="73" ph="1">
        <f>T18*9.0746*LOOKUP(T20,密度!$A$2:$A$50,密度!$O$2:$O$50)</f>
        <v>32083.843593760001</v>
      </c>
      <c r="U19" s="73" ph="1">
        <f>U18*9.0746*LOOKUP(U20,密度!$A$2:$A$50,密度!$H$2:$H$50)</f>
        <v>21938.585261392</v>
      </c>
      <c r="V19" s="73" ph="1">
        <f>MAX(5600*LOOKUP(V20,密度!$A$2:$A$50,密度!$Q$2:$Q$50)+V18*9.0476*LOOKUP(V20,密度!$A$2:$A$50,密度!$Q$2:$Q$50),0)</f>
        <v>35826.599957999999</v>
      </c>
      <c r="W19" s="73" ph="1">
        <f>MAX(5600*LOOKUP(W20,密度!$A$2:$A$50,密度!$Q$2:$Q$50)+W18*9.0476*LOOKUP(W20,密度!$A$2:$A$50,密度!$Q$2:$Q$50),0)</f>
        <v>47885.795076672002</v>
      </c>
      <c r="X19" s="73" ph="1">
        <f>MAX(5600*LOOKUP(X20,密度!$A$2:$A$50,密度!$I$2:$I$50)+X18*9.0476*LOOKUP(X20,密度!$A$2:$A$50,密度!$I$2:$I$50),0)</f>
        <v>17696.798150719998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6449.0759281800001</v>
      </c>
      <c r="AA19" s="73" ph="1">
        <f>AA18*9.0746*LOOKUP(AA20,密度!$A$2:$A$50,密度!$B$2:$B$50)</f>
        <v>17783.03989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3076.8724475999998</v>
      </c>
      <c r="AE19" s="73" ph="1">
        <f>AE18*268.68*LOOKUP(AE20,密度!$A$2:$A$50,密度!B5:B53)+IF(AE18&lt;=0,0,1566*LOOKUP(AE20,密度!$A$2:$A$50,密度!B5:B53))</f>
        <v>18880.334499600001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36</v>
      </c>
      <c r="E20" s="81">
        <v>36</v>
      </c>
      <c r="F20" s="81">
        <v>38</v>
      </c>
      <c r="G20" s="81">
        <v>30</v>
      </c>
      <c r="H20" s="81">
        <v>31</v>
      </c>
      <c r="I20" s="81">
        <v>38</v>
      </c>
      <c r="J20" s="81">
        <v>40</v>
      </c>
      <c r="K20" s="81">
        <v>34</v>
      </c>
      <c r="L20" s="81">
        <v>34</v>
      </c>
      <c r="M20" s="81">
        <v>37</v>
      </c>
      <c r="N20" s="81">
        <v>32</v>
      </c>
      <c r="O20" s="81">
        <v>34</v>
      </c>
      <c r="P20" s="81">
        <v>36</v>
      </c>
      <c r="Q20" s="81">
        <v>37</v>
      </c>
      <c r="R20" s="81">
        <v>34</v>
      </c>
      <c r="S20" s="81">
        <v>35</v>
      </c>
      <c r="T20" s="81">
        <v>33</v>
      </c>
      <c r="U20" s="81">
        <v>34</v>
      </c>
      <c r="V20" s="81">
        <v>33</v>
      </c>
      <c r="W20" s="81">
        <v>34</v>
      </c>
      <c r="X20" s="81">
        <v>34</v>
      </c>
      <c r="Y20" s="110">
        <v>34</v>
      </c>
      <c r="Z20" s="81">
        <v>36</v>
      </c>
      <c r="AA20" s="81">
        <v>36</v>
      </c>
      <c r="AB20" s="81">
        <v>36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7" t="s" ph="1">
        <v>177</v>
      </c>
      <c r="D24" s="71">
        <v>45.59</v>
      </c>
      <c r="E24" s="71">
        <v>5.82</v>
      </c>
      <c r="F24" s="71">
        <v>1718</v>
      </c>
      <c r="G24" s="71">
        <v>2396</v>
      </c>
      <c r="H24" s="71">
        <v>2705</v>
      </c>
      <c r="I24" s="71">
        <v>0</v>
      </c>
      <c r="J24" s="71">
        <v>3900</v>
      </c>
      <c r="K24" s="71">
        <v>2459</v>
      </c>
      <c r="L24" s="71">
        <v>302</v>
      </c>
      <c r="M24" s="71">
        <v>792</v>
      </c>
      <c r="N24" s="71">
        <v>2201</v>
      </c>
      <c r="O24" s="71">
        <v>343</v>
      </c>
      <c r="P24" s="71">
        <v>360</v>
      </c>
      <c r="Q24" s="90">
        <v>3795</v>
      </c>
      <c r="R24" s="71">
        <v>4454</v>
      </c>
      <c r="S24" s="71">
        <v>3649</v>
      </c>
      <c r="T24" s="71">
        <v>388</v>
      </c>
      <c r="U24" s="71">
        <v>4883</v>
      </c>
      <c r="V24" s="71">
        <v>885</v>
      </c>
      <c r="W24" s="71">
        <v>410</v>
      </c>
      <c r="X24" s="71">
        <v>4664</v>
      </c>
      <c r="Y24" s="71">
        <v>950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13079.327844888001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18990.67448632</v>
      </c>
      <c r="G25" s="91" ph="1">
        <f>G24*18.322*LOOKUP(G26,密度!$A$2:$A$50,密度!$B$2:$B$50)</f>
        <v>34035.291653599998</v>
      </c>
      <c r="H25" s="91" ph="1">
        <f>H24*18.322*LOOKUP(H26,密度!$A$2:$A$50,密度!$B$2:$B$50)</f>
        <v>38469.255961999996</v>
      </c>
      <c r="I25" s="91" ph="1">
        <f>I24*18.322*LOOKUP(I26,密度!$A$2:$A$50,密度!$Q$2:$Q$50)</f>
        <v>0</v>
      </c>
      <c r="J25" s="91" ph="1">
        <f>J24*18.322*LOOKUP(J26,密度!$A$2:$A$50,密度!$Q$2:$Q$50)</f>
        <v>67548.596856000004</v>
      </c>
      <c r="K25" s="91" ph="1">
        <f>K24*18.322*LOOKUP(K26,密度!$A$2:$A$50,密度!$Q$2:$Q$50)</f>
        <v>42590.256325359995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13717.561207680001</v>
      </c>
      <c r="N25" s="91" ph="1">
        <f>N24*18.322*LOOKUP(N26,密度!$A$2:$A$50,密度!$Q$2:$Q$50)</f>
        <v>38093.428135640002</v>
      </c>
      <c r="O25" s="91" ph="1">
        <f>O24*18.322*LOOKUP(O26,密度!$A$2:$A$50,密度!$C$2:$C$50)</f>
        <v>6959.3955003999999</v>
      </c>
      <c r="P25" s="91" ph="1">
        <f>P24*11.702*LOOKUP(P26,密度!$A$2:$A$50,密度!$B$2:$B$50)</f>
        <v>3273.2834400000002</v>
      </c>
      <c r="Q25" s="92" ph="1">
        <f>Q24*18.322*LOOKUP(Q26,密度!$A$2:$A$50,密度!$B$2:$B$50)</f>
        <v>53970.730637999994</v>
      </c>
      <c r="R25" s="91" ph="1">
        <f>R24*35.891*LOOKUP(R26,密度!$A$2:$A$50,密度!$C$2:$C$50)</f>
        <v>177027.31840359999</v>
      </c>
      <c r="S25" s="91" ph="1">
        <f>S24*35.891*LOOKUP(S26,密度!$A$2:$A$50,密度!$B$2:$B$50)</f>
        <v>101760.783243</v>
      </c>
      <c r="T25" s="91" ph="1">
        <f>T24*35.891*LOOKUP(T26,密度!$A$2:$A$50,密度!$Q$2:$Q$50)</f>
        <v>13164.25028656</v>
      </c>
      <c r="U25" s="91" ph="1">
        <f>U24*35.891</f>
        <v>175255.753</v>
      </c>
      <c r="V25" s="91" ph="1">
        <f>V24*47.051*LOOKUP(V26,密度!$A$2:$A$50,密度!$B$2:$B$50)</f>
        <v>32354.384895000003</v>
      </c>
      <c r="W25" s="91" ph="1">
        <f>W24*47.051*LOOKUP(W26,密度!$A$2:$A$50,密度!$B$2:$B$50)</f>
        <v>14973.604342000001</v>
      </c>
      <c r="X25" s="91" ph="1">
        <f>X24*47.051*LOOKUP(X26,密度!$A$2:$A$61,密度!$I$2:$I$61)</f>
        <v>227016.746308</v>
      </c>
      <c r="Y25" s="91" ph="1">
        <f>Y24*47.051*LOOKUP(Y26,密度!$A$2:$A$50,密度!$L$2:$L$50)</f>
        <v>41703.65385000001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30</v>
      </c>
      <c r="H26" s="74">
        <v>29</v>
      </c>
      <c r="I26" s="74">
        <v>28</v>
      </c>
      <c r="J26" s="74">
        <v>27</v>
      </c>
      <c r="K26" s="74">
        <v>27</v>
      </c>
      <c r="L26" s="74">
        <v>28</v>
      </c>
      <c r="M26" s="74">
        <v>27</v>
      </c>
      <c r="N26" s="74">
        <v>28</v>
      </c>
      <c r="O26" s="74">
        <v>27</v>
      </c>
      <c r="P26" s="74">
        <v>28</v>
      </c>
      <c r="Q26" s="93">
        <v>29</v>
      </c>
      <c r="R26" s="74">
        <v>27</v>
      </c>
      <c r="S26" s="74">
        <v>28</v>
      </c>
      <c r="T26" s="74">
        <v>27</v>
      </c>
      <c r="U26" s="74">
        <v>27</v>
      </c>
      <c r="V26" s="74">
        <v>28</v>
      </c>
      <c r="W26" s="74">
        <v>29</v>
      </c>
      <c r="X26" s="74">
        <v>32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7" t="s" ph="1">
        <v>180</v>
      </c>
      <c r="D27" s="71">
        <v>22.21</v>
      </c>
      <c r="E27" s="71">
        <v>5.81</v>
      </c>
      <c r="F27" s="71">
        <v>405</v>
      </c>
      <c r="G27" s="71">
        <v>1813</v>
      </c>
      <c r="H27" s="71">
        <v>2226</v>
      </c>
      <c r="I27" s="71">
        <v>0</v>
      </c>
      <c r="J27" s="71">
        <v>3896</v>
      </c>
      <c r="K27" s="71">
        <v>2457</v>
      </c>
      <c r="L27" s="71">
        <v>295</v>
      </c>
      <c r="M27" s="71">
        <v>759</v>
      </c>
      <c r="N27" s="71">
        <v>1631</v>
      </c>
      <c r="O27" s="71">
        <v>338</v>
      </c>
      <c r="P27" s="71">
        <v>356</v>
      </c>
      <c r="Q27" s="90">
        <v>4241</v>
      </c>
      <c r="R27" s="71">
        <v>3918</v>
      </c>
      <c r="S27" s="71">
        <v>3645</v>
      </c>
      <c r="T27" s="71">
        <v>386</v>
      </c>
      <c r="U27" s="71">
        <v>4845</v>
      </c>
      <c r="V27" s="71">
        <v>880</v>
      </c>
      <c r="W27" s="71">
        <v>407</v>
      </c>
      <c r="X27" s="71">
        <v>4188</v>
      </c>
      <c r="Y27" s="71">
        <v>1386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7" t="s" ph="1">
        <v>178</v>
      </c>
      <c r="D28" s="91" ph="1">
        <f>D27*268.68*LOOKUP(D29,密度!$A$2:$A$50,密度!$Q$2:$Q$50)+IF(D27&lt;=0,0,1566*LOOKUP(D29,密度!$A$2:$A$50,密度!$Q$2:$Q$50))</f>
        <v>7132.1548320720003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4467.1788198000004</v>
      </c>
      <c r="G28" s="91" ph="1">
        <f>G27*18.322*LOOKUP(G29,密度!$A$2:$A$50,密度!$B$2:$B$50)</f>
        <v>25667.383242200001</v>
      </c>
      <c r="H28" s="91" ph="1">
        <f>H27*18.322*LOOKUP(H29,密度!$A$2:$A$50,密度!$B$2:$B$50)</f>
        <v>31547.021141999998</v>
      </c>
      <c r="I28" s="91" ph="1">
        <f>I27*18.322*LOOKUP(I29,密度!$A$2:$A$50,密度!$Q$2:$Q$50)</f>
        <v>0</v>
      </c>
      <c r="J28" s="91" ph="1">
        <f>J27*18.322*LOOKUP(J29,密度!$A$2:$A$50,密度!$Q$2:$Q$50)</f>
        <v>67235.188052800004</v>
      </c>
      <c r="K28" s="91" ph="1">
        <f>K27*18.322*LOOKUP(K29,密度!$A$2:$A$50,密度!$Q$2:$Q$50)</f>
        <v>42372.3962025</v>
      </c>
      <c r="L28" s="91" ph="1">
        <f>L27*18.322*LOOKUP(L29,密度!$A$2:$A$50,密度!$Q$2:$Q$50)</f>
        <v>5083.8795441000002</v>
      </c>
      <c r="M28" s="91" ph="1">
        <f>M27*18.322*LOOKUP(M29,密度!$A$2:$A$50,密度!$Q$2:$Q$50)</f>
        <v>13089.397117500001</v>
      </c>
      <c r="N28" s="91" ph="1">
        <f>N27*18.322*LOOKUP(N29,密度!$A$2:$A$50,密度!$Q$2:$Q$50)</f>
        <v>28146.969125799995</v>
      </c>
      <c r="O28" s="91" ph="1">
        <f>O27*18.322*LOOKUP(O29,密度!$A$2:$A$50,密度!$C$2:$C$50)</f>
        <v>6837.5102275999998</v>
      </c>
      <c r="P28" s="91" ph="1">
        <f>P27*11.702*LOOKUP(P29,密度!$A$2:$A$50,密度!$B$2:$B$50)</f>
        <v>3222.3329320000003</v>
      </c>
      <c r="Q28" s="92" ph="1">
        <f>Q27*18.322*LOOKUP(Q29,密度!$A$2:$A$50,密度!$B$2:$B$50)</f>
        <v>60103.736146999996</v>
      </c>
      <c r="R28" s="91" ph="1">
        <f>R27*35.891*LOOKUP(R29,密度!$A$2:$A$50,密度!$C$2:$C$50)</f>
        <v>154964.27367600001</v>
      </c>
      <c r="S28" s="91" ph="1">
        <f>S27*35.891*LOOKUP(S29,密度!$A$2:$A$50,密度!$B$2:$B$50)</f>
        <v>101191.35458249999</v>
      </c>
      <c r="T28" s="91" ph="1">
        <f>T27*35.891*LOOKUP(T29,密度!$A$2:$A$50,密度!$Q$2:$Q$50)</f>
        <v>13040.007847499999</v>
      </c>
      <c r="U28" s="91" ph="1">
        <f>U27*35.891</f>
        <v>173891.89499999999</v>
      </c>
      <c r="V28" s="91" ph="1">
        <f>V27*47.051*LOOKUP(V29,密度!$A$2:$A$50,密度!$B$2:$B$50)</f>
        <v>31993.550776000007</v>
      </c>
      <c r="W28" s="91" ph="1">
        <f>W27*47.051*LOOKUP(W29,密度!$A$2:$A$50,密度!$B$2:$B$50)</f>
        <v>14812.3370395</v>
      </c>
      <c r="X28" s="91" ph="1">
        <f>X27*47.051*LOOKUP(X29,密度!$A$2:$A$61,密度!$I$2:$I$61)</f>
        <v>203177.83018680001</v>
      </c>
      <c r="Y28" s="91" ph="1">
        <f>Y27*47.051*LOOKUP(Y29,密度!$A$2:$A$50,密度!$L$2:$L$50)</f>
        <v>60582.585294000004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7" t="s" ph="1">
        <v>179</v>
      </c>
      <c r="D29" s="74">
        <v>25</v>
      </c>
      <c r="E29" s="74">
        <v>25</v>
      </c>
      <c r="F29" s="74">
        <v>31</v>
      </c>
      <c r="G29" s="74">
        <v>33</v>
      </c>
      <c r="H29" s="74">
        <v>32</v>
      </c>
      <c r="I29" s="74">
        <v>33</v>
      </c>
      <c r="J29" s="74">
        <v>32</v>
      </c>
      <c r="K29" s="74">
        <v>33</v>
      </c>
      <c r="L29" s="74">
        <v>34</v>
      </c>
      <c r="M29" s="74">
        <v>33</v>
      </c>
      <c r="N29" s="74">
        <v>32</v>
      </c>
      <c r="O29" s="74">
        <v>31</v>
      </c>
      <c r="P29" s="74">
        <v>32</v>
      </c>
      <c r="Q29" s="93">
        <v>32</v>
      </c>
      <c r="R29" s="74">
        <v>33</v>
      </c>
      <c r="S29" s="74">
        <v>32</v>
      </c>
      <c r="T29" s="74">
        <v>33</v>
      </c>
      <c r="U29" s="74">
        <v>32</v>
      </c>
      <c r="V29" s="74">
        <v>33</v>
      </c>
      <c r="W29" s="74">
        <v>32</v>
      </c>
      <c r="X29" s="74">
        <v>35</v>
      </c>
      <c r="Y29" s="74">
        <v>33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46506.32682858</v>
      </c>
      <c r="E33" s="190" ph="1">
        <f>M10+I10</f>
        <v>180337.13467540004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1522252632456786910111213141516171819202123456789101112131415161718192022232424356789101112131415161718192021222345678910111213141516171819202345678910111213149101516171819222123234567891012131415161711181920212224252345678910111213126[[#This Row],[F25]]</f>
        <v>3880</v>
      </c>
      <c r="G33" s="216" ph="1">
        <f>N19</f>
        <v>9229.6399039840016</v>
      </c>
      <c r="H33" s="190" ph="1">
        <f>M19</f>
        <v>38039.446403780006</v>
      </c>
      <c r="I33" s="194" ph="1">
        <v>0</v>
      </c>
      <c r="J33" s="198" ph="1">
        <f>F10+O28</f>
        <v>220685.22099560002</v>
      </c>
      <c r="K33" s="190" ph="1">
        <f>O10+K10+E28+R28</f>
        <v>165576.84133972001</v>
      </c>
      <c r="L33" s="200" ph="1">
        <f>K19</f>
        <v>33637.094780380001</v>
      </c>
      <c r="M33" s="198" ph="1">
        <f>G10+H10+W28+S28+V28+E10+R19+P28+Q28</f>
        <v>759299.09190884011</v>
      </c>
      <c r="N33" s="190" ph="1">
        <f>L10+P10++G28+H28+AD19+AE19</f>
        <v>174740.57369240001</v>
      </c>
      <c r="O33" s="194" ph="1">
        <f>G19</f>
        <v>26172.199053600001</v>
      </c>
      <c r="P33" s="198" ph="1">
        <f>L19</f>
        <v>41249.436422879997</v>
      </c>
      <c r="Q33" s="190" ph="1">
        <f>J10+N10</f>
        <v>169923.69744058</v>
      </c>
      <c r="R33" s="194" ph="1">
        <f>BE23</f>
        <v>890</v>
      </c>
      <c r="S33" s="198" ph="1">
        <f>X28</f>
        <v>203177.83018680001</v>
      </c>
      <c r="T33" s="190" ph="1">
        <f>X19</f>
        <v>17696.798150719998</v>
      </c>
      <c r="U33" s="179" ph="1">
        <f>BE21</f>
        <v>730</v>
      </c>
      <c r="V33" s="192" ph="1">
        <f ca="1">P19+Q19+S19+M28+N28+J28+D10+AC10+D19+E19+H19+J19+O19+V19+W19+K28+L28</f>
        <v>582442.49847055203</v>
      </c>
      <c r="W33" s="192" ph="1">
        <f>D28+F28+T28+I28</f>
        <v>24639.341499372</v>
      </c>
      <c r="X33" s="194" ph="1">
        <f>BE29+BE31</f>
        <v>10200</v>
      </c>
      <c r="Y33" s="196" ph="1">
        <f>+Q10+R10+S10+T10+U10+V10+W10+X10+Y10</f>
        <v>357028.5465054001</v>
      </c>
      <c r="Z33" s="177" ph="1">
        <f>T19+U19+Y28+Z10</f>
        <v>226640.64431715201</v>
      </c>
      <c r="AA33" s="179" ph="1">
        <f>BE19</f>
        <v>1440</v>
      </c>
      <c r="AB33" s="181" ph="1">
        <f>I19</f>
        <v>24231.234674519997</v>
      </c>
      <c r="AC33" s="183" ph="1">
        <f>AD10+AB19</f>
        <v>106788.15443520001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9" t="s" ph="1">
        <v>185</v>
      </c>
      <c r="AA36" s="159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24" priority="101">
      <formula>ABS(D$7-D$10)&gt;=1000</formula>
    </cfRule>
  </conditionalFormatting>
  <conditionalFormatting sqref="E4 E6:E11">
    <cfRule type="expression" dxfId="2623" priority="100">
      <formula>ABS(E$7-E$10)&gt;=1000</formula>
    </cfRule>
  </conditionalFormatting>
  <conditionalFormatting sqref="F4:F11">
    <cfRule type="expression" dxfId="2622" priority="99">
      <formula>ABS(F$7-F$10)&gt;=1000</formula>
    </cfRule>
  </conditionalFormatting>
  <conditionalFormatting sqref="G4:G11">
    <cfRule type="expression" dxfId="2621" priority="98">
      <formula>ABS(G$7-G$10)&gt;=1000</formula>
    </cfRule>
  </conditionalFormatting>
  <conditionalFormatting sqref="H4:H11">
    <cfRule type="expression" dxfId="2620" priority="97">
      <formula>ABS(H$7-H$10)&gt;=1000</formula>
    </cfRule>
  </conditionalFormatting>
  <conditionalFormatting sqref="I4:I11">
    <cfRule type="expression" dxfId="2619" priority="96">
      <formula>ABS(I$7-I$10)&gt;=1000</formula>
    </cfRule>
  </conditionalFormatting>
  <conditionalFormatting sqref="J4:J11">
    <cfRule type="expression" dxfId="2618" priority="95">
      <formula>ABS(J$7-J$10)&gt;=1000</formula>
    </cfRule>
  </conditionalFormatting>
  <conditionalFormatting sqref="K4:K11">
    <cfRule type="expression" dxfId="2617" priority="94">
      <formula>ABS(K$7-K$10)&gt;=1000</formula>
    </cfRule>
  </conditionalFormatting>
  <conditionalFormatting sqref="L4:L11">
    <cfRule type="expression" dxfId="2616" priority="93">
      <formula>ABS(L$7-L$10)&gt;=1000</formula>
    </cfRule>
  </conditionalFormatting>
  <conditionalFormatting sqref="M4 M6:M11">
    <cfRule type="expression" dxfId="2615" priority="92">
      <formula>ABS(M$7-M$10)&gt;=1000</formula>
    </cfRule>
  </conditionalFormatting>
  <conditionalFormatting sqref="N4 N6:N11">
    <cfRule type="expression" dxfId="2614" priority="91">
      <formula>ABS(N$7-N$10)&gt;=1000</formula>
    </cfRule>
  </conditionalFormatting>
  <conditionalFormatting sqref="O4 O6:O11">
    <cfRule type="expression" dxfId="2613" priority="90">
      <formula>ABS(O$7-O$10)&gt;=1000</formula>
    </cfRule>
  </conditionalFormatting>
  <conditionalFormatting sqref="P4 P6:P11">
    <cfRule type="expression" dxfId="2612" priority="89">
      <formula>ABS(P$7-P$10)&gt;=1000</formula>
    </cfRule>
  </conditionalFormatting>
  <conditionalFormatting sqref="Q4:Q11">
    <cfRule type="expression" dxfId="2611" priority="88">
      <formula>ABS(Q$7-Q$10)&gt;=1000</formula>
    </cfRule>
  </conditionalFormatting>
  <conditionalFormatting sqref="R4:R11">
    <cfRule type="expression" dxfId="2610" priority="87">
      <formula>ABS(R$7-R$10)&gt;=1000</formula>
    </cfRule>
  </conditionalFormatting>
  <conditionalFormatting sqref="S4:S11">
    <cfRule type="expression" dxfId="2609" priority="86">
      <formula>ABS(S$7-S$10)&gt;=1000</formula>
    </cfRule>
  </conditionalFormatting>
  <conditionalFormatting sqref="T4:T9 T11">
    <cfRule type="expression" dxfId="2608" priority="85">
      <formula>ABS(T$7-T$10)&gt;=1000</formula>
    </cfRule>
  </conditionalFormatting>
  <conditionalFormatting sqref="U4:U9 U11">
    <cfRule type="expression" dxfId="2607" priority="84">
      <formula>ABS(U$7-U$10)&gt;=1000</formula>
    </cfRule>
  </conditionalFormatting>
  <conditionalFormatting sqref="V4:V9 V11">
    <cfRule type="expression" dxfId="2606" priority="83">
      <formula>ABS(V$7-V$10)&gt;=1000</formula>
    </cfRule>
  </conditionalFormatting>
  <conditionalFormatting sqref="W4:W9 W11">
    <cfRule type="expression" dxfId="2605" priority="82">
      <formula>ABS(W$7-W$10)&gt;=1000</formula>
    </cfRule>
  </conditionalFormatting>
  <conditionalFormatting sqref="X4:X9 X11">
    <cfRule type="expression" dxfId="2604" priority="81">
      <formula>ABS(X$7-X$10)&gt;=1000</formula>
    </cfRule>
  </conditionalFormatting>
  <conditionalFormatting sqref="Y4:Y9 Y11">
    <cfRule type="expression" dxfId="2603" priority="80">
      <formula>ABS(Y$7-Y$10)&gt;=1000</formula>
    </cfRule>
  </conditionalFormatting>
  <conditionalFormatting sqref="Z4:Z11">
    <cfRule type="expression" dxfId="2602" priority="79">
      <formula>ABS(Z$7-Z$10)&gt;=1000</formula>
    </cfRule>
  </conditionalFormatting>
  <conditionalFormatting sqref="AA4:AA11">
    <cfRule type="expression" dxfId="2601" priority="78">
      <formula>ABS(AA$7-AA$10)&gt;=1000</formula>
    </cfRule>
  </conditionalFormatting>
  <conditionalFormatting sqref="AB4:AB11">
    <cfRule type="expression" dxfId="2600" priority="77">
      <formula>ABS(AB$7-AB$10)&gt;=1000</formula>
    </cfRule>
  </conditionalFormatting>
  <conditionalFormatting sqref="AC4 AC6:AC11">
    <cfRule type="expression" dxfId="2599" priority="76">
      <formula>ABS(AC$7-AC$10)&gt;=1000</formula>
    </cfRule>
  </conditionalFormatting>
  <conditionalFormatting sqref="AD4 AD6:AD11">
    <cfRule type="expression" dxfId="2598" priority="75">
      <formula>ABS(AD$7-AD$10)&gt;=1000</formula>
    </cfRule>
  </conditionalFormatting>
  <conditionalFormatting sqref="AE4 AE6:AE11">
    <cfRule type="expression" dxfId="2597" priority="74">
      <formula>ABS(AE$7-AE$10)&gt;=1000</formula>
    </cfRule>
  </conditionalFormatting>
  <conditionalFormatting sqref="D13:D20">
    <cfRule type="expression" dxfId="2596" priority="73">
      <formula>ABS(D$16-D$19)&gt;=1000</formula>
    </cfRule>
  </conditionalFormatting>
  <conditionalFormatting sqref="E13:E20">
    <cfRule type="expression" dxfId="2595" priority="72">
      <formula>ABS(E$16-E$19)&gt;=1000</formula>
    </cfRule>
  </conditionalFormatting>
  <conditionalFormatting sqref="F13 F15:F20">
    <cfRule type="expression" dxfId="2594" priority="71">
      <formula>ABS(F$16-F$19)&gt;=1000</formula>
    </cfRule>
  </conditionalFormatting>
  <conditionalFormatting sqref="G13:G20">
    <cfRule type="expression" dxfId="2593" priority="70">
      <formula>ABS(G$16-G$19)&gt;=1000</formula>
    </cfRule>
  </conditionalFormatting>
  <conditionalFormatting sqref="H13 H15:H20">
    <cfRule type="expression" dxfId="2592" priority="69">
      <formula>ABS(H$16-H$19)&gt;=1000</formula>
    </cfRule>
  </conditionalFormatting>
  <conditionalFormatting sqref="I13:I20">
    <cfRule type="expression" dxfId="2591" priority="68">
      <formula>ABS(I$16-I$19)&gt;=1000</formula>
    </cfRule>
  </conditionalFormatting>
  <conditionalFormatting sqref="J13:J20">
    <cfRule type="expression" dxfId="2590" priority="67">
      <formula>ABS(J$16-J$19)&gt;=1000</formula>
    </cfRule>
  </conditionalFormatting>
  <conditionalFormatting sqref="L13:L20">
    <cfRule type="expression" dxfId="2589" priority="66">
      <formula>ABS(L$16-L$19)&gt;=1000</formula>
    </cfRule>
  </conditionalFormatting>
  <conditionalFormatting sqref="M13 M15 M17:M18 M20">
    <cfRule type="expression" dxfId="2588" priority="65">
      <formula>ABS(M$16-M$19)&gt;=1000</formula>
    </cfRule>
  </conditionalFormatting>
  <conditionalFormatting sqref="N13:N20">
    <cfRule type="expression" dxfId="2587" priority="64">
      <formula>ABS(N$16-N$19)&gt;=1000</formula>
    </cfRule>
  </conditionalFormatting>
  <conditionalFormatting sqref="O13:O20">
    <cfRule type="expression" dxfId="2586" priority="63">
      <formula>ABS(O$16-O$19)&gt;=1000</formula>
    </cfRule>
  </conditionalFormatting>
  <conditionalFormatting sqref="P13:P20">
    <cfRule type="expression" dxfId="2585" priority="62">
      <formula>ABS(P$16-P$19)&gt;=1000</formula>
    </cfRule>
  </conditionalFormatting>
  <conditionalFormatting sqref="Q13 Q15:Q20">
    <cfRule type="expression" dxfId="2584" priority="61">
      <formula>ABS(Q$16-Q$19)&gt;=1000</formula>
    </cfRule>
  </conditionalFormatting>
  <conditionalFormatting sqref="R13:R20">
    <cfRule type="expression" dxfId="2583" priority="60">
      <formula>ABS(R$16-R$19)&gt;=1000</formula>
    </cfRule>
  </conditionalFormatting>
  <conditionalFormatting sqref="S13:S20">
    <cfRule type="expression" dxfId="2582" priority="59">
      <formula>ABS(S$16-S$19)&gt;=1000</formula>
    </cfRule>
  </conditionalFormatting>
  <conditionalFormatting sqref="T13:T15 T17:T20">
    <cfRule type="expression" dxfId="2581" priority="58">
      <formula>ABS(T$16-T$19)&gt;=1000</formula>
    </cfRule>
  </conditionalFormatting>
  <conditionalFormatting sqref="U13:U20">
    <cfRule type="expression" dxfId="2580" priority="57">
      <formula>ABS(U$16-U$19)&gt;=1000</formula>
    </cfRule>
  </conditionalFormatting>
  <conditionalFormatting sqref="V13:V20">
    <cfRule type="expression" dxfId="2579" priority="56">
      <formula>ABS(V$16-V$19)&gt;=1000</formula>
    </cfRule>
  </conditionalFormatting>
  <conditionalFormatting sqref="W13 W20 W15:W18">
    <cfRule type="expression" dxfId="2578" priority="55">
      <formula>ABS(W$16-W$19)&gt;=1000</formula>
    </cfRule>
  </conditionalFormatting>
  <conditionalFormatting sqref="X13 X15:X20 Y19">
    <cfRule type="expression" dxfId="2577" priority="54">
      <formula>ABS(X$16-X$19)&gt;=1000</formula>
    </cfRule>
  </conditionalFormatting>
  <conditionalFormatting sqref="Y13 Y15:Y18 Y20">
    <cfRule type="expression" dxfId="2576" priority="53">
      <formula>ABS(Y$16-Y$19)&gt;=1000</formula>
    </cfRule>
  </conditionalFormatting>
  <conditionalFormatting sqref="Z13:Z20">
    <cfRule type="expression" dxfId="2575" priority="52">
      <formula>ABS(Z$16-Z$19)&gt;=1000</formula>
    </cfRule>
  </conditionalFormatting>
  <conditionalFormatting sqref="AA13:AA20">
    <cfRule type="expression" dxfId="2574" priority="51">
      <formula>ABS(AA$16-AA$19)&gt;=1000</formula>
    </cfRule>
  </conditionalFormatting>
  <conditionalFormatting sqref="AB13 AB15:AB20">
    <cfRule type="expression" dxfId="2573" priority="50">
      <formula>ABS(AB$16-AB$19)&gt;=1000</formula>
    </cfRule>
  </conditionalFormatting>
  <conditionalFormatting sqref="AC13 AC15:AC20">
    <cfRule type="expression" dxfId="2572" priority="49">
      <formula>ABS(AC$16-AC$19)&gt;=1000</formula>
    </cfRule>
  </conditionalFormatting>
  <conditionalFormatting sqref="AD13:AD20">
    <cfRule type="expression" dxfId="2571" priority="48">
      <formula>ABS(AD$16-AD$19)&gt;=1000</formula>
    </cfRule>
  </conditionalFormatting>
  <conditionalFormatting sqref="AE13:AE20">
    <cfRule type="expression" dxfId="2570" priority="47">
      <formula>ABS(AE$16-AE$19)&gt;=1000</formula>
    </cfRule>
  </conditionalFormatting>
  <conditionalFormatting sqref="D22:D29">
    <cfRule type="expression" dxfId="2569" priority="46">
      <formula>ABS(D$25-D$28)&gt;=1000</formula>
    </cfRule>
  </conditionalFormatting>
  <conditionalFormatting sqref="E22:E29">
    <cfRule type="expression" dxfId="2568" priority="45">
      <formula>ABS(E$25-E$28)&gt;=1000</formula>
    </cfRule>
  </conditionalFormatting>
  <conditionalFormatting sqref="F22:F29">
    <cfRule type="expression" dxfId="2567" priority="44">
      <formula>ABS(F$25-F$28)&gt;=1000</formula>
    </cfRule>
  </conditionalFormatting>
  <conditionalFormatting sqref="G22:G29">
    <cfRule type="expression" dxfId="2566" priority="43">
      <formula>ABS(G$25-G$28)&gt;=1000</formula>
    </cfRule>
  </conditionalFormatting>
  <conditionalFormatting sqref="H22:H29">
    <cfRule type="expression" dxfId="2565" priority="42">
      <formula>ABS(H$25-H$28)&gt;=1000</formula>
    </cfRule>
  </conditionalFormatting>
  <conditionalFormatting sqref="I22 I24:I29">
    <cfRule type="expression" dxfId="2564" priority="41">
      <formula>ABS(I$25-I$28)&gt;=1000</formula>
    </cfRule>
  </conditionalFormatting>
  <conditionalFormatting sqref="J22:J29 K22">
    <cfRule type="expression" dxfId="2563" priority="40">
      <formula>ABS(J$25-J$28)&gt;=1000</formula>
    </cfRule>
  </conditionalFormatting>
  <conditionalFormatting sqref="K23:K29 L25 L28">
    <cfRule type="expression" dxfId="2562" priority="39">
      <formula>ABS(K$25-K$28)&gt;=1000</formula>
    </cfRule>
  </conditionalFormatting>
  <conditionalFormatting sqref="L22 L26:L27 L29 L24">
    <cfRule type="expression" dxfId="2561" priority="38">
      <formula>ABS(L$25-L$28)&gt;=1000</formula>
    </cfRule>
  </conditionalFormatting>
  <conditionalFormatting sqref="M22:M29">
    <cfRule type="expression" dxfId="2560" priority="37">
      <formula>ABS(M$25-M$28)&gt;=1000</formula>
    </cfRule>
  </conditionalFormatting>
  <conditionalFormatting sqref="N22:N29">
    <cfRule type="expression" dxfId="2559" priority="36">
      <formula>ABS(N$25-N$28)&gt;=1000</formula>
    </cfRule>
  </conditionalFormatting>
  <conditionalFormatting sqref="O22:O29">
    <cfRule type="expression" dxfId="2558" priority="35">
      <formula>ABS(O$25-O$28)&gt;=1000</formula>
    </cfRule>
  </conditionalFormatting>
  <conditionalFormatting sqref="P22:P29">
    <cfRule type="expression" dxfId="2557" priority="34">
      <formula>ABS(P$25-P$28)&gt;=1000</formula>
    </cfRule>
  </conditionalFormatting>
  <conditionalFormatting sqref="Q22:Q29">
    <cfRule type="expression" dxfId="2556" priority="33">
      <formula>ABS(Q$25-Q$28)&gt;=1000</formula>
    </cfRule>
  </conditionalFormatting>
  <conditionalFormatting sqref="R22:R29">
    <cfRule type="expression" dxfId="2555" priority="32">
      <formula>ABS(R$25-R$28)&gt;=1000</formula>
    </cfRule>
  </conditionalFormatting>
  <conditionalFormatting sqref="S22:S29">
    <cfRule type="expression" dxfId="2554" priority="31">
      <formula>ABS(S$25-S$28)&gt;=1000</formula>
    </cfRule>
  </conditionalFormatting>
  <conditionalFormatting sqref="T22:T29">
    <cfRule type="expression" dxfId="2553" priority="30">
      <formula>ABS(T$25-T$28)&gt;=1000</formula>
    </cfRule>
  </conditionalFormatting>
  <conditionalFormatting sqref="U22:U29">
    <cfRule type="expression" dxfId="2552" priority="29">
      <formula>ABS(U$25-U$28)&gt;=1000</formula>
    </cfRule>
  </conditionalFormatting>
  <conditionalFormatting sqref="V22:V29">
    <cfRule type="expression" dxfId="2551" priority="28">
      <formula>ABS(V$25-V$28)&gt;=1000</formula>
    </cfRule>
  </conditionalFormatting>
  <conditionalFormatting sqref="W22:W29">
    <cfRule type="expression" dxfId="2550" priority="27">
      <formula>ABS(W$25-W$28)&gt;=1000</formula>
    </cfRule>
  </conditionalFormatting>
  <conditionalFormatting sqref="X22:X29">
    <cfRule type="expression" dxfId="2549" priority="26">
      <formula>ABS(X$25-X$28)&gt;=1000</formula>
    </cfRule>
  </conditionalFormatting>
  <conditionalFormatting sqref="Y22:Y29">
    <cfRule type="expression" dxfId="2548" priority="25">
      <formula>ABS(Y$25-Y$28)&gt;=1000</formula>
    </cfRule>
  </conditionalFormatting>
  <conditionalFormatting sqref="I23">
    <cfRule type="expression" dxfId="2547" priority="24">
      <formula>ABS(I$25-I$28)&gt;=1000</formula>
    </cfRule>
  </conditionalFormatting>
  <conditionalFormatting sqref="Q14">
    <cfRule type="expression" dxfId="2546" priority="23">
      <formula>ABS(Q$16-Q$19)&gt;=1000</formula>
    </cfRule>
  </conditionalFormatting>
  <conditionalFormatting sqref="W14">
    <cfRule type="expression" dxfId="2545" priority="22">
      <formula>ABS(W$16-W$19)&gt;=1000</formula>
    </cfRule>
  </conditionalFormatting>
  <conditionalFormatting sqref="X14">
    <cfRule type="expression" dxfId="2544" priority="21">
      <formula>ABS(X$16-X$19)&gt;=1000</formula>
    </cfRule>
  </conditionalFormatting>
  <conditionalFormatting sqref="T10:Y10">
    <cfRule type="expression" dxfId="2543" priority="20">
      <formula>ABS(T$7-T$10)&gt;=1000</formula>
    </cfRule>
  </conditionalFormatting>
  <conditionalFormatting sqref="W19">
    <cfRule type="expression" dxfId="2542" priority="19">
      <formula>ABS(W$16-W$19)&gt;=1000</formula>
    </cfRule>
  </conditionalFormatting>
  <conditionalFormatting sqref="AC5">
    <cfRule type="expression" dxfId="2541" priority="18">
      <formula>ABS(AC$7-AC$10)&gt;=1000</formula>
    </cfRule>
  </conditionalFormatting>
  <conditionalFormatting sqref="M14">
    <cfRule type="expression" dxfId="2540" priority="17">
      <formula>ABS(M$16-M$19)&gt;=1000</formula>
    </cfRule>
  </conditionalFormatting>
  <conditionalFormatting sqref="M16">
    <cfRule type="expression" dxfId="2539" priority="16">
      <formula>ABS(M$16-M$19)&gt;=1000</formula>
    </cfRule>
  </conditionalFormatting>
  <conditionalFormatting sqref="M19">
    <cfRule type="expression" dxfId="2538" priority="15">
      <formula>ABS(M$16-M$19)&gt;=1000</formula>
    </cfRule>
  </conditionalFormatting>
  <conditionalFormatting sqref="K13:K20">
    <cfRule type="expression" dxfId="2537" priority="14">
      <formula>ABS(K$16-K$19)&gt;=1000</formula>
    </cfRule>
  </conditionalFormatting>
  <conditionalFormatting sqref="E5">
    <cfRule type="expression" dxfId="2536" priority="13">
      <formula>ABS(E$7-E$10)&gt;=1000</formula>
    </cfRule>
  </conditionalFormatting>
  <conditionalFormatting sqref="AB14:AC14">
    <cfRule type="expression" dxfId="2535" priority="12">
      <formula>ABS(AB$16-AB$19)&gt;=1000</formula>
    </cfRule>
  </conditionalFormatting>
  <conditionalFormatting sqref="M5">
    <cfRule type="expression" dxfId="2534" priority="11">
      <formula>ABS(M$7-M$10)&gt;=1000</formula>
    </cfRule>
  </conditionalFormatting>
  <conditionalFormatting sqref="N5">
    <cfRule type="expression" dxfId="2533" priority="10">
      <formula>ABS(N$7-N$10)&gt;=1000</formula>
    </cfRule>
  </conditionalFormatting>
  <conditionalFormatting sqref="O5">
    <cfRule type="expression" dxfId="2532" priority="9">
      <formula>ABS(O$7-O$10)&gt;=1000</formula>
    </cfRule>
  </conditionalFormatting>
  <conditionalFormatting sqref="P5">
    <cfRule type="expression" dxfId="2531" priority="8">
      <formula>ABS(P$7-P$10)&gt;=1000</formula>
    </cfRule>
  </conditionalFormatting>
  <conditionalFormatting sqref="L23">
    <cfRule type="expression" dxfId="2530" priority="7">
      <formula>ABS(L$25-L$28)&gt;=1000</formula>
    </cfRule>
  </conditionalFormatting>
  <conditionalFormatting sqref="Y14">
    <cfRule type="expression" dxfId="2529" priority="6">
      <formula>ABS(Y$16-Y$19)&gt;=1000</formula>
    </cfRule>
  </conditionalFormatting>
  <conditionalFormatting sqref="F14">
    <cfRule type="expression" dxfId="2528" priority="5">
      <formula>ABS(F$16-F$19)&gt;=1000</formula>
    </cfRule>
  </conditionalFormatting>
  <conditionalFormatting sqref="H14">
    <cfRule type="expression" dxfId="2527" priority="4">
      <formula>ABS(H$16-H$19)&gt;=1000</formula>
    </cfRule>
  </conditionalFormatting>
  <conditionalFormatting sqref="AD5">
    <cfRule type="expression" dxfId="2526" priority="3">
      <formula>ABS(AD$7-AD$10)&gt;=1000</formula>
    </cfRule>
  </conditionalFormatting>
  <conditionalFormatting sqref="AE5">
    <cfRule type="expression" dxfId="2525" priority="2">
      <formula>ABS(AE$7-AE$10)&gt;=1000</formula>
    </cfRule>
  </conditionalFormatting>
  <conditionalFormatting sqref="T16">
    <cfRule type="expression" dxfId="2524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9996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5">
    <pageSetUpPr fitToPage="1"/>
  </sheetPr>
  <dimension ref="A1:CU223"/>
  <sheetViews>
    <sheetView view="pageBreakPreview" topLeftCell="F11" zoomScale="70" zoomScaleNormal="100" zoomScaleSheetLayoutView="70" workbookViewId="0">
      <selection activeCell="D6" sqref="D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46210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7" t="s" ph="1">
        <v>177</v>
      </c>
      <c r="D6" s="71">
        <v>1473</v>
      </c>
      <c r="E6" s="71">
        <v>5039</v>
      </c>
      <c r="F6" s="71">
        <v>5847</v>
      </c>
      <c r="G6" s="71">
        <v>7480</v>
      </c>
      <c r="H6" s="71">
        <v>307</v>
      </c>
      <c r="I6" s="71">
        <v>38.72</v>
      </c>
      <c r="J6" s="71">
        <v>77.010000000000005</v>
      </c>
      <c r="K6" s="71">
        <v>6.82</v>
      </c>
      <c r="L6" s="71">
        <v>6.91</v>
      </c>
      <c r="M6" s="71">
        <v>5030</v>
      </c>
      <c r="N6" s="71">
        <v>5710</v>
      </c>
      <c r="O6" s="71">
        <v>221</v>
      </c>
      <c r="P6" s="71">
        <v>2483</v>
      </c>
      <c r="Q6" s="71">
        <v>0</v>
      </c>
      <c r="R6" s="71">
        <v>1498</v>
      </c>
      <c r="S6" s="71">
        <v>7307</v>
      </c>
      <c r="T6" s="71">
        <v>7045</v>
      </c>
      <c r="U6" s="71">
        <v>7067</v>
      </c>
      <c r="V6" s="71">
        <v>7052</v>
      </c>
      <c r="W6" s="71">
        <v>7069</v>
      </c>
      <c r="X6" s="71">
        <v>7090</v>
      </c>
      <c r="Y6" s="71">
        <v>3309</v>
      </c>
      <c r="Z6" s="71">
        <v>3651</v>
      </c>
      <c r="AA6" s="71">
        <v>0</v>
      </c>
      <c r="AB6" s="71">
        <v>1918</v>
      </c>
      <c r="AC6" s="71">
        <v>2235</v>
      </c>
      <c r="AD6" s="71">
        <v>5455</v>
      </c>
      <c r="AE6" s="71">
        <v>4589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46038.714722099998</v>
      </c>
      <c r="E7" s="73" ph="1">
        <f>E6*51.53*LOOKUP(E8,密度!$A$2:$A$50,密度!$B$2:$B$50)</f>
        <v>201314.14215100001</v>
      </c>
      <c r="F7" s="73" ph="1">
        <f>F6*33.183*LOOKUP(F8,密度!$A$2:$A$50,密度!$C$2:$C$50)</f>
        <v>214703.63970659999</v>
      </c>
      <c r="G7" s="73" ph="1">
        <f xml:space="preserve"> (G6+2)*51.53*LOOKUP(G8,密度!$A$2:$A$50,密度!$B$2:$B$50)</f>
        <v>298914.94573800004</v>
      </c>
      <c r="H7" s="73" ph="1">
        <f>(H6)*51.53*LOOKUP(H8,密度!$A$2:$A$50,密度!$B$2:$B$50)</f>
        <v>12306.152409000002</v>
      </c>
      <c r="I7" s="73" ph="1">
        <f>I6*290.8*1.0267</f>
        <v>11560.412019199999</v>
      </c>
      <c r="J7" s="73" ph="1">
        <f>J6*290.8*0.7892</f>
        <v>17673.745713600001</v>
      </c>
      <c r="K7" s="73" ph="1">
        <f>K6*290.8*1.1126</f>
        <v>2206.5706256000003</v>
      </c>
      <c r="L7" s="73" ph="1">
        <f>L6*290.8*0.777</f>
        <v>1561.3255560000002</v>
      </c>
      <c r="M7" s="73" ph="1">
        <f>M6*33.183*LOOKUP(M8,密度!$A$2:$A$50,密度!$D$2:$D$50)</f>
        <v>170582.52077999999</v>
      </c>
      <c r="N7" s="73" ph="1">
        <f>N6*33.183*LOOKUP(N8,密度!$A$2:$A$50,密度!$E$2:$E$50)</f>
        <v>147117.80939849999</v>
      </c>
      <c r="O7" s="73" ph="1">
        <f>O6*20.428*LOOKUP(O8,密度!$A$2:$A$50,密度!$C$2:$C$50)</f>
        <v>4989.0711987999994</v>
      </c>
      <c r="P7" s="73" ph="1">
        <f>P6*51.53*LOOKUP(P8,密度!$A$2:$A$50,密度!$B$2:$B$50)</f>
        <v>99314.006038000007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9815.7831156000011</v>
      </c>
      <c r="S7" s="73" ph="1">
        <f>S6*1.5*1.5*3.1416*LOOKUP(S8,密度!$A$2:$A$50,密度!$L$2:$L$50)</f>
        <v>48241.343026800001</v>
      </c>
      <c r="T7" s="73" ph="1">
        <f>T6*1.5*1.5*3.1416*LOOKUP(T8,密度!$A$2:$A$50,密度!$L$2:$L$50)</f>
        <v>46511.600057999996</v>
      </c>
      <c r="U7" s="73" ph="1">
        <f>U6*1.5*1.5*3.1416*LOOKUP(U8,密度!$A$2:$A$50,密度!$L$2:$L$50)</f>
        <v>46606.891854599999</v>
      </c>
      <c r="V7" s="73" ph="1">
        <f>V6*1.5*1.5*3.1416*LOOKUP(V8,密度!$A$2:$A$50,密度!$L$2:$L$50)</f>
        <v>46557.814564800006</v>
      </c>
      <c r="W7" s="73" ph="1">
        <f>W6*1.5*1.5*3.1416*LOOKUP(W8,密度!$A$2:$A$50,密度!$L$2:$L$50)</f>
        <v>46570.113928800005</v>
      </c>
      <c r="X7" s="73" ph="1">
        <f>X6*1.5*1.5*3.1416*LOOKUP(X8,密度!$A$2:$A$50,密度!$L$2:$L$50)</f>
        <v>47009.158811999994</v>
      </c>
      <c r="Y7" s="73" ph="1">
        <f>Y6*1.5*1.5*3.1416*LOOKUP(Y8,密度!$A$2:$A$50,密度!$L$2:$L$50)</f>
        <v>21869.647569000001</v>
      </c>
      <c r="Z7" s="73" ph="1">
        <f>Z6*33.183*LOOKUP(Z8,密度!$A$2:$A$50,密度!$L$2:$L$50)</f>
        <v>113034.00708900001</v>
      </c>
      <c r="AA7" s="73" ph="1">
        <f>AA6*33.183*LOOKUP(AA8,密度!$A$2:$A$50,密度!$D$2:$D$50)</f>
        <v>0</v>
      </c>
      <c r="AB7" s="73" ph="1">
        <f>AB6*20.428*LOOKUP(AB8,密度!$A$2:$A$50,密度!$D$2:$D$50)</f>
        <v>40227.034136800001</v>
      </c>
      <c r="AC7" s="73" ph="1">
        <f>AC6*51.53*LOOKUP(AC8,密度!$A$2:$A$50,密度!$Q$2:$Q$50)</f>
        <v>108642.8916015</v>
      </c>
      <c r="AD7" s="73" ph="1">
        <f>AD6*20.428*LOOKUP(AD8,密度!$A$2:$A$50,密度!$V$2:$V$50)</f>
        <v>106709.907024</v>
      </c>
      <c r="AE7" s="73" ph="1">
        <f>AE6*20.428</f>
        <v>93744.092000000004</v>
      </c>
    </row>
    <row r="8" spans="1:99" ph="1">
      <c r="B8" s="241" ph="1"/>
      <c r="C8" s="68" t="s" ph="1">
        <v>179</v>
      </c>
      <c r="D8" s="74">
        <v>32</v>
      </c>
      <c r="E8" s="74">
        <v>30</v>
      </c>
      <c r="F8" s="74">
        <v>28</v>
      </c>
      <c r="G8" s="74">
        <v>30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30</v>
      </c>
      <c r="P8" s="74">
        <v>29</v>
      </c>
      <c r="Q8" s="74">
        <v>32</v>
      </c>
      <c r="R8" s="74">
        <v>35</v>
      </c>
      <c r="S8" s="74">
        <v>28</v>
      </c>
      <c r="T8" s="74">
        <v>28</v>
      </c>
      <c r="U8" s="74">
        <v>29</v>
      </c>
      <c r="V8" s="74">
        <v>28</v>
      </c>
      <c r="W8" s="74">
        <v>30</v>
      </c>
      <c r="X8" s="74">
        <v>24</v>
      </c>
      <c r="Y8" s="74">
        <v>27</v>
      </c>
      <c r="Z8" s="74">
        <v>29</v>
      </c>
      <c r="AA8" s="74">
        <v>32</v>
      </c>
      <c r="AB8" s="74">
        <v>25</v>
      </c>
      <c r="AC8" s="74">
        <v>30</v>
      </c>
      <c r="AD8" s="74">
        <v>28</v>
      </c>
      <c r="AE8" s="74">
        <v>29</v>
      </c>
    </row>
    <row r="9" spans="1:99" ht="26.4" ph="1">
      <c r="B9" s="241" ph="1">
        <v>0.66666666666666663</v>
      </c>
      <c r="C9" s="157" t="s" ph="1">
        <v>180</v>
      </c>
      <c r="D9" s="71">
        <v>921</v>
      </c>
      <c r="E9" s="71">
        <v>4599</v>
      </c>
      <c r="F9" s="71">
        <v>5850</v>
      </c>
      <c r="G9" s="71">
        <v>7592</v>
      </c>
      <c r="H9" s="71">
        <v>20</v>
      </c>
      <c r="I9" s="71">
        <v>38.72</v>
      </c>
      <c r="J9" s="71">
        <v>77.209999999999994</v>
      </c>
      <c r="K9" s="71">
        <v>6.81</v>
      </c>
      <c r="L9" s="71">
        <v>29.71</v>
      </c>
      <c r="M9" s="71">
        <v>5031</v>
      </c>
      <c r="N9" s="71">
        <v>5716</v>
      </c>
      <c r="O9" s="71">
        <v>221</v>
      </c>
      <c r="P9" s="71">
        <v>2318</v>
      </c>
      <c r="Q9" s="71">
        <v>2896</v>
      </c>
      <c r="R9" s="71">
        <v>0</v>
      </c>
      <c r="S9" s="71">
        <v>3644</v>
      </c>
      <c r="T9" s="71">
        <v>7051</v>
      </c>
      <c r="U9" s="71">
        <v>7072</v>
      </c>
      <c r="V9" s="71">
        <v>7062</v>
      </c>
      <c r="W9" s="71">
        <v>7077</v>
      </c>
      <c r="X9" s="71">
        <v>7098</v>
      </c>
      <c r="Y9" s="71">
        <v>5810</v>
      </c>
      <c r="Z9" s="71">
        <v>2108</v>
      </c>
      <c r="AA9" s="71">
        <v>0</v>
      </c>
      <c r="AB9" s="71">
        <v>1917</v>
      </c>
      <c r="AC9" s="71">
        <v>2437</v>
      </c>
      <c r="AD9" s="71">
        <v>5457</v>
      </c>
      <c r="AE9" s="71">
        <v>4508</v>
      </c>
    </row>
    <row r="10" spans="1:99" s="72" customFormat="1" ht="22.2" ph="1">
      <c r="B10" s="241" ph="1"/>
      <c r="C10" s="157" t="s" ph="1">
        <v>178</v>
      </c>
      <c r="D10" s="73" ph="1">
        <f>D9*33.183*LOOKUP(D11,密度!$A$2:$A$50,密度!$Q$2:$Q$50)</f>
        <v>28686.592336950001</v>
      </c>
      <c r="E10" s="73" ph="1">
        <f>E9*51.53*LOOKUP(E11,密度!$A$2:$A$50,密度!$B$2:$B$50)</f>
        <v>183119.44536900002</v>
      </c>
      <c r="F10" s="73" ph="1">
        <f>F9*33.183*LOOKUP(F11,密度!$A$2:$A$50,密度!$C$2:$C$50)</f>
        <v>213920.8461</v>
      </c>
      <c r="G10" s="73" ph="1">
        <f xml:space="preserve"> (G9+2)*51.53*LOOKUP(G11,密度!$A$2:$A$50,密度!$B$2:$B$50)</f>
        <v>302372.05221400002</v>
      </c>
      <c r="H10" s="73" ph="1">
        <f>(H9)*51.53*LOOKUP(H11,密度!$A$2:$A$50,密度!$B$2:$B$50)</f>
        <v>794.48953999999992</v>
      </c>
      <c r="I10" s="73" ph="1">
        <f>I9*290.8*1.0267</f>
        <v>11560.412019199999</v>
      </c>
      <c r="J10" s="73" ph="1">
        <f>J9*290.8*0.7892</f>
        <v>17719.645585599999</v>
      </c>
      <c r="K10" s="73" ph="1">
        <f>K9*290.8*1.1126</f>
        <v>2203.3351848000002</v>
      </c>
      <c r="L10" s="73" ph="1">
        <f>L9*290.8*0.777</f>
        <v>6713.0220360000012</v>
      </c>
      <c r="M10" s="73" ph="1">
        <f>M9*33.183*LOOKUP(M11,密度!$A$2:$A$50,密度!$D$2:$D$50)</f>
        <v>168846.83087220002</v>
      </c>
      <c r="N10" s="73" ph="1">
        <f>N9*33.183*LOOKUP(N11,密度!$A$2:$A$50,密度!$E$2:$E$50)</f>
        <v>146415.07243403999</v>
      </c>
      <c r="O10" s="73" ph="1">
        <f>O9*20.428*LOOKUP(O11,密度!$A$2:$A$50,密度!$C$2:$C$50)</f>
        <v>4932.1873900000001</v>
      </c>
      <c r="P10" s="73" ph="1">
        <f>P9*51.53*LOOKUP(P11,密度!$A$2:$A$50,密度!$B$2:$B$50)</f>
        <v>92296.34145800001</v>
      </c>
      <c r="Q10" s="73" ph="1">
        <f>Q9*1.5*1.5*3.1416*LOOKUP(W11,密度!$A$2:$A$50,密度!$L$2:$L$50)</f>
        <v>19037.719008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23954.919912000001</v>
      </c>
      <c r="T10" s="73" ph="1">
        <f>T9*1.5*1.5*3.1416*LOOKUP(T11,密度!$A$2:$A$50,密度!$L$2:$L$50)</f>
        <v>46451.5310952</v>
      </c>
      <c r="U10" s="73" ph="1">
        <f>U9*1.5*1.5*3.1416*LOOKUP(U11,密度!$A$2:$A$50,密度!$L$2:$L$50)</f>
        <v>46489.899455999999</v>
      </c>
      <c r="V10" s="73" ph="1">
        <f>V9*1.5*1.5*3.1416*LOOKUP(V11,密度!$A$2:$A$50,密度!$L$2:$L$50)</f>
        <v>46623.835288800001</v>
      </c>
      <c r="W10" s="73" ph="1">
        <f>W9*1.5*1.5*3.1416*LOOKUP(W11,密度!$A$2:$A$50,密度!$L$2:$L$50)</f>
        <v>46522.768446000002</v>
      </c>
      <c r="X10" s="73" ph="1">
        <f>X9*1.5*1.5*3.1416*LOOKUP(X11,密度!$A$2:$A$50,密度!$L$2:$L$50)</f>
        <v>46811.3369724</v>
      </c>
      <c r="Y10" s="73" ph="1">
        <f>Y9*1.5*1.5*3.1416*LOOKUP(Y11,密度!$A$2:$A$50,密度!$L$2:$L$50)</f>
        <v>38275.903512000004</v>
      </c>
      <c r="Z10" s="73" ph="1">
        <f>Z9*33.183*LOOKUP(Z11,密度!$A$2:$A$50,密度!$L$2:$L$50)</f>
        <v>64703.5317</v>
      </c>
      <c r="AA10" s="73" ph="1">
        <f>AA9*33.183*LOOKUP(AA11,密度!$A$2:$A$50,密度!$D$2:$D$50)</f>
        <v>0</v>
      </c>
      <c r="AB10" s="73" ph="1">
        <f>AB9*20.428*LOOKUP(AB11,密度!$A$2:$A$50,密度!$D$2:$D$50)</f>
        <v>40057.250900400002</v>
      </c>
      <c r="AC10" s="73" ph="1">
        <f>AC9*51.53*LOOKUP(AC11,密度!$A$2:$A$50,密度!$Q$2:$Q$50)</f>
        <v>118282.492759</v>
      </c>
      <c r="AD10" s="73" ph="1">
        <f>AD9*20.428*LOOKUP(AD11,密度!$A$2:$A$50,密度!$V$2:$V$50)</f>
        <v>106749.03072960001</v>
      </c>
      <c r="AE10" s="73" ph="1">
        <f>AE9*20.428</f>
        <v>92089.423999999999</v>
      </c>
    </row>
    <row r="11" spans="1:99" ph="1">
      <c r="A11" s="64" t="s" ph="1">
        <v>162</v>
      </c>
      <c r="B11" s="241" ph="1"/>
      <c r="C11" s="157" t="s" ph="1">
        <v>179</v>
      </c>
      <c r="D11" s="74">
        <v>37</v>
      </c>
      <c r="E11" s="74">
        <v>33</v>
      </c>
      <c r="F11" s="74">
        <v>33</v>
      </c>
      <c r="G11" s="74">
        <v>33</v>
      </c>
      <c r="H11" s="74">
        <v>35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35</v>
      </c>
      <c r="O11" s="74">
        <v>42</v>
      </c>
      <c r="P11" s="74">
        <v>33</v>
      </c>
      <c r="Q11" s="74">
        <v>32</v>
      </c>
      <c r="R11" s="74">
        <v>42</v>
      </c>
      <c r="S11" s="74">
        <v>32</v>
      </c>
      <c r="T11" s="74">
        <v>30</v>
      </c>
      <c r="U11" s="74">
        <v>32</v>
      </c>
      <c r="V11" s="74">
        <v>28</v>
      </c>
      <c r="W11" s="74">
        <v>32</v>
      </c>
      <c r="X11" s="74">
        <v>29</v>
      </c>
      <c r="Y11" s="74">
        <v>30</v>
      </c>
      <c r="Z11" s="74">
        <v>37</v>
      </c>
      <c r="AA11" s="74">
        <v>39</v>
      </c>
      <c r="AB11" s="74">
        <v>29</v>
      </c>
      <c r="AC11" s="74">
        <v>32</v>
      </c>
      <c r="AD11" s="74">
        <v>35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7" t="s" ph="1">
        <v>177</v>
      </c>
      <c r="D15" s="78">
        <v>3669</v>
      </c>
      <c r="E15" s="78">
        <v>81</v>
      </c>
      <c r="F15" s="78">
        <v>5011</v>
      </c>
      <c r="G15" s="78">
        <v>3934</v>
      </c>
      <c r="H15" s="78">
        <v>2035</v>
      </c>
      <c r="I15" s="78">
        <v>2636</v>
      </c>
      <c r="J15" s="78">
        <v>4560</v>
      </c>
      <c r="K15" s="78">
        <v>3366</v>
      </c>
      <c r="L15" s="78">
        <v>5867</v>
      </c>
      <c r="M15" s="78">
        <v>5566</v>
      </c>
      <c r="N15" s="78">
        <v>442</v>
      </c>
      <c r="O15" s="78">
        <v>4156</v>
      </c>
      <c r="P15" s="78">
        <v>7008</v>
      </c>
      <c r="Q15" s="78">
        <v>700</v>
      </c>
      <c r="R15" s="78">
        <v>1952</v>
      </c>
      <c r="S15" s="78">
        <v>0</v>
      </c>
      <c r="T15" s="78">
        <v>3835</v>
      </c>
      <c r="U15" s="78">
        <v>2666</v>
      </c>
      <c r="V15" s="78">
        <v>4445</v>
      </c>
      <c r="W15" s="71">
        <v>5006</v>
      </c>
      <c r="X15" s="78">
        <v>1276</v>
      </c>
      <c r="Y15" s="106">
        <v>-9909</v>
      </c>
      <c r="Z15" s="78">
        <v>700</v>
      </c>
      <c r="AA15" s="78">
        <v>2542</v>
      </c>
      <c r="AB15" s="78" ph="1">
        <v>0</v>
      </c>
      <c r="AC15" s="78" ph="1">
        <v>0</v>
      </c>
      <c r="AD15" s="78">
        <v>5.71</v>
      </c>
      <c r="AE15" s="78">
        <v>36.61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7" t="s" ph="1">
        <v>178</v>
      </c>
      <c r="D16" s="73" ph="1">
        <f>D15*7.0686*LOOKUP(D17,密度!$A$2:$A$50,密度!$L$2:$L$50)</f>
        <v>24171.134248800001</v>
      </c>
      <c r="E16" s="73" ph="1">
        <f>E15*7.0686*LOOKUP(E17,密度!$A$2:$A$50,密度!$L$2:$L$50)</f>
        <v>534.19530780000002</v>
      </c>
      <c r="F16" s="73" ph="1">
        <f>F15*9.0746*LOOKUP(F17,密度!$A$2:$A$50,密度!$L$2:$L$50)</f>
        <v>41971.413413800001</v>
      </c>
      <c r="G16" s="73" ph="1">
        <f>G15*9.0746*LOOKUP(G17,密度!$A$2:$A$50,密度!$B$2:$B$50)</f>
        <v>27677.804052920001</v>
      </c>
      <c r="H16" s="73" ph="1">
        <f>H15*9.0746*LOOKUP(H17,密度!$A$2:$A$50,密度!$L$2:$L$50)</f>
        <v>17266.468285000003</v>
      </c>
      <c r="I16" s="73" ph="1">
        <f>I15*9.0746*LOOKUP(I17,密度!$A$2:$A$50,密度!$U$2:$U$50)</f>
        <v>24422.979157599999</v>
      </c>
      <c r="J16" s="73" ph="1">
        <f>J15*9.0746*LOOKUP(J17,密度!$A$2:$A$50,密度!$L$2:$L$50)</f>
        <v>38400.803328000002</v>
      </c>
      <c r="K16" s="73" ph="1">
        <f>K15*9.0746*LOOKUP(K17,密度!$A$2:$A$50,密度!$C$2:$C$50)</f>
        <v>33779.830071240009</v>
      </c>
      <c r="L16" s="73" ph="1">
        <f>L15*9.0746*LOOKUP(L17,密度!$A$2:$A$50,密度!$E$2:$E$50)</f>
        <v>41399.951368319998</v>
      </c>
      <c r="M16" s="73" ph="1">
        <f>M15*9.0746*LOOKUP(M17,密度!$A$2:$A$50,密度!$M$2:$M$50)</f>
        <v>43832.914424552007</v>
      </c>
      <c r="N16" s="73" ph="1">
        <f>N15*9.0746*LOOKUP(N17,密度!$A$2:$A$50,密度!$M$2:$M$50)</f>
        <v>3501.9807009199999</v>
      </c>
      <c r="O16" s="73" ph="1">
        <f>O15*9.0746*LOOKUP(O17,密度!$A$2:$A$50,密度!$G$2:$G$50)</f>
        <v>36005.591696720003</v>
      </c>
      <c r="P16" s="73" ph="1">
        <f ca="1">P15*9.0746*LOOKUP(P17,密度!$A$2:$A$51,密度!$Q$2:$Q$50)</f>
        <v>59990.879665344</v>
      </c>
      <c r="Q16" s="73" ph="1">
        <f>Q15*9.0746*LOOKUP(Q17,密度!$A$2:$A$50,密度!$Q$2:$Q$50)</f>
        <v>6000.4340564000004</v>
      </c>
      <c r="R16" s="73" ph="1">
        <f>MAX(R15*9.0746*LOOKUP(R17,密度!$A$2:$A$50,密度!$B$2:$B$50),0)</f>
        <v>13733.368965760001</v>
      </c>
      <c r="S16" s="73" ph="1">
        <f>S15*9.0746*LOOKUP(S17,密度!$A$2:$A$50,密度!$Q$2:$Q$50)</f>
        <v>0</v>
      </c>
      <c r="T16" s="73" ph="1">
        <f>T15*9.0746*LOOKUP(T17,密度!$A$2:$A$50,密度!$O$2:$O$50)</f>
        <v>32225.810266</v>
      </c>
      <c r="U16" s="73" ph="1">
        <f>U15*9.0746*LOOKUP(U17,密度!$A$2:$A$50,密度!$H$2:$H$50)</f>
        <v>22015.524076000002</v>
      </c>
      <c r="V16" s="73" ph="1">
        <f>MAX(5600*LOOKUP(V17,密度!$A$2:$A$50,密度!$Q$2:$Q$50)+V15*9.0476*LOOKUP(V17,密度!$A$2:$A$50,密度!$Q$2:$Q$50),0)</f>
        <v>43124.857807499997</v>
      </c>
      <c r="W16" s="73" ph="1">
        <f>MAX(5600*LOOKUP(W17,密度!$A$2:$A$50,密度!$Q$2:$Q$50)+W15*9.0476*LOOKUP(W17,密度!$A$2:$A$50,密度!$Q$2:$Q$50),0)</f>
        <v>47935.443806639996</v>
      </c>
      <c r="X16" s="73" ph="1">
        <f>MAX(5600*LOOKUP(X17,密度!$A$2:$A$50,密度!$I$2:$I$50)+X15*9.0476*LOOKUP(X17,密度!$A$2:$A$50,密度!$I$2:$I$50),0)</f>
        <v>17773.949469919997</v>
      </c>
      <c r="Y16" s="107" ph="1">
        <v>0</v>
      </c>
      <c r="Z16" s="73" ph="1">
        <f>Z15*9.0746*LOOKUP(Z17,密度!$A$2:$A$50,密度!$D$2:$D$50)</f>
        <v>6497.6858379999994</v>
      </c>
      <c r="AA16" s="73" ph="1">
        <f>AA15*9.0746*LOOKUP(AA17,密度!$A$2:$A$50,密度!$B$2:$B$50)</f>
        <v>17884.336019959999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2416.8869188799999</v>
      </c>
      <c r="AE16" s="73" ph="1">
        <f>AE15*268.68*LOOKUP(AE17,密度!$A$2:$A$50,密度!B2:B50)+IF(AE15&lt;=0,0,1566*LOOKUP(AE17,密度!$A$2:$A$50,密度!B2:B50))</f>
        <v>8889.291394079999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29</v>
      </c>
      <c r="F17" s="74">
        <v>39</v>
      </c>
      <c r="G17" s="74">
        <v>30</v>
      </c>
      <c r="H17" s="74">
        <v>27</v>
      </c>
      <c r="I17" s="74">
        <v>29</v>
      </c>
      <c r="J17" s="74">
        <v>34</v>
      </c>
      <c r="K17" s="74">
        <v>29</v>
      </c>
      <c r="L17" s="74">
        <v>30</v>
      </c>
      <c r="M17" s="74">
        <v>32</v>
      </c>
      <c r="N17" s="74">
        <v>27</v>
      </c>
      <c r="O17" s="74">
        <v>30</v>
      </c>
      <c r="P17" s="74">
        <v>30</v>
      </c>
      <c r="Q17" s="74">
        <v>28</v>
      </c>
      <c r="R17" s="74">
        <v>30</v>
      </c>
      <c r="S17" s="74">
        <v>28</v>
      </c>
      <c r="T17" s="74">
        <v>29</v>
      </c>
      <c r="U17" s="74">
        <v>30</v>
      </c>
      <c r="V17" s="74">
        <v>33</v>
      </c>
      <c r="W17" s="74">
        <v>32</v>
      </c>
      <c r="X17" s="74">
        <v>30</v>
      </c>
      <c r="Y17" s="108">
        <v>30</v>
      </c>
      <c r="Z17" s="74">
        <v>29</v>
      </c>
      <c r="AA17" s="74">
        <v>30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475</v>
      </c>
      <c r="E18" s="71">
        <v>3905</v>
      </c>
      <c r="F18" s="71">
        <v>5001</v>
      </c>
      <c r="G18" s="71">
        <v>4059</v>
      </c>
      <c r="H18" s="71">
        <v>2037</v>
      </c>
      <c r="I18" s="71">
        <v>2638</v>
      </c>
      <c r="J18" s="71">
        <v>5015</v>
      </c>
      <c r="K18" s="71">
        <v>3367</v>
      </c>
      <c r="L18" s="71">
        <v>5879</v>
      </c>
      <c r="M18" s="71">
        <v>4129</v>
      </c>
      <c r="N18" s="71">
        <v>2941</v>
      </c>
      <c r="O18" s="71">
        <v>4159</v>
      </c>
      <c r="P18" s="71">
        <v>7010</v>
      </c>
      <c r="Q18" s="71">
        <v>1809</v>
      </c>
      <c r="R18" s="71">
        <v>1952</v>
      </c>
      <c r="S18" s="71">
        <v>0</v>
      </c>
      <c r="T18" s="71">
        <v>3403</v>
      </c>
      <c r="U18" s="71">
        <v>2668</v>
      </c>
      <c r="V18" s="71">
        <v>4915</v>
      </c>
      <c r="W18" s="71">
        <v>5007</v>
      </c>
      <c r="X18" s="71">
        <v>1276</v>
      </c>
      <c r="Y18" s="109">
        <v>-9909</v>
      </c>
      <c r="Z18" s="71">
        <v>697</v>
      </c>
      <c r="AA18" s="71">
        <v>2544</v>
      </c>
      <c r="AB18" s="71">
        <v>0</v>
      </c>
      <c r="AC18" s="71">
        <v>0</v>
      </c>
      <c r="AD18" s="71">
        <v>10.01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7" t="s" ph="1">
        <v>178</v>
      </c>
      <c r="D19" s="73" ph="1">
        <f>D18*7.0686*LOOKUP(D20,密度!$A$2:$A$50,密度!$L$2:$L$50)</f>
        <v>3112.481295</v>
      </c>
      <c r="E19" s="73" ph="1">
        <f>E18*7.0686*LOOKUP(E20,密度!$A$2:$A$50,密度!$L$2:$L$50)</f>
        <v>25615.475424000004</v>
      </c>
      <c r="F19" s="73" ph="1">
        <f>F18*9.0746*LOOKUP(F20,密度!$A$2:$A$50,密度!$L$2:$L$50)</f>
        <v>41842.272781200001</v>
      </c>
      <c r="G19" s="73" ph="1">
        <f>G18*9.0746*LOOKUP(G20,密度!$A$2:$A$50,密度!$B$2:$B$50)</f>
        <v>28524.095804160002</v>
      </c>
      <c r="H19" s="73" ph="1">
        <f>H18*9.0746*LOOKUP(H20,密度!$A$2:$A$50,密度!$L$2:$L$50)</f>
        <v>17246.467866600004</v>
      </c>
      <c r="I19" s="73" ph="1">
        <f>I18*9.0746*LOOKUP(I20,密度!$A$2:$A$50,密度!$U$2:$U$50)</f>
        <v>24144.668435279997</v>
      </c>
      <c r="J19" s="73" ph="1">
        <f>J18*9.0746*LOOKUP(J20,密度!$A$2:$A$50,密度!$L$2:$L$50)</f>
        <v>41868.389479999998</v>
      </c>
      <c r="K19" s="73" ph="1">
        <f>K18*9.0746*LOOKUP(K20,密度!$A$2:$A$50,密度!$C$2:$C$50)</f>
        <v>33572.931006160004</v>
      </c>
      <c r="L19" s="73" ph="1">
        <f>L18*9.0746*LOOKUP(L20,密度!$A$2:$A$50,密度!$E$2:$E$50)</f>
        <v>41182.136194662002</v>
      </c>
      <c r="M19" s="73" ph="1">
        <f>M18*9.0746*LOOKUP(M20,密度!$A$2:$A$50,密度!$M$2:$M$50)</f>
        <v>32324.526487179999</v>
      </c>
      <c r="N19" s="73" ph="1">
        <f>N18*9.0746*LOOKUP(N20,密度!$A$2:$A$50,密度!$M$2:$M$50)</f>
        <v>23245.595180600001</v>
      </c>
      <c r="O19" s="73" ph="1">
        <f>O18*9.0746*LOOKUP(O20,密度!$A$2:$A$50,密度!$G$2:$G$50)</f>
        <v>35873.068960700002</v>
      </c>
      <c r="P19" s="73" ph="1">
        <f ca="1">P18*9.0746*LOOKUP(P20,密度!$A$2:$A$51,密度!$Q$2:$Q$50)</f>
        <v>59960.290640680003</v>
      </c>
      <c r="Q19" s="73" ph="1">
        <f>Q18*9.0746*LOOKUP(Q20,密度!$A$2:$A$50,密度!$Q$2:$Q$50)</f>
        <v>15419.503150020002</v>
      </c>
      <c r="R19" s="73" ph="1">
        <f>MAX(R18*9.0746*LOOKUP(R20,密度!$A$2:$A$50,密度!$B$2:$B$50),0)</f>
        <v>13671.371298560001</v>
      </c>
      <c r="S19" s="73" ph="1">
        <f>S18*9.0746*LOOKUP(S20,密度!$A$2:$A$50,密度!$Q$2:$Q$50)</f>
        <v>0</v>
      </c>
      <c r="T19" s="73" ph="1">
        <f>T18*9.0746*LOOKUP(T20,密度!$A$2:$A$50,密度!$O$2:$O$50)</f>
        <v>28447.451732559999</v>
      </c>
      <c r="U19" s="73" ph="1">
        <f>U18*9.0746*LOOKUP(U20,密度!$A$2:$A$50,密度!$H$2:$H$50)</f>
        <v>21746.349660960001</v>
      </c>
      <c r="V19" s="73" ph="1">
        <f>MAX(5600*LOOKUP(V20,密度!$A$2:$A$50,密度!$Q$2:$Q$50)+V18*9.0476*LOOKUP(V20,密度!$A$2:$A$50,密度!$Q$2:$Q$50),0)</f>
        <v>46997.223672100001</v>
      </c>
      <c r="W19" s="73" ph="1">
        <f>MAX(5600*LOOKUP(W20,密度!$A$2:$A$50,密度!$Q$2:$Q$50)+W18*9.0476*LOOKUP(W20,密度!$A$2:$A$50,密度!$Q$2:$Q$50),0)</f>
        <v>47811.622274759997</v>
      </c>
      <c r="X19" s="73" ph="1">
        <f>MAX(5600*LOOKUP(X20,密度!$A$2:$A$50,密度!$I$2:$I$50)+X18*9.0476*LOOKUP(X20,密度!$A$2:$A$50,密度!$I$2:$I$50),0)</f>
        <v>17696.798150719998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6458.4536198199994</v>
      </c>
      <c r="AA19" s="73" ph="1">
        <f>AA18*9.0746*LOOKUP(AA20,密度!$A$2:$A$50,密度!$B$2:$B$50)</f>
        <v>17856.852686399998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3306.5132436000004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35</v>
      </c>
      <c r="E20" s="81">
        <v>34</v>
      </c>
      <c r="F20" s="81">
        <v>40</v>
      </c>
      <c r="G20" s="81">
        <v>31</v>
      </c>
      <c r="H20" s="81">
        <v>29</v>
      </c>
      <c r="I20" s="81">
        <v>42</v>
      </c>
      <c r="J20" s="81">
        <v>42</v>
      </c>
      <c r="K20" s="81">
        <v>36</v>
      </c>
      <c r="L20" s="81">
        <v>35</v>
      </c>
      <c r="M20" s="81">
        <v>37</v>
      </c>
      <c r="N20" s="81">
        <v>29</v>
      </c>
      <c r="O20" s="81">
        <v>34</v>
      </c>
      <c r="P20" s="81">
        <v>31</v>
      </c>
      <c r="Q20" s="81">
        <v>36</v>
      </c>
      <c r="R20" s="81">
        <v>34</v>
      </c>
      <c r="S20" s="81">
        <v>36</v>
      </c>
      <c r="T20" s="81">
        <v>33</v>
      </c>
      <c r="U20" s="81">
        <v>42</v>
      </c>
      <c r="V20" s="81">
        <v>37</v>
      </c>
      <c r="W20" s="81">
        <v>36</v>
      </c>
      <c r="X20" s="81">
        <v>34</v>
      </c>
      <c r="Y20" s="110">
        <v>34</v>
      </c>
      <c r="Z20" s="81">
        <v>31</v>
      </c>
      <c r="AA20" s="81">
        <v>32</v>
      </c>
      <c r="AB20" s="81">
        <v>37</v>
      </c>
      <c r="AC20" s="81">
        <v>37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7" t="s" ph="1">
        <v>177</v>
      </c>
      <c r="D24" s="71">
        <v>48.41</v>
      </c>
      <c r="E24" s="71">
        <v>5.81</v>
      </c>
      <c r="F24" s="71">
        <v>1571</v>
      </c>
      <c r="G24" s="71">
        <v>2277</v>
      </c>
      <c r="H24" s="71">
        <v>2987</v>
      </c>
      <c r="I24" s="71">
        <v>0</v>
      </c>
      <c r="J24" s="71">
        <v>3887</v>
      </c>
      <c r="K24" s="71">
        <v>2459</v>
      </c>
      <c r="L24" s="71">
        <v>303</v>
      </c>
      <c r="M24" s="71">
        <v>328</v>
      </c>
      <c r="N24" s="71">
        <v>901</v>
      </c>
      <c r="O24" s="71">
        <v>343</v>
      </c>
      <c r="P24" s="71">
        <v>361</v>
      </c>
      <c r="Q24" s="90">
        <v>4391</v>
      </c>
      <c r="R24" s="71">
        <v>3525</v>
      </c>
      <c r="S24" s="71">
        <v>3648</v>
      </c>
      <c r="T24" s="71">
        <v>389</v>
      </c>
      <c r="U24" s="71">
        <v>4300</v>
      </c>
      <c r="V24" s="71">
        <v>884</v>
      </c>
      <c r="W24" s="71">
        <v>410</v>
      </c>
      <c r="X24" s="71">
        <v>4190</v>
      </c>
      <c r="Y24" s="71">
        <v>2383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13796.651535911999</v>
      </c>
      <c r="E25" s="91" ph="1">
        <f>E24*268.68*LOOKUP(E26,密度!$A$2:$A$50,密度!$C$2:$C$50)+IF(E24&lt;=0,0,1566*LOOKUP(E26,密度!$A$2:$A$50,密度!$C$2:$C$50))</f>
        <v>3467.5644541199999</v>
      </c>
      <c r="F25" s="91" ph="1">
        <f>F24*11.702*LOOKUP(F26,密度!$A$2:$A$50,密度!$Q$2:$Q$50)</f>
        <v>17353.059979060003</v>
      </c>
      <c r="G25" s="91" ph="1">
        <f>G24*18.322*LOOKUP(G26,密度!$A$2:$A$50,密度!$B$2:$B$50)</f>
        <v>32415.813737999997</v>
      </c>
      <c r="H25" s="91" ph="1">
        <f>H24*18.322*LOOKUP(H26,密度!$A$2:$A$50,密度!$B$2:$B$50)</f>
        <v>42572.766510599999</v>
      </c>
      <c r="I25" s="91" ph="1">
        <f>I24*18.322*LOOKUP(I26,密度!$A$2:$A$50,密度!$Q$2:$Q$50)</f>
        <v>0</v>
      </c>
      <c r="J25" s="91" ph="1">
        <f>J24*18.322*LOOKUP(J26,密度!$A$2:$A$50,密度!$Q$2:$Q$50)</f>
        <v>67224.44238302001</v>
      </c>
      <c r="K25" s="91" ph="1">
        <f>K24*18.322*LOOKUP(K26,密度!$A$2:$A$50,密度!$Q$2:$Q$50)</f>
        <v>42590.256325359995</v>
      </c>
      <c r="L25" s="91" ph="1">
        <f>L24*18.322*LOOKUP(L26,密度!$A$2:$A$50,密度!$Q$2:$Q$50)</f>
        <v>5244.1202749200002</v>
      </c>
      <c r="M25" s="91" ph="1">
        <f>M24*18.322*LOOKUP(M26,密度!$A$2:$A$50,密度!$Q$2:$Q$50)</f>
        <v>5676.8034659200002</v>
      </c>
      <c r="N25" s="91" ph="1">
        <f>N24*18.322*LOOKUP(N26,密度!$A$2:$A$50,密度!$Q$2:$Q$50)</f>
        <v>15605.457889040001</v>
      </c>
      <c r="O25" s="91" ph="1">
        <f>O24*18.322*LOOKUP(O26,密度!$A$2:$A$50,密度!$C$2:$C$50)</f>
        <v>6954.3679436000002</v>
      </c>
      <c r="P25" s="91" ph="1">
        <f>P24*11.702*LOOKUP(P26,密度!$A$2:$A$50,密度!$B$2:$B$50)</f>
        <v>3278.9963563999995</v>
      </c>
      <c r="Q25" s="92" ph="1">
        <f>Q24*18.322*LOOKUP(Q26,密度!$A$2:$A$50,密度!$B$2:$B$50)</f>
        <v>62446.766332400002</v>
      </c>
      <c r="R25" s="91" ph="1">
        <f>R24*35.891*LOOKUP(R26,密度!$A$2:$A$50,密度!$C$2:$C$50)</f>
        <v>140002.356615</v>
      </c>
      <c r="S25" s="91" ph="1">
        <f>S24*35.891*LOOKUP(S26,密度!$A$2:$A$50,密度!$B$2:$B$50)</f>
        <v>101850.73326719999</v>
      </c>
      <c r="T25" s="91" ph="1">
        <f>T24*35.891*LOOKUP(T26,密度!$A$2:$A$50,密度!$Q$2:$Q$50)</f>
        <v>13178.772144070001</v>
      </c>
      <c r="U25" s="91" ph="1">
        <f>U24*35.891</f>
        <v>154331.29999999999</v>
      </c>
      <c r="V25" s="91" ph="1">
        <f>V24*47.051*LOOKUP(V26,密度!$A$2:$A$50,密度!$B$2:$B$50)</f>
        <v>32317.826268000004</v>
      </c>
      <c r="W25" s="91" ph="1">
        <f>W24*47.051*LOOKUP(W26,密度!$A$2:$A$50,密度!$B$2:$B$50)</f>
        <v>15006.398889</v>
      </c>
      <c r="X25" s="91" ph="1">
        <f>X24*47.051*LOOKUP(X26,密度!$A$2:$A$61,密度!$I$2:$I$61)</f>
        <v>203945.14730499999</v>
      </c>
      <c r="Y25" s="91" ph="1">
        <f>Y24*47.051*LOOKUP(Y26,密度!$A$2:$A$50,密度!$L$2:$L$50)</f>
        <v>104722.44582200001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29</v>
      </c>
      <c r="G26" s="74">
        <v>28</v>
      </c>
      <c r="H26" s="74">
        <v>27</v>
      </c>
      <c r="I26" s="74">
        <v>28</v>
      </c>
      <c r="J26" s="74">
        <v>29</v>
      </c>
      <c r="K26" s="74">
        <v>27</v>
      </c>
      <c r="L26" s="74">
        <v>28</v>
      </c>
      <c r="M26" s="74">
        <v>28</v>
      </c>
      <c r="N26" s="74">
        <v>27</v>
      </c>
      <c r="O26" s="74">
        <v>28</v>
      </c>
      <c r="P26" s="74">
        <v>29</v>
      </c>
      <c r="Q26" s="93">
        <v>29</v>
      </c>
      <c r="R26" s="74">
        <v>28</v>
      </c>
      <c r="S26" s="74">
        <v>27</v>
      </c>
      <c r="T26" s="74">
        <v>29</v>
      </c>
      <c r="U26" s="74">
        <v>29</v>
      </c>
      <c r="V26" s="74">
        <v>28</v>
      </c>
      <c r="W26" s="74">
        <v>27</v>
      </c>
      <c r="X26" s="74">
        <v>32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7" t="s" ph="1">
        <v>180</v>
      </c>
      <c r="D27" s="71">
        <v>20.71</v>
      </c>
      <c r="E27" s="71">
        <v>5.82</v>
      </c>
      <c r="F27" s="71">
        <v>371</v>
      </c>
      <c r="G27" s="71">
        <v>1707</v>
      </c>
      <c r="H27" s="71">
        <v>2326</v>
      </c>
      <c r="I27" s="71">
        <v>0</v>
      </c>
      <c r="J27" s="71">
        <v>3883</v>
      </c>
      <c r="K27" s="71">
        <v>2457</v>
      </c>
      <c r="L27" s="71">
        <v>296</v>
      </c>
      <c r="M27" s="71">
        <v>322</v>
      </c>
      <c r="N27" s="71">
        <v>338</v>
      </c>
      <c r="O27" s="71">
        <v>338</v>
      </c>
      <c r="P27" s="71">
        <v>356</v>
      </c>
      <c r="Q27" s="90">
        <v>4801</v>
      </c>
      <c r="R27" s="71">
        <v>3002</v>
      </c>
      <c r="S27" s="71">
        <v>3645</v>
      </c>
      <c r="T27" s="71">
        <v>386</v>
      </c>
      <c r="U27" s="71">
        <v>4329</v>
      </c>
      <c r="V27" s="71">
        <v>880</v>
      </c>
      <c r="W27" s="71">
        <v>407</v>
      </c>
      <c r="X27" s="71">
        <v>3818</v>
      </c>
      <c r="Y27" s="71">
        <v>3103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7" t="s" ph="1">
        <v>178</v>
      </c>
      <c r="D28" s="91" ph="1">
        <f>D27*268.68*LOOKUP(D29,密度!$A$2:$A$50,密度!$Q$2:$Q$50)+IF(D27&lt;=0,0,1566*LOOKUP(D29,密度!$A$2:$A$50,密度!$Q$2:$Q$50))</f>
        <v>6750.5996772720009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4095.4124818599998</v>
      </c>
      <c r="G28" s="91" ph="1">
        <f>G27*18.322*LOOKUP(G29,密度!$A$2:$A$50,密度!$B$2:$B$50)</f>
        <v>24166.697845800001</v>
      </c>
      <c r="H28" s="91" ph="1">
        <f>H27*18.322*LOOKUP(H29,密度!$A$2:$A$50,密度!$B$2:$B$50)</f>
        <v>32964.227842</v>
      </c>
      <c r="I28" s="91" ph="1">
        <f>I27*18.322*LOOKUP(I29,密度!$A$2:$A$50,密度!$Q$2:$Q$50)</f>
        <v>0</v>
      </c>
      <c r="J28" s="91" ph="1">
        <f>J27*18.322*LOOKUP(J29,密度!$A$2:$A$50,密度!$Q$2:$Q$50)</f>
        <v>67010.840659399997</v>
      </c>
      <c r="K28" s="91" ph="1">
        <f>K27*18.322*LOOKUP(K29,密度!$A$2:$A$50,密度!$Q$2:$Q$50)</f>
        <v>42342.684880859997</v>
      </c>
      <c r="L28" s="91" ph="1">
        <f>L27*18.322*LOOKUP(L29,密度!$A$2:$A$50,密度!$Q$2:$Q$50)</f>
        <v>5104.6924200000003</v>
      </c>
      <c r="M28" s="91" ph="1">
        <f>M27*18.322*LOOKUP(M29,密度!$A$2:$A$50,密度!$Q$2:$Q$50)</f>
        <v>5556.912359599999</v>
      </c>
      <c r="N28" s="91" ph="1">
        <f>N27*18.322*LOOKUP(N29,密度!$A$2:$A$50,密度!$Q$2:$Q$50)</f>
        <v>5837.2433568799988</v>
      </c>
      <c r="O28" s="91" ph="1">
        <f>O27*18.322*LOOKUP(O29,密度!$A$2:$A$50,密度!$C$2:$C$50)</f>
        <v>6830.6981079999996</v>
      </c>
      <c r="P28" s="91" ph="1">
        <f>P27*11.702*LOOKUP(P29,密度!$A$2:$A$50,密度!$B$2:$B$50)</f>
        <v>3219.0002024000005</v>
      </c>
      <c r="Q28" s="92" ph="1">
        <f>Q27*18.322*LOOKUP(Q29,密度!$A$2:$A$50,密度!$B$2:$B$50)</f>
        <v>68040.093666999994</v>
      </c>
      <c r="R28" s="91" ph="1">
        <f>R27*35.891*LOOKUP(R29,密度!$A$2:$A$50,密度!$C$2:$C$50)</f>
        <v>118734.74976400001</v>
      </c>
      <c r="S28" s="91" ph="1">
        <f>S27*35.891*LOOKUP(S29,密度!$A$2:$A$50,密度!$B$2:$B$50)</f>
        <v>101191.35458249999</v>
      </c>
      <c r="T28" s="91" ph="1">
        <f>T27*35.891*LOOKUP(T29,密度!$A$2:$A$50,密度!$Q$2:$Q$50)</f>
        <v>13058.43356908</v>
      </c>
      <c r="U28" s="91" ph="1">
        <f>U27*35.891</f>
        <v>155372.139</v>
      </c>
      <c r="V28" s="91" ph="1">
        <f>V27*47.051*LOOKUP(V29,密度!$A$2:$A$50,密度!$B$2:$B$50)</f>
        <v>32026.674680000004</v>
      </c>
      <c r="W28" s="91" ph="1">
        <f>W27*47.051*LOOKUP(W29,密度!$A$2:$A$50,密度!$B$2:$B$50)</f>
        <v>14829.5718208</v>
      </c>
      <c r="X28" s="91" ph="1">
        <f>X27*47.051*LOOKUP(X29,密度!$A$2:$A$61,密度!$I$2:$I$61)</f>
        <v>185227.54432979997</v>
      </c>
      <c r="Y28" s="91" ph="1">
        <f>Y27*47.051*LOOKUP(Y29,密度!$A$2:$A$50,密度!$L$2:$L$50)</f>
        <v>136071.30379599999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7" t="s" ph="1">
        <v>179</v>
      </c>
      <c r="D29" s="74">
        <v>25</v>
      </c>
      <c r="E29" s="74">
        <v>25</v>
      </c>
      <c r="F29" s="74">
        <v>30</v>
      </c>
      <c r="G29" s="74">
        <v>33</v>
      </c>
      <c r="H29" s="74">
        <v>32</v>
      </c>
      <c r="I29" s="74">
        <v>33</v>
      </c>
      <c r="J29" s="74">
        <v>32</v>
      </c>
      <c r="K29" s="74">
        <v>34</v>
      </c>
      <c r="L29" s="74">
        <v>33</v>
      </c>
      <c r="M29" s="74">
        <v>32</v>
      </c>
      <c r="N29" s="74">
        <v>31</v>
      </c>
      <c r="O29" s="74">
        <v>32</v>
      </c>
      <c r="P29" s="74">
        <v>33</v>
      </c>
      <c r="Q29" s="93">
        <v>32</v>
      </c>
      <c r="R29" s="74">
        <v>33</v>
      </c>
      <c r="S29" s="74">
        <v>32</v>
      </c>
      <c r="T29" s="74">
        <v>31</v>
      </c>
      <c r="U29" s="74">
        <v>30</v>
      </c>
      <c r="V29" s="74">
        <v>32</v>
      </c>
      <c r="W29" s="74">
        <v>31</v>
      </c>
      <c r="X29" s="74">
        <v>35</v>
      </c>
      <c r="Y29" s="74">
        <v>30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46515.704520220002</v>
      </c>
      <c r="E33" s="190" ph="1">
        <f>M10+I10</f>
        <v>180407.24289140003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1522252632456786910111213141516171819202123456789101112131415161718192022232424356789101112131415161718192021222345678910111213141516171819202345678910111213149101516171819222123234567891012131415161711181920212224252345678910111213127[[#This Row],[F25]]</f>
        <v>3880</v>
      </c>
      <c r="G33" s="216" ph="1">
        <f>N19</f>
        <v>23245.595180600001</v>
      </c>
      <c r="H33" s="190" ph="1">
        <f>M19</f>
        <v>32324.526487179999</v>
      </c>
      <c r="I33" s="194" ph="1">
        <v>0</v>
      </c>
      <c r="J33" s="198" ph="1">
        <f>F10+O28</f>
        <v>220751.54420800001</v>
      </c>
      <c r="K33" s="190" ph="1">
        <f>O10+K10+E28+R28</f>
        <v>129340.81618544001</v>
      </c>
      <c r="L33" s="200" ph="1">
        <f>K19</f>
        <v>33572.931006160004</v>
      </c>
      <c r="M33" s="198" ph="1">
        <f>G10+H10+W28+S28+V28+E10+R19+P28+Q28</f>
        <v>719264.05337426008</v>
      </c>
      <c r="N33" s="190" ph="1">
        <f>L10+P10++G28+H28+AD19+AE19</f>
        <v>178348.01336099999</v>
      </c>
      <c r="O33" s="194" ph="1">
        <f>G19</f>
        <v>28524.095804160002</v>
      </c>
      <c r="P33" s="198" ph="1">
        <f>L19</f>
        <v>41182.136194662002</v>
      </c>
      <c r="Q33" s="190" ph="1">
        <f>J10+N10</f>
        <v>164134.71801963999</v>
      </c>
      <c r="R33" s="194" ph="1">
        <f>BE23</f>
        <v>890</v>
      </c>
      <c r="S33" s="198" ph="1">
        <f>X28</f>
        <v>185227.54432979997</v>
      </c>
      <c r="T33" s="190" ph="1">
        <f>X19</f>
        <v>17696.798150719998</v>
      </c>
      <c r="U33" s="179" ph="1">
        <f>BE21</f>
        <v>730</v>
      </c>
      <c r="V33" s="192" ph="1">
        <f ca="1">P19+Q19+S19+M28+N28+J28+D10+AC10+D19+E19+H19+J19+O19+V19+W19+K28+L28</f>
        <v>566725.98153654998</v>
      </c>
      <c r="W33" s="192" ph="1">
        <f>D28+F28+T28+I28</f>
        <v>23904.445728211998</v>
      </c>
      <c r="X33" s="194" ph="1">
        <f>BE29+BE31</f>
        <v>10200</v>
      </c>
      <c r="Y33" s="196" ph="1">
        <f>+Q10+R10+S10+T10+U10+V10+W10+X10+Y10</f>
        <v>314167.91369040002</v>
      </c>
      <c r="Z33" s="177" ph="1">
        <f>T19+U19+Y28+Z10</f>
        <v>250968.63688951998</v>
      </c>
      <c r="AA33" s="179" ph="1">
        <f>BE19</f>
        <v>1440</v>
      </c>
      <c r="AB33" s="181" ph="1">
        <f>I19</f>
        <v>24144.668435279997</v>
      </c>
      <c r="AC33" s="183" ph="1">
        <f>AD10+AB19</f>
        <v>106749.03072960001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9" t="s" ph="1">
        <v>185</v>
      </c>
      <c r="AA36" s="159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493" priority="101">
      <formula>ABS(D$7-D$10)&gt;=1000</formula>
    </cfRule>
  </conditionalFormatting>
  <conditionalFormatting sqref="E4 E6:E11">
    <cfRule type="expression" dxfId="2492" priority="100">
      <formula>ABS(E$7-E$10)&gt;=1000</formula>
    </cfRule>
  </conditionalFormatting>
  <conditionalFormatting sqref="F4:F11">
    <cfRule type="expression" dxfId="2491" priority="99">
      <formula>ABS(F$7-F$10)&gt;=1000</formula>
    </cfRule>
  </conditionalFormatting>
  <conditionalFormatting sqref="G4:G11">
    <cfRule type="expression" dxfId="2490" priority="98">
      <formula>ABS(G$7-G$10)&gt;=1000</formula>
    </cfRule>
  </conditionalFormatting>
  <conditionalFormatting sqref="H4:H11">
    <cfRule type="expression" dxfId="2489" priority="97">
      <formula>ABS(H$7-H$10)&gt;=1000</formula>
    </cfRule>
  </conditionalFormatting>
  <conditionalFormatting sqref="I4:I11">
    <cfRule type="expression" dxfId="2488" priority="96">
      <formula>ABS(I$7-I$10)&gt;=1000</formula>
    </cfRule>
  </conditionalFormatting>
  <conditionalFormatting sqref="J4:J11">
    <cfRule type="expression" dxfId="2487" priority="95">
      <formula>ABS(J$7-J$10)&gt;=1000</formula>
    </cfRule>
  </conditionalFormatting>
  <conditionalFormatting sqref="K4:K11">
    <cfRule type="expression" dxfId="2486" priority="94">
      <formula>ABS(K$7-K$10)&gt;=1000</formula>
    </cfRule>
  </conditionalFormatting>
  <conditionalFormatting sqref="L4:L11">
    <cfRule type="expression" dxfId="2485" priority="93">
      <formula>ABS(L$7-L$10)&gt;=1000</formula>
    </cfRule>
  </conditionalFormatting>
  <conditionalFormatting sqref="M4 M6:M11">
    <cfRule type="expression" dxfId="2484" priority="92">
      <formula>ABS(M$7-M$10)&gt;=1000</formula>
    </cfRule>
  </conditionalFormatting>
  <conditionalFormatting sqref="N4 N6:N11">
    <cfRule type="expression" dxfId="2483" priority="91">
      <formula>ABS(N$7-N$10)&gt;=1000</formula>
    </cfRule>
  </conditionalFormatting>
  <conditionalFormatting sqref="O4 O6:O11">
    <cfRule type="expression" dxfId="2482" priority="90">
      <formula>ABS(O$7-O$10)&gt;=1000</formula>
    </cfRule>
  </conditionalFormatting>
  <conditionalFormatting sqref="P4 P6:P11">
    <cfRule type="expression" dxfId="2481" priority="89">
      <formula>ABS(P$7-P$10)&gt;=1000</formula>
    </cfRule>
  </conditionalFormatting>
  <conditionalFormatting sqref="Q4:Q11">
    <cfRule type="expression" dxfId="2480" priority="88">
      <formula>ABS(Q$7-Q$10)&gt;=1000</formula>
    </cfRule>
  </conditionalFormatting>
  <conditionalFormatting sqref="R4:R11">
    <cfRule type="expression" dxfId="2479" priority="87">
      <formula>ABS(R$7-R$10)&gt;=1000</formula>
    </cfRule>
  </conditionalFormatting>
  <conditionalFormatting sqref="S4:S11">
    <cfRule type="expression" dxfId="2478" priority="86">
      <formula>ABS(S$7-S$10)&gt;=1000</formula>
    </cfRule>
  </conditionalFormatting>
  <conditionalFormatting sqref="T4:T9 T11">
    <cfRule type="expression" dxfId="2477" priority="85">
      <formula>ABS(T$7-T$10)&gt;=1000</formula>
    </cfRule>
  </conditionalFormatting>
  <conditionalFormatting sqref="U4:U9 U11">
    <cfRule type="expression" dxfId="2476" priority="84">
      <formula>ABS(U$7-U$10)&gt;=1000</formula>
    </cfRule>
  </conditionalFormatting>
  <conditionalFormatting sqref="V4:V9 V11">
    <cfRule type="expression" dxfId="2475" priority="83">
      <formula>ABS(V$7-V$10)&gt;=1000</formula>
    </cfRule>
  </conditionalFormatting>
  <conditionalFormatting sqref="W4:W9 W11">
    <cfRule type="expression" dxfId="2474" priority="82">
      <formula>ABS(W$7-W$10)&gt;=1000</formula>
    </cfRule>
  </conditionalFormatting>
  <conditionalFormatting sqref="X4:X9 X11">
    <cfRule type="expression" dxfId="2473" priority="81">
      <formula>ABS(X$7-X$10)&gt;=1000</formula>
    </cfRule>
  </conditionalFormatting>
  <conditionalFormatting sqref="Y4:Y9 Y11">
    <cfRule type="expression" dxfId="2472" priority="80">
      <formula>ABS(Y$7-Y$10)&gt;=1000</formula>
    </cfRule>
  </conditionalFormatting>
  <conditionalFormatting sqref="Z4:Z11">
    <cfRule type="expression" dxfId="2471" priority="79">
      <formula>ABS(Z$7-Z$10)&gt;=1000</formula>
    </cfRule>
  </conditionalFormatting>
  <conditionalFormatting sqref="AA4:AA11">
    <cfRule type="expression" dxfId="2470" priority="78">
      <formula>ABS(AA$7-AA$10)&gt;=1000</formula>
    </cfRule>
  </conditionalFormatting>
  <conditionalFormatting sqref="AB4:AB11">
    <cfRule type="expression" dxfId="2469" priority="77">
      <formula>ABS(AB$7-AB$10)&gt;=1000</formula>
    </cfRule>
  </conditionalFormatting>
  <conditionalFormatting sqref="AC4 AC6:AC11">
    <cfRule type="expression" dxfId="2468" priority="76">
      <formula>ABS(AC$7-AC$10)&gt;=1000</formula>
    </cfRule>
  </conditionalFormatting>
  <conditionalFormatting sqref="AD4 AD6:AD11">
    <cfRule type="expression" dxfId="2467" priority="75">
      <formula>ABS(AD$7-AD$10)&gt;=1000</formula>
    </cfRule>
  </conditionalFormatting>
  <conditionalFormatting sqref="AE4 AE6:AE11">
    <cfRule type="expression" dxfId="2466" priority="74">
      <formula>ABS(AE$7-AE$10)&gt;=1000</formula>
    </cfRule>
  </conditionalFormatting>
  <conditionalFormatting sqref="D13:D20">
    <cfRule type="expression" dxfId="2465" priority="73">
      <formula>ABS(D$16-D$19)&gt;=1000</formula>
    </cfRule>
  </conditionalFormatting>
  <conditionalFormatting sqref="E13:E20">
    <cfRule type="expression" dxfId="2464" priority="72">
      <formula>ABS(E$16-E$19)&gt;=1000</formula>
    </cfRule>
  </conditionalFormatting>
  <conditionalFormatting sqref="F13 F15:F20">
    <cfRule type="expression" dxfId="2463" priority="71">
      <formula>ABS(F$16-F$19)&gt;=1000</formula>
    </cfRule>
  </conditionalFormatting>
  <conditionalFormatting sqref="G13:G20">
    <cfRule type="expression" dxfId="2462" priority="70">
      <formula>ABS(G$16-G$19)&gt;=1000</formula>
    </cfRule>
  </conditionalFormatting>
  <conditionalFormatting sqref="H13 H15:H20">
    <cfRule type="expression" dxfId="2461" priority="69">
      <formula>ABS(H$16-H$19)&gt;=1000</formula>
    </cfRule>
  </conditionalFormatting>
  <conditionalFormatting sqref="I13:I20">
    <cfRule type="expression" dxfId="2460" priority="68">
      <formula>ABS(I$16-I$19)&gt;=1000</formula>
    </cfRule>
  </conditionalFormatting>
  <conditionalFormatting sqref="J13:J20">
    <cfRule type="expression" dxfId="2459" priority="67">
      <formula>ABS(J$16-J$19)&gt;=1000</formula>
    </cfRule>
  </conditionalFormatting>
  <conditionalFormatting sqref="L13:L20">
    <cfRule type="expression" dxfId="2458" priority="66">
      <formula>ABS(L$16-L$19)&gt;=1000</formula>
    </cfRule>
  </conditionalFormatting>
  <conditionalFormatting sqref="M13 M15 M17:M18 M20">
    <cfRule type="expression" dxfId="2457" priority="65">
      <formula>ABS(M$16-M$19)&gt;=1000</formula>
    </cfRule>
  </conditionalFormatting>
  <conditionalFormatting sqref="N13:N20">
    <cfRule type="expression" dxfId="2456" priority="64">
      <formula>ABS(N$16-N$19)&gt;=1000</formula>
    </cfRule>
  </conditionalFormatting>
  <conditionalFormatting sqref="O13:O20">
    <cfRule type="expression" dxfId="2455" priority="63">
      <formula>ABS(O$16-O$19)&gt;=1000</formula>
    </cfRule>
  </conditionalFormatting>
  <conditionalFormatting sqref="P13:P20">
    <cfRule type="expression" dxfId="2454" priority="62">
      <formula>ABS(P$16-P$19)&gt;=1000</formula>
    </cfRule>
  </conditionalFormatting>
  <conditionalFormatting sqref="Q13 Q15:Q20">
    <cfRule type="expression" dxfId="2453" priority="61">
      <formula>ABS(Q$16-Q$19)&gt;=1000</formula>
    </cfRule>
  </conditionalFormatting>
  <conditionalFormatting sqref="R13:R20">
    <cfRule type="expression" dxfId="2452" priority="60">
      <formula>ABS(R$16-R$19)&gt;=1000</formula>
    </cfRule>
  </conditionalFormatting>
  <conditionalFormatting sqref="S13:S20">
    <cfRule type="expression" dxfId="2451" priority="59">
      <formula>ABS(S$16-S$19)&gt;=1000</formula>
    </cfRule>
  </conditionalFormatting>
  <conditionalFormatting sqref="T13:T15 T17:T20">
    <cfRule type="expression" dxfId="2450" priority="58">
      <formula>ABS(T$16-T$19)&gt;=1000</formula>
    </cfRule>
  </conditionalFormatting>
  <conditionalFormatting sqref="U13:U20">
    <cfRule type="expression" dxfId="2449" priority="57">
      <formula>ABS(U$16-U$19)&gt;=1000</formula>
    </cfRule>
  </conditionalFormatting>
  <conditionalFormatting sqref="V13:V20">
    <cfRule type="expression" dxfId="2448" priority="56">
      <formula>ABS(V$16-V$19)&gt;=1000</formula>
    </cfRule>
  </conditionalFormatting>
  <conditionalFormatting sqref="W13 W20 W15:W18">
    <cfRule type="expression" dxfId="2447" priority="55">
      <formula>ABS(W$16-W$19)&gt;=1000</formula>
    </cfRule>
  </conditionalFormatting>
  <conditionalFormatting sqref="X13 X15:X20 Y19">
    <cfRule type="expression" dxfId="2446" priority="54">
      <formula>ABS(X$16-X$19)&gt;=1000</formula>
    </cfRule>
  </conditionalFormatting>
  <conditionalFormatting sqref="Y13 Y15:Y18 Y20">
    <cfRule type="expression" dxfId="2445" priority="53">
      <formula>ABS(Y$16-Y$19)&gt;=1000</formula>
    </cfRule>
  </conditionalFormatting>
  <conditionalFormatting sqref="Z13:Z20">
    <cfRule type="expression" dxfId="2444" priority="52">
      <formula>ABS(Z$16-Z$19)&gt;=1000</formula>
    </cfRule>
  </conditionalFormatting>
  <conditionalFormatting sqref="AA13:AA20">
    <cfRule type="expression" dxfId="2443" priority="51">
      <formula>ABS(AA$16-AA$19)&gt;=1000</formula>
    </cfRule>
  </conditionalFormatting>
  <conditionalFormatting sqref="AB13 AB15:AB20">
    <cfRule type="expression" dxfId="2442" priority="50">
      <formula>ABS(AB$16-AB$19)&gt;=1000</formula>
    </cfRule>
  </conditionalFormatting>
  <conditionalFormatting sqref="AC13 AC15:AC20">
    <cfRule type="expression" dxfId="2441" priority="49">
      <formula>ABS(AC$16-AC$19)&gt;=1000</formula>
    </cfRule>
  </conditionalFormatting>
  <conditionalFormatting sqref="AD13:AD20">
    <cfRule type="expression" dxfId="2440" priority="48">
      <formula>ABS(AD$16-AD$19)&gt;=1000</formula>
    </cfRule>
  </conditionalFormatting>
  <conditionalFormatting sqref="AE13:AE20">
    <cfRule type="expression" dxfId="2439" priority="47">
      <formula>ABS(AE$16-AE$19)&gt;=1000</formula>
    </cfRule>
  </conditionalFormatting>
  <conditionalFormatting sqref="D22:D29">
    <cfRule type="expression" dxfId="2438" priority="46">
      <formula>ABS(D$25-D$28)&gt;=1000</formula>
    </cfRule>
  </conditionalFormatting>
  <conditionalFormatting sqref="E22:E29">
    <cfRule type="expression" dxfId="2437" priority="45">
      <formula>ABS(E$25-E$28)&gt;=1000</formula>
    </cfRule>
  </conditionalFormatting>
  <conditionalFormatting sqref="F22:F29">
    <cfRule type="expression" dxfId="2436" priority="44">
      <formula>ABS(F$25-F$28)&gt;=1000</formula>
    </cfRule>
  </conditionalFormatting>
  <conditionalFormatting sqref="G22:G29">
    <cfRule type="expression" dxfId="2435" priority="43">
      <formula>ABS(G$25-G$28)&gt;=1000</formula>
    </cfRule>
  </conditionalFormatting>
  <conditionalFormatting sqref="H22:H29">
    <cfRule type="expression" dxfId="2434" priority="42">
      <formula>ABS(H$25-H$28)&gt;=1000</formula>
    </cfRule>
  </conditionalFormatting>
  <conditionalFormatting sqref="I22 I24:I29">
    <cfRule type="expression" dxfId="2433" priority="41">
      <formula>ABS(I$25-I$28)&gt;=1000</formula>
    </cfRule>
  </conditionalFormatting>
  <conditionalFormatting sqref="J22:J29 K22">
    <cfRule type="expression" dxfId="2432" priority="40">
      <formula>ABS(J$25-J$28)&gt;=1000</formula>
    </cfRule>
  </conditionalFormatting>
  <conditionalFormatting sqref="K23:K29 L25 L28">
    <cfRule type="expression" dxfId="2431" priority="39">
      <formula>ABS(K$25-K$28)&gt;=1000</formula>
    </cfRule>
  </conditionalFormatting>
  <conditionalFormatting sqref="L22 L26:L27 L29 L24">
    <cfRule type="expression" dxfId="2430" priority="38">
      <formula>ABS(L$25-L$28)&gt;=1000</formula>
    </cfRule>
  </conditionalFormatting>
  <conditionalFormatting sqref="M22:M29">
    <cfRule type="expression" dxfId="2429" priority="37">
      <formula>ABS(M$25-M$28)&gt;=1000</formula>
    </cfRule>
  </conditionalFormatting>
  <conditionalFormatting sqref="N22:N29">
    <cfRule type="expression" dxfId="2428" priority="36">
      <formula>ABS(N$25-N$28)&gt;=1000</formula>
    </cfRule>
  </conditionalFormatting>
  <conditionalFormatting sqref="O22:O29">
    <cfRule type="expression" dxfId="2427" priority="35">
      <formula>ABS(O$25-O$28)&gt;=1000</formula>
    </cfRule>
  </conditionalFormatting>
  <conditionalFormatting sqref="P22:P29">
    <cfRule type="expression" dxfId="2426" priority="34">
      <formula>ABS(P$25-P$28)&gt;=1000</formula>
    </cfRule>
  </conditionalFormatting>
  <conditionalFormatting sqref="Q22:Q29">
    <cfRule type="expression" dxfId="2425" priority="33">
      <formula>ABS(Q$25-Q$28)&gt;=1000</formula>
    </cfRule>
  </conditionalFormatting>
  <conditionalFormatting sqref="R22:R29">
    <cfRule type="expression" dxfId="2424" priority="32">
      <formula>ABS(R$25-R$28)&gt;=1000</formula>
    </cfRule>
  </conditionalFormatting>
  <conditionalFormatting sqref="S22:S29">
    <cfRule type="expression" dxfId="2423" priority="31">
      <formula>ABS(S$25-S$28)&gt;=1000</formula>
    </cfRule>
  </conditionalFormatting>
  <conditionalFormatting sqref="T22:T29">
    <cfRule type="expression" dxfId="2422" priority="30">
      <formula>ABS(T$25-T$28)&gt;=1000</formula>
    </cfRule>
  </conditionalFormatting>
  <conditionalFormatting sqref="U22:U29">
    <cfRule type="expression" dxfId="2421" priority="29">
      <formula>ABS(U$25-U$28)&gt;=1000</formula>
    </cfRule>
  </conditionalFormatting>
  <conditionalFormatting sqref="V22:V29">
    <cfRule type="expression" dxfId="2420" priority="28">
      <formula>ABS(V$25-V$28)&gt;=1000</formula>
    </cfRule>
  </conditionalFormatting>
  <conditionalFormatting sqref="W22:W29">
    <cfRule type="expression" dxfId="2419" priority="27">
      <formula>ABS(W$25-W$28)&gt;=1000</formula>
    </cfRule>
  </conditionalFormatting>
  <conditionalFormatting sqref="X22:X29">
    <cfRule type="expression" dxfId="2418" priority="26">
      <formula>ABS(X$25-X$28)&gt;=1000</formula>
    </cfRule>
  </conditionalFormatting>
  <conditionalFormatting sqref="Y22:Y29">
    <cfRule type="expression" dxfId="2417" priority="25">
      <formula>ABS(Y$25-Y$28)&gt;=1000</formula>
    </cfRule>
  </conditionalFormatting>
  <conditionalFormatting sqref="I23">
    <cfRule type="expression" dxfId="2416" priority="24">
      <formula>ABS(I$25-I$28)&gt;=1000</formula>
    </cfRule>
  </conditionalFormatting>
  <conditionalFormatting sqref="Q14">
    <cfRule type="expression" dxfId="2415" priority="23">
      <formula>ABS(Q$16-Q$19)&gt;=1000</formula>
    </cfRule>
  </conditionalFormatting>
  <conditionalFormatting sqref="W14">
    <cfRule type="expression" dxfId="2414" priority="22">
      <formula>ABS(W$16-W$19)&gt;=1000</formula>
    </cfRule>
  </conditionalFormatting>
  <conditionalFormatting sqref="X14">
    <cfRule type="expression" dxfId="2413" priority="21">
      <formula>ABS(X$16-X$19)&gt;=1000</formula>
    </cfRule>
  </conditionalFormatting>
  <conditionalFormatting sqref="T10:Y10">
    <cfRule type="expression" dxfId="2412" priority="20">
      <formula>ABS(T$7-T$10)&gt;=1000</formula>
    </cfRule>
  </conditionalFormatting>
  <conditionalFormatting sqref="W19">
    <cfRule type="expression" dxfId="2411" priority="19">
      <formula>ABS(W$16-W$19)&gt;=1000</formula>
    </cfRule>
  </conditionalFormatting>
  <conditionalFormatting sqref="AC5">
    <cfRule type="expression" dxfId="2410" priority="18">
      <formula>ABS(AC$7-AC$10)&gt;=1000</formula>
    </cfRule>
  </conditionalFormatting>
  <conditionalFormatting sqref="M14">
    <cfRule type="expression" dxfId="2409" priority="17">
      <formula>ABS(M$16-M$19)&gt;=1000</formula>
    </cfRule>
  </conditionalFormatting>
  <conditionalFormatting sqref="M16">
    <cfRule type="expression" dxfId="2408" priority="16">
      <formula>ABS(M$16-M$19)&gt;=1000</formula>
    </cfRule>
  </conditionalFormatting>
  <conditionalFormatting sqref="M19">
    <cfRule type="expression" dxfId="2407" priority="15">
      <formula>ABS(M$16-M$19)&gt;=1000</formula>
    </cfRule>
  </conditionalFormatting>
  <conditionalFormatting sqref="K13:K20">
    <cfRule type="expression" dxfId="2406" priority="14">
      <formula>ABS(K$16-K$19)&gt;=1000</formula>
    </cfRule>
  </conditionalFormatting>
  <conditionalFormatting sqref="E5">
    <cfRule type="expression" dxfId="2405" priority="13">
      <formula>ABS(E$7-E$10)&gt;=1000</formula>
    </cfRule>
  </conditionalFormatting>
  <conditionalFormatting sqref="AB14:AC14">
    <cfRule type="expression" dxfId="2404" priority="12">
      <formula>ABS(AB$16-AB$19)&gt;=1000</formula>
    </cfRule>
  </conditionalFormatting>
  <conditionalFormatting sqref="M5">
    <cfRule type="expression" dxfId="2403" priority="11">
      <formula>ABS(M$7-M$10)&gt;=1000</formula>
    </cfRule>
  </conditionalFormatting>
  <conditionalFormatting sqref="N5">
    <cfRule type="expression" dxfId="2402" priority="10">
      <formula>ABS(N$7-N$10)&gt;=1000</formula>
    </cfRule>
  </conditionalFormatting>
  <conditionalFormatting sqref="O5">
    <cfRule type="expression" dxfId="2401" priority="9">
      <formula>ABS(O$7-O$10)&gt;=1000</formula>
    </cfRule>
  </conditionalFormatting>
  <conditionalFormatting sqref="P5">
    <cfRule type="expression" dxfId="2400" priority="8">
      <formula>ABS(P$7-P$10)&gt;=1000</formula>
    </cfRule>
  </conditionalFormatting>
  <conditionalFormatting sqref="L23">
    <cfRule type="expression" dxfId="2399" priority="7">
      <formula>ABS(L$25-L$28)&gt;=1000</formula>
    </cfRule>
  </conditionalFormatting>
  <conditionalFormatting sqref="Y14">
    <cfRule type="expression" dxfId="2398" priority="6">
      <formula>ABS(Y$16-Y$19)&gt;=1000</formula>
    </cfRule>
  </conditionalFormatting>
  <conditionalFormatting sqref="F14">
    <cfRule type="expression" dxfId="2397" priority="5">
      <formula>ABS(F$16-F$19)&gt;=1000</formula>
    </cfRule>
  </conditionalFormatting>
  <conditionalFormatting sqref="H14">
    <cfRule type="expression" dxfId="2396" priority="4">
      <formula>ABS(H$16-H$19)&gt;=1000</formula>
    </cfRule>
  </conditionalFormatting>
  <conditionalFormatting sqref="AD5">
    <cfRule type="expression" dxfId="2395" priority="3">
      <formula>ABS(AD$7-AD$10)&gt;=1000</formula>
    </cfRule>
  </conditionalFormatting>
  <conditionalFormatting sqref="AE5">
    <cfRule type="expression" dxfId="2394" priority="2">
      <formula>ABS(AE$7-AE$10)&gt;=1000</formula>
    </cfRule>
  </conditionalFormatting>
  <conditionalFormatting sqref="T16">
    <cfRule type="expression" dxfId="2393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201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6">
    <pageSetUpPr fitToPage="1"/>
  </sheetPr>
  <dimension ref="A1:CU223"/>
  <sheetViews>
    <sheetView view="pageBreakPreview" topLeftCell="B12" zoomScale="55" zoomScaleNormal="100" zoomScaleSheetLayoutView="55" workbookViewId="0">
      <selection activeCell="D6" sqref="D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46211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7" t="s" ph="1">
        <v>177</v>
      </c>
      <c r="D6" s="71">
        <v>962</v>
      </c>
      <c r="E6" s="71">
        <v>4599</v>
      </c>
      <c r="F6" s="71">
        <v>5848</v>
      </c>
      <c r="G6" s="71">
        <v>6994</v>
      </c>
      <c r="H6" s="71">
        <v>18</v>
      </c>
      <c r="I6" s="71">
        <v>38.72</v>
      </c>
      <c r="J6" s="71">
        <v>77.010000000000005</v>
      </c>
      <c r="K6" s="71">
        <v>6.82</v>
      </c>
      <c r="L6" s="71">
        <v>6.91</v>
      </c>
      <c r="M6" s="71">
        <v>5030</v>
      </c>
      <c r="N6" s="71">
        <v>5710</v>
      </c>
      <c r="O6" s="71">
        <v>221</v>
      </c>
      <c r="P6" s="71">
        <v>2192</v>
      </c>
      <c r="Q6" s="71">
        <v>2900</v>
      </c>
      <c r="R6" s="71">
        <v>0</v>
      </c>
      <c r="S6" s="71">
        <v>0</v>
      </c>
      <c r="T6" s="71">
        <v>4098</v>
      </c>
      <c r="U6" s="71">
        <v>7068</v>
      </c>
      <c r="V6" s="71">
        <v>7055</v>
      </c>
      <c r="W6" s="71">
        <v>7073</v>
      </c>
      <c r="X6" s="71">
        <v>7095</v>
      </c>
      <c r="Y6" s="71">
        <v>5808</v>
      </c>
      <c r="Z6" s="71">
        <v>2109</v>
      </c>
      <c r="AA6" s="71">
        <v>0</v>
      </c>
      <c r="AB6" s="71">
        <v>1918</v>
      </c>
      <c r="AC6" s="71">
        <v>2520</v>
      </c>
      <c r="AD6" s="71">
        <v>5454</v>
      </c>
      <c r="AE6" s="71">
        <v>4518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30132.17688078</v>
      </c>
      <c r="E7" s="73" ph="1">
        <f>E6*51.53*LOOKUP(E8,密度!$A$2:$A$50,密度!$B$2:$B$50)</f>
        <v>183735.61019099999</v>
      </c>
      <c r="F7" s="73" ph="1">
        <f>F6*33.183*LOOKUP(F8,密度!$A$2:$A$50,密度!$C$2:$C$50)</f>
        <v>214895.60336159999</v>
      </c>
      <c r="G7" s="73" ph="1">
        <f xml:space="preserve"> (G6+2)*51.53*LOOKUP(G8,密度!$A$2:$A$50,密度!$B$2:$B$50)</f>
        <v>279498.65816400002</v>
      </c>
      <c r="H7" s="73" ph="1">
        <f>(H6)*51.53*LOOKUP(H8,密度!$A$2:$A$50,密度!$B$2:$B$50)</f>
        <v>721.533366</v>
      </c>
      <c r="I7" s="73" ph="1">
        <f>I6*290.8*1.0267</f>
        <v>11560.412019199999</v>
      </c>
      <c r="J7" s="73" ph="1">
        <f>J6*290.8*0.7892</f>
        <v>17673.745713600001</v>
      </c>
      <c r="K7" s="73" ph="1">
        <f>K6*290.8*1.1126</f>
        <v>2206.5706256000003</v>
      </c>
      <c r="L7" s="73" ph="1">
        <f>L6*290.8*0.777</f>
        <v>1561.3255560000002</v>
      </c>
      <c r="M7" s="73" ph="1">
        <f>M6*33.183*LOOKUP(M8,密度!$A$2:$A$50,密度!$D$2:$D$50)</f>
        <v>170582.52077999999</v>
      </c>
      <c r="N7" s="73" ph="1">
        <f>N6*33.183*LOOKUP(N8,密度!$A$2:$A$50,密度!$E$2:$E$50)</f>
        <v>146903.7027276</v>
      </c>
      <c r="O7" s="73" ph="1">
        <f>O6*20.428*LOOKUP(O8,密度!$A$2:$A$50,密度!$C$2:$C$50)</f>
        <v>4989.0711987999994</v>
      </c>
      <c r="P7" s="73" ph="1">
        <f>P6*51.53*LOOKUP(P8,密度!$A$2:$A$50,密度!$B$2:$B$50)</f>
        <v>87674.708512000012</v>
      </c>
      <c r="Q7" s="73" ph="1">
        <f>Q6*1.5*1.5*3.1416*LOOKUP(W8,密度!$A$2:$A$50,密度!$L$2:$L$50)</f>
        <v>19105.01208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27084.259818000002</v>
      </c>
      <c r="U7" s="73" ph="1">
        <f>U6*1.5*1.5*3.1416*LOOKUP(U8,密度!$A$2:$A$50,密度!$L$2:$L$50)</f>
        <v>46563.5259936</v>
      </c>
      <c r="V7" s="73" ph="1">
        <f>V6*1.5*1.5*3.1416*LOOKUP(V8,密度!$A$2:$A$50,密度!$L$2:$L$50)</f>
        <v>46527.751809000001</v>
      </c>
      <c r="W7" s="73" ph="1">
        <f>W6*1.5*1.5*3.1416*LOOKUP(W8,密度!$A$2:$A$50,密度!$L$2:$L$50)</f>
        <v>46596.465669600002</v>
      </c>
      <c r="X7" s="73" ph="1">
        <f>X6*1.5*1.5*3.1416*LOOKUP(X8,密度!$A$2:$A$50,密度!$L$2:$L$50)</f>
        <v>47042.310545999993</v>
      </c>
      <c r="Y7" s="73" ph="1">
        <f>Y6*1.5*1.5*3.1416*LOOKUP(Y8,密度!$A$2:$A$50,密度!$L$2:$L$50)</f>
        <v>38262.727641600002</v>
      </c>
      <c r="Z7" s="73" ph="1">
        <f>Z6*33.183*LOOKUP(Z8,密度!$A$2:$A$50,密度!$L$2:$L$50)</f>
        <v>65434.055445000005</v>
      </c>
      <c r="AA7" s="73" ph="1">
        <f>AA6*33.183*LOOKUP(AA8,密度!$A$2:$A$50,密度!$D$2:$D$50)</f>
        <v>0</v>
      </c>
      <c r="AB7" s="73" ph="1">
        <f>AB6*20.428*LOOKUP(AB8,密度!$A$2:$A$50,密度!$D$2:$D$50)</f>
        <v>40191.771323200002</v>
      </c>
      <c r="AC7" s="73" ph="1">
        <f>AC6*51.53*LOOKUP(AC8,密度!$A$2:$A$50,密度!$Q$2:$Q$50)</f>
        <v>122496.68314800001</v>
      </c>
      <c r="AD7" s="73" ph="1">
        <f>AD6*20.428*LOOKUP(AD8,密度!$A$2:$A$50,密度!$V$2:$V$50)</f>
        <v>106690.34517120001</v>
      </c>
      <c r="AE7" s="73" ph="1">
        <f>AE6*20.428</f>
        <v>92293.703999999998</v>
      </c>
    </row>
    <row r="8" spans="1:99" ph="1">
      <c r="B8" s="241" ph="1"/>
      <c r="C8" s="68" t="s" ph="1">
        <v>179</v>
      </c>
      <c r="D8" s="74">
        <v>29</v>
      </c>
      <c r="E8" s="74">
        <v>30</v>
      </c>
      <c r="F8" s="74">
        <v>27</v>
      </c>
      <c r="G8" s="74">
        <v>30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32</v>
      </c>
      <c r="O8" s="74">
        <v>30</v>
      </c>
      <c r="P8" s="74">
        <v>29</v>
      </c>
      <c r="Q8" s="74">
        <v>31</v>
      </c>
      <c r="R8" s="74">
        <v>34</v>
      </c>
      <c r="S8" s="74">
        <v>28</v>
      </c>
      <c r="T8" s="74">
        <v>27</v>
      </c>
      <c r="U8" s="74">
        <v>30</v>
      </c>
      <c r="V8" s="74">
        <v>29</v>
      </c>
      <c r="W8" s="74">
        <v>30</v>
      </c>
      <c r="X8" s="74">
        <v>24</v>
      </c>
      <c r="Y8" s="74">
        <v>30</v>
      </c>
      <c r="Z8" s="74">
        <v>27</v>
      </c>
      <c r="AA8" s="74">
        <v>32</v>
      </c>
      <c r="AB8" s="74">
        <v>26</v>
      </c>
      <c r="AC8" s="74">
        <v>30</v>
      </c>
      <c r="AD8" s="74">
        <v>29</v>
      </c>
      <c r="AE8" s="74">
        <v>29</v>
      </c>
    </row>
    <row r="9" spans="1:99" ht="26.4" ph="1">
      <c r="B9" s="241" ph="1">
        <v>0.66666666666666663</v>
      </c>
      <c r="C9" s="157" t="s" ph="1">
        <v>180</v>
      </c>
      <c r="D9" s="71">
        <v>1291</v>
      </c>
      <c r="E9" s="71">
        <v>3734</v>
      </c>
      <c r="F9" s="71">
        <v>5850</v>
      </c>
      <c r="G9" s="71">
        <v>7493</v>
      </c>
      <c r="H9" s="71">
        <v>18</v>
      </c>
      <c r="I9" s="71">
        <v>38.71</v>
      </c>
      <c r="J9" s="71">
        <v>77.12</v>
      </c>
      <c r="K9" s="71">
        <v>6.82</v>
      </c>
      <c r="L9" s="71">
        <v>20.61</v>
      </c>
      <c r="M9" s="71">
        <v>5031</v>
      </c>
      <c r="N9" s="71">
        <v>5715</v>
      </c>
      <c r="O9" s="71">
        <v>221</v>
      </c>
      <c r="P9" s="71">
        <v>2004</v>
      </c>
      <c r="Q9" s="71">
        <v>7025</v>
      </c>
      <c r="R9" s="71">
        <v>5968</v>
      </c>
      <c r="S9" s="71">
        <v>0</v>
      </c>
      <c r="T9" s="71">
        <v>0</v>
      </c>
      <c r="U9" s="71">
        <v>6682</v>
      </c>
      <c r="V9" s="71">
        <v>7063</v>
      </c>
      <c r="W9" s="71">
        <v>7080</v>
      </c>
      <c r="X9" s="71">
        <v>7101</v>
      </c>
      <c r="Y9" s="71">
        <v>5816</v>
      </c>
      <c r="Z9" s="71">
        <v>722</v>
      </c>
      <c r="AA9" s="71">
        <v>0</v>
      </c>
      <c r="AB9" s="71">
        <v>1918</v>
      </c>
      <c r="AC9" s="71">
        <v>2854</v>
      </c>
      <c r="AD9" s="71">
        <v>4452</v>
      </c>
      <c r="AE9" s="71">
        <v>4458</v>
      </c>
    </row>
    <row r="10" spans="1:99" s="72" customFormat="1" ht="22.2" ph="1">
      <c r="B10" s="241" ph="1"/>
      <c r="C10" s="157" t="s" ph="1">
        <v>178</v>
      </c>
      <c r="D10" s="73" ph="1">
        <f>D9*33.183*LOOKUP(D11,密度!$A$2:$A$50,密度!$Q$2:$Q$50)</f>
        <v>40350.292400699997</v>
      </c>
      <c r="E10" s="73" ph="1">
        <f>E9*51.53*LOOKUP(E11,密度!$A$2:$A$50,密度!$B$2:$B$50)</f>
        <v>148831.47096999999</v>
      </c>
      <c r="F10" s="73" ph="1">
        <f>F9*33.183*LOOKUP(F11,密度!$A$2:$A$50,密度!$C$2:$C$50)</f>
        <v>214114.96664999999</v>
      </c>
      <c r="G10" s="73" ph="1">
        <f xml:space="preserve"> (G9+2)*51.53*LOOKUP(G11,密度!$A$2:$A$50,密度!$B$2:$B$50)</f>
        <v>298430.14634500007</v>
      </c>
      <c r="H10" s="73" ph="1">
        <f>(H9)*51.53*LOOKUP(H11,密度!$A$2:$A$50,密度!$B$2:$B$50)</f>
        <v>715.87537199999997</v>
      </c>
      <c r="I10" s="73" ph="1">
        <f>I9*290.8*1.0267</f>
        <v>11557.4263756</v>
      </c>
      <c r="J10" s="73" ph="1">
        <f>J9*290.8*0.7892</f>
        <v>17698.990643200003</v>
      </c>
      <c r="K10" s="73" ph="1">
        <f>K9*290.8*1.1126</f>
        <v>2206.5706256000003</v>
      </c>
      <c r="L10" s="73" ph="1">
        <f>L9*290.8*0.777</f>
        <v>4656.8624760000002</v>
      </c>
      <c r="M10" s="73" ph="1">
        <f>M9*33.183*LOOKUP(M11,密度!$A$2:$A$50,密度!$D$2:$D$50)</f>
        <v>169147.32948360001</v>
      </c>
      <c r="N10" s="73" ph="1">
        <f>N9*33.183*LOOKUP(N11,密度!$A$2:$A$50,密度!$E$2:$E$50)</f>
        <v>146603.7516357</v>
      </c>
      <c r="O10" s="73" ph="1">
        <f>O9*20.428*LOOKUP(O11,密度!$A$2:$A$50,密度!$C$2:$C$50)</f>
        <v>4927.6728019999991</v>
      </c>
      <c r="P10" s="73" ph="1">
        <f>P9*51.53*LOOKUP(P11,密度!$A$2:$A$50,密度!$B$2:$B$50)</f>
        <v>79700.791416000007</v>
      </c>
      <c r="Q10" s="73" ph="1">
        <f>Q9*1.5*1.5*3.1416*LOOKUP(W11,密度!$A$2:$A$50,密度!$L$2:$L$50)</f>
        <v>46180.930950000002</v>
      </c>
      <c r="R10" s="73" ph="1">
        <f>R9*1.5*1.5*3.1416*LOOKUP(R11,密度!$A$2:$A$50,密度!$L$2:$L$50)</f>
        <v>38979.314035199997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44020.583006399997</v>
      </c>
      <c r="V10" s="73" ph="1">
        <f>V9*1.5*1.5*3.1416*LOOKUP(V11,密度!$A$2:$A$50,密度!$L$2:$L$50)</f>
        <v>46380.809752200003</v>
      </c>
      <c r="W10" s="73" ph="1">
        <f>W9*1.5*1.5*3.1416*LOOKUP(W11,密度!$A$2:$A$50,密度!$L$2:$L$50)</f>
        <v>46542.489840000002</v>
      </c>
      <c r="X10" s="73" ph="1">
        <f>X9*1.5*1.5*3.1416*LOOKUP(X11,密度!$A$2:$A$50,密度!$L$2:$L$50)</f>
        <v>47031.898498199997</v>
      </c>
      <c r="Y10" s="73" ph="1">
        <f>Y9*1.5*1.5*3.1416*LOOKUP(Y11,密度!$A$2:$A$50,密度!$L$2:$L$50)</f>
        <v>38274.320145600002</v>
      </c>
      <c r="Z10" s="73" ph="1">
        <f>Z9*33.183*LOOKUP(Z11,密度!$A$2:$A$50,密度!$L$2:$L$50)</f>
        <v>22233.140928000001</v>
      </c>
      <c r="AA10" s="73" ph="1">
        <f>AA9*33.183*LOOKUP(AA11,密度!$A$2:$A$50,密度!$D$2:$D$50)</f>
        <v>0</v>
      </c>
      <c r="AB10" s="73" ph="1">
        <f>AB9*20.428*LOOKUP(AB11,密度!$A$2:$A$50,密度!$D$2:$D$50)</f>
        <v>40078.146701600002</v>
      </c>
      <c r="AC10" s="73" ph="1">
        <f>AC9*51.53*LOOKUP(AC11,密度!$A$2:$A$50,密度!$Q$2:$Q$50)</f>
        <v>138522.049378</v>
      </c>
      <c r="AD10" s="73" ph="1">
        <f>AD9*20.428*LOOKUP(AD11,密度!$A$2:$A$50,密度!$V$2:$V$50)</f>
        <v>87089.368665600006</v>
      </c>
      <c r="AE10" s="73" ph="1">
        <f>AE9*20.428</f>
        <v>91068.024000000005</v>
      </c>
    </row>
    <row r="11" spans="1:99" ph="1">
      <c r="A11" s="64" t="s" ph="1">
        <v>162</v>
      </c>
      <c r="B11" s="241" ph="1"/>
      <c r="C11" s="157" t="s" ph="1">
        <v>179</v>
      </c>
      <c r="D11" s="74">
        <v>32</v>
      </c>
      <c r="E11" s="74">
        <v>32</v>
      </c>
      <c r="F11" s="74">
        <v>32</v>
      </c>
      <c r="G11" s="74">
        <v>33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34</v>
      </c>
      <c r="O11" s="74">
        <v>43</v>
      </c>
      <c r="P11" s="74">
        <v>34</v>
      </c>
      <c r="Q11" s="74">
        <v>34</v>
      </c>
      <c r="R11" s="74">
        <v>38</v>
      </c>
      <c r="S11" s="74">
        <v>29</v>
      </c>
      <c r="T11" s="74">
        <v>39</v>
      </c>
      <c r="U11" s="74">
        <v>30</v>
      </c>
      <c r="V11" s="74">
        <v>33</v>
      </c>
      <c r="W11" s="74">
        <v>32</v>
      </c>
      <c r="X11" s="74">
        <v>25</v>
      </c>
      <c r="Y11" s="74">
        <v>31</v>
      </c>
      <c r="Z11" s="74">
        <v>34</v>
      </c>
      <c r="AA11" s="74">
        <v>34</v>
      </c>
      <c r="AB11" s="74">
        <v>29</v>
      </c>
      <c r="AC11" s="74">
        <v>32</v>
      </c>
      <c r="AD11" s="74">
        <v>36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7" t="s" ph="1">
        <v>177</v>
      </c>
      <c r="D15" s="78">
        <v>0</v>
      </c>
      <c r="E15" s="78">
        <v>3907</v>
      </c>
      <c r="F15" s="78">
        <v>5010</v>
      </c>
      <c r="G15" s="78">
        <v>4277</v>
      </c>
      <c r="H15" s="78">
        <v>2035</v>
      </c>
      <c r="I15" s="78">
        <v>2637</v>
      </c>
      <c r="J15" s="78">
        <v>3395</v>
      </c>
      <c r="K15" s="78">
        <v>3366</v>
      </c>
      <c r="L15" s="78">
        <v>5865</v>
      </c>
      <c r="M15" s="78">
        <v>6672</v>
      </c>
      <c r="N15" s="78">
        <v>365</v>
      </c>
      <c r="O15" s="78">
        <v>4274</v>
      </c>
      <c r="P15" s="78">
        <v>7003</v>
      </c>
      <c r="Q15" s="78">
        <v>2917</v>
      </c>
      <c r="R15" s="78">
        <v>1951</v>
      </c>
      <c r="S15" s="78">
        <v>0</v>
      </c>
      <c r="T15" s="78">
        <v>3399</v>
      </c>
      <c r="U15" s="78">
        <v>2666</v>
      </c>
      <c r="V15" s="78">
        <v>4955</v>
      </c>
      <c r="W15" s="71">
        <v>5006</v>
      </c>
      <c r="X15" s="78">
        <v>1276</v>
      </c>
      <c r="Y15" s="106">
        <v>-9909</v>
      </c>
      <c r="Z15" s="78">
        <v>700</v>
      </c>
      <c r="AA15" s="78">
        <v>2540</v>
      </c>
      <c r="AB15" s="78" ph="1">
        <v>0</v>
      </c>
      <c r="AC15" s="78" ph="1">
        <v>0</v>
      </c>
      <c r="AD15" s="78">
        <v>5.51</v>
      </c>
      <c r="AE15" s="78">
        <v>38.31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7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25711.445806200001</v>
      </c>
      <c r="F16" s="73" ph="1">
        <f>F15*9.0746*LOOKUP(F17,密度!$A$2:$A$50,密度!$L$2:$L$50)</f>
        <v>41735.718828000005</v>
      </c>
      <c r="G16" s="73" ph="1">
        <f>G15*9.0746*LOOKUP(G17,密度!$A$2:$A$50,密度!$B$2:$B$50)</f>
        <v>30090.993374260001</v>
      </c>
      <c r="H16" s="73" ph="1">
        <f>H15*9.0746*LOOKUP(H17,密度!$A$2:$A$50,密度!$L$2:$L$50)</f>
        <v>17266.468285000003</v>
      </c>
      <c r="I16" s="73" ph="1">
        <f>I15*9.0746*LOOKUP(I17,密度!$A$2:$A$50,密度!$U$2:$U$50)</f>
        <v>24432.244324199997</v>
      </c>
      <c r="J16" s="73" ph="1">
        <f>J15*9.0746*LOOKUP(J17,密度!$A$2:$A$50,密度!$L$2:$L$50)</f>
        <v>28590.071776000001</v>
      </c>
      <c r="K16" s="73" ph="1">
        <f>K15*9.0746*LOOKUP(K17,密度!$A$2:$A$50,密度!$C$2:$C$50)</f>
        <v>33755.393988360003</v>
      </c>
      <c r="L16" s="73" ph="1">
        <f>L15*9.0746*LOOKUP(L17,密度!$A$2:$A$50,密度!$E$2:$E$50)</f>
        <v>41385.838550399996</v>
      </c>
      <c r="M16" s="73" ph="1">
        <f>M15*9.0746*LOOKUP(M17,密度!$A$2:$A$50,密度!$M$2:$M$50)</f>
        <v>52606.369467744007</v>
      </c>
      <c r="N16" s="73" ph="1">
        <f>N15*9.0746*LOOKUP(N17,密度!$A$2:$A$50,密度!$M$2:$M$50)</f>
        <v>2891.9071399000004</v>
      </c>
      <c r="O16" s="73" ph="1">
        <f>O15*9.0746*LOOKUP(O17,密度!$A$2:$A$50,密度!$G$2:$G$50)</f>
        <v>37027.88712988</v>
      </c>
      <c r="P16" s="73" ph="1">
        <f ca="1">P15*9.0746*LOOKUP(P17,密度!$A$2:$A$51,密度!$Q$2:$Q$50)</f>
        <v>59948.077953254004</v>
      </c>
      <c r="Q16" s="73" ph="1">
        <f>Q15*9.0746*LOOKUP(Q17,密度!$A$2:$A$50,密度!$Q$2:$Q$50)</f>
        <v>24915.459968250005</v>
      </c>
      <c r="R16" s="73" ph="1">
        <f>MAX(R15*9.0746*LOOKUP(R17,密度!$A$2:$A$50,密度!$B$2:$B$50),0)</f>
        <v>13694.465248099999</v>
      </c>
      <c r="S16" s="73" ph="1">
        <f>S15*9.0746*LOOKUP(S17,密度!$A$2:$A$50,密度!$Q$2:$Q$50)</f>
        <v>0</v>
      </c>
      <c r="T16" s="73" ph="1">
        <f>T15*9.0746*LOOKUP(T17,密度!$A$2:$A$50,密度!$O$2:$O$50)</f>
        <v>28438.6892988</v>
      </c>
      <c r="U16" s="73" ph="1">
        <f>U15*9.0746*LOOKUP(U17,密度!$A$2:$A$50,密度!$H$2:$H$50)</f>
        <v>21992.540836580003</v>
      </c>
      <c r="V16" s="73" ph="1">
        <f>MAX(5600*LOOKUP(V17,密度!$A$2:$A$50,密度!$Q$2:$Q$50)+V15*9.0476*LOOKUP(V17,密度!$A$2:$A$50,密度!$Q$2:$Q$50),0)</f>
        <v>47401.980668519987</v>
      </c>
      <c r="W16" s="73" ph="1">
        <f>MAX(5600*LOOKUP(W17,密度!$A$2:$A$50,密度!$Q$2:$Q$50)+W15*9.0476*LOOKUP(W17,密度!$A$2:$A$50,密度!$Q$2:$Q$50),0)</f>
        <v>47935.443806639996</v>
      </c>
      <c r="X16" s="73" ph="1">
        <f>MAX(5600*LOOKUP(X17,密度!$A$2:$A$50,密度!$I$2:$I$50)+X15*9.0476*LOOKUP(X17,密度!$A$2:$A$50,密度!$I$2:$I$50),0)</f>
        <v>17755.090258559998</v>
      </c>
      <c r="Y16" s="107" ph="1">
        <v>0</v>
      </c>
      <c r="Z16" s="73" ph="1">
        <f>Z15*9.0746*LOOKUP(Z17,密度!$A$2:$A$50,密度!$D$2:$D$50)</f>
        <v>6497.6858379999994</v>
      </c>
      <c r="AA16" s="73" ph="1">
        <f>AA15*9.0746*LOOKUP(AA17,密度!$A$2:$A$50,密度!$B$2:$B$50)</f>
        <v>17870.264945200001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9245.3783716800008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32</v>
      </c>
      <c r="E17" s="74">
        <v>31</v>
      </c>
      <c r="F17" s="74">
        <v>44</v>
      </c>
      <c r="G17" s="74">
        <v>30</v>
      </c>
      <c r="H17" s="74">
        <v>27</v>
      </c>
      <c r="I17" s="74">
        <v>29</v>
      </c>
      <c r="J17" s="74">
        <v>34</v>
      </c>
      <c r="K17" s="74">
        <v>30</v>
      </c>
      <c r="L17" s="74">
        <v>30</v>
      </c>
      <c r="M17" s="74">
        <v>31</v>
      </c>
      <c r="N17" s="74">
        <v>27</v>
      </c>
      <c r="O17" s="74">
        <v>30</v>
      </c>
      <c r="P17" s="74">
        <v>30</v>
      </c>
      <c r="Q17" s="74">
        <v>33</v>
      </c>
      <c r="R17" s="74">
        <v>32</v>
      </c>
      <c r="S17" s="74">
        <v>29</v>
      </c>
      <c r="T17" s="74">
        <v>30</v>
      </c>
      <c r="U17" s="74">
        <v>31</v>
      </c>
      <c r="V17" s="74">
        <v>35</v>
      </c>
      <c r="W17" s="74">
        <v>32</v>
      </c>
      <c r="X17" s="74">
        <v>31</v>
      </c>
      <c r="Y17" s="108">
        <v>31</v>
      </c>
      <c r="Z17" s="74">
        <v>29</v>
      </c>
      <c r="AA17" s="74">
        <v>30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1494</v>
      </c>
      <c r="E18" s="71">
        <v>1658</v>
      </c>
      <c r="F18" s="71">
        <v>5103</v>
      </c>
      <c r="G18" s="71">
        <v>995</v>
      </c>
      <c r="H18" s="71">
        <v>2037</v>
      </c>
      <c r="I18" s="71">
        <v>2639</v>
      </c>
      <c r="J18" s="71">
        <v>2022</v>
      </c>
      <c r="K18" s="71">
        <v>3367</v>
      </c>
      <c r="L18" s="71">
        <v>5879</v>
      </c>
      <c r="M18" s="71">
        <v>3722</v>
      </c>
      <c r="N18" s="71">
        <v>366</v>
      </c>
      <c r="O18" s="71">
        <v>4504</v>
      </c>
      <c r="P18" s="71">
        <v>5211</v>
      </c>
      <c r="Q18" s="71">
        <v>2918</v>
      </c>
      <c r="R18" s="71">
        <v>1951</v>
      </c>
      <c r="S18" s="71">
        <v>0</v>
      </c>
      <c r="T18" s="71">
        <v>2990</v>
      </c>
      <c r="U18" s="71">
        <v>2657</v>
      </c>
      <c r="V18" s="71">
        <v>4956</v>
      </c>
      <c r="W18" s="71">
        <v>5006</v>
      </c>
      <c r="X18" s="71">
        <v>1276</v>
      </c>
      <c r="Y18" s="109">
        <v>-9906</v>
      </c>
      <c r="Z18" s="71">
        <v>698</v>
      </c>
      <c r="AA18" s="71">
        <v>2542</v>
      </c>
      <c r="AB18" s="71">
        <v>0</v>
      </c>
      <c r="AC18" s="71">
        <v>0</v>
      </c>
      <c r="AD18" s="71">
        <v>9.11</v>
      </c>
      <c r="AE18" s="71">
        <v>85.21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7" t="s" ph="1">
        <v>178</v>
      </c>
      <c r="D19" s="73" ph="1">
        <f>D18*7.0686*LOOKUP(D20,密度!$A$2:$A$50,密度!$L$2:$L$50)</f>
        <v>9810.6937236000012</v>
      </c>
      <c r="E19" s="73" ph="1">
        <f>E18*7.0686*LOOKUP(E20,密度!$A$2:$A$50,密度!$L$2:$L$50)</f>
        <v>10887.637345199999</v>
      </c>
      <c r="F19" s="73" ph="1">
        <f>F18*9.0746*LOOKUP(F20,密度!$A$2:$A$50,密度!$L$2:$L$50)</f>
        <v>42695.684463600002</v>
      </c>
      <c r="G19" s="73" ph="1">
        <f>G18*9.0746*LOOKUP(G20,密度!$A$2:$A$50,密度!$B$2:$B$50)</f>
        <v>6960.6310943000008</v>
      </c>
      <c r="H19" s="73" ph="1">
        <f>H18*9.0746*LOOKUP(H20,密度!$A$2:$A$50,密度!$L$2:$L$50)</f>
        <v>17227.982906400001</v>
      </c>
      <c r="I19" s="73" ph="1">
        <f>I18*9.0746*LOOKUP(I20,密度!$A$2:$A$50,密度!$U$2:$U$50)</f>
        <v>24268.770849960001</v>
      </c>
      <c r="J19" s="73" ph="1">
        <f>J18*9.0746*LOOKUP(J20,密度!$A$2:$A$50,密度!$L$2:$L$50)</f>
        <v>16954.3292688</v>
      </c>
      <c r="K19" s="73" ph="1">
        <f>K18*9.0746*LOOKUP(K20,密度!$A$2:$A$50,密度!$C$2:$C$50)</f>
        <v>33606.540602180008</v>
      </c>
      <c r="L19" s="73" ph="1">
        <f>L18*9.0746*LOOKUP(L20,密度!$A$2:$A$50,密度!$E$2:$E$50)</f>
        <v>41242.421212604</v>
      </c>
      <c r="M19" s="73" ph="1">
        <f>M18*9.0746*LOOKUP(M20,密度!$A$2:$A$50,密度!$M$2:$M$50)</f>
        <v>29104.487256040004</v>
      </c>
      <c r="N19" s="73" ph="1">
        <f>N18*9.0746*LOOKUP(N20,密度!$A$2:$A$50,密度!$M$2:$M$50)</f>
        <v>2896.1767392000002</v>
      </c>
      <c r="O19" s="73" ph="1">
        <f>O18*9.0746*LOOKUP(O20,密度!$A$2:$A$50,密度!$G$2:$G$50)</f>
        <v>38805.101440912003</v>
      </c>
      <c r="P19" s="73" ph="1">
        <f ca="1">P18*9.0746*LOOKUP(P20,密度!$A$2:$A$51,密度!$Q$2:$Q$50)</f>
        <v>44540.322871140001</v>
      </c>
      <c r="Q19" s="73" ph="1">
        <f>Q18*9.0746*LOOKUP(Q20,密度!$A$2:$A$50,密度!$Q$2:$Q$50)</f>
        <v>24924.001435500002</v>
      </c>
      <c r="R19" s="73" ph="1">
        <f>MAX(R18*9.0746*LOOKUP(R20,密度!$A$2:$A$50,密度!$B$2:$B$50),0)</f>
        <v>13680.301612420002</v>
      </c>
      <c r="S19" s="73" ph="1">
        <f>S18*9.0746*LOOKUP(S20,密度!$A$2:$A$50,密度!$Q$2:$Q$50)</f>
        <v>0</v>
      </c>
      <c r="T19" s="73" ph="1">
        <f>T18*9.0746*LOOKUP(T20,密度!$A$2:$A$50,密度!$O$2:$O$50)</f>
        <v>24973.262901599999</v>
      </c>
      <c r="U19" s="73" ph="1">
        <f>U18*9.0746*LOOKUP(U20,密度!$A$2:$A$50,密度!$H$2:$H$50)</f>
        <v>21871.521698742003</v>
      </c>
      <c r="V19" s="73" ph="1">
        <f>MAX(5600*LOOKUP(V20,密度!$A$2:$A$50,密度!$Q$2:$Q$50)+V18*9.0476*LOOKUP(V20,密度!$A$2:$A$50,密度!$Q$2:$Q$50),0)</f>
        <v>47313.640250911994</v>
      </c>
      <c r="W19" s="73" ph="1">
        <f>MAX(5600*LOOKUP(W20,密度!$A$2:$A$50,密度!$Q$2:$Q$50)+W18*9.0476*LOOKUP(W20,密度!$A$2:$A$50,密度!$Q$2:$Q$50),0)</f>
        <v>47737.98173851199</v>
      </c>
      <c r="X19" s="73" ph="1">
        <f>MAX(5600*LOOKUP(X20,密度!$A$2:$A$50,密度!$I$2:$I$50)+X18*9.0476*LOOKUP(X20,密度!$A$2:$A$50,密度!$I$2:$I$50),0)</f>
        <v>17677.938939359999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6445.5504460800012</v>
      </c>
      <c r="AA19" s="73" ph="1">
        <f>AA18*9.0746*LOOKUP(AA20,密度!$A$2:$A$50,密度!$B$2:$B$50)</f>
        <v>17824.360173640001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3118.6253195999998</v>
      </c>
      <c r="AE19" s="73" ph="1">
        <f>AE18*268.68*LOOKUP(AE20,密度!$A$2:$A$50,密度!B5:B53)+IF(AE18&lt;=0,0,1566*LOOKUP(AE20,密度!$A$2:$A$50,密度!B5:B53))</f>
        <v>19005.593115600001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33</v>
      </c>
      <c r="F20" s="81">
        <v>40</v>
      </c>
      <c r="G20" s="81">
        <v>35</v>
      </c>
      <c r="H20" s="81">
        <v>30</v>
      </c>
      <c r="I20" s="81">
        <v>37</v>
      </c>
      <c r="J20" s="81">
        <v>38</v>
      </c>
      <c r="K20" s="81">
        <v>35</v>
      </c>
      <c r="L20" s="81">
        <v>34</v>
      </c>
      <c r="M20" s="81">
        <v>38</v>
      </c>
      <c r="N20" s="81">
        <v>28</v>
      </c>
      <c r="O20" s="81">
        <v>35</v>
      </c>
      <c r="P20" s="81">
        <v>32</v>
      </c>
      <c r="Q20" s="81">
        <v>33</v>
      </c>
      <c r="R20" s="81">
        <v>33</v>
      </c>
      <c r="S20" s="81">
        <v>38</v>
      </c>
      <c r="T20" s="81">
        <v>34</v>
      </c>
      <c r="U20" s="81">
        <v>33</v>
      </c>
      <c r="V20" s="81">
        <v>38</v>
      </c>
      <c r="W20" s="81">
        <v>38</v>
      </c>
      <c r="X20" s="81">
        <v>35</v>
      </c>
      <c r="Y20" s="110">
        <v>35</v>
      </c>
      <c r="Z20" s="81">
        <v>35</v>
      </c>
      <c r="AA20" s="81">
        <v>33</v>
      </c>
      <c r="AB20" s="81">
        <v>34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7" t="s" ph="1">
        <v>177</v>
      </c>
      <c r="D24" s="71">
        <v>47.81</v>
      </c>
      <c r="E24" s="71">
        <v>5.83</v>
      </c>
      <c r="F24" s="71">
        <v>1584</v>
      </c>
      <c r="G24" s="71">
        <v>2544</v>
      </c>
      <c r="H24" s="71">
        <v>3032</v>
      </c>
      <c r="I24" s="71">
        <v>0</v>
      </c>
      <c r="J24" s="71">
        <v>2683</v>
      </c>
      <c r="K24" s="71">
        <v>2459</v>
      </c>
      <c r="L24" s="71">
        <v>302</v>
      </c>
      <c r="M24" s="71">
        <v>327</v>
      </c>
      <c r="N24" s="71">
        <v>334</v>
      </c>
      <c r="O24" s="71">
        <v>343</v>
      </c>
      <c r="P24" s="71">
        <v>361</v>
      </c>
      <c r="Q24" s="90">
        <v>4859</v>
      </c>
      <c r="R24" s="71">
        <v>3005</v>
      </c>
      <c r="S24" s="71">
        <v>3648</v>
      </c>
      <c r="T24" s="71">
        <v>388</v>
      </c>
      <c r="U24" s="71">
        <v>4468</v>
      </c>
      <c r="V24" s="71">
        <v>884</v>
      </c>
      <c r="W24" s="71">
        <v>411</v>
      </c>
      <c r="X24" s="71">
        <v>3817</v>
      </c>
      <c r="Y24" s="71">
        <v>4097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13644.029473992001</v>
      </c>
      <c r="E25" s="91" ph="1">
        <f>E24*268.68*LOOKUP(E26,密度!$A$2:$A$50,密度!$C$2:$C$50)+IF(E24&lt;=0,0,1566*LOOKUP(E26,密度!$A$2:$A$50,密度!$C$2:$C$50))</f>
        <v>3473.5232391600002</v>
      </c>
      <c r="F25" s="91" ph="1">
        <f>F24*11.702*LOOKUP(F26,密度!$A$2:$A$50,密度!$Q$2:$Q$50)</f>
        <v>17522.421269760001</v>
      </c>
      <c r="G25" s="91" ph="1">
        <f>G24*18.322*LOOKUP(G26,密度!$A$2:$A$50,密度!$B$2:$B$50)</f>
        <v>36179.5886016</v>
      </c>
      <c r="H25" s="91" ph="1">
        <f>H24*18.322*LOOKUP(H26,密度!$A$2:$A$50,密度!$B$2:$B$50)</f>
        <v>43164.140207999997</v>
      </c>
      <c r="I25" s="91" ph="1">
        <f>I24*18.322*LOOKUP(I26,密度!$A$2:$A$50,密度!$Q$2:$Q$50)</f>
        <v>0</v>
      </c>
      <c r="J25" s="91" ph="1">
        <f>J24*18.322*LOOKUP(J26,密度!$A$2:$A$50,密度!$Q$2:$Q$50)</f>
        <v>46469.970606319999</v>
      </c>
      <c r="K25" s="91" ph="1">
        <f>K24*18.322*LOOKUP(K26,密度!$A$2:$A$50,密度!$Q$2:$Q$50)</f>
        <v>42558.718666759996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5663.69004408</v>
      </c>
      <c r="N25" s="91" ph="1">
        <f>N24*18.322*LOOKUP(N26,密度!$A$2:$A$50,密度!$Q$2:$Q$50)</f>
        <v>5780.6474317599996</v>
      </c>
      <c r="O25" s="91" ph="1">
        <f>O24*18.322*LOOKUP(O26,密度!$A$2:$A$50,密度!$C$2:$C$50)</f>
        <v>6959.3955003999999</v>
      </c>
      <c r="P25" s="91" ph="1">
        <f>P24*11.702*LOOKUP(P26,密度!$A$2:$A$50,密度!$B$2:$B$50)</f>
        <v>3286.1778737999998</v>
      </c>
      <c r="Q25" s="92" ph="1">
        <f>Q24*18.322*LOOKUP(Q26,密度!$A$2:$A$50,密度!$B$2:$B$50)</f>
        <v>69102.445367599998</v>
      </c>
      <c r="R25" s="91" ph="1">
        <f>R24*35.891*LOOKUP(R26,密度!$A$2:$A$50,密度!$C$2:$C$50)</f>
        <v>119435.80866699999</v>
      </c>
      <c r="S25" s="91" ph="1">
        <f>S24*35.891*LOOKUP(S26,密度!$A$2:$A$50,密度!$B$2:$B$50)</f>
        <v>101732.895936</v>
      </c>
      <c r="T25" s="91" ph="1">
        <f>T24*35.891*LOOKUP(T26,密度!$A$2:$A$50,密度!$Q$2:$Q$50)</f>
        <v>13164.25028656</v>
      </c>
      <c r="U25" s="91" ph="1">
        <f>U24*35.891</f>
        <v>160360.98799999998</v>
      </c>
      <c r="V25" s="91" ph="1">
        <f>V24*47.051*LOOKUP(V26,密度!$A$2:$A$50,密度!$B$2:$B$50)</f>
        <v>32317.826268000004</v>
      </c>
      <c r="W25" s="91" ph="1">
        <f>W24*47.051*LOOKUP(W26,密度!$A$2:$A$50,密度!$B$2:$B$50)</f>
        <v>15025.595697000001</v>
      </c>
      <c r="X25" s="91" ph="1">
        <f>X24*47.051*LOOKUP(X26,密度!$A$2:$A$61,密度!$I$2:$I$61)</f>
        <v>185376.58307740002</v>
      </c>
      <c r="Y25" s="91" ph="1">
        <f>Y24*47.051*LOOKUP(Y26,密度!$A$2:$A$50,密度!$L$2:$L$50)</f>
        <v>180238.03044500001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29</v>
      </c>
      <c r="H26" s="74">
        <v>28</v>
      </c>
      <c r="I26" s="74">
        <v>27</v>
      </c>
      <c r="J26" s="74">
        <v>27</v>
      </c>
      <c r="K26" s="74">
        <v>28</v>
      </c>
      <c r="L26" s="74">
        <v>28</v>
      </c>
      <c r="M26" s="74">
        <v>27</v>
      </c>
      <c r="N26" s="74">
        <v>28</v>
      </c>
      <c r="O26" s="74">
        <v>27</v>
      </c>
      <c r="P26" s="74">
        <v>27</v>
      </c>
      <c r="Q26" s="93">
        <v>29</v>
      </c>
      <c r="R26" s="74">
        <v>27</v>
      </c>
      <c r="S26" s="74">
        <v>28</v>
      </c>
      <c r="T26" s="74">
        <v>27</v>
      </c>
      <c r="U26" s="74">
        <v>28</v>
      </c>
      <c r="V26" s="74">
        <v>28</v>
      </c>
      <c r="W26" s="74">
        <v>28</v>
      </c>
      <c r="X26" s="74">
        <v>34</v>
      </c>
      <c r="Y26" s="74">
        <v>27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7" t="s" ph="1">
        <v>180</v>
      </c>
      <c r="D27" s="71">
        <v>9.81</v>
      </c>
      <c r="E27" s="71">
        <v>5.81</v>
      </c>
      <c r="F27" s="71">
        <v>1633</v>
      </c>
      <c r="G27" s="71">
        <v>1987</v>
      </c>
      <c r="H27" s="71">
        <v>2581</v>
      </c>
      <c r="I27" s="71">
        <v>0</v>
      </c>
      <c r="J27" s="71">
        <v>2122</v>
      </c>
      <c r="K27" s="71">
        <v>2457</v>
      </c>
      <c r="L27" s="71">
        <v>294</v>
      </c>
      <c r="M27" s="71">
        <v>321</v>
      </c>
      <c r="N27" s="71">
        <v>327</v>
      </c>
      <c r="O27" s="71">
        <v>336</v>
      </c>
      <c r="P27" s="71">
        <v>356</v>
      </c>
      <c r="Q27" s="90">
        <v>5255</v>
      </c>
      <c r="R27" s="71">
        <v>2443</v>
      </c>
      <c r="S27" s="71">
        <v>3644</v>
      </c>
      <c r="T27" s="71">
        <v>385</v>
      </c>
      <c r="U27" s="71">
        <v>4492</v>
      </c>
      <c r="V27" s="71">
        <v>879</v>
      </c>
      <c r="W27" s="71">
        <v>407</v>
      </c>
      <c r="X27" s="71">
        <v>3225</v>
      </c>
      <c r="Y27" s="71">
        <v>4788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7" t="s" ph="1">
        <v>178</v>
      </c>
      <c r="D28" s="91" ph="1">
        <f>D27*268.68*LOOKUP(D29,密度!$A$2:$A$50,密度!$Q$2:$Q$50)+IF(D27&lt;=0,0,1566*LOOKUP(D29,密度!$A$2:$A$50,密度!$Q$2:$Q$50))</f>
        <v>3977.9655523920001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18026.43822878</v>
      </c>
      <c r="G28" s="91" ph="1">
        <f>G27*18.322*LOOKUP(G29,密度!$A$2:$A$50,密度!$B$2:$B$50)</f>
        <v>28159.897128999997</v>
      </c>
      <c r="H28" s="91" ph="1">
        <f>H27*18.322*LOOKUP(H29,密度!$A$2:$A$50,密度!$B$2:$B$50)</f>
        <v>36540.273661399995</v>
      </c>
      <c r="I28" s="91" ph="1">
        <f>I27*18.322*LOOKUP(I29,密度!$A$2:$A$50,密度!$Q$2:$Q$50)</f>
        <v>0</v>
      </c>
      <c r="J28" s="91" ph="1">
        <f>J27*18.322*LOOKUP(J29,密度!$A$2:$A$50,密度!$Q$2:$Q$50)</f>
        <v>36595.126065000004</v>
      </c>
      <c r="K28" s="91" ph="1">
        <f>K27*18.322*LOOKUP(K29,密度!$A$2:$A$50,密度!$Q$2:$Q$50)</f>
        <v>42372.3962025</v>
      </c>
      <c r="L28" s="91" ph="1">
        <f>L27*18.322*LOOKUP(L29,密度!$A$2:$A$50,密度!$Q$2:$Q$50)</f>
        <v>5073.7025891999992</v>
      </c>
      <c r="M28" s="91" ph="1">
        <f>M27*18.322*LOOKUP(M29,密度!$A$2:$A$50,密度!$Q$2:$Q$50)</f>
        <v>5535.8319824999999</v>
      </c>
      <c r="N28" s="91" ph="1">
        <f>N27*18.322*LOOKUP(N29,密度!$A$2:$A$50,密度!$Q$2:$Q$50)</f>
        <v>5643.1998186000001</v>
      </c>
      <c r="O28" s="91" ph="1">
        <f>O27*18.322*LOOKUP(O29,密度!$A$2:$A$50,密度!$C$2:$C$50)</f>
        <v>6790.2797760000003</v>
      </c>
      <c r="P28" s="91" ph="1">
        <f>P27*11.702*LOOKUP(P29,密度!$A$2:$A$50,密度!$B$2:$B$50)</f>
        <v>3219.0002024000005</v>
      </c>
      <c r="Q28" s="92" ph="1">
        <f>Q27*18.322*LOOKUP(Q29,密度!$A$2:$A$50,密度!$B$2:$B$50)</f>
        <v>74474.212084999992</v>
      </c>
      <c r="R28" s="91" ph="1">
        <f>R27*35.891*LOOKUP(R29,密度!$A$2:$A$50,密度!$C$2:$C$50)</f>
        <v>96625.247726000001</v>
      </c>
      <c r="S28" s="91" ph="1">
        <f>S27*35.891*LOOKUP(S29,密度!$A$2:$A$50,密度!$B$2:$B$50)</f>
        <v>101058.9634508</v>
      </c>
      <c r="T28" s="91" ph="1">
        <f>T27*35.891*LOOKUP(T29,密度!$A$2:$A$50,密度!$Q$2:$Q$50)</f>
        <v>13006.22544375</v>
      </c>
      <c r="U28" s="91" ph="1">
        <f>U27*35.891</f>
        <v>161222.372</v>
      </c>
      <c r="V28" s="91" ph="1">
        <f>V27*47.051*LOOKUP(V29,密度!$A$2:$A$50,密度!$B$2:$B$50)</f>
        <v>31957.194468300007</v>
      </c>
      <c r="W28" s="91" ph="1">
        <f>W27*47.051*LOOKUP(W29,密度!$A$2:$A$50,密度!$B$2:$B$50)</f>
        <v>14779.782452600002</v>
      </c>
      <c r="X28" s="91" ph="1">
        <f>X27*47.051*LOOKUP(X29,密度!$A$2:$A$61,密度!$I$2:$I$61)</f>
        <v>156458.57267249998</v>
      </c>
      <c r="Y28" s="91" ph="1">
        <f>Y27*47.051*LOOKUP(Y29,密度!$A$2:$A$50,密度!$L$2:$L$50)</f>
        <v>209510.57484000004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7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33</v>
      </c>
      <c r="I29" s="74">
        <v>32</v>
      </c>
      <c r="J29" s="74">
        <v>33</v>
      </c>
      <c r="K29" s="74">
        <v>33</v>
      </c>
      <c r="L29" s="74">
        <v>32</v>
      </c>
      <c r="M29" s="74">
        <v>33</v>
      </c>
      <c r="N29" s="74">
        <v>32</v>
      </c>
      <c r="O29" s="74">
        <v>32</v>
      </c>
      <c r="P29" s="74">
        <v>33</v>
      </c>
      <c r="Q29" s="93">
        <v>32</v>
      </c>
      <c r="R29" s="74">
        <v>33</v>
      </c>
      <c r="S29" s="74">
        <v>33</v>
      </c>
      <c r="T29" s="74">
        <v>33</v>
      </c>
      <c r="U29" s="74">
        <v>32</v>
      </c>
      <c r="V29" s="74">
        <v>33</v>
      </c>
      <c r="W29" s="74">
        <v>34</v>
      </c>
      <c r="X29" s="74">
        <v>35</v>
      </c>
      <c r="Y29" s="74">
        <v>32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46523.697147680003</v>
      </c>
      <c r="E33" s="190" ph="1">
        <f>M10+I10</f>
        <v>180704.75585920003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1522252632456786910111213141516171819202123456789101112131415161718192022232424356789101112131415161718192021222345678910111213141516171819202345678910111213149101516171819222123234567891012131415161711181920212224252345678910111213128[[#This Row],[F25]]</f>
        <v>3880</v>
      </c>
      <c r="G33" s="216" ph="1">
        <f>N19</f>
        <v>2896.1767392000002</v>
      </c>
      <c r="H33" s="190" ph="1">
        <f>M19</f>
        <v>29104.487256040004</v>
      </c>
      <c r="I33" s="194" ph="1">
        <v>0</v>
      </c>
      <c r="J33" s="198" ph="1">
        <f>F10+O28</f>
        <v>220905.246426</v>
      </c>
      <c r="K33" s="190" ph="1">
        <f>O10+K10+E28+R28</f>
        <v>107227.05560772</v>
      </c>
      <c r="L33" s="200" ph="1">
        <f>K19</f>
        <v>33606.540602180008</v>
      </c>
      <c r="M33" s="198" ph="1">
        <f>G10+H10+W28+S28+V28+E10+R19+P28+Q28</f>
        <v>687146.9469585201</v>
      </c>
      <c r="N33" s="190" ph="1">
        <f>L10+P10++G28+H28+AD19+AE19</f>
        <v>171182.04311759997</v>
      </c>
      <c r="O33" s="194" ph="1">
        <f>G19</f>
        <v>6960.6310943000008</v>
      </c>
      <c r="P33" s="198" ph="1">
        <f>L19</f>
        <v>41242.421212604</v>
      </c>
      <c r="Q33" s="190" ph="1">
        <f>J10+N10</f>
        <v>164302.7422789</v>
      </c>
      <c r="R33" s="194" ph="1">
        <f>BE23</f>
        <v>890</v>
      </c>
      <c r="S33" s="198" ph="1">
        <f>X28</f>
        <v>156458.57267249998</v>
      </c>
      <c r="T33" s="190" ph="1">
        <f>X19</f>
        <v>17677.938939359999</v>
      </c>
      <c r="U33" s="179" ph="1">
        <f>BE21</f>
        <v>730</v>
      </c>
      <c r="V33" s="192" ph="1">
        <f ca="1">P19+Q19+S19+M28+N28+J28+D10+AC10+D19+E19+H19+J19+O19+V19+W19+K28+L28</f>
        <v>532294.28941747593</v>
      </c>
      <c r="W33" s="192" ph="1">
        <f>D28+F28+T28+I28</f>
        <v>35010.629224921999</v>
      </c>
      <c r="X33" s="194" ph="1">
        <f>BE29+BE31</f>
        <v>10200</v>
      </c>
      <c r="Y33" s="196" ph="1">
        <f>+Q10+R10+S10+T10+U10+V10+W10+X10+Y10</f>
        <v>307410.34622760001</v>
      </c>
      <c r="Z33" s="177" ph="1">
        <f>T19+U19+Y28+Z10</f>
        <v>278588.50036834204</v>
      </c>
      <c r="AA33" s="179" ph="1">
        <f>BE19</f>
        <v>1440</v>
      </c>
      <c r="AB33" s="181" ph="1">
        <f>I19</f>
        <v>24268.770849960001</v>
      </c>
      <c r="AC33" s="183" ph="1">
        <f>AD10+AB19</f>
        <v>87089.368665600006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9" t="s" ph="1">
        <v>185</v>
      </c>
      <c r="AA36" s="159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362" priority="101">
      <formula>ABS(D$7-D$10)&gt;=1000</formula>
    </cfRule>
  </conditionalFormatting>
  <conditionalFormatting sqref="E4 E6:E11">
    <cfRule type="expression" dxfId="2361" priority="100">
      <formula>ABS(E$7-E$10)&gt;=1000</formula>
    </cfRule>
  </conditionalFormatting>
  <conditionalFormatting sqref="F4:F11">
    <cfRule type="expression" dxfId="2360" priority="99">
      <formula>ABS(F$7-F$10)&gt;=1000</formula>
    </cfRule>
  </conditionalFormatting>
  <conditionalFormatting sqref="G4:G11">
    <cfRule type="expression" dxfId="2359" priority="98">
      <formula>ABS(G$7-G$10)&gt;=1000</formula>
    </cfRule>
  </conditionalFormatting>
  <conditionalFormatting sqref="H4:H11">
    <cfRule type="expression" dxfId="2358" priority="97">
      <formula>ABS(H$7-H$10)&gt;=1000</formula>
    </cfRule>
  </conditionalFormatting>
  <conditionalFormatting sqref="I4:I11">
    <cfRule type="expression" dxfId="2357" priority="96">
      <formula>ABS(I$7-I$10)&gt;=1000</formula>
    </cfRule>
  </conditionalFormatting>
  <conditionalFormatting sqref="J4:J11">
    <cfRule type="expression" dxfId="2356" priority="95">
      <formula>ABS(J$7-J$10)&gt;=1000</formula>
    </cfRule>
  </conditionalFormatting>
  <conditionalFormatting sqref="K4:K11">
    <cfRule type="expression" dxfId="2355" priority="94">
      <formula>ABS(K$7-K$10)&gt;=1000</formula>
    </cfRule>
  </conditionalFormatting>
  <conditionalFormatting sqref="L4:L11">
    <cfRule type="expression" dxfId="2354" priority="93">
      <formula>ABS(L$7-L$10)&gt;=1000</formula>
    </cfRule>
  </conditionalFormatting>
  <conditionalFormatting sqref="M4 M6:M11">
    <cfRule type="expression" dxfId="2353" priority="92">
      <formula>ABS(M$7-M$10)&gt;=1000</formula>
    </cfRule>
  </conditionalFormatting>
  <conditionalFormatting sqref="N4 N6:N11">
    <cfRule type="expression" dxfId="2352" priority="91">
      <formula>ABS(N$7-N$10)&gt;=1000</formula>
    </cfRule>
  </conditionalFormatting>
  <conditionalFormatting sqref="O4 O6:O11">
    <cfRule type="expression" dxfId="2351" priority="90">
      <formula>ABS(O$7-O$10)&gt;=1000</formula>
    </cfRule>
  </conditionalFormatting>
  <conditionalFormatting sqref="P4 P6:P11">
    <cfRule type="expression" dxfId="2350" priority="89">
      <formula>ABS(P$7-P$10)&gt;=1000</formula>
    </cfRule>
  </conditionalFormatting>
  <conditionalFormatting sqref="Q4:Q11">
    <cfRule type="expression" dxfId="2349" priority="88">
      <formula>ABS(Q$7-Q$10)&gt;=1000</formula>
    </cfRule>
  </conditionalFormatting>
  <conditionalFormatting sqref="R4:R11">
    <cfRule type="expression" dxfId="2348" priority="87">
      <formula>ABS(R$7-R$10)&gt;=1000</formula>
    </cfRule>
  </conditionalFormatting>
  <conditionalFormatting sqref="S4:S11">
    <cfRule type="expression" dxfId="2347" priority="86">
      <formula>ABS(S$7-S$10)&gt;=1000</formula>
    </cfRule>
  </conditionalFormatting>
  <conditionalFormatting sqref="T4:T9 T11">
    <cfRule type="expression" dxfId="2346" priority="85">
      <formula>ABS(T$7-T$10)&gt;=1000</formula>
    </cfRule>
  </conditionalFormatting>
  <conditionalFormatting sqref="U4:U9 U11">
    <cfRule type="expression" dxfId="2345" priority="84">
      <formula>ABS(U$7-U$10)&gt;=1000</formula>
    </cfRule>
  </conditionalFormatting>
  <conditionalFormatting sqref="V4:V9 V11">
    <cfRule type="expression" dxfId="2344" priority="83">
      <formula>ABS(V$7-V$10)&gt;=1000</formula>
    </cfRule>
  </conditionalFormatting>
  <conditionalFormatting sqref="W4:W9 W11">
    <cfRule type="expression" dxfId="2343" priority="82">
      <formula>ABS(W$7-W$10)&gt;=1000</formula>
    </cfRule>
  </conditionalFormatting>
  <conditionalFormatting sqref="X4:X9 X11">
    <cfRule type="expression" dxfId="2342" priority="81">
      <formula>ABS(X$7-X$10)&gt;=1000</formula>
    </cfRule>
  </conditionalFormatting>
  <conditionalFormatting sqref="Y4:Y9 Y11">
    <cfRule type="expression" dxfId="2341" priority="80">
      <formula>ABS(Y$7-Y$10)&gt;=1000</formula>
    </cfRule>
  </conditionalFormatting>
  <conditionalFormatting sqref="Z4:Z11">
    <cfRule type="expression" dxfId="2340" priority="79">
      <formula>ABS(Z$7-Z$10)&gt;=1000</formula>
    </cfRule>
  </conditionalFormatting>
  <conditionalFormatting sqref="AA4:AA11">
    <cfRule type="expression" dxfId="2339" priority="78">
      <formula>ABS(AA$7-AA$10)&gt;=1000</formula>
    </cfRule>
  </conditionalFormatting>
  <conditionalFormatting sqref="AB4:AB11">
    <cfRule type="expression" dxfId="2338" priority="77">
      <formula>ABS(AB$7-AB$10)&gt;=1000</formula>
    </cfRule>
  </conditionalFormatting>
  <conditionalFormatting sqref="AC4 AC6:AC11">
    <cfRule type="expression" dxfId="2337" priority="76">
      <formula>ABS(AC$7-AC$10)&gt;=1000</formula>
    </cfRule>
  </conditionalFormatting>
  <conditionalFormatting sqref="AD4 AD6:AD11">
    <cfRule type="expression" dxfId="2336" priority="75">
      <formula>ABS(AD$7-AD$10)&gt;=1000</formula>
    </cfRule>
  </conditionalFormatting>
  <conditionalFormatting sqref="AE4 AE6:AE11">
    <cfRule type="expression" dxfId="2335" priority="74">
      <formula>ABS(AE$7-AE$10)&gt;=1000</formula>
    </cfRule>
  </conditionalFormatting>
  <conditionalFormatting sqref="D13:D20">
    <cfRule type="expression" dxfId="2334" priority="73">
      <formula>ABS(D$16-D$19)&gt;=1000</formula>
    </cfRule>
  </conditionalFormatting>
  <conditionalFormatting sqref="E13:E20">
    <cfRule type="expression" dxfId="2333" priority="72">
      <formula>ABS(E$16-E$19)&gt;=1000</formula>
    </cfRule>
  </conditionalFormatting>
  <conditionalFormatting sqref="F13 F15:F20">
    <cfRule type="expression" dxfId="2332" priority="71">
      <formula>ABS(F$16-F$19)&gt;=1000</formula>
    </cfRule>
  </conditionalFormatting>
  <conditionalFormatting sqref="G13:G20">
    <cfRule type="expression" dxfId="2331" priority="70">
      <formula>ABS(G$16-G$19)&gt;=1000</formula>
    </cfRule>
  </conditionalFormatting>
  <conditionalFormatting sqref="H13 H15:H20">
    <cfRule type="expression" dxfId="2330" priority="69">
      <formula>ABS(H$16-H$19)&gt;=1000</formula>
    </cfRule>
  </conditionalFormatting>
  <conditionalFormatting sqref="I13:I20">
    <cfRule type="expression" dxfId="2329" priority="68">
      <formula>ABS(I$16-I$19)&gt;=1000</formula>
    </cfRule>
  </conditionalFormatting>
  <conditionalFormatting sqref="J13:J20">
    <cfRule type="expression" dxfId="2328" priority="67">
      <formula>ABS(J$16-J$19)&gt;=1000</formula>
    </cfRule>
  </conditionalFormatting>
  <conditionalFormatting sqref="L13:L20">
    <cfRule type="expression" dxfId="2327" priority="66">
      <formula>ABS(L$16-L$19)&gt;=1000</formula>
    </cfRule>
  </conditionalFormatting>
  <conditionalFormatting sqref="M13 M15 M17:M18 M20">
    <cfRule type="expression" dxfId="2326" priority="65">
      <formula>ABS(M$16-M$19)&gt;=1000</formula>
    </cfRule>
  </conditionalFormatting>
  <conditionalFormatting sqref="N13:N20">
    <cfRule type="expression" dxfId="2325" priority="64">
      <formula>ABS(N$16-N$19)&gt;=1000</formula>
    </cfRule>
  </conditionalFormatting>
  <conditionalFormatting sqref="O13:O20">
    <cfRule type="expression" dxfId="2324" priority="63">
      <formula>ABS(O$16-O$19)&gt;=1000</formula>
    </cfRule>
  </conditionalFormatting>
  <conditionalFormatting sqref="P13:P20">
    <cfRule type="expression" dxfId="2323" priority="62">
      <formula>ABS(P$16-P$19)&gt;=1000</formula>
    </cfRule>
  </conditionalFormatting>
  <conditionalFormatting sqref="Q13 Q15:Q20">
    <cfRule type="expression" dxfId="2322" priority="61">
      <formula>ABS(Q$16-Q$19)&gt;=1000</formula>
    </cfRule>
  </conditionalFormatting>
  <conditionalFormatting sqref="R13:R20">
    <cfRule type="expression" dxfId="2321" priority="60">
      <formula>ABS(R$16-R$19)&gt;=1000</formula>
    </cfRule>
  </conditionalFormatting>
  <conditionalFormatting sqref="S13:S20">
    <cfRule type="expression" dxfId="2320" priority="59">
      <formula>ABS(S$16-S$19)&gt;=1000</formula>
    </cfRule>
  </conditionalFormatting>
  <conditionalFormatting sqref="T13:T15 T17:T20">
    <cfRule type="expression" dxfId="2319" priority="58">
      <formula>ABS(T$16-T$19)&gt;=1000</formula>
    </cfRule>
  </conditionalFormatting>
  <conditionalFormatting sqref="U13:U20">
    <cfRule type="expression" dxfId="2318" priority="57">
      <formula>ABS(U$16-U$19)&gt;=1000</formula>
    </cfRule>
  </conditionalFormatting>
  <conditionalFormatting sqref="V13:V20">
    <cfRule type="expression" dxfId="2317" priority="56">
      <formula>ABS(V$16-V$19)&gt;=1000</formula>
    </cfRule>
  </conditionalFormatting>
  <conditionalFormatting sqref="W13 W20 W15:W18">
    <cfRule type="expression" dxfId="2316" priority="55">
      <formula>ABS(W$16-W$19)&gt;=1000</formula>
    </cfRule>
  </conditionalFormatting>
  <conditionalFormatting sqref="X13 X15:X20 Y19">
    <cfRule type="expression" dxfId="2315" priority="54">
      <formula>ABS(X$16-X$19)&gt;=1000</formula>
    </cfRule>
  </conditionalFormatting>
  <conditionalFormatting sqref="Y13 Y15:Y18 Y20">
    <cfRule type="expression" dxfId="2314" priority="53">
      <formula>ABS(Y$16-Y$19)&gt;=1000</formula>
    </cfRule>
  </conditionalFormatting>
  <conditionalFormatting sqref="Z13:Z20">
    <cfRule type="expression" dxfId="2313" priority="52">
      <formula>ABS(Z$16-Z$19)&gt;=1000</formula>
    </cfRule>
  </conditionalFormatting>
  <conditionalFormatting sqref="AA13:AA20">
    <cfRule type="expression" dxfId="2312" priority="51">
      <formula>ABS(AA$16-AA$19)&gt;=1000</formula>
    </cfRule>
  </conditionalFormatting>
  <conditionalFormatting sqref="AB13 AB15:AB20">
    <cfRule type="expression" dxfId="2311" priority="50">
      <formula>ABS(AB$16-AB$19)&gt;=1000</formula>
    </cfRule>
  </conditionalFormatting>
  <conditionalFormatting sqref="AC13 AC15:AC20">
    <cfRule type="expression" dxfId="2310" priority="49">
      <formula>ABS(AC$16-AC$19)&gt;=1000</formula>
    </cfRule>
  </conditionalFormatting>
  <conditionalFormatting sqref="AD13:AD20">
    <cfRule type="expression" dxfId="2309" priority="48">
      <formula>ABS(AD$16-AD$19)&gt;=1000</formula>
    </cfRule>
  </conditionalFormatting>
  <conditionalFormatting sqref="AE13:AE20">
    <cfRule type="expression" dxfId="2308" priority="47">
      <formula>ABS(AE$16-AE$19)&gt;=1000</formula>
    </cfRule>
  </conditionalFormatting>
  <conditionalFormatting sqref="D22:D29">
    <cfRule type="expression" dxfId="2307" priority="46">
      <formula>ABS(D$25-D$28)&gt;=1000</formula>
    </cfRule>
  </conditionalFormatting>
  <conditionalFormatting sqref="E22:E29">
    <cfRule type="expression" dxfId="2306" priority="45">
      <formula>ABS(E$25-E$28)&gt;=1000</formula>
    </cfRule>
  </conditionalFormatting>
  <conditionalFormatting sqref="F22:F29">
    <cfRule type="expression" dxfId="2305" priority="44">
      <formula>ABS(F$25-F$28)&gt;=1000</formula>
    </cfRule>
  </conditionalFormatting>
  <conditionalFormatting sqref="G22:G29">
    <cfRule type="expression" dxfId="2304" priority="43">
      <formula>ABS(G$25-G$28)&gt;=1000</formula>
    </cfRule>
  </conditionalFormatting>
  <conditionalFormatting sqref="H22:H29">
    <cfRule type="expression" dxfId="2303" priority="42">
      <formula>ABS(H$25-H$28)&gt;=1000</formula>
    </cfRule>
  </conditionalFormatting>
  <conditionalFormatting sqref="I22 I24:I29">
    <cfRule type="expression" dxfId="2302" priority="41">
      <formula>ABS(I$25-I$28)&gt;=1000</formula>
    </cfRule>
  </conditionalFormatting>
  <conditionalFormatting sqref="J22:J29 K22">
    <cfRule type="expression" dxfId="2301" priority="40">
      <formula>ABS(J$25-J$28)&gt;=1000</formula>
    </cfRule>
  </conditionalFormatting>
  <conditionalFormatting sqref="K23:K29 L25 L28">
    <cfRule type="expression" dxfId="2300" priority="39">
      <formula>ABS(K$25-K$28)&gt;=1000</formula>
    </cfRule>
  </conditionalFormatting>
  <conditionalFormatting sqref="L22 L26:L27 L29 L24">
    <cfRule type="expression" dxfId="2299" priority="38">
      <formula>ABS(L$25-L$28)&gt;=1000</formula>
    </cfRule>
  </conditionalFormatting>
  <conditionalFormatting sqref="M22:M29">
    <cfRule type="expression" dxfId="2298" priority="37">
      <formula>ABS(M$25-M$28)&gt;=1000</formula>
    </cfRule>
  </conditionalFormatting>
  <conditionalFormatting sqref="N22:N29">
    <cfRule type="expression" dxfId="2297" priority="36">
      <formula>ABS(N$25-N$28)&gt;=1000</formula>
    </cfRule>
  </conditionalFormatting>
  <conditionalFormatting sqref="O22:O29">
    <cfRule type="expression" dxfId="2296" priority="35">
      <formula>ABS(O$25-O$28)&gt;=1000</formula>
    </cfRule>
  </conditionalFormatting>
  <conditionalFormatting sqref="P22:P29">
    <cfRule type="expression" dxfId="2295" priority="34">
      <formula>ABS(P$25-P$28)&gt;=1000</formula>
    </cfRule>
  </conditionalFormatting>
  <conditionalFormatting sqref="Q22:Q29">
    <cfRule type="expression" dxfId="2294" priority="33">
      <formula>ABS(Q$25-Q$28)&gt;=1000</formula>
    </cfRule>
  </conditionalFormatting>
  <conditionalFormatting sqref="R22:R29">
    <cfRule type="expression" dxfId="2293" priority="32">
      <formula>ABS(R$25-R$28)&gt;=1000</formula>
    </cfRule>
  </conditionalFormatting>
  <conditionalFormatting sqref="S22:S29">
    <cfRule type="expression" dxfId="2292" priority="31">
      <formula>ABS(S$25-S$28)&gt;=1000</formula>
    </cfRule>
  </conditionalFormatting>
  <conditionalFormatting sqref="T22:T29">
    <cfRule type="expression" dxfId="2291" priority="30">
      <formula>ABS(T$25-T$28)&gt;=1000</formula>
    </cfRule>
  </conditionalFormatting>
  <conditionalFormatting sqref="U22:U29">
    <cfRule type="expression" dxfId="2290" priority="29">
      <formula>ABS(U$25-U$28)&gt;=1000</formula>
    </cfRule>
  </conditionalFormatting>
  <conditionalFormatting sqref="V22:V29">
    <cfRule type="expression" dxfId="2289" priority="28">
      <formula>ABS(V$25-V$28)&gt;=1000</formula>
    </cfRule>
  </conditionalFormatting>
  <conditionalFormatting sqref="W22:W29">
    <cfRule type="expression" dxfId="2288" priority="27">
      <formula>ABS(W$25-W$28)&gt;=1000</formula>
    </cfRule>
  </conditionalFormatting>
  <conditionalFormatting sqref="X22:X29">
    <cfRule type="expression" dxfId="2287" priority="26">
      <formula>ABS(X$25-X$28)&gt;=1000</formula>
    </cfRule>
  </conditionalFormatting>
  <conditionalFormatting sqref="Y22:Y29">
    <cfRule type="expression" dxfId="2286" priority="25">
      <formula>ABS(Y$25-Y$28)&gt;=1000</formula>
    </cfRule>
  </conditionalFormatting>
  <conditionalFormatting sqref="I23">
    <cfRule type="expression" dxfId="2285" priority="24">
      <formula>ABS(I$25-I$28)&gt;=1000</formula>
    </cfRule>
  </conditionalFormatting>
  <conditionalFormatting sqref="Q14">
    <cfRule type="expression" dxfId="2284" priority="23">
      <formula>ABS(Q$16-Q$19)&gt;=1000</formula>
    </cfRule>
  </conditionalFormatting>
  <conditionalFormatting sqref="W14">
    <cfRule type="expression" dxfId="2283" priority="22">
      <formula>ABS(W$16-W$19)&gt;=1000</formula>
    </cfRule>
  </conditionalFormatting>
  <conditionalFormatting sqref="X14">
    <cfRule type="expression" dxfId="2282" priority="21">
      <formula>ABS(X$16-X$19)&gt;=1000</formula>
    </cfRule>
  </conditionalFormatting>
  <conditionalFormatting sqref="T10:Y10">
    <cfRule type="expression" dxfId="2281" priority="20">
      <formula>ABS(T$7-T$10)&gt;=1000</formula>
    </cfRule>
  </conditionalFormatting>
  <conditionalFormatting sqref="W19">
    <cfRule type="expression" dxfId="2280" priority="19">
      <formula>ABS(W$16-W$19)&gt;=1000</formula>
    </cfRule>
  </conditionalFormatting>
  <conditionalFormatting sqref="AC5">
    <cfRule type="expression" dxfId="2279" priority="18">
      <formula>ABS(AC$7-AC$10)&gt;=1000</formula>
    </cfRule>
  </conditionalFormatting>
  <conditionalFormatting sqref="M14">
    <cfRule type="expression" dxfId="2278" priority="17">
      <formula>ABS(M$16-M$19)&gt;=1000</formula>
    </cfRule>
  </conditionalFormatting>
  <conditionalFormatting sqref="M16">
    <cfRule type="expression" dxfId="2277" priority="16">
      <formula>ABS(M$16-M$19)&gt;=1000</formula>
    </cfRule>
  </conditionalFormatting>
  <conditionalFormatting sqref="M19">
    <cfRule type="expression" dxfId="2276" priority="15">
      <formula>ABS(M$16-M$19)&gt;=1000</formula>
    </cfRule>
  </conditionalFormatting>
  <conditionalFormatting sqref="K13:K20">
    <cfRule type="expression" dxfId="2275" priority="14">
      <formula>ABS(K$16-K$19)&gt;=1000</formula>
    </cfRule>
  </conditionalFormatting>
  <conditionalFormatting sqref="E5">
    <cfRule type="expression" dxfId="2274" priority="13">
      <formula>ABS(E$7-E$10)&gt;=1000</formula>
    </cfRule>
  </conditionalFormatting>
  <conditionalFormatting sqref="AB14:AC14">
    <cfRule type="expression" dxfId="2273" priority="12">
      <formula>ABS(AB$16-AB$19)&gt;=1000</formula>
    </cfRule>
  </conditionalFormatting>
  <conditionalFormatting sqref="M5">
    <cfRule type="expression" dxfId="2272" priority="11">
      <formula>ABS(M$7-M$10)&gt;=1000</formula>
    </cfRule>
  </conditionalFormatting>
  <conditionalFormatting sqref="N5">
    <cfRule type="expression" dxfId="2271" priority="10">
      <formula>ABS(N$7-N$10)&gt;=1000</formula>
    </cfRule>
  </conditionalFormatting>
  <conditionalFormatting sqref="O5">
    <cfRule type="expression" dxfId="2270" priority="9">
      <formula>ABS(O$7-O$10)&gt;=1000</formula>
    </cfRule>
  </conditionalFormatting>
  <conditionalFormatting sqref="P5">
    <cfRule type="expression" dxfId="2269" priority="8">
      <formula>ABS(P$7-P$10)&gt;=1000</formula>
    </cfRule>
  </conditionalFormatting>
  <conditionalFormatting sqref="L23">
    <cfRule type="expression" dxfId="2268" priority="7">
      <formula>ABS(L$25-L$28)&gt;=1000</formula>
    </cfRule>
  </conditionalFormatting>
  <conditionalFormatting sqref="Y14">
    <cfRule type="expression" dxfId="2267" priority="6">
      <formula>ABS(Y$16-Y$19)&gt;=1000</formula>
    </cfRule>
  </conditionalFormatting>
  <conditionalFormatting sqref="F14">
    <cfRule type="expression" dxfId="2266" priority="5">
      <formula>ABS(F$16-F$19)&gt;=1000</formula>
    </cfRule>
  </conditionalFormatting>
  <conditionalFormatting sqref="H14">
    <cfRule type="expression" dxfId="2265" priority="4">
      <formula>ABS(H$16-H$19)&gt;=1000</formula>
    </cfRule>
  </conditionalFormatting>
  <conditionalFormatting sqref="AD5">
    <cfRule type="expression" dxfId="2264" priority="3">
      <formula>ABS(AD$7-AD$10)&gt;=1000</formula>
    </cfRule>
  </conditionalFormatting>
  <conditionalFormatting sqref="AE5">
    <cfRule type="expression" dxfId="2263" priority="2">
      <formula>ABS(AE$7-AE$10)&gt;=1000</formula>
    </cfRule>
  </conditionalFormatting>
  <conditionalFormatting sqref="T16">
    <cfRule type="expression" dxfId="2262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304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7">
    <pageSetUpPr fitToPage="1"/>
  </sheetPr>
  <dimension ref="A1:CU223"/>
  <sheetViews>
    <sheetView view="pageBreakPreview" topLeftCell="B1" zoomScale="55" zoomScaleNormal="100" zoomScaleSheetLayoutView="55" workbookViewId="0">
      <selection activeCell="D6" sqref="D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46212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57" t="s" ph="1">
        <v>177</v>
      </c>
      <c r="D6" s="71">
        <v>2024</v>
      </c>
      <c r="E6" s="71">
        <v>3734</v>
      </c>
      <c r="F6" s="71">
        <v>5847</v>
      </c>
      <c r="G6" s="71">
        <v>6887</v>
      </c>
      <c r="H6" s="71">
        <v>18</v>
      </c>
      <c r="I6" s="71">
        <v>38.72</v>
      </c>
      <c r="J6" s="71">
        <v>77.040000000000006</v>
      </c>
      <c r="K6" s="71">
        <v>6.89</v>
      </c>
      <c r="L6" s="71">
        <v>7.1</v>
      </c>
      <c r="M6" s="71">
        <v>5031</v>
      </c>
      <c r="N6" s="71">
        <v>5710</v>
      </c>
      <c r="O6" s="71">
        <v>222</v>
      </c>
      <c r="P6" s="71">
        <v>1890</v>
      </c>
      <c r="Q6" s="71">
        <v>7029</v>
      </c>
      <c r="R6" s="71">
        <v>7111</v>
      </c>
      <c r="S6" s="71">
        <v>0</v>
      </c>
      <c r="T6" s="71">
        <v>0</v>
      </c>
      <c r="U6" s="71">
        <v>0</v>
      </c>
      <c r="V6" s="71">
        <v>6154</v>
      </c>
      <c r="W6" s="71">
        <v>7075</v>
      </c>
      <c r="X6" s="71">
        <v>7098</v>
      </c>
      <c r="Y6" s="71">
        <v>5813</v>
      </c>
      <c r="Z6" s="71">
        <v>723</v>
      </c>
      <c r="AA6" s="71">
        <v>0</v>
      </c>
      <c r="AB6" s="71">
        <v>1918</v>
      </c>
      <c r="AC6" s="71">
        <v>2850</v>
      </c>
      <c r="AD6" s="71">
        <v>4450</v>
      </c>
      <c r="AE6" s="71">
        <v>4441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63356.299245359995</v>
      </c>
      <c r="E7" s="73" ph="1">
        <f>E6*51.53*LOOKUP(E8,密度!$A$2:$A$50,密度!$B$2:$B$50)</f>
        <v>149504.91654000001</v>
      </c>
      <c r="F7" s="73" ph="1">
        <f>F6*33.183*LOOKUP(F8,密度!$A$2:$A$50,密度!$C$2:$C$50)</f>
        <v>214703.63970659999</v>
      </c>
      <c r="G7" s="73" ph="1">
        <f xml:space="preserve"> (G6+2)*51.53*LOOKUP(G8,密度!$A$2:$A$50,密度!$B$2:$B$50)</f>
        <v>275223.87880099996</v>
      </c>
      <c r="H7" s="73" ph="1">
        <f>(H6)*51.53*LOOKUP(H8,密度!$A$2:$A$50,密度!$B$2:$B$50)</f>
        <v>721.533366</v>
      </c>
      <c r="I7" s="73" ph="1">
        <f>I6*290.8*1.0267</f>
        <v>11560.412019199999</v>
      </c>
      <c r="J7" s="73" ph="1">
        <f>J6*290.8*0.7892</f>
        <v>17680.630694400003</v>
      </c>
      <c r="K7" s="73" ph="1">
        <f>K6*290.8*1.1126</f>
        <v>2229.2187112000001</v>
      </c>
      <c r="L7" s="73" ph="1">
        <f>L6*290.8*0.777</f>
        <v>1604.2563599999999</v>
      </c>
      <c r="M7" s="73" ph="1">
        <f>M6*33.183*LOOKUP(M8,密度!$A$2:$A$50,密度!$D$2:$D$50)</f>
        <v>170466.18450030001</v>
      </c>
      <c r="N7" s="73" ph="1">
        <f>N6*33.183*LOOKUP(N8,密度!$A$2:$A$50,密度!$E$2:$E$50)</f>
        <v>147117.80939849999</v>
      </c>
      <c r="O7" s="73" ph="1">
        <f>O6*20.428*LOOKUP(O8,密度!$A$2:$A$50,密度!$C$2:$C$50)</f>
        <v>5011.6461816000001</v>
      </c>
      <c r="P7" s="73" ph="1">
        <f>P6*51.53*LOOKUP(P8,密度!$A$2:$A$50,密度!$B$2:$B$50)</f>
        <v>75595.437539999999</v>
      </c>
      <c r="Q7" s="73" ph="1">
        <f>Q6*1.5*1.5*3.1416*LOOKUP(W8,密度!$A$2:$A$50,密度!$L$2:$L$50)</f>
        <v>46306.596520799998</v>
      </c>
      <c r="R7" s="73" ph="1">
        <f>R6*1.5*1.5*3.1416*LOOKUP(R8,密度!$A$2:$A$50,密度!$L$2:$L$50)</f>
        <v>46444.688690399998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40629.153549600007</v>
      </c>
      <c r="W7" s="73" ph="1">
        <f>W6*1.5*1.5*3.1416*LOOKUP(W8,密度!$A$2:$A$50,密度!$L$2:$L$50)</f>
        <v>46609.641540000004</v>
      </c>
      <c r="X7" s="73" ph="1">
        <f>X6*1.5*1.5*3.1416*LOOKUP(X8,密度!$A$2:$A$50,密度!$L$2:$L$50)</f>
        <v>46761.164049600004</v>
      </c>
      <c r="Y7" s="73" ph="1">
        <f>Y6*1.5*1.5*3.1416*LOOKUP(Y8,密度!$A$2:$A$50,密度!$L$2:$L$50)</f>
        <v>38295.667317600004</v>
      </c>
      <c r="Z7" s="73" ph="1">
        <f>Z6*33.183*LOOKUP(Z8,密度!$A$2:$A$50,密度!$L$2:$L$50)</f>
        <v>22479.856533000002</v>
      </c>
      <c r="AA7" s="73" ph="1">
        <f>AA6*33.183*LOOKUP(AA8,密度!$A$2:$A$50,密度!$D$2:$D$50)</f>
        <v>0</v>
      </c>
      <c r="AB7" s="73" ph="1">
        <f>AB6*20.428*LOOKUP(AB8,密度!$A$2:$A$50,密度!$D$2:$D$50)</f>
        <v>40227.034136800001</v>
      </c>
      <c r="AC7" s="73" ph="1">
        <f>AC6*51.53*LOOKUP(AC8,密度!$A$2:$A$50,密度!$Q$2:$Q$50)</f>
        <v>138537.915465</v>
      </c>
      <c r="AD7" s="73" ph="1">
        <f>AD6*20.428*LOOKUP(AD8,密度!$A$2:$A$50,密度!$V$2:$V$50)</f>
        <v>87050.244960000011</v>
      </c>
      <c r="AE7" s="73" ph="1">
        <f>AE6*20.428</f>
        <v>90720.748000000007</v>
      </c>
    </row>
    <row r="8" spans="1:99" ph="1">
      <c r="B8" s="241" ph="1"/>
      <c r="C8" s="68" t="s" ph="1">
        <v>179</v>
      </c>
      <c r="D8" s="74">
        <v>30</v>
      </c>
      <c r="E8" s="74">
        <v>28</v>
      </c>
      <c r="F8" s="74">
        <v>28</v>
      </c>
      <c r="G8" s="74">
        <v>30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31</v>
      </c>
      <c r="O8" s="74">
        <v>30</v>
      </c>
      <c r="P8" s="74">
        <v>29</v>
      </c>
      <c r="Q8" s="74">
        <v>32</v>
      </c>
      <c r="R8" s="74">
        <v>38</v>
      </c>
      <c r="S8" s="74">
        <v>27</v>
      </c>
      <c r="T8" s="74">
        <v>24</v>
      </c>
      <c r="U8" s="74">
        <v>29</v>
      </c>
      <c r="V8" s="74">
        <v>28</v>
      </c>
      <c r="W8" s="74">
        <v>30</v>
      </c>
      <c r="X8" s="74">
        <v>30</v>
      </c>
      <c r="Y8" s="74">
        <v>30</v>
      </c>
      <c r="Z8" s="74">
        <v>25</v>
      </c>
      <c r="AA8" s="74">
        <v>29</v>
      </c>
      <c r="AB8" s="74">
        <v>25</v>
      </c>
      <c r="AC8" s="74">
        <v>30</v>
      </c>
      <c r="AD8" s="74">
        <v>29</v>
      </c>
      <c r="AE8" s="74">
        <v>28</v>
      </c>
    </row>
    <row r="9" spans="1:99" ht="26.4" ph="1">
      <c r="B9" s="241" ph="1">
        <v>0.66666666666666663</v>
      </c>
      <c r="C9" s="157" t="s" ph="1">
        <v>180</v>
      </c>
      <c r="D9" s="71">
        <v>2407</v>
      </c>
      <c r="E9" s="71">
        <v>2778</v>
      </c>
      <c r="F9" s="71">
        <v>5850</v>
      </c>
      <c r="G9" s="71">
        <v>6578</v>
      </c>
      <c r="H9" s="71">
        <v>18</v>
      </c>
      <c r="I9" s="71">
        <v>38.72</v>
      </c>
      <c r="J9" s="71">
        <v>77.150000000000006</v>
      </c>
      <c r="K9" s="71">
        <v>6.74</v>
      </c>
      <c r="L9" s="71">
        <v>30.34</v>
      </c>
      <c r="M9" s="71">
        <v>5032</v>
      </c>
      <c r="N9" s="71">
        <v>5702</v>
      </c>
      <c r="O9" s="71">
        <v>221</v>
      </c>
      <c r="P9" s="71">
        <v>1665</v>
      </c>
      <c r="Q9" s="71">
        <v>7038</v>
      </c>
      <c r="R9" s="71">
        <v>7119</v>
      </c>
      <c r="S9" s="71">
        <v>4146</v>
      </c>
      <c r="T9" s="71">
        <v>2622</v>
      </c>
      <c r="U9" s="71">
        <v>0</v>
      </c>
      <c r="V9" s="71">
        <v>1092</v>
      </c>
      <c r="W9" s="71">
        <v>7082</v>
      </c>
      <c r="X9" s="71">
        <v>7104</v>
      </c>
      <c r="Y9" s="71">
        <v>5820</v>
      </c>
      <c r="Z9" s="71">
        <v>720</v>
      </c>
      <c r="AA9" s="71">
        <v>0</v>
      </c>
      <c r="AB9" s="71">
        <v>1772</v>
      </c>
      <c r="AC9" s="71">
        <v>2622</v>
      </c>
      <c r="AD9" s="71">
        <v>4452</v>
      </c>
      <c r="AE9" s="71">
        <v>4332</v>
      </c>
    </row>
    <row r="10" spans="1:99" s="72" customFormat="1" ht="22.2" ph="1">
      <c r="B10" s="241" ph="1"/>
      <c r="C10" s="157" t="s" ph="1">
        <v>178</v>
      </c>
      <c r="D10" s="73" ph="1">
        <f>D9*33.183*LOOKUP(D11,密度!$A$2:$A$50,密度!$Q$2:$Q$50)</f>
        <v>75230.947953900002</v>
      </c>
      <c r="E10" s="73" ph="1">
        <f>E9*51.53*LOOKUP(E11,密度!$A$2:$A$50,密度!$B$2:$B$50)</f>
        <v>110726.78799</v>
      </c>
      <c r="F10" s="73" ph="1">
        <f>F9*33.183*LOOKUP(F11,密度!$A$2:$A$50,密度!$C$2:$C$50)</f>
        <v>214328.499255</v>
      </c>
      <c r="G10" s="73" ph="1">
        <f xml:space="preserve"> (G9+2)*51.53*LOOKUP(G11,密度!$A$2:$A$50,密度!$B$2:$B$50)</f>
        <v>262268.63390000002</v>
      </c>
      <c r="H10" s="73" ph="1">
        <f>(H9)*51.53*LOOKUP(H11,密度!$A$2:$A$50,密度!$B$2:$B$50)</f>
        <v>717.45218999999997</v>
      </c>
      <c r="I10" s="73" ph="1">
        <f>I9*290.8*1.0267</f>
        <v>11560.412019199999</v>
      </c>
      <c r="J10" s="73" ph="1">
        <f>J9*290.8*0.7892</f>
        <v>17705.875624</v>
      </c>
      <c r="K10" s="73" ph="1">
        <f>K9*290.8*1.1126</f>
        <v>2180.6870992000004</v>
      </c>
      <c r="L10" s="73" ph="1">
        <f>L9*290.8*0.777</f>
        <v>6855.3715440000014</v>
      </c>
      <c r="M10" s="73" ph="1">
        <f>M9*33.183*LOOKUP(M11,密度!$A$2:$A$50,密度!$D$2:$D$50)</f>
        <v>169180.95049920003</v>
      </c>
      <c r="N10" s="73" ph="1">
        <f>N9*33.183*LOOKUP(N11,密度!$A$2:$A$50,密度!$E$2:$E$50)</f>
        <v>146270.26978595997</v>
      </c>
      <c r="O10" s="73" ph="1">
        <f>O9*20.428*LOOKUP(O11,密度!$A$2:$A$50,密度!$C$2:$C$50)</f>
        <v>4941.6680248000002</v>
      </c>
      <c r="P10" s="73" ph="1">
        <f>P9*51.53*LOOKUP(P11,密度!$A$2:$A$50,密度!$B$2:$B$50)</f>
        <v>66441.545279999991</v>
      </c>
      <c r="Q10" s="73" ph="1">
        <f>Q9*1.5*1.5*3.1416*LOOKUP(W11,密度!$A$2:$A$50,密度!$L$2:$L$50)</f>
        <v>46266.390324</v>
      </c>
      <c r="R10" s="73" ph="1">
        <f>R9*1.5*1.5*3.1416*LOOKUP(R11,密度!$A$2:$A$50,密度!$L$2:$L$50)</f>
        <v>46496.939781600006</v>
      </c>
      <c r="S10" s="73" ph="1">
        <f>S9*1.5*1.5*3.1416*LOOKUP(S11,密度!$A$2:$A$50,密度!$L$2:$L$50)</f>
        <v>27430.805001600002</v>
      </c>
      <c r="T10" s="73" ph="1">
        <f>T9*1.5*1.5*3.1416*LOOKUP(T11,密度!$A$2:$A$50,密度!$L$2:$L$50)</f>
        <v>17366.235440400003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7209.4630607999998</v>
      </c>
      <c r="W10" s="73" ph="1">
        <f>W9*1.5*1.5*3.1416*LOOKUP(W11,密度!$A$2:$A$50,密度!$L$2:$L$50)</f>
        <v>46555.637436000005</v>
      </c>
      <c r="X10" s="73" ph="1">
        <f>X9*1.5*1.5*3.1416*LOOKUP(X11,密度!$A$2:$A$50,密度!$L$2:$L$50)</f>
        <v>47152.199001599998</v>
      </c>
      <c r="Y10" s="73" ph="1">
        <f>Y9*1.5*1.5*3.1416*LOOKUP(Y11,密度!$A$2:$A$50,密度!$L$2:$L$50)</f>
        <v>38300.643612</v>
      </c>
      <c r="Z10" s="73" ph="1">
        <f>Z9*33.183*LOOKUP(Z11,密度!$A$2:$A$50,密度!$L$2:$L$50)</f>
        <v>22195.445039999999</v>
      </c>
      <c r="AA10" s="73" ph="1">
        <f>AA9*33.183*LOOKUP(AA11,密度!$A$2:$A$50,密度!$D$2:$D$50)</f>
        <v>0</v>
      </c>
      <c r="AB10" s="73" ph="1">
        <f>AB9*20.428*LOOKUP(AB11,密度!$A$2:$A$50,密度!$D$2:$D$50)</f>
        <v>37063.558142400005</v>
      </c>
      <c r="AC10" s="73" ph="1">
        <f>AC9*51.53*LOOKUP(AC11,密度!$A$2:$A$50,密度!$Q$2:$Q$50)</f>
        <v>127261.672554</v>
      </c>
      <c r="AD10" s="73" ph="1">
        <f>AD9*20.428*LOOKUP(AD11,密度!$A$2:$A$50,密度!$V$2:$V$50)</f>
        <v>87089.368665600006</v>
      </c>
      <c r="AE10" s="73" ph="1">
        <f>AE9*20.428</f>
        <v>88494.096000000005</v>
      </c>
    </row>
    <row r="11" spans="1:99" ph="1">
      <c r="A11" s="64" t="s" ph="1">
        <v>162</v>
      </c>
      <c r="B11" s="241" ph="1"/>
      <c r="C11" s="157" t="s" ph="1">
        <v>179</v>
      </c>
      <c r="D11" s="74">
        <v>32</v>
      </c>
      <c r="E11" s="74">
        <v>32</v>
      </c>
      <c r="F11" s="74">
        <v>31</v>
      </c>
      <c r="G11" s="74">
        <v>32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34</v>
      </c>
      <c r="O11" s="74">
        <v>40</v>
      </c>
      <c r="P11" s="74">
        <v>31</v>
      </c>
      <c r="Q11" s="74">
        <v>35</v>
      </c>
      <c r="R11" s="74">
        <v>38</v>
      </c>
      <c r="S11" s="74">
        <v>26</v>
      </c>
      <c r="T11" s="74">
        <v>25</v>
      </c>
      <c r="U11" s="74">
        <v>32</v>
      </c>
      <c r="V11" s="74">
        <v>28</v>
      </c>
      <c r="W11" s="74">
        <v>32</v>
      </c>
      <c r="X11" s="74">
        <v>23</v>
      </c>
      <c r="Y11" s="74">
        <v>31</v>
      </c>
      <c r="Z11" s="74">
        <v>33</v>
      </c>
      <c r="AA11" s="74">
        <v>34</v>
      </c>
      <c r="AB11" s="74">
        <v>28</v>
      </c>
      <c r="AC11" s="74">
        <v>32</v>
      </c>
      <c r="AD11" s="74">
        <v>33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57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57" t="s" ph="1">
        <v>177</v>
      </c>
      <c r="D15" s="78">
        <v>1494</v>
      </c>
      <c r="E15" s="78">
        <v>379</v>
      </c>
      <c r="F15" s="78">
        <v>5092</v>
      </c>
      <c r="G15" s="78">
        <v>1215</v>
      </c>
      <c r="H15" s="78">
        <v>2036</v>
      </c>
      <c r="I15" s="78">
        <v>2637</v>
      </c>
      <c r="J15" s="78">
        <v>0</v>
      </c>
      <c r="K15" s="78">
        <v>3366</v>
      </c>
      <c r="L15" s="78">
        <v>5867</v>
      </c>
      <c r="M15" s="78">
        <v>3713</v>
      </c>
      <c r="N15" s="78">
        <v>365</v>
      </c>
      <c r="O15" s="78">
        <v>4941</v>
      </c>
      <c r="P15" s="78">
        <v>5205</v>
      </c>
      <c r="Q15" s="78">
        <v>2914</v>
      </c>
      <c r="R15" s="78">
        <v>1950</v>
      </c>
      <c r="S15" s="78">
        <v>0</v>
      </c>
      <c r="T15" s="78">
        <v>2988</v>
      </c>
      <c r="U15" s="78">
        <v>2656</v>
      </c>
      <c r="V15" s="78">
        <v>4955</v>
      </c>
      <c r="W15" s="71">
        <v>5005</v>
      </c>
      <c r="X15" s="78">
        <v>1276</v>
      </c>
      <c r="Y15" s="106">
        <v>-9910</v>
      </c>
      <c r="Z15" s="78">
        <v>699</v>
      </c>
      <c r="AA15" s="78">
        <v>2538</v>
      </c>
      <c r="AB15" s="78" ph="1">
        <v>0</v>
      </c>
      <c r="AC15" s="78" ph="1">
        <v>0</v>
      </c>
      <c r="AD15" s="78">
        <v>5.63</v>
      </c>
      <c r="AE15" s="78">
        <v>39.31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57" t="s" ph="1">
        <v>178</v>
      </c>
      <c r="D16" s="73" ph="1">
        <f>D15*7.0686*LOOKUP(D17,密度!$A$2:$A$50,密度!$L$2:$L$50)</f>
        <v>9821.2542119999998</v>
      </c>
      <c r="E16" s="73" ph="1">
        <f>E15*7.0686*LOOKUP(E17,密度!$A$2:$A$50,密度!$L$2:$L$50)</f>
        <v>2491.4694420000001</v>
      </c>
      <c r="F16" s="73" ph="1">
        <f>F15*9.0746*LOOKUP(F17,密度!$A$2:$A$50,密度!$L$2:$L$50)</f>
        <v>42742.273460000004</v>
      </c>
      <c r="G16" s="73" ph="1">
        <f>G15*9.0746*LOOKUP(G17,密度!$A$2:$A$50,密度!$B$2:$B$50)</f>
        <v>8558.1009918</v>
      </c>
      <c r="H16" s="73" ph="1">
        <f>H15*9.0746*LOOKUP(H17,密度!$A$2:$A$50,密度!$L$2:$L$50)</f>
        <v>17274.953036000003</v>
      </c>
      <c r="I16" s="73" ph="1">
        <f>I15*9.0746*LOOKUP(I17,密度!$A$2:$A$50,密度!$U$2:$U$50)</f>
        <v>24408.314603999999</v>
      </c>
      <c r="J16" s="73" ph="1">
        <f>J15*9.0746*LOOKUP(J17,密度!$A$2:$A$50,密度!$L$2:$L$50)</f>
        <v>0</v>
      </c>
      <c r="K16" s="73" ph="1">
        <f>K15*9.0746*LOOKUP(K17,密度!$A$2:$A$50,密度!$C$2:$C$50)</f>
        <v>33755.393988360003</v>
      </c>
      <c r="L16" s="73" ph="1">
        <f>L15*9.0746*LOOKUP(L17,密度!$A$2:$A$50,密度!$E$2:$E$50)</f>
        <v>41278.562622024001</v>
      </c>
      <c r="M16" s="73" ph="1">
        <f>M15*9.0746*LOOKUP(M17,密度!$A$2:$A$50,密度!$M$2:$M$50)</f>
        <v>29204.939538946004</v>
      </c>
      <c r="N16" s="73" ph="1">
        <f>N15*9.0746*LOOKUP(N17,密度!$A$2:$A$50,密度!$M$2:$M$50)</f>
        <v>2888.263688</v>
      </c>
      <c r="O16" s="73" ph="1">
        <f>O15*9.0746*LOOKUP(O17,密度!$A$2:$A$50,密度!$G$2:$G$50)</f>
        <v>42806.455383419998</v>
      </c>
      <c r="P16" s="73" ph="1">
        <f ca="1">P15*9.0746*LOOKUP(P17,密度!$A$2:$A$51,密度!$Q$2:$Q$50)</f>
        <v>44556.582285689998</v>
      </c>
      <c r="Q16" s="73" ph="1">
        <f>Q15*9.0746*LOOKUP(Q17,密度!$A$2:$A$50,密度!$Q$2:$Q$50)</f>
        <v>24907.023766359998</v>
      </c>
      <c r="R16" s="73" ph="1">
        <f>MAX(R15*9.0746*LOOKUP(R17,密度!$A$2:$A$50,密度!$B$2:$B$50),0)</f>
        <v>13719.297891</v>
      </c>
      <c r="S16" s="73" ph="1">
        <f>S15*9.0746*LOOKUP(S17,密度!$A$2:$A$50,密度!$Q$2:$Q$50)</f>
        <v>0</v>
      </c>
      <c r="T16" s="73" ph="1">
        <f>T15*9.0746*LOOKUP(T17,密度!$A$2:$A$50,密度!$O$2:$O$50)</f>
        <v>24999.9422256</v>
      </c>
      <c r="U16" s="73" ph="1">
        <f>U15*9.0746*LOOKUP(U17,密度!$A$2:$A$50,密度!$H$2:$H$50)</f>
        <v>21957.047353600003</v>
      </c>
      <c r="V16" s="73" ph="1">
        <f>MAX(5600*LOOKUP(V17,密度!$A$2:$A$50,密度!$Q$2:$Q$50)+V15*9.0476*LOOKUP(V17,密度!$A$2:$A$50,密度!$Q$2:$Q$50),0)</f>
        <v>47401.980668519987</v>
      </c>
      <c r="W16" s="73" ph="1">
        <f>MAX(5600*LOOKUP(W17,密度!$A$2:$A$50,密度!$Q$2:$Q$50)+W15*9.0476*LOOKUP(W17,密度!$A$2:$A$50,密度!$Q$2:$Q$50),0)</f>
        <v>47926.921872199993</v>
      </c>
      <c r="X16" s="73" ph="1">
        <f>MAX(5600*LOOKUP(X17,密度!$A$2:$A$50,密度!$I$2:$I$50)+X15*9.0476*LOOKUP(X17,密度!$A$2:$A$50,密度!$I$2:$I$50),0)</f>
        <v>17755.090258559998</v>
      </c>
      <c r="Y16" s="107" ph="1">
        <v>0</v>
      </c>
      <c r="Z16" s="73" ph="1">
        <f>Z15*9.0746*LOOKUP(Z17,密度!$A$2:$A$50,密度!$D$2:$D$50)</f>
        <v>6482.6945988000007</v>
      </c>
      <c r="AA16" s="73" ph="1">
        <f>AA15*9.0746*LOOKUP(AA17,密度!$A$2:$A$50,密度!$B$2:$B$50)</f>
        <v>17876.92207176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2400.1298846399995</v>
      </c>
      <c r="AE16" s="73" ph="1">
        <f>AE15*268.68*LOOKUP(AE17,密度!$A$2:$A$50,密度!B2:B50)+IF(AE15&lt;=0,0,1566*LOOKUP(AE17,密度!$A$2:$A$50,密度!B2:B50))</f>
        <v>9454.8412996800016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32</v>
      </c>
      <c r="E17" s="74">
        <v>32</v>
      </c>
      <c r="F17" s="74">
        <v>37</v>
      </c>
      <c r="G17" s="74">
        <v>29</v>
      </c>
      <c r="H17" s="74">
        <v>27</v>
      </c>
      <c r="I17" s="74">
        <v>30</v>
      </c>
      <c r="J17" s="74">
        <v>29</v>
      </c>
      <c r="K17" s="74">
        <v>30</v>
      </c>
      <c r="L17" s="74">
        <v>32</v>
      </c>
      <c r="M17" s="74">
        <v>33</v>
      </c>
      <c r="N17" s="74">
        <v>28</v>
      </c>
      <c r="O17" s="74">
        <v>30</v>
      </c>
      <c r="P17" s="74">
        <v>30</v>
      </c>
      <c r="Q17" s="74">
        <v>32</v>
      </c>
      <c r="R17" s="74">
        <v>30</v>
      </c>
      <c r="S17" s="74">
        <v>29</v>
      </c>
      <c r="T17" s="74">
        <v>30</v>
      </c>
      <c r="U17" s="74">
        <v>29</v>
      </c>
      <c r="V17" s="74">
        <v>35</v>
      </c>
      <c r="W17" s="74">
        <v>32</v>
      </c>
      <c r="X17" s="74">
        <v>31</v>
      </c>
      <c r="Y17" s="108">
        <v>31</v>
      </c>
      <c r="Z17" s="74">
        <v>30</v>
      </c>
      <c r="AA17" s="74">
        <v>29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2459</v>
      </c>
      <c r="E18" s="71">
        <v>68</v>
      </c>
      <c r="F18" s="71">
        <v>801</v>
      </c>
      <c r="G18" s="71">
        <v>1368</v>
      </c>
      <c r="H18" s="71">
        <v>2038</v>
      </c>
      <c r="I18" s="71">
        <v>2639</v>
      </c>
      <c r="J18" s="71">
        <v>0</v>
      </c>
      <c r="K18" s="71">
        <v>3368</v>
      </c>
      <c r="L18" s="71">
        <v>5879</v>
      </c>
      <c r="M18" s="71">
        <v>1812</v>
      </c>
      <c r="N18" s="71">
        <v>792</v>
      </c>
      <c r="O18" s="71">
        <v>2406</v>
      </c>
      <c r="P18" s="71">
        <v>5212</v>
      </c>
      <c r="Q18" s="71">
        <v>2917</v>
      </c>
      <c r="R18" s="71">
        <v>1953</v>
      </c>
      <c r="S18" s="71">
        <v>0</v>
      </c>
      <c r="T18" s="71">
        <v>2467</v>
      </c>
      <c r="U18" s="71">
        <v>2658</v>
      </c>
      <c r="V18" s="71">
        <v>4200</v>
      </c>
      <c r="W18" s="71">
        <v>5006</v>
      </c>
      <c r="X18" s="71">
        <v>1276</v>
      </c>
      <c r="Y18" s="109">
        <v>-9908</v>
      </c>
      <c r="Z18" s="71">
        <v>699</v>
      </c>
      <c r="AA18" s="71">
        <v>2542</v>
      </c>
      <c r="AB18" s="71">
        <v>0</v>
      </c>
      <c r="AC18" s="71">
        <v>0</v>
      </c>
      <c r="AD18" s="71">
        <v>17.43</v>
      </c>
      <c r="AE18" s="71">
        <v>84.73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57" t="s" ph="1">
        <v>178</v>
      </c>
      <c r="D19" s="73" ph="1">
        <f>D18*7.0686*LOOKUP(D20,密度!$A$2:$A$50,密度!$L$2:$L$50)</f>
        <v>16147.5875946</v>
      </c>
      <c r="E19" s="73" ph="1">
        <f>E18*7.0686*LOOKUP(E20,密度!$A$2:$A$50,密度!$L$2:$L$50)</f>
        <v>446.53759920000005</v>
      </c>
      <c r="F19" s="73" ph="1">
        <f>F18*9.0746*LOOKUP(F20,密度!$A$2:$A$50,密度!$L$2:$L$50)</f>
        <v>6759.9417780000003</v>
      </c>
      <c r="G19" s="73" ph="1">
        <f>G18*9.0746*LOOKUP(G20,密度!$A$2:$A$50,密度!$B$2:$B$50)</f>
        <v>9624.6151358400002</v>
      </c>
      <c r="H19" s="73" ph="1">
        <f>H18*9.0746*LOOKUP(H20,密度!$A$2:$A$50,密度!$L$2:$L$50)</f>
        <v>17273.428503200001</v>
      </c>
      <c r="I19" s="73" ph="1">
        <f>I18*9.0746*LOOKUP(I20,密度!$A$2:$A$50,密度!$U$2:$U$50)</f>
        <v>24307.087440999996</v>
      </c>
      <c r="J19" s="73" ph="1">
        <f>J18*9.0746*LOOKUP(J20,密度!$A$2:$A$50,密度!$L$2:$L$50)</f>
        <v>0</v>
      </c>
      <c r="K19" s="73" ph="1">
        <f>K18*9.0746*LOOKUP(K20,密度!$A$2:$A$50,密度!$C$2:$C$50)</f>
        <v>33744.887416480007</v>
      </c>
      <c r="L19" s="73" ph="1">
        <f>L18*9.0746*LOOKUP(L20,密度!$A$2:$A$50,密度!$E$2:$E$50)</f>
        <v>41362.991248488004</v>
      </c>
      <c r="M19" s="73" ph="1">
        <f>M18*9.0746*LOOKUP(M20,密度!$A$2:$A$50,密度!$M$2:$M$50)</f>
        <v>14200.654966224001</v>
      </c>
      <c r="N19" s="73" ph="1">
        <f>N18*9.0746*LOOKUP(N20,密度!$A$2:$A$50,密度!$M$2:$M$50)</f>
        <v>6252.04367568</v>
      </c>
      <c r="O19" s="73" ph="1">
        <f>O18*9.0746*LOOKUP(O20,密度!$A$2:$A$50,密度!$G$2:$G$50)</f>
        <v>20776.091795532</v>
      </c>
      <c r="P19" s="73" ph="1">
        <f ca="1">P18*9.0746*LOOKUP(P20,密度!$A$2:$A$51,密度!$Q$2:$Q$50)</f>
        <v>44581.032071216003</v>
      </c>
      <c r="Q19" s="73" ph="1">
        <f>Q18*9.0746*LOOKUP(Q20,密度!$A$2:$A$50,密度!$Q$2:$Q$50)</f>
        <v>24915.459968250005</v>
      </c>
      <c r="R19" s="73" ph="1">
        <f>MAX(R18*9.0746*LOOKUP(R20,密度!$A$2:$A$50,密度!$B$2:$B$50),0)</f>
        <v>13708.503654300001</v>
      </c>
      <c r="S19" s="73" ph="1">
        <f>S18*9.0746*LOOKUP(S20,密度!$A$2:$A$50,密度!$Q$2:$Q$50)</f>
        <v>0</v>
      </c>
      <c r="T19" s="73" ph="1">
        <f>T18*9.0746*LOOKUP(T20,密度!$A$2:$A$50,密度!$O$2:$O$50)</f>
        <v>20622.93958984</v>
      </c>
      <c r="U19" s="73" ph="1">
        <f>U18*9.0746*LOOKUP(U20,密度!$A$2:$A$50,密度!$H$2:$H$50)</f>
        <v>21926.546715540004</v>
      </c>
      <c r="V19" s="73" ph="1">
        <f>MAX(5600*LOOKUP(V20,密度!$A$2:$A$50,密度!$Q$2:$Q$50)+V18*9.0476*LOOKUP(V20,密度!$A$2:$A$50,密度!$Q$2:$Q$50),0)</f>
        <v>40981.308804799992</v>
      </c>
      <c r="W19" s="73" ph="1">
        <f>MAX(5600*LOOKUP(W20,密度!$A$2:$A$50,密度!$Q$2:$Q$50)+W18*9.0476*LOOKUP(W20,密度!$A$2:$A$50,密度!$Q$2:$Q$50),0)</f>
        <v>47835.694926863995</v>
      </c>
      <c r="X19" s="73" ph="1">
        <f>MAX(5600*LOOKUP(X20,密度!$A$2:$A$50,密度!$I$2:$I$50)+X18*9.0476*LOOKUP(X20,密度!$A$2:$A$50,密度!$I$2:$I$50),0)</f>
        <v>17677.938939359999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6460.4935899000002</v>
      </c>
      <c r="AA19" s="73" ph="1">
        <f>AA18*9.0746*LOOKUP(AA20,密度!$A$2:$A$50,密度!$B$2:$B$50)</f>
        <v>17884.336019959999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4855.5447948000001</v>
      </c>
      <c r="AE19" s="73" ph="1">
        <f>AE18*268.68*LOOKUP(AE20,密度!$A$2:$A$50,密度!B5:B53)+IF(AE18&lt;=0,0,1566*LOOKUP(AE20,密度!$A$2:$A$50,密度!B5:B53))</f>
        <v>18905.3862228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33</v>
      </c>
      <c r="F20" s="81">
        <v>32</v>
      </c>
      <c r="G20" s="81">
        <v>30</v>
      </c>
      <c r="H20" s="81">
        <v>28</v>
      </c>
      <c r="I20" s="81">
        <v>35</v>
      </c>
      <c r="J20" s="81">
        <v>32</v>
      </c>
      <c r="K20" s="81">
        <v>31</v>
      </c>
      <c r="L20" s="81">
        <v>32</v>
      </c>
      <c r="M20" s="81">
        <v>36</v>
      </c>
      <c r="N20" s="81">
        <v>30</v>
      </c>
      <c r="O20" s="81">
        <v>33</v>
      </c>
      <c r="P20" s="81">
        <v>31</v>
      </c>
      <c r="Q20" s="81">
        <v>33</v>
      </c>
      <c r="R20" s="81">
        <v>32</v>
      </c>
      <c r="S20" s="81">
        <v>34</v>
      </c>
      <c r="T20" s="81">
        <v>33</v>
      </c>
      <c r="U20" s="81">
        <v>31</v>
      </c>
      <c r="V20" s="81">
        <v>35</v>
      </c>
      <c r="W20" s="81">
        <v>35</v>
      </c>
      <c r="X20" s="81">
        <v>35</v>
      </c>
      <c r="Y20" s="110">
        <v>35</v>
      </c>
      <c r="Z20" s="81">
        <v>34</v>
      </c>
      <c r="AA20" s="81">
        <v>30</v>
      </c>
      <c r="AB20" s="81">
        <v>33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57" t="s" ph="1">
        <v>177</v>
      </c>
      <c r="D24" s="71">
        <v>47.59</v>
      </c>
      <c r="E24" s="71">
        <v>5.81</v>
      </c>
      <c r="F24" s="71">
        <v>1532</v>
      </c>
      <c r="G24" s="71">
        <v>2436</v>
      </c>
      <c r="H24" s="71">
        <v>3032</v>
      </c>
      <c r="I24" s="71">
        <v>0</v>
      </c>
      <c r="J24" s="71">
        <v>930</v>
      </c>
      <c r="K24" s="71">
        <v>2458</v>
      </c>
      <c r="L24" s="71">
        <v>301</v>
      </c>
      <c r="M24" s="71">
        <v>326</v>
      </c>
      <c r="N24" s="71">
        <v>334</v>
      </c>
      <c r="O24" s="71">
        <v>342</v>
      </c>
      <c r="P24" s="71">
        <v>361</v>
      </c>
      <c r="Q24" s="90">
        <v>5387</v>
      </c>
      <c r="R24" s="71">
        <v>2447</v>
      </c>
      <c r="S24" s="71">
        <v>3648</v>
      </c>
      <c r="T24" s="71">
        <v>389</v>
      </c>
      <c r="U24" s="71">
        <v>3980</v>
      </c>
      <c r="V24" s="71">
        <v>883</v>
      </c>
      <c r="W24" s="71">
        <v>409</v>
      </c>
      <c r="X24" s="71">
        <v>3226</v>
      </c>
      <c r="Y24" s="71">
        <v>5869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13588.068051288003</v>
      </c>
      <c r="E25" s="91" ph="1">
        <f>E24*268.68*LOOKUP(E26,密度!$A$2:$A$50,密度!$C$2:$C$50)+IF(E24&lt;=0,0,1566*LOOKUP(E26,密度!$A$2:$A$50,密度!$C$2:$C$50))</f>
        <v>3467.5644541199999</v>
      </c>
      <c r="F25" s="91" ph="1">
        <f>F24*11.702*LOOKUP(F26,密度!$A$2:$A$50,密度!$Q$2:$Q$50)</f>
        <v>16934.64104368</v>
      </c>
      <c r="G25" s="91" ph="1">
        <f>G24*18.322*LOOKUP(G26,密度!$A$2:$A$50,密度!$B$2:$B$50)</f>
        <v>34643.662670400001</v>
      </c>
      <c r="H25" s="91" ph="1">
        <f>H24*18.322*LOOKUP(H26,密度!$A$2:$A$50,密度!$B$2:$B$50)</f>
        <v>43119.698364799995</v>
      </c>
      <c r="I25" s="91" ph="1">
        <f>I24*18.322*LOOKUP(I26,密度!$A$2:$A$50,密度!$Q$2:$Q$50)</f>
        <v>0</v>
      </c>
      <c r="J25" s="91" ph="1">
        <f>J24*18.322*LOOKUP(J26,密度!$A$2:$A$50,密度!$Q$2:$Q$50)</f>
        <v>16107.7423272</v>
      </c>
      <c r="K25" s="91" ph="1">
        <f>K24*18.322*LOOKUP(K26,密度!$A$2:$A$50,密度!$Q$2:$Q$50)</f>
        <v>42572.936172319998</v>
      </c>
      <c r="L25" s="91" ph="1">
        <f>L24*18.322*LOOKUP(L26,密度!$A$2:$A$50,密度!$Q$2:$Q$50)</f>
        <v>5209.5056196400001</v>
      </c>
      <c r="M25" s="91" ph="1">
        <f>M24*18.322*LOOKUP(M26,密度!$A$2:$A$50,密度!$Q$2:$Q$50)</f>
        <v>5642.1888106400002</v>
      </c>
      <c r="N25" s="91" ph="1">
        <f>N24*18.322*LOOKUP(N26,密度!$A$2:$A$50,密度!$Q$2:$Q$50)</f>
        <v>5780.6474317599996</v>
      </c>
      <c r="O25" s="91" ph="1">
        <f>O24*18.322*LOOKUP(O26,密度!$A$2:$A$50,密度!$C$2:$C$50)</f>
        <v>6929.7065316000007</v>
      </c>
      <c r="P25" s="91" ph="1">
        <f>P24*11.702*LOOKUP(P26,密度!$A$2:$A$50,密度!$B$2:$B$50)</f>
        <v>3282.3758939999998</v>
      </c>
      <c r="Q25" s="92" ph="1">
        <f>Q24*18.322*LOOKUP(Q26,密度!$A$2:$A$50,密度!$B$2:$B$50)</f>
        <v>76522.586034199994</v>
      </c>
      <c r="R25" s="91" ph="1">
        <f>R24*35.891*LOOKUP(R26,密度!$A$2:$A$50,密度!$C$2:$C$50)</f>
        <v>97187.451528200007</v>
      </c>
      <c r="S25" s="91" ph="1">
        <f>S24*35.891*LOOKUP(S26,密度!$A$2:$A$50,密度!$B$2:$B$50)</f>
        <v>101628.15164159999</v>
      </c>
      <c r="T25" s="91" ph="1">
        <f>T24*35.891*LOOKUP(T26,密度!$A$2:$A$50,密度!$Q$2:$Q$50)</f>
        <v>13178.772144070001</v>
      </c>
      <c r="U25" s="91" ph="1">
        <f>U24*35.891</f>
        <v>142846.18</v>
      </c>
      <c r="V25" s="91" ph="1">
        <f>V24*47.051*LOOKUP(V26,密度!$A$2:$A$50,密度!$B$2:$B$50)</f>
        <v>32318.659070700003</v>
      </c>
      <c r="W25" s="91" ph="1">
        <f>W24*47.051*LOOKUP(W26,密度!$A$2:$A$50,密度!$B$2:$B$50)</f>
        <v>15019.8319495</v>
      </c>
      <c r="X25" s="91" ph="1">
        <f>X24*47.051*LOOKUP(X26,密度!$A$2:$A$61,密度!$I$2:$I$61)</f>
        <v>157873.16569260001</v>
      </c>
      <c r="Y25" s="91" ph="1">
        <f>Y24*47.051*LOOKUP(Y26,密度!$A$2:$A$50,密度!$L$2:$L$50)</f>
        <v>255983.92971300002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29</v>
      </c>
      <c r="H26" s="74">
        <v>29</v>
      </c>
      <c r="I26" s="74">
        <v>27</v>
      </c>
      <c r="J26" s="74">
        <v>27</v>
      </c>
      <c r="K26" s="74">
        <v>27</v>
      </c>
      <c r="L26" s="74">
        <v>28</v>
      </c>
      <c r="M26" s="74">
        <v>28</v>
      </c>
      <c r="N26" s="74">
        <v>28</v>
      </c>
      <c r="O26" s="74">
        <v>29</v>
      </c>
      <c r="P26" s="74">
        <v>28</v>
      </c>
      <c r="Q26" s="93">
        <v>30</v>
      </c>
      <c r="R26" s="74">
        <v>28</v>
      </c>
      <c r="S26" s="74">
        <v>29</v>
      </c>
      <c r="T26" s="74">
        <v>29</v>
      </c>
      <c r="U26" s="74">
        <v>29</v>
      </c>
      <c r="V26" s="74">
        <v>27</v>
      </c>
      <c r="W26" s="74">
        <v>24</v>
      </c>
      <c r="X26" s="74">
        <v>27</v>
      </c>
      <c r="Y26" s="74">
        <v>35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57" t="s" ph="1">
        <v>180</v>
      </c>
      <c r="D27" s="71">
        <v>3.86</v>
      </c>
      <c r="E27" s="71">
        <v>5.79</v>
      </c>
      <c r="F27" s="71">
        <v>233</v>
      </c>
      <c r="G27" s="71">
        <v>1716</v>
      </c>
      <c r="H27" s="71">
        <v>2310</v>
      </c>
      <c r="I27" s="71">
        <v>321</v>
      </c>
      <c r="J27" s="71">
        <v>661</v>
      </c>
      <c r="K27" s="71">
        <v>2458</v>
      </c>
      <c r="L27" s="71">
        <v>295</v>
      </c>
      <c r="M27" s="71">
        <v>322</v>
      </c>
      <c r="N27" s="71">
        <v>2673</v>
      </c>
      <c r="O27" s="71">
        <v>337</v>
      </c>
      <c r="P27" s="71">
        <v>357</v>
      </c>
      <c r="Q27" s="90">
        <v>439</v>
      </c>
      <c r="R27" s="71">
        <v>1930</v>
      </c>
      <c r="S27" s="71">
        <v>6393</v>
      </c>
      <c r="T27" s="71">
        <v>387</v>
      </c>
      <c r="U27" s="71">
        <v>4112</v>
      </c>
      <c r="V27" s="71">
        <v>879</v>
      </c>
      <c r="W27" s="71">
        <v>408</v>
      </c>
      <c r="X27" s="71">
        <v>2855</v>
      </c>
      <c r="Y27" s="71">
        <v>6623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57" t="s" ph="1">
        <v>178</v>
      </c>
      <c r="D28" s="91" ph="1">
        <f>D27*268.68*LOOKUP(D29,密度!$A$2:$A$50,密度!$Q$2:$Q$50)+IF(D27&lt;=0,0,1566*LOOKUP(D29,密度!$A$2:$A$50,密度!$Q$2:$Q$50))</f>
        <v>2464.4634383520001</v>
      </c>
      <c r="E28" s="91" ph="1">
        <f>E27*268.68*LOOKUP(E29,密度!$A$2:$A$50,密度!$C$2:$C$50)+IF(E27&lt;=0,0,1566*LOOKUP(E29,密度!$A$2:$A$50,密度!$C$2:$C$50))</f>
        <v>3461.6056690800001</v>
      </c>
      <c r="F28" s="91" ph="1">
        <f>F27*11.702*LOOKUP(F29,密度!$A$2:$A$50,密度!$Q$2:$Q$50)</f>
        <v>2572.05150478</v>
      </c>
      <c r="G28" s="91" ph="1">
        <f>G27*18.322*LOOKUP(G29,密度!$A$2:$A$50,密度!$B$2:$B$50)</f>
        <v>24319.266971999998</v>
      </c>
      <c r="H28" s="91" ph="1">
        <f>H27*18.322*LOOKUP(H29,密度!$A$2:$A$50,密度!$B$2:$B$50)</f>
        <v>32703.615714000003</v>
      </c>
      <c r="I28" s="91" ph="1">
        <f>I27*18.322*LOOKUP(I29,密度!$A$2:$A$50,密度!$Q$2:$Q$50)</f>
        <v>5539.6548677999999</v>
      </c>
      <c r="J28" s="91" ph="1">
        <f>J27*18.322*LOOKUP(J29,密度!$A$2:$A$50,密度!$Q$2:$Q$50)</f>
        <v>11399.3300325</v>
      </c>
      <c r="K28" s="91" ph="1">
        <f>K27*18.322*LOOKUP(K29,密度!$A$2:$A$50,密度!$Q$2:$Q$50)</f>
        <v>42389.641785</v>
      </c>
      <c r="L28" s="91" ph="1">
        <f>L27*18.322*LOOKUP(L29,密度!$A$2:$A$50,密度!$Q$2:$Q$50)</f>
        <v>5090.9600809999993</v>
      </c>
      <c r="M28" s="91" ph="1">
        <f>M27*18.322*LOOKUP(M29,密度!$A$2:$A$50,密度!$Q$2:$Q$50)</f>
        <v>5553.0775649999996</v>
      </c>
      <c r="N28" s="91" ph="1">
        <f>N27*18.322*LOOKUP(N29,密度!$A$2:$A$50,密度!$Q$2:$Q$50)</f>
        <v>46129.275581399997</v>
      </c>
      <c r="O28" s="91" ph="1">
        <f>O27*18.322*LOOKUP(O29,密度!$A$2:$A$50,密度!$C$2:$C$50)</f>
        <v>6810.488942</v>
      </c>
      <c r="P28" s="91" ph="1">
        <f>P27*11.702*LOOKUP(P29,密度!$A$2:$A$50,密度!$B$2:$B$50)</f>
        <v>3228.0423378</v>
      </c>
      <c r="Q28" s="92" ph="1">
        <f>Q27*18.322*LOOKUP(Q29,密度!$A$2:$A$50,密度!$B$2:$B$50)</f>
        <v>6215.1027266000001</v>
      </c>
      <c r="R28" s="91" ph="1">
        <f>R27*35.891*LOOKUP(R29,密度!$A$2:$A$50,密度!$C$2:$C$50)</f>
        <v>76404.401889999994</v>
      </c>
      <c r="S28" s="91" ph="1">
        <f>S27*35.891*LOOKUP(S29,密度!$A$2:$A$50,密度!$B$2:$B$50)</f>
        <v>177296.9136501</v>
      </c>
      <c r="T28" s="91" ph="1">
        <f>T27*35.891*LOOKUP(T29,密度!$A$2:$A$50,密度!$Q$2:$Q$50)</f>
        <v>13073.79025125</v>
      </c>
      <c r="U28" s="91" ph="1">
        <f>U27*35.891</f>
        <v>147583.79199999999</v>
      </c>
      <c r="V28" s="91" ph="1">
        <f>V27*47.051*LOOKUP(V29,密度!$A$2:$A$50,密度!$B$2:$B$50)</f>
        <v>31957.194468300007</v>
      </c>
      <c r="W28" s="91" ph="1">
        <f>W27*47.051*LOOKUP(W29,密度!$A$2:$A$50,密度!$B$2:$B$50)</f>
        <v>14816.096414400001</v>
      </c>
      <c r="X28" s="91" ph="1">
        <f>X27*47.051*LOOKUP(X29,密度!$A$2:$A$61,密度!$I$2:$I$61)</f>
        <v>138508.2868155</v>
      </c>
      <c r="Y28" s="91" ph="1">
        <f>Y27*47.051*LOOKUP(Y29,密度!$A$2:$A$50,密度!$L$2:$L$50)</f>
        <v>289805.45889000001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57" t="s" ph="1">
        <v>179</v>
      </c>
      <c r="D29" s="74">
        <v>25</v>
      </c>
      <c r="E29" s="74">
        <v>25</v>
      </c>
      <c r="F29" s="74">
        <v>30</v>
      </c>
      <c r="G29" s="74">
        <v>32</v>
      </c>
      <c r="H29" s="74">
        <v>33</v>
      </c>
      <c r="I29" s="74">
        <v>32</v>
      </c>
      <c r="J29" s="74">
        <v>33</v>
      </c>
      <c r="K29" s="74">
        <v>33</v>
      </c>
      <c r="L29" s="74">
        <v>32</v>
      </c>
      <c r="M29" s="74">
        <v>33</v>
      </c>
      <c r="N29" s="74">
        <v>32</v>
      </c>
      <c r="O29" s="74">
        <v>32</v>
      </c>
      <c r="P29" s="74">
        <v>33</v>
      </c>
      <c r="Q29" s="93">
        <v>33</v>
      </c>
      <c r="R29" s="74">
        <v>32</v>
      </c>
      <c r="S29" s="74">
        <v>33</v>
      </c>
      <c r="T29" s="74">
        <v>33</v>
      </c>
      <c r="U29" s="74">
        <v>32</v>
      </c>
      <c r="V29" s="74">
        <v>33</v>
      </c>
      <c r="W29" s="74">
        <v>34</v>
      </c>
      <c r="X29" s="74">
        <v>35</v>
      </c>
      <c r="Y29" s="74">
        <v>32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57" t="s" ph="1">
        <v>5</v>
      </c>
      <c r="F32" s="158" t="s" ph="1">
        <v>43</v>
      </c>
      <c r="G32" s="97" t="s" ph="1">
        <v>4</v>
      </c>
      <c r="H32" s="157" t="s" ph="1">
        <v>5</v>
      </c>
      <c r="I32" s="158" t="s" ph="1">
        <v>43</v>
      </c>
      <c r="J32" s="97" t="s" ph="1">
        <v>4</v>
      </c>
      <c r="K32" s="157" t="s" ph="1">
        <v>5</v>
      </c>
      <c r="L32" s="158" t="s" ph="1">
        <v>43</v>
      </c>
      <c r="M32" s="97" t="s" ph="1">
        <v>4</v>
      </c>
      <c r="N32" s="157" t="s" ph="1">
        <v>5</v>
      </c>
      <c r="O32" s="158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57" t="s" ph="1">
        <v>5</v>
      </c>
      <c r="U32" s="99" t="s" ph="1">
        <v>43</v>
      </c>
      <c r="V32" s="97" t="s" ph="1">
        <v>4</v>
      </c>
      <c r="W32" s="157" t="s" ph="1">
        <v>5</v>
      </c>
      <c r="X32" s="99" t="s" ph="1">
        <v>43</v>
      </c>
      <c r="Y32" s="100" t="s" ph="1">
        <v>4</v>
      </c>
      <c r="Z32" s="157" t="s" ph="1">
        <v>5</v>
      </c>
      <c r="AA32" s="158" t="s" ph="1">
        <v>43</v>
      </c>
      <c r="AB32" s="97" t="s" ph="1">
        <v>85</v>
      </c>
      <c r="AC32" s="157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43524.051732300002</v>
      </c>
      <c r="E33" s="190" ph="1">
        <f>M10+I10</f>
        <v>180741.36251840004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1522252632456786910111213141516171819202123456789101112131415161718192022232424356789101112131415161718192021222345678910111213141516171819202345678910111213149101516171819222123234567891012131415161711181920212224252345678910111213129[[#This Row],[F25]]</f>
        <v>3880</v>
      </c>
      <c r="G33" s="216" ph="1">
        <f>N19</f>
        <v>6252.04367568</v>
      </c>
      <c r="H33" s="190" ph="1">
        <f>M19</f>
        <v>14200.654966224001</v>
      </c>
      <c r="I33" s="194" ph="1">
        <v>0</v>
      </c>
      <c r="J33" s="198" ph="1">
        <f>F10+O28</f>
        <v>221138.988197</v>
      </c>
      <c r="K33" s="190" ph="1">
        <f>O10+K10+E28+R28</f>
        <v>86988.362683079991</v>
      </c>
      <c r="L33" s="200" ph="1">
        <f>K19</f>
        <v>33744.887416480007</v>
      </c>
      <c r="M33" s="198" ph="1">
        <f>G10+H10+W28+S28+V28+E10+R19+P28+Q28</f>
        <v>620934.72733150003</v>
      </c>
      <c r="N33" s="190" ph="1">
        <f>L10+P10++G28+H28+AD19+AE19</f>
        <v>154080.73052759998</v>
      </c>
      <c r="O33" s="194" ph="1">
        <f>G19</f>
        <v>9624.6151358400002</v>
      </c>
      <c r="P33" s="198" ph="1">
        <f>L19</f>
        <v>41362.991248488004</v>
      </c>
      <c r="Q33" s="190" ph="1">
        <f>J10+N10</f>
        <v>163976.14540995998</v>
      </c>
      <c r="R33" s="194" ph="1">
        <f>BE23</f>
        <v>890</v>
      </c>
      <c r="S33" s="198" ph="1">
        <f>X28</f>
        <v>138508.2868155</v>
      </c>
      <c r="T33" s="190" ph="1">
        <f>X19</f>
        <v>17677.938939359999</v>
      </c>
      <c r="U33" s="179" ph="1">
        <f>BE21</f>
        <v>730</v>
      </c>
      <c r="V33" s="192" ph="1">
        <f ca="1">P19+Q19+S19+M28+N28+J28+D10+AC10+D19+E19+H19+J19+O19+V19+W19+K28+L28</f>
        <v>526012.04681646195</v>
      </c>
      <c r="W33" s="192" ph="1">
        <f>D28+F28+T28+I28</f>
        <v>23649.960062182003</v>
      </c>
      <c r="X33" s="194" ph="1">
        <f>BE29+BE31</f>
        <v>10200</v>
      </c>
      <c r="Y33" s="196" ph="1">
        <f>+Q10+R10+S10+T10+U10+V10+W10+X10+Y10</f>
        <v>276778.31365800003</v>
      </c>
      <c r="Z33" s="177" ph="1">
        <f>T19+U19+Y28+Z10</f>
        <v>354550.39023538004</v>
      </c>
      <c r="AA33" s="179" ph="1">
        <f>BE19</f>
        <v>1440</v>
      </c>
      <c r="AB33" s="181" ph="1">
        <f>I19</f>
        <v>24307.087440999996</v>
      </c>
      <c r="AC33" s="183" ph="1">
        <f>AD10+AB19</f>
        <v>87089.368665600006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59" t="s" ph="1">
        <v>185</v>
      </c>
      <c r="AA36" s="159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59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59" t="s" ph="1">
        <v>342</v>
      </c>
      <c r="AI37" s="159" t="s" ph="1">
        <v>209</v>
      </c>
      <c r="AJ37" s="159" t="s" ph="1">
        <v>210</v>
      </c>
      <c r="AK37" s="159" t="s" ph="1">
        <v>211</v>
      </c>
      <c r="AM37" s="159" t="s" ph="1">
        <v>210</v>
      </c>
      <c r="AN37" s="159" t="s" ph="1">
        <v>211</v>
      </c>
      <c r="AO37" s="159" t="s" ph="1">
        <v>212</v>
      </c>
      <c r="AP37" s="159" t="s" ph="1">
        <v>210</v>
      </c>
      <c r="AQ37" s="159" t="s" ph="1">
        <v>211</v>
      </c>
      <c r="AR37" s="159" t="s" ph="1">
        <v>212</v>
      </c>
      <c r="AS37" s="159" t="s" ph="1">
        <v>210</v>
      </c>
      <c r="AT37" s="159" t="s" ph="1">
        <v>211</v>
      </c>
      <c r="AU37" s="159" t="s" ph="1">
        <v>212</v>
      </c>
      <c r="AV37" s="159" t="s" ph="1">
        <v>210</v>
      </c>
      <c r="AW37" s="159" t="s" ph="1">
        <v>211</v>
      </c>
      <c r="AX37" s="159" t="s" ph="1">
        <v>212</v>
      </c>
      <c r="AY37" s="159" t="s" ph="1">
        <v>211</v>
      </c>
      <c r="AZ37" s="159" t="s" ph="1">
        <v>213</v>
      </c>
      <c r="BD37" s="159" t="s" ph="1">
        <v>305</v>
      </c>
      <c r="BE37" s="159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231" priority="101">
      <formula>ABS(D$7-D$10)&gt;=1000</formula>
    </cfRule>
  </conditionalFormatting>
  <conditionalFormatting sqref="E4 E6:E11">
    <cfRule type="expression" dxfId="2230" priority="100">
      <formula>ABS(E$7-E$10)&gt;=1000</formula>
    </cfRule>
  </conditionalFormatting>
  <conditionalFormatting sqref="F4:F11">
    <cfRule type="expression" dxfId="2229" priority="99">
      <formula>ABS(F$7-F$10)&gt;=1000</formula>
    </cfRule>
  </conditionalFormatting>
  <conditionalFormatting sqref="G4:G11">
    <cfRule type="expression" dxfId="2228" priority="98">
      <formula>ABS(G$7-G$10)&gt;=1000</formula>
    </cfRule>
  </conditionalFormatting>
  <conditionalFormatting sqref="H4:H11">
    <cfRule type="expression" dxfId="2227" priority="97">
      <formula>ABS(H$7-H$10)&gt;=1000</formula>
    </cfRule>
  </conditionalFormatting>
  <conditionalFormatting sqref="I4:I11">
    <cfRule type="expression" dxfId="2226" priority="96">
      <formula>ABS(I$7-I$10)&gt;=1000</formula>
    </cfRule>
  </conditionalFormatting>
  <conditionalFormatting sqref="J4:J11">
    <cfRule type="expression" dxfId="2225" priority="95">
      <formula>ABS(J$7-J$10)&gt;=1000</formula>
    </cfRule>
  </conditionalFormatting>
  <conditionalFormatting sqref="K4:K11">
    <cfRule type="expression" dxfId="2224" priority="94">
      <formula>ABS(K$7-K$10)&gt;=1000</formula>
    </cfRule>
  </conditionalFormatting>
  <conditionalFormatting sqref="L4:L11">
    <cfRule type="expression" dxfId="2223" priority="93">
      <formula>ABS(L$7-L$10)&gt;=1000</formula>
    </cfRule>
  </conditionalFormatting>
  <conditionalFormatting sqref="M4 M6:M11">
    <cfRule type="expression" dxfId="2222" priority="92">
      <formula>ABS(M$7-M$10)&gt;=1000</formula>
    </cfRule>
  </conditionalFormatting>
  <conditionalFormatting sqref="N4 N6:N11">
    <cfRule type="expression" dxfId="2221" priority="91">
      <formula>ABS(N$7-N$10)&gt;=1000</formula>
    </cfRule>
  </conditionalFormatting>
  <conditionalFormatting sqref="O4 O6:O11">
    <cfRule type="expression" dxfId="2220" priority="90">
      <formula>ABS(O$7-O$10)&gt;=1000</formula>
    </cfRule>
  </conditionalFormatting>
  <conditionalFormatting sqref="P4 P6:P11">
    <cfRule type="expression" dxfId="2219" priority="89">
      <formula>ABS(P$7-P$10)&gt;=1000</formula>
    </cfRule>
  </conditionalFormatting>
  <conditionalFormatting sqref="Q4:Q11">
    <cfRule type="expression" dxfId="2218" priority="88">
      <formula>ABS(Q$7-Q$10)&gt;=1000</formula>
    </cfRule>
  </conditionalFormatting>
  <conditionalFormatting sqref="R4:R11">
    <cfRule type="expression" dxfId="2217" priority="87">
      <formula>ABS(R$7-R$10)&gt;=1000</formula>
    </cfRule>
  </conditionalFormatting>
  <conditionalFormatting sqref="S4:S11">
    <cfRule type="expression" dxfId="2216" priority="86">
      <formula>ABS(S$7-S$10)&gt;=1000</formula>
    </cfRule>
  </conditionalFormatting>
  <conditionalFormatting sqref="T4:T9 T11">
    <cfRule type="expression" dxfId="2215" priority="85">
      <formula>ABS(T$7-T$10)&gt;=1000</formula>
    </cfRule>
  </conditionalFormatting>
  <conditionalFormatting sqref="U4:U9 U11">
    <cfRule type="expression" dxfId="2214" priority="84">
      <formula>ABS(U$7-U$10)&gt;=1000</formula>
    </cfRule>
  </conditionalFormatting>
  <conditionalFormatting sqref="V4:V9 V11">
    <cfRule type="expression" dxfId="2213" priority="83">
      <formula>ABS(V$7-V$10)&gt;=1000</formula>
    </cfRule>
  </conditionalFormatting>
  <conditionalFormatting sqref="W4:W9 W11">
    <cfRule type="expression" dxfId="2212" priority="82">
      <formula>ABS(W$7-W$10)&gt;=1000</formula>
    </cfRule>
  </conditionalFormatting>
  <conditionalFormatting sqref="X4:X9 X11">
    <cfRule type="expression" dxfId="2211" priority="81">
      <formula>ABS(X$7-X$10)&gt;=1000</formula>
    </cfRule>
  </conditionalFormatting>
  <conditionalFormatting sqref="Y4:Y9 Y11">
    <cfRule type="expression" dxfId="2210" priority="80">
      <formula>ABS(Y$7-Y$10)&gt;=1000</formula>
    </cfRule>
  </conditionalFormatting>
  <conditionalFormatting sqref="Z4:Z11">
    <cfRule type="expression" dxfId="2209" priority="79">
      <formula>ABS(Z$7-Z$10)&gt;=1000</formula>
    </cfRule>
  </conditionalFormatting>
  <conditionalFormatting sqref="AA4:AA11">
    <cfRule type="expression" dxfId="2208" priority="78">
      <formula>ABS(AA$7-AA$10)&gt;=1000</formula>
    </cfRule>
  </conditionalFormatting>
  <conditionalFormatting sqref="AB4:AB11">
    <cfRule type="expression" dxfId="2207" priority="77">
      <formula>ABS(AB$7-AB$10)&gt;=1000</formula>
    </cfRule>
  </conditionalFormatting>
  <conditionalFormatting sqref="AC4 AC6:AC11">
    <cfRule type="expression" dxfId="2206" priority="76">
      <formula>ABS(AC$7-AC$10)&gt;=1000</formula>
    </cfRule>
  </conditionalFormatting>
  <conditionalFormatting sqref="AD4 AD6:AD11">
    <cfRule type="expression" dxfId="2205" priority="75">
      <formula>ABS(AD$7-AD$10)&gt;=1000</formula>
    </cfRule>
  </conditionalFormatting>
  <conditionalFormatting sqref="AE4 AE6:AE11">
    <cfRule type="expression" dxfId="2204" priority="74">
      <formula>ABS(AE$7-AE$10)&gt;=1000</formula>
    </cfRule>
  </conditionalFormatting>
  <conditionalFormatting sqref="D13:D20">
    <cfRule type="expression" dxfId="2203" priority="73">
      <formula>ABS(D$16-D$19)&gt;=1000</formula>
    </cfRule>
  </conditionalFormatting>
  <conditionalFormatting sqref="E13:E20">
    <cfRule type="expression" dxfId="2202" priority="72">
      <formula>ABS(E$16-E$19)&gt;=1000</formula>
    </cfRule>
  </conditionalFormatting>
  <conditionalFormatting sqref="F13 F15:F20">
    <cfRule type="expression" dxfId="2201" priority="71">
      <formula>ABS(F$16-F$19)&gt;=1000</formula>
    </cfRule>
  </conditionalFormatting>
  <conditionalFormatting sqref="G13:G20">
    <cfRule type="expression" dxfId="2200" priority="70">
      <formula>ABS(G$16-G$19)&gt;=1000</formula>
    </cfRule>
  </conditionalFormatting>
  <conditionalFormatting sqref="H13 H15:H20">
    <cfRule type="expression" dxfId="2199" priority="69">
      <formula>ABS(H$16-H$19)&gt;=1000</formula>
    </cfRule>
  </conditionalFormatting>
  <conditionalFormatting sqref="I13:I20">
    <cfRule type="expression" dxfId="2198" priority="68">
      <formula>ABS(I$16-I$19)&gt;=1000</formula>
    </cfRule>
  </conditionalFormatting>
  <conditionalFormatting sqref="J13:J20">
    <cfRule type="expression" dxfId="2197" priority="67">
      <formula>ABS(J$16-J$19)&gt;=1000</formula>
    </cfRule>
  </conditionalFormatting>
  <conditionalFormatting sqref="L13:L20">
    <cfRule type="expression" dxfId="2196" priority="66">
      <formula>ABS(L$16-L$19)&gt;=1000</formula>
    </cfRule>
  </conditionalFormatting>
  <conditionalFormatting sqref="M13 M15 M17:M18 M20">
    <cfRule type="expression" dxfId="2195" priority="65">
      <formula>ABS(M$16-M$19)&gt;=1000</formula>
    </cfRule>
  </conditionalFormatting>
  <conditionalFormatting sqref="N13:N20">
    <cfRule type="expression" dxfId="2194" priority="64">
      <formula>ABS(N$16-N$19)&gt;=1000</formula>
    </cfRule>
  </conditionalFormatting>
  <conditionalFormatting sqref="O13:O20">
    <cfRule type="expression" dxfId="2193" priority="63">
      <formula>ABS(O$16-O$19)&gt;=1000</formula>
    </cfRule>
  </conditionalFormatting>
  <conditionalFormatting sqref="P13:P20">
    <cfRule type="expression" dxfId="2192" priority="62">
      <formula>ABS(P$16-P$19)&gt;=1000</formula>
    </cfRule>
  </conditionalFormatting>
  <conditionalFormatting sqref="Q13 Q15:Q20">
    <cfRule type="expression" dxfId="2191" priority="61">
      <formula>ABS(Q$16-Q$19)&gt;=1000</formula>
    </cfRule>
  </conditionalFormatting>
  <conditionalFormatting sqref="R13:R20">
    <cfRule type="expression" dxfId="2190" priority="60">
      <formula>ABS(R$16-R$19)&gt;=1000</formula>
    </cfRule>
  </conditionalFormatting>
  <conditionalFormatting sqref="S13:S20">
    <cfRule type="expression" dxfId="2189" priority="59">
      <formula>ABS(S$16-S$19)&gt;=1000</formula>
    </cfRule>
  </conditionalFormatting>
  <conditionalFormatting sqref="T13:T15 T17:T20">
    <cfRule type="expression" dxfId="2188" priority="58">
      <formula>ABS(T$16-T$19)&gt;=1000</formula>
    </cfRule>
  </conditionalFormatting>
  <conditionalFormatting sqref="U13:U20">
    <cfRule type="expression" dxfId="2187" priority="57">
      <formula>ABS(U$16-U$19)&gt;=1000</formula>
    </cfRule>
  </conditionalFormatting>
  <conditionalFormatting sqref="V13:V20">
    <cfRule type="expression" dxfId="2186" priority="56">
      <formula>ABS(V$16-V$19)&gt;=1000</formula>
    </cfRule>
  </conditionalFormatting>
  <conditionalFormatting sqref="W13 W20 W15:W18">
    <cfRule type="expression" dxfId="2185" priority="55">
      <formula>ABS(W$16-W$19)&gt;=1000</formula>
    </cfRule>
  </conditionalFormatting>
  <conditionalFormatting sqref="X13 X15:X20 Y19">
    <cfRule type="expression" dxfId="2184" priority="54">
      <formula>ABS(X$16-X$19)&gt;=1000</formula>
    </cfRule>
  </conditionalFormatting>
  <conditionalFormatting sqref="Y13 Y15:Y18 Y20">
    <cfRule type="expression" dxfId="2183" priority="53">
      <formula>ABS(Y$16-Y$19)&gt;=1000</formula>
    </cfRule>
  </conditionalFormatting>
  <conditionalFormatting sqref="Z13:Z20">
    <cfRule type="expression" dxfId="2182" priority="52">
      <formula>ABS(Z$16-Z$19)&gt;=1000</formula>
    </cfRule>
  </conditionalFormatting>
  <conditionalFormatting sqref="AA13:AA20">
    <cfRule type="expression" dxfId="2181" priority="51">
      <formula>ABS(AA$16-AA$19)&gt;=1000</formula>
    </cfRule>
  </conditionalFormatting>
  <conditionalFormatting sqref="AB13 AB15:AB20">
    <cfRule type="expression" dxfId="2180" priority="50">
      <formula>ABS(AB$16-AB$19)&gt;=1000</formula>
    </cfRule>
  </conditionalFormatting>
  <conditionalFormatting sqref="AC13 AC15:AC20">
    <cfRule type="expression" dxfId="2179" priority="49">
      <formula>ABS(AC$16-AC$19)&gt;=1000</formula>
    </cfRule>
  </conditionalFormatting>
  <conditionalFormatting sqref="AD13:AD20">
    <cfRule type="expression" dxfId="2178" priority="48">
      <formula>ABS(AD$16-AD$19)&gt;=1000</formula>
    </cfRule>
  </conditionalFormatting>
  <conditionalFormatting sqref="AE13:AE20">
    <cfRule type="expression" dxfId="2177" priority="47">
      <formula>ABS(AE$16-AE$19)&gt;=1000</formula>
    </cfRule>
  </conditionalFormatting>
  <conditionalFormatting sqref="D22:D29">
    <cfRule type="expression" dxfId="2176" priority="46">
      <formula>ABS(D$25-D$28)&gt;=1000</formula>
    </cfRule>
  </conditionalFormatting>
  <conditionalFormatting sqref="E22:E29">
    <cfRule type="expression" dxfId="2175" priority="45">
      <formula>ABS(E$25-E$28)&gt;=1000</formula>
    </cfRule>
  </conditionalFormatting>
  <conditionalFormatting sqref="F22:F29">
    <cfRule type="expression" dxfId="2174" priority="44">
      <formula>ABS(F$25-F$28)&gt;=1000</formula>
    </cfRule>
  </conditionalFormatting>
  <conditionalFormatting sqref="G22:G29">
    <cfRule type="expression" dxfId="2173" priority="43">
      <formula>ABS(G$25-G$28)&gt;=1000</formula>
    </cfRule>
  </conditionalFormatting>
  <conditionalFormatting sqref="H22:H29">
    <cfRule type="expression" dxfId="2172" priority="42">
      <formula>ABS(H$25-H$28)&gt;=1000</formula>
    </cfRule>
  </conditionalFormatting>
  <conditionalFormatting sqref="I22 I24:I29">
    <cfRule type="expression" dxfId="2171" priority="41">
      <formula>ABS(I$25-I$28)&gt;=1000</formula>
    </cfRule>
  </conditionalFormatting>
  <conditionalFormatting sqref="J22:J29 K22">
    <cfRule type="expression" dxfId="2170" priority="40">
      <formula>ABS(J$25-J$28)&gt;=1000</formula>
    </cfRule>
  </conditionalFormatting>
  <conditionalFormatting sqref="K23:K29 L25 L28">
    <cfRule type="expression" dxfId="2169" priority="39">
      <formula>ABS(K$25-K$28)&gt;=1000</formula>
    </cfRule>
  </conditionalFormatting>
  <conditionalFormatting sqref="L22 L26:L27 L29 L24">
    <cfRule type="expression" dxfId="2168" priority="38">
      <formula>ABS(L$25-L$28)&gt;=1000</formula>
    </cfRule>
  </conditionalFormatting>
  <conditionalFormatting sqref="M22:M29">
    <cfRule type="expression" dxfId="2167" priority="37">
      <formula>ABS(M$25-M$28)&gt;=1000</formula>
    </cfRule>
  </conditionalFormatting>
  <conditionalFormatting sqref="N22:N29">
    <cfRule type="expression" dxfId="2166" priority="36">
      <formula>ABS(N$25-N$28)&gt;=1000</formula>
    </cfRule>
  </conditionalFormatting>
  <conditionalFormatting sqref="O22:O29">
    <cfRule type="expression" dxfId="2165" priority="35">
      <formula>ABS(O$25-O$28)&gt;=1000</formula>
    </cfRule>
  </conditionalFormatting>
  <conditionalFormatting sqref="P22:P29">
    <cfRule type="expression" dxfId="2164" priority="34">
      <formula>ABS(P$25-P$28)&gt;=1000</formula>
    </cfRule>
  </conditionalFormatting>
  <conditionalFormatting sqref="Q22:Q29">
    <cfRule type="expression" dxfId="2163" priority="33">
      <formula>ABS(Q$25-Q$28)&gt;=1000</formula>
    </cfRule>
  </conditionalFormatting>
  <conditionalFormatting sqref="R22:R29">
    <cfRule type="expression" dxfId="2162" priority="32">
      <formula>ABS(R$25-R$28)&gt;=1000</formula>
    </cfRule>
  </conditionalFormatting>
  <conditionalFormatting sqref="S22:S29">
    <cfRule type="expression" dxfId="2161" priority="31">
      <formula>ABS(S$25-S$28)&gt;=1000</formula>
    </cfRule>
  </conditionalFormatting>
  <conditionalFormatting sqref="T22:T29">
    <cfRule type="expression" dxfId="2160" priority="30">
      <formula>ABS(T$25-T$28)&gt;=1000</formula>
    </cfRule>
  </conditionalFormatting>
  <conditionalFormatting sqref="U22:U29">
    <cfRule type="expression" dxfId="2159" priority="29">
      <formula>ABS(U$25-U$28)&gt;=1000</formula>
    </cfRule>
  </conditionalFormatting>
  <conditionalFormatting sqref="V22:V29">
    <cfRule type="expression" dxfId="2158" priority="28">
      <formula>ABS(V$25-V$28)&gt;=1000</formula>
    </cfRule>
  </conditionalFormatting>
  <conditionalFormatting sqref="W22:W29">
    <cfRule type="expression" dxfId="2157" priority="27">
      <formula>ABS(W$25-W$28)&gt;=1000</formula>
    </cfRule>
  </conditionalFormatting>
  <conditionalFormatting sqref="X22:X29">
    <cfRule type="expression" dxfId="2156" priority="26">
      <formula>ABS(X$25-X$28)&gt;=1000</formula>
    </cfRule>
  </conditionalFormatting>
  <conditionalFormatting sqref="Y22:Y29">
    <cfRule type="expression" dxfId="2155" priority="25">
      <formula>ABS(Y$25-Y$28)&gt;=1000</formula>
    </cfRule>
  </conditionalFormatting>
  <conditionalFormatting sqref="I23">
    <cfRule type="expression" dxfId="2154" priority="24">
      <formula>ABS(I$25-I$28)&gt;=1000</formula>
    </cfRule>
  </conditionalFormatting>
  <conditionalFormatting sqref="Q14">
    <cfRule type="expression" dxfId="2153" priority="23">
      <formula>ABS(Q$16-Q$19)&gt;=1000</formula>
    </cfRule>
  </conditionalFormatting>
  <conditionalFormatting sqref="W14">
    <cfRule type="expression" dxfId="2152" priority="22">
      <formula>ABS(W$16-W$19)&gt;=1000</formula>
    </cfRule>
  </conditionalFormatting>
  <conditionalFormatting sqref="X14">
    <cfRule type="expression" dxfId="2151" priority="21">
      <formula>ABS(X$16-X$19)&gt;=1000</formula>
    </cfRule>
  </conditionalFormatting>
  <conditionalFormatting sqref="T10:Y10">
    <cfRule type="expression" dxfId="2150" priority="20">
      <formula>ABS(T$7-T$10)&gt;=1000</formula>
    </cfRule>
  </conditionalFormatting>
  <conditionalFormatting sqref="W19">
    <cfRule type="expression" dxfId="2149" priority="19">
      <formula>ABS(W$16-W$19)&gt;=1000</formula>
    </cfRule>
  </conditionalFormatting>
  <conditionalFormatting sqref="AC5">
    <cfRule type="expression" dxfId="2148" priority="18">
      <formula>ABS(AC$7-AC$10)&gt;=1000</formula>
    </cfRule>
  </conditionalFormatting>
  <conditionalFormatting sqref="M14">
    <cfRule type="expression" dxfId="2147" priority="17">
      <formula>ABS(M$16-M$19)&gt;=1000</formula>
    </cfRule>
  </conditionalFormatting>
  <conditionalFormatting sqref="M16">
    <cfRule type="expression" dxfId="2146" priority="16">
      <formula>ABS(M$16-M$19)&gt;=1000</formula>
    </cfRule>
  </conditionalFormatting>
  <conditionalFormatting sqref="M19">
    <cfRule type="expression" dxfId="2145" priority="15">
      <formula>ABS(M$16-M$19)&gt;=1000</formula>
    </cfRule>
  </conditionalFormatting>
  <conditionalFormatting sqref="K13:K20">
    <cfRule type="expression" dxfId="2144" priority="14">
      <formula>ABS(K$16-K$19)&gt;=1000</formula>
    </cfRule>
  </conditionalFormatting>
  <conditionalFormatting sqref="E5">
    <cfRule type="expression" dxfId="2143" priority="13">
      <formula>ABS(E$7-E$10)&gt;=1000</formula>
    </cfRule>
  </conditionalFormatting>
  <conditionalFormatting sqref="AB14:AC14">
    <cfRule type="expression" dxfId="2142" priority="12">
      <formula>ABS(AB$16-AB$19)&gt;=1000</formula>
    </cfRule>
  </conditionalFormatting>
  <conditionalFormatting sqref="M5">
    <cfRule type="expression" dxfId="2141" priority="11">
      <formula>ABS(M$7-M$10)&gt;=1000</formula>
    </cfRule>
  </conditionalFormatting>
  <conditionalFormatting sqref="N5">
    <cfRule type="expression" dxfId="2140" priority="10">
      <formula>ABS(N$7-N$10)&gt;=1000</formula>
    </cfRule>
  </conditionalFormatting>
  <conditionalFormatting sqref="O5">
    <cfRule type="expression" dxfId="2139" priority="9">
      <formula>ABS(O$7-O$10)&gt;=1000</formula>
    </cfRule>
  </conditionalFormatting>
  <conditionalFormatting sqref="P5">
    <cfRule type="expression" dxfId="2138" priority="8">
      <formula>ABS(P$7-P$10)&gt;=1000</formula>
    </cfRule>
  </conditionalFormatting>
  <conditionalFormatting sqref="L23">
    <cfRule type="expression" dxfId="2137" priority="7">
      <formula>ABS(L$25-L$28)&gt;=1000</formula>
    </cfRule>
  </conditionalFormatting>
  <conditionalFormatting sqref="Y14">
    <cfRule type="expression" dxfId="2136" priority="6">
      <formula>ABS(Y$16-Y$19)&gt;=1000</formula>
    </cfRule>
  </conditionalFormatting>
  <conditionalFormatting sqref="F14">
    <cfRule type="expression" dxfId="2135" priority="5">
      <formula>ABS(F$16-F$19)&gt;=1000</formula>
    </cfRule>
  </conditionalFormatting>
  <conditionalFormatting sqref="H14">
    <cfRule type="expression" dxfId="2134" priority="4">
      <formula>ABS(H$16-H$19)&gt;=1000</formula>
    </cfRule>
  </conditionalFormatting>
  <conditionalFormatting sqref="AD5">
    <cfRule type="expression" dxfId="2133" priority="3">
      <formula>ABS(AD$7-AD$10)&gt;=1000</formula>
    </cfRule>
  </conditionalFormatting>
  <conditionalFormatting sqref="AE5">
    <cfRule type="expression" dxfId="2132" priority="2">
      <formula>ABS(AE$7-AE$10)&gt;=1000</formula>
    </cfRule>
  </conditionalFormatting>
  <conditionalFormatting sqref="T16">
    <cfRule type="expression" dxfId="2131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406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8">
    <pageSetUpPr fitToPage="1"/>
  </sheetPr>
  <dimension ref="A1:CU223"/>
  <sheetViews>
    <sheetView view="pageBreakPreview" topLeftCell="D6" zoomScale="70" zoomScaleNormal="100" zoomScaleSheetLayoutView="70" workbookViewId="0">
      <selection activeCell="D6" sqref="D6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46213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3066</v>
      </c>
      <c r="E6" s="71">
        <v>2778</v>
      </c>
      <c r="F6" s="71">
        <v>5848</v>
      </c>
      <c r="G6" s="71">
        <v>6013</v>
      </c>
      <c r="H6" s="71">
        <v>20</v>
      </c>
      <c r="I6" s="71">
        <v>38.71</v>
      </c>
      <c r="J6" s="71">
        <v>77.02</v>
      </c>
      <c r="K6" s="71">
        <v>6.72</v>
      </c>
      <c r="L6" s="71">
        <v>6.82</v>
      </c>
      <c r="M6" s="71">
        <v>5030</v>
      </c>
      <c r="N6" s="71">
        <v>5476</v>
      </c>
      <c r="O6" s="71">
        <v>221</v>
      </c>
      <c r="P6" s="71">
        <v>1971</v>
      </c>
      <c r="Q6" s="71">
        <v>7037</v>
      </c>
      <c r="R6" s="71">
        <v>7115</v>
      </c>
      <c r="S6" s="71">
        <v>4148</v>
      </c>
      <c r="T6" s="71">
        <v>2625</v>
      </c>
      <c r="U6" s="71">
        <v>0</v>
      </c>
      <c r="V6" s="71">
        <v>0</v>
      </c>
      <c r="W6" s="71">
        <v>3049</v>
      </c>
      <c r="X6" s="71">
        <v>7099</v>
      </c>
      <c r="Y6" s="71">
        <v>5814</v>
      </c>
      <c r="Z6" s="71">
        <v>1311</v>
      </c>
      <c r="AA6" s="71">
        <v>0</v>
      </c>
      <c r="AB6" s="71">
        <v>1772</v>
      </c>
      <c r="AC6" s="71">
        <v>2167</v>
      </c>
      <c r="AD6" s="71">
        <v>4449</v>
      </c>
      <c r="AE6" s="71">
        <v>4332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95973.524449739998</v>
      </c>
      <c r="E7" s="73" ph="1">
        <f>E6*51.53*LOOKUP(E8,密度!$A$2:$A$50,密度!$B$2:$B$50)</f>
        <v>111113.29390799999</v>
      </c>
      <c r="F7" s="73" ph="1">
        <f>F6*33.183*LOOKUP(F8,密度!$A$2:$A$50,密度!$C$2:$C$50)</f>
        <v>214895.60336159999</v>
      </c>
      <c r="G7" s="73" ph="1">
        <f xml:space="preserve"> (G6+2)*51.53*LOOKUP(G8,密度!$A$2:$A$50,密度!$B$2:$B$50)</f>
        <v>240027.56448</v>
      </c>
      <c r="H7" s="73" ph="1">
        <f>(H6)*51.53*LOOKUP(H8,密度!$A$2:$A$50,密度!$B$2:$B$50)</f>
        <v>800.7761999999999</v>
      </c>
      <c r="I7" s="73" ph="1">
        <f>I6*290.8*1.0267</f>
        <v>11557.4263756</v>
      </c>
      <c r="J7" s="73" ph="1">
        <f>J6*290.8*0.7892</f>
        <v>17676.040707200002</v>
      </c>
      <c r="K7" s="73" ph="1">
        <f>K6*290.8*1.1126</f>
        <v>2174.2162176000002</v>
      </c>
      <c r="L7" s="73" ph="1">
        <f>L6*290.8*0.777</f>
        <v>1540.989912</v>
      </c>
      <c r="M7" s="73" ph="1">
        <f>M6*33.183*LOOKUP(M8,密度!$A$2:$A$50,密度!$D$2:$D$50)</f>
        <v>170582.52077999999</v>
      </c>
      <c r="N7" s="73" ph="1">
        <f>N6*33.183*LOOKUP(N8,密度!$A$2:$A$50,密度!$E$2:$E$50)</f>
        <v>141297.7799808</v>
      </c>
      <c r="O7" s="73" ph="1">
        <f>O6*20.428*LOOKUP(O8,密度!$A$2:$A$50,密度!$C$2:$C$50)</f>
        <v>4989.0711987999994</v>
      </c>
      <c r="P7" s="73" ph="1">
        <f>P6*51.53*LOOKUP(P8,密度!$A$2:$A$50,密度!$B$2:$B$50)</f>
        <v>78835.242006</v>
      </c>
      <c r="Q7" s="73" ph="1">
        <f>Q6*1.5*1.5*3.1416*LOOKUP(W8,密度!$A$2:$A$50,密度!$L$2:$L$50)</f>
        <v>46309.558264200001</v>
      </c>
      <c r="R7" s="73" ph="1">
        <f>R6*1.5*1.5*3.1416*LOOKUP(R8,密度!$A$2:$A$50,密度!$L$2:$L$50)</f>
        <v>46671.986592000001</v>
      </c>
      <c r="S7" s="73" ph="1">
        <f>S6*1.5*1.5*3.1416*LOOKUP(S8,密度!$A$2:$A$50,密度!$L$2:$L$50)</f>
        <v>27385.396315200003</v>
      </c>
      <c r="T7" s="73" ph="1">
        <f>T6*1.5*1.5*3.1416*LOOKUP(T8,密度!$A$2:$A$50,密度!$L$2:$L$50)</f>
        <v>17367.550200000001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20065.062263400003</v>
      </c>
      <c r="X7" s="73" ph="1">
        <f>X6*1.5*1.5*3.1416*LOOKUP(X8,密度!$A$2:$A$50,密度!$L$2:$L$50)</f>
        <v>47018.651941800003</v>
      </c>
      <c r="Y7" s="73" ph="1">
        <f>Y6*1.5*1.5*3.1416*LOOKUP(Y8,密度!$A$2:$A$50,密度!$L$2:$L$50)</f>
        <v>38302.255252800001</v>
      </c>
      <c r="Z7" s="73" ph="1">
        <f>Z6*33.183*LOOKUP(Z8,密度!$A$2:$A$50,密度!$L$2:$L$50)</f>
        <v>40631.720742000005</v>
      </c>
      <c r="AA7" s="73" ph="1">
        <f>AA6*33.183*LOOKUP(AA8,密度!$A$2:$A$50,密度!$D$2:$D$50)</f>
        <v>0</v>
      </c>
      <c r="AB7" s="73" ph="1">
        <f>AB6*20.428*LOOKUP(AB8,密度!$A$2:$A$50,密度!$D$2:$D$50)</f>
        <v>37164.913707200001</v>
      </c>
      <c r="AC7" s="73" ph="1">
        <f>AC6*51.53*LOOKUP(AC8,密度!$A$2:$A$50,密度!$Q$2:$Q$50)</f>
        <v>105337.42554830002</v>
      </c>
      <c r="AD7" s="73" ph="1">
        <f>AD6*20.428*LOOKUP(AD8,密度!$A$2:$A$50,密度!$V$2:$V$50)</f>
        <v>87030.683107200006</v>
      </c>
      <c r="AE7" s="73" ph="1">
        <f>AE6*20.428</f>
        <v>88494.096000000005</v>
      </c>
    </row>
    <row r="8" spans="1:99" ph="1">
      <c r="B8" s="241" ph="1"/>
      <c r="C8" s="68" t="s" ph="1">
        <v>179</v>
      </c>
      <c r="D8" s="74">
        <v>30</v>
      </c>
      <c r="E8" s="74">
        <v>29</v>
      </c>
      <c r="F8" s="74">
        <v>27</v>
      </c>
      <c r="G8" s="74">
        <v>31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29</v>
      </c>
      <c r="Q8" s="74">
        <v>33</v>
      </c>
      <c r="R8" s="74">
        <v>34</v>
      </c>
      <c r="S8" s="74">
        <v>28</v>
      </c>
      <c r="T8" s="74">
        <v>26</v>
      </c>
      <c r="U8" s="74">
        <v>29</v>
      </c>
      <c r="V8" s="74">
        <v>29</v>
      </c>
      <c r="W8" s="74">
        <v>31</v>
      </c>
      <c r="X8" s="74">
        <v>25</v>
      </c>
      <c r="Y8" s="74">
        <v>30</v>
      </c>
      <c r="Z8" s="74">
        <v>28</v>
      </c>
      <c r="AA8" s="74">
        <v>30</v>
      </c>
      <c r="AB8" s="74">
        <v>25</v>
      </c>
      <c r="AC8" s="74">
        <v>30</v>
      </c>
      <c r="AD8" s="74">
        <v>28</v>
      </c>
      <c r="AE8" s="74">
        <v>29</v>
      </c>
    </row>
    <row r="9" spans="1:99" ht="26.4" ph="1">
      <c r="B9" s="241" ph="1">
        <v>0.66666666666666663</v>
      </c>
      <c r="C9" s="162" t="s" ph="1">
        <v>180</v>
      </c>
      <c r="D9" s="71">
        <v>3406</v>
      </c>
      <c r="E9" s="71">
        <v>2349</v>
      </c>
      <c r="F9" s="71">
        <v>5851</v>
      </c>
      <c r="G9" s="71">
        <v>5744</v>
      </c>
      <c r="H9" s="71">
        <v>20</v>
      </c>
      <c r="I9" s="71">
        <v>38.71</v>
      </c>
      <c r="J9" s="71">
        <v>77.22</v>
      </c>
      <c r="K9" s="71">
        <v>6.82</v>
      </c>
      <c r="L9" s="71">
        <v>16.91</v>
      </c>
      <c r="M9" s="71">
        <v>5033</v>
      </c>
      <c r="N9" s="71">
        <v>5478</v>
      </c>
      <c r="O9" s="71">
        <v>221</v>
      </c>
      <c r="P9" s="71">
        <v>1829</v>
      </c>
      <c r="Q9" s="71">
        <v>7043</v>
      </c>
      <c r="R9" s="71">
        <v>7120</v>
      </c>
      <c r="S9" s="71">
        <v>6625</v>
      </c>
      <c r="T9" s="71">
        <v>5488</v>
      </c>
      <c r="U9" s="71">
        <v>0</v>
      </c>
      <c r="V9" s="71">
        <v>0</v>
      </c>
      <c r="W9" s="71">
        <v>0</v>
      </c>
      <c r="X9" s="71">
        <v>5833</v>
      </c>
      <c r="Y9" s="71">
        <v>5819</v>
      </c>
      <c r="Z9" s="71">
        <v>2237</v>
      </c>
      <c r="AA9" s="71">
        <v>0</v>
      </c>
      <c r="AB9" s="71">
        <v>1773</v>
      </c>
      <c r="AC9" s="71">
        <v>2188</v>
      </c>
      <c r="AD9" s="71">
        <v>4453</v>
      </c>
      <c r="AE9" s="71">
        <v>4284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106454.76058619999</v>
      </c>
      <c r="E10" s="73" ph="1">
        <f>E9*51.53*LOOKUP(E11,密度!$A$2:$A$50,密度!$B$2:$B$50)</f>
        <v>93627.510794999995</v>
      </c>
      <c r="F10" s="73" ph="1">
        <f>F9*33.183*LOOKUP(F11,密度!$A$2:$A$50,密度!$C$2:$C$50)</f>
        <v>214714.61332470004</v>
      </c>
      <c r="G10" s="73" ph="1">
        <f xml:space="preserve"> (G9+2)*51.53*LOOKUP(G11,密度!$A$2:$A$50,密度!$B$2:$B$50)</f>
        <v>229026.68242999999</v>
      </c>
      <c r="H10" s="73" ph="1">
        <f>(H9)*51.53*LOOKUP(H11,密度!$A$2:$A$50,密度!$B$2:$B$50)</f>
        <v>796.34461999999996</v>
      </c>
      <c r="I10" s="73" ph="1">
        <f>I9*290.8*1.0267</f>
        <v>11557.4263756</v>
      </c>
      <c r="J10" s="73" ph="1">
        <f>J9*290.8*0.7892</f>
        <v>17721.9405792</v>
      </c>
      <c r="K10" s="73" ph="1">
        <f>K9*290.8*1.1126</f>
        <v>2206.5706256000003</v>
      </c>
      <c r="L10" s="73" ph="1">
        <f>L9*290.8*0.777</f>
        <v>3820.8415559999999</v>
      </c>
      <c r="M10" s="73" ph="1">
        <f>M9*33.183*LOOKUP(M11,密度!$A$2:$A$50,密度!$D$2:$D$50)</f>
        <v>170099.72472149998</v>
      </c>
      <c r="N10" s="73" ph="1">
        <f>N9*33.183*LOOKUP(N11,密度!$A$2:$A$50,密度!$E$2:$E$50)</f>
        <v>140729.52840606001</v>
      </c>
      <c r="O10" s="73" ph="1">
        <f>O9*20.428*LOOKUP(O11,密度!$A$2:$A$50,密度!$C$2:$C$50)</f>
        <v>4956.1147064000006</v>
      </c>
      <c r="P10" s="73" ph="1">
        <f>P9*51.53*LOOKUP(P11,密度!$A$2:$A$50,密度!$B$2:$B$50)</f>
        <v>72985.93772799999</v>
      </c>
      <c r="Q10" s="73" ph="1">
        <f>Q9*1.5*1.5*3.1416*LOOKUP(W11,密度!$A$2:$A$50,密度!$L$2:$L$50)</f>
        <v>46100.122714800003</v>
      </c>
      <c r="R10" s="73" ph="1">
        <f>R9*1.5*1.5*3.1416*LOOKUP(R11,密度!$A$2:$A$50,密度!$L$2:$L$50)</f>
        <v>46604.128032000001</v>
      </c>
      <c r="S10" s="73" ph="1">
        <f>S9*1.5*1.5*3.1416*LOOKUP(S11,密度!$A$2:$A$50,密度!$L$2:$L$50)</f>
        <v>43738.729650000001</v>
      </c>
      <c r="T10" s="73" ph="1">
        <f>T9*1.5*1.5*3.1416*LOOKUP(T11,密度!$A$2:$A$50,密度!$L$2:$L$50)</f>
        <v>36348.550761599996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38509.888309200003</v>
      </c>
      <c r="Y10" s="73" ph="1">
        <f>Y9*1.5*1.5*3.1416*LOOKUP(Y11,密度!$A$2:$A$50,密度!$L$2:$L$50)</f>
        <v>38335.194928800003</v>
      </c>
      <c r="Z10" s="73" ph="1">
        <f>Z9*33.183*LOOKUP(Z11,密度!$A$2:$A$50,密度!$L$2:$L$50)</f>
        <v>69182.705772000001</v>
      </c>
      <c r="AA10" s="73" ph="1">
        <f>AA9*33.183*LOOKUP(AA11,密度!$A$2:$A$50,密度!$D$2:$D$50)</f>
        <v>0</v>
      </c>
      <c r="AB10" s="73" ph="1">
        <f>AB9*20.428*LOOKUP(AB11,密度!$A$2:$A$50,密度!$D$2:$D$50)</f>
        <v>37117.071331200001</v>
      </c>
      <c r="AC10" s="73" ph="1">
        <f>AC9*51.53*LOOKUP(AC11,密度!$A$2:$A$50,密度!$Q$2:$Q$50)</f>
        <v>106358.2312412</v>
      </c>
      <c r="AD10" s="73" ph="1">
        <f>AD9*20.428*LOOKUP(AD11,密度!$A$2:$A$50,密度!$V$2:$V$50)</f>
        <v>87108.930518400011</v>
      </c>
      <c r="AE10" s="73" ph="1">
        <f>AE9*20.428</f>
        <v>87513.552000000011</v>
      </c>
    </row>
    <row r="11" spans="1:99" ph="1">
      <c r="A11" s="64" t="s" ph="1">
        <v>162</v>
      </c>
      <c r="B11" s="241" ph="1"/>
      <c r="C11" s="162" t="s" ph="1">
        <v>179</v>
      </c>
      <c r="D11" s="74">
        <v>32</v>
      </c>
      <c r="E11" s="74">
        <v>32</v>
      </c>
      <c r="F11" s="74">
        <v>29</v>
      </c>
      <c r="G11" s="74">
        <v>32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33</v>
      </c>
      <c r="O11" s="74">
        <v>37</v>
      </c>
      <c r="P11" s="74">
        <v>31</v>
      </c>
      <c r="Q11" s="74">
        <v>34</v>
      </c>
      <c r="R11" s="74">
        <v>36</v>
      </c>
      <c r="S11" s="74">
        <v>28</v>
      </c>
      <c r="T11" s="74">
        <v>25</v>
      </c>
      <c r="U11" s="74">
        <v>32</v>
      </c>
      <c r="V11" s="74">
        <v>30</v>
      </c>
      <c r="W11" s="74">
        <v>36</v>
      </c>
      <c r="X11" s="74">
        <v>28</v>
      </c>
      <c r="Y11" s="74">
        <v>30</v>
      </c>
      <c r="Z11" s="74">
        <v>30</v>
      </c>
      <c r="AA11" s="74">
        <v>34</v>
      </c>
      <c r="AB11" s="74">
        <v>27</v>
      </c>
      <c r="AC11" s="74">
        <v>30</v>
      </c>
      <c r="AD11" s="74">
        <v>32</v>
      </c>
      <c r="AE11" s="74">
        <v>31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1474</v>
      </c>
      <c r="E15" s="78">
        <v>69</v>
      </c>
      <c r="F15" s="78">
        <v>1180</v>
      </c>
      <c r="G15" s="78">
        <v>1576</v>
      </c>
      <c r="H15" s="78">
        <v>2036</v>
      </c>
      <c r="I15" s="78">
        <v>2636</v>
      </c>
      <c r="J15" s="78">
        <v>353</v>
      </c>
      <c r="K15" s="78">
        <v>3366</v>
      </c>
      <c r="L15" s="78">
        <v>5864</v>
      </c>
      <c r="M15" s="78">
        <v>2103</v>
      </c>
      <c r="N15" s="78">
        <v>471</v>
      </c>
      <c r="O15" s="78">
        <v>2860</v>
      </c>
      <c r="P15" s="78">
        <v>5205</v>
      </c>
      <c r="Q15" s="78">
        <v>2913</v>
      </c>
      <c r="R15" s="78">
        <v>1951</v>
      </c>
      <c r="S15" s="78">
        <v>0</v>
      </c>
      <c r="T15" s="78">
        <v>2465</v>
      </c>
      <c r="U15" s="78">
        <v>2656</v>
      </c>
      <c r="V15" s="78">
        <v>3219</v>
      </c>
      <c r="W15" s="71">
        <v>5005</v>
      </c>
      <c r="X15" s="78">
        <v>1277</v>
      </c>
      <c r="Y15" s="106">
        <v>-9909</v>
      </c>
      <c r="Z15" s="78">
        <v>700</v>
      </c>
      <c r="AA15" s="78">
        <v>2537</v>
      </c>
      <c r="AB15" s="78" ph="1">
        <v>0</v>
      </c>
      <c r="AC15" s="78" ph="1">
        <v>0</v>
      </c>
      <c r="AD15" s="78">
        <v>5.51</v>
      </c>
      <c r="AE15" s="78">
        <v>39.42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9710.6164848000008</v>
      </c>
      <c r="E16" s="73" ph="1">
        <f>E15*7.0686*LOOKUP(E17,密度!$A$2:$A$50,密度!$L$2:$L$50)</f>
        <v>454.07979540000002</v>
      </c>
      <c r="F16" s="73" ph="1">
        <f>F15*9.0746*LOOKUP(F17,密度!$A$2:$A$50,密度!$L$2:$L$50)</f>
        <v>9947.7580120000002</v>
      </c>
      <c r="G16" s="73" ph="1">
        <f>G15*9.0746*LOOKUP(G17,密度!$A$2:$A$50,密度!$B$2:$B$50)</f>
        <v>11100.878323520001</v>
      </c>
      <c r="H16" s="73" ph="1">
        <f>H15*9.0746*LOOKUP(H17,密度!$A$2:$A$50,密度!$L$2:$L$50)</f>
        <v>17274.953036000003</v>
      </c>
      <c r="I16" s="73" ph="1">
        <f>I15*9.0746*LOOKUP(I17,密度!$A$2:$A$50,密度!$U$2:$U$50)</f>
        <v>24422.979157599999</v>
      </c>
      <c r="J16" s="73" ph="1">
        <f>J15*9.0746*LOOKUP(J17,密度!$A$2:$A$50,密度!$L$2:$L$50)</f>
        <v>2988.7104354000003</v>
      </c>
      <c r="K16" s="73" ph="1">
        <f>K15*9.0746*LOOKUP(K17,密度!$A$2:$A$50,密度!$C$2:$C$50)</f>
        <v>33755.393988360003</v>
      </c>
      <c r="L16" s="73" ph="1">
        <f>L15*9.0746*LOOKUP(L17,密度!$A$2:$A$50,密度!$E$2:$E$50)</f>
        <v>41378.782141440002</v>
      </c>
      <c r="M16" s="73" ph="1">
        <f>M15*9.0746*LOOKUP(M17,密度!$A$2:$A$50,密度!$M$2:$M$50)</f>
        <v>16581.414117306002</v>
      </c>
      <c r="N16" s="73" ph="1">
        <f>N15*9.0746*LOOKUP(N17,密度!$A$2:$A$50,密度!$M$2:$M$50)</f>
        <v>3722.7729786</v>
      </c>
      <c r="O16" s="73" ph="1">
        <f>O15*9.0746*LOOKUP(O17,密度!$A$2:$A$50,密度!$G$2:$G$50)</f>
        <v>24777.668973200001</v>
      </c>
      <c r="P16" s="73" ph="1">
        <f ca="1">P15*9.0746*LOOKUP(P17,密度!$A$2:$A$51,密度!$Q$2:$Q$50)</f>
        <v>44556.582285689998</v>
      </c>
      <c r="Q16" s="73" ph="1">
        <f>Q15*9.0746*LOOKUP(Q17,密度!$A$2:$A$50,密度!$Q$2:$Q$50)</f>
        <v>24898.476400619998</v>
      </c>
      <c r="R16" s="73" ph="1">
        <f>MAX(R15*9.0746*LOOKUP(R17,密度!$A$2:$A$50,密度!$B$2:$B$50),0)</f>
        <v>13710.39933824</v>
      </c>
      <c r="S16" s="73" ph="1">
        <f>S15*9.0746*LOOKUP(S17,密度!$A$2:$A$50,密度!$Q$2:$Q$50)</f>
        <v>0</v>
      </c>
      <c r="T16" s="73" ph="1">
        <f>T15*9.0746*LOOKUP(T17,密度!$A$2:$A$50,密度!$O$2:$O$50)</f>
        <v>20624.115657999999</v>
      </c>
      <c r="U16" s="73" ph="1">
        <f>U15*9.0746*LOOKUP(U17,密度!$A$2:$A$50,密度!$H$2:$H$50)</f>
        <v>21957.047353600003</v>
      </c>
      <c r="V16" s="73" ph="1">
        <f>MAX(5600*LOOKUP(V17,密度!$A$2:$A$50,密度!$Q$2:$Q$50)+V15*9.0476*LOOKUP(V17,密度!$A$2:$A$50,密度!$Q$2:$Q$50),0)</f>
        <v>32684.1762165</v>
      </c>
      <c r="W16" s="73" ph="1">
        <f>MAX(5600*LOOKUP(W17,密度!$A$2:$A$50,密度!$Q$2:$Q$50)+W15*9.0476*LOOKUP(W17,密度!$A$2:$A$50,密度!$Q$2:$Q$50),0)</f>
        <v>47926.921872199993</v>
      </c>
      <c r="X16" s="73" ph="1">
        <f>MAX(5600*LOOKUP(X17,密度!$A$2:$A$50,密度!$I$2:$I$50)+X15*9.0476*LOOKUP(X17,密度!$A$2:$A$50,密度!$I$2:$I$50),0)</f>
        <v>17783.329116839999</v>
      </c>
      <c r="Y16" s="107" ph="1">
        <v>0</v>
      </c>
      <c r="Z16" s="73" ph="1">
        <f>Z15*9.0746*LOOKUP(Z17,密度!$A$2:$A$50,密度!$D$2:$D$50)</f>
        <v>6497.6858379999994</v>
      </c>
      <c r="AA16" s="73" ph="1">
        <f>AA15*9.0746*LOOKUP(AA17,密度!$A$2:$A$50,密度!$B$2:$B$50)</f>
        <v>17849.158333060001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9477.8822217600009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31</v>
      </c>
      <c r="F17" s="74">
        <v>33</v>
      </c>
      <c r="G17" s="74">
        <v>29</v>
      </c>
      <c r="H17" s="74">
        <v>27</v>
      </c>
      <c r="I17" s="74">
        <v>29</v>
      </c>
      <c r="J17" s="74">
        <v>29</v>
      </c>
      <c r="K17" s="74">
        <v>30</v>
      </c>
      <c r="L17" s="74">
        <v>30</v>
      </c>
      <c r="M17" s="74">
        <v>31</v>
      </c>
      <c r="N17" s="74">
        <v>29</v>
      </c>
      <c r="O17" s="74">
        <v>30</v>
      </c>
      <c r="P17" s="74">
        <v>30</v>
      </c>
      <c r="Q17" s="74">
        <v>32</v>
      </c>
      <c r="R17" s="74">
        <v>31</v>
      </c>
      <c r="S17" s="74">
        <v>29</v>
      </c>
      <c r="T17" s="74">
        <v>30</v>
      </c>
      <c r="U17" s="74">
        <v>29</v>
      </c>
      <c r="V17" s="74">
        <v>33</v>
      </c>
      <c r="W17" s="74">
        <v>32</v>
      </c>
      <c r="X17" s="74">
        <v>30</v>
      </c>
      <c r="Y17" s="108">
        <v>30</v>
      </c>
      <c r="Z17" s="74">
        <v>29</v>
      </c>
      <c r="AA17" s="74">
        <v>30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0</v>
      </c>
      <c r="E18" s="71">
        <v>2174</v>
      </c>
      <c r="F18" s="71">
        <v>1278</v>
      </c>
      <c r="G18" s="71">
        <v>2128</v>
      </c>
      <c r="H18" s="71">
        <v>2038</v>
      </c>
      <c r="I18" s="71">
        <v>2787</v>
      </c>
      <c r="J18" s="71">
        <v>420</v>
      </c>
      <c r="K18" s="71">
        <v>3368</v>
      </c>
      <c r="L18" s="71">
        <v>5876</v>
      </c>
      <c r="M18" s="71">
        <v>2108</v>
      </c>
      <c r="N18" s="71">
        <v>471</v>
      </c>
      <c r="O18" s="71">
        <v>3143</v>
      </c>
      <c r="P18" s="71">
        <v>5209</v>
      </c>
      <c r="Q18" s="71">
        <v>2916</v>
      </c>
      <c r="R18" s="71">
        <v>1952</v>
      </c>
      <c r="S18" s="71">
        <v>0</v>
      </c>
      <c r="T18" s="71">
        <v>1861</v>
      </c>
      <c r="U18" s="71">
        <v>2657</v>
      </c>
      <c r="V18" s="71">
        <v>3219</v>
      </c>
      <c r="W18" s="71">
        <v>5005</v>
      </c>
      <c r="X18" s="71">
        <v>1277</v>
      </c>
      <c r="Y18" s="109">
        <v>-9909</v>
      </c>
      <c r="Z18" s="71">
        <v>700</v>
      </c>
      <c r="AA18" s="71">
        <v>2539</v>
      </c>
      <c r="AB18" s="71">
        <v>0</v>
      </c>
      <c r="AC18" s="71">
        <v>0</v>
      </c>
      <c r="AD18" s="71">
        <v>11.39</v>
      </c>
      <c r="AE18" s="71">
        <v>84.61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0</v>
      </c>
      <c r="E19" s="73" ph="1">
        <f>E18*7.0686*LOOKUP(E20,密度!$A$2:$A$50,密度!$L$2:$L$50)</f>
        <v>14306.803988400001</v>
      </c>
      <c r="F19" s="73" ph="1">
        <f>F18*9.0746*LOOKUP(F20,密度!$A$2:$A$50,密度!$L$2:$L$50)</f>
        <v>10773.927745200001</v>
      </c>
      <c r="G19" s="73" ph="1">
        <f>G18*9.0746*LOOKUP(G20,密度!$A$2:$A$50,密度!$B$2:$B$50)</f>
        <v>14971.623544640001</v>
      </c>
      <c r="H19" s="73" ph="1">
        <f>H18*9.0746*LOOKUP(H20,密度!$A$2:$A$50,密度!$L$2:$L$50)</f>
        <v>17236.440433600001</v>
      </c>
      <c r="I19" s="73" ph="1">
        <f>I18*9.0746*LOOKUP(I20,密度!$A$2:$A$50,密度!$U$2:$U$50)</f>
        <v>25695.564763200004</v>
      </c>
      <c r="J19" s="73" ph="1">
        <f>J18*9.0746*LOOKUP(J20,密度!$A$2:$A$50,密度!$L$2:$L$50)</f>
        <v>3533.1047640000002</v>
      </c>
      <c r="K19" s="73" ph="1">
        <f>K18*9.0746*LOOKUP(K20,密度!$A$2:$A$50,密度!$C$2:$C$50)</f>
        <v>33680.704585600004</v>
      </c>
      <c r="L19" s="73" ph="1">
        <f>L18*9.0746*LOOKUP(L20,密度!$A$2:$A$50,密度!$E$2:$E$50)</f>
        <v>41341.884091872002</v>
      </c>
      <c r="M19" s="73" ph="1">
        <f>M18*9.0746*LOOKUP(M20,密度!$A$2:$A$50,密度!$M$2:$M$50)</f>
        <v>16560.580196896</v>
      </c>
      <c r="N19" s="73" ph="1">
        <f>N18*9.0746*LOOKUP(N20,密度!$A$2:$A$50,密度!$M$2:$M$50)</f>
        <v>3718.0714283399998</v>
      </c>
      <c r="O19" s="73" ph="1">
        <f>O18*9.0746*LOOKUP(O20,密度!$A$2:$A$50,密度!$G$2:$G$50)</f>
        <v>27170.691084992002</v>
      </c>
      <c r="P19" s="73" ph="1">
        <f ca="1">P18*9.0746*LOOKUP(P20,密度!$A$2:$A$51,密度!$Q$2:$Q$50)</f>
        <v>44523.228139659994</v>
      </c>
      <c r="Q19" s="73" ph="1">
        <f>Q18*9.0746*LOOKUP(Q20,密度!$A$2:$A$50,密度!$Q$2:$Q$50)</f>
        <v>24906.918501</v>
      </c>
      <c r="R19" s="73" ph="1">
        <f>MAX(R18*9.0746*LOOKUP(R20,密度!$A$2:$A$50,密度!$B$2:$B$50),0)</f>
        <v>13687.313555840001</v>
      </c>
      <c r="S19" s="73" ph="1">
        <f>S18*9.0746*LOOKUP(S20,密度!$A$2:$A$50,密度!$Q$2:$Q$50)</f>
        <v>0</v>
      </c>
      <c r="T19" s="73" ph="1">
        <f>T18*9.0746*LOOKUP(T20,密度!$A$2:$A$50,密度!$O$2:$O$50)</f>
        <v>15570.579813200002</v>
      </c>
      <c r="U19" s="73" ph="1">
        <f>U18*9.0746*LOOKUP(U20,密度!$A$2:$A$50,密度!$H$2:$H$50)</f>
        <v>21894.909574576002</v>
      </c>
      <c r="V19" s="73" ph="1">
        <f>MAX(5600*LOOKUP(V20,密度!$A$2:$A$50,密度!$Q$2:$Q$50)+V18*9.0476*LOOKUP(V20,密度!$A$2:$A$50,密度!$Q$2:$Q$50),0)</f>
        <v>32706.746962359997</v>
      </c>
      <c r="W19" s="73" ph="1">
        <f>MAX(5600*LOOKUP(W20,密度!$A$2:$A$50,密度!$Q$2:$Q$50)+W18*9.0476*LOOKUP(W20,密度!$A$2:$A$50,密度!$Q$2:$Q$50),0)</f>
        <v>47893.847767499996</v>
      </c>
      <c r="X19" s="73" ph="1">
        <f>MAX(5600*LOOKUP(X20,密度!$A$2:$A$50,密度!$I$2:$I$50)+X18*9.0476*LOOKUP(X20,密度!$A$2:$A$50,密度!$I$2:$I$50),0)</f>
        <v>17745.590789399997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6480.5348439999998</v>
      </c>
      <c r="AA19" s="73" ph="1">
        <f>AA18*9.0746*LOOKUP(AA20,密度!$A$2:$A$50,密度!$B$2:$B$50)</f>
        <v>17842.493039360001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3594.6080603999999</v>
      </c>
      <c r="AE19" s="73" ph="1">
        <f>AE18*268.68*LOOKUP(AE20,密度!$A$2:$A$50,密度!B5:B53)+IF(AE18&lt;=0,0,1566*LOOKUP(AE20,密度!$A$2:$A$50,密度!B5:B53))</f>
        <v>18880.334499600001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31</v>
      </c>
      <c r="E20" s="81">
        <v>31</v>
      </c>
      <c r="F20" s="81">
        <v>33</v>
      </c>
      <c r="G20" s="81">
        <v>30</v>
      </c>
      <c r="H20" s="81">
        <v>30</v>
      </c>
      <c r="I20" s="81">
        <v>34</v>
      </c>
      <c r="J20" s="81">
        <v>35</v>
      </c>
      <c r="K20" s="81">
        <v>33</v>
      </c>
      <c r="L20" s="81">
        <v>32</v>
      </c>
      <c r="M20" s="81">
        <v>34</v>
      </c>
      <c r="N20" s="81">
        <v>30</v>
      </c>
      <c r="O20" s="81">
        <v>32</v>
      </c>
      <c r="P20" s="81">
        <v>32</v>
      </c>
      <c r="Q20" s="81">
        <v>33</v>
      </c>
      <c r="R20" s="81">
        <v>33</v>
      </c>
      <c r="S20" s="81">
        <v>32</v>
      </c>
      <c r="T20" s="81">
        <v>32</v>
      </c>
      <c r="U20" s="81">
        <v>32</v>
      </c>
      <c r="V20" s="81">
        <v>32</v>
      </c>
      <c r="W20" s="81">
        <v>33</v>
      </c>
      <c r="X20" s="81">
        <v>32</v>
      </c>
      <c r="Y20" s="110">
        <v>32</v>
      </c>
      <c r="Z20" s="81">
        <v>32</v>
      </c>
      <c r="AA20" s="81">
        <v>31</v>
      </c>
      <c r="AB20" s="81">
        <v>31</v>
      </c>
      <c r="AC20" s="81">
        <v>31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640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3.11</v>
      </c>
      <c r="E24" s="71">
        <v>5.82</v>
      </c>
      <c r="F24" s="71">
        <v>266</v>
      </c>
      <c r="G24" s="71">
        <v>2407</v>
      </c>
      <c r="H24" s="71">
        <v>3015</v>
      </c>
      <c r="I24" s="71">
        <v>928</v>
      </c>
      <c r="J24" s="71">
        <v>663</v>
      </c>
      <c r="K24" s="71">
        <v>2459</v>
      </c>
      <c r="L24" s="71">
        <v>302</v>
      </c>
      <c r="M24" s="71">
        <v>327</v>
      </c>
      <c r="N24" s="71">
        <v>2655</v>
      </c>
      <c r="O24" s="71">
        <v>342</v>
      </c>
      <c r="P24" s="71">
        <v>362</v>
      </c>
      <c r="Q24" s="90">
        <v>562</v>
      </c>
      <c r="R24" s="71">
        <v>1933</v>
      </c>
      <c r="S24" s="71">
        <v>6395</v>
      </c>
      <c r="T24" s="71">
        <v>390</v>
      </c>
      <c r="U24" s="71">
        <v>3197</v>
      </c>
      <c r="V24" s="71">
        <v>883</v>
      </c>
      <c r="W24" s="71">
        <v>412</v>
      </c>
      <c r="X24" s="71">
        <v>2855</v>
      </c>
      <c r="Y24" s="71">
        <v>6866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2273.685860952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2940.3489018400001</v>
      </c>
      <c r="G25" s="91" ph="1">
        <f>G24*18.322*LOOKUP(G26,密度!$A$2:$A$50,密度!$B$2:$B$50)</f>
        <v>34266.518958000001</v>
      </c>
      <c r="H25" s="91" ph="1">
        <f>H24*18.322*LOOKUP(H26,密度!$A$2:$A$50,密度!$B$2:$B$50)</f>
        <v>42922.124909999999</v>
      </c>
      <c r="I25" s="91" ph="1">
        <f>I24*18.322*LOOKUP(I26,密度!$A$2:$A$50,密度!$Q$2:$Q$50)</f>
        <v>16073.102021119999</v>
      </c>
      <c r="J25" s="91" ph="1">
        <f>J24*18.322*LOOKUP(J26,密度!$A$2:$A$50,密度!$Q$2:$Q$50)</f>
        <v>11474.75822532</v>
      </c>
      <c r="K25" s="91" ph="1">
        <f>K24*18.322*LOOKUP(K26,密度!$A$2:$A$50,密度!$Q$2:$Q$50)</f>
        <v>42590.256325359995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5659.4961382800002</v>
      </c>
      <c r="N25" s="91" ph="1">
        <f>N24*18.322*LOOKUP(N26,密度!$A$2:$A$50,密度!$Q$2:$Q$50)</f>
        <v>45917.389896299996</v>
      </c>
      <c r="O25" s="91" ph="1">
        <f>O24*18.322*LOOKUP(O26,密度!$A$2:$A$50,密度!$C$2:$C$50)</f>
        <v>6934.0928184000004</v>
      </c>
      <c r="P25" s="91" ph="1">
        <f>P24*11.702*LOOKUP(P26,密度!$A$2:$A$50,密度!$B$2:$B$50)</f>
        <v>3295.2808596</v>
      </c>
      <c r="Q25" s="92" ph="1">
        <f>Q24*18.322*LOOKUP(Q26,密度!$A$2:$A$50,密度!$B$2:$B$50)</f>
        <v>8000.7410280000004</v>
      </c>
      <c r="R25" s="91" ph="1">
        <f>R24*35.891*LOOKUP(R26,密度!$A$2:$A$50,密度!$C$2:$C$50)</f>
        <v>76724.359387700009</v>
      </c>
      <c r="S25" s="91" ph="1">
        <f>S24*35.891*LOOKUP(S26,密度!$A$2:$A$50,密度!$B$2:$B$50)</f>
        <v>178339.32826499999</v>
      </c>
      <c r="T25" s="91" ph="1">
        <f>T24*35.891*LOOKUP(T26,密度!$A$2:$A$50,密度!$Q$2:$Q$50)</f>
        <v>13222.309003799999</v>
      </c>
      <c r="U25" s="91" ph="1">
        <f>U24*35.891</f>
        <v>114743.52699999999</v>
      </c>
      <c r="V25" s="91" ph="1">
        <f>V24*47.051*LOOKUP(V26,密度!$A$2:$A$50,密度!$B$2:$B$50)</f>
        <v>32281.267641000002</v>
      </c>
      <c r="W25" s="91" ph="1">
        <f>W24*47.051*LOOKUP(W26,密度!$A$2:$A$50,密度!$B$2:$B$50)</f>
        <v>15062.154324000003</v>
      </c>
      <c r="X25" s="91" ph="1">
        <f>X24*47.051*LOOKUP(X26,密度!$A$2:$A$61,密度!$I$2:$I$61)</f>
        <v>139260.53820350001</v>
      </c>
      <c r="Y25" s="91" ph="1">
        <f>Y24*47.051*LOOKUP(Y26,密度!$A$2:$A$50,密度!$L$2:$L$50)</f>
        <v>301730.72304400004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28</v>
      </c>
      <c r="H26" s="74">
        <v>28</v>
      </c>
      <c r="I26" s="74">
        <v>27</v>
      </c>
      <c r="J26" s="74">
        <v>28</v>
      </c>
      <c r="K26" s="74">
        <v>27</v>
      </c>
      <c r="L26" s="74">
        <v>28</v>
      </c>
      <c r="M26" s="74">
        <v>28</v>
      </c>
      <c r="N26" s="74">
        <v>29</v>
      </c>
      <c r="O26" s="74">
        <v>28</v>
      </c>
      <c r="P26" s="74">
        <v>27</v>
      </c>
      <c r="Q26" s="93">
        <v>28</v>
      </c>
      <c r="R26" s="74">
        <v>29</v>
      </c>
      <c r="S26" s="74">
        <v>28</v>
      </c>
      <c r="T26" s="74">
        <v>28</v>
      </c>
      <c r="U26" s="74">
        <v>27</v>
      </c>
      <c r="V26" s="74">
        <v>28</v>
      </c>
      <c r="W26" s="74">
        <v>28</v>
      </c>
      <c r="X26" s="74">
        <v>30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3.02</v>
      </c>
      <c r="E27" s="71">
        <v>5.82</v>
      </c>
      <c r="F27" s="71">
        <v>267</v>
      </c>
      <c r="G27" s="71">
        <v>1972</v>
      </c>
      <c r="H27" s="71">
        <v>2602</v>
      </c>
      <c r="I27" s="71">
        <v>927</v>
      </c>
      <c r="J27" s="71">
        <v>659</v>
      </c>
      <c r="K27" s="71">
        <v>2458</v>
      </c>
      <c r="L27" s="71">
        <v>298</v>
      </c>
      <c r="M27" s="71">
        <v>324</v>
      </c>
      <c r="N27" s="71">
        <v>2655</v>
      </c>
      <c r="O27" s="71">
        <v>340</v>
      </c>
      <c r="P27" s="71">
        <v>360</v>
      </c>
      <c r="Q27" s="90">
        <v>787</v>
      </c>
      <c r="R27" s="71">
        <v>1932</v>
      </c>
      <c r="S27" s="71">
        <v>6394</v>
      </c>
      <c r="T27" s="71">
        <v>388</v>
      </c>
      <c r="U27" s="71">
        <v>3177</v>
      </c>
      <c r="V27" s="71">
        <v>882</v>
      </c>
      <c r="W27" s="71">
        <v>410</v>
      </c>
      <c r="X27" s="71">
        <v>2732</v>
      </c>
      <c r="Y27" s="71">
        <v>5238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2250.7925516639998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2947.3723252200002</v>
      </c>
      <c r="G28" s="91" ph="1">
        <f>G27*18.322*LOOKUP(G29,密度!$A$2:$A$50,密度!$B$2:$B$50)</f>
        <v>28044.869780799996</v>
      </c>
      <c r="H28" s="91" ph="1">
        <f>H27*18.322*LOOKUP(H29,密度!$A$2:$A$50,密度!$B$2:$B$50)</f>
        <v>36961.531253199995</v>
      </c>
      <c r="I28" s="91" ph="1">
        <f>I27*18.322*LOOKUP(I29,密度!$A$2:$A$50,密度!$Q$2:$Q$50)</f>
        <v>16021.98272502</v>
      </c>
      <c r="J28" s="91" ph="1">
        <f>J27*18.322*LOOKUP(J29,密度!$A$2:$A$50,密度!$Q$2:$Q$50)</f>
        <v>11380.89755084</v>
      </c>
      <c r="K28" s="91" ph="1">
        <f>K27*18.322*LOOKUP(K29,密度!$A$2:$A$50,密度!$Q$2:$Q$50)</f>
        <v>42483.315575079992</v>
      </c>
      <c r="L28" s="91" ph="1">
        <f>L27*18.322*LOOKUP(L29,密度!$A$2:$A$50,密度!$Q$2:$Q$50)</f>
        <v>5150.5402934800004</v>
      </c>
      <c r="M28" s="91" ph="1">
        <f>M27*18.322*LOOKUP(M29,密度!$A$2:$A$50,密度!$Q$2:$Q$50)</f>
        <v>5603.4780890399998</v>
      </c>
      <c r="N28" s="91" ph="1">
        <f>N27*18.322*LOOKUP(N29,密度!$A$2:$A$50,密度!$Q$2:$Q$50)</f>
        <v>45888.202950299994</v>
      </c>
      <c r="O28" s="91" ph="1">
        <f>O27*18.322*LOOKUP(O29,密度!$A$2:$A$50,密度!$C$2:$C$50)</f>
        <v>6877.9688679999999</v>
      </c>
      <c r="P28" s="91" ph="1">
        <f>P27*11.702*LOOKUP(P29,密度!$A$2:$A$50,密度!$B$2:$B$50)</f>
        <v>3266.1218160000003</v>
      </c>
      <c r="Q28" s="92" ph="1">
        <f>Q27*18.322*LOOKUP(Q29,密度!$A$2:$A$50,密度!$B$2:$B$50)</f>
        <v>11179.3716742</v>
      </c>
      <c r="R28" s="91" ph="1">
        <f>R27*35.891*LOOKUP(R29,密度!$A$2:$A$50,密度!$C$2:$C$50)</f>
        <v>76559.852989200008</v>
      </c>
      <c r="S28" s="91" ph="1">
        <f>S27*35.891*LOOKUP(S29,密度!$A$2:$A$50,密度!$B$2:$B$50)</f>
        <v>177921.31296619997</v>
      </c>
      <c r="T28" s="91" ph="1">
        <f>T27*35.891*LOOKUP(T29,密度!$A$2:$A$50,密度!$Q$2:$Q$50)</f>
        <v>13126.093846639998</v>
      </c>
      <c r="U28" s="91" ph="1">
        <f>U27*35.891</f>
        <v>114025.70699999999</v>
      </c>
      <c r="V28" s="91" ph="1">
        <f>V27*47.051*LOOKUP(V29,密度!$A$2:$A$50,密度!$B$2:$B$50)</f>
        <v>32174.160744600002</v>
      </c>
      <c r="W28" s="91" ph="1">
        <f>W27*47.051*LOOKUP(W29,密度!$A$2:$A$50,密度!$B$2:$B$50)</f>
        <v>14938.880703999999</v>
      </c>
      <c r="X28" s="91" ph="1">
        <f>X27*47.051*LOOKUP(X29,密度!$A$2:$A$61,密度!$I$2:$I$61)</f>
        <v>132541.0296252</v>
      </c>
      <c r="Y28" s="91" ph="1">
        <f>Y27*47.051*LOOKUP(Y29,密度!$A$2:$A$50,密度!$L$2:$L$50)</f>
        <v>229694.32461600003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30</v>
      </c>
      <c r="G29" s="74">
        <v>29</v>
      </c>
      <c r="H29" s="74">
        <v>30</v>
      </c>
      <c r="I29" s="74">
        <v>30</v>
      </c>
      <c r="J29" s="74">
        <v>31</v>
      </c>
      <c r="K29" s="74">
        <v>30</v>
      </c>
      <c r="L29" s="74">
        <v>30</v>
      </c>
      <c r="M29" s="74">
        <v>29</v>
      </c>
      <c r="N29" s="74">
        <v>30</v>
      </c>
      <c r="O29" s="74">
        <v>31</v>
      </c>
      <c r="P29" s="74">
        <v>30</v>
      </c>
      <c r="Q29" s="93">
        <v>30</v>
      </c>
      <c r="R29" s="74">
        <v>31</v>
      </c>
      <c r="S29" s="74">
        <v>30</v>
      </c>
      <c r="T29" s="74">
        <v>31</v>
      </c>
      <c r="U29" s="74">
        <v>31</v>
      </c>
      <c r="V29" s="74">
        <v>30</v>
      </c>
      <c r="W29" s="74">
        <v>31</v>
      </c>
      <c r="X29" s="74">
        <v>35</v>
      </c>
      <c r="Y29" s="74">
        <v>30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43597.606175200002</v>
      </c>
      <c r="E33" s="190" ph="1">
        <f>M10+I10</f>
        <v>181657.1510971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1522252632456786910111213141516171819202123456789101112131415161718192022232424356789101112131415161718192021222345678910111213141516171819202345678910111213149101516171819222123234567891012131415161711181920212224252345678910111213110[[#This Row],[F25]]</f>
        <v>3880</v>
      </c>
      <c r="G33" s="216" ph="1">
        <f>N19</f>
        <v>3718.0714283399998</v>
      </c>
      <c r="H33" s="190" ph="1">
        <f>M19</f>
        <v>16560.580196896</v>
      </c>
      <c r="I33" s="194" ph="1">
        <v>0</v>
      </c>
      <c r="J33" s="198" ph="1">
        <f>F10+O28</f>
        <v>221592.58219270004</v>
      </c>
      <c r="K33" s="190" ph="1">
        <f>O10+K10+E28+R28</f>
        <v>87193.08216784001</v>
      </c>
      <c r="L33" s="200" ph="1">
        <f>K19</f>
        <v>33680.704585600004</v>
      </c>
      <c r="M33" s="198" ph="1">
        <f>G10+H10+W28+S28+V28+E10+R19+P28+Q28</f>
        <v>576617.69930584007</v>
      </c>
      <c r="N33" s="190" ph="1">
        <f>L10+P10++G28+H28+AD19+AE19</f>
        <v>164288.12287799997</v>
      </c>
      <c r="O33" s="194" ph="1">
        <f>G19</f>
        <v>14971.623544640001</v>
      </c>
      <c r="P33" s="198" ph="1">
        <f>L19</f>
        <v>41341.884091872002</v>
      </c>
      <c r="Q33" s="190" ph="1">
        <f>J10+N10</f>
        <v>158451.46898526</v>
      </c>
      <c r="R33" s="194" ph="1">
        <f>BE23</f>
        <v>890</v>
      </c>
      <c r="S33" s="198" ph="1">
        <f>X28</f>
        <v>132541.0296252</v>
      </c>
      <c r="T33" s="190" ph="1">
        <f>X19</f>
        <v>17745.590789399997</v>
      </c>
      <c r="U33" s="179" ph="1">
        <f>BE21</f>
        <v>730</v>
      </c>
      <c r="V33" s="192" ph="1">
        <f ca="1">P19+Q19+S19+M28+N28+J28+D10+AC10+D19+E19+H19+J19+O19+V19+W19+K28+L28</f>
        <v>535597.20792765194</v>
      </c>
      <c r="W33" s="192" ph="1">
        <f>D28+F28+T28+I28</f>
        <v>34346.241448543995</v>
      </c>
      <c r="X33" s="194" ph="1">
        <f>BE29+BE31</f>
        <v>10200</v>
      </c>
      <c r="Y33" s="196" ph="1">
        <f>+Q10+R10+S10+T10+U10+V10+W10+X10+Y10</f>
        <v>249636.61439639999</v>
      </c>
      <c r="Z33" s="177" ph="1">
        <f>T19+U19+Y28+Z10</f>
        <v>336342.51977577608</v>
      </c>
      <c r="AA33" s="179" ph="1">
        <f>BE19</f>
        <v>1440</v>
      </c>
      <c r="AB33" s="181" ph="1">
        <f>I19</f>
        <v>25695.564763200004</v>
      </c>
      <c r="AC33" s="183" ph="1">
        <f>AD10+AB19</f>
        <v>87108.930518400011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2100" priority="101">
      <formula>ABS(D$7-D$10)&gt;=1000</formula>
    </cfRule>
  </conditionalFormatting>
  <conditionalFormatting sqref="E4 E6:E11">
    <cfRule type="expression" dxfId="2099" priority="100">
      <formula>ABS(E$7-E$10)&gt;=1000</formula>
    </cfRule>
  </conditionalFormatting>
  <conditionalFormatting sqref="F4:F11">
    <cfRule type="expression" dxfId="2098" priority="99">
      <formula>ABS(F$7-F$10)&gt;=1000</formula>
    </cfRule>
  </conditionalFormatting>
  <conditionalFormatting sqref="G4:G11">
    <cfRule type="expression" dxfId="2097" priority="98">
      <formula>ABS(G$7-G$10)&gt;=1000</formula>
    </cfRule>
  </conditionalFormatting>
  <conditionalFormatting sqref="H4:H11">
    <cfRule type="expression" dxfId="2096" priority="97">
      <formula>ABS(H$7-H$10)&gt;=1000</formula>
    </cfRule>
  </conditionalFormatting>
  <conditionalFormatting sqref="I4:I11">
    <cfRule type="expression" dxfId="2095" priority="96">
      <formula>ABS(I$7-I$10)&gt;=1000</formula>
    </cfRule>
  </conditionalFormatting>
  <conditionalFormatting sqref="J4:J11">
    <cfRule type="expression" dxfId="2094" priority="95">
      <formula>ABS(J$7-J$10)&gt;=1000</formula>
    </cfRule>
  </conditionalFormatting>
  <conditionalFormatting sqref="K4:K11">
    <cfRule type="expression" dxfId="2093" priority="94">
      <formula>ABS(K$7-K$10)&gt;=1000</formula>
    </cfRule>
  </conditionalFormatting>
  <conditionalFormatting sqref="L4:L11">
    <cfRule type="expression" dxfId="2092" priority="93">
      <formula>ABS(L$7-L$10)&gt;=1000</formula>
    </cfRule>
  </conditionalFormatting>
  <conditionalFormatting sqref="M4 M6:M11">
    <cfRule type="expression" dxfId="2091" priority="92">
      <formula>ABS(M$7-M$10)&gt;=1000</formula>
    </cfRule>
  </conditionalFormatting>
  <conditionalFormatting sqref="N4 N6:N11">
    <cfRule type="expression" dxfId="2090" priority="91">
      <formula>ABS(N$7-N$10)&gt;=1000</formula>
    </cfRule>
  </conditionalFormatting>
  <conditionalFormatting sqref="O4 O6:O11">
    <cfRule type="expression" dxfId="2089" priority="90">
      <formula>ABS(O$7-O$10)&gt;=1000</formula>
    </cfRule>
  </conditionalFormatting>
  <conditionalFormatting sqref="P4 P6:P11">
    <cfRule type="expression" dxfId="2088" priority="89">
      <formula>ABS(P$7-P$10)&gt;=1000</formula>
    </cfRule>
  </conditionalFormatting>
  <conditionalFormatting sqref="Q4:Q11">
    <cfRule type="expression" dxfId="2087" priority="88">
      <formula>ABS(Q$7-Q$10)&gt;=1000</formula>
    </cfRule>
  </conditionalFormatting>
  <conditionalFormatting sqref="R4:R11">
    <cfRule type="expression" dxfId="2086" priority="87">
      <formula>ABS(R$7-R$10)&gt;=1000</formula>
    </cfRule>
  </conditionalFormatting>
  <conditionalFormatting sqref="S4:S11">
    <cfRule type="expression" dxfId="2085" priority="86">
      <formula>ABS(S$7-S$10)&gt;=1000</formula>
    </cfRule>
  </conditionalFormatting>
  <conditionalFormatting sqref="T4:T9 T11">
    <cfRule type="expression" dxfId="2084" priority="85">
      <formula>ABS(T$7-T$10)&gt;=1000</formula>
    </cfRule>
  </conditionalFormatting>
  <conditionalFormatting sqref="U4:U9 U11">
    <cfRule type="expression" dxfId="2083" priority="84">
      <formula>ABS(U$7-U$10)&gt;=1000</formula>
    </cfRule>
  </conditionalFormatting>
  <conditionalFormatting sqref="V4:V9 V11">
    <cfRule type="expression" dxfId="2082" priority="83">
      <formula>ABS(V$7-V$10)&gt;=1000</formula>
    </cfRule>
  </conditionalFormatting>
  <conditionalFormatting sqref="W4:W9 W11">
    <cfRule type="expression" dxfId="2081" priority="82">
      <formula>ABS(W$7-W$10)&gt;=1000</formula>
    </cfRule>
  </conditionalFormatting>
  <conditionalFormatting sqref="X4:X9 X11">
    <cfRule type="expression" dxfId="2080" priority="81">
      <formula>ABS(X$7-X$10)&gt;=1000</formula>
    </cfRule>
  </conditionalFormatting>
  <conditionalFormatting sqref="Y4:Y9 Y11">
    <cfRule type="expression" dxfId="2079" priority="80">
      <formula>ABS(Y$7-Y$10)&gt;=1000</formula>
    </cfRule>
  </conditionalFormatting>
  <conditionalFormatting sqref="Z4:Z11">
    <cfRule type="expression" dxfId="2078" priority="79">
      <formula>ABS(Z$7-Z$10)&gt;=1000</formula>
    </cfRule>
  </conditionalFormatting>
  <conditionalFormatting sqref="AA4:AA11">
    <cfRule type="expression" dxfId="2077" priority="78">
      <formula>ABS(AA$7-AA$10)&gt;=1000</formula>
    </cfRule>
  </conditionalFormatting>
  <conditionalFormatting sqref="AB4:AB11">
    <cfRule type="expression" dxfId="2076" priority="77">
      <formula>ABS(AB$7-AB$10)&gt;=1000</formula>
    </cfRule>
  </conditionalFormatting>
  <conditionalFormatting sqref="AC4 AC6:AC11">
    <cfRule type="expression" dxfId="2075" priority="76">
      <formula>ABS(AC$7-AC$10)&gt;=1000</formula>
    </cfRule>
  </conditionalFormatting>
  <conditionalFormatting sqref="AD4 AD6:AD11">
    <cfRule type="expression" dxfId="2074" priority="75">
      <formula>ABS(AD$7-AD$10)&gt;=1000</formula>
    </cfRule>
  </conditionalFormatting>
  <conditionalFormatting sqref="AE4 AE6:AE11">
    <cfRule type="expression" dxfId="2073" priority="74">
      <formula>ABS(AE$7-AE$10)&gt;=1000</formula>
    </cfRule>
  </conditionalFormatting>
  <conditionalFormatting sqref="D13:D20">
    <cfRule type="expression" dxfId="2072" priority="73">
      <formula>ABS(D$16-D$19)&gt;=1000</formula>
    </cfRule>
  </conditionalFormatting>
  <conditionalFormatting sqref="E13:E20">
    <cfRule type="expression" dxfId="2071" priority="72">
      <formula>ABS(E$16-E$19)&gt;=1000</formula>
    </cfRule>
  </conditionalFormatting>
  <conditionalFormatting sqref="F13 F15:F20">
    <cfRule type="expression" dxfId="2070" priority="71">
      <formula>ABS(F$16-F$19)&gt;=1000</formula>
    </cfRule>
  </conditionalFormatting>
  <conditionalFormatting sqref="G13:G20">
    <cfRule type="expression" dxfId="2069" priority="70">
      <formula>ABS(G$16-G$19)&gt;=1000</formula>
    </cfRule>
  </conditionalFormatting>
  <conditionalFormatting sqref="H13 H15:H20">
    <cfRule type="expression" dxfId="2068" priority="69">
      <formula>ABS(H$16-H$19)&gt;=1000</formula>
    </cfRule>
  </conditionalFormatting>
  <conditionalFormatting sqref="I13:I20">
    <cfRule type="expression" dxfId="2067" priority="68">
      <formula>ABS(I$16-I$19)&gt;=1000</formula>
    </cfRule>
  </conditionalFormatting>
  <conditionalFormatting sqref="J13:J20">
    <cfRule type="expression" dxfId="2066" priority="67">
      <formula>ABS(J$16-J$19)&gt;=1000</formula>
    </cfRule>
  </conditionalFormatting>
  <conditionalFormatting sqref="L13:L20">
    <cfRule type="expression" dxfId="2065" priority="66">
      <formula>ABS(L$16-L$19)&gt;=1000</formula>
    </cfRule>
  </conditionalFormatting>
  <conditionalFormatting sqref="M13 M15 M17:M18 M20">
    <cfRule type="expression" dxfId="2064" priority="65">
      <formula>ABS(M$16-M$19)&gt;=1000</formula>
    </cfRule>
  </conditionalFormatting>
  <conditionalFormatting sqref="N13:N20">
    <cfRule type="expression" dxfId="2063" priority="64">
      <formula>ABS(N$16-N$19)&gt;=1000</formula>
    </cfRule>
  </conditionalFormatting>
  <conditionalFormatting sqref="O13:O20">
    <cfRule type="expression" dxfId="2062" priority="63">
      <formula>ABS(O$16-O$19)&gt;=1000</formula>
    </cfRule>
  </conditionalFormatting>
  <conditionalFormatting sqref="P13:P20">
    <cfRule type="expression" dxfId="2061" priority="62">
      <formula>ABS(P$16-P$19)&gt;=1000</formula>
    </cfRule>
  </conditionalFormatting>
  <conditionalFormatting sqref="Q13 Q15:Q20">
    <cfRule type="expression" dxfId="2060" priority="61">
      <formula>ABS(Q$16-Q$19)&gt;=1000</formula>
    </cfRule>
  </conditionalFormatting>
  <conditionalFormatting sqref="R13:R20">
    <cfRule type="expression" dxfId="2059" priority="60">
      <formula>ABS(R$16-R$19)&gt;=1000</formula>
    </cfRule>
  </conditionalFormatting>
  <conditionalFormatting sqref="S13:S20">
    <cfRule type="expression" dxfId="2058" priority="59">
      <formula>ABS(S$16-S$19)&gt;=1000</formula>
    </cfRule>
  </conditionalFormatting>
  <conditionalFormatting sqref="T13:T15 T17:T20">
    <cfRule type="expression" dxfId="2057" priority="58">
      <formula>ABS(T$16-T$19)&gt;=1000</formula>
    </cfRule>
  </conditionalFormatting>
  <conditionalFormatting sqref="U13:U20">
    <cfRule type="expression" dxfId="2056" priority="57">
      <formula>ABS(U$16-U$19)&gt;=1000</formula>
    </cfRule>
  </conditionalFormatting>
  <conditionalFormatting sqref="V13:V20">
    <cfRule type="expression" dxfId="2055" priority="56">
      <formula>ABS(V$16-V$19)&gt;=1000</formula>
    </cfRule>
  </conditionalFormatting>
  <conditionalFormatting sqref="W13 W20 W15:W18">
    <cfRule type="expression" dxfId="2054" priority="55">
      <formula>ABS(W$16-W$19)&gt;=1000</formula>
    </cfRule>
  </conditionalFormatting>
  <conditionalFormatting sqref="X13 X15:X20 Y19">
    <cfRule type="expression" dxfId="2053" priority="54">
      <formula>ABS(X$16-X$19)&gt;=1000</formula>
    </cfRule>
  </conditionalFormatting>
  <conditionalFormatting sqref="Y13 Y15:Y18 Y20">
    <cfRule type="expression" dxfId="2052" priority="53">
      <formula>ABS(Y$16-Y$19)&gt;=1000</formula>
    </cfRule>
  </conditionalFormatting>
  <conditionalFormatting sqref="Z13:Z20">
    <cfRule type="expression" dxfId="2051" priority="52">
      <formula>ABS(Z$16-Z$19)&gt;=1000</formula>
    </cfRule>
  </conditionalFormatting>
  <conditionalFormatting sqref="AA13:AA20">
    <cfRule type="expression" dxfId="2050" priority="51">
      <formula>ABS(AA$16-AA$19)&gt;=1000</formula>
    </cfRule>
  </conditionalFormatting>
  <conditionalFormatting sqref="AB13 AB15:AB20">
    <cfRule type="expression" dxfId="2049" priority="50">
      <formula>ABS(AB$16-AB$19)&gt;=1000</formula>
    </cfRule>
  </conditionalFormatting>
  <conditionalFormatting sqref="AC13 AC15:AC20">
    <cfRule type="expression" dxfId="2048" priority="49">
      <formula>ABS(AC$16-AC$19)&gt;=1000</formula>
    </cfRule>
  </conditionalFormatting>
  <conditionalFormatting sqref="AD13:AD20">
    <cfRule type="expression" dxfId="2047" priority="48">
      <formula>ABS(AD$16-AD$19)&gt;=1000</formula>
    </cfRule>
  </conditionalFormatting>
  <conditionalFormatting sqref="AE13:AE20">
    <cfRule type="expression" dxfId="2046" priority="47">
      <formula>ABS(AE$16-AE$19)&gt;=1000</formula>
    </cfRule>
  </conditionalFormatting>
  <conditionalFormatting sqref="D22:D29">
    <cfRule type="expression" dxfId="2045" priority="46">
      <formula>ABS(D$25-D$28)&gt;=1000</formula>
    </cfRule>
  </conditionalFormatting>
  <conditionalFormatting sqref="E22:E29">
    <cfRule type="expression" dxfId="2044" priority="45">
      <formula>ABS(E$25-E$28)&gt;=1000</formula>
    </cfRule>
  </conditionalFormatting>
  <conditionalFormatting sqref="F22:F29">
    <cfRule type="expression" dxfId="2043" priority="44">
      <formula>ABS(F$25-F$28)&gt;=1000</formula>
    </cfRule>
  </conditionalFormatting>
  <conditionalFormatting sqref="G22:G29">
    <cfRule type="expression" dxfId="2042" priority="43">
      <formula>ABS(G$25-G$28)&gt;=1000</formula>
    </cfRule>
  </conditionalFormatting>
  <conditionalFormatting sqref="H22:H29">
    <cfRule type="expression" dxfId="2041" priority="42">
      <formula>ABS(H$25-H$28)&gt;=1000</formula>
    </cfRule>
  </conditionalFormatting>
  <conditionalFormatting sqref="I22 I24:I29">
    <cfRule type="expression" dxfId="2040" priority="41">
      <formula>ABS(I$25-I$28)&gt;=1000</formula>
    </cfRule>
  </conditionalFormatting>
  <conditionalFormatting sqref="J22:J29 K22">
    <cfRule type="expression" dxfId="2039" priority="40">
      <formula>ABS(J$25-J$28)&gt;=1000</formula>
    </cfRule>
  </conditionalFormatting>
  <conditionalFormatting sqref="K23:K29 L25 L28">
    <cfRule type="expression" dxfId="2038" priority="39">
      <formula>ABS(K$25-K$28)&gt;=1000</formula>
    </cfRule>
  </conditionalFormatting>
  <conditionalFormatting sqref="L22 L26:L27 L29 L24">
    <cfRule type="expression" dxfId="2037" priority="38">
      <formula>ABS(L$25-L$28)&gt;=1000</formula>
    </cfRule>
  </conditionalFormatting>
  <conditionalFormatting sqref="M22:M29">
    <cfRule type="expression" dxfId="2036" priority="37">
      <formula>ABS(M$25-M$28)&gt;=1000</formula>
    </cfRule>
  </conditionalFormatting>
  <conditionalFormatting sqref="N22:N29">
    <cfRule type="expression" dxfId="2035" priority="36">
      <formula>ABS(N$25-N$28)&gt;=1000</formula>
    </cfRule>
  </conditionalFormatting>
  <conditionalFormatting sqref="O22:O29">
    <cfRule type="expression" dxfId="2034" priority="35">
      <formula>ABS(O$25-O$28)&gt;=1000</formula>
    </cfRule>
  </conditionalFormatting>
  <conditionalFormatting sqref="P22:P29">
    <cfRule type="expression" dxfId="2033" priority="34">
      <formula>ABS(P$25-P$28)&gt;=1000</formula>
    </cfRule>
  </conditionalFormatting>
  <conditionalFormatting sqref="Q22:Q29">
    <cfRule type="expression" dxfId="2032" priority="33">
      <formula>ABS(Q$25-Q$28)&gt;=1000</formula>
    </cfRule>
  </conditionalFormatting>
  <conditionalFormatting sqref="R22:R29">
    <cfRule type="expression" dxfId="2031" priority="32">
      <formula>ABS(R$25-R$28)&gt;=1000</formula>
    </cfRule>
  </conditionalFormatting>
  <conditionalFormatting sqref="S22:S29">
    <cfRule type="expression" dxfId="2030" priority="31">
      <formula>ABS(S$25-S$28)&gt;=1000</formula>
    </cfRule>
  </conditionalFormatting>
  <conditionalFormatting sqref="T22:T29">
    <cfRule type="expression" dxfId="2029" priority="30">
      <formula>ABS(T$25-T$28)&gt;=1000</formula>
    </cfRule>
  </conditionalFormatting>
  <conditionalFormatting sqref="U22:U29">
    <cfRule type="expression" dxfId="2028" priority="29">
      <formula>ABS(U$25-U$28)&gt;=1000</formula>
    </cfRule>
  </conditionalFormatting>
  <conditionalFormatting sqref="V22:V29">
    <cfRule type="expression" dxfId="2027" priority="28">
      <formula>ABS(V$25-V$28)&gt;=1000</formula>
    </cfRule>
  </conditionalFormatting>
  <conditionalFormatting sqref="W22:W29">
    <cfRule type="expression" dxfId="2026" priority="27">
      <formula>ABS(W$25-W$28)&gt;=1000</formula>
    </cfRule>
  </conditionalFormatting>
  <conditionalFormatting sqref="X22:X29">
    <cfRule type="expression" dxfId="2025" priority="26">
      <formula>ABS(X$25-X$28)&gt;=1000</formula>
    </cfRule>
  </conditionalFormatting>
  <conditionalFormatting sqref="Y22:Y29">
    <cfRule type="expression" dxfId="2024" priority="25">
      <formula>ABS(Y$25-Y$28)&gt;=1000</formula>
    </cfRule>
  </conditionalFormatting>
  <conditionalFormatting sqref="I23">
    <cfRule type="expression" dxfId="2023" priority="24">
      <formula>ABS(I$25-I$28)&gt;=1000</formula>
    </cfRule>
  </conditionalFormatting>
  <conditionalFormatting sqref="Q14">
    <cfRule type="expression" dxfId="2022" priority="23">
      <formula>ABS(Q$16-Q$19)&gt;=1000</formula>
    </cfRule>
  </conditionalFormatting>
  <conditionalFormatting sqref="W14">
    <cfRule type="expression" dxfId="2021" priority="22">
      <formula>ABS(W$16-W$19)&gt;=1000</formula>
    </cfRule>
  </conditionalFormatting>
  <conditionalFormatting sqref="X14">
    <cfRule type="expression" dxfId="2020" priority="21">
      <formula>ABS(X$16-X$19)&gt;=1000</formula>
    </cfRule>
  </conditionalFormatting>
  <conditionalFormatting sqref="T10:Y10">
    <cfRule type="expression" dxfId="2019" priority="20">
      <formula>ABS(T$7-T$10)&gt;=1000</formula>
    </cfRule>
  </conditionalFormatting>
  <conditionalFormatting sqref="W19">
    <cfRule type="expression" dxfId="2018" priority="19">
      <formula>ABS(W$16-W$19)&gt;=1000</formula>
    </cfRule>
  </conditionalFormatting>
  <conditionalFormatting sqref="AC5">
    <cfRule type="expression" dxfId="2017" priority="18">
      <formula>ABS(AC$7-AC$10)&gt;=1000</formula>
    </cfRule>
  </conditionalFormatting>
  <conditionalFormatting sqref="M14">
    <cfRule type="expression" dxfId="2016" priority="17">
      <formula>ABS(M$16-M$19)&gt;=1000</formula>
    </cfRule>
  </conditionalFormatting>
  <conditionalFormatting sqref="M16">
    <cfRule type="expression" dxfId="2015" priority="16">
      <formula>ABS(M$16-M$19)&gt;=1000</formula>
    </cfRule>
  </conditionalFormatting>
  <conditionalFormatting sqref="M19">
    <cfRule type="expression" dxfId="2014" priority="15">
      <formula>ABS(M$16-M$19)&gt;=1000</formula>
    </cfRule>
  </conditionalFormatting>
  <conditionalFormatting sqref="K13:K20">
    <cfRule type="expression" dxfId="2013" priority="14">
      <formula>ABS(K$16-K$19)&gt;=1000</formula>
    </cfRule>
  </conditionalFormatting>
  <conditionalFormatting sqref="E5">
    <cfRule type="expression" dxfId="2012" priority="13">
      <formula>ABS(E$7-E$10)&gt;=1000</formula>
    </cfRule>
  </conditionalFormatting>
  <conditionalFormatting sqref="AB14:AC14">
    <cfRule type="expression" dxfId="2011" priority="12">
      <formula>ABS(AB$16-AB$19)&gt;=1000</formula>
    </cfRule>
  </conditionalFormatting>
  <conditionalFormatting sqref="M5">
    <cfRule type="expression" dxfId="2010" priority="11">
      <formula>ABS(M$7-M$10)&gt;=1000</formula>
    </cfRule>
  </conditionalFormatting>
  <conditionalFormatting sqref="N5">
    <cfRule type="expression" dxfId="2009" priority="10">
      <formula>ABS(N$7-N$10)&gt;=1000</formula>
    </cfRule>
  </conditionalFormatting>
  <conditionalFormatting sqref="O5">
    <cfRule type="expression" dxfId="2008" priority="9">
      <formula>ABS(O$7-O$10)&gt;=1000</formula>
    </cfRule>
  </conditionalFormatting>
  <conditionalFormatting sqref="P5">
    <cfRule type="expression" dxfId="2007" priority="8">
      <formula>ABS(P$7-P$10)&gt;=1000</formula>
    </cfRule>
  </conditionalFormatting>
  <conditionalFormatting sqref="L23">
    <cfRule type="expression" dxfId="2006" priority="7">
      <formula>ABS(L$25-L$28)&gt;=1000</formula>
    </cfRule>
  </conditionalFormatting>
  <conditionalFormatting sqref="Y14">
    <cfRule type="expression" dxfId="2005" priority="6">
      <formula>ABS(Y$16-Y$19)&gt;=1000</formula>
    </cfRule>
  </conditionalFormatting>
  <conditionalFormatting sqref="F14">
    <cfRule type="expression" dxfId="2004" priority="5">
      <formula>ABS(F$16-F$19)&gt;=1000</formula>
    </cfRule>
  </conditionalFormatting>
  <conditionalFormatting sqref="H14">
    <cfRule type="expression" dxfId="2003" priority="4">
      <formula>ABS(H$16-H$19)&gt;=1000</formula>
    </cfRule>
  </conditionalFormatting>
  <conditionalFormatting sqref="AD5">
    <cfRule type="expression" dxfId="2002" priority="3">
      <formula>ABS(AD$7-AD$10)&gt;=1000</formula>
    </cfRule>
  </conditionalFormatting>
  <conditionalFormatting sqref="AE5">
    <cfRule type="expression" dxfId="2001" priority="2">
      <formula>ABS(AE$7-AE$10)&gt;=1000</formula>
    </cfRule>
  </conditionalFormatting>
  <conditionalFormatting sqref="T16">
    <cfRule type="expression" dxfId="2000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611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29">
    <pageSetUpPr fitToPage="1"/>
  </sheetPr>
  <dimension ref="A1:CU223"/>
  <sheetViews>
    <sheetView view="pageBreakPreview" topLeftCell="L11" zoomScale="70" zoomScaleNormal="100" zoomScaleSheetLayoutView="70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46216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2" t="s" ph="1">
        <v>177</v>
      </c>
      <c r="D6" s="71">
        <v>6033</v>
      </c>
      <c r="E6" s="71">
        <v>2340</v>
      </c>
      <c r="F6" s="71">
        <v>5841</v>
      </c>
      <c r="G6" s="71">
        <v>3679</v>
      </c>
      <c r="H6" s="71">
        <v>20</v>
      </c>
      <c r="I6" s="71">
        <v>38.71</v>
      </c>
      <c r="J6" s="71">
        <v>76.92</v>
      </c>
      <c r="K6" s="71">
        <v>6.72</v>
      </c>
      <c r="L6" s="71">
        <v>6.33</v>
      </c>
      <c r="M6" s="71">
        <v>5021</v>
      </c>
      <c r="N6" s="71">
        <v>5452</v>
      </c>
      <c r="O6" s="71">
        <v>221</v>
      </c>
      <c r="P6" s="71">
        <v>1894</v>
      </c>
      <c r="Q6" s="71">
        <v>3526</v>
      </c>
      <c r="R6" s="71">
        <v>7104</v>
      </c>
      <c r="S6" s="71">
        <v>6618</v>
      </c>
      <c r="T6" s="71">
        <v>7026</v>
      </c>
      <c r="U6" s="71">
        <v>7137</v>
      </c>
      <c r="V6" s="71">
        <v>5632</v>
      </c>
      <c r="W6" s="71">
        <v>0</v>
      </c>
      <c r="X6" s="71">
        <v>0</v>
      </c>
      <c r="Y6" s="71">
        <v>0</v>
      </c>
      <c r="Z6" s="71">
        <v>5337</v>
      </c>
      <c r="AA6" s="71">
        <v>0</v>
      </c>
      <c r="AB6" s="71">
        <v>1767</v>
      </c>
      <c r="AC6" s="71">
        <v>67</v>
      </c>
      <c r="AD6" s="71">
        <v>4441</v>
      </c>
      <c r="AE6" s="71">
        <v>4882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188968.21530327</v>
      </c>
      <c r="E7" s="73" ph="1">
        <f>E6*51.53*LOOKUP(E8,密度!$A$2:$A$50,密度!$B$2:$B$50)</f>
        <v>93594.351240000004</v>
      </c>
      <c r="F7" s="73" ph="1">
        <f>F6*33.183*LOOKUP(F8,密度!$A$2:$A$50,密度!$C$2:$C$50)</f>
        <v>214483.31785980001</v>
      </c>
      <c r="G7" s="73" ph="1">
        <f xml:space="preserve"> (G6+2)*51.53*LOOKUP(G8,密度!$A$2:$A$50,密度!$B$2:$B$50)</f>
        <v>147231.11406600001</v>
      </c>
      <c r="H7" s="73" ph="1">
        <f>(H6)*51.53*LOOKUP(H8,密度!$A$2:$A$50,密度!$B$2:$B$50)</f>
        <v>800.7761999999999</v>
      </c>
      <c r="I7" s="73" ph="1">
        <f>I6*290.8*1.0267</f>
        <v>11557.4263756</v>
      </c>
      <c r="J7" s="73" ph="1">
        <f>J6*290.8*0.7892</f>
        <v>17653.090771200004</v>
      </c>
      <c r="K7" s="73" ph="1">
        <f>K6*290.8*1.1126</f>
        <v>2174.2162176000002</v>
      </c>
      <c r="L7" s="73" ph="1">
        <f>L6*290.8*0.777</f>
        <v>1430.2736280000001</v>
      </c>
      <c r="M7" s="73" ph="1">
        <f>M6*33.183*LOOKUP(M8,密度!$A$2:$A$50,密度!$D$2:$D$50)</f>
        <v>170427.25420469997</v>
      </c>
      <c r="N7" s="73" ph="1">
        <f>N6*33.183*LOOKUP(N8,密度!$A$2:$A$50,密度!$E$2:$E$50)</f>
        <v>140877.51064919998</v>
      </c>
      <c r="O7" s="73" ph="1">
        <f>O6*20.428*LOOKUP(O8,密度!$A$2:$A$50,密度!$C$2:$C$50)</f>
        <v>4992.6828691999999</v>
      </c>
      <c r="P7" s="73" ph="1">
        <f>P6*51.53*LOOKUP(P8,密度!$A$2:$A$50,密度!$B$2:$B$50)</f>
        <v>75833.506140000012</v>
      </c>
      <c r="Q7" s="73" ph="1">
        <f>Q6*1.5*1.5*3.1416*LOOKUP(W8,密度!$A$2:$A$50,密度!$L$2:$L$50)</f>
        <v>23278.907282400003</v>
      </c>
      <c r="R7" s="73" ph="1">
        <f>R6*1.5*1.5*3.1416*LOOKUP(R8,密度!$A$2:$A$50,密度!$L$2:$L$50)</f>
        <v>46650.0456576</v>
      </c>
      <c r="S7" s="73" ph="1">
        <f>S6*1.5*1.5*3.1416*LOOKUP(S8,密度!$A$2:$A$50,密度!$L$2:$L$50)</f>
        <v>43786.075132800004</v>
      </c>
      <c r="T7" s="73" ph="1">
        <f>T6*1.5*1.5*3.1416*LOOKUP(T8,密度!$A$2:$A$50,密度!$L$2:$L$50)</f>
        <v>46535.152633199999</v>
      </c>
      <c r="U7" s="73" ph="1">
        <f>U6*1.5*1.5*3.1416*LOOKUP(U8,密度!$A$2:$A$50,密度!$L$2:$L$50)</f>
        <v>47118.9907188</v>
      </c>
      <c r="V7" s="73" ph="1">
        <f>V6*1.5*1.5*3.1416*LOOKUP(V8,密度!$A$2:$A$50,密度!$L$2:$L$50)</f>
        <v>37182.871756799999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165586.32238500001</v>
      </c>
      <c r="AA7" s="73" ph="1">
        <f>AA6*33.183*LOOKUP(AA8,密度!$A$2:$A$50,密度!$D$2:$D$50)</f>
        <v>0</v>
      </c>
      <c r="AB7" s="73" ph="1">
        <f>AB6*20.428*LOOKUP(AB8,密度!$A$2:$A$50,密度!$D$2:$D$50)</f>
        <v>37092.533217600001</v>
      </c>
      <c r="AC7" s="73" ph="1">
        <f>AC6*51.53*LOOKUP(AC8,密度!$A$2:$A$50,密度!$Q$2:$Q$50)</f>
        <v>3256.8562583000003</v>
      </c>
      <c r="AD7" s="73" ph="1">
        <f>AD6*20.428*LOOKUP(AD8,密度!$A$2:$A$50,密度!$V$2:$V$50)</f>
        <v>86874.18828480001</v>
      </c>
      <c r="AE7" s="73" ph="1">
        <f>AE6*20.428</f>
        <v>99729.495999999999</v>
      </c>
    </row>
    <row r="8" spans="1:99" ph="1">
      <c r="B8" s="241" ph="1"/>
      <c r="C8" s="68" t="s" ph="1">
        <v>179</v>
      </c>
      <c r="D8" s="74">
        <v>29</v>
      </c>
      <c r="E8" s="74">
        <v>29</v>
      </c>
      <c r="F8" s="74">
        <v>28</v>
      </c>
      <c r="G8" s="74">
        <v>29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29</v>
      </c>
      <c r="O8" s="74">
        <v>29</v>
      </c>
      <c r="P8" s="74">
        <v>28</v>
      </c>
      <c r="Q8" s="74">
        <v>31</v>
      </c>
      <c r="R8" s="74">
        <v>33</v>
      </c>
      <c r="S8" s="74">
        <v>26</v>
      </c>
      <c r="T8" s="74">
        <v>25</v>
      </c>
      <c r="U8" s="74">
        <v>28</v>
      </c>
      <c r="V8" s="74">
        <v>28</v>
      </c>
      <c r="W8" s="74">
        <v>28</v>
      </c>
      <c r="X8" s="74">
        <v>25</v>
      </c>
      <c r="Y8" s="74">
        <v>29</v>
      </c>
      <c r="Z8" s="74">
        <v>27</v>
      </c>
      <c r="AA8" s="74">
        <v>30</v>
      </c>
      <c r="AB8" s="74">
        <v>24</v>
      </c>
      <c r="AC8" s="74">
        <v>30</v>
      </c>
      <c r="AD8" s="74">
        <v>27</v>
      </c>
      <c r="AE8" s="74">
        <v>30</v>
      </c>
    </row>
    <row r="9" spans="1:99" ht="26.4" ph="1">
      <c r="B9" s="241" ph="1">
        <v>0.66666666666666663</v>
      </c>
      <c r="C9" s="162" t="s" ph="1">
        <v>180</v>
      </c>
      <c r="D9" s="71">
        <v>6035</v>
      </c>
      <c r="E9" s="71">
        <v>2338</v>
      </c>
      <c r="F9" s="71">
        <v>5653</v>
      </c>
      <c r="G9" s="71">
        <v>3394</v>
      </c>
      <c r="H9" s="71">
        <v>18</v>
      </c>
      <c r="I9" s="71">
        <v>38.71</v>
      </c>
      <c r="J9" s="71">
        <v>77.13</v>
      </c>
      <c r="K9" s="71">
        <v>6.72</v>
      </c>
      <c r="L9" s="71">
        <v>15.92</v>
      </c>
      <c r="M9" s="71">
        <v>5023</v>
      </c>
      <c r="N9" s="71">
        <v>5459</v>
      </c>
      <c r="O9" s="71">
        <v>221</v>
      </c>
      <c r="P9" s="71">
        <v>1835</v>
      </c>
      <c r="Q9" s="71">
        <v>488</v>
      </c>
      <c r="R9" s="71">
        <v>7112</v>
      </c>
      <c r="S9" s="71">
        <v>6629</v>
      </c>
      <c r="T9" s="71">
        <v>7034</v>
      </c>
      <c r="U9" s="71">
        <v>7146</v>
      </c>
      <c r="V9" s="71">
        <v>7018</v>
      </c>
      <c r="W9" s="71">
        <v>4937</v>
      </c>
      <c r="X9" s="71">
        <v>0</v>
      </c>
      <c r="Y9" s="71">
        <v>0</v>
      </c>
      <c r="Z9" s="71">
        <v>3028</v>
      </c>
      <c r="AA9" s="71">
        <v>0</v>
      </c>
      <c r="AB9" s="71">
        <v>1767</v>
      </c>
      <c r="AC9" s="71">
        <v>753</v>
      </c>
      <c r="AD9" s="71">
        <v>4444</v>
      </c>
      <c r="AE9" s="71">
        <v>4866</v>
      </c>
    </row>
    <row r="10" spans="1:99" s="72" customFormat="1" ht="22.2" ph="1">
      <c r="B10" s="241" ph="1"/>
      <c r="C10" s="162" t="s" ph="1">
        <v>178</v>
      </c>
      <c r="D10" s="73" ph="1">
        <f>D9*33.183*LOOKUP(D11,密度!$A$2:$A$50,密度!$Q$2:$Q$50)</f>
        <v>188494.16495625</v>
      </c>
      <c r="E10" s="73" ph="1">
        <f>E9*51.53*LOOKUP(E11,密度!$A$2:$A$50,密度!$B$2:$B$50)</f>
        <v>93092.686077999999</v>
      </c>
      <c r="F10" s="73" ph="1">
        <f>F9*33.183*LOOKUP(F11,密度!$A$2:$A$50,密度!$C$2:$C$50)</f>
        <v>207298.5247449</v>
      </c>
      <c r="G10" s="73" ph="1">
        <f xml:space="preserve"> (G9+2)*51.53*LOOKUP(G11,密度!$A$2:$A$50,密度!$B$2:$B$50)</f>
        <v>135359.31318</v>
      </c>
      <c r="H10" s="73" ph="1">
        <f>(H9)*51.53*LOOKUP(H11,密度!$A$2:$A$50,密度!$B$2:$B$50)</f>
        <v>716.71015799999998</v>
      </c>
      <c r="I10" s="73" ph="1">
        <f>I9*290.8*1.0267</f>
        <v>11557.4263756</v>
      </c>
      <c r="J10" s="73" ph="1">
        <f>J9*290.8*0.7892</f>
        <v>17701.285636799999</v>
      </c>
      <c r="K10" s="73" ph="1">
        <f>K9*290.8*1.1126</f>
        <v>2174.2162176000002</v>
      </c>
      <c r="L10" s="73" ph="1">
        <f>L9*290.8*0.777</f>
        <v>3597.1494720000001</v>
      </c>
      <c r="M10" s="73" ph="1">
        <f>M9*33.183*LOOKUP(M11,密度!$A$2:$A$50,密度!$D$2:$D$50)</f>
        <v>169178.38213499999</v>
      </c>
      <c r="N10" s="73" ph="1">
        <f>N9*33.183*LOOKUP(N11,密度!$A$2:$A$50,密度!$E$2:$E$50)</f>
        <v>140241.41941743001</v>
      </c>
      <c r="O10" s="73" ph="1">
        <f>O9*20.428*LOOKUP(O11,密度!$A$2:$A$50,密度!$C$2:$C$50)</f>
        <v>4937.1534367999993</v>
      </c>
      <c r="P10" s="73" ph="1">
        <f>P9*51.53*LOOKUP(P11,密度!$A$2:$A$50,密度!$B$2:$B$50)</f>
        <v>73140.264924999996</v>
      </c>
      <c r="Q10" s="73" ph="1">
        <f>Q9*1.5*1.5*3.1416*LOOKUP(W11,密度!$A$2:$A$50,密度!$L$2:$L$50)</f>
        <v>3221.8113312</v>
      </c>
      <c r="R10" s="73" ph="1">
        <f>R9*1.5*1.5*3.1416*LOOKUP(R11,密度!$A$2:$A$50,密度!$L$2:$L$50)</f>
        <v>46501.491959999999</v>
      </c>
      <c r="S10" s="73" ph="1">
        <f>S9*1.5*1.5*3.1416*LOOKUP(S11,密度!$A$2:$A$50,密度!$L$2:$L$50)</f>
        <v>43577.706942000004</v>
      </c>
      <c r="T10" s="73" ph="1">
        <f>T9*1.5*1.5*3.1416*LOOKUP(T11,密度!$A$2:$A$50,密度!$L$2:$L$50)</f>
        <v>46538.418326400002</v>
      </c>
      <c r="U10" s="73" ph="1">
        <f>U9*1.5*1.5*3.1416*LOOKUP(U11,密度!$A$2:$A$50,密度!$L$2:$L$50)</f>
        <v>47077.384939199997</v>
      </c>
      <c r="V10" s="73" ph="1">
        <f>V9*1.5*1.5*3.1416*LOOKUP(V11,密度!$A$2:$A$50,密度!$L$2:$L$50)</f>
        <v>46333.344103200005</v>
      </c>
      <c r="W10" s="73" ph="1">
        <f>W9*1.5*1.5*3.1416*LOOKUP(W11,密度!$A$2:$A$50,密度!$L$2:$L$50)</f>
        <v>32594.431438800002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93344.177196000004</v>
      </c>
      <c r="AA10" s="73" ph="1">
        <f>AA9*33.183*LOOKUP(AA11,密度!$A$2:$A$50,密度!$D$2:$D$50)</f>
        <v>0</v>
      </c>
      <c r="AB10" s="73" ph="1">
        <f>AB9*20.428*LOOKUP(AB11,密度!$A$2:$A$50,密度!$D$2:$D$50)</f>
        <v>36991.463644799995</v>
      </c>
      <c r="AC10" s="73" ph="1">
        <f>AC9*51.53*LOOKUP(AC11,密度!$A$2:$A$50,密度!$Q$2:$Q$50)</f>
        <v>36547.688570999999</v>
      </c>
      <c r="AD10" s="73" ph="1">
        <f>AD9*20.428*LOOKUP(AD11,密度!$A$2:$A$50,密度!$V$2:$V$50)</f>
        <v>86932.87384320001</v>
      </c>
      <c r="AE10" s="73" ph="1">
        <f>AE9*20.428</f>
        <v>99402.648000000001</v>
      </c>
    </row>
    <row r="11" spans="1:99" ph="1">
      <c r="A11" s="64" t="s" ph="1">
        <v>162</v>
      </c>
      <c r="B11" s="241" ph="1"/>
      <c r="C11" s="162" t="s" ph="1">
        <v>179</v>
      </c>
      <c r="D11" s="74">
        <v>33</v>
      </c>
      <c r="E11" s="74">
        <v>33</v>
      </c>
      <c r="F11" s="74">
        <v>30</v>
      </c>
      <c r="G11" s="74">
        <v>32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33</v>
      </c>
      <c r="O11" s="74">
        <v>41</v>
      </c>
      <c r="P11" s="74">
        <v>32</v>
      </c>
      <c r="Q11" s="74">
        <v>41</v>
      </c>
      <c r="R11" s="74">
        <v>37</v>
      </c>
      <c r="S11" s="74">
        <v>32</v>
      </c>
      <c r="T11" s="74">
        <v>26</v>
      </c>
      <c r="U11" s="74">
        <v>30</v>
      </c>
      <c r="V11" s="74">
        <v>28</v>
      </c>
      <c r="W11" s="74">
        <v>28</v>
      </c>
      <c r="X11" s="74">
        <v>30</v>
      </c>
      <c r="Y11" s="74">
        <v>37</v>
      </c>
      <c r="Z11" s="74">
        <v>33</v>
      </c>
      <c r="AA11" s="74">
        <v>34</v>
      </c>
      <c r="AB11" s="74">
        <v>27</v>
      </c>
      <c r="AC11" s="74">
        <v>32</v>
      </c>
      <c r="AD11" s="74">
        <v>33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2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2" t="s" ph="1">
        <v>177</v>
      </c>
      <c r="D15" s="78">
        <v>0</v>
      </c>
      <c r="E15" s="78">
        <v>4614</v>
      </c>
      <c r="F15" s="78">
        <v>2669</v>
      </c>
      <c r="G15" s="78">
        <v>3020</v>
      </c>
      <c r="H15" s="78">
        <v>2031</v>
      </c>
      <c r="I15" s="78">
        <v>2779</v>
      </c>
      <c r="J15" s="78">
        <v>165</v>
      </c>
      <c r="K15" s="78">
        <v>3361</v>
      </c>
      <c r="L15" s="78">
        <v>5841</v>
      </c>
      <c r="M15" s="78">
        <v>5332</v>
      </c>
      <c r="N15" s="78">
        <v>443</v>
      </c>
      <c r="O15" s="78">
        <v>5203</v>
      </c>
      <c r="P15" s="78">
        <v>5193</v>
      </c>
      <c r="Q15" s="78">
        <v>2907</v>
      </c>
      <c r="R15" s="78">
        <v>1946</v>
      </c>
      <c r="S15" s="78">
        <v>0</v>
      </c>
      <c r="T15" s="78">
        <v>1853</v>
      </c>
      <c r="U15" s="78">
        <v>2650</v>
      </c>
      <c r="V15" s="78">
        <v>3214</v>
      </c>
      <c r="W15" s="71">
        <v>5000</v>
      </c>
      <c r="X15" s="78">
        <v>1275</v>
      </c>
      <c r="Y15" s="106">
        <v>-9907</v>
      </c>
      <c r="Z15" s="78">
        <v>699</v>
      </c>
      <c r="AA15" s="78">
        <v>2528</v>
      </c>
      <c r="AB15" s="78" ph="1">
        <v>0</v>
      </c>
      <c r="AC15" s="78" ph="1">
        <v>0</v>
      </c>
      <c r="AD15" s="78">
        <v>5.01</v>
      </c>
      <c r="AE15" s="78">
        <v>40.520000000000003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2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30396.733012800003</v>
      </c>
      <c r="F16" s="73" ph="1">
        <f>F15*9.0746*LOOKUP(F17,密度!$A$2:$A$50,密度!$L$2:$L$50)</f>
        <v>22524.699882000001</v>
      </c>
      <c r="G16" s="73" ph="1">
        <f>G15*9.0746*LOOKUP(G17,密度!$A$2:$A$50,密度!$B$2:$B$50)</f>
        <v>21293.911884000001</v>
      </c>
      <c r="H16" s="73" ph="1">
        <f>H15*9.0746*LOOKUP(H17,密度!$A$2:$A$50,密度!$L$2:$L$50)</f>
        <v>17121.946205400003</v>
      </c>
      <c r="I16" s="73" ph="1">
        <f>I15*9.0746*LOOKUP(I17,密度!$A$2:$A$50,密度!$U$2:$U$50)</f>
        <v>25773.116294799998</v>
      </c>
      <c r="J16" s="73" ph="1">
        <f>J15*9.0746*LOOKUP(J17,密度!$A$2:$A$50,密度!$L$2:$L$50)</f>
        <v>1398.4866059999999</v>
      </c>
      <c r="K16" s="73" ph="1">
        <f>K15*9.0746*LOOKUP(K17,密度!$A$2:$A$50,密度!$C$2:$C$50)</f>
        <v>33751.001881960001</v>
      </c>
      <c r="L16" s="73" ph="1">
        <f>L15*9.0746*LOOKUP(L17,密度!$A$2:$A$50,密度!$E$2:$E$50)</f>
        <v>41274.789947819998</v>
      </c>
      <c r="M16" s="73" ph="1">
        <f>M15*9.0746*LOOKUP(M17,密度!$A$2:$A$50,密度!$M$2:$M$50)</f>
        <v>42144.003231200004</v>
      </c>
      <c r="N16" s="73" ph="1">
        <f>N15*9.0746*LOOKUP(N17,密度!$A$2:$A$50,密度!$M$2:$M$50)</f>
        <v>3509.9037341800004</v>
      </c>
      <c r="O16" s="73" ph="1">
        <f>O15*9.0746*LOOKUP(O17,密度!$A$2:$A$50,密度!$G$2:$G$50)</f>
        <v>45132.955958419996</v>
      </c>
      <c r="P16" s="73" ph="1">
        <f ca="1">P15*9.0746*LOOKUP(P17,密度!$A$2:$A$51,密度!$Q$2:$Q$50)</f>
        <v>44514.648649836003</v>
      </c>
      <c r="Q16" s="73" ph="1">
        <f>Q15*9.0746*LOOKUP(Q17,密度!$A$2:$A$50,密度!$Q$2:$Q$50)</f>
        <v>24900.743326446001</v>
      </c>
      <c r="R16" s="73" ph="1">
        <f>MAX(R15*9.0746*LOOKUP(R17,密度!$A$2:$A$50,密度!$B$2:$B$50),0)</f>
        <v>13691.155741480001</v>
      </c>
      <c r="S16" s="73" ph="1">
        <f>S15*9.0746*LOOKUP(S17,密度!$A$2:$A$50,密度!$Q$2:$Q$50)</f>
        <v>0</v>
      </c>
      <c r="T16" s="73" ph="1">
        <f>T15*9.0746*LOOKUP(T17,密度!$A$2:$A$50,密度!$O$2:$O$50)</f>
        <v>15570.906498800003</v>
      </c>
      <c r="U16" s="73" ph="1">
        <f>U15*9.0746*LOOKUP(U17,密度!$A$2:$A$50,密度!$H$2:$H$50)</f>
        <v>21953.136201000005</v>
      </c>
      <c r="V16" s="73" ph="1">
        <f>MAX(5600*LOOKUP(V17,密度!$A$2:$A$50,密度!$Q$2:$Q$50)+V15*9.0476*LOOKUP(V17,密度!$A$2:$A$50,密度!$Q$2:$Q$50),0)</f>
        <v>32664.137290159997</v>
      </c>
      <c r="W16" s="73" ph="1">
        <f>MAX(5600*LOOKUP(W17,密度!$A$2:$A$50,密度!$Q$2:$Q$50)+W15*9.0476*LOOKUP(W17,密度!$A$2:$A$50,密度!$Q$2:$Q$50),0)</f>
        <v>47918.88203999999</v>
      </c>
      <c r="X16" s="73" ph="1">
        <f>MAX(5600*LOOKUP(X17,密度!$A$2:$A$50,密度!$I$2:$I$50)+X15*9.0476*LOOKUP(X17,密度!$A$2:$A$50,密度!$I$2:$I$50),0)</f>
        <v>17764.569822999998</v>
      </c>
      <c r="Y16" s="107" ph="1">
        <v>0</v>
      </c>
      <c r="Z16" s="73" ph="1">
        <f>Z15*9.0746*LOOKUP(Z17,密度!$A$2:$A$50,密度!$D$2:$D$50)</f>
        <v>6488.4034296600003</v>
      </c>
      <c r="AA16" s="73" ph="1">
        <f>AA15*9.0746*LOOKUP(AA17,密度!$A$2:$A$50,密度!$B$2:$B$50)</f>
        <v>17806.48502656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2270.2628692799999</v>
      </c>
      <c r="AE16" s="73" ph="1">
        <f>AE15*268.68*LOOKUP(AE17,密度!$A$2:$A$50,密度!B2:B50)+IF(AE15&lt;=0,0,1566*LOOKUP(AE17,密度!$A$2:$A$50,密度!B2:B50))</f>
        <v>9708.2914425600011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32</v>
      </c>
      <c r="G17" s="74">
        <v>28</v>
      </c>
      <c r="H17" s="74">
        <v>33</v>
      </c>
      <c r="I17" s="74">
        <v>28</v>
      </c>
      <c r="J17" s="74">
        <v>28</v>
      </c>
      <c r="K17" s="74">
        <v>28</v>
      </c>
      <c r="L17" s="74">
        <v>29</v>
      </c>
      <c r="M17" s="74">
        <v>29</v>
      </c>
      <c r="N17" s="74">
        <v>27</v>
      </c>
      <c r="O17" s="74">
        <v>29</v>
      </c>
      <c r="P17" s="74">
        <v>28</v>
      </c>
      <c r="Q17" s="74">
        <v>29</v>
      </c>
      <c r="R17" s="74">
        <v>30</v>
      </c>
      <c r="S17" s="74">
        <v>29</v>
      </c>
      <c r="T17" s="74">
        <v>28</v>
      </c>
      <c r="U17" s="74">
        <v>27</v>
      </c>
      <c r="V17" s="74">
        <v>32</v>
      </c>
      <c r="W17" s="74">
        <v>31</v>
      </c>
      <c r="X17" s="74">
        <v>30</v>
      </c>
      <c r="Y17" s="108">
        <v>30</v>
      </c>
      <c r="Z17" s="74">
        <v>29</v>
      </c>
      <c r="AA17" s="74">
        <v>29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3416</v>
      </c>
      <c r="E18" s="71">
        <v>3770</v>
      </c>
      <c r="F18" s="71">
        <v>2671</v>
      </c>
      <c r="G18" s="71">
        <v>3126</v>
      </c>
      <c r="H18" s="71">
        <v>2032</v>
      </c>
      <c r="I18" s="71">
        <v>2781</v>
      </c>
      <c r="J18" s="71">
        <v>221</v>
      </c>
      <c r="K18" s="71">
        <v>3362</v>
      </c>
      <c r="L18" s="71">
        <v>5858</v>
      </c>
      <c r="M18" s="71">
        <v>5345</v>
      </c>
      <c r="N18" s="71">
        <v>2092</v>
      </c>
      <c r="O18" s="71">
        <v>5209</v>
      </c>
      <c r="P18" s="71">
        <v>5198</v>
      </c>
      <c r="Q18" s="71">
        <v>2911</v>
      </c>
      <c r="R18" s="71">
        <v>1948</v>
      </c>
      <c r="S18" s="71">
        <v>0</v>
      </c>
      <c r="T18" s="71">
        <v>1498</v>
      </c>
      <c r="U18" s="71">
        <v>4501</v>
      </c>
      <c r="V18" s="71">
        <v>3214</v>
      </c>
      <c r="W18" s="71">
        <v>5001</v>
      </c>
      <c r="X18" s="71">
        <v>1073</v>
      </c>
      <c r="Y18" s="109">
        <v>-9907</v>
      </c>
      <c r="Z18" s="71">
        <v>446</v>
      </c>
      <c r="AA18" s="71">
        <v>2531</v>
      </c>
      <c r="AB18" s="71">
        <v>0</v>
      </c>
      <c r="AC18" s="71">
        <v>0</v>
      </c>
      <c r="AD18" s="71">
        <v>13.41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2" t="s" ph="1">
        <v>178</v>
      </c>
      <c r="D19" s="73" ph="1">
        <f>D18*7.0686*LOOKUP(D20,密度!$A$2:$A$50,密度!$L$2:$L$50)</f>
        <v>22456.093968000001</v>
      </c>
      <c r="E19" s="73" ph="1">
        <f>E18*7.0686*LOOKUP(E20,密度!$A$2:$A$50,密度!$L$2:$L$50)</f>
        <v>24783.21846</v>
      </c>
      <c r="F19" s="73" ph="1">
        <f>F18*9.0746*LOOKUP(F20,密度!$A$2:$A$50,密度!$L$2:$L$50)</f>
        <v>22396.149098400001</v>
      </c>
      <c r="G19" s="73" ph="1">
        <f>G18*9.0746*LOOKUP(G20,密度!$A$2:$A$50,密度!$B$2:$B$50)</f>
        <v>22018.620329519999</v>
      </c>
      <c r="H19" s="73" ph="1">
        <f>H18*9.0746*LOOKUP(H20,密度!$A$2:$A$50,密度!$L$2:$L$50)</f>
        <v>17222.574444800004</v>
      </c>
      <c r="I19" s="73" ph="1">
        <f>I18*9.0746*LOOKUP(I20,密度!$A$2:$A$50,密度!$U$2:$U$50)</f>
        <v>25594.820368919998</v>
      </c>
      <c r="J19" s="73" ph="1">
        <f>J18*9.0746*LOOKUP(J20,密度!$A$2:$A$50,密度!$L$2:$L$50)</f>
        <v>1849.0586452</v>
      </c>
      <c r="K19" s="73" ph="1">
        <f>K18*9.0746*LOOKUP(K20,密度!$A$2:$A$50,密度!$C$2:$C$50)</f>
        <v>33651.212135599999</v>
      </c>
      <c r="L19" s="73" ph="1">
        <f>L18*9.0746*LOOKUP(L20,密度!$A$2:$A$50,密度!$E$2:$E$50)</f>
        <v>41275.310829859998</v>
      </c>
      <c r="M19" s="73" ph="1">
        <f>M18*9.0746*LOOKUP(M20,密度!$A$2:$A$50,密度!$M$2:$M$50)</f>
        <v>41990.65519564</v>
      </c>
      <c r="N19" s="73" ph="1">
        <f>N18*9.0746*LOOKUP(N20,密度!$A$2:$A$50,密度!$M$2:$M$50)</f>
        <v>16514.23657768</v>
      </c>
      <c r="O19" s="73" ph="1">
        <f>O18*9.0746*LOOKUP(O20,密度!$A$2:$A$50,密度!$G$2:$G$50)</f>
        <v>44980.325088498001</v>
      </c>
      <c r="P19" s="73" ph="1">
        <f ca="1">P18*9.0746*LOOKUP(P20,密度!$A$2:$A$51,密度!$Q$2:$Q$50)</f>
        <v>44461.282560663996</v>
      </c>
      <c r="Q19" s="73" ph="1">
        <f>Q18*9.0746*LOOKUP(Q20,密度!$A$2:$A$50,密度!$Q$2:$Q$50)</f>
        <v>24881.381669139999</v>
      </c>
      <c r="R19" s="73" ph="1">
        <f>MAX(R18*9.0746*LOOKUP(R20,密度!$A$2:$A$50,密度!$B$2:$B$50),0)</f>
        <v>13673.407638800001</v>
      </c>
      <c r="S19" s="73" ph="1">
        <f>S18*9.0746*LOOKUP(S20,密度!$A$2:$A$50,密度!$Q$2:$Q$50)</f>
        <v>0</v>
      </c>
      <c r="T19" s="73" ph="1">
        <f>T18*9.0746*LOOKUP(T20,密度!$A$2:$A$50,密度!$O$2:$O$50)</f>
        <v>12533.438237600001</v>
      </c>
      <c r="U19" s="73" ph="1">
        <f>U18*9.0746*LOOKUP(U20,密度!$A$2:$A$50,密度!$H$2:$H$50)</f>
        <v>37090.322918768004</v>
      </c>
      <c r="V19" s="73" ph="1">
        <f>MAX(5600*LOOKUP(V20,密度!$A$2:$A$50,密度!$Q$2:$Q$50)+V18*9.0476*LOOKUP(V20,密度!$A$2:$A$50,密度!$Q$2:$Q$50),0)</f>
        <v>32551.430584359998</v>
      </c>
      <c r="W19" s="73" ph="1">
        <f>MAX(5600*LOOKUP(W20,密度!$A$2:$A$50,密度!$Q$2:$Q$50)+W18*9.0476*LOOKUP(W20,密度!$A$2:$A$50,密度!$Q$2:$Q$50),0)</f>
        <v>47760.631810680003</v>
      </c>
      <c r="X19" s="73" ph="1">
        <f>MAX(5600*LOOKUP(X20,密度!$A$2:$A$50,密度!$I$2:$I$50)+X18*9.0476*LOOKUP(X20,密度!$A$2:$A$50,密度!$I$2:$I$50),0)</f>
        <v>15819.364498320001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4114.8610357199996</v>
      </c>
      <c r="AA19" s="73" ph="1">
        <f>AA18*9.0746*LOOKUP(AA20,密度!$A$2:$A$50,密度!$B$2:$B$50)</f>
        <v>17765.603046100001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4016.3120675999999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38</v>
      </c>
      <c r="G20" s="81">
        <v>29</v>
      </c>
      <c r="H20" s="81">
        <v>28</v>
      </c>
      <c r="I20" s="81">
        <v>36</v>
      </c>
      <c r="J20" s="81">
        <v>40</v>
      </c>
      <c r="K20" s="81">
        <v>32</v>
      </c>
      <c r="L20" s="81">
        <v>31</v>
      </c>
      <c r="M20" s="81">
        <v>34</v>
      </c>
      <c r="N20" s="81">
        <v>30</v>
      </c>
      <c r="O20" s="81">
        <v>33</v>
      </c>
      <c r="P20" s="81">
        <v>31</v>
      </c>
      <c r="Q20" s="81">
        <v>32</v>
      </c>
      <c r="R20" s="81">
        <v>32</v>
      </c>
      <c r="S20" s="81">
        <v>38</v>
      </c>
      <c r="T20" s="81">
        <v>32</v>
      </c>
      <c r="U20" s="81">
        <v>32</v>
      </c>
      <c r="V20" s="81">
        <v>37</v>
      </c>
      <c r="W20" s="81">
        <v>36</v>
      </c>
      <c r="X20" s="81">
        <v>33</v>
      </c>
      <c r="Y20" s="110">
        <v>33</v>
      </c>
      <c r="Z20" s="81">
        <v>36</v>
      </c>
      <c r="AA20" s="81">
        <v>32</v>
      </c>
      <c r="AB20" s="81">
        <v>37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2" t="s" ph="1">
        <v>177</v>
      </c>
      <c r="D24" s="71">
        <v>2.91</v>
      </c>
      <c r="E24" s="71">
        <v>5.82</v>
      </c>
      <c r="F24" s="71">
        <v>270</v>
      </c>
      <c r="G24" s="71">
        <v>3246</v>
      </c>
      <c r="H24" s="71">
        <v>3465</v>
      </c>
      <c r="I24" s="71">
        <v>926</v>
      </c>
      <c r="J24" s="71">
        <v>660</v>
      </c>
      <c r="K24" s="71">
        <v>2453</v>
      </c>
      <c r="L24" s="71">
        <v>301</v>
      </c>
      <c r="M24" s="71">
        <v>326</v>
      </c>
      <c r="N24" s="71">
        <v>2652</v>
      </c>
      <c r="O24" s="71">
        <v>340</v>
      </c>
      <c r="P24" s="71">
        <v>367</v>
      </c>
      <c r="Q24" s="90">
        <v>1520</v>
      </c>
      <c r="R24" s="71">
        <v>1933</v>
      </c>
      <c r="S24" s="71">
        <v>5944</v>
      </c>
      <c r="T24" s="71">
        <v>390</v>
      </c>
      <c r="U24" s="71">
        <v>4684</v>
      </c>
      <c r="V24" s="71">
        <v>883</v>
      </c>
      <c r="W24" s="71">
        <v>411</v>
      </c>
      <c r="X24" s="71">
        <v>2257</v>
      </c>
      <c r="Y24" s="71">
        <v>5252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2222.8118403120002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2984.5646747999999</v>
      </c>
      <c r="G25" s="91" ph="1">
        <f>G24*18.322*LOOKUP(G26,密度!$A$2:$A$50,密度!$B$2:$B$50)</f>
        <v>46210.685724000003</v>
      </c>
      <c r="H25" s="91" ph="1">
        <f>H24*18.322*LOOKUP(H26,密度!$A$2:$A$50,密度!$B$2:$B$50)</f>
        <v>49277.623626000001</v>
      </c>
      <c r="I25" s="91" ph="1">
        <f>I24*18.322*LOOKUP(I26,密度!$A$2:$A$50,密度!$Q$2:$Q$50)</f>
        <v>16014.878735959999</v>
      </c>
      <c r="J25" s="91" ph="1">
        <f>J24*18.322*LOOKUP(J26,密度!$A$2:$A$50,密度!$Q$2:$Q$50)</f>
        <v>11422.836242399999</v>
      </c>
      <c r="K25" s="91" ph="1">
        <f>K24*18.322*LOOKUP(K26,密度!$A$2:$A$50,密度!$Q$2:$Q$50)</f>
        <v>42486.335407119994</v>
      </c>
      <c r="L25" s="91" ph="1">
        <f>L24*18.322*LOOKUP(L26,密度!$A$2:$A$50,密度!$Q$2:$Q$50)</f>
        <v>5209.5056196400001</v>
      </c>
      <c r="M25" s="91" ph="1">
        <f>M24*18.322*LOOKUP(M26,密度!$A$2:$A$50,密度!$Q$2:$Q$50)</f>
        <v>5638.0674599599997</v>
      </c>
      <c r="N25" s="91" ph="1">
        <f>N24*18.322*LOOKUP(N26,密度!$A$2:$A$50,密度!$Q$2:$Q$50)</f>
        <v>45865.505839919999</v>
      </c>
      <c r="O25" s="91" ph="1">
        <f>O24*18.322*LOOKUP(O26,密度!$A$2:$A$50,密度!$C$2:$C$50)</f>
        <v>6898.5261519999995</v>
      </c>
      <c r="P25" s="91" ph="1">
        <f>P24*11.702*LOOKUP(P26,密度!$A$2:$A$50,密度!$B$2:$B$50)</f>
        <v>3336.9306180000003</v>
      </c>
      <c r="Q25" s="92" ph="1">
        <f>Q24*18.322*LOOKUP(Q26,密度!$A$2:$A$50,密度!$B$2:$B$50)</f>
        <v>21639.014879999999</v>
      </c>
      <c r="R25" s="91" ph="1">
        <f>R24*35.891*LOOKUP(R26,密度!$A$2:$A$50,密度!$C$2:$C$50)</f>
        <v>76724.359387700009</v>
      </c>
      <c r="S25" s="91" ph="1">
        <f>S24*35.891*LOOKUP(S26,密度!$A$2:$A$50,密度!$B$2:$B$50)</f>
        <v>165762.15280800001</v>
      </c>
      <c r="T25" s="91" ph="1">
        <f>T24*35.891*LOOKUP(T26,密度!$A$2:$A$50,密度!$Q$2:$Q$50)</f>
        <v>13222.309003799999</v>
      </c>
      <c r="U25" s="91" ph="1">
        <f>U24*35.891</f>
        <v>168113.44399999999</v>
      </c>
      <c r="V25" s="91" ph="1">
        <f>V24*47.051*LOOKUP(V26,密度!$A$2:$A$50,密度!$B$2:$B$50)</f>
        <v>32281.267641000002</v>
      </c>
      <c r="W25" s="91" ph="1">
        <f>W24*47.051*LOOKUP(W26,密度!$A$2:$A$50,密度!$B$2:$B$50)</f>
        <v>15025.595697000001</v>
      </c>
      <c r="X25" s="91" ph="1">
        <f>X24*47.051*LOOKUP(X26,密度!$A$2:$A$61,密度!$I$2:$I$61)</f>
        <v>109740.99017380002</v>
      </c>
      <c r="Y25" s="91" ph="1">
        <f>Y24*47.051*LOOKUP(Y26,密度!$A$2:$A$50,密度!$L$2:$L$50)</f>
        <v>230555.35791600004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28</v>
      </c>
      <c r="H26" s="74">
        <v>29</v>
      </c>
      <c r="I26" s="74">
        <v>29</v>
      </c>
      <c r="J26" s="74">
        <v>28</v>
      </c>
      <c r="K26" s="74">
        <v>27</v>
      </c>
      <c r="L26" s="74">
        <v>28</v>
      </c>
      <c r="M26" s="74">
        <v>29</v>
      </c>
      <c r="N26" s="74">
        <v>29</v>
      </c>
      <c r="O26" s="74">
        <v>27</v>
      </c>
      <c r="P26" s="74">
        <v>28</v>
      </c>
      <c r="Q26" s="93">
        <v>28</v>
      </c>
      <c r="R26" s="74">
        <v>29</v>
      </c>
      <c r="S26" s="74">
        <v>28</v>
      </c>
      <c r="T26" s="74">
        <v>28</v>
      </c>
      <c r="U26" s="74">
        <v>27</v>
      </c>
      <c r="V26" s="74">
        <v>28</v>
      </c>
      <c r="W26" s="74">
        <v>28</v>
      </c>
      <c r="X26" s="74">
        <v>33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2" t="s" ph="1">
        <v>180</v>
      </c>
      <c r="D27" s="71">
        <v>2.91</v>
      </c>
      <c r="E27" s="71">
        <v>5.81</v>
      </c>
      <c r="F27" s="71">
        <v>267</v>
      </c>
      <c r="G27" s="71">
        <v>2637</v>
      </c>
      <c r="H27" s="71">
        <v>2941</v>
      </c>
      <c r="I27" s="71">
        <v>924</v>
      </c>
      <c r="J27" s="71">
        <v>656</v>
      </c>
      <c r="K27" s="71">
        <v>2452</v>
      </c>
      <c r="L27" s="71">
        <v>295</v>
      </c>
      <c r="M27" s="71">
        <v>321</v>
      </c>
      <c r="N27" s="71">
        <v>2649</v>
      </c>
      <c r="O27" s="71">
        <v>337</v>
      </c>
      <c r="P27" s="71">
        <v>364</v>
      </c>
      <c r="Q27" s="90">
        <v>1816</v>
      </c>
      <c r="R27" s="71">
        <v>1060</v>
      </c>
      <c r="S27" s="71">
        <v>5942</v>
      </c>
      <c r="T27" s="71">
        <v>387</v>
      </c>
      <c r="U27" s="71">
        <v>4376</v>
      </c>
      <c r="V27" s="71">
        <v>879</v>
      </c>
      <c r="W27" s="71">
        <v>410</v>
      </c>
      <c r="X27" s="71">
        <v>2485</v>
      </c>
      <c r="Y27" s="71">
        <v>5784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2" t="s" ph="1">
        <v>178</v>
      </c>
      <c r="D28" s="91" ph="1">
        <f>D27*268.68*LOOKUP(D29,密度!$A$2:$A$50,密度!$Q$2:$Q$50)+IF(D27&lt;=0,0,1566*LOOKUP(D29,密度!$A$2:$A$50,密度!$Q$2:$Q$50))</f>
        <v>2222.8118403120002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2945.0289997200002</v>
      </c>
      <c r="G28" s="91" ph="1">
        <f>G27*18.322*LOOKUP(G29,密度!$A$2:$A$50,密度!$B$2:$B$50)</f>
        <v>37333.088587800004</v>
      </c>
      <c r="H28" s="91" ph="1">
        <f>H27*18.322*LOOKUP(H29,密度!$A$2:$A$50,密度!$B$2:$B$50)</f>
        <v>41680.049047</v>
      </c>
      <c r="I28" s="91" ph="1">
        <f>I27*18.322*LOOKUP(I29,密度!$A$2:$A$50,密度!$Q$2:$Q$50)</f>
        <v>15945.922423199998</v>
      </c>
      <c r="J28" s="91" ph="1">
        <f>J27*18.322*LOOKUP(J29,密度!$A$2:$A$50,密度!$Q$2:$Q$50)</f>
        <v>11313.10212</v>
      </c>
      <c r="K28" s="91" ph="1">
        <f>K27*18.322*LOOKUP(K29,密度!$A$2:$A$50,密度!$Q$2:$Q$50)</f>
        <v>42315.369893599993</v>
      </c>
      <c r="L28" s="91" ph="1">
        <f>L27*18.322*LOOKUP(L29,密度!$A$2:$A$50,密度!$Q$2:$Q$50)</f>
        <v>5094.6354741999994</v>
      </c>
      <c r="M28" s="91" ph="1">
        <f>M27*18.322*LOOKUP(M29,密度!$A$2:$A$50,密度!$Q$2:$Q$50)</f>
        <v>5543.6541939600002</v>
      </c>
      <c r="N28" s="91" ph="1">
        <f>N27*18.322*LOOKUP(N29,密度!$A$2:$A$50,密度!$Q$2:$Q$50)</f>
        <v>45715.095778199997</v>
      </c>
      <c r="O28" s="91" ph="1">
        <f>O27*18.322*LOOKUP(O29,密度!$A$2:$A$50,密度!$C$2:$C$50)</f>
        <v>6817.2809074000006</v>
      </c>
      <c r="P28" s="91" ph="1">
        <f>P27*11.702*LOOKUP(P29,密度!$A$2:$A$50,密度!$B$2:$B$50)</f>
        <v>3294.7449080000001</v>
      </c>
      <c r="Q28" s="92" ph="1">
        <f>Q27*18.322*LOOKUP(Q29,密度!$A$2:$A$50,密度!$B$2:$B$50)</f>
        <v>25736.473672</v>
      </c>
      <c r="R28" s="91" ph="1">
        <f>R27*35.891*LOOKUP(R29,密度!$A$2:$A$50,密度!$C$2:$C$50)</f>
        <v>42004.888286000001</v>
      </c>
      <c r="S28" s="91" ph="1">
        <f>S27*35.891*LOOKUP(S29,密度!$A$2:$A$50,密度!$B$2:$B$50)</f>
        <v>164959.95306699999</v>
      </c>
      <c r="T28" s="91" ph="1">
        <f>T27*35.891*LOOKUP(T29,密度!$A$2:$A$50,密度!$Q$2:$Q$50)</f>
        <v>13092.263707859998</v>
      </c>
      <c r="U28" s="91" ph="1">
        <f>U27*35.891</f>
        <v>157059.016</v>
      </c>
      <c r="V28" s="91" ph="1">
        <f>V27*47.051*LOOKUP(V29,密度!$A$2:$A$50,密度!$B$2:$B$50)</f>
        <v>31957.194468300007</v>
      </c>
      <c r="W28" s="91" ph="1">
        <f>W27*47.051*LOOKUP(W29,密度!$A$2:$A$50,密度!$B$2:$B$50)</f>
        <v>14906.086157000002</v>
      </c>
      <c r="X28" s="91" ph="1">
        <f>X27*47.051*LOOKUP(X29,密度!$A$2:$A$61,密度!$I$2:$I$61)</f>
        <v>120300.77314149999</v>
      </c>
      <c r="Y28" s="91" ph="1">
        <f>Y27*47.051*LOOKUP(Y29,密度!$A$2:$A$50,密度!$L$2:$L$50)</f>
        <v>252820.83213600001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2" t="s" ph="1">
        <v>179</v>
      </c>
      <c r="D29" s="74">
        <v>25</v>
      </c>
      <c r="E29" s="74">
        <v>25</v>
      </c>
      <c r="F29" s="74">
        <v>31</v>
      </c>
      <c r="G29" s="74">
        <v>33</v>
      </c>
      <c r="H29" s="74">
        <v>32</v>
      </c>
      <c r="I29" s="74">
        <v>32</v>
      </c>
      <c r="J29" s="74">
        <v>33</v>
      </c>
      <c r="K29" s="74">
        <v>32</v>
      </c>
      <c r="L29" s="74">
        <v>31</v>
      </c>
      <c r="M29" s="74">
        <v>31</v>
      </c>
      <c r="N29" s="74">
        <v>32</v>
      </c>
      <c r="O29" s="74">
        <v>31</v>
      </c>
      <c r="P29" s="74">
        <v>32</v>
      </c>
      <c r="Q29" s="93">
        <v>32</v>
      </c>
      <c r="R29" s="74">
        <v>31</v>
      </c>
      <c r="S29" s="74">
        <v>32</v>
      </c>
      <c r="T29" s="74">
        <v>31</v>
      </c>
      <c r="U29" s="74">
        <v>32</v>
      </c>
      <c r="V29" s="74">
        <v>33</v>
      </c>
      <c r="W29" s="74">
        <v>33</v>
      </c>
      <c r="X29" s="74">
        <v>37</v>
      </c>
      <c r="Y29" s="74">
        <v>33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2" t="s" ph="1">
        <v>5</v>
      </c>
      <c r="F32" s="161" t="s" ph="1">
        <v>43</v>
      </c>
      <c r="G32" s="97" t="s" ph="1">
        <v>4</v>
      </c>
      <c r="H32" s="162" t="s" ph="1">
        <v>5</v>
      </c>
      <c r="I32" s="161" t="s" ph="1">
        <v>43</v>
      </c>
      <c r="J32" s="97" t="s" ph="1">
        <v>4</v>
      </c>
      <c r="K32" s="162" t="s" ph="1">
        <v>5</v>
      </c>
      <c r="L32" s="161" t="s" ph="1">
        <v>43</v>
      </c>
      <c r="M32" s="97" t="s" ph="1">
        <v>4</v>
      </c>
      <c r="N32" s="162" t="s" ph="1">
        <v>5</v>
      </c>
      <c r="O32" s="161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2" t="s" ph="1">
        <v>5</v>
      </c>
      <c r="U32" s="99" t="s" ph="1">
        <v>43</v>
      </c>
      <c r="V32" s="97" t="s" ph="1">
        <v>4</v>
      </c>
      <c r="W32" s="162" t="s" ph="1">
        <v>5</v>
      </c>
      <c r="X32" s="99" t="s" ph="1">
        <v>43</v>
      </c>
      <c r="Y32" s="100" t="s" ph="1">
        <v>4</v>
      </c>
      <c r="Z32" s="162" t="s" ph="1">
        <v>5</v>
      </c>
      <c r="AA32" s="161" t="s" ph="1">
        <v>43</v>
      </c>
      <c r="AB32" s="97" t="s" ph="1">
        <v>85</v>
      </c>
      <c r="AC32" s="162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41106.324680519996</v>
      </c>
      <c r="E33" s="190" ph="1">
        <f>M10+I10</f>
        <v>180735.80851060001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1522252632456786910111213141516171819202123456789101112131415161718192022232424356789101112131415161718192021222345678910111213141516171819202345678910111213149101516171819222123234567891012131415161711181920212224252345678910111213111[[#This Row],[F25]]</f>
        <v>3880</v>
      </c>
      <c r="G33" s="216" ph="1">
        <f>N19</f>
        <v>16514.23657768</v>
      </c>
      <c r="H33" s="190" ph="1">
        <f>M19</f>
        <v>41990.65519564</v>
      </c>
      <c r="I33" s="194" ph="1">
        <v>0</v>
      </c>
      <c r="J33" s="198" ph="1">
        <f>F10+O28</f>
        <v>214115.80565230001</v>
      </c>
      <c r="K33" s="190" ph="1">
        <f>O10+K10+E28+R28</f>
        <v>52583.822394520001</v>
      </c>
      <c r="L33" s="200" ph="1">
        <f>K19</f>
        <v>33651.212135599999</v>
      </c>
      <c r="M33" s="198" ph="1">
        <f>G10+H10+W28+S28+V28+E10+R19+P28+Q28</f>
        <v>483696.56932710001</v>
      </c>
      <c r="N33" s="190" ph="1">
        <f>L10+P10++G28+H28+AD19+AE19</f>
        <v>178668.07503499999</v>
      </c>
      <c r="O33" s="194" ph="1">
        <f>G19</f>
        <v>22018.620329519999</v>
      </c>
      <c r="P33" s="198" ph="1">
        <f>L19</f>
        <v>41275.310829859998</v>
      </c>
      <c r="Q33" s="190" ph="1">
        <f>J10+N10</f>
        <v>157942.70505423</v>
      </c>
      <c r="R33" s="194" ph="1">
        <f>BE23</f>
        <v>890</v>
      </c>
      <c r="S33" s="198" ph="1">
        <f>X28</f>
        <v>120300.77314149999</v>
      </c>
      <c r="T33" s="190" ph="1">
        <f>X19</f>
        <v>15819.364498320001</v>
      </c>
      <c r="U33" s="179" ph="1">
        <f>BE21</f>
        <v>730</v>
      </c>
      <c r="V33" s="192" ph="1">
        <f ca="1">P19+Q19+S19+M28+N28+J28+D10+AC10+D19+E19+H19+J19+O19+V19+W19+K28+L28</f>
        <v>595969.70821855206</v>
      </c>
      <c r="W33" s="192" ph="1">
        <f>D28+F28+T28+I28</f>
        <v>34206.026971091997</v>
      </c>
      <c r="X33" s="194" ph="1">
        <f>BE29+BE31</f>
        <v>10200</v>
      </c>
      <c r="Y33" s="196" ph="1">
        <f>+Q10+R10+S10+T10+U10+V10+W10+X10+Y10</f>
        <v>265844.58904080006</v>
      </c>
      <c r="Z33" s="177" ph="1">
        <f>T19+U19+Y28+Z10</f>
        <v>395788.770488368</v>
      </c>
      <c r="AA33" s="179" ph="1">
        <f>BE19</f>
        <v>1440</v>
      </c>
      <c r="AB33" s="181" ph="1">
        <f>I19</f>
        <v>25594.820368919998</v>
      </c>
      <c r="AC33" s="183" ph="1">
        <f>AD10+AB19</f>
        <v>86932.87384320001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0" t="s" ph="1">
        <v>185</v>
      </c>
      <c r="AA36" s="160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0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0" t="s" ph="1">
        <v>342</v>
      </c>
      <c r="AI37" s="160" t="s" ph="1">
        <v>209</v>
      </c>
      <c r="AJ37" s="160" t="s" ph="1">
        <v>210</v>
      </c>
      <c r="AK37" s="160" t="s" ph="1">
        <v>211</v>
      </c>
      <c r="AM37" s="160" t="s" ph="1">
        <v>210</v>
      </c>
      <c r="AN37" s="160" t="s" ph="1">
        <v>211</v>
      </c>
      <c r="AO37" s="160" t="s" ph="1">
        <v>212</v>
      </c>
      <c r="AP37" s="160" t="s" ph="1">
        <v>210</v>
      </c>
      <c r="AQ37" s="160" t="s" ph="1">
        <v>211</v>
      </c>
      <c r="AR37" s="160" t="s" ph="1">
        <v>212</v>
      </c>
      <c r="AS37" s="160" t="s" ph="1">
        <v>210</v>
      </c>
      <c r="AT37" s="160" t="s" ph="1">
        <v>211</v>
      </c>
      <c r="AU37" s="160" t="s" ph="1">
        <v>212</v>
      </c>
      <c r="AV37" s="160" t="s" ph="1">
        <v>210</v>
      </c>
      <c r="AW37" s="160" t="s" ph="1">
        <v>211</v>
      </c>
      <c r="AX37" s="160" t="s" ph="1">
        <v>212</v>
      </c>
      <c r="AY37" s="160" t="s" ph="1">
        <v>211</v>
      </c>
      <c r="AZ37" s="160" t="s" ph="1">
        <v>213</v>
      </c>
      <c r="BD37" s="160" t="s" ph="1">
        <v>305</v>
      </c>
      <c r="BE37" s="160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  <mergeCell ref="P31:R31"/>
    <mergeCell ref="B13:B14"/>
    <mergeCell ref="B15:B17"/>
    <mergeCell ref="B18:B20"/>
    <mergeCell ref="B22:B23"/>
    <mergeCell ref="B31:C32"/>
    <mergeCell ref="D31:F31"/>
    <mergeCell ref="G31:I31"/>
    <mergeCell ref="J31:L31"/>
    <mergeCell ref="M31:O31"/>
    <mergeCell ref="B33:C34"/>
    <mergeCell ref="D33:D34"/>
    <mergeCell ref="E33:E34"/>
    <mergeCell ref="F33:F34"/>
    <mergeCell ref="G33:G34"/>
    <mergeCell ref="S31:U31"/>
    <mergeCell ref="V31:X31"/>
    <mergeCell ref="Y31:AA31"/>
    <mergeCell ref="AB31:AE31"/>
    <mergeCell ref="AD32:AE32"/>
    <mergeCell ref="S33:S34"/>
    <mergeCell ref="H33:H34"/>
    <mergeCell ref="I33:I34"/>
    <mergeCell ref="J33:J34"/>
    <mergeCell ref="K33:K34"/>
    <mergeCell ref="L33:L34"/>
    <mergeCell ref="M33:M34"/>
    <mergeCell ref="N33:N34"/>
    <mergeCell ref="O33:O34"/>
    <mergeCell ref="P33:P34"/>
    <mergeCell ref="Q33:Q34"/>
    <mergeCell ref="R33:R34"/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</mergeCells>
  <phoneticPr fontId="2" type="noConversion"/>
  <conditionalFormatting sqref="D4:D11">
    <cfRule type="expression" dxfId="1969" priority="101">
      <formula>ABS(D$7-D$10)&gt;=1000</formula>
    </cfRule>
  </conditionalFormatting>
  <conditionalFormatting sqref="E4 E6:E11">
    <cfRule type="expression" dxfId="1968" priority="100">
      <formula>ABS(E$7-E$10)&gt;=1000</formula>
    </cfRule>
  </conditionalFormatting>
  <conditionalFormatting sqref="F4:F11">
    <cfRule type="expression" dxfId="1967" priority="99">
      <formula>ABS(F$7-F$10)&gt;=1000</formula>
    </cfRule>
  </conditionalFormatting>
  <conditionalFormatting sqref="G4:G11">
    <cfRule type="expression" dxfId="1966" priority="98">
      <formula>ABS(G$7-G$10)&gt;=1000</formula>
    </cfRule>
  </conditionalFormatting>
  <conditionalFormatting sqref="H4:H11">
    <cfRule type="expression" dxfId="1965" priority="97">
      <formula>ABS(H$7-H$10)&gt;=1000</formula>
    </cfRule>
  </conditionalFormatting>
  <conditionalFormatting sqref="I4:I11">
    <cfRule type="expression" dxfId="1964" priority="96">
      <formula>ABS(I$7-I$10)&gt;=1000</formula>
    </cfRule>
  </conditionalFormatting>
  <conditionalFormatting sqref="J4:J11">
    <cfRule type="expression" dxfId="1963" priority="95">
      <formula>ABS(J$7-J$10)&gt;=1000</formula>
    </cfRule>
  </conditionalFormatting>
  <conditionalFormatting sqref="K4:K11">
    <cfRule type="expression" dxfId="1962" priority="94">
      <formula>ABS(K$7-K$10)&gt;=1000</formula>
    </cfRule>
  </conditionalFormatting>
  <conditionalFormatting sqref="L4:L11">
    <cfRule type="expression" dxfId="1961" priority="93">
      <formula>ABS(L$7-L$10)&gt;=1000</formula>
    </cfRule>
  </conditionalFormatting>
  <conditionalFormatting sqref="M4 M6:M11">
    <cfRule type="expression" dxfId="1960" priority="92">
      <formula>ABS(M$7-M$10)&gt;=1000</formula>
    </cfRule>
  </conditionalFormatting>
  <conditionalFormatting sqref="N4 N6:N11">
    <cfRule type="expression" dxfId="1959" priority="91">
      <formula>ABS(N$7-N$10)&gt;=1000</formula>
    </cfRule>
  </conditionalFormatting>
  <conditionalFormatting sqref="O4 O6:O11">
    <cfRule type="expression" dxfId="1958" priority="90">
      <formula>ABS(O$7-O$10)&gt;=1000</formula>
    </cfRule>
  </conditionalFormatting>
  <conditionalFormatting sqref="P4 P6:P11">
    <cfRule type="expression" dxfId="1957" priority="89">
      <formula>ABS(P$7-P$10)&gt;=1000</formula>
    </cfRule>
  </conditionalFormatting>
  <conditionalFormatting sqref="Q4:Q11">
    <cfRule type="expression" dxfId="1956" priority="88">
      <formula>ABS(Q$7-Q$10)&gt;=1000</formula>
    </cfRule>
  </conditionalFormatting>
  <conditionalFormatting sqref="R4:R11">
    <cfRule type="expression" dxfId="1955" priority="87">
      <formula>ABS(R$7-R$10)&gt;=1000</formula>
    </cfRule>
  </conditionalFormatting>
  <conditionalFormatting sqref="S4:S11">
    <cfRule type="expression" dxfId="1954" priority="86">
      <formula>ABS(S$7-S$10)&gt;=1000</formula>
    </cfRule>
  </conditionalFormatting>
  <conditionalFormatting sqref="T4:T9 T11">
    <cfRule type="expression" dxfId="1953" priority="85">
      <formula>ABS(T$7-T$10)&gt;=1000</formula>
    </cfRule>
  </conditionalFormatting>
  <conditionalFormatting sqref="U4:U9 U11">
    <cfRule type="expression" dxfId="1952" priority="84">
      <formula>ABS(U$7-U$10)&gt;=1000</formula>
    </cfRule>
  </conditionalFormatting>
  <conditionalFormatting sqref="V4:V9 V11">
    <cfRule type="expression" dxfId="1951" priority="83">
      <formula>ABS(V$7-V$10)&gt;=1000</formula>
    </cfRule>
  </conditionalFormatting>
  <conditionalFormatting sqref="W4:W9 W11">
    <cfRule type="expression" dxfId="1950" priority="82">
      <formula>ABS(W$7-W$10)&gt;=1000</formula>
    </cfRule>
  </conditionalFormatting>
  <conditionalFormatting sqref="X4:X9 X11">
    <cfRule type="expression" dxfId="1949" priority="81">
      <formula>ABS(X$7-X$10)&gt;=1000</formula>
    </cfRule>
  </conditionalFormatting>
  <conditionalFormatting sqref="Y4:Y9 Y11">
    <cfRule type="expression" dxfId="1948" priority="80">
      <formula>ABS(Y$7-Y$10)&gt;=1000</formula>
    </cfRule>
  </conditionalFormatting>
  <conditionalFormatting sqref="Z4:Z11">
    <cfRule type="expression" dxfId="1947" priority="79">
      <formula>ABS(Z$7-Z$10)&gt;=1000</formula>
    </cfRule>
  </conditionalFormatting>
  <conditionalFormatting sqref="AA4:AA11">
    <cfRule type="expression" dxfId="1946" priority="78">
      <formula>ABS(AA$7-AA$10)&gt;=1000</formula>
    </cfRule>
  </conditionalFormatting>
  <conditionalFormatting sqref="AB4:AB11">
    <cfRule type="expression" dxfId="1945" priority="77">
      <formula>ABS(AB$7-AB$10)&gt;=1000</formula>
    </cfRule>
  </conditionalFormatting>
  <conditionalFormatting sqref="AC4 AC6:AC11">
    <cfRule type="expression" dxfId="1944" priority="76">
      <formula>ABS(AC$7-AC$10)&gt;=1000</formula>
    </cfRule>
  </conditionalFormatting>
  <conditionalFormatting sqref="AD4 AD6:AD11">
    <cfRule type="expression" dxfId="1943" priority="75">
      <formula>ABS(AD$7-AD$10)&gt;=1000</formula>
    </cfRule>
  </conditionalFormatting>
  <conditionalFormatting sqref="AE4 AE6:AE11">
    <cfRule type="expression" dxfId="1942" priority="74">
      <formula>ABS(AE$7-AE$10)&gt;=1000</formula>
    </cfRule>
  </conditionalFormatting>
  <conditionalFormatting sqref="D13:D20">
    <cfRule type="expression" dxfId="1941" priority="73">
      <formula>ABS(D$16-D$19)&gt;=1000</formula>
    </cfRule>
  </conditionalFormatting>
  <conditionalFormatting sqref="E13:E20">
    <cfRule type="expression" dxfId="1940" priority="72">
      <formula>ABS(E$16-E$19)&gt;=1000</formula>
    </cfRule>
  </conditionalFormatting>
  <conditionalFormatting sqref="F13 F15:F20">
    <cfRule type="expression" dxfId="1939" priority="71">
      <formula>ABS(F$16-F$19)&gt;=1000</formula>
    </cfRule>
  </conditionalFormatting>
  <conditionalFormatting sqref="G13:G20">
    <cfRule type="expression" dxfId="1938" priority="70">
      <formula>ABS(G$16-G$19)&gt;=1000</formula>
    </cfRule>
  </conditionalFormatting>
  <conditionalFormatting sqref="H13 H15:H20">
    <cfRule type="expression" dxfId="1937" priority="69">
      <formula>ABS(H$16-H$19)&gt;=1000</formula>
    </cfRule>
  </conditionalFormatting>
  <conditionalFormatting sqref="I13:I20">
    <cfRule type="expression" dxfId="1936" priority="68">
      <formula>ABS(I$16-I$19)&gt;=1000</formula>
    </cfRule>
  </conditionalFormatting>
  <conditionalFormatting sqref="J13:J20">
    <cfRule type="expression" dxfId="1935" priority="67">
      <formula>ABS(J$16-J$19)&gt;=1000</formula>
    </cfRule>
  </conditionalFormatting>
  <conditionalFormatting sqref="L13:L20">
    <cfRule type="expression" dxfId="1934" priority="66">
      <formula>ABS(L$16-L$19)&gt;=1000</formula>
    </cfRule>
  </conditionalFormatting>
  <conditionalFormatting sqref="M13 M15 M17:M18 M20">
    <cfRule type="expression" dxfId="1933" priority="65">
      <formula>ABS(M$16-M$19)&gt;=1000</formula>
    </cfRule>
  </conditionalFormatting>
  <conditionalFormatting sqref="N13:N20">
    <cfRule type="expression" dxfId="1932" priority="64">
      <formula>ABS(N$16-N$19)&gt;=1000</formula>
    </cfRule>
  </conditionalFormatting>
  <conditionalFormatting sqref="O13:O20">
    <cfRule type="expression" dxfId="1931" priority="63">
      <formula>ABS(O$16-O$19)&gt;=1000</formula>
    </cfRule>
  </conditionalFormatting>
  <conditionalFormatting sqref="P13:P20">
    <cfRule type="expression" dxfId="1930" priority="62">
      <formula>ABS(P$16-P$19)&gt;=1000</formula>
    </cfRule>
  </conditionalFormatting>
  <conditionalFormatting sqref="Q13 Q15:Q20">
    <cfRule type="expression" dxfId="1929" priority="61">
      <formula>ABS(Q$16-Q$19)&gt;=1000</formula>
    </cfRule>
  </conditionalFormatting>
  <conditionalFormatting sqref="R13:R20">
    <cfRule type="expression" dxfId="1928" priority="60">
      <formula>ABS(R$16-R$19)&gt;=1000</formula>
    </cfRule>
  </conditionalFormatting>
  <conditionalFormatting sqref="S13:S20">
    <cfRule type="expression" dxfId="1927" priority="59">
      <formula>ABS(S$16-S$19)&gt;=1000</formula>
    </cfRule>
  </conditionalFormatting>
  <conditionalFormatting sqref="T13:T15 T17:T20">
    <cfRule type="expression" dxfId="1926" priority="58">
      <formula>ABS(T$16-T$19)&gt;=1000</formula>
    </cfRule>
  </conditionalFormatting>
  <conditionalFormatting sqref="U13:U20">
    <cfRule type="expression" dxfId="1925" priority="57">
      <formula>ABS(U$16-U$19)&gt;=1000</formula>
    </cfRule>
  </conditionalFormatting>
  <conditionalFormatting sqref="V13:V20">
    <cfRule type="expression" dxfId="1924" priority="56">
      <formula>ABS(V$16-V$19)&gt;=1000</formula>
    </cfRule>
  </conditionalFormatting>
  <conditionalFormatting sqref="W13 W20 W15:W18">
    <cfRule type="expression" dxfId="1923" priority="55">
      <formula>ABS(W$16-W$19)&gt;=1000</formula>
    </cfRule>
  </conditionalFormatting>
  <conditionalFormatting sqref="X13 X15:X20 Y19">
    <cfRule type="expression" dxfId="1922" priority="54">
      <formula>ABS(X$16-X$19)&gt;=1000</formula>
    </cfRule>
  </conditionalFormatting>
  <conditionalFormatting sqref="Y13 Y15:Y18 Y20">
    <cfRule type="expression" dxfId="1921" priority="53">
      <formula>ABS(Y$16-Y$19)&gt;=1000</formula>
    </cfRule>
  </conditionalFormatting>
  <conditionalFormatting sqref="Z13:Z20">
    <cfRule type="expression" dxfId="1920" priority="52">
      <formula>ABS(Z$16-Z$19)&gt;=1000</formula>
    </cfRule>
  </conditionalFormatting>
  <conditionalFormatting sqref="AA13:AA20">
    <cfRule type="expression" dxfId="1919" priority="51">
      <formula>ABS(AA$16-AA$19)&gt;=1000</formula>
    </cfRule>
  </conditionalFormatting>
  <conditionalFormatting sqref="AB13 AB15:AB20">
    <cfRule type="expression" dxfId="1918" priority="50">
      <formula>ABS(AB$16-AB$19)&gt;=1000</formula>
    </cfRule>
  </conditionalFormatting>
  <conditionalFormatting sqref="AC13 AC15:AC20">
    <cfRule type="expression" dxfId="1917" priority="49">
      <formula>ABS(AC$16-AC$19)&gt;=1000</formula>
    </cfRule>
  </conditionalFormatting>
  <conditionalFormatting sqref="AD13:AD20">
    <cfRule type="expression" dxfId="1916" priority="48">
      <formula>ABS(AD$16-AD$19)&gt;=1000</formula>
    </cfRule>
  </conditionalFormatting>
  <conditionalFormatting sqref="AE13:AE20">
    <cfRule type="expression" dxfId="1915" priority="47">
      <formula>ABS(AE$16-AE$19)&gt;=1000</formula>
    </cfRule>
  </conditionalFormatting>
  <conditionalFormatting sqref="D22:D29">
    <cfRule type="expression" dxfId="1914" priority="46">
      <formula>ABS(D$25-D$28)&gt;=1000</formula>
    </cfRule>
  </conditionalFormatting>
  <conditionalFormatting sqref="E22:E29">
    <cfRule type="expression" dxfId="1913" priority="45">
      <formula>ABS(E$25-E$28)&gt;=1000</formula>
    </cfRule>
  </conditionalFormatting>
  <conditionalFormatting sqref="F22:F29">
    <cfRule type="expression" dxfId="1912" priority="44">
      <formula>ABS(F$25-F$28)&gt;=1000</formula>
    </cfRule>
  </conditionalFormatting>
  <conditionalFormatting sqref="G22:G29">
    <cfRule type="expression" dxfId="1911" priority="43">
      <formula>ABS(G$25-G$28)&gt;=1000</formula>
    </cfRule>
  </conditionalFormatting>
  <conditionalFormatting sqref="H22:H29">
    <cfRule type="expression" dxfId="1910" priority="42">
      <formula>ABS(H$25-H$28)&gt;=1000</formula>
    </cfRule>
  </conditionalFormatting>
  <conditionalFormatting sqref="I22 I24:I29">
    <cfRule type="expression" dxfId="1909" priority="41">
      <formula>ABS(I$25-I$28)&gt;=1000</formula>
    </cfRule>
  </conditionalFormatting>
  <conditionalFormatting sqref="J22:J29 K22">
    <cfRule type="expression" dxfId="1908" priority="40">
      <formula>ABS(J$25-J$28)&gt;=1000</formula>
    </cfRule>
  </conditionalFormatting>
  <conditionalFormatting sqref="K23:K29 L25 L28">
    <cfRule type="expression" dxfId="1907" priority="39">
      <formula>ABS(K$25-K$28)&gt;=1000</formula>
    </cfRule>
  </conditionalFormatting>
  <conditionalFormatting sqref="L22 L26:L27 L29 L24">
    <cfRule type="expression" dxfId="1906" priority="38">
      <formula>ABS(L$25-L$28)&gt;=1000</formula>
    </cfRule>
  </conditionalFormatting>
  <conditionalFormatting sqref="M22:M29">
    <cfRule type="expression" dxfId="1905" priority="37">
      <formula>ABS(M$25-M$28)&gt;=1000</formula>
    </cfRule>
  </conditionalFormatting>
  <conditionalFormatting sqref="N22:N29">
    <cfRule type="expression" dxfId="1904" priority="36">
      <formula>ABS(N$25-N$28)&gt;=1000</formula>
    </cfRule>
  </conditionalFormatting>
  <conditionalFormatting sqref="O22:O29">
    <cfRule type="expression" dxfId="1903" priority="35">
      <formula>ABS(O$25-O$28)&gt;=1000</formula>
    </cfRule>
  </conditionalFormatting>
  <conditionalFormatting sqref="P22:P29">
    <cfRule type="expression" dxfId="1902" priority="34">
      <formula>ABS(P$25-P$28)&gt;=1000</formula>
    </cfRule>
  </conditionalFormatting>
  <conditionalFormatting sqref="Q22:Q29">
    <cfRule type="expression" dxfId="1901" priority="33">
      <formula>ABS(Q$25-Q$28)&gt;=1000</formula>
    </cfRule>
  </conditionalFormatting>
  <conditionalFormatting sqref="R22:R29">
    <cfRule type="expression" dxfId="1900" priority="32">
      <formula>ABS(R$25-R$28)&gt;=1000</formula>
    </cfRule>
  </conditionalFormatting>
  <conditionalFormatting sqref="S22:S29">
    <cfRule type="expression" dxfId="1899" priority="31">
      <formula>ABS(S$25-S$28)&gt;=1000</formula>
    </cfRule>
  </conditionalFormatting>
  <conditionalFormatting sqref="T22:T29">
    <cfRule type="expression" dxfId="1898" priority="30">
      <formula>ABS(T$25-T$28)&gt;=1000</formula>
    </cfRule>
  </conditionalFormatting>
  <conditionalFormatting sqref="U22:U29">
    <cfRule type="expression" dxfId="1897" priority="29">
      <formula>ABS(U$25-U$28)&gt;=1000</formula>
    </cfRule>
  </conditionalFormatting>
  <conditionalFormatting sqref="V22:V29">
    <cfRule type="expression" dxfId="1896" priority="28">
      <formula>ABS(V$25-V$28)&gt;=1000</formula>
    </cfRule>
  </conditionalFormatting>
  <conditionalFormatting sqref="W22:W29">
    <cfRule type="expression" dxfId="1895" priority="27">
      <formula>ABS(W$25-W$28)&gt;=1000</formula>
    </cfRule>
  </conditionalFormatting>
  <conditionalFormatting sqref="X22:X29">
    <cfRule type="expression" dxfId="1894" priority="26">
      <formula>ABS(X$25-X$28)&gt;=1000</formula>
    </cfRule>
  </conditionalFormatting>
  <conditionalFormatting sqref="Y22:Y29">
    <cfRule type="expression" dxfId="1893" priority="25">
      <formula>ABS(Y$25-Y$28)&gt;=1000</formula>
    </cfRule>
  </conditionalFormatting>
  <conditionalFormatting sqref="I23">
    <cfRule type="expression" dxfId="1892" priority="24">
      <formula>ABS(I$25-I$28)&gt;=1000</formula>
    </cfRule>
  </conditionalFormatting>
  <conditionalFormatting sqref="Q14">
    <cfRule type="expression" dxfId="1891" priority="23">
      <formula>ABS(Q$16-Q$19)&gt;=1000</formula>
    </cfRule>
  </conditionalFormatting>
  <conditionalFormatting sqref="W14">
    <cfRule type="expression" dxfId="1890" priority="22">
      <formula>ABS(W$16-W$19)&gt;=1000</formula>
    </cfRule>
  </conditionalFormatting>
  <conditionalFormatting sqref="X14">
    <cfRule type="expression" dxfId="1889" priority="21">
      <formula>ABS(X$16-X$19)&gt;=1000</formula>
    </cfRule>
  </conditionalFormatting>
  <conditionalFormatting sqref="T10:Y10">
    <cfRule type="expression" dxfId="1888" priority="20">
      <formula>ABS(T$7-T$10)&gt;=1000</formula>
    </cfRule>
  </conditionalFormatting>
  <conditionalFormatting sqref="W19">
    <cfRule type="expression" dxfId="1887" priority="19">
      <formula>ABS(W$16-W$19)&gt;=1000</formula>
    </cfRule>
  </conditionalFormatting>
  <conditionalFormatting sqref="AC5">
    <cfRule type="expression" dxfId="1886" priority="18">
      <formula>ABS(AC$7-AC$10)&gt;=1000</formula>
    </cfRule>
  </conditionalFormatting>
  <conditionalFormatting sqref="M14">
    <cfRule type="expression" dxfId="1885" priority="17">
      <formula>ABS(M$16-M$19)&gt;=1000</formula>
    </cfRule>
  </conditionalFormatting>
  <conditionalFormatting sqref="M16">
    <cfRule type="expression" dxfId="1884" priority="16">
      <formula>ABS(M$16-M$19)&gt;=1000</formula>
    </cfRule>
  </conditionalFormatting>
  <conditionalFormatting sqref="M19">
    <cfRule type="expression" dxfId="1883" priority="15">
      <formula>ABS(M$16-M$19)&gt;=1000</formula>
    </cfRule>
  </conditionalFormatting>
  <conditionalFormatting sqref="K13:K20">
    <cfRule type="expression" dxfId="1882" priority="14">
      <formula>ABS(K$16-K$19)&gt;=1000</formula>
    </cfRule>
  </conditionalFormatting>
  <conditionalFormatting sqref="E5">
    <cfRule type="expression" dxfId="1881" priority="13">
      <formula>ABS(E$7-E$10)&gt;=1000</formula>
    </cfRule>
  </conditionalFormatting>
  <conditionalFormatting sqref="AB14:AC14">
    <cfRule type="expression" dxfId="1880" priority="12">
      <formula>ABS(AB$16-AB$19)&gt;=1000</formula>
    </cfRule>
  </conditionalFormatting>
  <conditionalFormatting sqref="M5">
    <cfRule type="expression" dxfId="1879" priority="11">
      <formula>ABS(M$7-M$10)&gt;=1000</formula>
    </cfRule>
  </conditionalFormatting>
  <conditionalFormatting sqref="N5">
    <cfRule type="expression" dxfId="1878" priority="10">
      <formula>ABS(N$7-N$10)&gt;=1000</formula>
    </cfRule>
  </conditionalFormatting>
  <conditionalFormatting sqref="O5">
    <cfRule type="expression" dxfId="1877" priority="9">
      <formula>ABS(O$7-O$10)&gt;=1000</formula>
    </cfRule>
  </conditionalFormatting>
  <conditionalFormatting sqref="P5">
    <cfRule type="expression" dxfId="1876" priority="8">
      <formula>ABS(P$7-P$10)&gt;=1000</formula>
    </cfRule>
  </conditionalFormatting>
  <conditionalFormatting sqref="L23">
    <cfRule type="expression" dxfId="1875" priority="7">
      <formula>ABS(L$25-L$28)&gt;=1000</formula>
    </cfRule>
  </conditionalFormatting>
  <conditionalFormatting sqref="Y14">
    <cfRule type="expression" dxfId="1874" priority="6">
      <formula>ABS(Y$16-Y$19)&gt;=1000</formula>
    </cfRule>
  </conditionalFormatting>
  <conditionalFormatting sqref="F14">
    <cfRule type="expression" dxfId="1873" priority="5">
      <formula>ABS(F$16-F$19)&gt;=1000</formula>
    </cfRule>
  </conditionalFormatting>
  <conditionalFormatting sqref="H14">
    <cfRule type="expression" dxfId="1872" priority="4">
      <formula>ABS(H$16-H$19)&gt;=1000</formula>
    </cfRule>
  </conditionalFormatting>
  <conditionalFormatting sqref="AD5">
    <cfRule type="expression" dxfId="1871" priority="3">
      <formula>ABS(AD$7-AD$10)&gt;=1000</formula>
    </cfRule>
  </conditionalFormatting>
  <conditionalFormatting sqref="AE5">
    <cfRule type="expression" dxfId="1870" priority="2">
      <formula>ABS(AE$7-AE$10)&gt;=1000</formula>
    </cfRule>
  </conditionalFormatting>
  <conditionalFormatting sqref="T16">
    <cfRule type="expression" dxfId="1869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713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0">
    <pageSetUpPr fitToPage="1"/>
  </sheetPr>
  <dimension ref="A1:CU223"/>
  <sheetViews>
    <sheetView view="pageBreakPreview" topLeftCell="I19" zoomScale="85" zoomScaleNormal="100" zoomScaleSheetLayoutView="85" workbookViewId="0">
      <selection activeCell="U10" sqref="U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46217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6033</v>
      </c>
      <c r="E6" s="71">
        <v>2342</v>
      </c>
      <c r="F6" s="71">
        <v>5618</v>
      </c>
      <c r="G6" s="71">
        <v>3392</v>
      </c>
      <c r="H6" s="71">
        <v>18</v>
      </c>
      <c r="I6" s="71">
        <v>38.71</v>
      </c>
      <c r="J6" s="71">
        <v>77.010000000000005</v>
      </c>
      <c r="K6" s="71">
        <v>6.72</v>
      </c>
      <c r="L6" s="71">
        <v>14.01</v>
      </c>
      <c r="M6" s="71">
        <v>5023</v>
      </c>
      <c r="N6" s="71">
        <v>5458</v>
      </c>
      <c r="O6" s="71">
        <v>221</v>
      </c>
      <c r="P6" s="71">
        <v>2204</v>
      </c>
      <c r="Q6" s="71">
        <v>0</v>
      </c>
      <c r="R6" s="71">
        <v>0</v>
      </c>
      <c r="S6" s="71">
        <v>4423</v>
      </c>
      <c r="T6" s="71">
        <v>7032</v>
      </c>
      <c r="U6" s="71">
        <v>7144</v>
      </c>
      <c r="V6" s="71">
        <v>7015</v>
      </c>
      <c r="W6" s="71">
        <v>4940</v>
      </c>
      <c r="X6" s="71">
        <v>0</v>
      </c>
      <c r="Y6" s="71">
        <v>0</v>
      </c>
      <c r="Z6" s="71">
        <v>3025</v>
      </c>
      <c r="AA6" s="71">
        <v>0</v>
      </c>
      <c r="AB6" s="71">
        <v>1770</v>
      </c>
      <c r="AC6" s="71">
        <v>916</v>
      </c>
      <c r="AD6" s="71">
        <v>4442</v>
      </c>
      <c r="AE6" s="71">
        <v>4937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188968.21530327</v>
      </c>
      <c r="E7" s="73" ph="1">
        <f>E6*51.53*LOOKUP(E8,密度!$A$2:$A$50,密度!$B$2:$B$50)</f>
        <v>93565.731478000002</v>
      </c>
      <c r="F7" s="73" ph="1">
        <f>F6*33.183*LOOKUP(F8,密度!$A$2:$A$50,密度!$C$2:$C$50)</f>
        <v>206443.82689560001</v>
      </c>
      <c r="G7" s="73" ph="1">
        <f xml:space="preserve"> (G6+2)*51.53*LOOKUP(G8,密度!$A$2:$A$50,密度!$B$2:$B$50)</f>
        <v>135751.80688400002</v>
      </c>
      <c r="H7" s="73" ph="1">
        <f>(H6)*51.53*LOOKUP(H8,密度!$A$2:$A$50,密度!$B$2:$B$50)</f>
        <v>721.533366</v>
      </c>
      <c r="I7" s="73" ph="1">
        <f>I6*290.8*1.0267</f>
        <v>11557.4263756</v>
      </c>
      <c r="J7" s="73" ph="1">
        <f>J6*290.8*0.7892</f>
        <v>17673.745713600001</v>
      </c>
      <c r="K7" s="73" ph="1">
        <f>K6*290.8*1.1126</f>
        <v>2174.2162176000002</v>
      </c>
      <c r="L7" s="73" ph="1">
        <f>L6*290.8*0.777</f>
        <v>3165.5819160000001</v>
      </c>
      <c r="M7" s="73" ph="1">
        <f>M6*33.183*LOOKUP(M8,密度!$A$2:$A$50,密度!$D$2:$D$50)</f>
        <v>170345.129598</v>
      </c>
      <c r="N7" s="73" ph="1">
        <f>N6*33.183*LOOKUP(N8,密度!$A$2:$A$50,密度!$E$2:$E$50)</f>
        <v>141032.5482618</v>
      </c>
      <c r="O7" s="73" ph="1">
        <f>O6*20.428*LOOKUP(O8,密度!$A$2:$A$50,密度!$C$2:$C$50)</f>
        <v>4989.0711987999994</v>
      </c>
      <c r="P7" s="73" ph="1">
        <f>P6*51.53*LOOKUP(P8,密度!$A$2:$A$50,密度!$B$2:$B$50)</f>
        <v>88347.752148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29232.230643000003</v>
      </c>
      <c r="T7" s="73" ph="1">
        <f>T6*1.5*1.5*3.1416*LOOKUP(T8,密度!$A$2:$A$50,密度!$L$2:$L$50)</f>
        <v>46525.185907200001</v>
      </c>
      <c r="U7" s="73" ph="1">
        <f>U6*1.5*1.5*3.1416*LOOKUP(U8,密度!$A$2:$A$50,密度!$L$2:$L$50)</f>
        <v>47165.205225600002</v>
      </c>
      <c r="V7" s="73" ph="1">
        <f>V6*1.5*1.5*3.1416*LOOKUP(V8,密度!$A$2:$A$50,密度!$L$2:$L$50)</f>
        <v>46313.537886000006</v>
      </c>
      <c r="W7" s="73" ph="1">
        <f>W6*1.5*1.5*3.1416*LOOKUP(W8,密度!$A$2:$A$50,密度!$L$2:$L$50)</f>
        <v>32614.237656000001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93753.58905000001</v>
      </c>
      <c r="AA7" s="73" ph="1">
        <f>AA6*33.183*LOOKUP(AA8,密度!$A$2:$A$50,密度!$D$2:$D$50)</f>
        <v>0</v>
      </c>
      <c r="AB7" s="73" ph="1">
        <f>AB6*20.428*LOOKUP(AB8,密度!$A$2:$A$50,密度!$D$2:$D$50)</f>
        <v>37155.508656000005</v>
      </c>
      <c r="AC7" s="73" ph="1">
        <f>AC6*51.53*LOOKUP(AC8,密度!$A$2:$A$50,密度!$Q$2:$Q$50)</f>
        <v>44526.572128400003</v>
      </c>
      <c r="AD7" s="73" ph="1">
        <f>AD6*20.428*LOOKUP(AD8,密度!$A$2:$A$50,密度!$V$2:$V$50)</f>
        <v>86893.7501376</v>
      </c>
      <c r="AE7" s="73" ph="1">
        <f>AE6*20.428</f>
        <v>100853.03600000001</v>
      </c>
    </row>
    <row r="8" spans="1:99" ph="1">
      <c r="B8" s="241" ph="1"/>
      <c r="C8" s="68" t="s" ph="1">
        <v>179</v>
      </c>
      <c r="D8" s="74">
        <v>29</v>
      </c>
      <c r="E8" s="74">
        <v>30</v>
      </c>
      <c r="F8" s="74">
        <v>27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29</v>
      </c>
      <c r="O8" s="74">
        <v>30</v>
      </c>
      <c r="P8" s="74">
        <v>27</v>
      </c>
      <c r="Q8" s="74">
        <v>31</v>
      </c>
      <c r="R8" s="74">
        <v>35</v>
      </c>
      <c r="S8" s="74">
        <v>27</v>
      </c>
      <c r="T8" s="74">
        <v>26</v>
      </c>
      <c r="U8" s="74">
        <v>28</v>
      </c>
      <c r="V8" s="74">
        <v>28</v>
      </c>
      <c r="W8" s="74">
        <v>28</v>
      </c>
      <c r="X8" s="74">
        <v>25</v>
      </c>
      <c r="Y8" s="74">
        <v>27</v>
      </c>
      <c r="Z8" s="74">
        <v>28</v>
      </c>
      <c r="AA8" s="74">
        <v>30</v>
      </c>
      <c r="AB8" s="74">
        <v>24</v>
      </c>
      <c r="AC8" s="74">
        <v>30</v>
      </c>
      <c r="AD8" s="74">
        <v>27</v>
      </c>
      <c r="AE8" s="74">
        <v>31</v>
      </c>
    </row>
    <row r="9" spans="1:99" ht="26.4" ph="1">
      <c r="B9" s="241" ph="1">
        <v>0.66666666666666663</v>
      </c>
      <c r="C9" s="163" t="s" ph="1">
        <v>180</v>
      </c>
      <c r="D9" s="71">
        <v>6037</v>
      </c>
      <c r="E9" s="71">
        <v>2340</v>
      </c>
      <c r="F9" s="71">
        <v>5622</v>
      </c>
      <c r="G9" s="71">
        <v>3392</v>
      </c>
      <c r="H9" s="71">
        <v>473</v>
      </c>
      <c r="I9" s="71">
        <v>38.71</v>
      </c>
      <c r="J9" s="71">
        <v>77.13</v>
      </c>
      <c r="K9" s="71">
        <v>6.82</v>
      </c>
      <c r="L9" s="71">
        <v>91.41</v>
      </c>
      <c r="M9" s="71">
        <v>5011</v>
      </c>
      <c r="N9" s="71">
        <v>5463</v>
      </c>
      <c r="O9" s="71">
        <v>221</v>
      </c>
      <c r="P9" s="71">
        <v>1991</v>
      </c>
      <c r="Q9" s="71">
        <v>0</v>
      </c>
      <c r="R9" s="71">
        <v>0</v>
      </c>
      <c r="S9" s="71">
        <v>145</v>
      </c>
      <c r="T9" s="71">
        <v>7038</v>
      </c>
      <c r="U9" s="71">
        <v>7151</v>
      </c>
      <c r="V9" s="71">
        <v>7025</v>
      </c>
      <c r="W9" s="71">
        <v>6971</v>
      </c>
      <c r="X9" s="71">
        <v>3147</v>
      </c>
      <c r="Y9" s="71">
        <v>0</v>
      </c>
      <c r="Z9" s="71">
        <v>718</v>
      </c>
      <c r="AA9" s="71">
        <v>0</v>
      </c>
      <c r="AB9" s="71">
        <v>1769</v>
      </c>
      <c r="AC9" s="71">
        <v>1830</v>
      </c>
      <c r="AD9" s="71">
        <v>4326</v>
      </c>
      <c r="AE9" s="71">
        <v>4935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188556.63195375001</v>
      </c>
      <c r="E10" s="73" ph="1">
        <f>E9*51.53*LOOKUP(E11,密度!$A$2:$A$50,密度!$B$2:$B$50)</f>
        <v>93268.784699999989</v>
      </c>
      <c r="F10" s="73" ph="1">
        <f>F9*33.183*LOOKUP(F11,密度!$A$2:$A$50,密度!$C$2:$C$50)</f>
        <v>205769.97307800001</v>
      </c>
      <c r="G10" s="73" ph="1">
        <f xml:space="preserve"> (G9+2)*51.53*LOOKUP(G11,密度!$A$2:$A$50,密度!$B$2:$B$50)</f>
        <v>135139.68201400002</v>
      </c>
      <c r="H10" s="73" ph="1">
        <f>(H9)*51.53*LOOKUP(H11,密度!$A$2:$A$50,密度!$B$2:$B$50)</f>
        <v>18811.613942000004</v>
      </c>
      <c r="I10" s="73" ph="1">
        <f>I9*290.8*1.0267</f>
        <v>11557.4263756</v>
      </c>
      <c r="J10" s="73" ph="1">
        <f>J9*290.8*0.7892</f>
        <v>17701.285636799999</v>
      </c>
      <c r="K10" s="73" ph="1">
        <f>K9*290.8*1.1126</f>
        <v>2206.5706256000003</v>
      </c>
      <c r="L10" s="73" ph="1">
        <f>L9*290.8*0.777</f>
        <v>20654.235755999998</v>
      </c>
      <c r="M10" s="73" ph="1">
        <f>M9*33.183*LOOKUP(M11,密度!$A$2:$A$50,密度!$D$2:$D$50)</f>
        <v>168774.21319499999</v>
      </c>
      <c r="N10" s="73" ph="1">
        <f>N9*33.183*LOOKUP(N11,密度!$A$2:$A$50,密度!$E$2:$E$50)</f>
        <v>140549.02416827998</v>
      </c>
      <c r="O10" s="73" ph="1">
        <f>O9*20.428*LOOKUP(O11,密度!$A$2:$A$50,密度!$C$2:$C$50)</f>
        <v>4941.6680248000002</v>
      </c>
      <c r="P10" s="73" ph="1">
        <f>P9*51.53*LOOKUP(P11,密度!$A$2:$A$50,密度!$B$2:$B$50)</f>
        <v>79276.106920999999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953.20070999999996</v>
      </c>
      <c r="T10" s="73" ph="1">
        <f>T9*1.5*1.5*3.1416*LOOKUP(T11,密度!$A$2:$A$50,密度!$L$2:$L$50)</f>
        <v>46465.385551200001</v>
      </c>
      <c r="U10" s="73" ph="1">
        <f>U9*1.5*1.5*3.1416*LOOKUP(U11,密度!$A$2:$A$50,密度!$L$2:$L$50)</f>
        <v>47160.872173800002</v>
      </c>
      <c r="V10" s="73" ph="1">
        <f>V9*1.5*1.5*3.1416*LOOKUP(V11,密度!$A$2:$A$50,密度!$L$2:$L$50)</f>
        <v>46379.55861</v>
      </c>
      <c r="W10" s="73" ph="1">
        <f>W9*1.5*1.5*3.1416*LOOKUP(W11,密度!$A$2:$A$50,密度!$L$2:$L$50)</f>
        <v>45973.771489799998</v>
      </c>
      <c r="X10" s="73" ph="1">
        <f>X9*1.5*1.5*3.1416*LOOKUP(X11,密度!$A$2:$A$50,密度!$L$2:$L$50)</f>
        <v>20776.721842800001</v>
      </c>
      <c r="Y10" s="73" ph="1">
        <f>Y9*1.5*1.5*3.1416*LOOKUP(Y11,密度!$A$2:$A$50,密度!$L$2:$L$50)</f>
        <v>0</v>
      </c>
      <c r="Z10" s="73" ph="1">
        <f>Z9*33.183*LOOKUP(Z11,密度!$A$2:$A$50,密度!$L$2:$L$50)</f>
        <v>22109.965632000003</v>
      </c>
      <c r="AA10" s="73" ph="1">
        <f>AA9*33.183*LOOKUP(AA11,密度!$A$2:$A$50,密度!$D$2:$D$50)</f>
        <v>0</v>
      </c>
      <c r="AB10" s="73" ph="1">
        <f>AB9*20.428*LOOKUP(AB11,密度!$A$2:$A$50,密度!$D$2:$D$50)</f>
        <v>37033.332873600004</v>
      </c>
      <c r="AC10" s="73" ph="1">
        <f>AC9*51.53*LOOKUP(AC11,密度!$A$2:$A$50,密度!$Q$2:$Q$50)</f>
        <v>88821.075810000009</v>
      </c>
      <c r="AD10" s="73" ph="1">
        <f>AD9*20.428*LOOKUP(AD11,密度!$A$2:$A$50,密度!$V$2:$V$50)</f>
        <v>84624.575212800002</v>
      </c>
      <c r="AE10" s="73" ph="1">
        <f>AE9*20.428</f>
        <v>100812.18000000001</v>
      </c>
    </row>
    <row r="11" spans="1:99" ph="1">
      <c r="A11" s="64" t="s" ph="1">
        <v>162</v>
      </c>
      <c r="B11" s="241" ph="1"/>
      <c r="C11" s="163" t="s" ph="1">
        <v>179</v>
      </c>
      <c r="D11" s="74">
        <v>33</v>
      </c>
      <c r="E11" s="74">
        <v>32</v>
      </c>
      <c r="F11" s="74">
        <v>32</v>
      </c>
      <c r="G11" s="74">
        <v>33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32</v>
      </c>
      <c r="O11" s="74">
        <v>40</v>
      </c>
      <c r="P11" s="74">
        <v>33</v>
      </c>
      <c r="Q11" s="74">
        <v>40</v>
      </c>
      <c r="R11" s="74">
        <v>40</v>
      </c>
      <c r="S11" s="74">
        <v>32</v>
      </c>
      <c r="T11" s="74">
        <v>28</v>
      </c>
      <c r="U11" s="74">
        <v>29</v>
      </c>
      <c r="V11" s="74">
        <v>28</v>
      </c>
      <c r="W11" s="74">
        <v>29</v>
      </c>
      <c r="X11" s="74">
        <v>28</v>
      </c>
      <c r="Y11" s="74">
        <v>36</v>
      </c>
      <c r="Z11" s="74">
        <v>34</v>
      </c>
      <c r="AA11" s="74">
        <v>36</v>
      </c>
      <c r="AB11" s="74">
        <v>27</v>
      </c>
      <c r="AC11" s="74">
        <v>32</v>
      </c>
      <c r="AD11" s="74">
        <v>33</v>
      </c>
      <c r="AE11" s="74">
        <v>33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4684</v>
      </c>
      <c r="E15" s="78">
        <v>2366</v>
      </c>
      <c r="F15" s="78">
        <v>2669</v>
      </c>
      <c r="G15" s="78">
        <v>3338</v>
      </c>
      <c r="H15" s="78">
        <v>2032</v>
      </c>
      <c r="I15" s="78">
        <v>2781</v>
      </c>
      <c r="J15" s="78">
        <v>221</v>
      </c>
      <c r="K15" s="78">
        <v>3362</v>
      </c>
      <c r="L15" s="78">
        <v>5850</v>
      </c>
      <c r="M15" s="78">
        <v>5339</v>
      </c>
      <c r="N15" s="78">
        <v>2087</v>
      </c>
      <c r="O15" s="78">
        <v>5207</v>
      </c>
      <c r="P15" s="78">
        <v>5196</v>
      </c>
      <c r="Q15" s="78">
        <v>2910</v>
      </c>
      <c r="R15" s="78">
        <v>1948</v>
      </c>
      <c r="S15" s="78">
        <v>0</v>
      </c>
      <c r="T15" s="78">
        <v>1497</v>
      </c>
      <c r="U15" s="78">
        <v>4501</v>
      </c>
      <c r="V15" s="78">
        <v>3214</v>
      </c>
      <c r="W15" s="71">
        <v>5000</v>
      </c>
      <c r="X15" s="78">
        <v>1078</v>
      </c>
      <c r="Y15" s="106">
        <v>-9907</v>
      </c>
      <c r="Z15" s="78">
        <v>448</v>
      </c>
      <c r="AA15" s="78">
        <v>2530</v>
      </c>
      <c r="AB15" s="78" ph="1">
        <v>0</v>
      </c>
      <c r="AC15" s="78" ph="1">
        <v>0</v>
      </c>
      <c r="AD15" s="78">
        <v>5.71</v>
      </c>
      <c r="AE15" s="78">
        <v>40.21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30890.997799199999</v>
      </c>
      <c r="E16" s="73" ph="1">
        <f>E15*7.0686*LOOKUP(E17,密度!$A$2:$A$50,密度!$L$2:$L$50)</f>
        <v>15603.778990800001</v>
      </c>
      <c r="F16" s="73" ph="1">
        <f>F15*9.0746*LOOKUP(F17,密度!$A$2:$A$50,密度!$L$2:$L$50)</f>
        <v>22524.699882000001</v>
      </c>
      <c r="G16" s="73" ph="1">
        <f>G15*9.0746*LOOKUP(G17,密度!$A$2:$A$50,密度!$B$2:$B$50)</f>
        <v>23536.118499600001</v>
      </c>
      <c r="H16" s="73" ph="1">
        <f>H15*9.0746*LOOKUP(H17,密度!$A$2:$A$50,密度!$L$2:$L$50)</f>
        <v>17259.453619200001</v>
      </c>
      <c r="I16" s="73" ph="1">
        <f>I15*9.0746*LOOKUP(I17,密度!$A$2:$A$50,密度!$U$2:$U$50)</f>
        <v>25791.6647772</v>
      </c>
      <c r="J16" s="73" ph="1">
        <f>J15*9.0746*LOOKUP(J17,密度!$A$2:$A$50,密度!$L$2:$L$50)</f>
        <v>1873.1244844</v>
      </c>
      <c r="K16" s="73" ph="1">
        <f>K15*9.0746*LOOKUP(K17,密度!$A$2:$A$50,密度!$C$2:$C$50)</f>
        <v>33761.04383432</v>
      </c>
      <c r="L16" s="73" ph="1">
        <f>L15*9.0746*LOOKUP(L17,密度!$A$2:$A$50,密度!$E$2:$E$50)</f>
        <v>41279.992416000001</v>
      </c>
      <c r="M16" s="73" ph="1">
        <f>M15*9.0746*LOOKUP(M17,密度!$A$2:$A$50,密度!$M$2:$M$50)</f>
        <v>42096.134080978001</v>
      </c>
      <c r="N16" s="73" ph="1">
        <f>N15*9.0746*LOOKUP(N17,密度!$A$2:$A$50,密度!$M$2:$M$50)</f>
        <v>16535.370413619999</v>
      </c>
      <c r="O16" s="73" ph="1">
        <f>O15*9.0746*LOOKUP(O17,密度!$A$2:$A$50,密度!$G$2:$G$50)</f>
        <v>45110.951868339995</v>
      </c>
      <c r="P16" s="73" ph="1">
        <f ca="1">P15*9.0746*LOOKUP(P17,密度!$A$2:$A$51,密度!$Q$2:$Q$50)</f>
        <v>44507.830176887997</v>
      </c>
      <c r="Q16" s="73" ph="1">
        <f>Q15*9.0746*LOOKUP(Q17,密度!$A$2:$A$50,密度!$Q$2:$Q$50)</f>
        <v>24910.596436379998</v>
      </c>
      <c r="R16" s="73" ph="1">
        <f>MAX(R15*9.0746*LOOKUP(R17,密度!$A$2:$A$50,密度!$B$2:$B$50),0)</f>
        <v>13705.226816240001</v>
      </c>
      <c r="S16" s="73" ph="1">
        <f>S15*9.0746*LOOKUP(S17,密度!$A$2:$A$50,密度!$Q$2:$Q$50)</f>
        <v>0</v>
      </c>
      <c r="T16" s="73" ph="1">
        <f>T15*9.0746*LOOKUP(T17,密度!$A$2:$A$50,密度!$O$2:$O$50)</f>
        <v>12579.410161200001</v>
      </c>
      <c r="U16" s="73" ph="1">
        <f>U15*9.0746*LOOKUP(U17,密度!$A$2:$A$50,密度!$H$2:$H$50)</f>
        <v>37209.589660600002</v>
      </c>
      <c r="V16" s="73" ph="1">
        <f>MAX(5600*LOOKUP(V17,密度!$A$2:$A$50,密度!$Q$2:$Q$50)+V15*9.0476*LOOKUP(V17,密度!$A$2:$A$50,密度!$Q$2:$Q$50),0)</f>
        <v>32664.137290159997</v>
      </c>
      <c r="W16" s="73" ph="1">
        <f>MAX(5600*LOOKUP(W17,密度!$A$2:$A$50,密度!$Q$2:$Q$50)+W15*9.0476*LOOKUP(W17,密度!$A$2:$A$50,密度!$Q$2:$Q$50),0)</f>
        <v>47918.88203999999</v>
      </c>
      <c r="X16" s="73" ph="1">
        <f>MAX(5600*LOOKUP(X17,密度!$A$2:$A$50,密度!$I$2:$I$50)+X15*9.0476*LOOKUP(X17,密度!$A$2:$A$50,密度!$I$2:$I$50),0)</f>
        <v>15952.091999199998</v>
      </c>
      <c r="Y16" s="107" ph="1">
        <v>0</v>
      </c>
      <c r="Z16" s="73" ph="1">
        <f>Z15*9.0746*LOOKUP(Z17,密度!$A$2:$A$50,密度!$D$2:$D$50)</f>
        <v>4162.5843571200003</v>
      </c>
      <c r="AA16" s="73" ph="1">
        <f>AA15*9.0746*LOOKUP(AA17,密度!$A$2:$A$50,密度!$B$2:$B$50)</f>
        <v>17820.572435599999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2416.8869188799999</v>
      </c>
      <c r="AE16" s="73" ph="1">
        <f>AE15*268.68*LOOKUP(AE17,密度!$A$2:$A$50,密度!B2:B50)+IF(AE15&lt;=0,0,1566*LOOKUP(AE17,密度!$A$2:$A$50,密度!B2:B50))</f>
        <v>9643.3579348800013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29</v>
      </c>
      <c r="E17" s="74">
        <v>29</v>
      </c>
      <c r="F17" s="74">
        <v>32</v>
      </c>
      <c r="G17" s="74">
        <v>28</v>
      </c>
      <c r="H17" s="74">
        <v>26</v>
      </c>
      <c r="I17" s="74">
        <v>28</v>
      </c>
      <c r="J17" s="74">
        <v>28</v>
      </c>
      <c r="K17" s="74">
        <v>28</v>
      </c>
      <c r="L17" s="74">
        <v>30</v>
      </c>
      <c r="M17" s="74">
        <v>31</v>
      </c>
      <c r="N17" s="74">
        <v>27</v>
      </c>
      <c r="O17" s="74">
        <v>30</v>
      </c>
      <c r="P17" s="74">
        <v>29</v>
      </c>
      <c r="Q17" s="74">
        <v>30</v>
      </c>
      <c r="R17" s="74">
        <v>30</v>
      </c>
      <c r="S17" s="74">
        <v>29</v>
      </c>
      <c r="T17" s="74">
        <v>29</v>
      </c>
      <c r="U17" s="74">
        <v>29</v>
      </c>
      <c r="V17" s="74">
        <v>32</v>
      </c>
      <c r="W17" s="74">
        <v>31</v>
      </c>
      <c r="X17" s="74">
        <v>28</v>
      </c>
      <c r="Y17" s="108">
        <v>28</v>
      </c>
      <c r="Z17" s="74">
        <v>28</v>
      </c>
      <c r="AA17" s="74">
        <v>29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4461</v>
      </c>
      <c r="E18" s="71">
        <v>2980</v>
      </c>
      <c r="F18" s="71">
        <v>2670</v>
      </c>
      <c r="G18" s="71">
        <v>3451</v>
      </c>
      <c r="H18" s="71">
        <v>2033</v>
      </c>
      <c r="I18" s="71">
        <v>2783</v>
      </c>
      <c r="J18" s="71">
        <v>238</v>
      </c>
      <c r="K18" s="71">
        <v>3397</v>
      </c>
      <c r="L18" s="71">
        <v>5861</v>
      </c>
      <c r="M18" s="71">
        <v>2381</v>
      </c>
      <c r="N18" s="71">
        <v>2091</v>
      </c>
      <c r="O18" s="71">
        <v>5213</v>
      </c>
      <c r="P18" s="71">
        <v>3452</v>
      </c>
      <c r="Q18" s="71">
        <v>2912</v>
      </c>
      <c r="R18" s="71">
        <v>1950</v>
      </c>
      <c r="S18" s="71">
        <v>0</v>
      </c>
      <c r="T18" s="71">
        <v>1079</v>
      </c>
      <c r="U18" s="71">
        <v>4502</v>
      </c>
      <c r="V18" s="71">
        <v>3214</v>
      </c>
      <c r="W18" s="71">
        <v>5001</v>
      </c>
      <c r="X18" s="71">
        <v>1076</v>
      </c>
      <c r="Y18" s="109">
        <v>-9907</v>
      </c>
      <c r="Z18" s="71">
        <v>445</v>
      </c>
      <c r="AA18" s="71">
        <v>2531</v>
      </c>
      <c r="AB18" s="71">
        <v>0</v>
      </c>
      <c r="AC18" s="71">
        <v>0</v>
      </c>
      <c r="AD18" s="71">
        <v>14.41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29294.179853400001</v>
      </c>
      <c r="E19" s="73" ph="1">
        <f>E18*7.0686*LOOKUP(E20,密度!$A$2:$A$50,密度!$L$2:$L$50)</f>
        <v>19568.853612000003</v>
      </c>
      <c r="F19" s="73" ph="1">
        <f>F18*9.0746*LOOKUP(F20,密度!$A$2:$A$50,密度!$L$2:$L$50)</f>
        <v>22436.222532000003</v>
      </c>
      <c r="G19" s="73" ph="1">
        <f>G18*9.0746*LOOKUP(G20,密度!$A$2:$A$50,密度!$B$2:$B$50)</f>
        <v>24251.454698240002</v>
      </c>
      <c r="H19" s="73" ph="1">
        <f>H18*9.0746*LOOKUP(H20,密度!$A$2:$A$50,密度!$L$2:$L$50)</f>
        <v>17231.050121200002</v>
      </c>
      <c r="I19" s="73" ph="1">
        <f>I18*9.0746*LOOKUP(I20,密度!$A$2:$A$50,密度!$U$2:$U$50)</f>
        <v>25572.819908680001</v>
      </c>
      <c r="J19" s="73" ph="1">
        <f>J18*9.0746*LOOKUP(J20,密度!$A$2:$A$50,密度!$L$2:$L$50)</f>
        <v>1995.6134352000001</v>
      </c>
      <c r="K19" s="73" ph="1">
        <f>K18*9.0746*LOOKUP(K20,密度!$A$2:$A$50,密度!$C$2:$C$50)</f>
        <v>34001.537068600002</v>
      </c>
      <c r="L19" s="73" ph="1">
        <f>L18*9.0746*LOOKUP(L20,密度!$A$2:$A$50,密度!$E$2:$E$50)</f>
        <v>41236.348308792003</v>
      </c>
      <c r="M19" s="73" ph="1">
        <f>M18*9.0746*LOOKUP(M20,密度!$A$2:$A$50,密度!$M$2:$M$50)</f>
        <v>18705.285317271999</v>
      </c>
      <c r="N19" s="73" ph="1">
        <f>N18*9.0746*LOOKUP(N20,密度!$A$2:$A$50,密度!$M$2:$M$50)</f>
        <v>16486.798344882001</v>
      </c>
      <c r="O19" s="73" ph="1">
        <f>O18*9.0746*LOOKUP(O20,密度!$A$2:$A$50,密度!$G$2:$G$50)</f>
        <v>45014.865556986006</v>
      </c>
      <c r="P19" s="73" ph="1">
        <f ca="1">P18*9.0746*LOOKUP(P20,密度!$A$2:$A$51,密度!$Q$2:$Q$50)</f>
        <v>29550.302026936002</v>
      </c>
      <c r="Q19" s="73" ph="1">
        <f>Q18*9.0746*LOOKUP(Q20,密度!$A$2:$A$50,密度!$Q$2:$Q$50)</f>
        <v>24872.752632</v>
      </c>
      <c r="R19" s="73" ph="1">
        <f>MAX(R18*9.0746*LOOKUP(R20,密度!$A$2:$A$50,密度!$B$2:$B$50),0)</f>
        <v>13673.289669000002</v>
      </c>
      <c r="S19" s="73" ph="1">
        <f>S18*9.0746*LOOKUP(S20,密度!$A$2:$A$50,密度!$Q$2:$Q$50)</f>
        <v>0</v>
      </c>
      <c r="T19" s="73" ph="1">
        <f>T18*9.0746*LOOKUP(T20,密度!$A$2:$A$50,密度!$O$2:$O$50)</f>
        <v>9027.7569148000002</v>
      </c>
      <c r="U19" s="73" ph="1">
        <f>U18*9.0746*LOOKUP(U20,密度!$A$2:$A$50,密度!$H$2:$H$50)</f>
        <v>37098.563381536005</v>
      </c>
      <c r="V19" s="73" ph="1">
        <f>MAX(5600*LOOKUP(V20,密度!$A$2:$A$50,密度!$Q$2:$Q$50)+V18*9.0476*LOOKUP(V20,密度!$A$2:$A$50,密度!$Q$2:$Q$50),0)</f>
        <v>32573.971925519996</v>
      </c>
      <c r="W19" s="73" ph="1">
        <f>MAX(5600*LOOKUP(W20,密度!$A$2:$A$50,密度!$Q$2:$Q$50)+W18*9.0476*LOOKUP(W20,密度!$A$2:$A$50,密度!$Q$2:$Q$50),0)</f>
        <v>47793.173921143993</v>
      </c>
      <c r="X19" s="73" ph="1">
        <f>MAX(5600*LOOKUP(X20,密度!$A$2:$A$50,密度!$I$2:$I$50)+X18*9.0476*LOOKUP(X20,密度!$A$2:$A$50,密度!$I$2:$I$50),0)</f>
        <v>15847.413867840001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4105.6348898999995</v>
      </c>
      <c r="AA19" s="73" ph="1">
        <f>AA18*9.0746*LOOKUP(AA20,密度!$A$2:$A$50,密度!$B$2:$B$50)</f>
        <v>17747.228796020001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4225.0764276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33</v>
      </c>
      <c r="F20" s="81">
        <v>36</v>
      </c>
      <c r="G20" s="81">
        <v>31</v>
      </c>
      <c r="H20" s="81">
        <v>28</v>
      </c>
      <c r="I20" s="81">
        <v>38</v>
      </c>
      <c r="J20" s="81">
        <v>38</v>
      </c>
      <c r="K20" s="81">
        <v>32</v>
      </c>
      <c r="L20" s="81">
        <v>32</v>
      </c>
      <c r="M20" s="81">
        <v>34</v>
      </c>
      <c r="N20" s="81">
        <v>31</v>
      </c>
      <c r="O20" s="81">
        <v>33</v>
      </c>
      <c r="P20" s="81">
        <v>30</v>
      </c>
      <c r="Q20" s="81">
        <v>33</v>
      </c>
      <c r="R20" s="81">
        <v>33</v>
      </c>
      <c r="S20" s="81">
        <v>36</v>
      </c>
      <c r="T20" s="81">
        <v>37</v>
      </c>
      <c r="U20" s="81">
        <v>32</v>
      </c>
      <c r="V20" s="81">
        <v>36</v>
      </c>
      <c r="W20" s="81">
        <v>35</v>
      </c>
      <c r="X20" s="81">
        <v>33</v>
      </c>
      <c r="Y20" s="110">
        <v>33</v>
      </c>
      <c r="Z20" s="81">
        <v>36</v>
      </c>
      <c r="AA20" s="81">
        <v>33</v>
      </c>
      <c r="AB20" s="81">
        <v>36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3.01</v>
      </c>
      <c r="E24" s="71">
        <v>5.82</v>
      </c>
      <c r="F24" s="71">
        <v>270</v>
      </c>
      <c r="G24" s="71">
        <v>3284</v>
      </c>
      <c r="H24" s="71">
        <v>3764</v>
      </c>
      <c r="I24" s="71">
        <v>926</v>
      </c>
      <c r="J24" s="71">
        <v>663</v>
      </c>
      <c r="K24" s="71">
        <v>2450</v>
      </c>
      <c r="L24" s="71">
        <v>302</v>
      </c>
      <c r="M24" s="71">
        <v>326</v>
      </c>
      <c r="N24" s="71">
        <v>2652</v>
      </c>
      <c r="O24" s="71">
        <v>343</v>
      </c>
      <c r="P24" s="71">
        <v>369</v>
      </c>
      <c r="Q24" s="90">
        <v>1960</v>
      </c>
      <c r="R24" s="71">
        <v>872</v>
      </c>
      <c r="S24" s="71">
        <v>5126</v>
      </c>
      <c r="T24" s="71">
        <v>390</v>
      </c>
      <c r="U24" s="71">
        <v>4488</v>
      </c>
      <c r="V24" s="71">
        <v>882</v>
      </c>
      <c r="W24" s="71">
        <v>413</v>
      </c>
      <c r="X24" s="71">
        <v>2487</v>
      </c>
      <c r="Y24" s="71">
        <v>7229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2248.2488506319996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2984.5646747999999</v>
      </c>
      <c r="G25" s="91" ph="1">
        <f>G24*18.322*LOOKUP(G26,密度!$A$2:$A$50,密度!$B$2:$B$50)</f>
        <v>46751.661095999996</v>
      </c>
      <c r="H25" s="91" ph="1">
        <f>H24*18.322*LOOKUP(H26,密度!$A$2:$A$50,密度!$B$2:$B$50)</f>
        <v>53529.863009599998</v>
      </c>
      <c r="I25" s="91" ph="1">
        <f>I24*18.322*LOOKUP(I26,密度!$A$2:$A$50,密度!$Q$2:$Q$50)</f>
        <v>16038.461715039999</v>
      </c>
      <c r="J25" s="91" ph="1">
        <f>J24*18.322*LOOKUP(J26,密度!$A$2:$A$50,密度!$Q$2:$Q$50)</f>
        <v>11483.26146552</v>
      </c>
      <c r="K25" s="91" ph="1">
        <f>K24*18.322*LOOKUP(K26,密度!$A$2:$A$50,密度!$Q$2:$Q$50)</f>
        <v>42402.952718</v>
      </c>
      <c r="L25" s="91" ph="1">
        <f>L24*18.322*LOOKUP(L26,密度!$A$2:$A$50,密度!$Q$2:$Q$50)</f>
        <v>5230.6862180799999</v>
      </c>
      <c r="M25" s="91" ph="1">
        <f>M24*18.322*LOOKUP(M26,密度!$A$2:$A$50,密度!$Q$2:$Q$50)</f>
        <v>5646.3698910399999</v>
      </c>
      <c r="N25" s="91" ph="1">
        <f>N24*18.322*LOOKUP(N26,密度!$A$2:$A$50,密度!$Q$2:$Q$50)</f>
        <v>45899.032901279999</v>
      </c>
      <c r="O25" s="91" ph="1">
        <f>O24*18.322*LOOKUP(O26,密度!$A$2:$A$50,密度!$C$2:$C$50)</f>
        <v>6954.3679436000002</v>
      </c>
      <c r="P25" s="91" ph="1">
        <f>P24*11.702*LOOKUP(P26,密度!$A$2:$A$50,密度!$B$2:$B$50)</f>
        <v>3355.1155259999996</v>
      </c>
      <c r="Q25" s="92" ph="1">
        <f>Q24*18.322*LOOKUP(Q26,密度!$A$2:$A$50,密度!$B$2:$B$50)</f>
        <v>27935.260247999999</v>
      </c>
      <c r="R25" s="91" ph="1">
        <f>R24*35.891*LOOKUP(R26,密度!$A$2:$A$50,密度!$C$2:$C$50)</f>
        <v>34633.207083199995</v>
      </c>
      <c r="S25" s="91" ph="1">
        <f>S24*35.891*LOOKUP(S26,密度!$A$2:$A$50,密度!$B$2:$B$50)</f>
        <v>142950.335682</v>
      </c>
      <c r="T25" s="91" ph="1">
        <f>T24*35.891*LOOKUP(T26,密度!$A$2:$A$50,密度!$Q$2:$Q$50)</f>
        <v>13212.650735700001</v>
      </c>
      <c r="U25" s="91" ph="1">
        <f>U24*35.891</f>
        <v>161078.80799999999</v>
      </c>
      <c r="V25" s="91" ph="1">
        <f>V24*47.051*LOOKUP(V26,密度!$A$2:$A$50,密度!$B$2:$B$50)</f>
        <v>32211.509828400001</v>
      </c>
      <c r="W25" s="91" ph="1">
        <f>W24*47.051*LOOKUP(W26,密度!$A$2:$A$50,密度!$B$2:$B$50)</f>
        <v>15098.712951000001</v>
      </c>
      <c r="X25" s="91" ph="1">
        <f>X24*47.051*LOOKUP(X26,密度!$A$2:$A$61,密度!$I$2:$I$61)</f>
        <v>120924.16595580001</v>
      </c>
      <c r="Y25" s="91" ph="1">
        <f>Y24*47.051*LOOKUP(Y26,密度!$A$2:$A$50,密度!$L$2:$L$50)</f>
        <v>317682.98818600003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28</v>
      </c>
      <c r="H26" s="74">
        <v>29</v>
      </c>
      <c r="I26" s="74">
        <v>27</v>
      </c>
      <c r="J26" s="74">
        <v>27</v>
      </c>
      <c r="K26" s="74">
        <v>28</v>
      </c>
      <c r="L26" s="74">
        <v>27</v>
      </c>
      <c r="M26" s="74">
        <v>27</v>
      </c>
      <c r="N26" s="74">
        <v>28</v>
      </c>
      <c r="O26" s="74">
        <v>28</v>
      </c>
      <c r="P26" s="74">
        <v>28</v>
      </c>
      <c r="Q26" s="93">
        <v>27</v>
      </c>
      <c r="R26" s="74">
        <v>28</v>
      </c>
      <c r="S26" s="74">
        <v>28</v>
      </c>
      <c r="T26" s="74">
        <v>29</v>
      </c>
      <c r="U26" s="74">
        <v>28</v>
      </c>
      <c r="V26" s="74">
        <v>29</v>
      </c>
      <c r="W26" s="74">
        <v>28</v>
      </c>
      <c r="X26" s="74">
        <v>33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2.91</v>
      </c>
      <c r="E27" s="71">
        <v>5.81</v>
      </c>
      <c r="F27" s="71">
        <v>268</v>
      </c>
      <c r="G27" s="71">
        <v>2825</v>
      </c>
      <c r="H27" s="71">
        <v>3319</v>
      </c>
      <c r="I27" s="71">
        <v>925</v>
      </c>
      <c r="J27" s="71">
        <v>659</v>
      </c>
      <c r="K27" s="71">
        <v>2057</v>
      </c>
      <c r="L27" s="71">
        <v>296</v>
      </c>
      <c r="M27" s="71">
        <v>322</v>
      </c>
      <c r="N27" s="71">
        <v>2650</v>
      </c>
      <c r="O27" s="71">
        <v>338</v>
      </c>
      <c r="P27" s="71">
        <v>366</v>
      </c>
      <c r="Q27" s="90">
        <v>2212</v>
      </c>
      <c r="R27" s="71">
        <v>346</v>
      </c>
      <c r="S27" s="71">
        <v>4709</v>
      </c>
      <c r="T27" s="71">
        <v>387</v>
      </c>
      <c r="U27" s="71">
        <v>4075</v>
      </c>
      <c r="V27" s="71">
        <v>878</v>
      </c>
      <c r="W27" s="71">
        <v>410</v>
      </c>
      <c r="X27" s="71">
        <v>2969</v>
      </c>
      <c r="Y27" s="71">
        <v>7849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2222.8118403120002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2956.05907088</v>
      </c>
      <c r="G28" s="91" ph="1">
        <f>G27*18.322*LOOKUP(G29,密度!$A$2:$A$50,密度!$B$2:$B$50)</f>
        <v>40082.672959999996</v>
      </c>
      <c r="H28" s="91" ph="1">
        <f>H27*18.322*LOOKUP(H29,密度!$A$2:$A$50,密度!$B$2:$B$50)</f>
        <v>47091.8200192</v>
      </c>
      <c r="I28" s="91" ph="1">
        <f>I27*18.322*LOOKUP(I29,密度!$A$2:$A$50,密度!$Q$2:$Q$50)</f>
        <v>15963.179914999999</v>
      </c>
      <c r="J28" s="91" ph="1">
        <f>J27*18.322*LOOKUP(J29,密度!$A$2:$A$50,密度!$Q$2:$Q$50)</f>
        <v>11380.89755084</v>
      </c>
      <c r="K28" s="91" ph="1">
        <f>K27*18.322*LOOKUP(K29,密度!$A$2:$A$50,密度!$Q$2:$Q$50)</f>
        <v>35524.288713319998</v>
      </c>
      <c r="L28" s="91" ph="1">
        <f>L27*18.322*LOOKUP(L29,密度!$A$2:$A$50,密度!$Q$2:$Q$50)</f>
        <v>5108.2175727999993</v>
      </c>
      <c r="M28" s="91" ph="1">
        <f>M27*18.322*LOOKUP(M29,密度!$A$2:$A$50,密度!$Q$2:$Q$50)</f>
        <v>5553.0775649999996</v>
      </c>
      <c r="N28" s="91" ph="1">
        <f>N27*18.322*LOOKUP(N29,密度!$A$2:$A$50,密度!$Q$2:$Q$50)</f>
        <v>45732.353269999992</v>
      </c>
      <c r="O28" s="91" ph="1">
        <f>O27*18.322*LOOKUP(O29,密度!$A$2:$A$50,密度!$C$2:$C$50)</f>
        <v>6830.6981079999996</v>
      </c>
      <c r="P28" s="91" ph="1">
        <f>P27*11.702*LOOKUP(P29,密度!$A$2:$A$50,密度!$B$2:$B$50)</f>
        <v>3309.4215564000001</v>
      </c>
      <c r="Q28" s="92" ph="1">
        <f>Q27*18.322*LOOKUP(Q29,密度!$A$2:$A$50,密度!$B$2:$B$50)</f>
        <v>31348.612203999994</v>
      </c>
      <c r="R28" s="91" ph="1">
        <f>R27*35.891*LOOKUP(R29,密度!$A$2:$A$50,密度!$C$2:$C$50)</f>
        <v>13697.369457999999</v>
      </c>
      <c r="S28" s="91" ph="1">
        <f>S27*35.891*LOOKUP(S29,密度!$A$2:$A$50,密度!$B$2:$B$50)</f>
        <v>131034.01044069999</v>
      </c>
      <c r="T28" s="91" ph="1">
        <f>T27*35.891*LOOKUP(T29,密度!$A$2:$A$50,密度!$Q$2:$Q$50)</f>
        <v>13092.263707859998</v>
      </c>
      <c r="U28" s="91" ph="1">
        <f>U27*35.891</f>
        <v>146255.82499999998</v>
      </c>
      <c r="V28" s="91" ph="1">
        <f>V27*47.051*LOOKUP(V29,密度!$A$2:$A$50,密度!$B$2:$B$50)</f>
        <v>31953.886782999998</v>
      </c>
      <c r="W28" s="91" ph="1">
        <f>W27*47.051*LOOKUP(W29,密度!$A$2:$A$50,密度!$B$2:$B$50)</f>
        <v>14956.242522999999</v>
      </c>
      <c r="X28" s="91" ph="1">
        <f>X27*47.051*LOOKUP(X29,密度!$A$2:$A$61,密度!$I$2:$I$61)</f>
        <v>143885.25156999999</v>
      </c>
      <c r="Y28" s="91" ph="1">
        <f>Y27*47.051*LOOKUP(Y29,密度!$A$2:$A$50,密度!$L$2:$L$50)</f>
        <v>343452.06807000004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32</v>
      </c>
      <c r="J29" s="74">
        <v>31</v>
      </c>
      <c r="K29" s="74">
        <v>31</v>
      </c>
      <c r="L29" s="74">
        <v>32</v>
      </c>
      <c r="M29" s="74">
        <v>33</v>
      </c>
      <c r="N29" s="74">
        <v>32</v>
      </c>
      <c r="O29" s="74">
        <v>32</v>
      </c>
      <c r="P29" s="74">
        <v>33</v>
      </c>
      <c r="Q29" s="93">
        <v>32</v>
      </c>
      <c r="R29" s="74">
        <v>32</v>
      </c>
      <c r="S29" s="74">
        <v>30</v>
      </c>
      <c r="T29" s="74">
        <v>31</v>
      </c>
      <c r="U29" s="74">
        <v>30</v>
      </c>
      <c r="V29" s="74">
        <v>32</v>
      </c>
      <c r="W29" s="74">
        <v>30</v>
      </c>
      <c r="X29" s="74">
        <v>36</v>
      </c>
      <c r="Y29" s="74">
        <v>32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41138.967763500004</v>
      </c>
      <c r="E33" s="190" ph="1">
        <f>M10+I10</f>
        <v>180331.6395706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1522252632456786910111213141516171819202123456789101112131415161718192022232424356789101112131415161718192021222345678910111213141516171819202345678910111213149101516171819222123234567891012131415161711181920212224252345678910111213112[[#This Row],[F25]]</f>
        <v>3880</v>
      </c>
      <c r="G33" s="216" ph="1">
        <f>N19</f>
        <v>16486.798344882001</v>
      </c>
      <c r="H33" s="190" ph="1">
        <f>M19</f>
        <v>18705.285317271999</v>
      </c>
      <c r="I33" s="194" ph="1">
        <v>0</v>
      </c>
      <c r="J33" s="198" ph="1">
        <f>F10+O28</f>
        <v>212600.67118600002</v>
      </c>
      <c r="K33" s="190" ph="1">
        <f>O10+K10+E28+R28</f>
        <v>24313.172562519998</v>
      </c>
      <c r="L33" s="200" ph="1">
        <f>K19</f>
        <v>34001.537068600002</v>
      </c>
      <c r="M33" s="198" ph="1">
        <f>G10+H10+W28+S28+V28+E10+R19+P28+Q28</f>
        <v>473495.54383210005</v>
      </c>
      <c r="N33" s="190" ph="1">
        <f>L10+P10++G28+H28+AD19+AE19</f>
        <v>210231.12301939999</v>
      </c>
      <c r="O33" s="194" ph="1">
        <f>G19</f>
        <v>24251.454698240002</v>
      </c>
      <c r="P33" s="198" ph="1">
        <f>L19</f>
        <v>41236.348308792003</v>
      </c>
      <c r="Q33" s="190" ph="1">
        <f>J10+N10</f>
        <v>158250.30980507997</v>
      </c>
      <c r="R33" s="194" ph="1">
        <f>BE23</f>
        <v>890</v>
      </c>
      <c r="S33" s="198" ph="1">
        <f>X28</f>
        <v>143885.25156999999</v>
      </c>
      <c r="T33" s="190" ph="1">
        <f>X19</f>
        <v>15847.413867840001</v>
      </c>
      <c r="U33" s="179" ph="1">
        <f>BE21</f>
        <v>730</v>
      </c>
      <c r="V33" s="192" ph="1">
        <f ca="1">P19+Q19+S19+M28+N28+J28+D10+AC10+D19+E19+H19+J19+O19+V19+W19+K28+L28</f>
        <v>628571.3055200961</v>
      </c>
      <c r="W33" s="192" ph="1">
        <f>D28+F28+T28+I28</f>
        <v>34234.314534051999</v>
      </c>
      <c r="X33" s="194" ph="1">
        <f>BE29+BE31</f>
        <v>10200</v>
      </c>
      <c r="Y33" s="196" ph="1">
        <f>+Q10+R10+S10+T10+U10+V10+W10+X10+Y10</f>
        <v>207709.5103776</v>
      </c>
      <c r="Z33" s="177" ph="1">
        <f>T19+U19+Y28+Z10</f>
        <v>411688.35399833607</v>
      </c>
      <c r="AA33" s="179" ph="1">
        <f>BE19</f>
        <v>1440</v>
      </c>
      <c r="AB33" s="181" ph="1">
        <f>I19</f>
        <v>25572.819908680001</v>
      </c>
      <c r="AC33" s="183" ph="1">
        <f>AD10+AB19</f>
        <v>84624.575212800002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838" priority="101">
      <formula>ABS(D$7-D$10)&gt;=1000</formula>
    </cfRule>
  </conditionalFormatting>
  <conditionalFormatting sqref="E4 E6:E11">
    <cfRule type="expression" dxfId="1837" priority="100">
      <formula>ABS(E$7-E$10)&gt;=1000</formula>
    </cfRule>
  </conditionalFormatting>
  <conditionalFormatting sqref="F4:F11">
    <cfRule type="expression" dxfId="1836" priority="99">
      <formula>ABS(F$7-F$10)&gt;=1000</formula>
    </cfRule>
  </conditionalFormatting>
  <conditionalFormatting sqref="G4:G11">
    <cfRule type="expression" dxfId="1835" priority="98">
      <formula>ABS(G$7-G$10)&gt;=1000</formula>
    </cfRule>
  </conditionalFormatting>
  <conditionalFormatting sqref="H4:H11">
    <cfRule type="expression" dxfId="1834" priority="97">
      <formula>ABS(H$7-H$10)&gt;=1000</formula>
    </cfRule>
  </conditionalFormatting>
  <conditionalFormatting sqref="I4:I11">
    <cfRule type="expression" dxfId="1833" priority="96">
      <formula>ABS(I$7-I$10)&gt;=1000</formula>
    </cfRule>
  </conditionalFormatting>
  <conditionalFormatting sqref="J4:J11">
    <cfRule type="expression" dxfId="1832" priority="95">
      <formula>ABS(J$7-J$10)&gt;=1000</formula>
    </cfRule>
  </conditionalFormatting>
  <conditionalFormatting sqref="K4:K11">
    <cfRule type="expression" dxfId="1831" priority="94">
      <formula>ABS(K$7-K$10)&gt;=1000</formula>
    </cfRule>
  </conditionalFormatting>
  <conditionalFormatting sqref="L4:L11">
    <cfRule type="expression" dxfId="1830" priority="93">
      <formula>ABS(L$7-L$10)&gt;=1000</formula>
    </cfRule>
  </conditionalFormatting>
  <conditionalFormatting sqref="M4 M6:M11">
    <cfRule type="expression" dxfId="1829" priority="92">
      <formula>ABS(M$7-M$10)&gt;=1000</formula>
    </cfRule>
  </conditionalFormatting>
  <conditionalFormatting sqref="N4 N6:N11">
    <cfRule type="expression" dxfId="1828" priority="91">
      <formula>ABS(N$7-N$10)&gt;=1000</formula>
    </cfRule>
  </conditionalFormatting>
  <conditionalFormatting sqref="O4 O6:O11">
    <cfRule type="expression" dxfId="1827" priority="90">
      <formula>ABS(O$7-O$10)&gt;=1000</formula>
    </cfRule>
  </conditionalFormatting>
  <conditionalFormatting sqref="P4 P6:P11">
    <cfRule type="expression" dxfId="1826" priority="89">
      <formula>ABS(P$7-P$10)&gt;=1000</formula>
    </cfRule>
  </conditionalFormatting>
  <conditionalFormatting sqref="Q4:Q11">
    <cfRule type="expression" dxfId="1825" priority="88">
      <formula>ABS(Q$7-Q$10)&gt;=1000</formula>
    </cfRule>
  </conditionalFormatting>
  <conditionalFormatting sqref="R4:R11">
    <cfRule type="expression" dxfId="1824" priority="87">
      <formula>ABS(R$7-R$10)&gt;=1000</formula>
    </cfRule>
  </conditionalFormatting>
  <conditionalFormatting sqref="S4:S11">
    <cfRule type="expression" dxfId="1823" priority="86">
      <formula>ABS(S$7-S$10)&gt;=1000</formula>
    </cfRule>
  </conditionalFormatting>
  <conditionalFormatting sqref="T4:T9 T11">
    <cfRule type="expression" dxfId="1822" priority="85">
      <formula>ABS(T$7-T$10)&gt;=1000</formula>
    </cfRule>
  </conditionalFormatting>
  <conditionalFormatting sqref="U4:U9 U11">
    <cfRule type="expression" dxfId="1821" priority="84">
      <formula>ABS(U$7-U$10)&gt;=1000</formula>
    </cfRule>
  </conditionalFormatting>
  <conditionalFormatting sqref="V4:V9 V11">
    <cfRule type="expression" dxfId="1820" priority="83">
      <formula>ABS(V$7-V$10)&gt;=1000</formula>
    </cfRule>
  </conditionalFormatting>
  <conditionalFormatting sqref="W4:W9 W11">
    <cfRule type="expression" dxfId="1819" priority="82">
      <formula>ABS(W$7-W$10)&gt;=1000</formula>
    </cfRule>
  </conditionalFormatting>
  <conditionalFormatting sqref="X4:X9 X11">
    <cfRule type="expression" dxfId="1818" priority="81">
      <formula>ABS(X$7-X$10)&gt;=1000</formula>
    </cfRule>
  </conditionalFormatting>
  <conditionalFormatting sqref="Y4:Y9 Y11">
    <cfRule type="expression" dxfId="1817" priority="80">
      <formula>ABS(Y$7-Y$10)&gt;=1000</formula>
    </cfRule>
  </conditionalFormatting>
  <conditionalFormatting sqref="Z4:Z11">
    <cfRule type="expression" dxfId="1816" priority="79">
      <formula>ABS(Z$7-Z$10)&gt;=1000</formula>
    </cfRule>
  </conditionalFormatting>
  <conditionalFormatting sqref="AA4:AA11">
    <cfRule type="expression" dxfId="1815" priority="78">
      <formula>ABS(AA$7-AA$10)&gt;=1000</formula>
    </cfRule>
  </conditionalFormatting>
  <conditionalFormatting sqref="AB4:AB11">
    <cfRule type="expression" dxfId="1814" priority="77">
      <formula>ABS(AB$7-AB$10)&gt;=1000</formula>
    </cfRule>
  </conditionalFormatting>
  <conditionalFormatting sqref="AC4 AC6:AC11">
    <cfRule type="expression" dxfId="1813" priority="76">
      <formula>ABS(AC$7-AC$10)&gt;=1000</formula>
    </cfRule>
  </conditionalFormatting>
  <conditionalFormatting sqref="AD4 AD6:AD11">
    <cfRule type="expression" dxfId="1812" priority="75">
      <formula>ABS(AD$7-AD$10)&gt;=1000</formula>
    </cfRule>
  </conditionalFormatting>
  <conditionalFormatting sqref="AE4 AE6:AE11">
    <cfRule type="expression" dxfId="1811" priority="74">
      <formula>ABS(AE$7-AE$10)&gt;=1000</formula>
    </cfRule>
  </conditionalFormatting>
  <conditionalFormatting sqref="D13:D20">
    <cfRule type="expression" dxfId="1810" priority="73">
      <formula>ABS(D$16-D$19)&gt;=1000</formula>
    </cfRule>
  </conditionalFormatting>
  <conditionalFormatting sqref="E13:E20">
    <cfRule type="expression" dxfId="1809" priority="72">
      <formula>ABS(E$16-E$19)&gt;=1000</formula>
    </cfRule>
  </conditionalFormatting>
  <conditionalFormatting sqref="F13 F15:F20">
    <cfRule type="expression" dxfId="1808" priority="71">
      <formula>ABS(F$16-F$19)&gt;=1000</formula>
    </cfRule>
  </conditionalFormatting>
  <conditionalFormatting sqref="G13:G20">
    <cfRule type="expression" dxfId="1807" priority="70">
      <formula>ABS(G$16-G$19)&gt;=1000</formula>
    </cfRule>
  </conditionalFormatting>
  <conditionalFormatting sqref="H13 H15:H20">
    <cfRule type="expression" dxfId="1806" priority="69">
      <formula>ABS(H$16-H$19)&gt;=1000</formula>
    </cfRule>
  </conditionalFormatting>
  <conditionalFormatting sqref="I13:I20">
    <cfRule type="expression" dxfId="1805" priority="68">
      <formula>ABS(I$16-I$19)&gt;=1000</formula>
    </cfRule>
  </conditionalFormatting>
  <conditionalFormatting sqref="J13:J20">
    <cfRule type="expression" dxfId="1804" priority="67">
      <formula>ABS(J$16-J$19)&gt;=1000</formula>
    </cfRule>
  </conditionalFormatting>
  <conditionalFormatting sqref="L13:L20">
    <cfRule type="expression" dxfId="1803" priority="66">
      <formula>ABS(L$16-L$19)&gt;=1000</formula>
    </cfRule>
  </conditionalFormatting>
  <conditionalFormatting sqref="M13 M15 M17:M18 M20">
    <cfRule type="expression" dxfId="1802" priority="65">
      <formula>ABS(M$16-M$19)&gt;=1000</formula>
    </cfRule>
  </conditionalFormatting>
  <conditionalFormatting sqref="N13:N20">
    <cfRule type="expression" dxfId="1801" priority="64">
      <formula>ABS(N$16-N$19)&gt;=1000</formula>
    </cfRule>
  </conditionalFormatting>
  <conditionalFormatting sqref="O13:O20">
    <cfRule type="expression" dxfId="1800" priority="63">
      <formula>ABS(O$16-O$19)&gt;=1000</formula>
    </cfRule>
  </conditionalFormatting>
  <conditionalFormatting sqref="P13:P20">
    <cfRule type="expression" dxfId="1799" priority="62">
      <formula>ABS(P$16-P$19)&gt;=1000</formula>
    </cfRule>
  </conditionalFormatting>
  <conditionalFormatting sqref="Q13 Q15:Q20">
    <cfRule type="expression" dxfId="1798" priority="61">
      <formula>ABS(Q$16-Q$19)&gt;=1000</formula>
    </cfRule>
  </conditionalFormatting>
  <conditionalFormatting sqref="R13:R20">
    <cfRule type="expression" dxfId="1797" priority="60">
      <formula>ABS(R$16-R$19)&gt;=1000</formula>
    </cfRule>
  </conditionalFormatting>
  <conditionalFormatting sqref="S13:S20">
    <cfRule type="expression" dxfId="1796" priority="59">
      <formula>ABS(S$16-S$19)&gt;=1000</formula>
    </cfRule>
  </conditionalFormatting>
  <conditionalFormatting sqref="T13:T15 T17:T20">
    <cfRule type="expression" dxfId="1795" priority="58">
      <formula>ABS(T$16-T$19)&gt;=1000</formula>
    </cfRule>
  </conditionalFormatting>
  <conditionalFormatting sqref="U13:U20">
    <cfRule type="expression" dxfId="1794" priority="57">
      <formula>ABS(U$16-U$19)&gt;=1000</formula>
    </cfRule>
  </conditionalFormatting>
  <conditionalFormatting sqref="V13:V20">
    <cfRule type="expression" dxfId="1793" priority="56">
      <formula>ABS(V$16-V$19)&gt;=1000</formula>
    </cfRule>
  </conditionalFormatting>
  <conditionalFormatting sqref="W13 W20 W15:W18">
    <cfRule type="expression" dxfId="1792" priority="55">
      <formula>ABS(W$16-W$19)&gt;=1000</formula>
    </cfRule>
  </conditionalFormatting>
  <conditionalFormatting sqref="X13 X15:X20 Y19">
    <cfRule type="expression" dxfId="1791" priority="54">
      <formula>ABS(X$16-X$19)&gt;=1000</formula>
    </cfRule>
  </conditionalFormatting>
  <conditionalFormatting sqref="Y13 Y15:Y18 Y20">
    <cfRule type="expression" dxfId="1790" priority="53">
      <formula>ABS(Y$16-Y$19)&gt;=1000</formula>
    </cfRule>
  </conditionalFormatting>
  <conditionalFormatting sqref="Z13:Z20">
    <cfRule type="expression" dxfId="1789" priority="52">
      <formula>ABS(Z$16-Z$19)&gt;=1000</formula>
    </cfRule>
  </conditionalFormatting>
  <conditionalFormatting sqref="AA13:AA20">
    <cfRule type="expression" dxfId="1788" priority="51">
      <formula>ABS(AA$16-AA$19)&gt;=1000</formula>
    </cfRule>
  </conditionalFormatting>
  <conditionalFormatting sqref="AB13 AB15:AB20">
    <cfRule type="expression" dxfId="1787" priority="50">
      <formula>ABS(AB$16-AB$19)&gt;=1000</formula>
    </cfRule>
  </conditionalFormatting>
  <conditionalFormatting sqref="AC13 AC15:AC20">
    <cfRule type="expression" dxfId="1786" priority="49">
      <formula>ABS(AC$16-AC$19)&gt;=1000</formula>
    </cfRule>
  </conditionalFormatting>
  <conditionalFormatting sqref="AD13:AD20">
    <cfRule type="expression" dxfId="1785" priority="48">
      <formula>ABS(AD$16-AD$19)&gt;=1000</formula>
    </cfRule>
  </conditionalFormatting>
  <conditionalFormatting sqref="AE13:AE20">
    <cfRule type="expression" dxfId="1784" priority="47">
      <formula>ABS(AE$16-AE$19)&gt;=1000</formula>
    </cfRule>
  </conditionalFormatting>
  <conditionalFormatting sqref="D22:D29">
    <cfRule type="expression" dxfId="1783" priority="46">
      <formula>ABS(D$25-D$28)&gt;=1000</formula>
    </cfRule>
  </conditionalFormatting>
  <conditionalFormatting sqref="E22:E29">
    <cfRule type="expression" dxfId="1782" priority="45">
      <formula>ABS(E$25-E$28)&gt;=1000</formula>
    </cfRule>
  </conditionalFormatting>
  <conditionalFormatting sqref="F22:F29">
    <cfRule type="expression" dxfId="1781" priority="44">
      <formula>ABS(F$25-F$28)&gt;=1000</formula>
    </cfRule>
  </conditionalFormatting>
  <conditionalFormatting sqref="G22:G29">
    <cfRule type="expression" dxfId="1780" priority="43">
      <formula>ABS(G$25-G$28)&gt;=1000</formula>
    </cfRule>
  </conditionalFormatting>
  <conditionalFormatting sqref="H22:H29">
    <cfRule type="expression" dxfId="1779" priority="42">
      <formula>ABS(H$25-H$28)&gt;=1000</formula>
    </cfRule>
  </conditionalFormatting>
  <conditionalFormatting sqref="I22 I24:I29">
    <cfRule type="expression" dxfId="1778" priority="41">
      <formula>ABS(I$25-I$28)&gt;=1000</formula>
    </cfRule>
  </conditionalFormatting>
  <conditionalFormatting sqref="J22:J29 K22">
    <cfRule type="expression" dxfId="1777" priority="40">
      <formula>ABS(J$25-J$28)&gt;=1000</formula>
    </cfRule>
  </conditionalFormatting>
  <conditionalFormatting sqref="K23:K29 L25 L28">
    <cfRule type="expression" dxfId="1776" priority="39">
      <formula>ABS(K$25-K$28)&gt;=1000</formula>
    </cfRule>
  </conditionalFormatting>
  <conditionalFormatting sqref="L22 L26:L27 L29 L24">
    <cfRule type="expression" dxfId="1775" priority="38">
      <formula>ABS(L$25-L$28)&gt;=1000</formula>
    </cfRule>
  </conditionalFormatting>
  <conditionalFormatting sqref="M22:M29">
    <cfRule type="expression" dxfId="1774" priority="37">
      <formula>ABS(M$25-M$28)&gt;=1000</formula>
    </cfRule>
  </conditionalFormatting>
  <conditionalFormatting sqref="N22:N29">
    <cfRule type="expression" dxfId="1773" priority="36">
      <formula>ABS(N$25-N$28)&gt;=1000</formula>
    </cfRule>
  </conditionalFormatting>
  <conditionalFormatting sqref="O22:O29">
    <cfRule type="expression" dxfId="1772" priority="35">
      <formula>ABS(O$25-O$28)&gt;=1000</formula>
    </cfRule>
  </conditionalFormatting>
  <conditionalFormatting sqref="P22:P29">
    <cfRule type="expression" dxfId="1771" priority="34">
      <formula>ABS(P$25-P$28)&gt;=1000</formula>
    </cfRule>
  </conditionalFormatting>
  <conditionalFormatting sqref="Q22:Q29">
    <cfRule type="expression" dxfId="1770" priority="33">
      <formula>ABS(Q$25-Q$28)&gt;=1000</formula>
    </cfRule>
  </conditionalFormatting>
  <conditionalFormatting sqref="R22:R29">
    <cfRule type="expression" dxfId="1769" priority="32">
      <formula>ABS(R$25-R$28)&gt;=1000</formula>
    </cfRule>
  </conditionalFormatting>
  <conditionalFormatting sqref="S22:S29">
    <cfRule type="expression" dxfId="1768" priority="31">
      <formula>ABS(S$25-S$28)&gt;=1000</formula>
    </cfRule>
  </conditionalFormatting>
  <conditionalFormatting sqref="T22:T29">
    <cfRule type="expression" dxfId="1767" priority="30">
      <formula>ABS(T$25-T$28)&gt;=1000</formula>
    </cfRule>
  </conditionalFormatting>
  <conditionalFormatting sqref="U22:U29">
    <cfRule type="expression" dxfId="1766" priority="29">
      <formula>ABS(U$25-U$28)&gt;=1000</formula>
    </cfRule>
  </conditionalFormatting>
  <conditionalFormatting sqref="V22:V29">
    <cfRule type="expression" dxfId="1765" priority="28">
      <formula>ABS(V$25-V$28)&gt;=1000</formula>
    </cfRule>
  </conditionalFormatting>
  <conditionalFormatting sqref="W22:W29">
    <cfRule type="expression" dxfId="1764" priority="27">
      <formula>ABS(W$25-W$28)&gt;=1000</formula>
    </cfRule>
  </conditionalFormatting>
  <conditionalFormatting sqref="X22:X29">
    <cfRule type="expression" dxfId="1763" priority="26">
      <formula>ABS(X$25-X$28)&gt;=1000</formula>
    </cfRule>
  </conditionalFormatting>
  <conditionalFormatting sqref="Y22:Y29">
    <cfRule type="expression" dxfId="1762" priority="25">
      <formula>ABS(Y$25-Y$28)&gt;=1000</formula>
    </cfRule>
  </conditionalFormatting>
  <conditionalFormatting sqref="I23">
    <cfRule type="expression" dxfId="1761" priority="24">
      <formula>ABS(I$25-I$28)&gt;=1000</formula>
    </cfRule>
  </conditionalFormatting>
  <conditionalFormatting sqref="Q14">
    <cfRule type="expression" dxfId="1760" priority="23">
      <formula>ABS(Q$16-Q$19)&gt;=1000</formula>
    </cfRule>
  </conditionalFormatting>
  <conditionalFormatting sqref="W14">
    <cfRule type="expression" dxfId="1759" priority="22">
      <formula>ABS(W$16-W$19)&gt;=1000</formula>
    </cfRule>
  </conditionalFormatting>
  <conditionalFormatting sqref="X14">
    <cfRule type="expression" dxfId="1758" priority="21">
      <formula>ABS(X$16-X$19)&gt;=1000</formula>
    </cfRule>
  </conditionalFormatting>
  <conditionalFormatting sqref="T10:Y10">
    <cfRule type="expression" dxfId="1757" priority="20">
      <formula>ABS(T$7-T$10)&gt;=1000</formula>
    </cfRule>
  </conditionalFormatting>
  <conditionalFormatting sqref="W19">
    <cfRule type="expression" dxfId="1756" priority="19">
      <formula>ABS(W$16-W$19)&gt;=1000</formula>
    </cfRule>
  </conditionalFormatting>
  <conditionalFormatting sqref="AC5">
    <cfRule type="expression" dxfId="1755" priority="18">
      <formula>ABS(AC$7-AC$10)&gt;=1000</formula>
    </cfRule>
  </conditionalFormatting>
  <conditionalFormatting sqref="M14">
    <cfRule type="expression" dxfId="1754" priority="17">
      <formula>ABS(M$16-M$19)&gt;=1000</formula>
    </cfRule>
  </conditionalFormatting>
  <conditionalFormatting sqref="M16">
    <cfRule type="expression" dxfId="1753" priority="16">
      <formula>ABS(M$16-M$19)&gt;=1000</formula>
    </cfRule>
  </conditionalFormatting>
  <conditionalFormatting sqref="M19">
    <cfRule type="expression" dxfId="1752" priority="15">
      <formula>ABS(M$16-M$19)&gt;=1000</formula>
    </cfRule>
  </conditionalFormatting>
  <conditionalFormatting sqref="K13:K20">
    <cfRule type="expression" dxfId="1751" priority="14">
      <formula>ABS(K$16-K$19)&gt;=1000</formula>
    </cfRule>
  </conditionalFormatting>
  <conditionalFormatting sqref="E5">
    <cfRule type="expression" dxfId="1750" priority="13">
      <formula>ABS(E$7-E$10)&gt;=1000</formula>
    </cfRule>
  </conditionalFormatting>
  <conditionalFormatting sqref="AB14:AC14">
    <cfRule type="expression" dxfId="1749" priority="12">
      <formula>ABS(AB$16-AB$19)&gt;=1000</formula>
    </cfRule>
  </conditionalFormatting>
  <conditionalFormatting sqref="M5">
    <cfRule type="expression" dxfId="1748" priority="11">
      <formula>ABS(M$7-M$10)&gt;=1000</formula>
    </cfRule>
  </conditionalFormatting>
  <conditionalFormatting sqref="N5">
    <cfRule type="expression" dxfId="1747" priority="10">
      <formula>ABS(N$7-N$10)&gt;=1000</formula>
    </cfRule>
  </conditionalFormatting>
  <conditionalFormatting sqref="O5">
    <cfRule type="expression" dxfId="1746" priority="9">
      <formula>ABS(O$7-O$10)&gt;=1000</formula>
    </cfRule>
  </conditionalFormatting>
  <conditionalFormatting sqref="P5">
    <cfRule type="expression" dxfId="1745" priority="8">
      <formula>ABS(P$7-P$10)&gt;=1000</formula>
    </cfRule>
  </conditionalFormatting>
  <conditionalFormatting sqref="L23">
    <cfRule type="expression" dxfId="1744" priority="7">
      <formula>ABS(L$25-L$28)&gt;=1000</formula>
    </cfRule>
  </conditionalFormatting>
  <conditionalFormatting sqref="Y14">
    <cfRule type="expression" dxfId="1743" priority="6">
      <formula>ABS(Y$16-Y$19)&gt;=1000</formula>
    </cfRule>
  </conditionalFormatting>
  <conditionalFormatting sqref="F14">
    <cfRule type="expression" dxfId="1742" priority="5">
      <formula>ABS(F$16-F$19)&gt;=1000</formula>
    </cfRule>
  </conditionalFormatting>
  <conditionalFormatting sqref="H14">
    <cfRule type="expression" dxfId="1741" priority="4">
      <formula>ABS(H$16-H$19)&gt;=1000</formula>
    </cfRule>
  </conditionalFormatting>
  <conditionalFormatting sqref="AD5">
    <cfRule type="expression" dxfId="1740" priority="3">
      <formula>ABS(AD$7-AD$10)&gt;=1000</formula>
    </cfRule>
  </conditionalFormatting>
  <conditionalFormatting sqref="AE5">
    <cfRule type="expression" dxfId="1739" priority="2">
      <formula>ABS(AE$7-AE$10)&gt;=1000</formula>
    </cfRule>
  </conditionalFormatting>
  <conditionalFormatting sqref="T16">
    <cfRule type="expression" dxfId="1738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0918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1">
    <pageSetUpPr fitToPage="1"/>
  </sheetPr>
  <dimension ref="A1:CU223"/>
  <sheetViews>
    <sheetView view="pageBreakPreview" zoomScale="70" zoomScaleNormal="100" zoomScaleSheetLayoutView="70" workbookViewId="0">
      <selection activeCell="U10" sqref="U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46218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6035</v>
      </c>
      <c r="E6" s="71">
        <v>2342</v>
      </c>
      <c r="F6" s="71">
        <v>5403</v>
      </c>
      <c r="G6" s="71">
        <v>3392</v>
      </c>
      <c r="H6" s="71">
        <v>1113</v>
      </c>
      <c r="I6" s="71">
        <v>38.71</v>
      </c>
      <c r="J6" s="71">
        <v>77.010000000000005</v>
      </c>
      <c r="K6" s="71">
        <v>30.21</v>
      </c>
      <c r="L6" s="71">
        <v>7.01</v>
      </c>
      <c r="M6" s="71">
        <v>4468</v>
      </c>
      <c r="N6" s="71">
        <v>5463</v>
      </c>
      <c r="O6" s="71">
        <v>221</v>
      </c>
      <c r="P6" s="71">
        <v>2518</v>
      </c>
      <c r="Q6" s="71">
        <v>0</v>
      </c>
      <c r="R6" s="71">
        <v>0</v>
      </c>
      <c r="S6" s="71">
        <v>0</v>
      </c>
      <c r="T6" s="71">
        <v>1980</v>
      </c>
      <c r="U6" s="71">
        <v>7149</v>
      </c>
      <c r="V6" s="71">
        <v>7022</v>
      </c>
      <c r="W6" s="71">
        <v>6972</v>
      </c>
      <c r="X6" s="71">
        <v>3150</v>
      </c>
      <c r="Y6" s="71">
        <v>0</v>
      </c>
      <c r="Z6" s="71">
        <v>1504</v>
      </c>
      <c r="AA6" s="71">
        <v>0</v>
      </c>
      <c r="AB6" s="71">
        <v>1771</v>
      </c>
      <c r="AC6" s="71">
        <v>1903</v>
      </c>
      <c r="AD6" s="71">
        <v>4325</v>
      </c>
      <c r="AE6" s="71">
        <v>4873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188910.70451864999</v>
      </c>
      <c r="E7" s="73" ph="1">
        <f>E6*51.53*LOOKUP(E8,密度!$A$2:$A$50,密度!$B$2:$B$50)</f>
        <v>93674.346412000014</v>
      </c>
      <c r="F7" s="73" ph="1">
        <f>F6*33.183*LOOKUP(F8,密度!$A$2:$A$50,密度!$C$2:$C$50)</f>
        <v>198399.82304340001</v>
      </c>
      <c r="G7" s="73" ph="1">
        <f xml:space="preserve"> (G6+2)*51.53*LOOKUP(G8,密度!$A$2:$A$50,密度!$B$2:$B$50)</f>
        <v>135594.40334600001</v>
      </c>
      <c r="H7" s="73" ph="1">
        <f>(H6)*51.53*LOOKUP(H8,密度!$A$2:$A$50,密度!$B$2:$B$50)</f>
        <v>44563.195530000005</v>
      </c>
      <c r="I7" s="73" ph="1">
        <f>I6*290.8*1.0267</f>
        <v>11557.4263756</v>
      </c>
      <c r="J7" s="73" ph="1">
        <f>J6*290.8*0.7892</f>
        <v>17673.745713600001</v>
      </c>
      <c r="K7" s="73" ph="1">
        <f>K6*290.8*1.1126</f>
        <v>9774.2666568000022</v>
      </c>
      <c r="L7" s="73" ph="1">
        <f>L6*290.8*0.777</f>
        <v>1583.9207160000001</v>
      </c>
      <c r="M7" s="73" ph="1">
        <f>M6*33.183*LOOKUP(M8,密度!$A$2:$A$50,密度!$D$2:$D$50)</f>
        <v>151523.40016799999</v>
      </c>
      <c r="N7" s="73" ph="1">
        <f>N6*33.183*LOOKUP(N8,密度!$A$2:$A$50,密度!$E$2:$E$50)</f>
        <v>140962.33967039999</v>
      </c>
      <c r="O7" s="73" ph="1">
        <f>O6*20.428*LOOKUP(O8,密度!$A$2:$A$50,密度!$C$2:$C$50)</f>
        <v>4989.0711987999994</v>
      </c>
      <c r="P7" s="73" ph="1">
        <f>P6*51.53*LOOKUP(P8,密度!$A$2:$A$50,密度!$B$2:$B$50)</f>
        <v>100817.72358000001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13100.095008</v>
      </c>
      <c r="U7" s="73" ph="1">
        <f>U6*1.5*1.5*3.1416*LOOKUP(U8,密度!$A$2:$A$50,密度!$L$2:$L$50)</f>
        <v>47198.215587600003</v>
      </c>
      <c r="V7" s="73" ph="1">
        <f>V6*1.5*1.5*3.1416*LOOKUP(V8,密度!$A$2:$A$50,密度!$L$2:$L$50)</f>
        <v>46359.752392800001</v>
      </c>
      <c r="W7" s="73" ph="1">
        <f>W6*1.5*1.5*3.1416*LOOKUP(W8,密度!$A$2:$A$50,密度!$L$2:$L$50)</f>
        <v>46029.648772799999</v>
      </c>
      <c r="X7" s="73" ph="1">
        <f>X6*1.5*1.5*3.1416*LOOKUP(X8,密度!$A$2:$A$50,密度!$L$2:$L$50)</f>
        <v>20863.32633</v>
      </c>
      <c r="Y7" s="73" ph="1">
        <f>Y6*1.5*1.5*3.1416*LOOKUP(Y8,密度!$A$2:$A$50,密度!$L$2:$L$50)</f>
        <v>0</v>
      </c>
      <c r="Z7" s="73" ph="1">
        <f>Z6*33.183*LOOKUP(Z8,密度!$A$2:$A$50,密度!$L$2:$L$50)</f>
        <v>46563.447456000002</v>
      </c>
      <c r="AA7" s="73" ph="1">
        <f>AA6*33.183*LOOKUP(AA8,密度!$A$2:$A$50,密度!$D$2:$D$50)</f>
        <v>0</v>
      </c>
      <c r="AB7" s="73" ph="1">
        <f>AB6*20.428*LOOKUP(AB8,密度!$A$2:$A$50,密度!$D$2:$D$50)</f>
        <v>37143.940279599999</v>
      </c>
      <c r="AC7" s="73" ph="1">
        <f>AC6*51.53*LOOKUP(AC8,密度!$A$2:$A$50,密度!$Q$2:$Q$50)</f>
        <v>92504.439694699991</v>
      </c>
      <c r="AD7" s="73" ph="1">
        <f>AD6*20.428*LOOKUP(AD8,密度!$A$2:$A$50,密度!$V$2:$V$50)</f>
        <v>84605.013360000012</v>
      </c>
      <c r="AE7" s="73" ph="1">
        <f>AE6*20.428</f>
        <v>99545.644</v>
      </c>
    </row>
    <row r="8" spans="1:99" ph="1">
      <c r="B8" s="241" ph="1"/>
      <c r="C8" s="68" t="s" ph="1">
        <v>179</v>
      </c>
      <c r="D8" s="74">
        <v>30</v>
      </c>
      <c r="E8" s="74">
        <v>29</v>
      </c>
      <c r="F8" s="74">
        <v>28</v>
      </c>
      <c r="G8" s="74">
        <v>30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28</v>
      </c>
      <c r="Q8" s="74">
        <v>31</v>
      </c>
      <c r="R8" s="74">
        <v>34</v>
      </c>
      <c r="S8" s="74">
        <v>28</v>
      </c>
      <c r="T8" s="74">
        <v>26</v>
      </c>
      <c r="U8" s="74">
        <v>28</v>
      </c>
      <c r="V8" s="74">
        <v>28</v>
      </c>
      <c r="W8" s="74">
        <v>28</v>
      </c>
      <c r="X8" s="74">
        <v>25</v>
      </c>
      <c r="Y8" s="74">
        <v>27</v>
      </c>
      <c r="Z8" s="74">
        <v>29</v>
      </c>
      <c r="AA8" s="74">
        <v>31</v>
      </c>
      <c r="AB8" s="74">
        <v>25</v>
      </c>
      <c r="AC8" s="74">
        <v>30</v>
      </c>
      <c r="AD8" s="74">
        <v>27</v>
      </c>
      <c r="AE8" s="74">
        <v>30</v>
      </c>
    </row>
    <row r="9" spans="1:99" ht="26.4" ph="1">
      <c r="B9" s="241" ph="1">
        <v>0.66666666666666663</v>
      </c>
      <c r="C9" s="163" t="s" ph="1">
        <v>180</v>
      </c>
      <c r="D9" s="71">
        <v>6040</v>
      </c>
      <c r="E9" s="71">
        <v>2342</v>
      </c>
      <c r="F9" s="71">
        <v>5179</v>
      </c>
      <c r="G9" s="71">
        <v>3394</v>
      </c>
      <c r="H9" s="71">
        <v>1345</v>
      </c>
      <c r="I9" s="71">
        <v>38.71</v>
      </c>
      <c r="J9" s="71">
        <v>77.209999999999994</v>
      </c>
      <c r="K9" s="71">
        <v>11.92</v>
      </c>
      <c r="L9" s="71">
        <v>86.31</v>
      </c>
      <c r="M9" s="71">
        <v>4469</v>
      </c>
      <c r="N9" s="71">
        <v>5468</v>
      </c>
      <c r="O9" s="71">
        <v>811</v>
      </c>
      <c r="P9" s="71">
        <v>1822</v>
      </c>
      <c r="Q9" s="71">
        <v>0</v>
      </c>
      <c r="R9" s="71">
        <v>0</v>
      </c>
      <c r="S9" s="71">
        <v>0</v>
      </c>
      <c r="T9" s="71">
        <v>0</v>
      </c>
      <c r="U9" s="71">
        <v>4715</v>
      </c>
      <c r="V9" s="71">
        <v>7032</v>
      </c>
      <c r="W9" s="71">
        <v>6985</v>
      </c>
      <c r="X9" s="71">
        <v>7090</v>
      </c>
      <c r="Y9" s="71">
        <v>3726</v>
      </c>
      <c r="Z9" s="71">
        <v>2117</v>
      </c>
      <c r="AA9" s="71">
        <v>0</v>
      </c>
      <c r="AB9" s="71">
        <v>1673</v>
      </c>
      <c r="AC9" s="71">
        <v>2963</v>
      </c>
      <c r="AD9" s="71">
        <v>4325</v>
      </c>
      <c r="AE9" s="71">
        <v>4789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188650.33245000002</v>
      </c>
      <c r="E10" s="73" ph="1">
        <f>E9*51.53*LOOKUP(E11,密度!$A$2:$A$50,密度!$B$2:$B$50)</f>
        <v>93348.501610000007</v>
      </c>
      <c r="F10" s="73" ph="1">
        <f>F9*33.183*LOOKUP(F11,密度!$A$2:$A$50,密度!$C$2:$C$50)</f>
        <v>189555.796971</v>
      </c>
      <c r="G10" s="73" ph="1">
        <f xml:space="preserve"> (G9+2)*51.53*LOOKUP(G11,密度!$A$2:$A$50,密度!$B$2:$B$50)</f>
        <v>135219.31647600001</v>
      </c>
      <c r="H10" s="73" ph="1">
        <f>(H9)*51.53*LOOKUP(H11,密度!$A$2:$A$50,密度!$B$2:$B$50)</f>
        <v>53609.621975000002</v>
      </c>
      <c r="I10" s="73" ph="1">
        <f>I9*290.8*1.0267</f>
        <v>11557.4263756</v>
      </c>
      <c r="J10" s="73" ph="1">
        <f>J9*290.8*0.7892</f>
        <v>17719.645585599999</v>
      </c>
      <c r="K10" s="73" ph="1">
        <f>K9*290.8*1.1126</f>
        <v>3856.6454336000002</v>
      </c>
      <c r="L10" s="73" ph="1">
        <f>L9*290.8*0.777</f>
        <v>19501.882595999999</v>
      </c>
      <c r="M10" s="73" ph="1">
        <f>M9*33.183*LOOKUP(M11,密度!$A$2:$A$50,密度!$D$2:$D$50)</f>
        <v>150252.31871640001</v>
      </c>
      <c r="N10" s="73" ph="1">
        <f>N9*33.183*LOOKUP(N11,密度!$A$2:$A$50,密度!$E$2:$E$50)</f>
        <v>140472.62893835999</v>
      </c>
      <c r="O10" s="73" ph="1">
        <f>O9*20.428*LOOKUP(O11,密度!$A$2:$A$50,密度!$C$2:$C$50)</f>
        <v>18082.998381999998</v>
      </c>
      <c r="P10" s="73" ph="1">
        <f>P9*51.53*LOOKUP(P11,密度!$A$2:$A$50,密度!$B$2:$B$50)</f>
        <v>72622.105009999999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30995.457570000002</v>
      </c>
      <c r="V10" s="73" ph="1">
        <f>V9*1.5*1.5*3.1416*LOOKUP(V11,密度!$A$2:$A$50,密度!$L$2:$L$50)</f>
        <v>46425.773116800003</v>
      </c>
      <c r="W10" s="73" ph="1">
        <f>W9*1.5*1.5*3.1416*LOOKUP(W11,密度!$A$2:$A$50,密度!$L$2:$L$50)</f>
        <v>46016.727372000001</v>
      </c>
      <c r="X10" s="73" ph="1">
        <f>X9*1.5*1.5*3.1416*LOOKUP(X11,密度!$A$2:$A$50,密度!$L$2:$L$50)</f>
        <v>46758.576942</v>
      </c>
      <c r="Y10" s="73" ph="1">
        <f>Y9*1.5*1.5*3.1416*LOOKUP(Y11,密度!$A$2:$A$50,密度!$L$2:$L$50)</f>
        <v>24572.984158800002</v>
      </c>
      <c r="Z10" s="73" ph="1">
        <f>Z9*33.183*LOOKUP(Z11,密度!$A$2:$A$50,密度!$L$2:$L$50)</f>
        <v>65050.028585999993</v>
      </c>
      <c r="AA10" s="73" ph="1">
        <f>AA9*33.183*LOOKUP(AA11,密度!$A$2:$A$50,密度!$D$2:$D$50)</f>
        <v>0</v>
      </c>
      <c r="AB10" s="73" ph="1">
        <f>AB9*20.428*LOOKUP(AB11,密度!$A$2:$A$50,密度!$D$2:$D$50)</f>
        <v>35023.609891200002</v>
      </c>
      <c r="AC10" s="73" ph="1">
        <f>AC9*51.53*LOOKUP(AC11,密度!$A$2:$A$50,密度!$Q$2:$Q$50)</f>
        <v>143612.46980010002</v>
      </c>
      <c r="AD10" s="73" ph="1">
        <f>AD9*20.428*LOOKUP(AD11,密度!$A$2:$A$50,密度!$V$2:$V$50)</f>
        <v>84605.013360000012</v>
      </c>
      <c r="AE10" s="73" ph="1">
        <f>AE9*20.428</f>
        <v>97829.69200000001</v>
      </c>
    </row>
    <row r="11" spans="1:99" ph="1">
      <c r="A11" s="64" t="s" ph="1">
        <v>162</v>
      </c>
      <c r="B11" s="241" ph="1"/>
      <c r="C11" s="163" t="s" ph="1">
        <v>179</v>
      </c>
      <c r="D11" s="74">
        <v>33</v>
      </c>
      <c r="E11" s="74">
        <v>32</v>
      </c>
      <c r="F11" s="74">
        <v>32</v>
      </c>
      <c r="G11" s="74">
        <v>33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33</v>
      </c>
      <c r="O11" s="74">
        <v>43</v>
      </c>
      <c r="P11" s="74">
        <v>32</v>
      </c>
      <c r="Q11" s="74">
        <v>41</v>
      </c>
      <c r="R11" s="74">
        <v>40</v>
      </c>
      <c r="S11" s="74">
        <v>30</v>
      </c>
      <c r="T11" s="74">
        <v>37</v>
      </c>
      <c r="U11" s="74">
        <v>32</v>
      </c>
      <c r="V11" s="74">
        <v>28</v>
      </c>
      <c r="W11" s="74">
        <v>30</v>
      </c>
      <c r="X11" s="74">
        <v>29</v>
      </c>
      <c r="Y11" s="74">
        <v>29</v>
      </c>
      <c r="Z11" s="74">
        <v>36</v>
      </c>
      <c r="AA11" s="74">
        <v>35</v>
      </c>
      <c r="AB11" s="74">
        <v>27</v>
      </c>
      <c r="AC11" s="74">
        <v>34</v>
      </c>
      <c r="AD11" s="74">
        <v>34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2765</v>
      </c>
      <c r="E15" s="78">
        <v>2978</v>
      </c>
      <c r="F15" s="78">
        <v>2951</v>
      </c>
      <c r="G15" s="78">
        <v>3667</v>
      </c>
      <c r="H15" s="78">
        <v>2033</v>
      </c>
      <c r="I15" s="78">
        <v>2782</v>
      </c>
      <c r="J15" s="78">
        <v>238</v>
      </c>
      <c r="K15" s="78">
        <v>3464</v>
      </c>
      <c r="L15" s="78">
        <v>5853</v>
      </c>
      <c r="M15" s="78">
        <v>4099</v>
      </c>
      <c r="N15" s="78">
        <v>363</v>
      </c>
      <c r="O15" s="78">
        <v>5209</v>
      </c>
      <c r="P15" s="78">
        <v>3450</v>
      </c>
      <c r="Q15" s="78">
        <v>2912</v>
      </c>
      <c r="R15" s="78">
        <v>1949</v>
      </c>
      <c r="S15" s="78">
        <v>0</v>
      </c>
      <c r="T15" s="78">
        <v>1078</v>
      </c>
      <c r="U15" s="78">
        <v>4497</v>
      </c>
      <c r="V15" s="78">
        <v>3214</v>
      </c>
      <c r="W15" s="71">
        <v>5000</v>
      </c>
      <c r="X15" s="78">
        <v>1078</v>
      </c>
      <c r="Y15" s="106">
        <v>-9909</v>
      </c>
      <c r="Z15" s="78">
        <v>448</v>
      </c>
      <c r="AA15" s="78">
        <v>2529</v>
      </c>
      <c r="AB15" s="78" ph="1">
        <v>0</v>
      </c>
      <c r="AC15" s="78" ph="1">
        <v>0</v>
      </c>
      <c r="AD15" s="78">
        <v>5.61</v>
      </c>
      <c r="AE15" s="78">
        <v>42.82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18215.640828</v>
      </c>
      <c r="E16" s="73" ph="1">
        <f>E15*7.0686*LOOKUP(E17,密度!$A$2:$A$50,密度!$L$2:$L$50)</f>
        <v>19618.871025600001</v>
      </c>
      <c r="F16" s="73" ph="1">
        <f>F15*9.0746*LOOKUP(F17,密度!$A$2:$A$50,密度!$L$2:$L$50)</f>
        <v>24904.604478000001</v>
      </c>
      <c r="G16" s="73" ph="1">
        <f>G15*9.0746*LOOKUP(G17,密度!$A$2:$A$50,密度!$B$2:$B$50)</f>
        <v>25855.885721400002</v>
      </c>
      <c r="H16" s="73" ph="1">
        <f>H15*9.0746*LOOKUP(H17,密度!$A$2:$A$50,密度!$L$2:$L$50)</f>
        <v>17267.947444800004</v>
      </c>
      <c r="I16" s="73" ph="1">
        <f>I15*9.0746*LOOKUP(I17,密度!$A$2:$A$50,密度!$U$2:$U$50)</f>
        <v>25800.9390184</v>
      </c>
      <c r="J16" s="73" ph="1">
        <f>J15*9.0746*LOOKUP(J17,密度!$A$2:$A$50,密度!$L$2:$L$50)</f>
        <v>2015.0512284000004</v>
      </c>
      <c r="K16" s="73" ph="1">
        <f>K15*9.0746*LOOKUP(K17,密度!$A$2:$A$50,密度!$C$2:$C$50)</f>
        <v>34763.318884960005</v>
      </c>
      <c r="L16" s="73" ph="1">
        <f>L15*9.0746*LOOKUP(L17,密度!$A$2:$A$50,密度!$E$2:$E$50)</f>
        <v>41301.161642879997</v>
      </c>
      <c r="M16" s="73" ph="1">
        <f>M15*9.0746*LOOKUP(M17,密度!$A$2:$A$50,密度!$M$2:$M$50)</f>
        <v>32357.483619459999</v>
      </c>
      <c r="N16" s="73" ph="1">
        <f>N15*9.0746*LOOKUP(N17,密度!$A$2:$A$50,密度!$M$2:$M$50)</f>
        <v>2876.0610733799999</v>
      </c>
      <c r="O16" s="73" ph="1">
        <f>O15*9.0746*LOOKUP(O17,密度!$A$2:$A$50,密度!$G$2:$G$50)</f>
        <v>45128.278909579996</v>
      </c>
      <c r="P16" s="73" ph="1">
        <f ca="1">P15*9.0746*LOOKUP(P17,密度!$A$2:$A$51,密度!$Q$2:$Q$50)</f>
        <v>29533.181342100001</v>
      </c>
      <c r="Q16" s="73" ph="1">
        <f>Q15*9.0746*LOOKUP(Q17,密度!$A$2:$A$50,密度!$Q$2:$Q$50)</f>
        <v>24927.717121215999</v>
      </c>
      <c r="R16" s="73" ph="1">
        <f>MAX(R15*9.0746*LOOKUP(R17,密度!$A$2:$A$50,密度!$B$2:$B$50),0)</f>
        <v>13712.262353620001</v>
      </c>
      <c r="S16" s="73" ph="1">
        <f>S15*9.0746*LOOKUP(S17,密度!$A$2:$A$50,密度!$Q$2:$Q$50)</f>
        <v>0</v>
      </c>
      <c r="T16" s="73" ph="1">
        <f>T15*9.0746*LOOKUP(T17,密度!$A$2:$A$50,密度!$O$2:$O$50)</f>
        <v>9058.5198087999997</v>
      </c>
      <c r="U16" s="73" ph="1">
        <f>U15*9.0746*LOOKUP(U17,密度!$A$2:$A$50,密度!$H$2:$H$50)</f>
        <v>37217.330294400002</v>
      </c>
      <c r="V16" s="73" ph="1">
        <f>MAX(5600*LOOKUP(V17,密度!$A$2:$A$50,密度!$Q$2:$Q$50)+V15*9.0476*LOOKUP(V17,密度!$A$2:$A$50,密度!$Q$2:$Q$50),0)</f>
        <v>32664.137290159997</v>
      </c>
      <c r="W16" s="73" ph="1">
        <f>MAX(5600*LOOKUP(W17,密度!$A$2:$A$50,密度!$Q$2:$Q$50)+W15*9.0476*LOOKUP(W17,密度!$A$2:$A$50,密度!$Q$2:$Q$50),0)</f>
        <v>47918.88203999999</v>
      </c>
      <c r="X16" s="73" ph="1">
        <f>MAX(5600*LOOKUP(X17,密度!$A$2:$A$50,密度!$I$2:$I$50)+X15*9.0476*LOOKUP(X17,密度!$A$2:$A$50,密度!$I$2:$I$50),0)</f>
        <v>15916.779379759999</v>
      </c>
      <c r="Y16" s="107" ph="1">
        <v>0</v>
      </c>
      <c r="Z16" s="73" ph="1">
        <f>Z15*9.0746*LOOKUP(Z17,密度!$A$2:$A$50,密度!$D$2:$D$50)</f>
        <v>4158.5189363199997</v>
      </c>
      <c r="AA16" s="73" ph="1">
        <f>AA15*9.0746*LOOKUP(AA17,密度!$A$2:$A$50,密度!$B$2:$B$50)</f>
        <v>17813.528731080001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10190.056176959999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32</v>
      </c>
      <c r="G17" s="74">
        <v>28</v>
      </c>
      <c r="H17" s="74">
        <v>26</v>
      </c>
      <c r="I17" s="74">
        <v>28</v>
      </c>
      <c r="J17" s="74">
        <v>29</v>
      </c>
      <c r="K17" s="74">
        <v>29</v>
      </c>
      <c r="L17" s="74">
        <v>30</v>
      </c>
      <c r="M17" s="74">
        <v>30</v>
      </c>
      <c r="N17" s="74">
        <v>27</v>
      </c>
      <c r="O17" s="74">
        <v>30</v>
      </c>
      <c r="P17" s="74">
        <v>30</v>
      </c>
      <c r="Q17" s="74">
        <v>30</v>
      </c>
      <c r="R17" s="74">
        <v>30</v>
      </c>
      <c r="S17" s="74">
        <v>28</v>
      </c>
      <c r="T17" s="74">
        <v>28</v>
      </c>
      <c r="U17" s="74">
        <v>28</v>
      </c>
      <c r="V17" s="74">
        <v>32</v>
      </c>
      <c r="W17" s="74">
        <v>31</v>
      </c>
      <c r="X17" s="74">
        <v>30</v>
      </c>
      <c r="Y17" s="108">
        <v>30</v>
      </c>
      <c r="Z17" s="74">
        <v>29</v>
      </c>
      <c r="AA17" s="74">
        <v>29</v>
      </c>
      <c r="AB17" s="74">
        <v>29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591</v>
      </c>
      <c r="E18" s="71">
        <v>4059</v>
      </c>
      <c r="F18" s="71">
        <v>2949</v>
      </c>
      <c r="G18" s="71">
        <v>3779</v>
      </c>
      <c r="H18" s="71">
        <v>2035</v>
      </c>
      <c r="I18" s="71">
        <v>2785</v>
      </c>
      <c r="J18" s="71">
        <v>259</v>
      </c>
      <c r="K18" s="71">
        <v>3480</v>
      </c>
      <c r="L18" s="71">
        <v>5867</v>
      </c>
      <c r="M18" s="71">
        <v>4664</v>
      </c>
      <c r="N18" s="71">
        <v>931</v>
      </c>
      <c r="O18" s="71">
        <v>2504</v>
      </c>
      <c r="P18" s="71">
        <v>3454</v>
      </c>
      <c r="Q18" s="71">
        <v>2915</v>
      </c>
      <c r="R18" s="71">
        <v>1950</v>
      </c>
      <c r="S18" s="71">
        <v>0</v>
      </c>
      <c r="T18" s="71">
        <v>1078</v>
      </c>
      <c r="U18" s="71">
        <v>4497</v>
      </c>
      <c r="V18" s="71">
        <v>3214</v>
      </c>
      <c r="W18" s="71">
        <v>5001</v>
      </c>
      <c r="X18" s="71">
        <v>1077</v>
      </c>
      <c r="Y18" s="109">
        <v>-9909</v>
      </c>
      <c r="Z18" s="71">
        <v>52</v>
      </c>
      <c r="AA18" s="71">
        <v>2532</v>
      </c>
      <c r="AB18" s="71">
        <v>0</v>
      </c>
      <c r="AC18" s="71">
        <v>0</v>
      </c>
      <c r="AD18" s="71">
        <v>15.21</v>
      </c>
      <c r="AE18" s="71">
        <v>84.52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3885.1146180000001</v>
      </c>
      <c r="E19" s="73" ph="1">
        <f>E18*7.0686*LOOKUP(E20,密度!$A$2:$A$50,密度!$L$2:$L$50)</f>
        <v>26683.046082000001</v>
      </c>
      <c r="F19" s="73" ph="1">
        <f>F18*9.0746*LOOKUP(F20,密度!$A$2:$A$50,密度!$L$2:$L$50)</f>
        <v>24673.6377588</v>
      </c>
      <c r="G19" s="73" ph="1">
        <f>G18*9.0746*LOOKUP(G20,密度!$A$2:$A$50,密度!$B$2:$B$50)</f>
        <v>26556.432136959997</v>
      </c>
      <c r="H19" s="73" ph="1">
        <f>H18*9.0746*LOOKUP(H20,密度!$A$2:$A$50,密度!$L$2:$L$50)</f>
        <v>17229.534663000002</v>
      </c>
      <c r="I19" s="73" ph="1">
        <f>I18*9.0746*LOOKUP(I20,密度!$A$2:$A$50,密度!$U$2:$U$50)</f>
        <v>25520.434057800005</v>
      </c>
      <c r="J19" s="73" ph="1">
        <f>J18*9.0746*LOOKUP(J20,密度!$A$2:$A$50,密度!$L$2:$L$50)</f>
        <v>2162.2956880000002</v>
      </c>
      <c r="K19" s="73" ph="1">
        <f>K18*9.0746*LOOKUP(K20,密度!$A$2:$A$50,密度!$C$2:$C$50)</f>
        <v>34765.990447199998</v>
      </c>
      <c r="L19" s="73" ph="1">
        <f>L18*9.0746*LOOKUP(L20,密度!$A$2:$A$50,密度!$E$2:$E$50)</f>
        <v>41278.562622024001</v>
      </c>
      <c r="M19" s="73" ph="1">
        <f>M18*9.0746*LOOKUP(M20,密度!$A$2:$A$50,密度!$M$2:$M$50)</f>
        <v>36640.676488768004</v>
      </c>
      <c r="N19" s="73" ph="1">
        <f>N18*9.0746*LOOKUP(N20,密度!$A$2:$A$50,密度!$M$2:$M$50)</f>
        <v>7340.6070105620011</v>
      </c>
      <c r="O19" s="73" ph="1">
        <f>O18*9.0746*LOOKUP(O20,密度!$A$2:$A$50,密度!$G$2:$G$50)</f>
        <v>21622.333273487999</v>
      </c>
      <c r="P19" s="73" ph="1">
        <f ca="1">P18*9.0746*LOOKUP(P20,密度!$A$2:$A$51,密度!$Q$2:$Q$50)</f>
        <v>29543.914960472001</v>
      </c>
      <c r="Q19" s="73" ph="1">
        <f>Q18*9.0746*LOOKUP(Q20,密度!$A$2:$A$50,密度!$Q$2:$Q$50)</f>
        <v>24898.377033749999</v>
      </c>
      <c r="R19" s="73" ph="1">
        <f>MAX(R18*9.0746*LOOKUP(R20,密度!$A$2:$A$50,密度!$B$2:$B$50),0)</f>
        <v>13687.446045000001</v>
      </c>
      <c r="S19" s="73" ph="1">
        <f>S18*9.0746*LOOKUP(S20,密度!$A$2:$A$50,密度!$Q$2:$Q$50)</f>
        <v>0</v>
      </c>
      <c r="T19" s="73" ph="1">
        <f>T18*9.0746*LOOKUP(T20,密度!$A$2:$A$50,密度!$O$2:$O$50)</f>
        <v>8995.9123284799989</v>
      </c>
      <c r="U19" s="73" ph="1">
        <f>U18*9.0746*LOOKUP(U20,密度!$A$2:$A$50,密度!$H$2:$H$50)</f>
        <v>37057.361067696002</v>
      </c>
      <c r="V19" s="73" ph="1">
        <f>MAX(5600*LOOKUP(V20,密度!$A$2:$A$50,密度!$Q$2:$Q$50)+V18*9.0476*LOOKUP(V20,密度!$A$2:$A$50,密度!$Q$2:$Q$50),0)</f>
        <v>32573.971925519996</v>
      </c>
      <c r="W19" s="73" ph="1">
        <f>MAX(5600*LOOKUP(W20,密度!$A$2:$A$50,密度!$Q$2:$Q$50)+W18*9.0476*LOOKUP(W20,密度!$A$2:$A$50,密度!$Q$2:$Q$50),0)</f>
        <v>47826.224502084006</v>
      </c>
      <c r="X19" s="73" ph="1">
        <f>MAX(5600*LOOKUP(X20,密度!$A$2:$A$50,密度!$I$2:$I$50)+X18*9.0476*LOOKUP(X20,密度!$A$2:$A$50,密度!$I$2:$I$50),0)</f>
        <v>15873.642349400001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480.18427392000007</v>
      </c>
      <c r="AA19" s="73" ph="1">
        <f>AA18*9.0746*LOOKUP(AA20,密度!$A$2:$A$50,密度!$B$2:$B$50)</f>
        <v>17712.882342480003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4392.0879156000001</v>
      </c>
      <c r="AE19" s="73" ph="1">
        <f>AE18*268.68*LOOKUP(AE20,密度!$A$2:$A$50,密度!B5:B53)+IF(AE18&lt;=0,0,1566*LOOKUP(AE20,密度!$A$2:$A$50,密度!B5:B53))</f>
        <v>18861.545707199999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40</v>
      </c>
      <c r="G20" s="81">
        <v>31</v>
      </c>
      <c r="H20" s="81">
        <v>29</v>
      </c>
      <c r="I20" s="81">
        <v>41</v>
      </c>
      <c r="J20" s="81">
        <v>42</v>
      </c>
      <c r="K20" s="81">
        <v>34</v>
      </c>
      <c r="L20" s="81">
        <v>32</v>
      </c>
      <c r="M20" s="81">
        <v>34</v>
      </c>
      <c r="N20" s="81">
        <v>31</v>
      </c>
      <c r="O20" s="81">
        <v>33</v>
      </c>
      <c r="P20" s="81">
        <v>31</v>
      </c>
      <c r="Q20" s="81">
        <v>33</v>
      </c>
      <c r="R20" s="81">
        <v>32</v>
      </c>
      <c r="S20" s="81">
        <v>35</v>
      </c>
      <c r="T20" s="81">
        <v>35</v>
      </c>
      <c r="U20" s="81">
        <v>32</v>
      </c>
      <c r="V20" s="81">
        <v>36</v>
      </c>
      <c r="W20" s="81">
        <v>34</v>
      </c>
      <c r="X20" s="81">
        <v>32</v>
      </c>
      <c r="Y20" s="110">
        <v>32</v>
      </c>
      <c r="Z20" s="81">
        <v>35</v>
      </c>
      <c r="AA20" s="81">
        <v>35</v>
      </c>
      <c r="AB20" s="81">
        <v>35</v>
      </c>
      <c r="AC20" s="81">
        <v>35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6.51</v>
      </c>
      <c r="E24" s="71">
        <v>5.82</v>
      </c>
      <c r="F24" s="71">
        <v>270</v>
      </c>
      <c r="G24" s="71">
        <v>3362</v>
      </c>
      <c r="H24" s="71">
        <v>3762</v>
      </c>
      <c r="I24" s="71">
        <v>927</v>
      </c>
      <c r="J24" s="71">
        <v>663</v>
      </c>
      <c r="K24" s="71">
        <v>2002</v>
      </c>
      <c r="L24" s="71">
        <v>302</v>
      </c>
      <c r="M24" s="71">
        <v>327</v>
      </c>
      <c r="N24" s="71">
        <v>2654</v>
      </c>
      <c r="O24" s="71">
        <v>342</v>
      </c>
      <c r="P24" s="71">
        <v>369</v>
      </c>
      <c r="Q24" s="90">
        <v>2250</v>
      </c>
      <c r="R24" s="71">
        <v>348</v>
      </c>
      <c r="S24" s="71">
        <v>3861</v>
      </c>
      <c r="T24" s="71">
        <v>390</v>
      </c>
      <c r="U24" s="71">
        <v>4201</v>
      </c>
      <c r="V24" s="71">
        <v>883</v>
      </c>
      <c r="W24" s="71">
        <v>413</v>
      </c>
      <c r="X24" s="71">
        <v>2971</v>
      </c>
      <c r="Y24" s="71">
        <v>7941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3138.5442118319997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2984.5646747999999</v>
      </c>
      <c r="G25" s="91" ph="1">
        <f>G24*18.322*LOOKUP(G26,密度!$A$2:$A$50,密度!$B$2:$B$50)</f>
        <v>47917.522935599998</v>
      </c>
      <c r="H25" s="91" ph="1">
        <f>H24*18.322*LOOKUP(H26,密度!$A$2:$A$50,密度!$B$2:$B$50)</f>
        <v>53556.561828000005</v>
      </c>
      <c r="I25" s="91" ph="1">
        <f>I24*18.322*LOOKUP(I26,密度!$A$2:$A$50,密度!$Q$2:$Q$50)</f>
        <v>16043.892722279999</v>
      </c>
      <c r="J25" s="91" ph="1">
        <f>J24*18.322*LOOKUP(J26,密度!$A$2:$A$50,密度!$Q$2:$Q$50)</f>
        <v>11483.26146552</v>
      </c>
      <c r="K25" s="91" ph="1">
        <f>K24*18.322*LOOKUP(K26,密度!$A$2:$A$50,密度!$Q$2:$Q$50)</f>
        <v>34649.269935279997</v>
      </c>
      <c r="L25" s="91" ph="1">
        <f>L24*18.322*LOOKUP(L26,密度!$A$2:$A$50,密度!$Q$2:$Q$50)</f>
        <v>5222.9950089200001</v>
      </c>
      <c r="M25" s="91" ph="1">
        <f>M24*18.322*LOOKUP(M26,密度!$A$2:$A$50,密度!$Q$2:$Q$50)</f>
        <v>5663.69004408</v>
      </c>
      <c r="N25" s="91" ph="1">
        <f>N24*18.322*LOOKUP(N26,密度!$A$2:$A$50,密度!$Q$2:$Q$50)</f>
        <v>45967.686168159998</v>
      </c>
      <c r="O25" s="91" ph="1">
        <f>O24*18.322*LOOKUP(O26,密度!$A$2:$A$50,密度!$C$2:$C$50)</f>
        <v>6934.0928184000004</v>
      </c>
      <c r="P25" s="91" ph="1">
        <f>P24*11.702*LOOKUP(P26,密度!$A$2:$A$50,密度!$B$2:$B$50)</f>
        <v>3355.1155259999996</v>
      </c>
      <c r="Q25" s="92" ph="1">
        <f>Q24*18.322*LOOKUP(Q26,密度!$A$2:$A$50,密度!$B$2:$B$50)</f>
        <v>32068.538550000001</v>
      </c>
      <c r="R25" s="91" ph="1">
        <f>R24*35.891*LOOKUP(R26,密度!$A$2:$A$50,密度!$C$2:$C$50)</f>
        <v>13821.509248799999</v>
      </c>
      <c r="S25" s="91" ph="1">
        <f>S24*35.891*LOOKUP(S26,密度!$A$2:$A$50,密度!$B$2:$B$50)</f>
        <v>107672.89232699999</v>
      </c>
      <c r="T25" s="91" ph="1">
        <f>T24*35.891*LOOKUP(T26,密度!$A$2:$A$50,密度!$Q$2:$Q$50)</f>
        <v>13212.650735700001</v>
      </c>
      <c r="U25" s="91" ph="1">
        <f>U24*35.891</f>
        <v>150778.09099999999</v>
      </c>
      <c r="V25" s="91" ph="1">
        <f>V24*47.051*LOOKUP(V26,密度!$A$2:$A$50,密度!$B$2:$B$50)</f>
        <v>32248.030814600002</v>
      </c>
      <c r="W25" s="91" ph="1">
        <f>W24*47.051*LOOKUP(W26,密度!$A$2:$A$50,密度!$B$2:$B$50)</f>
        <v>15065.678443900002</v>
      </c>
      <c r="X25" s="91" ph="1">
        <f>X24*47.051*LOOKUP(X26,密度!$A$2:$A$61,密度!$I$2:$I$61)</f>
        <v>144457.45760140003</v>
      </c>
      <c r="Y25" s="91" ph="1">
        <f>Y24*47.051*LOOKUP(Y26,密度!$A$2:$A$50,密度!$L$2:$L$50)</f>
        <v>348972.27959400008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27</v>
      </c>
      <c r="H26" s="74">
        <v>28</v>
      </c>
      <c r="I26" s="74">
        <v>28</v>
      </c>
      <c r="J26" s="74">
        <v>27</v>
      </c>
      <c r="K26" s="74">
        <v>28</v>
      </c>
      <c r="L26" s="74">
        <v>29</v>
      </c>
      <c r="M26" s="74">
        <v>27</v>
      </c>
      <c r="N26" s="74">
        <v>27</v>
      </c>
      <c r="O26" s="74">
        <v>28</v>
      </c>
      <c r="P26" s="74">
        <v>28</v>
      </c>
      <c r="Q26" s="93">
        <v>27</v>
      </c>
      <c r="R26" s="74">
        <v>28</v>
      </c>
      <c r="S26" s="74">
        <v>28</v>
      </c>
      <c r="T26" s="74">
        <v>29</v>
      </c>
      <c r="U26" s="74">
        <v>28</v>
      </c>
      <c r="V26" s="74">
        <v>29</v>
      </c>
      <c r="W26" s="74">
        <v>30</v>
      </c>
      <c r="X26" s="74">
        <v>33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44.71</v>
      </c>
      <c r="E27" s="71">
        <v>5.81</v>
      </c>
      <c r="F27" s="71">
        <v>289</v>
      </c>
      <c r="G27" s="71">
        <v>2815</v>
      </c>
      <c r="H27" s="71">
        <v>3218</v>
      </c>
      <c r="I27" s="71">
        <v>925</v>
      </c>
      <c r="J27" s="71">
        <v>659</v>
      </c>
      <c r="K27" s="71">
        <v>1494</v>
      </c>
      <c r="L27" s="71">
        <v>296</v>
      </c>
      <c r="M27" s="71">
        <v>322</v>
      </c>
      <c r="N27" s="71">
        <v>2652</v>
      </c>
      <c r="O27" s="71">
        <v>339</v>
      </c>
      <c r="P27" s="71">
        <v>366</v>
      </c>
      <c r="Q27" s="90">
        <v>2517</v>
      </c>
      <c r="R27" s="71">
        <v>346</v>
      </c>
      <c r="S27" s="71">
        <v>3453</v>
      </c>
      <c r="T27" s="71">
        <v>388</v>
      </c>
      <c r="U27" s="71">
        <v>4165</v>
      </c>
      <c r="V27" s="71">
        <v>880</v>
      </c>
      <c r="W27" s="71">
        <v>411</v>
      </c>
      <c r="X27" s="71">
        <v>3446</v>
      </c>
      <c r="Y27" s="71">
        <v>7766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12855.482154072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3190.2269737400002</v>
      </c>
      <c r="G28" s="91" ph="1">
        <f>G27*18.322*LOOKUP(G29,密度!$A$2:$A$50,密度!$B$2:$B$50)</f>
        <v>39940.787391999998</v>
      </c>
      <c r="H28" s="91" ph="1">
        <f>H27*18.322*LOOKUP(H29,密度!$A$2:$A$50,密度!$B$2:$B$50)</f>
        <v>45605.711605999997</v>
      </c>
      <c r="I28" s="91" ph="1">
        <f>I27*18.322*LOOKUP(I29,密度!$A$2:$A$50,密度!$Q$2:$Q$50)</f>
        <v>15974.704452999998</v>
      </c>
      <c r="J28" s="91" ph="1">
        <f>J27*18.322*LOOKUP(J29,密度!$A$2:$A$50,密度!$Q$2:$Q$50)</f>
        <v>11380.89755084</v>
      </c>
      <c r="K28" s="91" ph="1">
        <f>K27*18.322*LOOKUP(K29,密度!$A$2:$A$50,密度!$Q$2:$Q$50)</f>
        <v>25782.6927492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5556.912359599999</v>
      </c>
      <c r="N28" s="91" ph="1">
        <f>N27*18.322*LOOKUP(N29,密度!$A$2:$A$50,密度!$Q$2:$Q$50)</f>
        <v>45735.284789999998</v>
      </c>
      <c r="O28" s="91" ph="1">
        <f>O27*18.322*LOOKUP(O29,密度!$A$2:$A$50,密度!$C$2:$C$50)</f>
        <v>6850.9072739999992</v>
      </c>
      <c r="P28" s="91" ph="1">
        <f>P27*11.702*LOOKUP(P29,密度!$A$2:$A$50,密度!$B$2:$B$50)</f>
        <v>3316.7025408</v>
      </c>
      <c r="Q28" s="92" ph="1">
        <f>Q27*18.322*LOOKUP(Q29,密度!$A$2:$A$50,密度!$B$2:$B$50)</f>
        <v>35671.092638999995</v>
      </c>
      <c r="R28" s="91" ph="1">
        <f>R27*35.891*LOOKUP(R29,密度!$A$2:$A$50,密度!$C$2:$C$50)</f>
        <v>13711.0295726</v>
      </c>
      <c r="S28" s="91" ph="1">
        <f>S27*35.891*LOOKUP(S29,密度!$A$2:$A$50,密度!$B$2:$B$50)</f>
        <v>95861.110390499991</v>
      </c>
      <c r="T28" s="91" ph="1">
        <f>T27*35.891*LOOKUP(T29,密度!$A$2:$A$50,密度!$Q$2:$Q$50)</f>
        <v>13126.093846639998</v>
      </c>
      <c r="U28" s="91" ph="1">
        <f>U27*35.891</f>
        <v>149486.01499999998</v>
      </c>
      <c r="V28" s="91" ph="1">
        <f>V27*47.051*LOOKUP(V29,密度!$A$2:$A$50,密度!$B$2:$B$50)</f>
        <v>32026.674680000004</v>
      </c>
      <c r="W28" s="91" ph="1">
        <f>W27*47.051*LOOKUP(W29,密度!$A$2:$A$50,密度!$B$2:$B$50)</f>
        <v>14957.912833499999</v>
      </c>
      <c r="X28" s="91" ph="1">
        <f>X27*47.051*LOOKUP(X29,密度!$A$2:$A$61,密度!$I$2:$I$61)</f>
        <v>167180.22990060001</v>
      </c>
      <c r="Y28" s="91" ph="1">
        <f>Y27*47.051*LOOKUP(Y29,密度!$A$2:$A$50,密度!$L$2:$L$50)</f>
        <v>339820.20137999998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32</v>
      </c>
      <c r="I29" s="74">
        <v>31</v>
      </c>
      <c r="J29" s="74">
        <v>31</v>
      </c>
      <c r="K29" s="74">
        <v>32</v>
      </c>
      <c r="L29" s="74">
        <v>31</v>
      </c>
      <c r="M29" s="74">
        <v>32</v>
      </c>
      <c r="N29" s="74">
        <v>33</v>
      </c>
      <c r="O29" s="74">
        <v>32</v>
      </c>
      <c r="P29" s="74">
        <v>31</v>
      </c>
      <c r="Q29" s="93">
        <v>32</v>
      </c>
      <c r="R29" s="74">
        <v>31</v>
      </c>
      <c r="S29" s="74">
        <v>32</v>
      </c>
      <c r="T29" s="74">
        <v>31</v>
      </c>
      <c r="U29" s="74">
        <v>32</v>
      </c>
      <c r="V29" s="74">
        <v>32</v>
      </c>
      <c r="W29" s="74">
        <v>32</v>
      </c>
      <c r="X29" s="74">
        <v>35</v>
      </c>
      <c r="Y29" s="74">
        <v>32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35503.794165120002</v>
      </c>
      <c r="E33" s="190" ph="1">
        <f>M10+I10</f>
        <v>161809.745092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1522252632456786910111213141516171819202123456789101112131415161718192022232424356789101112131415161718192021222345678910111213141516171819202345678910111213149101516171819222123234567891012131415161711181920212224252345678910111213113[[#This Row],[F25]]</f>
        <v>3880</v>
      </c>
      <c r="G33" s="216" ph="1">
        <f>N19</f>
        <v>7340.6070105620011</v>
      </c>
      <c r="H33" s="190" ph="1">
        <f>M19</f>
        <v>36640.676488768004</v>
      </c>
      <c r="I33" s="194" ph="1">
        <v>0</v>
      </c>
      <c r="J33" s="198" ph="1">
        <f>F10+O28</f>
        <v>196406.704245</v>
      </c>
      <c r="K33" s="190" ph="1">
        <f>O10+K10+E28+R28</f>
        <v>39118.237842319999</v>
      </c>
      <c r="L33" s="200" ph="1">
        <f>K19</f>
        <v>34765.990447199998</v>
      </c>
      <c r="M33" s="198" ph="1">
        <f>G10+H10+W28+S28+V28+E10+R19+P28+Q28</f>
        <v>477698.37918979995</v>
      </c>
      <c r="N33" s="190" ph="1">
        <f>L10+P10++G28+H28+AD19+AE19</f>
        <v>200924.12022679998</v>
      </c>
      <c r="O33" s="194" ph="1">
        <f>G19</f>
        <v>26556.432136959997</v>
      </c>
      <c r="P33" s="198" ph="1">
        <f>L19</f>
        <v>41278.562622024001</v>
      </c>
      <c r="Q33" s="190" ph="1">
        <f>J10+N10</f>
        <v>158192.27452395999</v>
      </c>
      <c r="R33" s="194" ph="1">
        <f>BE23</f>
        <v>890</v>
      </c>
      <c r="S33" s="198" ph="1">
        <f>X28</f>
        <v>167180.22990060001</v>
      </c>
      <c r="T33" s="190" ph="1">
        <f>X19</f>
        <v>15873.642349400001</v>
      </c>
      <c r="U33" s="179" ph="1">
        <f>BE21</f>
        <v>730</v>
      </c>
      <c r="V33" s="192" ph="1">
        <f ca="1">P19+Q19+S19+M28+N28+J28+D10+AC10+D19+E19+H19+J19+O19+V19+W19+K28+L28</f>
        <v>632255.307871014</v>
      </c>
      <c r="W33" s="192" ph="1">
        <f>D28+F28+T28+I28</f>
        <v>45146.507427452001</v>
      </c>
      <c r="X33" s="194" ph="1">
        <f>BE29+BE31</f>
        <v>10200</v>
      </c>
      <c r="Y33" s="196" ph="1">
        <f>+Q10+R10+S10+T10+U10+V10+W10+X10+Y10</f>
        <v>194769.51915959999</v>
      </c>
      <c r="Z33" s="177" ph="1">
        <f>T19+U19+Y28+Z10</f>
        <v>450923.50336217595</v>
      </c>
      <c r="AA33" s="179" ph="1">
        <f>BE19</f>
        <v>1440</v>
      </c>
      <c r="AB33" s="181" ph="1">
        <f>I19</f>
        <v>25520.434057800005</v>
      </c>
      <c r="AC33" s="183" ph="1">
        <f>AD10+AB19</f>
        <v>84605.013360000012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707" priority="101">
      <formula>ABS(D$7-D$10)&gt;=1000</formula>
    </cfRule>
  </conditionalFormatting>
  <conditionalFormatting sqref="E4 E6:E11">
    <cfRule type="expression" dxfId="1706" priority="100">
      <formula>ABS(E$7-E$10)&gt;=1000</formula>
    </cfRule>
  </conditionalFormatting>
  <conditionalFormatting sqref="F4:F11">
    <cfRule type="expression" dxfId="1705" priority="99">
      <formula>ABS(F$7-F$10)&gt;=1000</formula>
    </cfRule>
  </conditionalFormatting>
  <conditionalFormatting sqref="G4:G11">
    <cfRule type="expression" dxfId="1704" priority="98">
      <formula>ABS(G$7-G$10)&gt;=1000</formula>
    </cfRule>
  </conditionalFormatting>
  <conditionalFormatting sqref="H4:H11">
    <cfRule type="expression" dxfId="1703" priority="97">
      <formula>ABS(H$7-H$10)&gt;=1000</formula>
    </cfRule>
  </conditionalFormatting>
  <conditionalFormatting sqref="I4:I11">
    <cfRule type="expression" dxfId="1702" priority="96">
      <formula>ABS(I$7-I$10)&gt;=1000</formula>
    </cfRule>
  </conditionalFormatting>
  <conditionalFormatting sqref="J4:J11">
    <cfRule type="expression" dxfId="1701" priority="95">
      <formula>ABS(J$7-J$10)&gt;=1000</formula>
    </cfRule>
  </conditionalFormatting>
  <conditionalFormatting sqref="K4:K11">
    <cfRule type="expression" dxfId="1700" priority="94">
      <formula>ABS(K$7-K$10)&gt;=1000</formula>
    </cfRule>
  </conditionalFormatting>
  <conditionalFormatting sqref="L4:L11">
    <cfRule type="expression" dxfId="1699" priority="93">
      <formula>ABS(L$7-L$10)&gt;=1000</formula>
    </cfRule>
  </conditionalFormatting>
  <conditionalFormatting sqref="M4 M6:M11">
    <cfRule type="expression" dxfId="1698" priority="92">
      <formula>ABS(M$7-M$10)&gt;=1000</formula>
    </cfRule>
  </conditionalFormatting>
  <conditionalFormatting sqref="N4 N6:N11">
    <cfRule type="expression" dxfId="1697" priority="91">
      <formula>ABS(N$7-N$10)&gt;=1000</formula>
    </cfRule>
  </conditionalFormatting>
  <conditionalFormatting sqref="O4 O6:O11">
    <cfRule type="expression" dxfId="1696" priority="90">
      <formula>ABS(O$7-O$10)&gt;=1000</formula>
    </cfRule>
  </conditionalFormatting>
  <conditionalFormatting sqref="P4 P6:P11">
    <cfRule type="expression" dxfId="1695" priority="89">
      <formula>ABS(P$7-P$10)&gt;=1000</formula>
    </cfRule>
  </conditionalFormatting>
  <conditionalFormatting sqref="Q4:Q11">
    <cfRule type="expression" dxfId="1694" priority="88">
      <formula>ABS(Q$7-Q$10)&gt;=1000</formula>
    </cfRule>
  </conditionalFormatting>
  <conditionalFormatting sqref="R4:R11">
    <cfRule type="expression" dxfId="1693" priority="87">
      <formula>ABS(R$7-R$10)&gt;=1000</formula>
    </cfRule>
  </conditionalFormatting>
  <conditionalFormatting sqref="S4:S11">
    <cfRule type="expression" dxfId="1692" priority="86">
      <formula>ABS(S$7-S$10)&gt;=1000</formula>
    </cfRule>
  </conditionalFormatting>
  <conditionalFormatting sqref="T4:T9 T11">
    <cfRule type="expression" dxfId="1691" priority="85">
      <formula>ABS(T$7-T$10)&gt;=1000</formula>
    </cfRule>
  </conditionalFormatting>
  <conditionalFormatting sqref="U4:U9 U11">
    <cfRule type="expression" dxfId="1690" priority="84">
      <formula>ABS(U$7-U$10)&gt;=1000</formula>
    </cfRule>
  </conditionalFormatting>
  <conditionalFormatting sqref="V4:V9 V11">
    <cfRule type="expression" dxfId="1689" priority="83">
      <formula>ABS(V$7-V$10)&gt;=1000</formula>
    </cfRule>
  </conditionalFormatting>
  <conditionalFormatting sqref="W4:W9 W11">
    <cfRule type="expression" dxfId="1688" priority="82">
      <formula>ABS(W$7-W$10)&gt;=1000</formula>
    </cfRule>
  </conditionalFormatting>
  <conditionalFormatting sqref="X4:X9 X11">
    <cfRule type="expression" dxfId="1687" priority="81">
      <formula>ABS(X$7-X$10)&gt;=1000</formula>
    </cfRule>
  </conditionalFormatting>
  <conditionalFormatting sqref="Y4:Y9 Y11">
    <cfRule type="expression" dxfId="1686" priority="80">
      <formula>ABS(Y$7-Y$10)&gt;=1000</formula>
    </cfRule>
  </conditionalFormatting>
  <conditionalFormatting sqref="Z4:Z11">
    <cfRule type="expression" dxfId="1685" priority="79">
      <formula>ABS(Z$7-Z$10)&gt;=1000</formula>
    </cfRule>
  </conditionalFormatting>
  <conditionalFormatting sqref="AA4:AA11">
    <cfRule type="expression" dxfId="1684" priority="78">
      <formula>ABS(AA$7-AA$10)&gt;=1000</formula>
    </cfRule>
  </conditionalFormatting>
  <conditionalFormatting sqref="AB4:AB11">
    <cfRule type="expression" dxfId="1683" priority="77">
      <formula>ABS(AB$7-AB$10)&gt;=1000</formula>
    </cfRule>
  </conditionalFormatting>
  <conditionalFormatting sqref="AC4 AC6:AC11">
    <cfRule type="expression" dxfId="1682" priority="76">
      <formula>ABS(AC$7-AC$10)&gt;=1000</formula>
    </cfRule>
  </conditionalFormatting>
  <conditionalFormatting sqref="AD4 AD6:AD11">
    <cfRule type="expression" dxfId="1681" priority="75">
      <formula>ABS(AD$7-AD$10)&gt;=1000</formula>
    </cfRule>
  </conditionalFormatting>
  <conditionalFormatting sqref="AE4 AE6:AE11">
    <cfRule type="expression" dxfId="1680" priority="74">
      <formula>ABS(AE$7-AE$10)&gt;=1000</formula>
    </cfRule>
  </conditionalFormatting>
  <conditionalFormatting sqref="D13:D20">
    <cfRule type="expression" dxfId="1679" priority="73">
      <formula>ABS(D$16-D$19)&gt;=1000</formula>
    </cfRule>
  </conditionalFormatting>
  <conditionalFormatting sqref="E13:E20">
    <cfRule type="expression" dxfId="1678" priority="72">
      <formula>ABS(E$16-E$19)&gt;=1000</formula>
    </cfRule>
  </conditionalFormatting>
  <conditionalFormatting sqref="F13 F15:F20">
    <cfRule type="expression" dxfId="1677" priority="71">
      <formula>ABS(F$16-F$19)&gt;=1000</formula>
    </cfRule>
  </conditionalFormatting>
  <conditionalFormatting sqref="G13:G20">
    <cfRule type="expression" dxfId="1676" priority="70">
      <formula>ABS(G$16-G$19)&gt;=1000</formula>
    </cfRule>
  </conditionalFormatting>
  <conditionalFormatting sqref="H13 H15:H20">
    <cfRule type="expression" dxfId="1675" priority="69">
      <formula>ABS(H$16-H$19)&gt;=1000</formula>
    </cfRule>
  </conditionalFormatting>
  <conditionalFormatting sqref="I13:I20">
    <cfRule type="expression" dxfId="1674" priority="68">
      <formula>ABS(I$16-I$19)&gt;=1000</formula>
    </cfRule>
  </conditionalFormatting>
  <conditionalFormatting sqref="J13:J20">
    <cfRule type="expression" dxfId="1673" priority="67">
      <formula>ABS(J$16-J$19)&gt;=1000</formula>
    </cfRule>
  </conditionalFormatting>
  <conditionalFormatting sqref="L13:L20">
    <cfRule type="expression" dxfId="1672" priority="66">
      <formula>ABS(L$16-L$19)&gt;=1000</formula>
    </cfRule>
  </conditionalFormatting>
  <conditionalFormatting sqref="M13 M15 M17:M18 M20">
    <cfRule type="expression" dxfId="1671" priority="65">
      <formula>ABS(M$16-M$19)&gt;=1000</formula>
    </cfRule>
  </conditionalFormatting>
  <conditionalFormatting sqref="N13:N20">
    <cfRule type="expression" dxfId="1670" priority="64">
      <formula>ABS(N$16-N$19)&gt;=1000</formula>
    </cfRule>
  </conditionalFormatting>
  <conditionalFormatting sqref="O13:O20">
    <cfRule type="expression" dxfId="1669" priority="63">
      <formula>ABS(O$16-O$19)&gt;=1000</formula>
    </cfRule>
  </conditionalFormatting>
  <conditionalFormatting sqref="P13:P20">
    <cfRule type="expression" dxfId="1668" priority="62">
      <formula>ABS(P$16-P$19)&gt;=1000</formula>
    </cfRule>
  </conditionalFormatting>
  <conditionalFormatting sqref="Q13 Q15:Q20">
    <cfRule type="expression" dxfId="1667" priority="61">
      <formula>ABS(Q$16-Q$19)&gt;=1000</formula>
    </cfRule>
  </conditionalFormatting>
  <conditionalFormatting sqref="R13:R20">
    <cfRule type="expression" dxfId="1666" priority="60">
      <formula>ABS(R$16-R$19)&gt;=1000</formula>
    </cfRule>
  </conditionalFormatting>
  <conditionalFormatting sqref="S13:S20">
    <cfRule type="expression" dxfId="1665" priority="59">
      <formula>ABS(S$16-S$19)&gt;=1000</formula>
    </cfRule>
  </conditionalFormatting>
  <conditionalFormatting sqref="T13:T15 T17:T20">
    <cfRule type="expression" dxfId="1664" priority="58">
      <formula>ABS(T$16-T$19)&gt;=1000</formula>
    </cfRule>
  </conditionalFormatting>
  <conditionalFormatting sqref="U13:U20">
    <cfRule type="expression" dxfId="1663" priority="57">
      <formula>ABS(U$16-U$19)&gt;=1000</formula>
    </cfRule>
  </conditionalFormatting>
  <conditionalFormatting sqref="V13:V20">
    <cfRule type="expression" dxfId="1662" priority="56">
      <formula>ABS(V$16-V$19)&gt;=1000</formula>
    </cfRule>
  </conditionalFormatting>
  <conditionalFormatting sqref="W13 W20 W15:W18">
    <cfRule type="expression" dxfId="1661" priority="55">
      <formula>ABS(W$16-W$19)&gt;=1000</formula>
    </cfRule>
  </conditionalFormatting>
  <conditionalFormatting sqref="X13 X15:X20 Y19">
    <cfRule type="expression" dxfId="1660" priority="54">
      <formula>ABS(X$16-X$19)&gt;=1000</formula>
    </cfRule>
  </conditionalFormatting>
  <conditionalFormatting sqref="Y13 Y15:Y18 Y20">
    <cfRule type="expression" dxfId="1659" priority="53">
      <formula>ABS(Y$16-Y$19)&gt;=1000</formula>
    </cfRule>
  </conditionalFormatting>
  <conditionalFormatting sqref="Z13:Z20">
    <cfRule type="expression" dxfId="1658" priority="52">
      <formula>ABS(Z$16-Z$19)&gt;=1000</formula>
    </cfRule>
  </conditionalFormatting>
  <conditionalFormatting sqref="AA13:AA20">
    <cfRule type="expression" dxfId="1657" priority="51">
      <formula>ABS(AA$16-AA$19)&gt;=1000</formula>
    </cfRule>
  </conditionalFormatting>
  <conditionalFormatting sqref="AB13 AB15:AB20">
    <cfRule type="expression" dxfId="1656" priority="50">
      <formula>ABS(AB$16-AB$19)&gt;=1000</formula>
    </cfRule>
  </conditionalFormatting>
  <conditionalFormatting sqref="AC13 AC15:AC20">
    <cfRule type="expression" dxfId="1655" priority="49">
      <formula>ABS(AC$16-AC$19)&gt;=1000</formula>
    </cfRule>
  </conditionalFormatting>
  <conditionalFormatting sqref="AD13:AD20">
    <cfRule type="expression" dxfId="1654" priority="48">
      <formula>ABS(AD$16-AD$19)&gt;=1000</formula>
    </cfRule>
  </conditionalFormatting>
  <conditionalFormatting sqref="AE13:AE20">
    <cfRule type="expression" dxfId="1653" priority="47">
      <formula>ABS(AE$16-AE$19)&gt;=1000</formula>
    </cfRule>
  </conditionalFormatting>
  <conditionalFormatting sqref="D22:D29">
    <cfRule type="expression" dxfId="1652" priority="46">
      <formula>ABS(D$25-D$28)&gt;=1000</formula>
    </cfRule>
  </conditionalFormatting>
  <conditionalFormatting sqref="E22:E29">
    <cfRule type="expression" dxfId="1651" priority="45">
      <formula>ABS(E$25-E$28)&gt;=1000</formula>
    </cfRule>
  </conditionalFormatting>
  <conditionalFormatting sqref="F22:F29">
    <cfRule type="expression" dxfId="1650" priority="44">
      <formula>ABS(F$25-F$28)&gt;=1000</formula>
    </cfRule>
  </conditionalFormatting>
  <conditionalFormatting sqref="G22:G29">
    <cfRule type="expression" dxfId="1649" priority="43">
      <formula>ABS(G$25-G$28)&gt;=1000</formula>
    </cfRule>
  </conditionalFormatting>
  <conditionalFormatting sqref="H22:H29">
    <cfRule type="expression" dxfId="1648" priority="42">
      <formula>ABS(H$25-H$28)&gt;=1000</formula>
    </cfRule>
  </conditionalFormatting>
  <conditionalFormatting sqref="I22 I24:I29">
    <cfRule type="expression" dxfId="1647" priority="41">
      <formula>ABS(I$25-I$28)&gt;=1000</formula>
    </cfRule>
  </conditionalFormatting>
  <conditionalFormatting sqref="J22:J29 K22">
    <cfRule type="expression" dxfId="1646" priority="40">
      <formula>ABS(J$25-J$28)&gt;=1000</formula>
    </cfRule>
  </conditionalFormatting>
  <conditionalFormatting sqref="K23:K29 L25 L28">
    <cfRule type="expression" dxfId="1645" priority="39">
      <formula>ABS(K$25-K$28)&gt;=1000</formula>
    </cfRule>
  </conditionalFormatting>
  <conditionalFormatting sqref="L22 L26:L27 L29 L24">
    <cfRule type="expression" dxfId="1644" priority="38">
      <formula>ABS(L$25-L$28)&gt;=1000</formula>
    </cfRule>
  </conditionalFormatting>
  <conditionalFormatting sqref="M22:M29">
    <cfRule type="expression" dxfId="1643" priority="37">
      <formula>ABS(M$25-M$28)&gt;=1000</formula>
    </cfRule>
  </conditionalFormatting>
  <conditionalFormatting sqref="N22:N29">
    <cfRule type="expression" dxfId="1642" priority="36">
      <formula>ABS(N$25-N$28)&gt;=1000</formula>
    </cfRule>
  </conditionalFormatting>
  <conditionalFormatting sqref="O22:O29">
    <cfRule type="expression" dxfId="1641" priority="35">
      <formula>ABS(O$25-O$28)&gt;=1000</formula>
    </cfRule>
  </conditionalFormatting>
  <conditionalFormatting sqref="P22:P29">
    <cfRule type="expression" dxfId="1640" priority="34">
      <formula>ABS(P$25-P$28)&gt;=1000</formula>
    </cfRule>
  </conditionalFormatting>
  <conditionalFormatting sqref="Q22:Q29">
    <cfRule type="expression" dxfId="1639" priority="33">
      <formula>ABS(Q$25-Q$28)&gt;=1000</formula>
    </cfRule>
  </conditionalFormatting>
  <conditionalFormatting sqref="R22:R29">
    <cfRule type="expression" dxfId="1638" priority="32">
      <formula>ABS(R$25-R$28)&gt;=1000</formula>
    </cfRule>
  </conditionalFormatting>
  <conditionalFormatting sqref="S22:S29">
    <cfRule type="expression" dxfId="1637" priority="31">
      <formula>ABS(S$25-S$28)&gt;=1000</formula>
    </cfRule>
  </conditionalFormatting>
  <conditionalFormatting sqref="T22:T29">
    <cfRule type="expression" dxfId="1636" priority="30">
      <formula>ABS(T$25-T$28)&gt;=1000</formula>
    </cfRule>
  </conditionalFormatting>
  <conditionalFormatting sqref="U22:U29">
    <cfRule type="expression" dxfId="1635" priority="29">
      <formula>ABS(U$25-U$28)&gt;=1000</formula>
    </cfRule>
  </conditionalFormatting>
  <conditionalFormatting sqref="V22:V29">
    <cfRule type="expression" dxfId="1634" priority="28">
      <formula>ABS(V$25-V$28)&gt;=1000</formula>
    </cfRule>
  </conditionalFormatting>
  <conditionalFormatting sqref="W22:W29">
    <cfRule type="expression" dxfId="1633" priority="27">
      <formula>ABS(W$25-W$28)&gt;=1000</formula>
    </cfRule>
  </conditionalFormatting>
  <conditionalFormatting sqref="X22:X29">
    <cfRule type="expression" dxfId="1632" priority="26">
      <formula>ABS(X$25-X$28)&gt;=1000</formula>
    </cfRule>
  </conditionalFormatting>
  <conditionalFormatting sqref="Y22:Y29">
    <cfRule type="expression" dxfId="1631" priority="25">
      <formula>ABS(Y$25-Y$28)&gt;=1000</formula>
    </cfRule>
  </conditionalFormatting>
  <conditionalFormatting sqref="I23">
    <cfRule type="expression" dxfId="1630" priority="24">
      <formula>ABS(I$25-I$28)&gt;=1000</formula>
    </cfRule>
  </conditionalFormatting>
  <conditionalFormatting sqref="Q14">
    <cfRule type="expression" dxfId="1629" priority="23">
      <formula>ABS(Q$16-Q$19)&gt;=1000</formula>
    </cfRule>
  </conditionalFormatting>
  <conditionalFormatting sqref="W14">
    <cfRule type="expression" dxfId="1628" priority="22">
      <formula>ABS(W$16-W$19)&gt;=1000</formula>
    </cfRule>
  </conditionalFormatting>
  <conditionalFormatting sqref="X14">
    <cfRule type="expression" dxfId="1627" priority="21">
      <formula>ABS(X$16-X$19)&gt;=1000</formula>
    </cfRule>
  </conditionalFormatting>
  <conditionalFormatting sqref="T10:Y10">
    <cfRule type="expression" dxfId="1626" priority="20">
      <formula>ABS(T$7-T$10)&gt;=1000</formula>
    </cfRule>
  </conditionalFormatting>
  <conditionalFormatting sqref="W19">
    <cfRule type="expression" dxfId="1625" priority="19">
      <formula>ABS(W$16-W$19)&gt;=1000</formula>
    </cfRule>
  </conditionalFormatting>
  <conditionalFormatting sqref="AC5">
    <cfRule type="expression" dxfId="1624" priority="18">
      <formula>ABS(AC$7-AC$10)&gt;=1000</formula>
    </cfRule>
  </conditionalFormatting>
  <conditionalFormatting sqref="M14">
    <cfRule type="expression" dxfId="1623" priority="17">
      <formula>ABS(M$16-M$19)&gt;=1000</formula>
    </cfRule>
  </conditionalFormatting>
  <conditionalFormatting sqref="M16">
    <cfRule type="expression" dxfId="1622" priority="16">
      <formula>ABS(M$16-M$19)&gt;=1000</formula>
    </cfRule>
  </conditionalFormatting>
  <conditionalFormatting sqref="M19">
    <cfRule type="expression" dxfId="1621" priority="15">
      <formula>ABS(M$16-M$19)&gt;=1000</formula>
    </cfRule>
  </conditionalFormatting>
  <conditionalFormatting sqref="K13:K20">
    <cfRule type="expression" dxfId="1620" priority="14">
      <formula>ABS(K$16-K$19)&gt;=1000</formula>
    </cfRule>
  </conditionalFormatting>
  <conditionalFormatting sqref="E5">
    <cfRule type="expression" dxfId="1619" priority="13">
      <formula>ABS(E$7-E$10)&gt;=1000</formula>
    </cfRule>
  </conditionalFormatting>
  <conditionalFormatting sqref="AB14:AC14">
    <cfRule type="expression" dxfId="1618" priority="12">
      <formula>ABS(AB$16-AB$19)&gt;=1000</formula>
    </cfRule>
  </conditionalFormatting>
  <conditionalFormatting sqref="M5">
    <cfRule type="expression" dxfId="1617" priority="11">
      <formula>ABS(M$7-M$10)&gt;=1000</formula>
    </cfRule>
  </conditionalFormatting>
  <conditionalFormatting sqref="N5">
    <cfRule type="expression" dxfId="1616" priority="10">
      <formula>ABS(N$7-N$10)&gt;=1000</formula>
    </cfRule>
  </conditionalFormatting>
  <conditionalFormatting sqref="O5">
    <cfRule type="expression" dxfId="1615" priority="9">
      <formula>ABS(O$7-O$10)&gt;=1000</formula>
    </cfRule>
  </conditionalFormatting>
  <conditionalFormatting sqref="P5">
    <cfRule type="expression" dxfId="1614" priority="8">
      <formula>ABS(P$7-P$10)&gt;=1000</formula>
    </cfRule>
  </conditionalFormatting>
  <conditionalFormatting sqref="L23">
    <cfRule type="expression" dxfId="1613" priority="7">
      <formula>ABS(L$25-L$28)&gt;=1000</formula>
    </cfRule>
  </conditionalFormatting>
  <conditionalFormatting sqref="Y14">
    <cfRule type="expression" dxfId="1612" priority="6">
      <formula>ABS(Y$16-Y$19)&gt;=1000</formula>
    </cfRule>
  </conditionalFormatting>
  <conditionalFormatting sqref="F14">
    <cfRule type="expression" dxfId="1611" priority="5">
      <formula>ABS(F$16-F$19)&gt;=1000</formula>
    </cfRule>
  </conditionalFormatting>
  <conditionalFormatting sqref="H14">
    <cfRule type="expression" dxfId="1610" priority="4">
      <formula>ABS(H$16-H$19)&gt;=1000</formula>
    </cfRule>
  </conditionalFormatting>
  <conditionalFormatting sqref="AD5">
    <cfRule type="expression" dxfId="1609" priority="3">
      <formula>ABS(AD$7-AD$10)&gt;=1000</formula>
    </cfRule>
  </conditionalFormatting>
  <conditionalFormatting sqref="AE5">
    <cfRule type="expression" dxfId="1608" priority="2">
      <formula>ABS(AE$7-AE$10)&gt;=1000</formula>
    </cfRule>
  </conditionalFormatting>
  <conditionalFormatting sqref="T16">
    <cfRule type="expression" dxfId="1607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020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2">
    <pageSetUpPr fitToPage="1"/>
  </sheetPr>
  <dimension ref="A1:CU223"/>
  <sheetViews>
    <sheetView view="pageBreakPreview" topLeftCell="E14" zoomScale="70" zoomScaleNormal="100" zoomScaleSheetLayoutView="70" workbookViewId="0">
      <selection activeCell="Y28" sqref="Y2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46219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6036</v>
      </c>
      <c r="E6" s="71">
        <v>2343</v>
      </c>
      <c r="F6" s="71">
        <v>5096</v>
      </c>
      <c r="G6" s="71">
        <v>3394</v>
      </c>
      <c r="H6" s="71">
        <v>1678</v>
      </c>
      <c r="I6" s="71">
        <v>38.72</v>
      </c>
      <c r="J6" s="71">
        <v>77.02</v>
      </c>
      <c r="K6" s="71">
        <v>10.71</v>
      </c>
      <c r="L6" s="71">
        <v>6.41</v>
      </c>
      <c r="M6" s="71">
        <v>4469</v>
      </c>
      <c r="N6" s="71">
        <v>5463</v>
      </c>
      <c r="O6" s="71">
        <v>812</v>
      </c>
      <c r="P6" s="71">
        <v>2175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2118</v>
      </c>
      <c r="W6" s="71">
        <v>6980</v>
      </c>
      <c r="X6" s="71">
        <v>7090</v>
      </c>
      <c r="Y6" s="71">
        <v>3727</v>
      </c>
      <c r="Z6" s="71">
        <v>4102</v>
      </c>
      <c r="AA6" s="71">
        <v>0</v>
      </c>
      <c r="AB6" s="71">
        <v>1674</v>
      </c>
      <c r="AC6" s="71">
        <v>3127</v>
      </c>
      <c r="AD6" s="71">
        <v>4329</v>
      </c>
      <c r="AE6" s="71">
        <v>4808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188942.00703804</v>
      </c>
      <c r="E7" s="73" ph="1">
        <f>E6*51.53*LOOKUP(E8,密度!$A$2:$A$50,密度!$B$2:$B$50)</f>
        <v>93714.343998000011</v>
      </c>
      <c r="F7" s="73" ph="1">
        <f>F6*33.183*LOOKUP(F8,密度!$A$2:$A$50,密度!$C$2:$C$50)</f>
        <v>187126.68854880001</v>
      </c>
      <c r="G7" s="73" ph="1">
        <f xml:space="preserve"> (G6+2)*51.53*LOOKUP(G8,密度!$A$2:$A$50,密度!$B$2:$B$50)</f>
        <v>135674.30576399999</v>
      </c>
      <c r="H7" s="73" ph="1">
        <f>(H6)*51.53*LOOKUP(H8,密度!$A$2:$A$50,密度!$B$2:$B$50)</f>
        <v>67262.943786000003</v>
      </c>
      <c r="I7" s="73" ph="1">
        <f>I6*290.8*1.0267</f>
        <v>11560.412019199999</v>
      </c>
      <c r="J7" s="73" ph="1">
        <f>J6*290.8*0.7892</f>
        <v>17676.040707200002</v>
      </c>
      <c r="K7" s="73" ph="1">
        <f>K6*290.8*1.1126</f>
        <v>3465.1570968000005</v>
      </c>
      <c r="L7" s="73" ph="1">
        <f>L6*290.8*0.777</f>
        <v>1448.3497560000001</v>
      </c>
      <c r="M7" s="73" ph="1">
        <f>M6*33.183*LOOKUP(M8,密度!$A$2:$A$50,密度!$D$2:$D$50)</f>
        <v>151557.31319399999</v>
      </c>
      <c r="N7" s="73" ph="1">
        <f>N6*33.183*LOOKUP(N8,密度!$A$2:$A$50,密度!$E$2:$E$50)</f>
        <v>140962.33967039999</v>
      </c>
      <c r="O7" s="73" ph="1">
        <f>O6*20.428*LOOKUP(O8,密度!$A$2:$A$50,密度!$C$2:$C$50)</f>
        <v>18314.298497600001</v>
      </c>
      <c r="P7" s="73" ph="1">
        <f>P6*51.53*LOOKUP(P8,密度!$A$2:$A$50,密度!$B$2:$B$50)</f>
        <v>87084.411749999999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13983.1893432</v>
      </c>
      <c r="W7" s="73" ph="1">
        <f>W6*1.5*1.5*3.1416*LOOKUP(W8,密度!$A$2:$A$50,密度!$L$2:$L$50)</f>
        <v>46033.126524000007</v>
      </c>
      <c r="X7" s="73" ph="1">
        <f>X6*1.5*1.5*3.1416*LOOKUP(X8,密度!$A$2:$A$50,密度!$L$2:$L$50)</f>
        <v>46959.042437999997</v>
      </c>
      <c r="Y7" s="73" ph="1">
        <f>Y6*1.5*1.5*3.1416*LOOKUP(Y8,密度!$A$2:$A$50,密度!$L$2:$L$50)</f>
        <v>24605.923834800004</v>
      </c>
      <c r="Z7" s="73" ph="1">
        <f>Z6*33.183*LOOKUP(Z8,密度!$A$2:$A$50,密度!$L$2:$L$50)</f>
        <v>126860.732712</v>
      </c>
      <c r="AA7" s="73" ph="1">
        <f>AA6*33.183*LOOKUP(AA8,密度!$A$2:$A$50,密度!$D$2:$D$50)</f>
        <v>0</v>
      </c>
      <c r="AB7" s="73" ph="1">
        <f>AB6*20.428*LOOKUP(AB8,密度!$A$2:$A$50,密度!$D$2:$D$50)</f>
        <v>35109.517802399998</v>
      </c>
      <c r="AC7" s="73" ph="1">
        <f>AC6*51.53*LOOKUP(AC8,密度!$A$2:$A$50,密度!$Q$2:$Q$50)</f>
        <v>152099.5092383</v>
      </c>
      <c r="AD7" s="73" ph="1">
        <f>AD6*20.428*LOOKUP(AD8,密度!$A$2:$A$50,密度!$V$2:$V$50)</f>
        <v>84683.260771200003</v>
      </c>
      <c r="AE7" s="73" ph="1">
        <f>AE6*20.428</f>
        <v>98217.824000000008</v>
      </c>
    </row>
    <row r="8" spans="1:99" ph="1">
      <c r="B8" s="241" ph="1"/>
      <c r="C8" s="68" t="s" ph="1">
        <v>179</v>
      </c>
      <c r="D8" s="74">
        <v>30</v>
      </c>
      <c r="E8" s="74">
        <v>29</v>
      </c>
      <c r="F8" s="74">
        <v>28</v>
      </c>
      <c r="G8" s="74">
        <v>30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31</v>
      </c>
      <c r="P8" s="74">
        <v>28</v>
      </c>
      <c r="Q8" s="74">
        <v>30</v>
      </c>
      <c r="R8" s="74">
        <v>35</v>
      </c>
      <c r="S8" s="74">
        <v>28</v>
      </c>
      <c r="T8" s="74">
        <v>24</v>
      </c>
      <c r="U8" s="74">
        <v>29</v>
      </c>
      <c r="V8" s="74">
        <v>28</v>
      </c>
      <c r="W8" s="74">
        <v>29</v>
      </c>
      <c r="X8" s="74">
        <v>25</v>
      </c>
      <c r="Y8" s="74">
        <v>28</v>
      </c>
      <c r="Z8" s="74">
        <v>30</v>
      </c>
      <c r="AA8" s="74">
        <v>32</v>
      </c>
      <c r="AB8" s="74">
        <v>25</v>
      </c>
      <c r="AC8" s="74">
        <v>29</v>
      </c>
      <c r="AD8" s="74">
        <v>27</v>
      </c>
      <c r="AE8" s="74">
        <v>29</v>
      </c>
    </row>
    <row r="9" spans="1:99" ht="26.4" ph="1">
      <c r="B9" s="241" ph="1">
        <v>0.66666666666666663</v>
      </c>
      <c r="C9" s="163" t="s" ph="1">
        <v>180</v>
      </c>
      <c r="D9" s="71">
        <v>6041</v>
      </c>
      <c r="E9" s="71">
        <v>2343</v>
      </c>
      <c r="F9" s="71">
        <v>5697</v>
      </c>
      <c r="G9" s="71">
        <v>3394</v>
      </c>
      <c r="H9" s="71">
        <v>1787</v>
      </c>
      <c r="I9" s="71">
        <v>38.71</v>
      </c>
      <c r="J9" s="71">
        <v>77.209999999999994</v>
      </c>
      <c r="K9" s="71">
        <v>32.409999999999997</v>
      </c>
      <c r="L9" s="71">
        <v>73.819999999999993</v>
      </c>
      <c r="M9" s="71">
        <v>4470</v>
      </c>
      <c r="N9" s="71">
        <v>5425</v>
      </c>
      <c r="O9" s="71">
        <v>809</v>
      </c>
      <c r="P9" s="71">
        <v>1664</v>
      </c>
      <c r="Q9" s="71">
        <v>2748</v>
      </c>
      <c r="R9" s="71">
        <v>0</v>
      </c>
      <c r="S9" s="71">
        <v>0</v>
      </c>
      <c r="T9" s="71">
        <v>0</v>
      </c>
      <c r="U9" s="71">
        <v>0</v>
      </c>
      <c r="V9" s="71">
        <v>0</v>
      </c>
      <c r="W9" s="71">
        <v>5833</v>
      </c>
      <c r="X9" s="71">
        <v>7099</v>
      </c>
      <c r="Y9" s="71">
        <v>6548</v>
      </c>
      <c r="Z9" s="71">
        <v>2263</v>
      </c>
      <c r="AA9" s="71">
        <v>0</v>
      </c>
      <c r="AB9" s="71">
        <v>1674</v>
      </c>
      <c r="AC9" s="71">
        <v>4212</v>
      </c>
      <c r="AD9" s="71">
        <v>4333</v>
      </c>
      <c r="AE9" s="71">
        <v>4690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188681.56594875001</v>
      </c>
      <c r="E10" s="73" ph="1">
        <f>E9*51.53*LOOKUP(E11,密度!$A$2:$A$50,密度!$B$2:$B$50)</f>
        <v>93291.772233000011</v>
      </c>
      <c r="F10" s="73" ph="1">
        <f>F9*33.183*LOOKUP(F11,密度!$A$2:$A$50,密度!$C$2:$C$50)</f>
        <v>208325.99320200001</v>
      </c>
      <c r="G10" s="73" ph="1">
        <f xml:space="preserve"> (G9+2)*51.53*LOOKUP(G11,密度!$A$2:$A$50,密度!$B$2:$B$50)</f>
        <v>135219.31647600001</v>
      </c>
      <c r="H10" s="73" ph="1">
        <f>(H9)*51.53*LOOKUP(H11,密度!$A$2:$A$50,密度!$B$2:$B$50)</f>
        <v>71227.059085000001</v>
      </c>
      <c r="I10" s="73" ph="1">
        <f>I9*290.8*1.0267</f>
        <v>11557.4263756</v>
      </c>
      <c r="J10" s="73" ph="1">
        <f>J9*290.8*0.7892</f>
        <v>17719.645585599999</v>
      </c>
      <c r="K10" s="73" ph="1">
        <f>K9*290.8*1.1126</f>
        <v>10486.0636328</v>
      </c>
      <c r="L10" s="73" ph="1">
        <f>L9*290.8*0.777</f>
        <v>16679.747112000001</v>
      </c>
      <c r="M10" s="73" ph="1">
        <f>M9*33.183*LOOKUP(M11,密度!$A$2:$A$50,密度!$D$2:$D$50)</f>
        <v>150018.94931400003</v>
      </c>
      <c r="N10" s="73" ph="1">
        <f>N9*33.183*LOOKUP(N11,密度!$A$2:$A$50,密度!$E$2:$E$50)</f>
        <v>139164.5411415</v>
      </c>
      <c r="O10" s="73" ph="1">
        <f>O9*20.428*LOOKUP(O11,密度!$A$2:$A$50,密度!$C$2:$C$50)</f>
        <v>18054.93031</v>
      </c>
      <c r="P10" s="73" ph="1">
        <f>P9*51.53*LOOKUP(P11,密度!$A$2:$A$50,密度!$B$2:$B$50)</f>
        <v>66255.872384000002</v>
      </c>
      <c r="Q10" s="73" ph="1">
        <f>Q9*1.5*1.5*3.1416*LOOKUP(W11,密度!$A$2:$A$50,密度!$L$2:$L$50)</f>
        <v>18064.796904000003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38344.963733999997</v>
      </c>
      <c r="X10" s="73" ph="1">
        <f>X9*1.5*1.5*3.1416*LOOKUP(X11,密度!$A$2:$A$50,密度!$L$2:$L$50)</f>
        <v>46918.291959000002</v>
      </c>
      <c r="Y10" s="73" ph="1">
        <f>Y9*1.5*1.5*3.1416*LOOKUP(Y11,密度!$A$2:$A$50,密度!$L$2:$L$50)</f>
        <v>43184.084882399999</v>
      </c>
      <c r="Z10" s="73" ph="1">
        <f>Z9*33.183*LOOKUP(Z11,密度!$A$2:$A$50,密度!$L$2:$L$50)</f>
        <v>69386.051196</v>
      </c>
      <c r="AA10" s="73" ph="1">
        <f>AA9*33.183*LOOKUP(AA11,密度!$A$2:$A$50,密度!$D$2:$D$50)</f>
        <v>0</v>
      </c>
      <c r="AB10" s="73" ph="1">
        <f>AB9*20.428*LOOKUP(AB11,密度!$A$2:$A$50,密度!$D$2:$D$50)</f>
        <v>35013.767680800003</v>
      </c>
      <c r="AC10" s="73" ph="1">
        <f>AC9*51.53*LOOKUP(AC11,密度!$A$2:$A$50,密度!$Q$2:$Q$50)</f>
        <v>204434.08268399999</v>
      </c>
      <c r="AD10" s="73" ph="1">
        <f>AD9*20.428*LOOKUP(AD11,密度!$A$2:$A$50,密度!$V$2:$V$50)</f>
        <v>84761.508182400008</v>
      </c>
      <c r="AE10" s="73" ph="1">
        <f>AE9*20.428</f>
        <v>95807.32</v>
      </c>
    </row>
    <row r="11" spans="1:99" ph="1">
      <c r="A11" s="64" t="s" ph="1">
        <v>162</v>
      </c>
      <c r="B11" s="241" ph="1"/>
      <c r="C11" s="163" t="s" ph="1">
        <v>179</v>
      </c>
      <c r="D11" s="74">
        <v>33</v>
      </c>
      <c r="E11" s="74">
        <v>33</v>
      </c>
      <c r="F11" s="74">
        <v>33</v>
      </c>
      <c r="G11" s="74">
        <v>33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42</v>
      </c>
      <c r="N11" s="74">
        <v>34</v>
      </c>
      <c r="O11" s="74">
        <v>42</v>
      </c>
      <c r="P11" s="74">
        <v>33</v>
      </c>
      <c r="Q11" s="74">
        <v>31</v>
      </c>
      <c r="R11" s="74">
        <v>40</v>
      </c>
      <c r="S11" s="74">
        <v>32</v>
      </c>
      <c r="T11" s="74">
        <v>38</v>
      </c>
      <c r="U11" s="74">
        <v>35</v>
      </c>
      <c r="V11" s="74">
        <v>28</v>
      </c>
      <c r="W11" s="74">
        <v>32</v>
      </c>
      <c r="X11" s="74">
        <v>27</v>
      </c>
      <c r="Y11" s="74">
        <v>29</v>
      </c>
      <c r="Z11" s="74">
        <v>38</v>
      </c>
      <c r="AA11" s="74">
        <v>36</v>
      </c>
      <c r="AB11" s="74">
        <v>28</v>
      </c>
      <c r="AC11" s="74">
        <v>32</v>
      </c>
      <c r="AD11" s="74">
        <v>34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0</v>
      </c>
      <c r="E15" s="78">
        <v>3419</v>
      </c>
      <c r="F15" s="78">
        <v>2938</v>
      </c>
      <c r="G15" s="78">
        <v>4036</v>
      </c>
      <c r="H15" s="78">
        <v>2034</v>
      </c>
      <c r="I15" s="78">
        <v>2783</v>
      </c>
      <c r="J15" s="78">
        <v>342</v>
      </c>
      <c r="K15" s="78">
        <v>3865</v>
      </c>
      <c r="L15" s="78">
        <v>5855</v>
      </c>
      <c r="M15" s="78">
        <v>4691</v>
      </c>
      <c r="N15" s="78">
        <v>2852</v>
      </c>
      <c r="O15" s="78">
        <v>2501</v>
      </c>
      <c r="P15" s="78">
        <v>3451</v>
      </c>
      <c r="Q15" s="78">
        <v>2911</v>
      </c>
      <c r="R15" s="78">
        <v>1949</v>
      </c>
      <c r="S15" s="78">
        <v>0</v>
      </c>
      <c r="T15" s="78">
        <v>1077</v>
      </c>
      <c r="U15" s="78">
        <v>4495</v>
      </c>
      <c r="V15" s="78">
        <v>3214</v>
      </c>
      <c r="W15" s="71">
        <v>5000</v>
      </c>
      <c r="X15" s="78">
        <v>1078</v>
      </c>
      <c r="Y15" s="106">
        <v>-9907</v>
      </c>
      <c r="Z15" s="78">
        <v>48</v>
      </c>
      <c r="AA15" s="78">
        <v>2530</v>
      </c>
      <c r="AB15" s="78" ph="1">
        <v>0</v>
      </c>
      <c r="AC15" s="78" ph="1">
        <v>0</v>
      </c>
      <c r="AD15" s="78">
        <v>5.61</v>
      </c>
      <c r="AE15" s="78">
        <v>43.51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22524.150448799999</v>
      </c>
      <c r="F16" s="73" ph="1">
        <f>F15*9.0746*LOOKUP(F17,密度!$A$2:$A$50,密度!$L$2:$L$50)</f>
        <v>24688.247864800003</v>
      </c>
      <c r="G16" s="73" ph="1">
        <f>G15*9.0746*LOOKUP(G17,密度!$A$2:$A$50,密度!$B$2:$B$50)</f>
        <v>28428.39144272</v>
      </c>
      <c r="H16" s="73" ph="1">
        <f>H15*9.0746*LOOKUP(H17,密度!$A$2:$A$50,密度!$L$2:$L$50)</f>
        <v>17276.441270400002</v>
      </c>
      <c r="I16" s="73" ph="1">
        <f>I15*9.0746*LOOKUP(I17,密度!$A$2:$A$50,密度!$U$2:$U$50)</f>
        <v>25784.958647800002</v>
      </c>
      <c r="J16" s="73" ph="1">
        <f>J15*9.0746*LOOKUP(J17,密度!$A$2:$A$50,密度!$L$2:$L$50)</f>
        <v>2895.5778156000001</v>
      </c>
      <c r="K16" s="73" ph="1">
        <f>K15*9.0746*LOOKUP(K17,密度!$A$2:$A$50,密度!$C$2:$C$50)</f>
        <v>38759.535877899994</v>
      </c>
      <c r="L16" s="73" ph="1">
        <f>L15*9.0746*LOOKUP(L17,密度!$A$2:$A$50,密度!$E$2:$E$50)</f>
        <v>41315.274460799999</v>
      </c>
      <c r="M16" s="73" ph="1">
        <f>M15*9.0746*LOOKUP(M17,密度!$A$2:$A$50,密度!$M$2:$M$50)</f>
        <v>36942.184974052005</v>
      </c>
      <c r="N16" s="73" ph="1">
        <f>N15*9.0746*LOOKUP(N17,密度!$A$2:$A$50,密度!$M$2:$M$50)</f>
        <v>22596.490857519999</v>
      </c>
      <c r="O16" s="73" ph="1">
        <f>O15*9.0746*LOOKUP(O17,密度!$A$2:$A$50,密度!$G$2:$G$50)</f>
        <v>21667.465070620001</v>
      </c>
      <c r="P16" s="73" ph="1">
        <f ca="1">P15*9.0746*LOOKUP(P17,密度!$A$2:$A$51,密度!$Q$2:$Q$50)</f>
        <v>29560.531551278003</v>
      </c>
      <c r="Q16" s="73" ph="1">
        <f>Q15*9.0746*LOOKUP(Q17,密度!$A$2:$A$50,密度!$Q$2:$Q$50)</f>
        <v>24919.156778797998</v>
      </c>
      <c r="R16" s="73" ph="1">
        <f>MAX(R15*9.0746*LOOKUP(R17,密度!$A$2:$A$50,密度!$B$2:$B$50),0)</f>
        <v>13712.262353620001</v>
      </c>
      <c r="S16" s="73" ph="1">
        <f>S15*9.0746*LOOKUP(S17,密度!$A$2:$A$50,密度!$Q$2:$Q$50)</f>
        <v>0</v>
      </c>
      <c r="T16" s="73" ph="1">
        <f>T15*9.0746*LOOKUP(T17,密度!$A$2:$A$50,密度!$O$2:$O$50)</f>
        <v>9050.1167292000009</v>
      </c>
      <c r="U16" s="73" ph="1">
        <f>U15*9.0746*LOOKUP(U17,密度!$A$2:$A$50,密度!$H$2:$H$50)</f>
        <v>37159.987896999999</v>
      </c>
      <c r="V16" s="73" ph="1">
        <f>MAX(5600*LOOKUP(V17,密度!$A$2:$A$50,密度!$Q$2:$Q$50)+V15*9.0476*LOOKUP(V17,密度!$A$2:$A$50,密度!$Q$2:$Q$50),0)</f>
        <v>32641.595948999999</v>
      </c>
      <c r="W16" s="73" ph="1">
        <f>MAX(5600*LOOKUP(W17,密度!$A$2:$A$50,密度!$Q$2:$Q$50)+W15*9.0476*LOOKUP(W17,密度!$A$2:$A$50,密度!$Q$2:$Q$50),0)</f>
        <v>47918.88203999999</v>
      </c>
      <c r="X16" s="73" ph="1">
        <f>MAX(5600*LOOKUP(X17,密度!$A$2:$A$50,密度!$I$2:$I$50)+X15*9.0476*LOOKUP(X17,密度!$A$2:$A$50,密度!$I$2:$I$50),0)</f>
        <v>15916.779379759999</v>
      </c>
      <c r="Y16" s="107" ph="1">
        <v>0</v>
      </c>
      <c r="Z16" s="73" ph="1">
        <f>Z15*9.0746*LOOKUP(Z17,密度!$A$2:$A$50,密度!$D$2:$D$50)</f>
        <v>445.99118112000002</v>
      </c>
      <c r="AA16" s="73" ph="1">
        <f>AA15*9.0746*LOOKUP(AA17,密度!$A$2:$A$50,密度!$B$2:$B$50)</f>
        <v>17820.572435599999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10334.58559728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29</v>
      </c>
      <c r="E17" s="74">
        <v>30</v>
      </c>
      <c r="F17" s="74">
        <v>36</v>
      </c>
      <c r="G17" s="74">
        <v>29</v>
      </c>
      <c r="H17" s="74">
        <v>26</v>
      </c>
      <c r="I17" s="74">
        <v>29</v>
      </c>
      <c r="J17" s="74">
        <v>29</v>
      </c>
      <c r="K17" s="74">
        <v>30</v>
      </c>
      <c r="L17" s="74">
        <v>30</v>
      </c>
      <c r="M17" s="74">
        <v>32</v>
      </c>
      <c r="N17" s="74">
        <v>27</v>
      </c>
      <c r="O17" s="74">
        <v>30</v>
      </c>
      <c r="P17" s="74">
        <v>29</v>
      </c>
      <c r="Q17" s="74">
        <v>30</v>
      </c>
      <c r="R17" s="74">
        <v>30</v>
      </c>
      <c r="S17" s="74">
        <v>29</v>
      </c>
      <c r="T17" s="74">
        <v>27</v>
      </c>
      <c r="U17" s="74">
        <v>29</v>
      </c>
      <c r="V17" s="74">
        <v>33</v>
      </c>
      <c r="W17" s="74">
        <v>31</v>
      </c>
      <c r="X17" s="74">
        <v>30</v>
      </c>
      <c r="Y17" s="108">
        <v>30</v>
      </c>
      <c r="Z17" s="74">
        <v>28</v>
      </c>
      <c r="AA17" s="74">
        <v>29</v>
      </c>
      <c r="AB17" s="74">
        <v>29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2833</v>
      </c>
      <c r="E18" s="71">
        <v>1244</v>
      </c>
      <c r="F18" s="71">
        <v>2957</v>
      </c>
      <c r="G18" s="71">
        <v>4158</v>
      </c>
      <c r="H18" s="71">
        <v>0</v>
      </c>
      <c r="I18" s="71">
        <v>3135</v>
      </c>
      <c r="J18" s="71">
        <v>350</v>
      </c>
      <c r="K18" s="71">
        <v>3915</v>
      </c>
      <c r="L18" s="71">
        <v>5867</v>
      </c>
      <c r="M18" s="71">
        <v>3281</v>
      </c>
      <c r="N18" s="71">
        <v>2855</v>
      </c>
      <c r="O18" s="71">
        <v>2504</v>
      </c>
      <c r="P18" s="71">
        <v>3453</v>
      </c>
      <c r="Q18" s="71">
        <v>2915</v>
      </c>
      <c r="R18" s="71">
        <v>1949</v>
      </c>
      <c r="S18" s="71">
        <v>0</v>
      </c>
      <c r="T18" s="71">
        <v>525</v>
      </c>
      <c r="U18" s="71">
        <v>4497</v>
      </c>
      <c r="V18" s="71">
        <v>3214</v>
      </c>
      <c r="W18" s="71">
        <v>5001</v>
      </c>
      <c r="X18" s="71">
        <v>1076</v>
      </c>
      <c r="Y18" s="109">
        <v>-9909</v>
      </c>
      <c r="Z18" s="71">
        <v>42</v>
      </c>
      <c r="AA18" s="71">
        <v>2531</v>
      </c>
      <c r="AB18" s="71">
        <v>0</v>
      </c>
      <c r="AC18" s="71">
        <v>0</v>
      </c>
      <c r="AD18" s="71">
        <v>16.11</v>
      </c>
      <c r="AE18" s="71">
        <v>84.81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18623.569734000001</v>
      </c>
      <c r="E19" s="73" ph="1">
        <f>E18*7.0686*LOOKUP(E20,密度!$A$2:$A$50,密度!$L$2:$L$50)</f>
        <v>8177.804712000001</v>
      </c>
      <c r="F19" s="73" ph="1">
        <f>F18*9.0746*LOOKUP(F20,密度!$A$2:$A$50,密度!$L$2:$L$50)</f>
        <v>24740.572008399999</v>
      </c>
      <c r="G19" s="73" ph="1">
        <f>G18*9.0746*LOOKUP(G20,密度!$A$2:$A$50,密度!$B$2:$B$50)</f>
        <v>29219.80545792</v>
      </c>
      <c r="H19" s="73" ph="1">
        <f>H18*9.0746*LOOKUP(H20,密度!$A$2:$A$50,密度!$L$2:$L$50)</f>
        <v>0</v>
      </c>
      <c r="I19" s="73" ph="1">
        <f>I18*9.0746*LOOKUP(I20,密度!$A$2:$A$50,密度!$U$2:$U$50)</f>
        <v>28761.808580999998</v>
      </c>
      <c r="J19" s="73" ph="1">
        <f>J18*9.0746*LOOKUP(J20,密度!$A$2:$A$50,密度!$L$2:$L$50)</f>
        <v>2931.5495300000002</v>
      </c>
      <c r="K19" s="73" ph="1">
        <f>K18*9.0746*LOOKUP(K20,密度!$A$2:$A$50,密度!$C$2:$C$50)</f>
        <v>39076.212194100008</v>
      </c>
      <c r="L19" s="73" ph="1">
        <f>L18*9.0746*LOOKUP(L20,密度!$A$2:$A$50,密度!$E$2:$E$50)</f>
        <v>41218.400655658006</v>
      </c>
      <c r="M19" s="73" ph="1">
        <f>M18*9.0746*LOOKUP(M20,密度!$A$2:$A$50,密度!$M$2:$M$50)</f>
        <v>25713.216856612002</v>
      </c>
      <c r="N19" s="73" ph="1">
        <f>N18*9.0746*LOOKUP(N20,密度!$A$2:$A$50,密度!$M$2:$M$50)</f>
        <v>22565.853192999999</v>
      </c>
      <c r="O19" s="73" ph="1">
        <f>O18*9.0746*LOOKUP(O20,密度!$A$2:$A$50,密度!$G$2:$G$50)</f>
        <v>21622.333273487999</v>
      </c>
      <c r="P19" s="73" ph="1">
        <f ca="1">P18*9.0746*LOOKUP(P20,密度!$A$2:$A$51,密度!$Q$2:$Q$50)</f>
        <v>29535.361424004001</v>
      </c>
      <c r="Q19" s="73" ph="1">
        <f>Q18*9.0746*LOOKUP(Q20,密度!$A$2:$A$50,密度!$Q$2:$Q$50)</f>
        <v>24898.377033749999</v>
      </c>
      <c r="R19" s="73" ph="1">
        <f>MAX(R18*9.0746*LOOKUP(R20,密度!$A$2:$A$50,密度!$B$2:$B$50),0)</f>
        <v>13666.277725580001</v>
      </c>
      <c r="S19" s="73" ph="1">
        <f>S18*9.0746*LOOKUP(S20,密度!$A$2:$A$50,密度!$Q$2:$Q$50)</f>
        <v>0</v>
      </c>
      <c r="T19" s="73" ph="1">
        <f>T18*9.0746*LOOKUP(T20,密度!$A$2:$A$50,密度!$O$2:$O$50)</f>
        <v>4384.9374660000003</v>
      </c>
      <c r="U19" s="73" ph="1">
        <f>U18*9.0746*LOOKUP(U20,密度!$A$2:$A$50,密度!$H$2:$H$50)</f>
        <v>37057.361067696002</v>
      </c>
      <c r="V19" s="73" ph="1">
        <f>MAX(5600*LOOKUP(V20,密度!$A$2:$A$50,密度!$Q$2:$Q$50)+V18*9.0476*LOOKUP(V20,密度!$A$2:$A$50,密度!$Q$2:$Q$50),0)</f>
        <v>32573.971925519996</v>
      </c>
      <c r="W19" s="73" ph="1">
        <f>MAX(5600*LOOKUP(W20,密度!$A$2:$A$50,密度!$Q$2:$Q$50)+W18*9.0476*LOOKUP(W20,密度!$A$2:$A$50,密度!$Q$2:$Q$50),0)</f>
        <v>47826.224502084006</v>
      </c>
      <c r="X19" s="73" ph="1">
        <f>MAX(5600*LOOKUP(X20,密度!$A$2:$A$50,密度!$I$2:$I$50)+X18*9.0476*LOOKUP(X20,密度!$A$2:$A$50,密度!$I$2:$I$50),0)</f>
        <v>15864.282607199999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387.84114432000001</v>
      </c>
      <c r="AA19" s="73" ph="1">
        <f>AA18*9.0746*LOOKUP(AA20,密度!$A$2:$A$50,密度!$B$2:$B$50)</f>
        <v>17726.557764680001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4579.9758395999997</v>
      </c>
      <c r="AE19" s="73" ph="1">
        <f>AE18*268.68*LOOKUP(AE20,密度!$A$2:$A$50,密度!B5:B53)+IF(AE18&lt;=0,0,1566*LOOKUP(AE20,密度!$A$2:$A$50,密度!B5:B53))</f>
        <v>18922.087371600002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40</v>
      </c>
      <c r="G20" s="81">
        <v>31</v>
      </c>
      <c r="H20" s="81">
        <v>30</v>
      </c>
      <c r="I20" s="81">
        <v>40</v>
      </c>
      <c r="J20" s="81">
        <v>39</v>
      </c>
      <c r="K20" s="81">
        <v>35</v>
      </c>
      <c r="L20" s="81">
        <v>33</v>
      </c>
      <c r="M20" s="81">
        <v>36</v>
      </c>
      <c r="N20" s="81">
        <v>29</v>
      </c>
      <c r="O20" s="81">
        <v>33</v>
      </c>
      <c r="P20" s="81">
        <v>31</v>
      </c>
      <c r="Q20" s="81">
        <v>33</v>
      </c>
      <c r="R20" s="81">
        <v>33</v>
      </c>
      <c r="S20" s="81">
        <v>35</v>
      </c>
      <c r="T20" s="81">
        <v>34</v>
      </c>
      <c r="U20" s="81">
        <v>32</v>
      </c>
      <c r="V20" s="81">
        <v>36</v>
      </c>
      <c r="W20" s="81">
        <v>34</v>
      </c>
      <c r="X20" s="81">
        <v>32</v>
      </c>
      <c r="Y20" s="110">
        <v>32</v>
      </c>
      <c r="Z20" s="81">
        <v>35</v>
      </c>
      <c r="AA20" s="81">
        <v>34</v>
      </c>
      <c r="AB20" s="81">
        <v>36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51.42</v>
      </c>
      <c r="E24" s="71">
        <v>5.83</v>
      </c>
      <c r="F24" s="71">
        <v>1931</v>
      </c>
      <c r="G24" s="71">
        <v>3430</v>
      </c>
      <c r="H24" s="71">
        <v>3844</v>
      </c>
      <c r="I24" s="71">
        <v>927</v>
      </c>
      <c r="J24" s="71">
        <v>662</v>
      </c>
      <c r="K24" s="71">
        <v>317</v>
      </c>
      <c r="L24" s="71">
        <v>302</v>
      </c>
      <c r="M24" s="71">
        <v>326</v>
      </c>
      <c r="N24" s="71">
        <v>2624</v>
      </c>
      <c r="O24" s="71">
        <v>343</v>
      </c>
      <c r="P24" s="71">
        <v>369</v>
      </c>
      <c r="Q24" s="90">
        <v>2571</v>
      </c>
      <c r="R24" s="71">
        <v>347</v>
      </c>
      <c r="S24" s="71">
        <v>2605</v>
      </c>
      <c r="T24" s="71">
        <v>390</v>
      </c>
      <c r="U24" s="71">
        <v>4099</v>
      </c>
      <c r="V24" s="71">
        <v>883</v>
      </c>
      <c r="W24" s="71">
        <v>414</v>
      </c>
      <c r="X24" s="71">
        <v>3446</v>
      </c>
      <c r="Y24" s="71">
        <v>7665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14562.305546544001</v>
      </c>
      <c r="E25" s="91" ph="1">
        <f>E24*268.68*LOOKUP(E26,密度!$A$2:$A$50,密度!$C$2:$C$50)+IF(E24&lt;=0,0,1566*LOOKUP(E26,密度!$A$2:$A$50,密度!$C$2:$C$50))</f>
        <v>3473.5232391600002</v>
      </c>
      <c r="F25" s="91" ph="1">
        <f>F24*11.702*LOOKUP(F26,密度!$A$2:$A$50,密度!$Q$2:$Q$50)</f>
        <v>21316.014831460001</v>
      </c>
      <c r="G25" s="91" ph="1">
        <f>G24*18.322*LOOKUP(G26,密度!$A$2:$A$50,密度!$B$2:$B$50)</f>
        <v>48886.705434000003</v>
      </c>
      <c r="H25" s="91" ph="1">
        <f>H24*18.322*LOOKUP(H26,密度!$A$2:$A$50,密度!$B$2:$B$50)</f>
        <v>54787.316527199997</v>
      </c>
      <c r="I25" s="91" ph="1">
        <f>I24*18.322*LOOKUP(I26,密度!$A$2:$A$50,密度!$Q$2:$Q$50)</f>
        <v>16043.892722279999</v>
      </c>
      <c r="J25" s="91" ph="1">
        <f>J24*18.322*LOOKUP(J26,密度!$A$2:$A$50,密度!$Q$2:$Q$50)</f>
        <v>11465.941312479999</v>
      </c>
      <c r="K25" s="91" ph="1">
        <f>K24*18.322*LOOKUP(K26,密度!$A$2:$A$50,密度!$Q$2:$Q$50)</f>
        <v>5482.4152908200003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5646.3698910399999</v>
      </c>
      <c r="N25" s="91" ph="1">
        <f>N24*18.322*LOOKUP(N26,密度!$A$2:$A$50,密度!$Q$2:$Q$50)</f>
        <v>45414.427727360002</v>
      </c>
      <c r="O25" s="91" ph="1">
        <f>O24*18.322*LOOKUP(O26,密度!$A$2:$A$50,密度!$C$2:$C$50)</f>
        <v>6949.9688314000005</v>
      </c>
      <c r="P25" s="91" ph="1">
        <f>P24*11.702*LOOKUP(P26,密度!$A$2:$A$50,密度!$B$2:$B$50)</f>
        <v>3355.1155259999996</v>
      </c>
      <c r="Q25" s="92" ph="1">
        <f>Q24*18.322*LOOKUP(Q26,密度!$A$2:$A$50,密度!$B$2:$B$50)</f>
        <v>36643.650049800002</v>
      </c>
      <c r="R25" s="91" ph="1">
        <f>R24*35.891*LOOKUP(R26,密度!$A$2:$A$50,密度!$C$2:$C$50)</f>
        <v>13791.755609799999</v>
      </c>
      <c r="S25" s="91" ph="1">
        <f>S24*35.891*LOOKUP(S26,密度!$A$2:$A$50,密度!$B$2:$B$50)</f>
        <v>72646.434735000003</v>
      </c>
      <c r="T25" s="91" ph="1">
        <f>T24*35.891*LOOKUP(T26,密度!$A$2:$A$50,密度!$Q$2:$Q$50)</f>
        <v>13232.1072468</v>
      </c>
      <c r="U25" s="91" ph="1">
        <f>U24*35.891</f>
        <v>147117.209</v>
      </c>
      <c r="V25" s="91" ph="1">
        <f>V24*47.051*LOOKUP(V26,密度!$A$2:$A$50,密度!$B$2:$B$50)</f>
        <v>32248.030814600002</v>
      </c>
      <c r="W25" s="91" ph="1">
        <f>W24*47.051*LOOKUP(W26,密度!$A$2:$A$50,密度!$B$2:$B$50)</f>
        <v>15135.271578000002</v>
      </c>
      <c r="X25" s="91" ph="1">
        <f>X24*47.051*LOOKUP(X26,密度!$A$2:$A$61,密度!$I$2:$I$61)</f>
        <v>167553.14671640002</v>
      </c>
      <c r="Y25" s="91" ph="1">
        <f>Y24*47.051*LOOKUP(Y26,密度!$A$2:$A$50,密度!$L$2:$L$50)</f>
        <v>336843.28461000003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27</v>
      </c>
      <c r="H26" s="74">
        <v>27</v>
      </c>
      <c r="I26" s="74">
        <v>28</v>
      </c>
      <c r="J26" s="74">
        <v>27</v>
      </c>
      <c r="K26" s="74">
        <v>29</v>
      </c>
      <c r="L26" s="74">
        <v>28</v>
      </c>
      <c r="M26" s="74">
        <v>27</v>
      </c>
      <c r="N26" s="74">
        <v>28</v>
      </c>
      <c r="O26" s="74">
        <v>29</v>
      </c>
      <c r="P26" s="74">
        <v>28</v>
      </c>
      <c r="Q26" s="93">
        <v>27</v>
      </c>
      <c r="R26" s="74">
        <v>27</v>
      </c>
      <c r="S26" s="74">
        <v>28</v>
      </c>
      <c r="T26" s="74">
        <v>27</v>
      </c>
      <c r="U26" s="74">
        <v>28</v>
      </c>
      <c r="V26" s="74">
        <v>29</v>
      </c>
      <c r="W26" s="74">
        <v>28</v>
      </c>
      <c r="X26" s="74">
        <v>33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12.71</v>
      </c>
      <c r="E27" s="71">
        <v>5.82</v>
      </c>
      <c r="F27" s="71">
        <v>2261</v>
      </c>
      <c r="G27" s="71">
        <v>3034</v>
      </c>
      <c r="H27" s="71">
        <v>3256</v>
      </c>
      <c r="I27" s="71">
        <v>0</v>
      </c>
      <c r="J27" s="71">
        <v>658</v>
      </c>
      <c r="K27" s="71">
        <v>313</v>
      </c>
      <c r="L27" s="71">
        <v>295</v>
      </c>
      <c r="M27" s="71">
        <v>321</v>
      </c>
      <c r="N27" s="71">
        <v>2041</v>
      </c>
      <c r="O27" s="71">
        <v>338</v>
      </c>
      <c r="P27" s="71">
        <v>365</v>
      </c>
      <c r="Q27" s="90">
        <v>2836</v>
      </c>
      <c r="R27" s="71">
        <v>345</v>
      </c>
      <c r="S27" s="71">
        <v>2183</v>
      </c>
      <c r="T27" s="71">
        <v>390</v>
      </c>
      <c r="U27" s="71">
        <v>4098</v>
      </c>
      <c r="V27" s="71">
        <v>880</v>
      </c>
      <c r="W27" s="71">
        <v>412</v>
      </c>
      <c r="X27" s="71">
        <v>3927</v>
      </c>
      <c r="Y27" s="71">
        <v>7664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4715.6388516720008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24938.990892760001</v>
      </c>
      <c r="G28" s="91" ph="1">
        <f>G27*18.322*LOOKUP(G29,密度!$A$2:$A$50,密度!$B$2:$B$50)</f>
        <v>43048.081331199995</v>
      </c>
      <c r="H28" s="91" ph="1">
        <f>H27*18.322*LOOKUP(H29,密度!$A$2:$A$50,密度!$B$2:$B$50)</f>
        <v>46197.940940799999</v>
      </c>
      <c r="I28" s="91" ph="1">
        <f>I27*18.322*LOOKUP(I29,密度!$A$2:$A$50,密度!$Q$2:$Q$50)</f>
        <v>0</v>
      </c>
      <c r="J28" s="91" ph="1">
        <f>J27*18.322*LOOKUP(J29,密度!$A$2:$A$50,密度!$Q$2:$Q$50)</f>
        <v>11363.627600080001</v>
      </c>
      <c r="K28" s="91" ph="1">
        <f>K27*18.322*LOOKUP(K29,密度!$A$2:$A$50,密度!$Q$2:$Q$50)</f>
        <v>5409.7956773799997</v>
      </c>
      <c r="L28" s="91" ph="1">
        <f>L27*18.322*LOOKUP(L29,密度!$A$2:$A$50,密度!$Q$2:$Q$50)</f>
        <v>5094.6354741999994</v>
      </c>
      <c r="M28" s="91" ph="1">
        <f>M27*18.322*LOOKUP(M29,密度!$A$2:$A$50,密度!$Q$2:$Q$50)</f>
        <v>5539.6548677999999</v>
      </c>
      <c r="N28" s="91" ph="1">
        <f>N27*18.322*LOOKUP(N29,密度!$A$2:$A$50,密度!$Q$2:$Q$50)</f>
        <v>35247.969501159998</v>
      </c>
      <c r="O28" s="91" ph="1">
        <f>O27*18.322*LOOKUP(O29,密度!$A$2:$A$50,密度!$C$2:$C$50)</f>
        <v>6837.5102275999998</v>
      </c>
      <c r="P28" s="91" ph="1">
        <f>P27*11.702*LOOKUP(P29,密度!$A$2:$A$50,密度!$B$2:$B$50)</f>
        <v>3311.4846189999998</v>
      </c>
      <c r="Q28" s="92" ph="1">
        <f>Q27*18.322*LOOKUP(Q29,密度!$A$2:$A$50,密度!$B$2:$B$50)</f>
        <v>40238.747084799994</v>
      </c>
      <c r="R28" s="91" ph="1">
        <f>R27*35.891*LOOKUP(R29,密度!$A$2:$A$50,密度!$C$2:$C$50)</f>
        <v>13683.784714499998</v>
      </c>
      <c r="S28" s="91" ph="1">
        <f>S27*35.891*LOOKUP(S29,密度!$A$2:$A$50,密度!$B$2:$B$50)</f>
        <v>60674.281043199997</v>
      </c>
      <c r="T28" s="91" ph="1">
        <f>T27*35.891*LOOKUP(T29,密度!$A$2:$A$50,密度!$Q$2:$Q$50)</f>
        <v>13204.2522417</v>
      </c>
      <c r="U28" s="91" ph="1">
        <f>U27*35.891</f>
        <v>147081.318</v>
      </c>
      <c r="V28" s="91" ph="1">
        <f>V27*47.051*LOOKUP(V29,密度!$A$2:$A$50,密度!$B$2:$B$50)</f>
        <v>32026.674680000004</v>
      </c>
      <c r="W28" s="91" ph="1">
        <f>W27*47.051*LOOKUP(W29,密度!$A$2:$A$50,密度!$B$2:$B$50)</f>
        <v>15011.753292800002</v>
      </c>
      <c r="X28" s="91" ph="1">
        <f>X27*47.051*LOOKUP(X29,密度!$A$2:$A$61,密度!$I$2:$I$61)</f>
        <v>190312.35531000001</v>
      </c>
      <c r="Y28" s="91" ph="1">
        <f>Y27*47.051*LOOKUP(Y29,密度!$A$2:$A$50,密度!$L$2:$L$50)</f>
        <v>335717.54238400003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30</v>
      </c>
      <c r="J29" s="74">
        <v>31</v>
      </c>
      <c r="K29" s="74">
        <v>30</v>
      </c>
      <c r="L29" s="74">
        <v>31</v>
      </c>
      <c r="M29" s="74">
        <v>32</v>
      </c>
      <c r="N29" s="74">
        <v>31</v>
      </c>
      <c r="O29" s="74">
        <v>31</v>
      </c>
      <c r="P29" s="74">
        <v>30</v>
      </c>
      <c r="Q29" s="93">
        <v>31</v>
      </c>
      <c r="R29" s="74">
        <v>30</v>
      </c>
      <c r="S29" s="74">
        <v>31</v>
      </c>
      <c r="T29" s="74">
        <v>30</v>
      </c>
      <c r="U29" s="74">
        <v>31</v>
      </c>
      <c r="V29" s="74">
        <v>32</v>
      </c>
      <c r="W29" s="74">
        <v>31</v>
      </c>
      <c r="X29" s="74">
        <v>36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35401.608825120005</v>
      </c>
      <c r="E33" s="190" ph="1">
        <f>M10+I10</f>
        <v>161576.37568960001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1522252632456786910111213141516171819202123456789101112131415161718192022232424356789101112131415161718192021222345678910111213141516171819202345678910111213149101516171819222123234567891012131415161711181920212224252345678910111213114[[#This Row],[F25]]</f>
        <v>3880</v>
      </c>
      <c r="G33" s="216" ph="1">
        <f>N19</f>
        <v>22565.853192999999</v>
      </c>
      <c r="H33" s="190" ph="1">
        <f>M19</f>
        <v>25713.216856612002</v>
      </c>
      <c r="I33" s="194" ph="1">
        <v>0</v>
      </c>
      <c r="J33" s="198" ph="1">
        <f>F10+O28</f>
        <v>215163.50342960001</v>
      </c>
      <c r="K33" s="190" ph="1">
        <f>O10+K10+E28+R28</f>
        <v>45695.322503939999</v>
      </c>
      <c r="L33" s="200" ph="1">
        <f>K19</f>
        <v>39076.212194100008</v>
      </c>
      <c r="M33" s="198" ph="1">
        <f>G10+H10+W28+S28+V28+E10+R19+P28+Q28</f>
        <v>464667.36623938003</v>
      </c>
      <c r="N33" s="190" ph="1">
        <f>L10+P10++G28+H28+AD19+AE19</f>
        <v>195683.7049792</v>
      </c>
      <c r="O33" s="194" ph="1">
        <f>G19</f>
        <v>29219.80545792</v>
      </c>
      <c r="P33" s="198" ph="1">
        <f>L19</f>
        <v>41218.400655658006</v>
      </c>
      <c r="Q33" s="190" ph="1">
        <f>J10+N10</f>
        <v>156884.18672709999</v>
      </c>
      <c r="R33" s="194" ph="1">
        <f>BE23</f>
        <v>890</v>
      </c>
      <c r="S33" s="198" ph="1">
        <f>X28</f>
        <v>190312.35531000001</v>
      </c>
      <c r="T33" s="190" ph="1">
        <f>X19</f>
        <v>15864.282607199999</v>
      </c>
      <c r="U33" s="179" ph="1">
        <f>BE21</f>
        <v>730</v>
      </c>
      <c r="V33" s="192" ph="1">
        <f ca="1">P19+Q19+S19+M28+N28+J28+D10+AC10+D19+E19+H19+J19+O19+V19+W19+K28+L28</f>
        <v>641960.52388821589</v>
      </c>
      <c r="W33" s="192" ph="1">
        <f>D28+F28+T28+I28</f>
        <v>42858.881986132001</v>
      </c>
      <c r="X33" s="194" ph="1">
        <f>BE29+BE31</f>
        <v>10200</v>
      </c>
      <c r="Y33" s="196" ph="1">
        <f>+Q10+R10+S10+T10+U10+V10+W10+X10+Y10</f>
        <v>146512.1374794</v>
      </c>
      <c r="Z33" s="177" ph="1">
        <f>T19+U19+Y28+Z10</f>
        <v>446545.89211369603</v>
      </c>
      <c r="AA33" s="179" ph="1">
        <f>BE19</f>
        <v>1440</v>
      </c>
      <c r="AB33" s="181" ph="1">
        <f>I19</f>
        <v>28761.808580999998</v>
      </c>
      <c r="AC33" s="183" ph="1">
        <f>AD10+AB19</f>
        <v>84761.508182400008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576" priority="101">
      <formula>ABS(D$7-D$10)&gt;=1000</formula>
    </cfRule>
  </conditionalFormatting>
  <conditionalFormatting sqref="E4 E6:E11">
    <cfRule type="expression" dxfId="1575" priority="100">
      <formula>ABS(E$7-E$10)&gt;=1000</formula>
    </cfRule>
  </conditionalFormatting>
  <conditionalFormatting sqref="F4:F11">
    <cfRule type="expression" dxfId="1574" priority="99">
      <formula>ABS(F$7-F$10)&gt;=1000</formula>
    </cfRule>
  </conditionalFormatting>
  <conditionalFormatting sqref="G4:G11">
    <cfRule type="expression" dxfId="1573" priority="98">
      <formula>ABS(G$7-G$10)&gt;=1000</formula>
    </cfRule>
  </conditionalFormatting>
  <conditionalFormatting sqref="H4:H11">
    <cfRule type="expression" dxfId="1572" priority="97">
      <formula>ABS(H$7-H$10)&gt;=1000</formula>
    </cfRule>
  </conditionalFormatting>
  <conditionalFormatting sqref="I4:I11">
    <cfRule type="expression" dxfId="1571" priority="96">
      <formula>ABS(I$7-I$10)&gt;=1000</formula>
    </cfRule>
  </conditionalFormatting>
  <conditionalFormatting sqref="J4:J11">
    <cfRule type="expression" dxfId="1570" priority="95">
      <formula>ABS(J$7-J$10)&gt;=1000</formula>
    </cfRule>
  </conditionalFormatting>
  <conditionalFormatting sqref="K4:K11">
    <cfRule type="expression" dxfId="1569" priority="94">
      <formula>ABS(K$7-K$10)&gt;=1000</formula>
    </cfRule>
  </conditionalFormatting>
  <conditionalFormatting sqref="L4:L11">
    <cfRule type="expression" dxfId="1568" priority="93">
      <formula>ABS(L$7-L$10)&gt;=1000</formula>
    </cfRule>
  </conditionalFormatting>
  <conditionalFormatting sqref="M4 M6:M11">
    <cfRule type="expression" dxfId="1567" priority="92">
      <formula>ABS(M$7-M$10)&gt;=1000</formula>
    </cfRule>
  </conditionalFormatting>
  <conditionalFormatting sqref="N4 N6:N11">
    <cfRule type="expression" dxfId="1566" priority="91">
      <formula>ABS(N$7-N$10)&gt;=1000</formula>
    </cfRule>
  </conditionalFormatting>
  <conditionalFormatting sqref="O4 O6:O11">
    <cfRule type="expression" dxfId="1565" priority="90">
      <formula>ABS(O$7-O$10)&gt;=1000</formula>
    </cfRule>
  </conditionalFormatting>
  <conditionalFormatting sqref="P4 P6:P11">
    <cfRule type="expression" dxfId="1564" priority="89">
      <formula>ABS(P$7-P$10)&gt;=1000</formula>
    </cfRule>
  </conditionalFormatting>
  <conditionalFormatting sqref="Q4:Q11">
    <cfRule type="expression" dxfId="1563" priority="88">
      <formula>ABS(Q$7-Q$10)&gt;=1000</formula>
    </cfRule>
  </conditionalFormatting>
  <conditionalFormatting sqref="R4:R11">
    <cfRule type="expression" dxfId="1562" priority="87">
      <formula>ABS(R$7-R$10)&gt;=1000</formula>
    </cfRule>
  </conditionalFormatting>
  <conditionalFormatting sqref="S4:S11">
    <cfRule type="expression" dxfId="1561" priority="86">
      <formula>ABS(S$7-S$10)&gt;=1000</formula>
    </cfRule>
  </conditionalFormatting>
  <conditionalFormatting sqref="T4:T9 T11">
    <cfRule type="expression" dxfId="1560" priority="85">
      <formula>ABS(T$7-T$10)&gt;=1000</formula>
    </cfRule>
  </conditionalFormatting>
  <conditionalFormatting sqref="U4:U9 U11">
    <cfRule type="expression" dxfId="1559" priority="84">
      <formula>ABS(U$7-U$10)&gt;=1000</formula>
    </cfRule>
  </conditionalFormatting>
  <conditionalFormatting sqref="V4:V9 V11">
    <cfRule type="expression" dxfId="1558" priority="83">
      <formula>ABS(V$7-V$10)&gt;=1000</formula>
    </cfRule>
  </conditionalFormatting>
  <conditionalFormatting sqref="W4:W9 W11">
    <cfRule type="expression" dxfId="1557" priority="82">
      <formula>ABS(W$7-W$10)&gt;=1000</formula>
    </cfRule>
  </conditionalFormatting>
  <conditionalFormatting sqref="X4:X9 X11">
    <cfRule type="expression" dxfId="1556" priority="81">
      <formula>ABS(X$7-X$10)&gt;=1000</formula>
    </cfRule>
  </conditionalFormatting>
  <conditionalFormatting sqref="Y4:Y9 Y11">
    <cfRule type="expression" dxfId="1555" priority="80">
      <formula>ABS(Y$7-Y$10)&gt;=1000</formula>
    </cfRule>
  </conditionalFormatting>
  <conditionalFormatting sqref="Z4:Z11">
    <cfRule type="expression" dxfId="1554" priority="79">
      <formula>ABS(Z$7-Z$10)&gt;=1000</formula>
    </cfRule>
  </conditionalFormatting>
  <conditionalFormatting sqref="AA4:AA11">
    <cfRule type="expression" dxfId="1553" priority="78">
      <formula>ABS(AA$7-AA$10)&gt;=1000</formula>
    </cfRule>
  </conditionalFormatting>
  <conditionalFormatting sqref="AB4:AB11">
    <cfRule type="expression" dxfId="1552" priority="77">
      <formula>ABS(AB$7-AB$10)&gt;=1000</formula>
    </cfRule>
  </conditionalFormatting>
  <conditionalFormatting sqref="AC4 AC6:AC11">
    <cfRule type="expression" dxfId="1551" priority="76">
      <formula>ABS(AC$7-AC$10)&gt;=1000</formula>
    </cfRule>
  </conditionalFormatting>
  <conditionalFormatting sqref="AD4 AD6:AD11">
    <cfRule type="expression" dxfId="1550" priority="75">
      <formula>ABS(AD$7-AD$10)&gt;=1000</formula>
    </cfRule>
  </conditionalFormatting>
  <conditionalFormatting sqref="AE4 AE6:AE11">
    <cfRule type="expression" dxfId="1549" priority="74">
      <formula>ABS(AE$7-AE$10)&gt;=1000</formula>
    </cfRule>
  </conditionalFormatting>
  <conditionalFormatting sqref="D13:D20">
    <cfRule type="expression" dxfId="1548" priority="73">
      <formula>ABS(D$16-D$19)&gt;=1000</formula>
    </cfRule>
  </conditionalFormatting>
  <conditionalFormatting sqref="E13:E20">
    <cfRule type="expression" dxfId="1547" priority="72">
      <formula>ABS(E$16-E$19)&gt;=1000</formula>
    </cfRule>
  </conditionalFormatting>
  <conditionalFormatting sqref="F13 F15:F20">
    <cfRule type="expression" dxfId="1546" priority="71">
      <formula>ABS(F$16-F$19)&gt;=1000</formula>
    </cfRule>
  </conditionalFormatting>
  <conditionalFormatting sqref="G13:G20">
    <cfRule type="expression" dxfId="1545" priority="70">
      <formula>ABS(G$16-G$19)&gt;=1000</formula>
    </cfRule>
  </conditionalFormatting>
  <conditionalFormatting sqref="H13 H15:H20">
    <cfRule type="expression" dxfId="1544" priority="69">
      <formula>ABS(H$16-H$19)&gt;=1000</formula>
    </cfRule>
  </conditionalFormatting>
  <conditionalFormatting sqref="I13:I20">
    <cfRule type="expression" dxfId="1543" priority="68">
      <formula>ABS(I$16-I$19)&gt;=1000</formula>
    </cfRule>
  </conditionalFormatting>
  <conditionalFormatting sqref="J13:J20">
    <cfRule type="expression" dxfId="1542" priority="67">
      <formula>ABS(J$16-J$19)&gt;=1000</formula>
    </cfRule>
  </conditionalFormatting>
  <conditionalFormatting sqref="L13:L20">
    <cfRule type="expression" dxfId="1541" priority="66">
      <formula>ABS(L$16-L$19)&gt;=1000</formula>
    </cfRule>
  </conditionalFormatting>
  <conditionalFormatting sqref="M13 M15 M17:M18 M20">
    <cfRule type="expression" dxfId="1540" priority="65">
      <formula>ABS(M$16-M$19)&gt;=1000</formula>
    </cfRule>
  </conditionalFormatting>
  <conditionalFormatting sqref="N13:N20">
    <cfRule type="expression" dxfId="1539" priority="64">
      <formula>ABS(N$16-N$19)&gt;=1000</formula>
    </cfRule>
  </conditionalFormatting>
  <conditionalFormatting sqref="O13:O20">
    <cfRule type="expression" dxfId="1538" priority="63">
      <formula>ABS(O$16-O$19)&gt;=1000</formula>
    </cfRule>
  </conditionalFormatting>
  <conditionalFormatting sqref="P13:P20">
    <cfRule type="expression" dxfId="1537" priority="62">
      <formula>ABS(P$16-P$19)&gt;=1000</formula>
    </cfRule>
  </conditionalFormatting>
  <conditionalFormatting sqref="Q13 Q15:Q20">
    <cfRule type="expression" dxfId="1536" priority="61">
      <formula>ABS(Q$16-Q$19)&gt;=1000</formula>
    </cfRule>
  </conditionalFormatting>
  <conditionalFormatting sqref="R13:R20">
    <cfRule type="expression" dxfId="1535" priority="60">
      <formula>ABS(R$16-R$19)&gt;=1000</formula>
    </cfRule>
  </conditionalFormatting>
  <conditionalFormatting sqref="S13:S20">
    <cfRule type="expression" dxfId="1534" priority="59">
      <formula>ABS(S$16-S$19)&gt;=1000</formula>
    </cfRule>
  </conditionalFormatting>
  <conditionalFormatting sqref="T13:T15 T17:T20">
    <cfRule type="expression" dxfId="1533" priority="58">
      <formula>ABS(T$16-T$19)&gt;=1000</formula>
    </cfRule>
  </conditionalFormatting>
  <conditionalFormatting sqref="U13:U20">
    <cfRule type="expression" dxfId="1532" priority="57">
      <formula>ABS(U$16-U$19)&gt;=1000</formula>
    </cfRule>
  </conditionalFormatting>
  <conditionalFormatting sqref="V13:V20">
    <cfRule type="expression" dxfId="1531" priority="56">
      <formula>ABS(V$16-V$19)&gt;=1000</formula>
    </cfRule>
  </conditionalFormatting>
  <conditionalFormatting sqref="W13 W20 W15:W18">
    <cfRule type="expression" dxfId="1530" priority="55">
      <formula>ABS(W$16-W$19)&gt;=1000</formula>
    </cfRule>
  </conditionalFormatting>
  <conditionalFormatting sqref="X13 X15:X20 Y19">
    <cfRule type="expression" dxfId="1529" priority="54">
      <formula>ABS(X$16-X$19)&gt;=1000</formula>
    </cfRule>
  </conditionalFormatting>
  <conditionalFormatting sqref="Y13 Y15:Y18 Y20">
    <cfRule type="expression" dxfId="1528" priority="53">
      <formula>ABS(Y$16-Y$19)&gt;=1000</formula>
    </cfRule>
  </conditionalFormatting>
  <conditionalFormatting sqref="Z13:Z20">
    <cfRule type="expression" dxfId="1527" priority="52">
      <formula>ABS(Z$16-Z$19)&gt;=1000</formula>
    </cfRule>
  </conditionalFormatting>
  <conditionalFormatting sqref="AA13:AA20">
    <cfRule type="expression" dxfId="1526" priority="51">
      <formula>ABS(AA$16-AA$19)&gt;=1000</formula>
    </cfRule>
  </conditionalFormatting>
  <conditionalFormatting sqref="AB13 AB15:AB20">
    <cfRule type="expression" dxfId="1525" priority="50">
      <formula>ABS(AB$16-AB$19)&gt;=1000</formula>
    </cfRule>
  </conditionalFormatting>
  <conditionalFormatting sqref="AC13 AC15:AC20">
    <cfRule type="expression" dxfId="1524" priority="49">
      <formula>ABS(AC$16-AC$19)&gt;=1000</formula>
    </cfRule>
  </conditionalFormatting>
  <conditionalFormatting sqref="AD13:AD20">
    <cfRule type="expression" dxfId="1523" priority="48">
      <formula>ABS(AD$16-AD$19)&gt;=1000</formula>
    </cfRule>
  </conditionalFormatting>
  <conditionalFormatting sqref="AE13:AE20">
    <cfRule type="expression" dxfId="1522" priority="47">
      <formula>ABS(AE$16-AE$19)&gt;=1000</formula>
    </cfRule>
  </conditionalFormatting>
  <conditionalFormatting sqref="D22:D29">
    <cfRule type="expression" dxfId="1521" priority="46">
      <formula>ABS(D$25-D$28)&gt;=1000</formula>
    </cfRule>
  </conditionalFormatting>
  <conditionalFormatting sqref="E22:E29">
    <cfRule type="expression" dxfId="1520" priority="45">
      <formula>ABS(E$25-E$28)&gt;=1000</formula>
    </cfRule>
  </conditionalFormatting>
  <conditionalFormatting sqref="F22:F29">
    <cfRule type="expression" dxfId="1519" priority="44">
      <formula>ABS(F$25-F$28)&gt;=1000</formula>
    </cfRule>
  </conditionalFormatting>
  <conditionalFormatting sqref="G22:G29">
    <cfRule type="expression" dxfId="1518" priority="43">
      <formula>ABS(G$25-G$28)&gt;=1000</formula>
    </cfRule>
  </conditionalFormatting>
  <conditionalFormatting sqref="H22:H29">
    <cfRule type="expression" dxfId="1517" priority="42">
      <formula>ABS(H$25-H$28)&gt;=1000</formula>
    </cfRule>
  </conditionalFormatting>
  <conditionalFormatting sqref="I22 I24:I29">
    <cfRule type="expression" dxfId="1516" priority="41">
      <formula>ABS(I$25-I$28)&gt;=1000</formula>
    </cfRule>
  </conditionalFormatting>
  <conditionalFormatting sqref="J22:J29 K22">
    <cfRule type="expression" dxfId="1515" priority="40">
      <formula>ABS(J$25-J$28)&gt;=1000</formula>
    </cfRule>
  </conditionalFormatting>
  <conditionalFormatting sqref="K23:K29 L25 L28">
    <cfRule type="expression" dxfId="1514" priority="39">
      <formula>ABS(K$25-K$28)&gt;=1000</formula>
    </cfRule>
  </conditionalFormatting>
  <conditionalFormatting sqref="L22 L26:L27 L29 L24">
    <cfRule type="expression" dxfId="1513" priority="38">
      <formula>ABS(L$25-L$28)&gt;=1000</formula>
    </cfRule>
  </conditionalFormatting>
  <conditionalFormatting sqref="M22:M29">
    <cfRule type="expression" dxfId="1512" priority="37">
      <formula>ABS(M$25-M$28)&gt;=1000</formula>
    </cfRule>
  </conditionalFormatting>
  <conditionalFormatting sqref="N22:N29">
    <cfRule type="expression" dxfId="1511" priority="36">
      <formula>ABS(N$25-N$28)&gt;=1000</formula>
    </cfRule>
  </conditionalFormatting>
  <conditionalFormatting sqref="O22:O29">
    <cfRule type="expression" dxfId="1510" priority="35">
      <formula>ABS(O$25-O$28)&gt;=1000</formula>
    </cfRule>
  </conditionalFormatting>
  <conditionalFormatting sqref="P22:P29">
    <cfRule type="expression" dxfId="1509" priority="34">
      <formula>ABS(P$25-P$28)&gt;=1000</formula>
    </cfRule>
  </conditionalFormatting>
  <conditionalFormatting sqref="Q22:Q29">
    <cfRule type="expression" dxfId="1508" priority="33">
      <formula>ABS(Q$25-Q$28)&gt;=1000</formula>
    </cfRule>
  </conditionalFormatting>
  <conditionalFormatting sqref="R22:R29">
    <cfRule type="expression" dxfId="1507" priority="32">
      <formula>ABS(R$25-R$28)&gt;=1000</formula>
    </cfRule>
  </conditionalFormatting>
  <conditionalFormatting sqref="S22:S29">
    <cfRule type="expression" dxfId="1506" priority="31">
      <formula>ABS(S$25-S$28)&gt;=1000</formula>
    </cfRule>
  </conditionalFormatting>
  <conditionalFormatting sqref="T22:T29">
    <cfRule type="expression" dxfId="1505" priority="30">
      <formula>ABS(T$25-T$28)&gt;=1000</formula>
    </cfRule>
  </conditionalFormatting>
  <conditionalFormatting sqref="U22:U29">
    <cfRule type="expression" dxfId="1504" priority="29">
      <formula>ABS(U$25-U$28)&gt;=1000</formula>
    </cfRule>
  </conditionalFormatting>
  <conditionalFormatting sqref="V22:V29">
    <cfRule type="expression" dxfId="1503" priority="28">
      <formula>ABS(V$25-V$28)&gt;=1000</formula>
    </cfRule>
  </conditionalFormatting>
  <conditionalFormatting sqref="W22:W29">
    <cfRule type="expression" dxfId="1502" priority="27">
      <formula>ABS(W$25-W$28)&gt;=1000</formula>
    </cfRule>
  </conditionalFormatting>
  <conditionalFormatting sqref="X22:X29">
    <cfRule type="expression" dxfId="1501" priority="26">
      <formula>ABS(X$25-X$28)&gt;=1000</formula>
    </cfRule>
  </conditionalFormatting>
  <conditionalFormatting sqref="Y22:Y29">
    <cfRule type="expression" dxfId="1500" priority="25">
      <formula>ABS(Y$25-Y$28)&gt;=1000</formula>
    </cfRule>
  </conditionalFormatting>
  <conditionalFormatting sqref="I23">
    <cfRule type="expression" dxfId="1499" priority="24">
      <formula>ABS(I$25-I$28)&gt;=1000</formula>
    </cfRule>
  </conditionalFormatting>
  <conditionalFormatting sqref="Q14">
    <cfRule type="expression" dxfId="1498" priority="23">
      <formula>ABS(Q$16-Q$19)&gt;=1000</formula>
    </cfRule>
  </conditionalFormatting>
  <conditionalFormatting sqref="W14">
    <cfRule type="expression" dxfId="1497" priority="22">
      <formula>ABS(W$16-W$19)&gt;=1000</formula>
    </cfRule>
  </conditionalFormatting>
  <conditionalFormatting sqref="X14">
    <cfRule type="expression" dxfId="1496" priority="21">
      <formula>ABS(X$16-X$19)&gt;=1000</formula>
    </cfRule>
  </conditionalFormatting>
  <conditionalFormatting sqref="T10:Y10">
    <cfRule type="expression" dxfId="1495" priority="20">
      <formula>ABS(T$7-T$10)&gt;=1000</formula>
    </cfRule>
  </conditionalFormatting>
  <conditionalFormatting sqref="W19">
    <cfRule type="expression" dxfId="1494" priority="19">
      <formula>ABS(W$16-W$19)&gt;=1000</formula>
    </cfRule>
  </conditionalFormatting>
  <conditionalFormatting sqref="AC5">
    <cfRule type="expression" dxfId="1493" priority="18">
      <formula>ABS(AC$7-AC$10)&gt;=1000</formula>
    </cfRule>
  </conditionalFormatting>
  <conditionalFormatting sqref="M14">
    <cfRule type="expression" dxfId="1492" priority="17">
      <formula>ABS(M$16-M$19)&gt;=1000</formula>
    </cfRule>
  </conditionalFormatting>
  <conditionalFormatting sqref="M16">
    <cfRule type="expression" dxfId="1491" priority="16">
      <formula>ABS(M$16-M$19)&gt;=1000</formula>
    </cfRule>
  </conditionalFormatting>
  <conditionalFormatting sqref="M19">
    <cfRule type="expression" dxfId="1490" priority="15">
      <formula>ABS(M$16-M$19)&gt;=1000</formula>
    </cfRule>
  </conditionalFormatting>
  <conditionalFormatting sqref="K13:K20">
    <cfRule type="expression" dxfId="1489" priority="14">
      <formula>ABS(K$16-K$19)&gt;=1000</formula>
    </cfRule>
  </conditionalFormatting>
  <conditionalFormatting sqref="E5">
    <cfRule type="expression" dxfId="1488" priority="13">
      <formula>ABS(E$7-E$10)&gt;=1000</formula>
    </cfRule>
  </conditionalFormatting>
  <conditionalFormatting sqref="AB14:AC14">
    <cfRule type="expression" dxfId="1487" priority="12">
      <formula>ABS(AB$16-AB$19)&gt;=1000</formula>
    </cfRule>
  </conditionalFormatting>
  <conditionalFormatting sqref="M5">
    <cfRule type="expression" dxfId="1486" priority="11">
      <formula>ABS(M$7-M$10)&gt;=1000</formula>
    </cfRule>
  </conditionalFormatting>
  <conditionalFormatting sqref="N5">
    <cfRule type="expression" dxfId="1485" priority="10">
      <formula>ABS(N$7-N$10)&gt;=1000</formula>
    </cfRule>
  </conditionalFormatting>
  <conditionalFormatting sqref="O5">
    <cfRule type="expression" dxfId="1484" priority="9">
      <formula>ABS(O$7-O$10)&gt;=1000</formula>
    </cfRule>
  </conditionalFormatting>
  <conditionalFormatting sqref="P5">
    <cfRule type="expression" dxfId="1483" priority="8">
      <formula>ABS(P$7-P$10)&gt;=1000</formula>
    </cfRule>
  </conditionalFormatting>
  <conditionalFormatting sqref="L23">
    <cfRule type="expression" dxfId="1482" priority="7">
      <formula>ABS(L$25-L$28)&gt;=1000</formula>
    </cfRule>
  </conditionalFormatting>
  <conditionalFormatting sqref="Y14">
    <cfRule type="expression" dxfId="1481" priority="6">
      <formula>ABS(Y$16-Y$19)&gt;=1000</formula>
    </cfRule>
  </conditionalFormatting>
  <conditionalFormatting sqref="F14">
    <cfRule type="expression" dxfId="1480" priority="5">
      <formula>ABS(F$16-F$19)&gt;=1000</formula>
    </cfRule>
  </conditionalFormatting>
  <conditionalFormatting sqref="H14">
    <cfRule type="expression" dxfId="1479" priority="4">
      <formula>ABS(H$16-H$19)&gt;=1000</formula>
    </cfRule>
  </conditionalFormatting>
  <conditionalFormatting sqref="AD5">
    <cfRule type="expression" dxfId="1478" priority="3">
      <formula>ABS(AD$7-AD$10)&gt;=1000</formula>
    </cfRule>
  </conditionalFormatting>
  <conditionalFormatting sqref="AE5">
    <cfRule type="expression" dxfId="1477" priority="2">
      <formula>ABS(AE$7-AE$10)&gt;=1000</formula>
    </cfRule>
  </conditionalFormatting>
  <conditionalFormatting sqref="T16">
    <cfRule type="expression" dxfId="1476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123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3">
    <pageSetUpPr fitToPage="1"/>
  </sheetPr>
  <dimension ref="A1:CU223"/>
  <sheetViews>
    <sheetView view="pageBreakPreview" zoomScale="70" zoomScaleNormal="100" zoomScaleSheetLayoutView="70" workbookViewId="0">
      <selection activeCell="O10" sqref="O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46220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6037</v>
      </c>
      <c r="E6" s="71">
        <v>2343</v>
      </c>
      <c r="F6" s="71">
        <v>5301</v>
      </c>
      <c r="G6" s="71">
        <v>3394</v>
      </c>
      <c r="H6" s="71">
        <v>2229</v>
      </c>
      <c r="I6" s="71">
        <v>38.71</v>
      </c>
      <c r="J6" s="71">
        <v>77.010000000000005</v>
      </c>
      <c r="K6" s="71">
        <v>35.81</v>
      </c>
      <c r="L6" s="71">
        <v>65.11</v>
      </c>
      <c r="M6" s="71">
        <v>4470</v>
      </c>
      <c r="N6" s="71">
        <v>5191</v>
      </c>
      <c r="O6" s="71">
        <v>1419</v>
      </c>
      <c r="P6" s="71">
        <v>1913</v>
      </c>
      <c r="Q6" s="71">
        <v>2750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0</v>
      </c>
      <c r="X6" s="71">
        <v>4035</v>
      </c>
      <c r="Y6" s="71">
        <v>6546</v>
      </c>
      <c r="Z6" s="71">
        <v>4153</v>
      </c>
      <c r="AA6" s="71">
        <v>0</v>
      </c>
      <c r="AB6" s="71">
        <v>1676</v>
      </c>
      <c r="AC6" s="71">
        <v>4382</v>
      </c>
      <c r="AD6" s="71">
        <v>4329</v>
      </c>
      <c r="AE6" s="71">
        <v>4691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188823.06522918001</v>
      </c>
      <c r="E7" s="73" ph="1">
        <f>E6*51.53*LOOKUP(E8,密度!$A$2:$A$50,密度!$B$2:$B$50)</f>
        <v>93605.682687000008</v>
      </c>
      <c r="F7" s="73" ph="1">
        <f>F6*33.183*LOOKUP(F8,密度!$A$2:$A$50,密度!$C$2:$C$50)</f>
        <v>194654.35164780001</v>
      </c>
      <c r="G7" s="73" ph="1">
        <f xml:space="preserve"> (G6+2)*51.53*LOOKUP(G8,密度!$A$2:$A$50,密度!$B$2:$B$50)</f>
        <v>135674.30576399999</v>
      </c>
      <c r="H7" s="73" ph="1">
        <f>(H6)*51.53*LOOKUP(H8,密度!$A$2:$A$50,密度!$B$2:$B$50)</f>
        <v>89246.507490000004</v>
      </c>
      <c r="I7" s="73" ph="1">
        <f>I6*290.8*1.0267</f>
        <v>11557.4263756</v>
      </c>
      <c r="J7" s="73" ph="1">
        <f>J6*290.8*0.7892</f>
        <v>17673.745713600001</v>
      </c>
      <c r="K7" s="73" ph="1">
        <f>K6*290.8*1.1126</f>
        <v>11586.113504800001</v>
      </c>
      <c r="L7" s="73" ph="1">
        <f>L6*290.8*0.777</f>
        <v>14711.708676000002</v>
      </c>
      <c r="M7" s="73" ph="1">
        <f>M6*33.183*LOOKUP(M8,密度!$A$2:$A$50,密度!$D$2:$D$50)</f>
        <v>151591.22622000001</v>
      </c>
      <c r="N7" s="73" ph="1">
        <f>N6*33.183*LOOKUP(N8,密度!$A$2:$A$50,密度!$E$2:$E$50)</f>
        <v>133943.89625280001</v>
      </c>
      <c r="O7" s="73" ph="1">
        <f>O6*20.428*LOOKUP(O8,密度!$A$2:$A$50,密度!$C$2:$C$50)</f>
        <v>31973.027196000003</v>
      </c>
      <c r="P7" s="73" ph="1">
        <f>P6*51.53*LOOKUP(P8,密度!$A$2:$A$50,密度!$B$2:$B$50)</f>
        <v>76594.243530000007</v>
      </c>
      <c r="Q7" s="73" ph="1">
        <f>Q6*1.5*1.5*3.1416*LOOKUP(W8,密度!$A$2:$A$50,密度!$L$2:$L$50)</f>
        <v>18155.699100000002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26639.362134000003</v>
      </c>
      <c r="Y7" s="73" ph="1">
        <f>Y6*1.5*1.5*3.1416*LOOKUP(Y8,密度!$A$2:$A$50,密度!$L$2:$L$50)</f>
        <v>43217.165930399999</v>
      </c>
      <c r="Z7" s="73" ph="1">
        <f>Z6*33.183*LOOKUP(Z8,密度!$A$2:$A$50,密度!$L$2:$L$50)</f>
        <v>128713.60506600002</v>
      </c>
      <c r="AA7" s="73" ph="1">
        <f>AA6*33.183*LOOKUP(AA8,密度!$A$2:$A$50,密度!$D$2:$D$50)</f>
        <v>0</v>
      </c>
      <c r="AB7" s="73" ph="1">
        <f>AB6*20.428*LOOKUP(AB8,密度!$A$2:$A$50,密度!$D$2:$D$50)</f>
        <v>35151.464657600001</v>
      </c>
      <c r="AC7" s="73" ph="1">
        <f>AC6*51.53*LOOKUP(AC8,密度!$A$2:$A$50,密度!$Q$2:$Q$50)</f>
        <v>213008.12125179998</v>
      </c>
      <c r="AD7" s="73" ph="1">
        <f>AD6*20.428*LOOKUP(AD8,密度!$A$2:$A$50,密度!$V$2:$V$50)</f>
        <v>84683.260771200003</v>
      </c>
      <c r="AE7" s="73" ph="1">
        <f>AE6*20.428</f>
        <v>95827.748000000007</v>
      </c>
    </row>
    <row r="8" spans="1:99" ph="1">
      <c r="B8" s="241" ph="1"/>
      <c r="C8" s="68" t="s" ph="1">
        <v>179</v>
      </c>
      <c r="D8" s="74">
        <v>31</v>
      </c>
      <c r="E8" s="74">
        <v>30</v>
      </c>
      <c r="F8" s="74">
        <v>28</v>
      </c>
      <c r="G8" s="74">
        <v>30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32</v>
      </c>
      <c r="P8" s="74">
        <v>28</v>
      </c>
      <c r="Q8" s="74">
        <v>30</v>
      </c>
      <c r="R8" s="74">
        <v>36</v>
      </c>
      <c r="S8" s="74">
        <v>25</v>
      </c>
      <c r="T8" s="74">
        <v>25</v>
      </c>
      <c r="U8" s="74">
        <v>27</v>
      </c>
      <c r="V8" s="74">
        <v>27</v>
      </c>
      <c r="W8" s="74">
        <v>28</v>
      </c>
      <c r="X8" s="74">
        <v>28</v>
      </c>
      <c r="Y8" s="74">
        <v>28</v>
      </c>
      <c r="Z8" s="74">
        <v>28</v>
      </c>
      <c r="AA8" s="74">
        <v>32</v>
      </c>
      <c r="AB8" s="74">
        <v>25</v>
      </c>
      <c r="AC8" s="74">
        <v>30</v>
      </c>
      <c r="AD8" s="74">
        <v>27</v>
      </c>
      <c r="AE8" s="74">
        <v>29</v>
      </c>
    </row>
    <row r="9" spans="1:99" ht="26.4" ph="1">
      <c r="B9" s="241" ph="1">
        <v>0.66666666666666663</v>
      </c>
      <c r="C9" s="163" t="s" ph="1">
        <v>180</v>
      </c>
      <c r="D9" s="71">
        <v>6040</v>
      </c>
      <c r="E9" s="71">
        <v>2342</v>
      </c>
      <c r="F9" s="71">
        <v>5965</v>
      </c>
      <c r="G9" s="71">
        <v>3394</v>
      </c>
      <c r="H9" s="71">
        <v>3486</v>
      </c>
      <c r="I9" s="71">
        <v>38.71</v>
      </c>
      <c r="J9" s="71">
        <v>77.11</v>
      </c>
      <c r="K9" s="71">
        <v>7.21</v>
      </c>
      <c r="L9" s="71">
        <v>73.319999999999993</v>
      </c>
      <c r="M9" s="71">
        <v>4470</v>
      </c>
      <c r="N9" s="71">
        <v>5196</v>
      </c>
      <c r="O9" s="71">
        <v>1439</v>
      </c>
      <c r="P9" s="71">
        <v>1326</v>
      </c>
      <c r="Q9" s="71">
        <v>7188</v>
      </c>
      <c r="R9" s="71">
        <v>3552</v>
      </c>
      <c r="S9" s="71">
        <v>0</v>
      </c>
      <c r="T9" s="71">
        <v>0</v>
      </c>
      <c r="U9" s="71">
        <v>0</v>
      </c>
      <c r="V9" s="71">
        <v>0</v>
      </c>
      <c r="W9" s="71">
        <v>0</v>
      </c>
      <c r="X9" s="71">
        <v>2654</v>
      </c>
      <c r="Y9" s="71">
        <v>5785</v>
      </c>
      <c r="Z9" s="71">
        <v>1946</v>
      </c>
      <c r="AA9" s="71">
        <v>0</v>
      </c>
      <c r="AB9" s="71">
        <v>1674</v>
      </c>
      <c r="AC9" s="71">
        <v>5508</v>
      </c>
      <c r="AD9" s="71">
        <v>4332</v>
      </c>
      <c r="AE9" s="71">
        <v>4633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188650.33245000002</v>
      </c>
      <c r="E10" s="73" ph="1">
        <f>E9*51.53*LOOKUP(E11,密度!$A$2:$A$50,密度!$B$2:$B$50)</f>
        <v>93143.340068000005</v>
      </c>
      <c r="F10" s="73" ph="1">
        <f>F9*33.183*LOOKUP(F11,密度!$A$2:$A$50,密度!$C$2:$C$50)</f>
        <v>218126.12769000002</v>
      </c>
      <c r="G10" s="73" ph="1">
        <f xml:space="preserve"> (G9+2)*51.53*LOOKUP(G11,密度!$A$2:$A$50,密度!$B$2:$B$50)</f>
        <v>135219.31647600001</v>
      </c>
      <c r="H10" s="73" ph="1">
        <f>(H9)*51.53*LOOKUP(H11,密度!$A$2:$A$50,密度!$B$2:$B$50)</f>
        <v>138946.57412999999</v>
      </c>
      <c r="I10" s="73" ph="1">
        <f>I9*290.8*1.0267</f>
        <v>11557.4263756</v>
      </c>
      <c r="J10" s="73" ph="1">
        <f>J9*290.8*0.7892</f>
        <v>17696.695649599998</v>
      </c>
      <c r="K10" s="73" ph="1">
        <f>K9*290.8*1.1126</f>
        <v>2332.7528168000003</v>
      </c>
      <c r="L10" s="73" ph="1">
        <f>L9*290.8*0.777</f>
        <v>16566.771312000001</v>
      </c>
      <c r="M10" s="73" ph="1">
        <f>M9*33.183*LOOKUP(M11,密度!$A$2:$A$50,密度!$D$2:$D$50)</f>
        <v>150152.44452300001</v>
      </c>
      <c r="N10" s="73" ph="1">
        <f>N9*33.183*LOOKUP(N11,密度!$A$2:$A$50,密度!$E$2:$E$50)</f>
        <v>133484.96341691999</v>
      </c>
      <c r="O10" s="73" ph="1">
        <f>O9*20.428*LOOKUP(O11,密度!$A$2:$A$50,密度!$C$2:$C$50)</f>
        <v>32209.078864399999</v>
      </c>
      <c r="P10" s="73" ph="1">
        <f>P9*51.53*LOOKUP(P11,密度!$A$2:$A$50,密度!$B$2:$B$50)</f>
        <v>52797.648306000003</v>
      </c>
      <c r="Q10" s="73" ph="1">
        <f>Q9*1.5*1.5*3.1416*LOOKUP(W11,密度!$A$2:$A$50,密度!$L$2:$L$50)</f>
        <v>46795.178152799999</v>
      </c>
      <c r="R10" s="73" ph="1">
        <f>R9*1.5*1.5*3.1416*LOOKUP(R11,密度!$A$2:$A$50,密度!$L$2:$L$50)</f>
        <v>23249.699827200002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17521.900149600002</v>
      </c>
      <c r="Y10" s="73" ph="1">
        <f>Y9*1.5*1.5*3.1416*LOOKUP(Y11,密度!$A$2:$A$50,密度!$L$2:$L$50)</f>
        <v>38111.205132000003</v>
      </c>
      <c r="Z10" s="73" ph="1">
        <f>Z9*33.183*LOOKUP(Z11,密度!$A$2:$A$50,密度!$L$2:$L$50)</f>
        <v>59666.485032000004</v>
      </c>
      <c r="AA10" s="73" ph="1">
        <f>AA9*33.183*LOOKUP(AA11,密度!$A$2:$A$50,密度!$D$2:$D$50)</f>
        <v>0</v>
      </c>
      <c r="AB10" s="73" ph="1">
        <f>AB9*20.428*LOOKUP(AB11,密度!$A$2:$A$50,密度!$D$2:$D$50)</f>
        <v>35013.767680800003</v>
      </c>
      <c r="AC10" s="73" ph="1">
        <f>AC9*51.53*LOOKUP(AC11,密度!$A$2:$A$50,密度!$Q$2:$Q$50)</f>
        <v>266965.06367160002</v>
      </c>
      <c r="AD10" s="73" ph="1">
        <f>AD9*20.428*LOOKUP(AD11,密度!$A$2:$A$50,密度!$V$2:$V$50)</f>
        <v>84741.946329600003</v>
      </c>
      <c r="AE10" s="73" ph="1">
        <f>AE9*20.428</f>
        <v>94642.923999999999</v>
      </c>
    </row>
    <row r="11" spans="1:99" ph="1">
      <c r="A11" s="64" t="s" ph="1">
        <v>162</v>
      </c>
      <c r="B11" s="241" ph="1"/>
      <c r="C11" s="163" t="s" ph="1">
        <v>179</v>
      </c>
      <c r="D11" s="74">
        <v>33</v>
      </c>
      <c r="E11" s="74">
        <v>34</v>
      </c>
      <c r="F11" s="74">
        <v>33</v>
      </c>
      <c r="G11" s="74">
        <v>33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41</v>
      </c>
      <c r="N11" s="74">
        <v>33</v>
      </c>
      <c r="O11" s="74">
        <v>39</v>
      </c>
      <c r="P11" s="74">
        <v>33</v>
      </c>
      <c r="Q11" s="74">
        <v>33</v>
      </c>
      <c r="R11" s="74">
        <v>36</v>
      </c>
      <c r="S11" s="74">
        <v>30</v>
      </c>
      <c r="T11" s="74">
        <v>36</v>
      </c>
      <c r="U11" s="74">
        <v>35</v>
      </c>
      <c r="V11" s="74">
        <v>28</v>
      </c>
      <c r="W11" s="74">
        <v>41</v>
      </c>
      <c r="X11" s="74">
        <v>28</v>
      </c>
      <c r="Y11" s="74">
        <v>30</v>
      </c>
      <c r="Z11" s="74">
        <v>38</v>
      </c>
      <c r="AA11" s="74">
        <v>38</v>
      </c>
      <c r="AB11" s="74">
        <v>28</v>
      </c>
      <c r="AC11" s="74">
        <v>34</v>
      </c>
      <c r="AD11" s="74">
        <v>35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2690</v>
      </c>
      <c r="E15" s="78">
        <v>54</v>
      </c>
      <c r="F15" s="78">
        <v>3003</v>
      </c>
      <c r="G15" s="78">
        <v>4391</v>
      </c>
      <c r="H15" s="78">
        <v>0</v>
      </c>
      <c r="I15" s="78">
        <v>3132</v>
      </c>
      <c r="J15" s="78">
        <v>455</v>
      </c>
      <c r="K15" s="78">
        <v>3958</v>
      </c>
      <c r="L15" s="78">
        <v>5852</v>
      </c>
      <c r="M15" s="78">
        <v>5896</v>
      </c>
      <c r="N15" s="78">
        <v>480</v>
      </c>
      <c r="O15" s="78">
        <v>2502</v>
      </c>
      <c r="P15" s="78">
        <v>3451</v>
      </c>
      <c r="Q15" s="78">
        <v>2911</v>
      </c>
      <c r="R15" s="78">
        <v>1947</v>
      </c>
      <c r="S15" s="78">
        <v>0</v>
      </c>
      <c r="T15" s="78">
        <v>529</v>
      </c>
      <c r="U15" s="78">
        <v>4494</v>
      </c>
      <c r="V15" s="78">
        <v>3214</v>
      </c>
      <c r="W15" s="71">
        <v>5000</v>
      </c>
      <c r="X15" s="78">
        <v>1079</v>
      </c>
      <c r="Y15" s="106">
        <v>-9909</v>
      </c>
      <c r="Z15" s="78">
        <v>51</v>
      </c>
      <c r="AA15" s="78">
        <v>2528</v>
      </c>
      <c r="AB15" s="78" ph="1">
        <v>0</v>
      </c>
      <c r="AC15" s="78" ph="1">
        <v>0</v>
      </c>
      <c r="AD15" s="78">
        <v>5.61</v>
      </c>
      <c r="AE15" s="78">
        <v>44.33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17721.545688000002</v>
      </c>
      <c r="E16" s="73" ph="1">
        <f>E15*7.0686*LOOKUP(E17,密度!$A$2:$A$50,密度!$L$2:$L$50)</f>
        <v>355.74850080000004</v>
      </c>
      <c r="F16" s="73" ph="1">
        <f>F15*9.0746*LOOKUP(F17,密度!$A$2:$A$50,密度!$L$2:$L$50)</f>
        <v>25234.448038800001</v>
      </c>
      <c r="G16" s="73" ph="1">
        <f>G15*9.0746*LOOKUP(G17,密度!$A$2:$A$50,密度!$B$2:$B$50)</f>
        <v>30960.7838022</v>
      </c>
      <c r="H16" s="73" ph="1">
        <f>H15*9.0746*LOOKUP(H17,密度!$A$2:$A$50,密度!$L$2:$L$50)</f>
        <v>0</v>
      </c>
      <c r="I16" s="73" ph="1">
        <f>I15*9.0746*LOOKUP(I17,密度!$A$2:$A$50,密度!$U$2:$U$50)</f>
        <v>29046.923438400001</v>
      </c>
      <c r="J16" s="73" ph="1">
        <f>J15*9.0746*LOOKUP(J17,密度!$A$2:$A$50,密度!$L$2:$L$50)</f>
        <v>3852.3038190000002</v>
      </c>
      <c r="K16" s="73" ph="1">
        <f>K15*9.0746*LOOKUP(K17,密度!$A$2:$A$50,密度!$C$2:$C$50)</f>
        <v>39692.171540679999</v>
      </c>
      <c r="L16" s="73" ph="1">
        <f>L15*9.0746*LOOKUP(L17,密度!$A$2:$A$50,密度!$E$2:$E$50)</f>
        <v>41294.105233920003</v>
      </c>
      <c r="M16" s="73" ph="1">
        <f>M15*9.0746*LOOKUP(M17,密度!$A$2:$A$50,密度!$M$2:$M$50)</f>
        <v>46487.882850991999</v>
      </c>
      <c r="N16" s="73" ph="1">
        <f>N15*9.0746*LOOKUP(N17,密度!$A$2:$A$50,密度!$M$2:$M$50)</f>
        <v>3807.4117728000001</v>
      </c>
      <c r="O16" s="73" ph="1">
        <f>O15*9.0746*LOOKUP(O17,密度!$A$2:$A$50,密度!$G$2:$G$50)</f>
        <v>21653.650988531997</v>
      </c>
      <c r="P16" s="73" ph="1">
        <f ca="1">P15*9.0746*LOOKUP(P17,密度!$A$2:$A$51,密度!$Q$2:$Q$50)</f>
        <v>29560.531551278003</v>
      </c>
      <c r="Q16" s="73" ph="1">
        <f>Q15*9.0746*LOOKUP(Q17,密度!$A$2:$A$50,密度!$Q$2:$Q$50)</f>
        <v>24919.156778797998</v>
      </c>
      <c r="R16" s="73" ph="1">
        <f>MAX(R15*9.0746*LOOKUP(R17,密度!$A$2:$A$50,密度!$B$2:$B$50),0)</f>
        <v>13698.19127886</v>
      </c>
      <c r="S16" s="73" ph="1">
        <f>S15*9.0746*LOOKUP(S17,密度!$A$2:$A$50,密度!$Q$2:$Q$50)</f>
        <v>0</v>
      </c>
      <c r="T16" s="73" ph="1">
        <f>T15*9.0746*LOOKUP(T17,密度!$A$2:$A$50,密度!$O$2:$O$50)</f>
        <v>4445.2291084000008</v>
      </c>
      <c r="U16" s="73" ph="1">
        <f>U15*9.0746*LOOKUP(U17,密度!$A$2:$A$50,密度!$H$2:$H$50)</f>
        <v>37192.502188799997</v>
      </c>
      <c r="V16" s="73" ph="1">
        <f>MAX(5600*LOOKUP(V17,密度!$A$2:$A$50,密度!$Q$2:$Q$50)+V15*9.0476*LOOKUP(V17,密度!$A$2:$A$50,密度!$Q$2:$Q$50),0)</f>
        <v>32713.728240712</v>
      </c>
      <c r="W16" s="73" ph="1">
        <f>MAX(5600*LOOKUP(W17,密度!$A$2:$A$50,密度!$Q$2:$Q$50)+W15*9.0476*LOOKUP(W17,密度!$A$2:$A$50,密度!$Q$2:$Q$50),0)</f>
        <v>47957.010539999996</v>
      </c>
      <c r="X16" s="73" ph="1">
        <f>MAX(5600*LOOKUP(X17,密度!$A$2:$A$50,密度!$I$2:$I$50)+X15*9.0476*LOOKUP(X17,密度!$A$2:$A$50,密度!$I$2:$I$50),0)</f>
        <v>15926.159026679998</v>
      </c>
      <c r="Y16" s="107" ph="1">
        <v>0</v>
      </c>
      <c r="Z16" s="73" ph="1">
        <f>Z15*9.0746*LOOKUP(Z17,密度!$A$2:$A$50,密度!$D$2:$D$50)</f>
        <v>473.86562994000002</v>
      </c>
      <c r="AA16" s="73" ph="1">
        <f>AA15*9.0746*LOOKUP(AA17,密度!$A$2:$A$50,密度!$B$2:$B$50)</f>
        <v>17824.837497600001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2395.9406260799997</v>
      </c>
      <c r="AE16" s="73" ph="1">
        <f>AE15*268.68*LOOKUP(AE17,密度!$A$2:$A$50,密度!B2:B50)+IF(AE15&lt;=0,0,1566*LOOKUP(AE17,密度!$A$2:$A$50,密度!B2:B50))</f>
        <v>10506.34519824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36</v>
      </c>
      <c r="G17" s="74">
        <v>28</v>
      </c>
      <c r="H17" s="74">
        <v>33</v>
      </c>
      <c r="I17" s="74">
        <v>28</v>
      </c>
      <c r="J17" s="74">
        <v>29</v>
      </c>
      <c r="K17" s="74">
        <v>30</v>
      </c>
      <c r="L17" s="74">
        <v>30</v>
      </c>
      <c r="M17" s="74">
        <v>31</v>
      </c>
      <c r="N17" s="74">
        <v>26</v>
      </c>
      <c r="O17" s="74">
        <v>31</v>
      </c>
      <c r="P17" s="74">
        <v>29</v>
      </c>
      <c r="Q17" s="74">
        <v>30</v>
      </c>
      <c r="R17" s="74">
        <v>30</v>
      </c>
      <c r="S17" s="74">
        <v>28</v>
      </c>
      <c r="T17" s="74">
        <v>27</v>
      </c>
      <c r="U17" s="74">
        <v>28</v>
      </c>
      <c r="V17" s="74">
        <v>30</v>
      </c>
      <c r="W17" s="74">
        <v>30</v>
      </c>
      <c r="X17" s="74">
        <v>30</v>
      </c>
      <c r="Y17" s="108">
        <v>30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254</v>
      </c>
      <c r="E18" s="71">
        <v>2505</v>
      </c>
      <c r="F18" s="71">
        <v>3015</v>
      </c>
      <c r="G18" s="71">
        <v>1101</v>
      </c>
      <c r="H18" s="71">
        <v>0</v>
      </c>
      <c r="I18" s="71">
        <v>3134</v>
      </c>
      <c r="J18" s="71">
        <v>460</v>
      </c>
      <c r="K18" s="71">
        <v>3959</v>
      </c>
      <c r="L18" s="71">
        <v>5863</v>
      </c>
      <c r="M18" s="71">
        <v>2950</v>
      </c>
      <c r="N18" s="71">
        <v>2105</v>
      </c>
      <c r="O18" s="71">
        <v>2503</v>
      </c>
      <c r="P18" s="71">
        <v>3453</v>
      </c>
      <c r="Q18" s="71">
        <v>2914</v>
      </c>
      <c r="R18" s="71">
        <v>1948</v>
      </c>
      <c r="S18" s="71">
        <v>0</v>
      </c>
      <c r="T18" s="71">
        <v>6409</v>
      </c>
      <c r="U18" s="71">
        <v>335</v>
      </c>
      <c r="V18" s="71">
        <v>3214</v>
      </c>
      <c r="W18" s="71">
        <v>5000</v>
      </c>
      <c r="X18" s="71">
        <v>1077</v>
      </c>
      <c r="Y18" s="109">
        <v>-9909</v>
      </c>
      <c r="Z18" s="71">
        <v>42</v>
      </c>
      <c r="AA18" s="71">
        <v>2530</v>
      </c>
      <c r="AB18" s="71">
        <v>0</v>
      </c>
      <c r="AC18" s="71">
        <v>0</v>
      </c>
      <c r="AD18" s="71">
        <v>17.02</v>
      </c>
      <c r="AE18" s="71">
        <v>85.11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1669.7446920000002</v>
      </c>
      <c r="E19" s="73" ph="1">
        <f>E18*7.0686*LOOKUP(E20,密度!$A$2:$A$50,密度!$L$2:$L$50)</f>
        <v>16449.657147000002</v>
      </c>
      <c r="F19" s="73" ph="1">
        <f>F18*9.0746*LOOKUP(F20,密度!$A$2:$A$50,密度!$L$2:$L$50)</f>
        <v>25280.565156000004</v>
      </c>
      <c r="G19" s="73" ph="1">
        <f>G18*9.0746*LOOKUP(G20,密度!$A$2:$A$50,密度!$B$2:$B$50)</f>
        <v>7720.1497054199999</v>
      </c>
      <c r="H19" s="73" ph="1">
        <f>H18*9.0746*LOOKUP(H20,密度!$A$2:$A$50,密度!$L$2:$L$50)</f>
        <v>0</v>
      </c>
      <c r="I19" s="73" ph="1">
        <f>I18*9.0746*LOOKUP(I20,密度!$A$2:$A$50,密度!$U$2:$U$50)</f>
        <v>28752.634160399997</v>
      </c>
      <c r="J19" s="73" ph="1">
        <f>J18*9.0746*LOOKUP(J20,密度!$A$2:$A$50,密度!$L$2:$L$50)</f>
        <v>3848.7193520000001</v>
      </c>
      <c r="K19" s="73" ph="1">
        <f>K18*9.0746*LOOKUP(K20,密度!$A$2:$A$50,密度!$C$2:$C$50)</f>
        <v>39515.382905860002</v>
      </c>
      <c r="L19" s="73" ph="1">
        <f>L18*9.0746*LOOKUP(L20,密度!$A$2:$A$50,密度!$E$2:$E$50)</f>
        <v>41250.419746536005</v>
      </c>
      <c r="M19" s="73" ph="1">
        <f>M18*9.0746*LOOKUP(M20,密度!$A$2:$A$50,密度!$M$2:$M$50)</f>
        <v>23147.2764269</v>
      </c>
      <c r="N19" s="73" ph="1">
        <f>N18*9.0746*LOOKUP(N20,密度!$A$2:$A$50,密度!$M$2:$M$50)</f>
        <v>16656.972775999999</v>
      </c>
      <c r="O19" s="73" ph="1">
        <f>O18*9.0746*LOOKUP(O20,密度!$A$2:$A$50,密度!$G$2:$G$50)</f>
        <v>21638.001840831999</v>
      </c>
      <c r="P19" s="73" ph="1">
        <f ca="1">P18*9.0746*LOOKUP(P20,密度!$A$2:$A$51,密度!$Q$2:$Q$50)</f>
        <v>29535.361424004001</v>
      </c>
      <c r="Q19" s="73" ph="1">
        <f>Q18*9.0746*LOOKUP(Q20,密度!$A$2:$A$50,密度!$Q$2:$Q$50)</f>
        <v>24907.023766359998</v>
      </c>
      <c r="R19" s="73" ph="1">
        <f>MAX(R18*9.0746*LOOKUP(R20,密度!$A$2:$A$50,密度!$B$2:$B$50),0)</f>
        <v>13673.407638800001</v>
      </c>
      <c r="S19" s="73" ph="1">
        <f>S18*9.0746*LOOKUP(S20,密度!$A$2:$A$50,密度!$Q$2:$Q$50)</f>
        <v>0</v>
      </c>
      <c r="T19" s="73" ph="1">
        <f>T18*9.0746*LOOKUP(T20,密度!$A$2:$A$50,密度!$O$2:$O$50)</f>
        <v>53622.700710800003</v>
      </c>
      <c r="U19" s="73" ph="1">
        <f>U18*9.0746*LOOKUP(U20,密度!$A$2:$A$50,密度!$H$2:$H$50)</f>
        <v>2760.5550272800001</v>
      </c>
      <c r="V19" s="73" ph="1">
        <f>MAX(5600*LOOKUP(V20,密度!$A$2:$A$50,密度!$Q$2:$Q$50)+V18*9.0476*LOOKUP(V20,密度!$A$2:$A$50,密度!$Q$2:$Q$50),0)</f>
        <v>32573.971925519996</v>
      </c>
      <c r="W19" s="73" ph="1">
        <f>MAX(5600*LOOKUP(W20,密度!$A$2:$A$50,密度!$Q$2:$Q$50)+W18*9.0476*LOOKUP(W20,密度!$A$2:$A$50,密度!$Q$2:$Q$50),0)</f>
        <v>47851.267499999994</v>
      </c>
      <c r="X19" s="73" ph="1">
        <f>MAX(5600*LOOKUP(X20,密度!$A$2:$A$50,密度!$I$2:$I$50)+X18*9.0476*LOOKUP(X20,密度!$A$2:$A$50,密度!$I$2:$I$50),0)</f>
        <v>15856.763657680001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388.1841642</v>
      </c>
      <c r="AA19" s="73" ph="1">
        <f>AA18*9.0746*LOOKUP(AA20,密度!$A$2:$A$50,密度!$B$2:$B$50)</f>
        <v>17719.553988400003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4769.9514072000002</v>
      </c>
      <c r="AE19" s="73" ph="1">
        <f>AE18*268.68*LOOKUP(AE20,密度!$A$2:$A$50,密度!B5:B53)+IF(AE18&lt;=0,0,1566*LOOKUP(AE20,密度!$A$2:$A$50,密度!B5:B53))</f>
        <v>18984.716679600002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33</v>
      </c>
      <c r="F20" s="81">
        <v>38</v>
      </c>
      <c r="G20" s="81">
        <v>33</v>
      </c>
      <c r="H20" s="81">
        <v>32</v>
      </c>
      <c r="I20" s="81">
        <v>40</v>
      </c>
      <c r="J20" s="81">
        <v>40</v>
      </c>
      <c r="K20" s="81">
        <v>35</v>
      </c>
      <c r="L20" s="81">
        <v>32</v>
      </c>
      <c r="M20" s="81">
        <v>35</v>
      </c>
      <c r="N20" s="81">
        <v>28</v>
      </c>
      <c r="O20" s="81">
        <v>32</v>
      </c>
      <c r="P20" s="81">
        <v>31</v>
      </c>
      <c r="Q20" s="81">
        <v>32</v>
      </c>
      <c r="R20" s="81">
        <v>32</v>
      </c>
      <c r="S20" s="81">
        <v>34</v>
      </c>
      <c r="T20" s="81">
        <v>30</v>
      </c>
      <c r="U20" s="81">
        <v>32</v>
      </c>
      <c r="V20" s="81">
        <v>36</v>
      </c>
      <c r="W20" s="81">
        <v>33</v>
      </c>
      <c r="X20" s="81">
        <v>33</v>
      </c>
      <c r="Y20" s="110">
        <v>33</v>
      </c>
      <c r="Z20" s="81">
        <v>34</v>
      </c>
      <c r="AA20" s="81">
        <v>34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48.71</v>
      </c>
      <c r="E24" s="71">
        <v>5.81</v>
      </c>
      <c r="F24" s="71">
        <v>3328</v>
      </c>
      <c r="G24" s="71">
        <v>3519</v>
      </c>
      <c r="H24" s="71">
        <v>3889</v>
      </c>
      <c r="I24" s="71">
        <v>0</v>
      </c>
      <c r="J24" s="71">
        <v>661</v>
      </c>
      <c r="K24" s="71">
        <v>317</v>
      </c>
      <c r="L24" s="71">
        <v>301</v>
      </c>
      <c r="M24" s="71">
        <v>326</v>
      </c>
      <c r="N24" s="71">
        <v>799</v>
      </c>
      <c r="O24" s="71">
        <v>343</v>
      </c>
      <c r="P24" s="71">
        <v>368</v>
      </c>
      <c r="Q24" s="90">
        <v>2890</v>
      </c>
      <c r="R24" s="71">
        <v>349</v>
      </c>
      <c r="S24" s="71">
        <v>1350</v>
      </c>
      <c r="T24" s="71">
        <v>391</v>
      </c>
      <c r="U24" s="71">
        <v>3440</v>
      </c>
      <c r="V24" s="71">
        <v>884</v>
      </c>
      <c r="W24" s="71">
        <v>414</v>
      </c>
      <c r="X24" s="71">
        <v>3926</v>
      </c>
      <c r="Y24" s="71">
        <v>7661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13872.962566872</v>
      </c>
      <c r="E25" s="91" ph="1">
        <f>E24*268.68*LOOKUP(E26,密度!$A$2:$A$50,密度!$C$2:$C$50)+IF(E24&lt;=0,0,1566*LOOKUP(E26,密度!$A$2:$A$50,密度!$C$2:$C$50))</f>
        <v>3467.5644541199999</v>
      </c>
      <c r="F25" s="91" ph="1">
        <f>F24*11.702*LOOKUP(F26,密度!$A$2:$A$50,密度!$Q$2:$Q$50)</f>
        <v>36814.784081920006</v>
      </c>
      <c r="G25" s="91" ph="1">
        <f>G24*18.322*LOOKUP(G26,密度!$A$2:$A$50,密度!$B$2:$B$50)</f>
        <v>50155.194292200002</v>
      </c>
      <c r="H25" s="91" ph="1">
        <f>H24*18.322*LOOKUP(H26,密度!$A$2:$A$50,密度!$B$2:$B$50)</f>
        <v>55364.558466000002</v>
      </c>
      <c r="I25" s="91" ph="1">
        <f>I24*18.322*LOOKUP(I26,密度!$A$2:$A$50,密度!$Q$2:$Q$50)</f>
        <v>0</v>
      </c>
      <c r="J25" s="91" ph="1">
        <f>J24*18.322*LOOKUP(J26,密度!$A$2:$A$50,密度!$Q$2:$Q$50)</f>
        <v>11440.14357004</v>
      </c>
      <c r="K25" s="91" ph="1">
        <f>K24*18.322*LOOKUP(K26,密度!$A$2:$A$50,密度!$Q$2:$Q$50)</f>
        <v>5486.4228618799998</v>
      </c>
      <c r="L25" s="91" ph="1">
        <f>L24*18.322*LOOKUP(L26,密度!$A$2:$A$50,密度!$Q$2:$Q$50)</f>
        <v>5213.3660650399997</v>
      </c>
      <c r="M25" s="91" ph="1">
        <f>M24*18.322*LOOKUP(M26,密度!$A$2:$A$50,密度!$Q$2:$Q$50)</f>
        <v>5642.1888106400002</v>
      </c>
      <c r="N25" s="91" ph="1">
        <f>N24*18.322*LOOKUP(N26,密度!$A$2:$A$50,密度!$Q$2:$Q$50)</f>
        <v>13828.55478436</v>
      </c>
      <c r="O25" s="91" ph="1">
        <f>O24*18.322*LOOKUP(O26,密度!$A$2:$A$50,密度!$C$2:$C$50)</f>
        <v>6959.3955003999999</v>
      </c>
      <c r="P25" s="91" ph="1">
        <f>P24*11.702*LOOKUP(P26,密度!$A$2:$A$50,密度!$B$2:$B$50)</f>
        <v>3346.0230720000004</v>
      </c>
      <c r="Q25" s="92" ph="1">
        <f>Q24*18.322*LOOKUP(Q26,密度!$A$2:$A$50,密度!$B$2:$B$50)</f>
        <v>41100.240195999999</v>
      </c>
      <c r="R25" s="91" ph="1">
        <f>R24*35.891*LOOKUP(R26,密度!$A$2:$A$50,密度!$C$2:$C$50)</f>
        <v>13861.226229399999</v>
      </c>
      <c r="S25" s="91" ph="1">
        <f>S24*35.891*LOOKUP(S26,密度!$A$2:$A$50,密度!$B$2:$B$50)</f>
        <v>37691.472014999999</v>
      </c>
      <c r="T25" s="91" ph="1">
        <f>T24*35.891*LOOKUP(T26,密度!$A$2:$A$50,密度!$Q$2:$Q$50)</f>
        <v>13266.035726919999</v>
      </c>
      <c r="U25" s="91" ph="1">
        <f>U24*35.891</f>
        <v>123465.04</v>
      </c>
      <c r="V25" s="91" ph="1">
        <f>V24*47.051*LOOKUP(V26,密度!$A$2:$A$50,密度!$B$2:$B$50)</f>
        <v>32284.551800800004</v>
      </c>
      <c r="W25" s="91" ph="1">
        <f>W24*47.051*LOOKUP(W26,密度!$A$2:$A$50,密度!$B$2:$B$50)</f>
        <v>15135.271578000002</v>
      </c>
      <c r="X25" s="91" ph="1">
        <f>X24*47.051*LOOKUP(X26,密度!$A$2:$A$61,密度!$I$2:$I$61)</f>
        <v>190891.94834840001</v>
      </c>
      <c r="Y25" s="91" ph="1">
        <f>Y24*47.051*LOOKUP(Y26,密度!$A$2:$A$50,密度!$L$2:$L$50)</f>
        <v>336307.04436300002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27</v>
      </c>
      <c r="J26" s="74">
        <v>28</v>
      </c>
      <c r="K26" s="74">
        <v>28</v>
      </c>
      <c r="L26" s="74">
        <v>27</v>
      </c>
      <c r="M26" s="74">
        <v>28</v>
      </c>
      <c r="N26" s="74">
        <v>28</v>
      </c>
      <c r="O26" s="74">
        <v>27</v>
      </c>
      <c r="P26" s="74">
        <v>28</v>
      </c>
      <c r="Q26" s="93">
        <v>29</v>
      </c>
      <c r="R26" s="74">
        <v>28</v>
      </c>
      <c r="S26" s="74">
        <v>27</v>
      </c>
      <c r="T26" s="74">
        <v>27</v>
      </c>
      <c r="U26" s="74">
        <v>28</v>
      </c>
      <c r="V26" s="74">
        <v>29</v>
      </c>
      <c r="W26" s="74">
        <v>28</v>
      </c>
      <c r="X26" s="74">
        <v>33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7.41</v>
      </c>
      <c r="E27" s="71">
        <v>5.82</v>
      </c>
      <c r="F27" s="71">
        <v>2498</v>
      </c>
      <c r="G27" s="71">
        <v>2996</v>
      </c>
      <c r="H27" s="71">
        <v>3469</v>
      </c>
      <c r="I27" s="71">
        <v>0</v>
      </c>
      <c r="J27" s="71">
        <v>2793</v>
      </c>
      <c r="K27" s="71">
        <v>796</v>
      </c>
      <c r="L27" s="71">
        <v>296</v>
      </c>
      <c r="M27" s="71">
        <v>322</v>
      </c>
      <c r="N27" s="71">
        <v>322</v>
      </c>
      <c r="O27" s="71">
        <v>339</v>
      </c>
      <c r="P27" s="71">
        <v>365</v>
      </c>
      <c r="Q27" s="90">
        <v>3142</v>
      </c>
      <c r="R27" s="71">
        <v>345</v>
      </c>
      <c r="S27" s="71">
        <v>923</v>
      </c>
      <c r="T27" s="71">
        <v>390</v>
      </c>
      <c r="U27" s="71">
        <v>3467</v>
      </c>
      <c r="V27" s="71">
        <v>880</v>
      </c>
      <c r="W27" s="71">
        <v>411</v>
      </c>
      <c r="X27" s="71">
        <v>4063</v>
      </c>
      <c r="Y27" s="71">
        <v>6755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3367.4773047120002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27553.11775768</v>
      </c>
      <c r="G28" s="91" ph="1">
        <f>G27*18.322*LOOKUP(G29,密度!$A$2:$A$50,密度!$B$2:$B$50)</f>
        <v>42508.916172799996</v>
      </c>
      <c r="H28" s="91" ph="1">
        <f>H27*18.322*LOOKUP(H29,密度!$A$2:$A$50,密度!$B$2:$B$50)</f>
        <v>49220.103539199998</v>
      </c>
      <c r="I28" s="91" ph="1">
        <f>I27*18.322*LOOKUP(I29,密度!$A$2:$A$50,密度!$Q$2:$Q$50)</f>
        <v>0</v>
      </c>
      <c r="J28" s="91" ph="1">
        <f>J27*18.322*LOOKUP(J29,密度!$A$2:$A$50,密度!$Q$2:$Q$50)</f>
        <v>48234.972472679998</v>
      </c>
      <c r="K28" s="91" ph="1">
        <f>K27*18.322*LOOKUP(K29,密度!$A$2:$A$50,密度!$Q$2:$Q$50)</f>
        <v>13746.880804959999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5556.912359599999</v>
      </c>
      <c r="N28" s="91" ph="1">
        <f>N27*18.322*LOOKUP(N29,密度!$A$2:$A$50,密度!$Q$2:$Q$50)</f>
        <v>5556.912359599999</v>
      </c>
      <c r="O28" s="91" ph="1">
        <f>O27*18.322*LOOKUP(O29,密度!$A$2:$A$50,密度!$C$2:$C$50)</f>
        <v>6857.7395477999999</v>
      </c>
      <c r="P28" s="91" ph="1">
        <f>P27*11.702*LOOKUP(P29,密度!$A$2:$A$50,密度!$B$2:$B$50)</f>
        <v>3307.6405119999995</v>
      </c>
      <c r="Q28" s="92" ph="1">
        <f>Q27*18.322*LOOKUP(Q29,密度!$A$2:$A$50,密度!$B$2:$B$50)</f>
        <v>44580.445465599994</v>
      </c>
      <c r="R28" s="91" ph="1">
        <f>R27*35.891*LOOKUP(R29,密度!$A$2:$A$50,密度!$C$2:$C$50)</f>
        <v>13657.781684999998</v>
      </c>
      <c r="S28" s="91" ph="1">
        <f>S27*35.891*LOOKUP(S29,密度!$A$2:$A$50,密度!$B$2:$B$50)</f>
        <v>25653.853139199997</v>
      </c>
      <c r="T28" s="91" ph="1">
        <f>T27*35.891*LOOKUP(T29,密度!$A$2:$A$50,密度!$Q$2:$Q$50)</f>
        <v>13184.235831</v>
      </c>
      <c r="U28" s="91" ph="1">
        <f>U27*35.891</f>
        <v>124434.09699999999</v>
      </c>
      <c r="V28" s="91" ph="1">
        <f>V27*47.051*LOOKUP(V29,密度!$A$2:$A$50,密度!$B$2:$B$50)</f>
        <v>32026.674680000004</v>
      </c>
      <c r="W28" s="91" ph="1">
        <f>W27*47.051*LOOKUP(W29,密度!$A$2:$A$50,密度!$B$2:$B$50)</f>
        <v>14975.3169984</v>
      </c>
      <c r="X28" s="91" ph="1">
        <f>X27*47.051*LOOKUP(X29,密度!$A$2:$A$61,密度!$I$2:$I$61)</f>
        <v>197113.54442429999</v>
      </c>
      <c r="Y28" s="91" ph="1">
        <f>Y27*47.051*LOOKUP(Y29,密度!$A$2:$A$50,密度!$L$2:$L$50)</f>
        <v>295581.43965000001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32</v>
      </c>
      <c r="J29" s="74">
        <v>31</v>
      </c>
      <c r="K29" s="74">
        <v>31</v>
      </c>
      <c r="L29" s="74">
        <v>31</v>
      </c>
      <c r="M29" s="74">
        <v>32</v>
      </c>
      <c r="N29" s="74">
        <v>32</v>
      </c>
      <c r="O29" s="74">
        <v>31</v>
      </c>
      <c r="P29" s="74">
        <v>31</v>
      </c>
      <c r="Q29" s="93">
        <v>31</v>
      </c>
      <c r="R29" s="74">
        <v>32</v>
      </c>
      <c r="S29" s="74">
        <v>31</v>
      </c>
      <c r="T29" s="74">
        <v>32</v>
      </c>
      <c r="U29" s="74">
        <v>31</v>
      </c>
      <c r="V29" s="74">
        <v>32</v>
      </c>
      <c r="W29" s="74">
        <v>31</v>
      </c>
      <c r="X29" s="74">
        <v>35</v>
      </c>
      <c r="Y29" s="74">
        <v>32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35401.951845000003</v>
      </c>
      <c r="E33" s="190" ph="1">
        <f>M10+I10</f>
        <v>161709.87089860003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1522252632456786910111213141516171819202123456789101112131415161718192022232424356789101112131415161718192021222345678910111213141516171819202345678910111213149101516171819222123234567891012131415161711181920212224252345678910111213115[[#This Row],[F25]]</f>
        <v>3880</v>
      </c>
      <c r="G33" s="216" ph="1">
        <f>N19</f>
        <v>16656.972775999999</v>
      </c>
      <c r="H33" s="190" ph="1">
        <f>M19</f>
        <v>23147.2764269</v>
      </c>
      <c r="I33" s="194" ph="1">
        <v>0</v>
      </c>
      <c r="J33" s="198" ph="1">
        <f>F10+O28</f>
        <v>224983.86723780003</v>
      </c>
      <c r="K33" s="190" ph="1">
        <f>O10+K10+E28+R28</f>
        <v>51670.15721284</v>
      </c>
      <c r="L33" s="200" ph="1">
        <f>K19</f>
        <v>39515.382905860002</v>
      </c>
      <c r="M33" s="198" ph="1">
        <f>G10+H10+W28+S28+V28+E10+R19+P28+Q28</f>
        <v>501526.56910800003</v>
      </c>
      <c r="N33" s="190" ph="1">
        <f>L10+P10++G28+H28+AD19+AE19</f>
        <v>184848.10741679999</v>
      </c>
      <c r="O33" s="194" ph="1">
        <f>G19</f>
        <v>7720.1497054199999</v>
      </c>
      <c r="P33" s="198" ph="1">
        <f>L19</f>
        <v>41250.419746536005</v>
      </c>
      <c r="Q33" s="190" ph="1">
        <f>J10+N10</f>
        <v>151181.65906651999</v>
      </c>
      <c r="R33" s="194" ph="1">
        <f>BE23</f>
        <v>890</v>
      </c>
      <c r="S33" s="198" ph="1">
        <f>X28</f>
        <v>197113.54442429999</v>
      </c>
      <c r="T33" s="190" ph="1">
        <f>X19</f>
        <v>15856.763657680001</v>
      </c>
      <c r="U33" s="179" ph="1">
        <f>BE21</f>
        <v>730</v>
      </c>
      <c r="V33" s="192" ph="1">
        <f ca="1">P19+Q19+S19+M28+N28+J28+D10+AC10+D19+E19+H19+J19+O19+V19+W19+K28+L28</f>
        <v>712296.72719111596</v>
      </c>
      <c r="W33" s="192" ph="1">
        <f>D28+F28+T28+I28</f>
        <v>44104.830893391998</v>
      </c>
      <c r="X33" s="194" ph="1">
        <f>BE29+BE31</f>
        <v>10200</v>
      </c>
      <c r="Y33" s="196" ph="1">
        <f>+Q10+R10+S10+T10+U10+V10+W10+X10+Y10</f>
        <v>125677.98326160001</v>
      </c>
      <c r="Z33" s="177" ph="1">
        <f>T19+U19+Y28+Z10</f>
        <v>411631.18042008003</v>
      </c>
      <c r="AA33" s="179" ph="1">
        <f>BE19</f>
        <v>1440</v>
      </c>
      <c r="AB33" s="181" ph="1">
        <f>I19</f>
        <v>28752.634160399997</v>
      </c>
      <c r="AC33" s="183" ph="1">
        <f>AD10+AB19</f>
        <v>84741.946329600003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445" priority="101">
      <formula>ABS(D$7-D$10)&gt;=1000</formula>
    </cfRule>
  </conditionalFormatting>
  <conditionalFormatting sqref="E4 E6:E11">
    <cfRule type="expression" dxfId="1444" priority="100">
      <formula>ABS(E$7-E$10)&gt;=1000</formula>
    </cfRule>
  </conditionalFormatting>
  <conditionalFormatting sqref="F4:F11">
    <cfRule type="expression" dxfId="1443" priority="99">
      <formula>ABS(F$7-F$10)&gt;=1000</formula>
    </cfRule>
  </conditionalFormatting>
  <conditionalFormatting sqref="G4:G11">
    <cfRule type="expression" dxfId="1442" priority="98">
      <formula>ABS(G$7-G$10)&gt;=1000</formula>
    </cfRule>
  </conditionalFormatting>
  <conditionalFormatting sqref="H4:H11">
    <cfRule type="expression" dxfId="1441" priority="97">
      <formula>ABS(H$7-H$10)&gt;=1000</formula>
    </cfRule>
  </conditionalFormatting>
  <conditionalFormatting sqref="I4:I11">
    <cfRule type="expression" dxfId="1440" priority="96">
      <formula>ABS(I$7-I$10)&gt;=1000</formula>
    </cfRule>
  </conditionalFormatting>
  <conditionalFormatting sqref="J4:J11">
    <cfRule type="expression" dxfId="1439" priority="95">
      <formula>ABS(J$7-J$10)&gt;=1000</formula>
    </cfRule>
  </conditionalFormatting>
  <conditionalFormatting sqref="K4:K11">
    <cfRule type="expression" dxfId="1438" priority="94">
      <formula>ABS(K$7-K$10)&gt;=1000</formula>
    </cfRule>
  </conditionalFormatting>
  <conditionalFormatting sqref="L4:L11">
    <cfRule type="expression" dxfId="1437" priority="93">
      <formula>ABS(L$7-L$10)&gt;=1000</formula>
    </cfRule>
  </conditionalFormatting>
  <conditionalFormatting sqref="M4 M6:M11">
    <cfRule type="expression" dxfId="1436" priority="92">
      <formula>ABS(M$7-M$10)&gt;=1000</formula>
    </cfRule>
  </conditionalFormatting>
  <conditionalFormatting sqref="N4 N6:N11">
    <cfRule type="expression" dxfId="1435" priority="91">
      <formula>ABS(N$7-N$10)&gt;=1000</formula>
    </cfRule>
  </conditionalFormatting>
  <conditionalFormatting sqref="O4 O6:O11">
    <cfRule type="expression" dxfId="1434" priority="90">
      <formula>ABS(O$7-O$10)&gt;=1000</formula>
    </cfRule>
  </conditionalFormatting>
  <conditionalFormatting sqref="P4 P6:P11">
    <cfRule type="expression" dxfId="1433" priority="89">
      <formula>ABS(P$7-P$10)&gt;=1000</formula>
    </cfRule>
  </conditionalFormatting>
  <conditionalFormatting sqref="Q4:Q11">
    <cfRule type="expression" dxfId="1432" priority="88">
      <formula>ABS(Q$7-Q$10)&gt;=1000</formula>
    </cfRule>
  </conditionalFormatting>
  <conditionalFormatting sqref="R4:R11">
    <cfRule type="expression" dxfId="1431" priority="87">
      <formula>ABS(R$7-R$10)&gt;=1000</formula>
    </cfRule>
  </conditionalFormatting>
  <conditionalFormatting sqref="S4:S11">
    <cfRule type="expression" dxfId="1430" priority="86">
      <formula>ABS(S$7-S$10)&gt;=1000</formula>
    </cfRule>
  </conditionalFormatting>
  <conditionalFormatting sqref="T4:T9 T11">
    <cfRule type="expression" dxfId="1429" priority="85">
      <formula>ABS(T$7-T$10)&gt;=1000</formula>
    </cfRule>
  </conditionalFormatting>
  <conditionalFormatting sqref="U4:U9 U11">
    <cfRule type="expression" dxfId="1428" priority="84">
      <formula>ABS(U$7-U$10)&gt;=1000</formula>
    </cfRule>
  </conditionalFormatting>
  <conditionalFormatting sqref="V4:V9 V11">
    <cfRule type="expression" dxfId="1427" priority="83">
      <formula>ABS(V$7-V$10)&gt;=1000</formula>
    </cfRule>
  </conditionalFormatting>
  <conditionalFormatting sqref="W4:W9 W11">
    <cfRule type="expression" dxfId="1426" priority="82">
      <formula>ABS(W$7-W$10)&gt;=1000</formula>
    </cfRule>
  </conditionalFormatting>
  <conditionalFormatting sqref="X4:X9 X11">
    <cfRule type="expression" dxfId="1425" priority="81">
      <formula>ABS(X$7-X$10)&gt;=1000</formula>
    </cfRule>
  </conditionalFormatting>
  <conditionalFormatting sqref="Y4:Y9 Y11">
    <cfRule type="expression" dxfId="1424" priority="80">
      <formula>ABS(Y$7-Y$10)&gt;=1000</formula>
    </cfRule>
  </conditionalFormatting>
  <conditionalFormatting sqref="Z4:Z11">
    <cfRule type="expression" dxfId="1423" priority="79">
      <formula>ABS(Z$7-Z$10)&gt;=1000</formula>
    </cfRule>
  </conditionalFormatting>
  <conditionalFormatting sqref="AA4:AA11">
    <cfRule type="expression" dxfId="1422" priority="78">
      <formula>ABS(AA$7-AA$10)&gt;=1000</formula>
    </cfRule>
  </conditionalFormatting>
  <conditionalFormatting sqref="AB4:AB11">
    <cfRule type="expression" dxfId="1421" priority="77">
      <formula>ABS(AB$7-AB$10)&gt;=1000</formula>
    </cfRule>
  </conditionalFormatting>
  <conditionalFormatting sqref="AC4 AC6:AC11">
    <cfRule type="expression" dxfId="1420" priority="76">
      <formula>ABS(AC$7-AC$10)&gt;=1000</formula>
    </cfRule>
  </conditionalFormatting>
  <conditionalFormatting sqref="AD4 AD6:AD11">
    <cfRule type="expression" dxfId="1419" priority="75">
      <formula>ABS(AD$7-AD$10)&gt;=1000</formula>
    </cfRule>
  </conditionalFormatting>
  <conditionalFormatting sqref="AE4 AE6:AE11">
    <cfRule type="expression" dxfId="1418" priority="74">
      <formula>ABS(AE$7-AE$10)&gt;=1000</formula>
    </cfRule>
  </conditionalFormatting>
  <conditionalFormatting sqref="D13:D20">
    <cfRule type="expression" dxfId="1417" priority="73">
      <formula>ABS(D$16-D$19)&gt;=1000</formula>
    </cfRule>
  </conditionalFormatting>
  <conditionalFormatting sqref="E13:E20">
    <cfRule type="expression" dxfId="1416" priority="72">
      <formula>ABS(E$16-E$19)&gt;=1000</formula>
    </cfRule>
  </conditionalFormatting>
  <conditionalFormatting sqref="F13 F15:F20">
    <cfRule type="expression" dxfId="1415" priority="71">
      <formula>ABS(F$16-F$19)&gt;=1000</formula>
    </cfRule>
  </conditionalFormatting>
  <conditionalFormatting sqref="G13:G20">
    <cfRule type="expression" dxfId="1414" priority="70">
      <formula>ABS(G$16-G$19)&gt;=1000</formula>
    </cfRule>
  </conditionalFormatting>
  <conditionalFormatting sqref="H13 H15:H20">
    <cfRule type="expression" dxfId="1413" priority="69">
      <formula>ABS(H$16-H$19)&gt;=1000</formula>
    </cfRule>
  </conditionalFormatting>
  <conditionalFormatting sqref="I13:I20">
    <cfRule type="expression" dxfId="1412" priority="68">
      <formula>ABS(I$16-I$19)&gt;=1000</formula>
    </cfRule>
  </conditionalFormatting>
  <conditionalFormatting sqref="J13:J20">
    <cfRule type="expression" dxfId="1411" priority="67">
      <formula>ABS(J$16-J$19)&gt;=1000</formula>
    </cfRule>
  </conditionalFormatting>
  <conditionalFormatting sqref="L13:L20">
    <cfRule type="expression" dxfId="1410" priority="66">
      <formula>ABS(L$16-L$19)&gt;=1000</formula>
    </cfRule>
  </conditionalFormatting>
  <conditionalFormatting sqref="M13 M15 M17:M18 M20">
    <cfRule type="expression" dxfId="1409" priority="65">
      <formula>ABS(M$16-M$19)&gt;=1000</formula>
    </cfRule>
  </conditionalFormatting>
  <conditionalFormatting sqref="N13:N20">
    <cfRule type="expression" dxfId="1408" priority="64">
      <formula>ABS(N$16-N$19)&gt;=1000</formula>
    </cfRule>
  </conditionalFormatting>
  <conditionalFormatting sqref="O13:O20">
    <cfRule type="expression" dxfId="1407" priority="63">
      <formula>ABS(O$16-O$19)&gt;=1000</formula>
    </cfRule>
  </conditionalFormatting>
  <conditionalFormatting sqref="P13:P20">
    <cfRule type="expression" dxfId="1406" priority="62">
      <formula>ABS(P$16-P$19)&gt;=1000</formula>
    </cfRule>
  </conditionalFormatting>
  <conditionalFormatting sqref="Q13 Q15:Q20">
    <cfRule type="expression" dxfId="1405" priority="61">
      <formula>ABS(Q$16-Q$19)&gt;=1000</formula>
    </cfRule>
  </conditionalFormatting>
  <conditionalFormatting sqref="R13:R20">
    <cfRule type="expression" dxfId="1404" priority="60">
      <formula>ABS(R$16-R$19)&gt;=1000</formula>
    </cfRule>
  </conditionalFormatting>
  <conditionalFormatting sqref="S13:S20">
    <cfRule type="expression" dxfId="1403" priority="59">
      <formula>ABS(S$16-S$19)&gt;=1000</formula>
    </cfRule>
  </conditionalFormatting>
  <conditionalFormatting sqref="T13:T15 T17:T20">
    <cfRule type="expression" dxfId="1402" priority="58">
      <formula>ABS(T$16-T$19)&gt;=1000</formula>
    </cfRule>
  </conditionalFormatting>
  <conditionalFormatting sqref="U13:U20">
    <cfRule type="expression" dxfId="1401" priority="57">
      <formula>ABS(U$16-U$19)&gt;=1000</formula>
    </cfRule>
  </conditionalFormatting>
  <conditionalFormatting sqref="V13:V20">
    <cfRule type="expression" dxfId="1400" priority="56">
      <formula>ABS(V$16-V$19)&gt;=1000</formula>
    </cfRule>
  </conditionalFormatting>
  <conditionalFormatting sqref="W13 W20 W15:W18">
    <cfRule type="expression" dxfId="1399" priority="55">
      <formula>ABS(W$16-W$19)&gt;=1000</formula>
    </cfRule>
  </conditionalFormatting>
  <conditionalFormatting sqref="X13 X15:X20 Y19">
    <cfRule type="expression" dxfId="1398" priority="54">
      <formula>ABS(X$16-X$19)&gt;=1000</formula>
    </cfRule>
  </conditionalFormatting>
  <conditionalFormatting sqref="Y13 Y15:Y18 Y20">
    <cfRule type="expression" dxfId="1397" priority="53">
      <formula>ABS(Y$16-Y$19)&gt;=1000</formula>
    </cfRule>
  </conditionalFormatting>
  <conditionalFormatting sqref="Z13:Z20">
    <cfRule type="expression" dxfId="1396" priority="52">
      <formula>ABS(Z$16-Z$19)&gt;=1000</formula>
    </cfRule>
  </conditionalFormatting>
  <conditionalFormatting sqref="AA13:AA20">
    <cfRule type="expression" dxfId="1395" priority="51">
      <formula>ABS(AA$16-AA$19)&gt;=1000</formula>
    </cfRule>
  </conditionalFormatting>
  <conditionalFormatting sqref="AB13 AB15:AB20">
    <cfRule type="expression" dxfId="1394" priority="50">
      <formula>ABS(AB$16-AB$19)&gt;=1000</formula>
    </cfRule>
  </conditionalFormatting>
  <conditionalFormatting sqref="AC13 AC15:AC20">
    <cfRule type="expression" dxfId="1393" priority="49">
      <formula>ABS(AC$16-AC$19)&gt;=1000</formula>
    </cfRule>
  </conditionalFormatting>
  <conditionalFormatting sqref="AD13:AD20">
    <cfRule type="expression" dxfId="1392" priority="48">
      <formula>ABS(AD$16-AD$19)&gt;=1000</formula>
    </cfRule>
  </conditionalFormatting>
  <conditionalFormatting sqref="AE13:AE20">
    <cfRule type="expression" dxfId="1391" priority="47">
      <formula>ABS(AE$16-AE$19)&gt;=1000</formula>
    </cfRule>
  </conditionalFormatting>
  <conditionalFormatting sqref="D22:D29">
    <cfRule type="expression" dxfId="1390" priority="46">
      <formula>ABS(D$25-D$28)&gt;=1000</formula>
    </cfRule>
  </conditionalFormatting>
  <conditionalFormatting sqref="E22:E29">
    <cfRule type="expression" dxfId="1389" priority="45">
      <formula>ABS(E$25-E$28)&gt;=1000</formula>
    </cfRule>
  </conditionalFormatting>
  <conditionalFormatting sqref="F22:F29">
    <cfRule type="expression" dxfId="1388" priority="44">
      <formula>ABS(F$25-F$28)&gt;=1000</formula>
    </cfRule>
  </conditionalFormatting>
  <conditionalFormatting sqref="G22:G29">
    <cfRule type="expression" dxfId="1387" priority="43">
      <formula>ABS(G$25-G$28)&gt;=1000</formula>
    </cfRule>
  </conditionalFormatting>
  <conditionalFormatting sqref="H22:H29">
    <cfRule type="expression" dxfId="1386" priority="42">
      <formula>ABS(H$25-H$28)&gt;=1000</formula>
    </cfRule>
  </conditionalFormatting>
  <conditionalFormatting sqref="I22 I24:I29">
    <cfRule type="expression" dxfId="1385" priority="41">
      <formula>ABS(I$25-I$28)&gt;=1000</formula>
    </cfRule>
  </conditionalFormatting>
  <conditionalFormatting sqref="J22:J29 K22">
    <cfRule type="expression" dxfId="1384" priority="40">
      <formula>ABS(J$25-J$28)&gt;=1000</formula>
    </cfRule>
  </conditionalFormatting>
  <conditionalFormatting sqref="K23:K29 L25 L28">
    <cfRule type="expression" dxfId="1383" priority="39">
      <formula>ABS(K$25-K$28)&gt;=1000</formula>
    </cfRule>
  </conditionalFormatting>
  <conditionalFormatting sqref="L22 L26:L27 L29 L24">
    <cfRule type="expression" dxfId="1382" priority="38">
      <formula>ABS(L$25-L$28)&gt;=1000</formula>
    </cfRule>
  </conditionalFormatting>
  <conditionalFormatting sqref="M22:M29">
    <cfRule type="expression" dxfId="1381" priority="37">
      <formula>ABS(M$25-M$28)&gt;=1000</formula>
    </cfRule>
  </conditionalFormatting>
  <conditionalFormatting sqref="N22:N29">
    <cfRule type="expression" dxfId="1380" priority="36">
      <formula>ABS(N$25-N$28)&gt;=1000</formula>
    </cfRule>
  </conditionalFormatting>
  <conditionalFormatting sqref="O22:O29">
    <cfRule type="expression" dxfId="1379" priority="35">
      <formula>ABS(O$25-O$28)&gt;=1000</formula>
    </cfRule>
  </conditionalFormatting>
  <conditionalFormatting sqref="P22:P29">
    <cfRule type="expression" dxfId="1378" priority="34">
      <formula>ABS(P$25-P$28)&gt;=1000</formula>
    </cfRule>
  </conditionalFormatting>
  <conditionalFormatting sqref="Q22:Q29">
    <cfRule type="expression" dxfId="1377" priority="33">
      <formula>ABS(Q$25-Q$28)&gt;=1000</formula>
    </cfRule>
  </conditionalFormatting>
  <conditionalFormatting sqref="R22:R29">
    <cfRule type="expression" dxfId="1376" priority="32">
      <formula>ABS(R$25-R$28)&gt;=1000</formula>
    </cfRule>
  </conditionalFormatting>
  <conditionalFormatting sqref="S22:S29">
    <cfRule type="expression" dxfId="1375" priority="31">
      <formula>ABS(S$25-S$28)&gt;=1000</formula>
    </cfRule>
  </conditionalFormatting>
  <conditionalFormatting sqref="T22:T29">
    <cfRule type="expression" dxfId="1374" priority="30">
      <formula>ABS(T$25-T$28)&gt;=1000</formula>
    </cfRule>
  </conditionalFormatting>
  <conditionalFormatting sqref="U22:U29">
    <cfRule type="expression" dxfId="1373" priority="29">
      <formula>ABS(U$25-U$28)&gt;=1000</formula>
    </cfRule>
  </conditionalFormatting>
  <conditionalFormatting sqref="V22:V29">
    <cfRule type="expression" dxfId="1372" priority="28">
      <formula>ABS(V$25-V$28)&gt;=1000</formula>
    </cfRule>
  </conditionalFormatting>
  <conditionalFormatting sqref="W22:W29">
    <cfRule type="expression" dxfId="1371" priority="27">
      <formula>ABS(W$25-W$28)&gt;=1000</formula>
    </cfRule>
  </conditionalFormatting>
  <conditionalFormatting sqref="X22:X29">
    <cfRule type="expression" dxfId="1370" priority="26">
      <formula>ABS(X$25-X$28)&gt;=1000</formula>
    </cfRule>
  </conditionalFormatting>
  <conditionalFormatting sqref="Y22:Y29">
    <cfRule type="expression" dxfId="1369" priority="25">
      <formula>ABS(Y$25-Y$28)&gt;=1000</formula>
    </cfRule>
  </conditionalFormatting>
  <conditionalFormatting sqref="I23">
    <cfRule type="expression" dxfId="1368" priority="24">
      <formula>ABS(I$25-I$28)&gt;=1000</formula>
    </cfRule>
  </conditionalFormatting>
  <conditionalFormatting sqref="Q14">
    <cfRule type="expression" dxfId="1367" priority="23">
      <formula>ABS(Q$16-Q$19)&gt;=1000</formula>
    </cfRule>
  </conditionalFormatting>
  <conditionalFormatting sqref="W14">
    <cfRule type="expression" dxfId="1366" priority="22">
      <formula>ABS(W$16-W$19)&gt;=1000</formula>
    </cfRule>
  </conditionalFormatting>
  <conditionalFormatting sqref="X14">
    <cfRule type="expression" dxfId="1365" priority="21">
      <formula>ABS(X$16-X$19)&gt;=1000</formula>
    </cfRule>
  </conditionalFormatting>
  <conditionalFormatting sqref="T10:Y10">
    <cfRule type="expression" dxfId="1364" priority="20">
      <formula>ABS(T$7-T$10)&gt;=1000</formula>
    </cfRule>
  </conditionalFormatting>
  <conditionalFormatting sqref="W19">
    <cfRule type="expression" dxfId="1363" priority="19">
      <formula>ABS(W$16-W$19)&gt;=1000</formula>
    </cfRule>
  </conditionalFormatting>
  <conditionalFormatting sqref="AC5">
    <cfRule type="expression" dxfId="1362" priority="18">
      <formula>ABS(AC$7-AC$10)&gt;=1000</formula>
    </cfRule>
  </conditionalFormatting>
  <conditionalFormatting sqref="M14">
    <cfRule type="expression" dxfId="1361" priority="17">
      <formula>ABS(M$16-M$19)&gt;=1000</formula>
    </cfRule>
  </conditionalFormatting>
  <conditionalFormatting sqref="M16">
    <cfRule type="expression" dxfId="1360" priority="16">
      <formula>ABS(M$16-M$19)&gt;=1000</formula>
    </cfRule>
  </conditionalFormatting>
  <conditionalFormatting sqref="M19">
    <cfRule type="expression" dxfId="1359" priority="15">
      <formula>ABS(M$16-M$19)&gt;=1000</formula>
    </cfRule>
  </conditionalFormatting>
  <conditionalFormatting sqref="K13:K20">
    <cfRule type="expression" dxfId="1358" priority="14">
      <formula>ABS(K$16-K$19)&gt;=1000</formula>
    </cfRule>
  </conditionalFormatting>
  <conditionalFormatting sqref="E5">
    <cfRule type="expression" dxfId="1357" priority="13">
      <formula>ABS(E$7-E$10)&gt;=1000</formula>
    </cfRule>
  </conditionalFormatting>
  <conditionalFormatting sqref="AB14:AC14">
    <cfRule type="expression" dxfId="1356" priority="12">
      <formula>ABS(AB$16-AB$19)&gt;=1000</formula>
    </cfRule>
  </conditionalFormatting>
  <conditionalFormatting sqref="M5">
    <cfRule type="expression" dxfId="1355" priority="11">
      <formula>ABS(M$7-M$10)&gt;=1000</formula>
    </cfRule>
  </conditionalFormatting>
  <conditionalFormatting sqref="N5">
    <cfRule type="expression" dxfId="1354" priority="10">
      <formula>ABS(N$7-N$10)&gt;=1000</formula>
    </cfRule>
  </conditionalFormatting>
  <conditionalFormatting sqref="O5">
    <cfRule type="expression" dxfId="1353" priority="9">
      <formula>ABS(O$7-O$10)&gt;=1000</formula>
    </cfRule>
  </conditionalFormatting>
  <conditionalFormatting sqref="P5">
    <cfRule type="expression" dxfId="1352" priority="8">
      <formula>ABS(P$7-P$10)&gt;=1000</formula>
    </cfRule>
  </conditionalFormatting>
  <conditionalFormatting sqref="L23">
    <cfRule type="expression" dxfId="1351" priority="7">
      <formula>ABS(L$25-L$28)&gt;=1000</formula>
    </cfRule>
  </conditionalFormatting>
  <conditionalFormatting sqref="Y14">
    <cfRule type="expression" dxfId="1350" priority="6">
      <formula>ABS(Y$16-Y$19)&gt;=1000</formula>
    </cfRule>
  </conditionalFormatting>
  <conditionalFormatting sqref="F14">
    <cfRule type="expression" dxfId="1349" priority="5">
      <formula>ABS(F$16-F$19)&gt;=1000</formula>
    </cfRule>
  </conditionalFormatting>
  <conditionalFormatting sqref="H14">
    <cfRule type="expression" dxfId="1348" priority="4">
      <formula>ABS(H$16-H$19)&gt;=1000</formula>
    </cfRule>
  </conditionalFormatting>
  <conditionalFormatting sqref="AD5">
    <cfRule type="expression" dxfId="1347" priority="3">
      <formula>ABS(AD$7-AD$10)&gt;=1000</formula>
    </cfRule>
  </conditionalFormatting>
  <conditionalFormatting sqref="AE5">
    <cfRule type="expression" dxfId="1346" priority="2">
      <formula>ABS(AE$7-AE$10)&gt;=1000</formula>
    </cfRule>
  </conditionalFormatting>
  <conditionalFormatting sqref="T16">
    <cfRule type="expression" dxfId="1345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225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4">
    <pageSetUpPr fitToPage="1"/>
  </sheetPr>
  <dimension ref="A1:CU223"/>
  <sheetViews>
    <sheetView view="pageBreakPreview" topLeftCell="D4" zoomScale="85" zoomScaleNormal="100" zoomScaleSheetLayoutView="85" workbookViewId="0">
      <selection activeCell="O8" sqref="O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46223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6033</v>
      </c>
      <c r="E6" s="71">
        <v>2343</v>
      </c>
      <c r="F6" s="71">
        <v>5451</v>
      </c>
      <c r="G6" s="71">
        <v>1252</v>
      </c>
      <c r="H6" s="71">
        <v>3488</v>
      </c>
      <c r="I6" s="71">
        <v>38.71</v>
      </c>
      <c r="J6" s="71">
        <v>76.92</v>
      </c>
      <c r="K6" s="71">
        <v>53.01</v>
      </c>
      <c r="L6" s="71">
        <v>6.02</v>
      </c>
      <c r="M6" s="71">
        <v>4469</v>
      </c>
      <c r="N6" s="71">
        <v>5015</v>
      </c>
      <c r="O6" s="71">
        <v>307</v>
      </c>
      <c r="P6" s="71">
        <v>1607</v>
      </c>
      <c r="Q6" s="71">
        <v>0</v>
      </c>
      <c r="R6" s="71">
        <v>5958</v>
      </c>
      <c r="S6" s="71">
        <v>4597</v>
      </c>
      <c r="T6" s="71">
        <v>2908</v>
      </c>
      <c r="U6" s="71">
        <v>2925</v>
      </c>
      <c r="V6" s="71">
        <v>0</v>
      </c>
      <c r="W6" s="71">
        <v>0</v>
      </c>
      <c r="X6" s="71">
        <v>0</v>
      </c>
      <c r="Y6" s="71">
        <v>0</v>
      </c>
      <c r="Z6" s="71">
        <v>5127</v>
      </c>
      <c r="AA6" s="71">
        <v>0</v>
      </c>
      <c r="AB6" s="71">
        <v>1673</v>
      </c>
      <c r="AC6" s="71">
        <v>5806</v>
      </c>
      <c r="AD6" s="71">
        <v>4321</v>
      </c>
      <c r="AE6" s="71">
        <v>4476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189106.34850018</v>
      </c>
      <c r="E7" s="73" ph="1">
        <f>E6*51.53*LOOKUP(E8,密度!$A$2:$A$50,密度!$B$2:$B$50)</f>
        <v>93810.931830000016</v>
      </c>
      <c r="F7" s="73" ph="1">
        <f>F6*33.183*LOOKUP(F8,密度!$A$2:$A$50,密度!$C$2:$C$50)</f>
        <v>200307.10224419998</v>
      </c>
      <c r="G7" s="73" ph="1">
        <f xml:space="preserve"> (G6+2)*51.53*LOOKUP(G8,密度!$A$2:$A$50,密度!$B$2:$B$50)</f>
        <v>50156.972844000004</v>
      </c>
      <c r="H7" s="73" ph="1">
        <f>(H6)*51.53*LOOKUP(H8,密度!$A$2:$A$50,密度!$B$2:$B$50)</f>
        <v>139960.92156799999</v>
      </c>
      <c r="I7" s="73" ph="1">
        <f>I6*290.8*1.0267</f>
        <v>11557.4263756</v>
      </c>
      <c r="J7" s="73" ph="1">
        <f>J6*290.8*0.7892</f>
        <v>17653.090771200004</v>
      </c>
      <c r="K7" s="73" ph="1">
        <f>K6*290.8*1.1126</f>
        <v>17151.0716808</v>
      </c>
      <c r="L7" s="73" ph="1">
        <f>L6*290.8*0.777</f>
        <v>1360.2286320000001</v>
      </c>
      <c r="M7" s="73" ph="1">
        <f>M6*33.183*LOOKUP(M8,密度!$A$2:$A$50,密度!$D$2:$D$50)</f>
        <v>151557.31319399999</v>
      </c>
      <c r="N7" s="73" ph="1">
        <f>N6*33.183*LOOKUP(N8,密度!$A$2:$A$50,密度!$E$2:$E$50)</f>
        <v>129402.55051199999</v>
      </c>
      <c r="O7" s="73" ph="1">
        <f>O6*20.428*LOOKUP(O8,密度!$A$2:$A$50,密度!$C$2:$C$50)</f>
        <v>6930.5197196000008</v>
      </c>
      <c r="P7" s="73" ph="1">
        <f>P6*51.53*LOOKUP(P8,密度!$A$2:$A$50,密度!$B$2:$B$50)</f>
        <v>64342.367670000007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39082.459046400007</v>
      </c>
      <c r="S7" s="73" ph="1">
        <f>S6*1.5*1.5*3.1416*LOOKUP(S8,密度!$A$2:$A$50,密度!$L$2:$L$50)</f>
        <v>30447.2098854</v>
      </c>
      <c r="T7" s="73" ph="1">
        <f>T6*1.5*1.5*3.1416*LOOKUP(T8,密度!$A$2:$A$50,密度!$L$2:$L$50)</f>
        <v>19301.603983199999</v>
      </c>
      <c r="U7" s="73" ph="1">
        <f>U6*1.5*1.5*3.1416*LOOKUP(U8,密度!$A$2:$A$50,密度!$L$2:$L$50)</f>
        <v>19331.737424999999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159070.84033500002</v>
      </c>
      <c r="AA7" s="73" ph="1">
        <f>AA6*33.183*LOOKUP(AA8,密度!$A$2:$A$50,密度!$D$2:$D$50)</f>
        <v>0</v>
      </c>
      <c r="AB7" s="73" ph="1">
        <f>AB6*20.428*LOOKUP(AB8,密度!$A$2:$A$50,密度!$D$2:$D$50)</f>
        <v>35088.544374800003</v>
      </c>
      <c r="AC7" s="73" ph="1">
        <f>AC6*51.53*LOOKUP(AC8,密度!$A$2:$A$50,密度!$Q$2:$Q$50)</f>
        <v>282614.4154916</v>
      </c>
      <c r="AD7" s="73" ph="1">
        <f>AD6*20.428*LOOKUP(AD8,密度!$A$2:$A$50,密度!$V$2:$V$50)</f>
        <v>84526.765948800006</v>
      </c>
      <c r="AE7" s="73" ph="1">
        <f>AE6*20.428</f>
        <v>91435.728000000003</v>
      </c>
    </row>
    <row r="8" spans="1:99" ph="1">
      <c r="B8" s="241" ph="1"/>
      <c r="C8" s="68" t="s" ph="1">
        <v>179</v>
      </c>
      <c r="D8" s="74">
        <v>28</v>
      </c>
      <c r="E8" s="74">
        <v>28</v>
      </c>
      <c r="F8" s="74">
        <v>27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28</v>
      </c>
      <c r="Q8" s="74">
        <v>30</v>
      </c>
      <c r="R8" s="74">
        <v>34</v>
      </c>
      <c r="S8" s="74">
        <v>25</v>
      </c>
      <c r="T8" s="74">
        <v>23</v>
      </c>
      <c r="U8" s="74">
        <v>27</v>
      </c>
      <c r="V8" s="74">
        <v>28</v>
      </c>
      <c r="W8" s="74">
        <v>27</v>
      </c>
      <c r="X8" s="74">
        <v>26</v>
      </c>
      <c r="Y8" s="74">
        <v>27</v>
      </c>
      <c r="Z8" s="74">
        <v>27</v>
      </c>
      <c r="AA8" s="74">
        <v>30</v>
      </c>
      <c r="AB8" s="74">
        <v>25</v>
      </c>
      <c r="AC8" s="74">
        <v>28</v>
      </c>
      <c r="AD8" s="74">
        <v>27</v>
      </c>
      <c r="AE8" s="74">
        <v>29</v>
      </c>
    </row>
    <row r="9" spans="1:99" ht="26.4" ph="1">
      <c r="B9" s="241" ph="1">
        <v>0.66666666666666663</v>
      </c>
      <c r="C9" s="163" t="s" ph="1">
        <v>180</v>
      </c>
      <c r="D9" s="71">
        <v>6036</v>
      </c>
      <c r="E9" s="71">
        <v>2342</v>
      </c>
      <c r="F9" s="71">
        <v>5248</v>
      </c>
      <c r="G9" s="71">
        <v>966</v>
      </c>
      <c r="H9" s="71">
        <v>3488</v>
      </c>
      <c r="I9" s="71">
        <v>38.61</v>
      </c>
      <c r="J9" s="71">
        <v>77.010000000000005</v>
      </c>
      <c r="K9" s="71">
        <v>15.61</v>
      </c>
      <c r="L9" s="71">
        <v>39.31</v>
      </c>
      <c r="M9" s="71">
        <v>4468</v>
      </c>
      <c r="N9" s="71">
        <v>5018</v>
      </c>
      <c r="O9" s="71">
        <v>482</v>
      </c>
      <c r="P9" s="71">
        <v>1069</v>
      </c>
      <c r="Q9" s="71">
        <v>6023</v>
      </c>
      <c r="R9" s="71">
        <v>1265</v>
      </c>
      <c r="S9" s="71">
        <v>4601</v>
      </c>
      <c r="T9" s="71">
        <v>5010</v>
      </c>
      <c r="U9" s="71">
        <v>5380</v>
      </c>
      <c r="V9" s="71">
        <v>0</v>
      </c>
      <c r="W9" s="71">
        <v>0</v>
      </c>
      <c r="X9" s="71">
        <v>0</v>
      </c>
      <c r="Y9" s="71">
        <v>0</v>
      </c>
      <c r="Z9" s="71">
        <v>3051</v>
      </c>
      <c r="AA9" s="71">
        <v>0</v>
      </c>
      <c r="AB9" s="71">
        <v>1516</v>
      </c>
      <c r="AC9" s="71">
        <v>6341</v>
      </c>
      <c r="AD9" s="71">
        <v>4328</v>
      </c>
      <c r="AE9" s="71">
        <v>4392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188525.39845499999</v>
      </c>
      <c r="E10" s="73" ph="1">
        <f>E9*51.53*LOOKUP(E11,密度!$A$2:$A$50,密度!$B$2:$B$50)</f>
        <v>93251.955002000017</v>
      </c>
      <c r="F10" s="73" ph="1">
        <f>F9*33.183*LOOKUP(F11,密度!$A$2:$A$50,密度!$C$2:$C$50)</f>
        <v>192081.25555199999</v>
      </c>
      <c r="G10" s="73" ph="1">
        <f xml:space="preserve"> (G9+2)*51.53*LOOKUP(G11,密度!$A$2:$A$50,密度!$B$2:$B$50)</f>
        <v>38543.079608</v>
      </c>
      <c r="H10" s="73" ph="1">
        <f>(H9)*51.53*LOOKUP(H11,密度!$A$2:$A$50,密度!$B$2:$B$50)</f>
        <v>139026.29104000001</v>
      </c>
      <c r="I10" s="73" ph="1">
        <f>I9*290.8*1.0267</f>
        <v>11527.5699396</v>
      </c>
      <c r="J10" s="73" ph="1">
        <f>J9*290.8*0.7892</f>
        <v>17673.745713600001</v>
      </c>
      <c r="K10" s="73" ph="1">
        <f>K9*290.8*1.1126</f>
        <v>5050.5230887999996</v>
      </c>
      <c r="L10" s="73" ph="1">
        <f>L9*290.8*0.777</f>
        <v>8882.1573960000023</v>
      </c>
      <c r="M10" s="73" ph="1">
        <f>M9*33.183*LOOKUP(M11,密度!$A$2:$A$50,密度!$D$2:$D$50)</f>
        <v>150218.69770080002</v>
      </c>
      <c r="N10" s="73" ph="1">
        <f>N9*33.183*LOOKUP(N11,密度!$A$2:$A$50,密度!$E$2:$E$50)</f>
        <v>128912.15289186001</v>
      </c>
      <c r="O10" s="73" ph="1">
        <f>O9*20.428*LOOKUP(O11,密度!$A$2:$A$50,密度!$C$2:$C$50)</f>
        <v>10757.078380000001</v>
      </c>
      <c r="P10" s="73" ph="1">
        <f>P9*51.53*LOOKUP(P11,密度!$A$2:$A$50,密度!$B$2:$B$50)</f>
        <v>42564.619939000004</v>
      </c>
      <c r="Q10" s="73" ph="1">
        <f>Q9*1.5*1.5*3.1416*LOOKUP(W11,密度!$A$2:$A$50,密度!$L$2:$L$50)</f>
        <v>39168.243576000001</v>
      </c>
      <c r="R10" s="73" ph="1">
        <f>R9*1.5*1.5*3.1416*LOOKUP(R11,密度!$A$2:$A$50,密度!$L$2:$L$50)</f>
        <v>8271.1455750000005</v>
      </c>
      <c r="S10" s="73" ph="1">
        <f>S9*1.5*1.5*3.1416*LOOKUP(S11,密度!$A$2:$A$50,密度!$L$2:$L$50)</f>
        <v>30441.180369600002</v>
      </c>
      <c r="T10" s="73" ph="1">
        <f>T9*1.5*1.5*3.1416*LOOKUP(T11,密度!$A$2:$A$50,密度!$L$2:$L$50)</f>
        <v>33182.623782000002</v>
      </c>
      <c r="U10" s="73" ph="1">
        <f>U9*1.5*1.5*3.1416*LOOKUP(U11,密度!$A$2:$A$50,密度!$L$2:$L$50)</f>
        <v>35519.149512000004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93951.957024000003</v>
      </c>
      <c r="AA10" s="73" ph="1">
        <f>AA9*33.183*LOOKUP(AA11,密度!$A$2:$A$50,密度!$D$2:$D$50)</f>
        <v>0</v>
      </c>
      <c r="AB10" s="73" ph="1">
        <f>AB9*20.428*LOOKUP(AB11,密度!$A$2:$A$50,密度!$D$2:$D$50)</f>
        <v>31736.875430399999</v>
      </c>
      <c r="AC10" s="73" ph="1">
        <f>AC9*51.53*LOOKUP(AC11,密度!$A$2:$A$50,密度!$Q$2:$Q$50)</f>
        <v>307767.45448699995</v>
      </c>
      <c r="AD10" s="73" ph="1">
        <f>AD9*20.428*LOOKUP(AD11,密度!$A$2:$A$50,密度!$V$2:$V$50)</f>
        <v>84663.698918400012</v>
      </c>
      <c r="AE10" s="73" ph="1">
        <f>AE9*20.428</f>
        <v>89719.775999999998</v>
      </c>
    </row>
    <row r="11" spans="1:99" ph="1">
      <c r="A11" s="64" t="s" ph="1">
        <v>162</v>
      </c>
      <c r="B11" s="241" ph="1"/>
      <c r="C11" s="163" t="s" ph="1">
        <v>179</v>
      </c>
      <c r="D11" s="74">
        <v>33</v>
      </c>
      <c r="E11" s="74">
        <v>33</v>
      </c>
      <c r="F11" s="74">
        <v>32</v>
      </c>
      <c r="G11" s="74">
        <v>33</v>
      </c>
      <c r="H11" s="74">
        <v>32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33</v>
      </c>
      <c r="O11" s="74">
        <v>42</v>
      </c>
      <c r="P11" s="74">
        <v>33</v>
      </c>
      <c r="Q11" s="74">
        <v>34</v>
      </c>
      <c r="R11" s="74">
        <v>37</v>
      </c>
      <c r="S11" s="74">
        <v>26</v>
      </c>
      <c r="T11" s="74">
        <v>25</v>
      </c>
      <c r="U11" s="74">
        <v>28</v>
      </c>
      <c r="V11" s="74">
        <v>28</v>
      </c>
      <c r="W11" s="74">
        <v>42</v>
      </c>
      <c r="X11" s="74">
        <v>28</v>
      </c>
      <c r="Y11" s="74">
        <v>34</v>
      </c>
      <c r="Z11" s="74">
        <v>34</v>
      </c>
      <c r="AA11" s="74">
        <v>34</v>
      </c>
      <c r="AB11" s="74">
        <v>27</v>
      </c>
      <c r="AC11" s="74">
        <v>32</v>
      </c>
      <c r="AD11" s="74">
        <v>34</v>
      </c>
      <c r="AE11" s="74">
        <v>31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0</v>
      </c>
      <c r="E15" s="78">
        <v>2841</v>
      </c>
      <c r="F15" s="78">
        <v>3099</v>
      </c>
      <c r="G15" s="78">
        <v>2022</v>
      </c>
      <c r="H15" s="78">
        <v>0</v>
      </c>
      <c r="I15" s="78">
        <v>3129</v>
      </c>
      <c r="J15" s="78">
        <v>560</v>
      </c>
      <c r="K15" s="78">
        <v>4240</v>
      </c>
      <c r="L15" s="78">
        <v>5843</v>
      </c>
      <c r="M15" s="78">
        <v>4377</v>
      </c>
      <c r="N15" s="78">
        <v>1861</v>
      </c>
      <c r="O15" s="78">
        <v>2499</v>
      </c>
      <c r="P15" s="78">
        <v>3447</v>
      </c>
      <c r="Q15" s="78">
        <v>2909</v>
      </c>
      <c r="R15" s="78">
        <v>1945</v>
      </c>
      <c r="S15" s="78">
        <v>0</v>
      </c>
      <c r="T15" s="78">
        <v>6405</v>
      </c>
      <c r="U15" s="78">
        <v>340</v>
      </c>
      <c r="V15" s="78">
        <v>3212</v>
      </c>
      <c r="W15" s="71">
        <v>997</v>
      </c>
      <c r="X15" s="78">
        <v>1078</v>
      </c>
      <c r="Y15" s="106">
        <v>-9909</v>
      </c>
      <c r="Z15" s="78">
        <v>50</v>
      </c>
      <c r="AA15" s="78">
        <v>2524</v>
      </c>
      <c r="AB15" s="78" ph="1">
        <v>0</v>
      </c>
      <c r="AC15" s="78" ph="1">
        <v>0</v>
      </c>
      <c r="AD15" s="78">
        <v>5.82</v>
      </c>
      <c r="AE15" s="78">
        <v>53.71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0</v>
      </c>
      <c r="E16" s="73" ph="1">
        <f>E15*7.0686*LOOKUP(E17,密度!$A$2:$A$50,密度!$L$2:$L$50)</f>
        <v>18716.323903200002</v>
      </c>
      <c r="F16" s="73" ph="1">
        <f>F15*9.0746*LOOKUP(F17,密度!$A$2:$A$50,密度!$L$2:$L$50)</f>
        <v>26153.632422000002</v>
      </c>
      <c r="G16" s="73" ph="1">
        <f>G15*9.0746*LOOKUP(G17,密度!$A$2:$A$50,密度!$B$2:$B$50)</f>
        <v>14257.0496124</v>
      </c>
      <c r="H16" s="73" ph="1">
        <f>H15*9.0746*LOOKUP(H17,密度!$A$2:$A$50,密度!$L$2:$L$50)</f>
        <v>0</v>
      </c>
      <c r="I16" s="73" ph="1">
        <f>I15*9.0746*LOOKUP(I17,密度!$A$2:$A$50,密度!$U$2:$U$50)</f>
        <v>29019.100714799999</v>
      </c>
      <c r="J16" s="73" ph="1">
        <f>J15*9.0746*LOOKUP(J17,密度!$A$2:$A$50,密度!$L$2:$L$50)</f>
        <v>4746.3787840000005</v>
      </c>
      <c r="K16" s="73" ph="1">
        <f>K15*9.0746*LOOKUP(K17,密度!$A$2:$A$50,密度!$C$2:$C$50)</f>
        <v>42550.944593600005</v>
      </c>
      <c r="L16" s="73" ph="1">
        <f>L15*9.0746*LOOKUP(L17,密度!$A$2:$A$50,密度!$E$2:$E$50)</f>
        <v>41288.922729860002</v>
      </c>
      <c r="M16" s="73" ph="1">
        <f>M15*9.0746*LOOKUP(M17,密度!$A$2:$A$50,密度!$M$2:$M$50)</f>
        <v>34552.014101580004</v>
      </c>
      <c r="N16" s="73" ph="1">
        <f>N15*9.0746*LOOKUP(N17,密度!$A$2:$A$50,密度!$M$2:$M$50)</f>
        <v>14744.764896860001</v>
      </c>
      <c r="O16" s="73" ph="1">
        <f>O15*9.0746*LOOKUP(O17,密度!$A$2:$A$50,密度!$G$2:$G$50)</f>
        <v>21702.296107800001</v>
      </c>
      <c r="P16" s="73" ph="1">
        <f ca="1">P15*9.0746*LOOKUP(P17,密度!$A$2:$A$51,密度!$Q$2:$Q$50)</f>
        <v>29547.851703444001</v>
      </c>
      <c r="Q16" s="73" ph="1">
        <f>Q15*9.0746*LOOKUP(Q17,密度!$A$2:$A$50,密度!$Q$2:$Q$50)</f>
        <v>24902.036093962</v>
      </c>
      <c r="R16" s="73" ph="1">
        <f>MAX(R15*9.0746*LOOKUP(R17,密度!$A$2:$A$50,密度!$B$2:$B$50),0)</f>
        <v>13684.120204100002</v>
      </c>
      <c r="S16" s="73" ph="1">
        <f>S15*9.0746*LOOKUP(S17,密度!$A$2:$A$50,密度!$Q$2:$Q$50)</f>
        <v>0</v>
      </c>
      <c r="T16" s="73" ph="1">
        <f>T15*9.0746*LOOKUP(T17,密度!$A$2:$A$50,密度!$O$2:$O$50)</f>
        <v>53821.724838000002</v>
      </c>
      <c r="U16" s="73" ph="1">
        <f>U15*9.0746*LOOKUP(U17,密度!$A$2:$A$50,密度!$H$2:$H$50)</f>
        <v>2813.8519679999999</v>
      </c>
      <c r="V16" s="73" ph="1">
        <f>MAX(5600*LOOKUP(V17,密度!$A$2:$A$50,密度!$Q$2:$Q$50)+V15*9.0476*LOOKUP(V17,密度!$A$2:$A$50,密度!$Q$2:$Q$50),0)</f>
        <v>32647.093421279995</v>
      </c>
      <c r="W16" s="73" ph="1">
        <f>MAX(5600*LOOKUP(W17,密度!$A$2:$A$50,密度!$Q$2:$Q$50)+W15*9.0476*LOOKUP(W17,密度!$A$2:$A$50,密度!$Q$2:$Q$50),0)</f>
        <v>13791.915890476001</v>
      </c>
      <c r="X16" s="73" ph="1">
        <f>MAX(5600*LOOKUP(X17,密度!$A$2:$A$50,密度!$I$2:$I$50)+X15*9.0476*LOOKUP(X17,密度!$A$2:$A$50,密度!$I$2:$I$50),0)</f>
        <v>15899.890735680001</v>
      </c>
      <c r="Y16" s="107" ph="1">
        <v>0</v>
      </c>
      <c r="Z16" s="73" ph="1">
        <f>Z15*9.0746*LOOKUP(Z17,密度!$A$2:$A$50,密度!$D$2:$D$50)</f>
        <v>464.57414700000004</v>
      </c>
      <c r="AA16" s="73" ph="1">
        <f>AA15*9.0746*LOOKUP(AA17,密度!$A$2:$A$50,密度!$B$2:$B$50)</f>
        <v>17796.633640800002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2439.9278409600001</v>
      </c>
      <c r="AE16" s="73" ph="1">
        <f>AE15*268.68*LOOKUP(AE17,密度!$A$2:$A$50,密度!B2:B50)+IF(AE15&lt;=0,0,1566*LOOKUP(AE17,密度!$A$2:$A$50,密度!B2:B50))</f>
        <v>12471.107462880002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32</v>
      </c>
      <c r="G17" s="74">
        <v>28</v>
      </c>
      <c r="H17" s="74">
        <v>24</v>
      </c>
      <c r="I17" s="74">
        <v>28</v>
      </c>
      <c r="J17" s="74">
        <v>28</v>
      </c>
      <c r="K17" s="74">
        <v>29</v>
      </c>
      <c r="L17" s="74">
        <v>29</v>
      </c>
      <c r="M17" s="74">
        <v>30</v>
      </c>
      <c r="N17" s="74">
        <v>27</v>
      </c>
      <c r="O17" s="74">
        <v>28</v>
      </c>
      <c r="P17" s="74">
        <v>28</v>
      </c>
      <c r="Q17" s="74">
        <v>30</v>
      </c>
      <c r="R17" s="74">
        <v>30</v>
      </c>
      <c r="S17" s="74">
        <v>28</v>
      </c>
      <c r="T17" s="74">
        <v>28</v>
      </c>
      <c r="U17" s="74">
        <v>28</v>
      </c>
      <c r="V17" s="74">
        <v>32</v>
      </c>
      <c r="W17" s="74">
        <v>30</v>
      </c>
      <c r="X17" s="74">
        <v>31</v>
      </c>
      <c r="Y17" s="108">
        <v>31</v>
      </c>
      <c r="Z17" s="74">
        <v>28</v>
      </c>
      <c r="AA17" s="74">
        <v>28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1578</v>
      </c>
      <c r="E18" s="71">
        <v>2923</v>
      </c>
      <c r="F18" s="71">
        <v>3105</v>
      </c>
      <c r="G18" s="71">
        <v>2132</v>
      </c>
      <c r="H18" s="71">
        <v>0</v>
      </c>
      <c r="I18" s="71">
        <v>3130</v>
      </c>
      <c r="J18" s="71">
        <v>574</v>
      </c>
      <c r="K18" s="71">
        <v>4251</v>
      </c>
      <c r="L18" s="71">
        <v>5852</v>
      </c>
      <c r="M18" s="71">
        <v>5827</v>
      </c>
      <c r="N18" s="71">
        <v>2622</v>
      </c>
      <c r="O18" s="71">
        <v>2500</v>
      </c>
      <c r="P18" s="71">
        <v>3449</v>
      </c>
      <c r="Q18" s="71">
        <v>2911</v>
      </c>
      <c r="R18" s="71">
        <v>1945</v>
      </c>
      <c r="S18" s="71">
        <v>0</v>
      </c>
      <c r="T18" s="71">
        <v>5723</v>
      </c>
      <c r="U18" s="71">
        <v>338</v>
      </c>
      <c r="V18" s="71">
        <v>3213</v>
      </c>
      <c r="W18" s="71">
        <v>-196</v>
      </c>
      <c r="X18" s="71">
        <v>1036</v>
      </c>
      <c r="Y18" s="109">
        <v>-9909</v>
      </c>
      <c r="Z18" s="71">
        <v>39</v>
      </c>
      <c r="AA18" s="71">
        <v>2525</v>
      </c>
      <c r="AB18" s="71">
        <v>0</v>
      </c>
      <c r="AC18" s="71">
        <v>0</v>
      </c>
      <c r="AD18" s="71">
        <v>27.32</v>
      </c>
      <c r="AE18" s="71">
        <v>84.51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10362.2989932</v>
      </c>
      <c r="E19" s="73" ph="1">
        <f>E18*7.0686*LOOKUP(E20,密度!$A$2:$A$50,密度!$L$2:$L$50)</f>
        <v>19194.550036200002</v>
      </c>
      <c r="F19" s="73" ph="1">
        <f>F18*9.0746*LOOKUP(F20,密度!$A$2:$A$50,密度!$L$2:$L$50)</f>
        <v>26091.562158000004</v>
      </c>
      <c r="G19" s="73" ph="1">
        <f>G18*9.0746*LOOKUP(G20,密度!$A$2:$A$50,密度!$B$2:$B$50)</f>
        <v>14999.76569416</v>
      </c>
      <c r="H19" s="73" ph="1">
        <f>H18*9.0746*LOOKUP(H20,密度!$A$2:$A$50,密度!$L$2:$L$50)</f>
        <v>0</v>
      </c>
      <c r="I19" s="73" ph="1">
        <f>I18*9.0746*LOOKUP(I20,密度!$A$2:$A$50,密度!$U$2:$U$50)</f>
        <v>28761.3820748</v>
      </c>
      <c r="J19" s="73" ph="1">
        <f>J18*9.0746*LOOKUP(J20,密度!$A$2:$A$50,密度!$L$2:$L$50)</f>
        <v>4797.3235884000005</v>
      </c>
      <c r="K19" s="73" ph="1">
        <f>K18*9.0746*LOOKUP(K20,密度!$A$2:$A$50,密度!$C$2:$C$50)</f>
        <v>42468.455572140003</v>
      </c>
      <c r="L19" s="73" ph="1">
        <f>L18*9.0746*LOOKUP(L20,密度!$A$2:$A$50,密度!$E$2:$E$50)</f>
        <v>41233.034990840002</v>
      </c>
      <c r="M19" s="73" ph="1">
        <f>M18*9.0746*LOOKUP(M20,密度!$A$2:$A$50,密度!$M$2:$M$50)</f>
        <v>45832.799001733998</v>
      </c>
      <c r="N19" s="73" ph="1">
        <f>N18*9.0746*LOOKUP(N20,密度!$A$2:$A$50,密度!$M$2:$M$50)</f>
        <v>20748.020246399999</v>
      </c>
      <c r="O19" s="73" ph="1">
        <f>O18*9.0746*LOOKUP(O20,密度!$A$2:$A$50,密度!$G$2:$G$50)</f>
        <v>21587.792805000001</v>
      </c>
      <c r="P19" s="73" ph="1">
        <f ca="1">P18*9.0746*LOOKUP(P20,密度!$A$2:$A$51,密度!$Q$2:$Q$50)</f>
        <v>29524.620999682</v>
      </c>
      <c r="Q19" s="73" ph="1">
        <f>Q18*9.0746*LOOKUP(Q20,密度!$A$2:$A$50,密度!$Q$2:$Q$50)</f>
        <v>24881.381669139999</v>
      </c>
      <c r="R19" s="73" ph="1">
        <f>MAX(R18*9.0746*LOOKUP(R20,密度!$A$2:$A$50,密度!$B$2:$B$50),0)</f>
        <v>13652.350029500001</v>
      </c>
      <c r="S19" s="73" ph="1">
        <f>S18*9.0746*LOOKUP(S20,密度!$A$2:$A$50,密度!$Q$2:$Q$50)</f>
        <v>0</v>
      </c>
      <c r="T19" s="73" ph="1">
        <f>T18*9.0746*LOOKUP(T20,密度!$A$2:$A$50,密度!$O$2:$O$50)</f>
        <v>47883.088807600005</v>
      </c>
      <c r="U19" s="73" ph="1">
        <f>U18*9.0746*LOOKUP(U20,密度!$A$2:$A$50,密度!$H$2:$H$50)</f>
        <v>2785.276415584</v>
      </c>
      <c r="V19" s="73" ph="1">
        <f>MAX(5600*LOOKUP(V20,密度!$A$2:$A$50,密度!$Q$2:$Q$50)+V18*9.0476*LOOKUP(V20,密度!$A$2:$A$50,密度!$Q$2:$Q$50),0)</f>
        <v>32565.47351484</v>
      </c>
      <c r="W19" s="73" ph="1">
        <f>MAX(5600*LOOKUP(W20,密度!$A$2:$A$50,密度!$Q$2:$Q$50)+W18*9.0476*LOOKUP(W20,密度!$A$2:$A$50,密度!$Q$2:$Q$50),0)</f>
        <v>3596.8405757760002</v>
      </c>
      <c r="X19" s="73" ph="1">
        <f>MAX(5600*LOOKUP(X20,密度!$A$2:$A$50,密度!$I$2:$I$50)+X18*9.0476*LOOKUP(X20,密度!$A$2:$A$50,密度!$I$2:$I$50),0)</f>
        <v>15455.45429792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359.81968697999997</v>
      </c>
      <c r="AA19" s="73" ph="1">
        <f>AA18*9.0746*LOOKUP(AA20,密度!$A$2:$A$50,密度!$B$2:$B$50)</f>
        <v>17684.535107000003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6920.2243152000001</v>
      </c>
      <c r="AE19" s="73" ph="1">
        <f>AE18*268.68*LOOKUP(AE20,密度!$A$2:$A$50,密度!B5:B53)+IF(AE18&lt;=0,0,1566*LOOKUP(AE20,密度!$A$2:$A$50,密度!B5:B53))</f>
        <v>18859.458063600003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33</v>
      </c>
      <c r="F20" s="81">
        <v>36</v>
      </c>
      <c r="G20" s="81">
        <v>30</v>
      </c>
      <c r="H20" s="81">
        <v>34</v>
      </c>
      <c r="I20" s="81">
        <v>38</v>
      </c>
      <c r="J20" s="81">
        <v>41</v>
      </c>
      <c r="K20" s="81">
        <v>34</v>
      </c>
      <c r="L20" s="81">
        <v>31</v>
      </c>
      <c r="M20" s="81">
        <v>33</v>
      </c>
      <c r="N20" s="81">
        <v>28</v>
      </c>
      <c r="O20" s="81">
        <v>33</v>
      </c>
      <c r="P20" s="81">
        <v>30</v>
      </c>
      <c r="Q20" s="81">
        <v>32</v>
      </c>
      <c r="R20" s="81">
        <v>32</v>
      </c>
      <c r="S20" s="81">
        <v>35</v>
      </c>
      <c r="T20" s="81">
        <v>32</v>
      </c>
      <c r="U20" s="81">
        <v>32</v>
      </c>
      <c r="V20" s="81">
        <v>36</v>
      </c>
      <c r="W20" s="81">
        <v>35</v>
      </c>
      <c r="X20" s="81">
        <v>34</v>
      </c>
      <c r="Y20" s="110">
        <v>34</v>
      </c>
      <c r="Z20" s="81">
        <v>36</v>
      </c>
      <c r="AA20" s="81">
        <v>34</v>
      </c>
      <c r="AB20" s="81">
        <v>35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78.010000000000005</v>
      </c>
      <c r="E24" s="71">
        <v>5.91</v>
      </c>
      <c r="F24" s="71">
        <v>3894</v>
      </c>
      <c r="G24" s="71">
        <v>3662</v>
      </c>
      <c r="H24" s="71">
        <v>3905</v>
      </c>
      <c r="I24" s="71">
        <v>1881</v>
      </c>
      <c r="J24" s="71">
        <v>309</v>
      </c>
      <c r="K24" s="71">
        <v>1016</v>
      </c>
      <c r="L24" s="71">
        <v>302</v>
      </c>
      <c r="M24" s="71">
        <v>326</v>
      </c>
      <c r="N24" s="71">
        <v>1439</v>
      </c>
      <c r="O24" s="71">
        <v>343</v>
      </c>
      <c r="P24" s="71">
        <v>370</v>
      </c>
      <c r="Q24" s="90">
        <v>3951</v>
      </c>
      <c r="R24" s="71">
        <v>348</v>
      </c>
      <c r="S24" s="71">
        <v>614</v>
      </c>
      <c r="T24" s="71">
        <v>393</v>
      </c>
      <c r="U24" s="71">
        <v>3074</v>
      </c>
      <c r="V24" s="71">
        <v>882</v>
      </c>
      <c r="W24" s="71">
        <v>415</v>
      </c>
      <c r="X24" s="71">
        <v>4063</v>
      </c>
      <c r="Y24" s="71">
        <v>5837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21326.006590632001</v>
      </c>
      <c r="E25" s="91" ph="1">
        <f>E24*268.68*LOOKUP(E26,密度!$A$2:$A$50,密度!$C$2:$C$50)+IF(E24&lt;=0,0,1566*LOOKUP(E26,密度!$A$2:$A$50,密度!$C$2:$C$50))</f>
        <v>3497.35837932</v>
      </c>
      <c r="F25" s="91" ph="1">
        <f>F24*11.702*LOOKUP(F26,密度!$A$2:$A$50,密度!$Q$2:$Q$50)</f>
        <v>42985.272788040005</v>
      </c>
      <c r="G25" s="91" ph="1">
        <f>G24*18.322*LOOKUP(G26,密度!$A$2:$A$50,密度!$B$2:$B$50)</f>
        <v>52132.942427999995</v>
      </c>
      <c r="H25" s="91" ph="1">
        <f>H24*18.322*LOOKUP(H26,密度!$A$2:$A$50,密度!$B$2:$B$50)</f>
        <v>55656.730239000004</v>
      </c>
      <c r="I25" s="91" ph="1">
        <f>I24*18.322*LOOKUP(I26,密度!$A$2:$A$50,密度!$Q$2:$Q$50)</f>
        <v>32555.083290840001</v>
      </c>
      <c r="J25" s="91" ph="1">
        <f>J24*18.322*LOOKUP(J26,密度!$A$2:$A$50,密度!$Q$2:$Q$50)</f>
        <v>5351.92728936</v>
      </c>
      <c r="K25" s="91" ph="1">
        <f>K24*18.322*LOOKUP(K26,密度!$A$2:$A$50,密度!$Q$2:$Q$50)</f>
        <v>17584.24488224</v>
      </c>
      <c r="L25" s="91" ph="1">
        <f>L24*18.322*LOOKUP(L26,密度!$A$2:$A$50,密度!$Q$2:$Q$50)</f>
        <v>5230.6862180799999</v>
      </c>
      <c r="M25" s="91" ph="1">
        <f>M24*18.322*LOOKUP(M26,密度!$A$2:$A$50,密度!$Q$2:$Q$50)</f>
        <v>5638.0674599599997</v>
      </c>
      <c r="N25" s="91" ph="1">
        <f>N24*18.322*LOOKUP(N26,密度!$A$2:$A$50,密度!$Q$2:$Q$50)</f>
        <v>24905.24447396</v>
      </c>
      <c r="O25" s="91" ph="1">
        <f>O24*18.322*LOOKUP(O26,密度!$A$2:$A$50,密度!$C$2:$C$50)</f>
        <v>6959.3955003999999</v>
      </c>
      <c r="P25" s="91" ph="1">
        <f>P24*11.702*LOOKUP(P26,密度!$A$2:$A$50,密度!$B$2:$B$50)</f>
        <v>3364.2079800000001</v>
      </c>
      <c r="Q25" s="92" ph="1">
        <f>Q24*18.322*LOOKUP(Q26,密度!$A$2:$A$50,密度!$B$2:$B$50)</f>
        <v>56247.202493999997</v>
      </c>
      <c r="R25" s="91" ph="1">
        <f>R24*35.891*LOOKUP(R26,密度!$A$2:$A$50,密度!$C$2:$C$50)</f>
        <v>13831.501303199999</v>
      </c>
      <c r="S25" s="91" ph="1">
        <f>S24*35.891*LOOKUP(S26,密度!$A$2:$A$50,密度!$B$2:$B$50)</f>
        <v>17142.639864600002</v>
      </c>
      <c r="T25" s="91" ph="1">
        <f>T24*35.891*LOOKUP(T26,密度!$A$2:$A$50,密度!$Q$2:$Q$50)</f>
        <v>13324.019073059999</v>
      </c>
      <c r="U25" s="91" ph="1">
        <f>U24*35.891</f>
        <v>110328.93399999999</v>
      </c>
      <c r="V25" s="91" ph="1">
        <f>V24*47.051*LOOKUP(V26,密度!$A$2:$A$50,密度!$B$2:$B$50)</f>
        <v>32244.709014000004</v>
      </c>
      <c r="W25" s="91" ph="1">
        <f>W24*47.051*LOOKUP(W26,密度!$A$2:$A$50,密度!$B$2:$B$50)</f>
        <v>15189.403753500001</v>
      </c>
      <c r="X25" s="91" ph="1">
        <f>X24*47.051*LOOKUP(X26,密度!$A$2:$A$61,密度!$I$2:$I$61)</f>
        <v>197553.23131420003</v>
      </c>
      <c r="Y25" s="91" ph="1">
        <f>Y24*47.051*LOOKUP(Y26,密度!$A$2:$A$50,密度!$L$2:$L$50)</f>
        <v>256510.66565800004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28</v>
      </c>
      <c r="H26" s="74">
        <v>27</v>
      </c>
      <c r="I26" s="74">
        <v>28</v>
      </c>
      <c r="J26" s="74">
        <v>27</v>
      </c>
      <c r="K26" s="74">
        <v>28</v>
      </c>
      <c r="L26" s="74">
        <v>27</v>
      </c>
      <c r="M26" s="74">
        <v>29</v>
      </c>
      <c r="N26" s="74">
        <v>28</v>
      </c>
      <c r="O26" s="74">
        <v>27</v>
      </c>
      <c r="P26" s="74">
        <v>28</v>
      </c>
      <c r="Q26" s="93">
        <v>28</v>
      </c>
      <c r="R26" s="74">
        <v>27</v>
      </c>
      <c r="S26" s="74">
        <v>27</v>
      </c>
      <c r="T26" s="74">
        <v>28</v>
      </c>
      <c r="U26" s="74">
        <v>27</v>
      </c>
      <c r="V26" s="74">
        <v>28</v>
      </c>
      <c r="W26" s="74">
        <v>27</v>
      </c>
      <c r="X26" s="74">
        <v>33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76.209999999999994</v>
      </c>
      <c r="E27" s="71">
        <v>5.82</v>
      </c>
      <c r="F27" s="71">
        <v>3938</v>
      </c>
      <c r="G27" s="71">
        <v>3215</v>
      </c>
      <c r="H27" s="71">
        <v>3474</v>
      </c>
      <c r="I27" s="71">
        <v>2458</v>
      </c>
      <c r="J27" s="71">
        <v>303</v>
      </c>
      <c r="K27" s="71">
        <v>3260</v>
      </c>
      <c r="L27" s="71">
        <v>296</v>
      </c>
      <c r="M27" s="71">
        <v>321</v>
      </c>
      <c r="N27" s="71">
        <v>1435</v>
      </c>
      <c r="O27" s="71">
        <v>338</v>
      </c>
      <c r="P27" s="71">
        <v>367</v>
      </c>
      <c r="Q27" s="90">
        <v>4203</v>
      </c>
      <c r="R27" s="71">
        <v>343</v>
      </c>
      <c r="S27" s="71">
        <v>611</v>
      </c>
      <c r="T27" s="71">
        <v>390</v>
      </c>
      <c r="U27" s="71">
        <v>2436</v>
      </c>
      <c r="V27" s="71">
        <v>878</v>
      </c>
      <c r="W27" s="71">
        <v>412</v>
      </c>
      <c r="X27" s="71">
        <v>4662</v>
      </c>
      <c r="Y27" s="71">
        <v>5041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20868.140404872003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43470.982085080002</v>
      </c>
      <c r="G28" s="91" ph="1">
        <f>G27*18.322*LOOKUP(G29,密度!$A$2:$A$50,密度!$B$2:$B$50)</f>
        <v>45669.224818999995</v>
      </c>
      <c r="H28" s="91" ph="1">
        <f>H27*18.322*LOOKUP(H29,密度!$A$2:$A$50,密度!$B$2:$B$50)</f>
        <v>49291.046323199997</v>
      </c>
      <c r="I28" s="91" ph="1">
        <f>I27*18.322*LOOKUP(I29,密度!$A$2:$A$50,密度!$Q$2:$Q$50)</f>
        <v>42483.315575079992</v>
      </c>
      <c r="J28" s="91" ph="1">
        <f>J27*18.322*LOOKUP(J29,密度!$A$2:$A$50,密度!$Q$2:$Q$50)</f>
        <v>5232.7950802799996</v>
      </c>
      <c r="K28" s="91" ph="1">
        <f>K27*18.322*LOOKUP(K29,密度!$A$2:$A$50,密度!$Q$2:$Q$50)</f>
        <v>56300.039477599996</v>
      </c>
      <c r="L28" s="91" ph="1">
        <f>L27*18.322*LOOKUP(L29,密度!$A$2:$A$50,密度!$Q$2:$Q$50)</f>
        <v>5108.2175727999993</v>
      </c>
      <c r="M28" s="91" ph="1">
        <f>M27*18.322*LOOKUP(M29,密度!$A$2:$A$50,密度!$Q$2:$Q$50)</f>
        <v>5543.6541939600002</v>
      </c>
      <c r="N28" s="91" ph="1">
        <f>N27*18.322*LOOKUP(N29,密度!$A$2:$A$50,密度!$Q$2:$Q$50)</f>
        <v>24764.500732999997</v>
      </c>
      <c r="O28" s="91" ph="1">
        <f>O27*18.322*LOOKUP(O29,密度!$A$2:$A$50,密度!$C$2:$C$50)</f>
        <v>6837.5102275999998</v>
      </c>
      <c r="P28" s="91" ph="1">
        <f>P27*11.702*LOOKUP(P29,密度!$A$2:$A$50,密度!$B$2:$B$50)</f>
        <v>3321.8993989999999</v>
      </c>
      <c r="Q28" s="92" ph="1">
        <f>Q27*18.322*LOOKUP(Q29,密度!$A$2:$A$50,密度!$B$2:$B$50)</f>
        <v>59565.197600999993</v>
      </c>
      <c r="R28" s="91" ph="1">
        <f>R27*35.891*LOOKUP(R29,密度!$A$2:$A$50,密度!$C$2:$C$50)</f>
        <v>13578.606139</v>
      </c>
      <c r="S28" s="91" ph="1">
        <f>S27*35.891*LOOKUP(S29,密度!$A$2:$A$50,密度!$B$2:$B$50)</f>
        <v>16982.128134399998</v>
      </c>
      <c r="T28" s="91" ph="1">
        <f>T27*35.891*LOOKUP(T29,密度!$A$2:$A$50,密度!$Q$2:$Q$50)</f>
        <v>13184.235831</v>
      </c>
      <c r="U28" s="91" ph="1">
        <f>U27*35.891</f>
        <v>87430.475999999995</v>
      </c>
      <c r="V28" s="91" ph="1">
        <f>V27*47.051*LOOKUP(V29,密度!$A$2:$A$50,密度!$B$2:$B$50)</f>
        <v>32028.246183399999</v>
      </c>
      <c r="W28" s="91" ph="1">
        <f>W27*47.051*LOOKUP(W29,密度!$A$2:$A$50,密度!$B$2:$B$50)</f>
        <v>14994.306782000001</v>
      </c>
      <c r="X28" s="91" ph="1">
        <f>X27*47.051*LOOKUP(X29,密度!$A$2:$A$61,密度!$I$2:$I$61)</f>
        <v>226173.60179819999</v>
      </c>
      <c r="Y28" s="91" ph="1">
        <f>Y27*47.051*LOOKUP(Y29,密度!$A$2:$A$50,密度!$L$2:$L$50)</f>
        <v>220818.38872100002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30</v>
      </c>
      <c r="G29" s="74">
        <v>30</v>
      </c>
      <c r="H29" s="74">
        <v>31</v>
      </c>
      <c r="I29" s="74">
        <v>30</v>
      </c>
      <c r="J29" s="74">
        <v>31</v>
      </c>
      <c r="K29" s="74">
        <v>31</v>
      </c>
      <c r="L29" s="74">
        <v>32</v>
      </c>
      <c r="M29" s="74">
        <v>31</v>
      </c>
      <c r="N29" s="74">
        <v>32</v>
      </c>
      <c r="O29" s="74">
        <v>31</v>
      </c>
      <c r="P29" s="74">
        <v>32</v>
      </c>
      <c r="Q29" s="93">
        <v>32</v>
      </c>
      <c r="R29" s="74">
        <v>32</v>
      </c>
      <c r="S29" s="74">
        <v>31</v>
      </c>
      <c r="T29" s="74">
        <v>32</v>
      </c>
      <c r="U29" s="74">
        <v>31</v>
      </c>
      <c r="V29" s="74">
        <v>30</v>
      </c>
      <c r="W29" s="74">
        <v>32</v>
      </c>
      <c r="X29" s="74">
        <v>35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32096.695117380001</v>
      </c>
      <c r="E33" s="190" ph="1">
        <f>M10+I10</f>
        <v>161746.26764040004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1522252632456786910111213141516171819202123456789101112131415161718192022232424356789101112131415161718192021222345678910111213141516171819202345678910111213149101516171819222123234567891012131415161711181920212224252345678910111213116[[#This Row],[F25]]</f>
        <v>3880</v>
      </c>
      <c r="G33" s="216" ph="1">
        <f>N19</f>
        <v>20748.020246399999</v>
      </c>
      <c r="H33" s="190" ph="1">
        <f>M19</f>
        <v>45832.799001733998</v>
      </c>
      <c r="I33" s="194" ph="1">
        <v>0</v>
      </c>
      <c r="J33" s="198" ph="1">
        <f>F10+O28</f>
        <v>198918.76577959998</v>
      </c>
      <c r="K33" s="190" ph="1">
        <f>O10+K10+E28+R28</f>
        <v>32856.751454440004</v>
      </c>
      <c r="L33" s="200" ph="1">
        <f>K19</f>
        <v>42468.455572140003</v>
      </c>
      <c r="M33" s="198" ph="1">
        <f>G10+H10+W28+S28+V28+E10+R19+P28+Q28</f>
        <v>411365.45377930009</v>
      </c>
      <c r="N33" s="190" ph="1">
        <f>L10+P10++G28+H28+AD19+AE19</f>
        <v>172186.73085600001</v>
      </c>
      <c r="O33" s="194" ph="1">
        <f>G19</f>
        <v>14999.76569416</v>
      </c>
      <c r="P33" s="198" ph="1">
        <f>L19</f>
        <v>41233.034990840002</v>
      </c>
      <c r="Q33" s="190" ph="1">
        <f>J10+N10</f>
        <v>146585.89860546001</v>
      </c>
      <c r="R33" s="194" ph="1">
        <f>BE23</f>
        <v>890</v>
      </c>
      <c r="S33" s="198" ph="1">
        <f>X28</f>
        <v>226173.60179819999</v>
      </c>
      <c r="T33" s="190" ph="1">
        <f>X19</f>
        <v>15455.45429792</v>
      </c>
      <c r="U33" s="179" ph="1">
        <f>BE21</f>
        <v>730</v>
      </c>
      <c r="V33" s="192" ph="1">
        <f ca="1">P19+Q19+S19+M28+N28+J28+D10+AC10+D19+E19+H19+J19+O19+V19+W19+K28+L28</f>
        <v>739752.34218187782</v>
      </c>
      <c r="W33" s="192" ph="1">
        <f>D28+F28+T28+I28</f>
        <v>120006.67389603199</v>
      </c>
      <c r="X33" s="194" ph="1">
        <f>BE29+BE31</f>
        <v>10200</v>
      </c>
      <c r="Y33" s="196" ph="1">
        <f>+Q10+R10+S10+T10+U10+V10+W10+X10+Y10</f>
        <v>146582.34281460001</v>
      </c>
      <c r="Z33" s="177" ph="1">
        <f>T19+U19+Y28+Z10</f>
        <v>365438.71096818405</v>
      </c>
      <c r="AA33" s="179" ph="1">
        <f>BE19</f>
        <v>1440</v>
      </c>
      <c r="AB33" s="181" ph="1">
        <f>I19</f>
        <v>28761.3820748</v>
      </c>
      <c r="AC33" s="183" ph="1">
        <f>AD10+AB19</f>
        <v>84663.698918400012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14" priority="101">
      <formula>ABS(D$7-D$10)&gt;=1000</formula>
    </cfRule>
  </conditionalFormatting>
  <conditionalFormatting sqref="E4 E6:E11">
    <cfRule type="expression" dxfId="1313" priority="100">
      <formula>ABS(E$7-E$10)&gt;=1000</formula>
    </cfRule>
  </conditionalFormatting>
  <conditionalFormatting sqref="F4:F11">
    <cfRule type="expression" dxfId="1312" priority="99">
      <formula>ABS(F$7-F$10)&gt;=1000</formula>
    </cfRule>
  </conditionalFormatting>
  <conditionalFormatting sqref="G4:G11">
    <cfRule type="expression" dxfId="1311" priority="98">
      <formula>ABS(G$7-G$10)&gt;=1000</formula>
    </cfRule>
  </conditionalFormatting>
  <conditionalFormatting sqref="H4:H11">
    <cfRule type="expression" dxfId="1310" priority="97">
      <formula>ABS(H$7-H$10)&gt;=1000</formula>
    </cfRule>
  </conditionalFormatting>
  <conditionalFormatting sqref="I4:I11">
    <cfRule type="expression" dxfId="1309" priority="96">
      <formula>ABS(I$7-I$10)&gt;=1000</formula>
    </cfRule>
  </conditionalFormatting>
  <conditionalFormatting sqref="J4:J11">
    <cfRule type="expression" dxfId="1308" priority="95">
      <formula>ABS(J$7-J$10)&gt;=1000</formula>
    </cfRule>
  </conditionalFormatting>
  <conditionalFormatting sqref="K4:K11">
    <cfRule type="expression" dxfId="1307" priority="94">
      <formula>ABS(K$7-K$10)&gt;=1000</formula>
    </cfRule>
  </conditionalFormatting>
  <conditionalFormatting sqref="L4:L11">
    <cfRule type="expression" dxfId="1306" priority="93">
      <formula>ABS(L$7-L$10)&gt;=1000</formula>
    </cfRule>
  </conditionalFormatting>
  <conditionalFormatting sqref="M4 M6:M11">
    <cfRule type="expression" dxfId="1305" priority="92">
      <formula>ABS(M$7-M$10)&gt;=1000</formula>
    </cfRule>
  </conditionalFormatting>
  <conditionalFormatting sqref="N4 N6:N11">
    <cfRule type="expression" dxfId="1304" priority="91">
      <formula>ABS(N$7-N$10)&gt;=1000</formula>
    </cfRule>
  </conditionalFormatting>
  <conditionalFormatting sqref="O4 O6:O11">
    <cfRule type="expression" dxfId="1303" priority="90">
      <formula>ABS(O$7-O$10)&gt;=1000</formula>
    </cfRule>
  </conditionalFormatting>
  <conditionalFormatting sqref="P4 P6:P11">
    <cfRule type="expression" dxfId="1302" priority="89">
      <formula>ABS(P$7-P$10)&gt;=1000</formula>
    </cfRule>
  </conditionalFormatting>
  <conditionalFormatting sqref="Q4:Q11">
    <cfRule type="expression" dxfId="1301" priority="88">
      <formula>ABS(Q$7-Q$10)&gt;=1000</formula>
    </cfRule>
  </conditionalFormatting>
  <conditionalFormatting sqref="R4:R11">
    <cfRule type="expression" dxfId="1300" priority="87">
      <formula>ABS(R$7-R$10)&gt;=1000</formula>
    </cfRule>
  </conditionalFormatting>
  <conditionalFormatting sqref="S4:S11">
    <cfRule type="expression" dxfId="1299" priority="86">
      <formula>ABS(S$7-S$10)&gt;=1000</formula>
    </cfRule>
  </conditionalFormatting>
  <conditionalFormatting sqref="T4:T9 T11">
    <cfRule type="expression" dxfId="1298" priority="85">
      <formula>ABS(T$7-T$10)&gt;=1000</formula>
    </cfRule>
  </conditionalFormatting>
  <conditionalFormatting sqref="U4:U9 U11">
    <cfRule type="expression" dxfId="1297" priority="84">
      <formula>ABS(U$7-U$10)&gt;=1000</formula>
    </cfRule>
  </conditionalFormatting>
  <conditionalFormatting sqref="V4:V9 V11">
    <cfRule type="expression" dxfId="1296" priority="83">
      <formula>ABS(V$7-V$10)&gt;=1000</formula>
    </cfRule>
  </conditionalFormatting>
  <conditionalFormatting sqref="W4:W9 W11">
    <cfRule type="expression" dxfId="1295" priority="82">
      <formula>ABS(W$7-W$10)&gt;=1000</formula>
    </cfRule>
  </conditionalFormatting>
  <conditionalFormatting sqref="X4:X9 X11">
    <cfRule type="expression" dxfId="1294" priority="81">
      <formula>ABS(X$7-X$10)&gt;=1000</formula>
    </cfRule>
  </conditionalFormatting>
  <conditionalFormatting sqref="Y4:Y9 Y11">
    <cfRule type="expression" dxfId="1293" priority="80">
      <formula>ABS(Y$7-Y$10)&gt;=1000</formula>
    </cfRule>
  </conditionalFormatting>
  <conditionalFormatting sqref="Z4:Z11">
    <cfRule type="expression" dxfId="1292" priority="79">
      <formula>ABS(Z$7-Z$10)&gt;=1000</formula>
    </cfRule>
  </conditionalFormatting>
  <conditionalFormatting sqref="AA4:AA11">
    <cfRule type="expression" dxfId="1291" priority="78">
      <formula>ABS(AA$7-AA$10)&gt;=1000</formula>
    </cfRule>
  </conditionalFormatting>
  <conditionalFormatting sqref="AB4:AB11">
    <cfRule type="expression" dxfId="1290" priority="77">
      <formula>ABS(AB$7-AB$10)&gt;=1000</formula>
    </cfRule>
  </conditionalFormatting>
  <conditionalFormatting sqref="AC4 AC6:AC11">
    <cfRule type="expression" dxfId="1289" priority="76">
      <formula>ABS(AC$7-AC$10)&gt;=1000</formula>
    </cfRule>
  </conditionalFormatting>
  <conditionalFormatting sqref="AD4 AD6:AD11">
    <cfRule type="expression" dxfId="1288" priority="75">
      <formula>ABS(AD$7-AD$10)&gt;=1000</formula>
    </cfRule>
  </conditionalFormatting>
  <conditionalFormatting sqref="AE4 AE6:AE11">
    <cfRule type="expression" dxfId="1287" priority="74">
      <formula>ABS(AE$7-AE$10)&gt;=1000</formula>
    </cfRule>
  </conditionalFormatting>
  <conditionalFormatting sqref="D13:D20">
    <cfRule type="expression" dxfId="1286" priority="73">
      <formula>ABS(D$16-D$19)&gt;=1000</formula>
    </cfRule>
  </conditionalFormatting>
  <conditionalFormatting sqref="E13:E20">
    <cfRule type="expression" dxfId="1285" priority="72">
      <formula>ABS(E$16-E$19)&gt;=1000</formula>
    </cfRule>
  </conditionalFormatting>
  <conditionalFormatting sqref="F13 F15:F20">
    <cfRule type="expression" dxfId="1284" priority="71">
      <formula>ABS(F$16-F$19)&gt;=1000</formula>
    </cfRule>
  </conditionalFormatting>
  <conditionalFormatting sqref="G13:G20">
    <cfRule type="expression" dxfId="1283" priority="70">
      <formula>ABS(G$16-G$19)&gt;=1000</formula>
    </cfRule>
  </conditionalFormatting>
  <conditionalFormatting sqref="H13 H15:H20">
    <cfRule type="expression" dxfId="1282" priority="69">
      <formula>ABS(H$16-H$19)&gt;=1000</formula>
    </cfRule>
  </conditionalFormatting>
  <conditionalFormatting sqref="I13:I20">
    <cfRule type="expression" dxfId="1281" priority="68">
      <formula>ABS(I$16-I$19)&gt;=1000</formula>
    </cfRule>
  </conditionalFormatting>
  <conditionalFormatting sqref="J13:J20">
    <cfRule type="expression" dxfId="1280" priority="67">
      <formula>ABS(J$16-J$19)&gt;=1000</formula>
    </cfRule>
  </conditionalFormatting>
  <conditionalFormatting sqref="L13:L20">
    <cfRule type="expression" dxfId="1279" priority="66">
      <formula>ABS(L$16-L$19)&gt;=1000</formula>
    </cfRule>
  </conditionalFormatting>
  <conditionalFormatting sqref="M13 M15 M17:M18 M20">
    <cfRule type="expression" dxfId="1278" priority="65">
      <formula>ABS(M$16-M$19)&gt;=1000</formula>
    </cfRule>
  </conditionalFormatting>
  <conditionalFormatting sqref="N13:N20">
    <cfRule type="expression" dxfId="1277" priority="64">
      <formula>ABS(N$16-N$19)&gt;=1000</formula>
    </cfRule>
  </conditionalFormatting>
  <conditionalFormatting sqref="O13:O20">
    <cfRule type="expression" dxfId="1276" priority="63">
      <formula>ABS(O$16-O$19)&gt;=1000</formula>
    </cfRule>
  </conditionalFormatting>
  <conditionalFormatting sqref="P13:P20">
    <cfRule type="expression" dxfId="1275" priority="62">
      <formula>ABS(P$16-P$19)&gt;=1000</formula>
    </cfRule>
  </conditionalFormatting>
  <conditionalFormatting sqref="Q13 Q15:Q20">
    <cfRule type="expression" dxfId="1274" priority="61">
      <formula>ABS(Q$16-Q$19)&gt;=1000</formula>
    </cfRule>
  </conditionalFormatting>
  <conditionalFormatting sqref="R13:R20">
    <cfRule type="expression" dxfId="1273" priority="60">
      <formula>ABS(R$16-R$19)&gt;=1000</formula>
    </cfRule>
  </conditionalFormatting>
  <conditionalFormatting sqref="S13:S20">
    <cfRule type="expression" dxfId="1272" priority="59">
      <formula>ABS(S$16-S$19)&gt;=1000</formula>
    </cfRule>
  </conditionalFormatting>
  <conditionalFormatting sqref="T13:T15 T17:T20">
    <cfRule type="expression" dxfId="1271" priority="58">
      <formula>ABS(T$16-T$19)&gt;=1000</formula>
    </cfRule>
  </conditionalFormatting>
  <conditionalFormatting sqref="U13:U20">
    <cfRule type="expression" dxfId="1270" priority="57">
      <formula>ABS(U$16-U$19)&gt;=1000</formula>
    </cfRule>
  </conditionalFormatting>
  <conditionalFormatting sqref="V13:V20">
    <cfRule type="expression" dxfId="1269" priority="56">
      <formula>ABS(V$16-V$19)&gt;=1000</formula>
    </cfRule>
  </conditionalFormatting>
  <conditionalFormatting sqref="W13 W20 W15:W18">
    <cfRule type="expression" dxfId="1268" priority="55">
      <formula>ABS(W$16-W$19)&gt;=1000</formula>
    </cfRule>
  </conditionalFormatting>
  <conditionalFormatting sqref="X13 X15:X20 Y19">
    <cfRule type="expression" dxfId="1267" priority="54">
      <formula>ABS(X$16-X$19)&gt;=1000</formula>
    </cfRule>
  </conditionalFormatting>
  <conditionalFormatting sqref="Y13 Y15:Y18 Y20">
    <cfRule type="expression" dxfId="1266" priority="53">
      <formula>ABS(Y$16-Y$19)&gt;=1000</formula>
    </cfRule>
  </conditionalFormatting>
  <conditionalFormatting sqref="Z13:Z20">
    <cfRule type="expression" dxfId="1265" priority="52">
      <formula>ABS(Z$16-Z$19)&gt;=1000</formula>
    </cfRule>
  </conditionalFormatting>
  <conditionalFormatting sqref="AA13:AA20">
    <cfRule type="expression" dxfId="1264" priority="51">
      <formula>ABS(AA$16-AA$19)&gt;=1000</formula>
    </cfRule>
  </conditionalFormatting>
  <conditionalFormatting sqref="AB13 AB15:AB20">
    <cfRule type="expression" dxfId="1263" priority="50">
      <formula>ABS(AB$16-AB$19)&gt;=1000</formula>
    </cfRule>
  </conditionalFormatting>
  <conditionalFormatting sqref="AC13 AC15:AC20">
    <cfRule type="expression" dxfId="1262" priority="49">
      <formula>ABS(AC$16-AC$19)&gt;=1000</formula>
    </cfRule>
  </conditionalFormatting>
  <conditionalFormatting sqref="AD13:AD20">
    <cfRule type="expression" dxfId="1261" priority="48">
      <formula>ABS(AD$16-AD$19)&gt;=1000</formula>
    </cfRule>
  </conditionalFormatting>
  <conditionalFormatting sqref="AE13:AE20">
    <cfRule type="expression" dxfId="1260" priority="47">
      <formula>ABS(AE$16-AE$19)&gt;=1000</formula>
    </cfRule>
  </conditionalFormatting>
  <conditionalFormatting sqref="D22:D29">
    <cfRule type="expression" dxfId="1259" priority="46">
      <formula>ABS(D$25-D$28)&gt;=1000</formula>
    </cfRule>
  </conditionalFormatting>
  <conditionalFormatting sqref="E22:E29">
    <cfRule type="expression" dxfId="1258" priority="45">
      <formula>ABS(E$25-E$28)&gt;=1000</formula>
    </cfRule>
  </conditionalFormatting>
  <conditionalFormatting sqref="F22:F29">
    <cfRule type="expression" dxfId="1257" priority="44">
      <formula>ABS(F$25-F$28)&gt;=1000</formula>
    </cfRule>
  </conditionalFormatting>
  <conditionalFormatting sqref="G22:G29">
    <cfRule type="expression" dxfId="1256" priority="43">
      <formula>ABS(G$25-G$28)&gt;=1000</formula>
    </cfRule>
  </conditionalFormatting>
  <conditionalFormatting sqref="H22:H29">
    <cfRule type="expression" dxfId="1255" priority="42">
      <formula>ABS(H$25-H$28)&gt;=1000</formula>
    </cfRule>
  </conditionalFormatting>
  <conditionalFormatting sqref="I22 I24:I29">
    <cfRule type="expression" dxfId="1254" priority="41">
      <formula>ABS(I$25-I$28)&gt;=1000</formula>
    </cfRule>
  </conditionalFormatting>
  <conditionalFormatting sqref="J22:J29 K22">
    <cfRule type="expression" dxfId="1253" priority="40">
      <formula>ABS(J$25-J$28)&gt;=1000</formula>
    </cfRule>
  </conditionalFormatting>
  <conditionalFormatting sqref="K23:K29 L25 L28">
    <cfRule type="expression" dxfId="1252" priority="39">
      <formula>ABS(K$25-K$28)&gt;=1000</formula>
    </cfRule>
  </conditionalFormatting>
  <conditionalFormatting sqref="L22 L26:L27 L29 L24">
    <cfRule type="expression" dxfId="1251" priority="38">
      <formula>ABS(L$25-L$28)&gt;=1000</formula>
    </cfRule>
  </conditionalFormatting>
  <conditionalFormatting sqref="M22:M29">
    <cfRule type="expression" dxfId="1250" priority="37">
      <formula>ABS(M$25-M$28)&gt;=1000</formula>
    </cfRule>
  </conditionalFormatting>
  <conditionalFormatting sqref="N22:N29">
    <cfRule type="expression" dxfId="1249" priority="36">
      <formula>ABS(N$25-N$28)&gt;=1000</formula>
    </cfRule>
  </conditionalFormatting>
  <conditionalFormatting sqref="O22:O29">
    <cfRule type="expression" dxfId="1248" priority="35">
      <formula>ABS(O$25-O$28)&gt;=1000</formula>
    </cfRule>
  </conditionalFormatting>
  <conditionalFormatting sqref="P22:P29">
    <cfRule type="expression" dxfId="1247" priority="34">
      <formula>ABS(P$25-P$28)&gt;=1000</formula>
    </cfRule>
  </conditionalFormatting>
  <conditionalFormatting sqref="Q22:Q29">
    <cfRule type="expression" dxfId="1246" priority="33">
      <formula>ABS(Q$25-Q$28)&gt;=1000</formula>
    </cfRule>
  </conditionalFormatting>
  <conditionalFormatting sqref="R22:R29">
    <cfRule type="expression" dxfId="1245" priority="32">
      <formula>ABS(R$25-R$28)&gt;=1000</formula>
    </cfRule>
  </conditionalFormatting>
  <conditionalFormatting sqref="S22:S29">
    <cfRule type="expression" dxfId="1244" priority="31">
      <formula>ABS(S$25-S$28)&gt;=1000</formula>
    </cfRule>
  </conditionalFormatting>
  <conditionalFormatting sqref="T22:T29">
    <cfRule type="expression" dxfId="1243" priority="30">
      <formula>ABS(T$25-T$28)&gt;=1000</formula>
    </cfRule>
  </conditionalFormatting>
  <conditionalFormatting sqref="U22:U29">
    <cfRule type="expression" dxfId="1242" priority="29">
      <formula>ABS(U$25-U$28)&gt;=1000</formula>
    </cfRule>
  </conditionalFormatting>
  <conditionalFormatting sqref="V22:V29">
    <cfRule type="expression" dxfId="1241" priority="28">
      <formula>ABS(V$25-V$28)&gt;=1000</formula>
    </cfRule>
  </conditionalFormatting>
  <conditionalFormatting sqref="W22:W29">
    <cfRule type="expression" dxfId="1240" priority="27">
      <formula>ABS(W$25-W$28)&gt;=1000</formula>
    </cfRule>
  </conditionalFormatting>
  <conditionalFormatting sqref="X22:X29">
    <cfRule type="expression" dxfId="1239" priority="26">
      <formula>ABS(X$25-X$28)&gt;=1000</formula>
    </cfRule>
  </conditionalFormatting>
  <conditionalFormatting sqref="Y22:Y29">
    <cfRule type="expression" dxfId="1238" priority="25">
      <formula>ABS(Y$25-Y$28)&gt;=1000</formula>
    </cfRule>
  </conditionalFormatting>
  <conditionalFormatting sqref="I23">
    <cfRule type="expression" dxfId="1237" priority="24">
      <formula>ABS(I$25-I$28)&gt;=1000</formula>
    </cfRule>
  </conditionalFormatting>
  <conditionalFormatting sqref="Q14">
    <cfRule type="expression" dxfId="1236" priority="23">
      <formula>ABS(Q$16-Q$19)&gt;=1000</formula>
    </cfRule>
  </conditionalFormatting>
  <conditionalFormatting sqref="W14">
    <cfRule type="expression" dxfId="1235" priority="22">
      <formula>ABS(W$16-W$19)&gt;=1000</formula>
    </cfRule>
  </conditionalFormatting>
  <conditionalFormatting sqref="X14">
    <cfRule type="expression" dxfId="1234" priority="21">
      <formula>ABS(X$16-X$19)&gt;=1000</formula>
    </cfRule>
  </conditionalFormatting>
  <conditionalFormatting sqref="T10:Y10">
    <cfRule type="expression" dxfId="1233" priority="20">
      <formula>ABS(T$7-T$10)&gt;=1000</formula>
    </cfRule>
  </conditionalFormatting>
  <conditionalFormatting sqref="W19">
    <cfRule type="expression" dxfId="1232" priority="19">
      <formula>ABS(W$16-W$19)&gt;=1000</formula>
    </cfRule>
  </conditionalFormatting>
  <conditionalFormatting sqref="AC5">
    <cfRule type="expression" dxfId="1231" priority="18">
      <formula>ABS(AC$7-AC$10)&gt;=1000</formula>
    </cfRule>
  </conditionalFormatting>
  <conditionalFormatting sqref="M14">
    <cfRule type="expression" dxfId="1230" priority="17">
      <formula>ABS(M$16-M$19)&gt;=1000</formula>
    </cfRule>
  </conditionalFormatting>
  <conditionalFormatting sqref="M16">
    <cfRule type="expression" dxfId="1229" priority="16">
      <formula>ABS(M$16-M$19)&gt;=1000</formula>
    </cfRule>
  </conditionalFormatting>
  <conditionalFormatting sqref="M19">
    <cfRule type="expression" dxfId="1228" priority="15">
      <formula>ABS(M$16-M$19)&gt;=1000</formula>
    </cfRule>
  </conditionalFormatting>
  <conditionalFormatting sqref="K13:K20">
    <cfRule type="expression" dxfId="1227" priority="14">
      <formula>ABS(K$16-K$19)&gt;=1000</formula>
    </cfRule>
  </conditionalFormatting>
  <conditionalFormatting sqref="E5">
    <cfRule type="expression" dxfId="1226" priority="13">
      <formula>ABS(E$7-E$10)&gt;=1000</formula>
    </cfRule>
  </conditionalFormatting>
  <conditionalFormatting sqref="AB14:AC14">
    <cfRule type="expression" dxfId="1225" priority="12">
      <formula>ABS(AB$16-AB$19)&gt;=1000</formula>
    </cfRule>
  </conditionalFormatting>
  <conditionalFormatting sqref="M5">
    <cfRule type="expression" dxfId="1224" priority="11">
      <formula>ABS(M$7-M$10)&gt;=1000</formula>
    </cfRule>
  </conditionalFormatting>
  <conditionalFormatting sqref="N5">
    <cfRule type="expression" dxfId="1223" priority="10">
      <formula>ABS(N$7-N$10)&gt;=1000</formula>
    </cfRule>
  </conditionalFormatting>
  <conditionalFormatting sqref="O5">
    <cfRule type="expression" dxfId="1222" priority="9">
      <formula>ABS(O$7-O$10)&gt;=1000</formula>
    </cfRule>
  </conditionalFormatting>
  <conditionalFormatting sqref="P5">
    <cfRule type="expression" dxfId="1221" priority="8">
      <formula>ABS(P$7-P$10)&gt;=1000</formula>
    </cfRule>
  </conditionalFormatting>
  <conditionalFormatting sqref="L23">
    <cfRule type="expression" dxfId="1220" priority="7">
      <formula>ABS(L$25-L$28)&gt;=1000</formula>
    </cfRule>
  </conditionalFormatting>
  <conditionalFormatting sqref="Y14">
    <cfRule type="expression" dxfId="1219" priority="6">
      <formula>ABS(Y$16-Y$19)&gt;=1000</formula>
    </cfRule>
  </conditionalFormatting>
  <conditionalFormatting sqref="F14">
    <cfRule type="expression" dxfId="1218" priority="5">
      <formula>ABS(F$16-F$19)&gt;=1000</formula>
    </cfRule>
  </conditionalFormatting>
  <conditionalFormatting sqref="H14">
    <cfRule type="expression" dxfId="1217" priority="4">
      <formula>ABS(H$16-H$19)&gt;=1000</formula>
    </cfRule>
  </conditionalFormatting>
  <conditionalFormatting sqref="AD5">
    <cfRule type="expression" dxfId="1216" priority="3">
      <formula>ABS(AD$7-AD$10)&gt;=1000</formula>
    </cfRule>
  </conditionalFormatting>
  <conditionalFormatting sqref="AE5">
    <cfRule type="expression" dxfId="1215" priority="2">
      <formula>ABS(AE$7-AE$10)&gt;=1000</formula>
    </cfRule>
  </conditionalFormatting>
  <conditionalFormatting sqref="T16">
    <cfRule type="expression" dxfId="1214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328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5">
    <pageSetUpPr fitToPage="1"/>
  </sheetPr>
  <dimension ref="A1:CU223"/>
  <sheetViews>
    <sheetView view="pageBreakPreview" zoomScale="70" zoomScaleNormal="100" zoomScaleSheetLayoutView="70" workbookViewId="0">
      <selection activeCell="O10" sqref="O10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46224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6035</v>
      </c>
      <c r="E6" s="71">
        <v>2342</v>
      </c>
      <c r="F6" s="71">
        <v>4856</v>
      </c>
      <c r="G6" s="71">
        <v>384</v>
      </c>
      <c r="H6" s="71">
        <v>3488</v>
      </c>
      <c r="I6" s="71">
        <v>38.72</v>
      </c>
      <c r="J6" s="71">
        <v>77.02</v>
      </c>
      <c r="K6" s="71">
        <v>43.21</v>
      </c>
      <c r="L6" s="71">
        <v>6.21</v>
      </c>
      <c r="M6" s="71">
        <v>4468</v>
      </c>
      <c r="N6" s="71">
        <v>5016</v>
      </c>
      <c r="O6" s="71">
        <v>482</v>
      </c>
      <c r="P6" s="71">
        <v>1385</v>
      </c>
      <c r="Q6" s="71">
        <v>4201</v>
      </c>
      <c r="R6" s="71">
        <v>0</v>
      </c>
      <c r="S6" s="71">
        <v>0</v>
      </c>
      <c r="T6" s="71">
        <v>5013</v>
      </c>
      <c r="U6" s="71">
        <v>5382</v>
      </c>
      <c r="V6" s="71">
        <v>0</v>
      </c>
      <c r="W6" s="71">
        <v>0</v>
      </c>
      <c r="X6" s="71">
        <v>0</v>
      </c>
      <c r="Y6" s="71">
        <v>0</v>
      </c>
      <c r="Z6" s="71">
        <v>4708</v>
      </c>
      <c r="AA6" s="71">
        <v>0</v>
      </c>
      <c r="AB6" s="71">
        <v>1517</v>
      </c>
      <c r="AC6" s="71">
        <v>6339</v>
      </c>
      <c r="AD6" s="71">
        <v>4327</v>
      </c>
      <c r="AE6" s="71">
        <v>4394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188760.5099649</v>
      </c>
      <c r="E7" s="73" ph="1">
        <f>E6*51.53*LOOKUP(E8,密度!$A$2:$A$50,密度!$B$2:$B$50)</f>
        <v>93565.731478000002</v>
      </c>
      <c r="F7" s="73" ph="1">
        <f>F6*33.183*LOOKUP(F8,密度!$A$2:$A$50,密度!$C$2:$C$50)</f>
        <v>178442.72399519998</v>
      </c>
      <c r="G7" s="73" ph="1">
        <f xml:space="preserve"> (G6+2)*51.53*LOOKUP(G8,密度!$A$2:$A$50,密度!$B$2:$B$50)</f>
        <v>15454.980660000001</v>
      </c>
      <c r="H7" s="73" ph="1">
        <f>(H6)*51.53*LOOKUP(H8,密度!$A$2:$A$50,密度!$B$2:$B$50)</f>
        <v>139960.92156799999</v>
      </c>
      <c r="I7" s="73" ph="1">
        <f>I6*290.8*1.0267</f>
        <v>11560.412019199999</v>
      </c>
      <c r="J7" s="73" ph="1">
        <f>J6*290.8*0.7892</f>
        <v>17676.040707200002</v>
      </c>
      <c r="K7" s="73" ph="1">
        <f>K6*290.8*1.1126</f>
        <v>13980.339696800002</v>
      </c>
      <c r="L7" s="73" ph="1">
        <f>L6*290.8*0.777</f>
        <v>1403.1594360000001</v>
      </c>
      <c r="M7" s="73" ph="1">
        <f>M6*33.183*LOOKUP(M8,密度!$A$2:$A$50,密度!$D$2:$D$50)</f>
        <v>151523.40016799999</v>
      </c>
      <c r="N7" s="73" ph="1">
        <f>N6*33.183*LOOKUP(N8,密度!$A$2:$A$50,密度!$E$2:$E$50)</f>
        <v>129428.35361279998</v>
      </c>
      <c r="O7" s="73" ph="1">
        <f>O6*20.428*LOOKUP(O8,密度!$A$2:$A$50,密度!$C$2:$C$50)</f>
        <v>10881.1417096</v>
      </c>
      <c r="P7" s="73" ph="1">
        <f>P6*51.53*LOOKUP(P8,密度!$A$2:$A$50,密度!$B$2:$B$50)</f>
        <v>55453.751850000001</v>
      </c>
      <c r="Q7" s="73" ph="1">
        <f>Q6*1.5*1.5*3.1416*LOOKUP(W8,密度!$A$2:$A$50,密度!$L$2:$L$50)</f>
        <v>27735.306152400004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33237.928508399993</v>
      </c>
      <c r="U7" s="73" ph="1">
        <f>U6*1.5*1.5*3.1416*LOOKUP(U8,密度!$A$2:$A$50,密度!$L$2:$L$50)</f>
        <v>35570.396862000001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145758.45121200001</v>
      </c>
      <c r="AA7" s="73" ph="1">
        <f>AA6*33.183*LOOKUP(AA8,密度!$A$2:$A$50,密度!$D$2:$D$50)</f>
        <v>0</v>
      </c>
      <c r="AB7" s="73" ph="1">
        <f>AB6*20.428*LOOKUP(AB8,密度!$A$2:$A$50,密度!$D$2:$D$50)</f>
        <v>31844.580017600005</v>
      </c>
      <c r="AC7" s="73" ph="1">
        <f>AC6*51.53*LOOKUP(AC8,密度!$A$2:$A$50,密度!$Q$2:$Q$50)</f>
        <v>308137.4898711</v>
      </c>
      <c r="AD7" s="73" ph="1">
        <f>AD6*20.428*LOOKUP(AD8,密度!$A$2:$A$50,密度!$V$2:$V$50)</f>
        <v>84644.137065600007</v>
      </c>
      <c r="AE7" s="73" ph="1">
        <f>AE6*20.428</f>
        <v>89760.631999999998</v>
      </c>
    </row>
    <row r="8" spans="1:99" ph="1">
      <c r="B8" s="241" ph="1"/>
      <c r="C8" s="68" t="s" ph="1">
        <v>179</v>
      </c>
      <c r="D8" s="74">
        <v>31</v>
      </c>
      <c r="E8" s="74">
        <v>30</v>
      </c>
      <c r="F8" s="74">
        <v>27</v>
      </c>
      <c r="G8" s="74">
        <v>28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30</v>
      </c>
      <c r="P8" s="74">
        <v>28</v>
      </c>
      <c r="Q8" s="74">
        <v>32</v>
      </c>
      <c r="R8" s="74">
        <v>32</v>
      </c>
      <c r="S8" s="74">
        <v>26</v>
      </c>
      <c r="T8" s="74">
        <v>24</v>
      </c>
      <c r="U8" s="74">
        <v>27</v>
      </c>
      <c r="V8" s="74">
        <v>28</v>
      </c>
      <c r="W8" s="74">
        <v>28</v>
      </c>
      <c r="X8" s="74">
        <v>26</v>
      </c>
      <c r="Y8" s="74">
        <v>28</v>
      </c>
      <c r="Z8" s="74">
        <v>29</v>
      </c>
      <c r="AA8" s="74">
        <v>30</v>
      </c>
      <c r="AB8" s="74">
        <v>24</v>
      </c>
      <c r="AC8" s="74">
        <v>30</v>
      </c>
      <c r="AD8" s="74">
        <v>28</v>
      </c>
      <c r="AE8" s="74">
        <v>29</v>
      </c>
    </row>
    <row r="9" spans="1:99" ht="26.4" ph="1">
      <c r="B9" s="241" ph="1">
        <v>0.66666666666666663</v>
      </c>
      <c r="C9" s="163" t="s" ph="1">
        <v>180</v>
      </c>
      <c r="D9" s="71">
        <v>6037</v>
      </c>
      <c r="E9" s="71">
        <v>2342</v>
      </c>
      <c r="F9" s="71">
        <v>4653</v>
      </c>
      <c r="G9" s="71">
        <v>556</v>
      </c>
      <c r="H9" s="71">
        <v>4337</v>
      </c>
      <c r="I9" s="71">
        <v>38.72</v>
      </c>
      <c r="J9" s="71">
        <v>77.12</v>
      </c>
      <c r="K9" s="71">
        <v>15.42</v>
      </c>
      <c r="L9" s="71">
        <v>45.11</v>
      </c>
      <c r="M9" s="71">
        <v>4469</v>
      </c>
      <c r="N9" s="71">
        <v>4883</v>
      </c>
      <c r="O9" s="71">
        <v>1095</v>
      </c>
      <c r="P9" s="71">
        <v>797</v>
      </c>
      <c r="Q9" s="71">
        <v>2766</v>
      </c>
      <c r="R9" s="71">
        <v>6005</v>
      </c>
      <c r="S9" s="71">
        <v>0</v>
      </c>
      <c r="T9" s="71">
        <v>7156</v>
      </c>
      <c r="U9" s="71">
        <v>5983</v>
      </c>
      <c r="V9" s="71">
        <v>5549</v>
      </c>
      <c r="W9" s="71">
        <v>0</v>
      </c>
      <c r="X9" s="71">
        <v>0</v>
      </c>
      <c r="Y9" s="71">
        <v>0</v>
      </c>
      <c r="Z9" s="71">
        <v>2682</v>
      </c>
      <c r="AA9" s="71">
        <v>0</v>
      </c>
      <c r="AB9" s="71">
        <v>3436</v>
      </c>
      <c r="AC9" s="71">
        <v>6342</v>
      </c>
      <c r="AD9" s="71">
        <v>4330</v>
      </c>
      <c r="AE9" s="71">
        <v>4394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188686.84370490001</v>
      </c>
      <c r="E10" s="73" ph="1">
        <f>E9*51.53*LOOKUP(E11,密度!$A$2:$A$50,密度!$B$2:$B$50)</f>
        <v>93348.501610000007</v>
      </c>
      <c r="F10" s="73" ph="1">
        <f>F9*33.183*LOOKUP(F11,密度!$A$2:$A$50,密度!$C$2:$C$50)</f>
        <v>170149.34989800001</v>
      </c>
      <c r="G10" s="73" ph="1">
        <f xml:space="preserve"> (G9+2)*51.53*LOOKUP(G11,密度!$A$2:$A$50,密度!$B$2:$B$50)</f>
        <v>22166.258166000003</v>
      </c>
      <c r="H10" s="73" ph="1">
        <f>(H9)*51.53*LOOKUP(H11,密度!$A$2:$A$50,密度!$B$2:$B$50)</f>
        <v>172687.33084700003</v>
      </c>
      <c r="I10" s="73" ph="1">
        <f>I9*290.8*1.0267</f>
        <v>11560.412019199999</v>
      </c>
      <c r="J10" s="73" ph="1">
        <f>J9*290.8*0.7892</f>
        <v>17698.990643200003</v>
      </c>
      <c r="K10" s="73" ph="1">
        <f>K9*290.8*1.1126</f>
        <v>4989.0497136000004</v>
      </c>
      <c r="L10" s="73" ph="1">
        <f>L9*290.8*0.777</f>
        <v>10192.676676000001</v>
      </c>
      <c r="M10" s="73" ph="1">
        <f>M9*33.183*LOOKUP(M11,密度!$A$2:$A$50,密度!$D$2:$D$50)</f>
        <v>150519.24940499998</v>
      </c>
      <c r="N10" s="73" ph="1">
        <f>N9*33.183*LOOKUP(N11,密度!$A$2:$A$50,密度!$E$2:$E$50)</f>
        <v>125444.01007791002</v>
      </c>
      <c r="O10" s="73" ph="1">
        <f>O9*20.428*LOOKUP(O11,密度!$A$2:$A$50,密度!$C$2:$C$50)</f>
        <v>24484.735236</v>
      </c>
      <c r="P10" s="73" ph="1">
        <f>P9*51.53*LOOKUP(P11,密度!$A$2:$A$50,密度!$B$2:$B$50)</f>
        <v>31734.333107000006</v>
      </c>
      <c r="Q10" s="73" ph="1">
        <f>Q9*1.5*1.5*3.1416*LOOKUP(W11,密度!$A$2:$A$50,密度!$L$2:$L$50)</f>
        <v>17928.952549199999</v>
      </c>
      <c r="R10" s="73" ph="1">
        <f>R9*1.5*1.5*3.1416*LOOKUP(R11,密度!$A$2:$A$50,密度!$L$2:$L$50)</f>
        <v>39220.975332000002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47345.595897600004</v>
      </c>
      <c r="U10" s="73" ph="1">
        <f>U9*1.5*1.5*3.1416*LOOKUP(U11,密度!$A$2:$A$50,密度!$L$2:$L$50)</f>
        <v>39415.616301599999</v>
      </c>
      <c r="V10" s="73" ph="1">
        <f>V9*1.5*1.5*3.1416*LOOKUP(V11,密度!$A$2:$A$50,密度!$L$2:$L$50)</f>
        <v>36634.8997476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0</v>
      </c>
      <c r="Y10" s="73" ph="1">
        <f>Y9*1.5*1.5*3.1416*LOOKUP(Y11,密度!$A$2:$A$50,密度!$L$2:$L$50)</f>
        <v>0</v>
      </c>
      <c r="Z10" s="73" ph="1">
        <f>Z9*33.183*LOOKUP(Z11,密度!$A$2:$A$50,密度!$L$2:$L$50)</f>
        <v>82411.042356000005</v>
      </c>
      <c r="AA10" s="73" ph="1">
        <f>AA9*33.183*LOOKUP(AA11,密度!$A$2:$A$50,密度!$D$2:$D$50)</f>
        <v>0</v>
      </c>
      <c r="AB10" s="73" ph="1">
        <f>AB9*20.428*LOOKUP(AB11,密度!$A$2:$A$50,密度!$D$2:$D$50)</f>
        <v>71931.335078400007</v>
      </c>
      <c r="AC10" s="73" ph="1">
        <f>AC9*51.53*LOOKUP(AC11,密度!$A$2:$A$50,密度!$Q$2:$Q$50)</f>
        <v>307815.99059399997</v>
      </c>
      <c r="AD10" s="73" ph="1">
        <f>AD9*20.428*LOOKUP(AD11,密度!$A$2:$A$50,密度!$V$2:$V$50)</f>
        <v>84702.822624000008</v>
      </c>
      <c r="AE10" s="73" ph="1">
        <f>AE9*20.428</f>
        <v>89760.631999999998</v>
      </c>
    </row>
    <row r="11" spans="1:99" ph="1">
      <c r="A11" s="64" t="s" ph="1">
        <v>162</v>
      </c>
      <c r="B11" s="241" ph="1"/>
      <c r="C11" s="163" t="s" ph="1">
        <v>179</v>
      </c>
      <c r="D11" s="74">
        <v>32</v>
      </c>
      <c r="E11" s="74">
        <v>32</v>
      </c>
      <c r="F11" s="74">
        <v>33</v>
      </c>
      <c r="G11" s="74">
        <v>35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38</v>
      </c>
      <c r="N11" s="74">
        <v>33</v>
      </c>
      <c r="O11" s="74">
        <v>40</v>
      </c>
      <c r="P11" s="74">
        <v>33</v>
      </c>
      <c r="Q11" s="74">
        <v>33</v>
      </c>
      <c r="R11" s="74">
        <v>38</v>
      </c>
      <c r="S11" s="74">
        <v>30</v>
      </c>
      <c r="T11" s="74">
        <v>26</v>
      </c>
      <c r="U11" s="74">
        <v>30</v>
      </c>
      <c r="V11" s="74">
        <v>28</v>
      </c>
      <c r="W11" s="74">
        <v>45</v>
      </c>
      <c r="X11" s="74">
        <v>28</v>
      </c>
      <c r="Y11" s="74">
        <v>36</v>
      </c>
      <c r="Z11" s="74">
        <v>36</v>
      </c>
      <c r="AA11" s="74">
        <v>38</v>
      </c>
      <c r="AB11" s="74">
        <v>27</v>
      </c>
      <c r="AC11" s="74">
        <v>32</v>
      </c>
      <c r="AD11" s="74">
        <v>33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1578</v>
      </c>
      <c r="E15" s="78">
        <v>2922</v>
      </c>
      <c r="F15" s="78">
        <v>3103</v>
      </c>
      <c r="G15" s="78">
        <v>2363</v>
      </c>
      <c r="H15" s="78">
        <v>531</v>
      </c>
      <c r="I15" s="78">
        <v>3129</v>
      </c>
      <c r="J15" s="78">
        <v>621</v>
      </c>
      <c r="K15" s="78">
        <v>4273</v>
      </c>
      <c r="L15" s="78">
        <v>5844</v>
      </c>
      <c r="M15" s="78">
        <v>7048</v>
      </c>
      <c r="N15" s="78">
        <v>1381</v>
      </c>
      <c r="O15" s="78">
        <v>2499</v>
      </c>
      <c r="P15" s="78">
        <v>3448</v>
      </c>
      <c r="Q15" s="78">
        <v>2909</v>
      </c>
      <c r="R15" s="78">
        <v>1946</v>
      </c>
      <c r="S15" s="78">
        <v>0</v>
      </c>
      <c r="T15" s="78">
        <v>5720</v>
      </c>
      <c r="U15" s="78">
        <v>340</v>
      </c>
      <c r="V15" s="78">
        <v>1203</v>
      </c>
      <c r="W15" s="71">
        <v>-817</v>
      </c>
      <c r="X15" s="78">
        <v>1037</v>
      </c>
      <c r="Y15" s="106">
        <v>-9909</v>
      </c>
      <c r="Z15" s="78">
        <v>49</v>
      </c>
      <c r="AA15" s="78">
        <v>2522</v>
      </c>
      <c r="AB15" s="78" ph="1">
        <v>0</v>
      </c>
      <c r="AC15" s="78" ph="1">
        <v>0</v>
      </c>
      <c r="AD15" s="78">
        <v>5.62</v>
      </c>
      <c r="AE15" s="78">
        <v>53.91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10373.453244</v>
      </c>
      <c r="E16" s="73" ph="1">
        <f>E15*7.0686*LOOKUP(E17,密度!$A$2:$A$50,密度!$L$2:$L$50)</f>
        <v>19229.292205199999</v>
      </c>
      <c r="F16" s="73" ph="1">
        <f>F15*9.0746*LOOKUP(F17,密度!$A$2:$A$50,密度!$L$2:$L$50)</f>
        <v>26215.548417800004</v>
      </c>
      <c r="G16" s="73" ph="1">
        <f>G15*9.0746*LOOKUP(G17,密度!$A$2:$A$50,密度!$B$2:$B$50)</f>
        <v>16680.72735642</v>
      </c>
      <c r="H16" s="73" ph="1">
        <f>H15*9.0746*LOOKUP(H17,密度!$A$2:$A$50,密度!$L$2:$L$50)</f>
        <v>4515.0400062000008</v>
      </c>
      <c r="I16" s="73" ph="1">
        <f>I15*9.0746*LOOKUP(I17,密度!$A$2:$A$50,密度!$U$2:$U$50)</f>
        <v>29019.100714799999</v>
      </c>
      <c r="J16" s="73" ph="1">
        <f>J15*9.0746*LOOKUP(J17,密度!$A$2:$A$50,密度!$L$2:$L$50)</f>
        <v>5263.3950444000002</v>
      </c>
      <c r="K16" s="73" ph="1">
        <f>K15*9.0746*LOOKUP(K17,密度!$A$2:$A$50,密度!$C$2:$C$50)</f>
        <v>42882.119398220006</v>
      </c>
      <c r="L16" s="73" ph="1">
        <f>L15*9.0746*LOOKUP(L17,密度!$A$2:$A$50,密度!$E$2:$E$50)</f>
        <v>41237.653962240001</v>
      </c>
      <c r="M16" s="73" ph="1">
        <f>M15*9.0746*LOOKUP(M17,密度!$A$2:$A$50,密度!$M$2:$M$50)</f>
        <v>55570.997003696</v>
      </c>
      <c r="N16" s="73" ph="1">
        <f>N15*9.0746*LOOKUP(N17,密度!$A$2:$A$50,密度!$M$2:$M$50)</f>
        <v>10927.9237072</v>
      </c>
      <c r="O16" s="73" ph="1">
        <f>O15*9.0746*LOOKUP(O17,密度!$A$2:$A$50,密度!$G$2:$G$50)</f>
        <v>21677.35093986</v>
      </c>
      <c r="P16" s="73" ph="1">
        <f ca="1">P15*9.0746*LOOKUP(P17,密度!$A$2:$A$51,密度!$Q$2:$Q$50)</f>
        <v>29534.834189744</v>
      </c>
      <c r="Q16" s="73" ph="1">
        <f>Q15*9.0746*LOOKUP(Q17,密度!$A$2:$A$50,密度!$Q$2:$Q$50)</f>
        <v>24902.036093962</v>
      </c>
      <c r="R16" s="73" ph="1">
        <f>MAX(R15*9.0746*LOOKUP(R17,密度!$A$2:$A$50,密度!$B$2:$B$50),0)</f>
        <v>13691.155741480001</v>
      </c>
      <c r="S16" s="73" ph="1">
        <f>S15*9.0746*LOOKUP(S17,密度!$A$2:$A$50,密度!$Q$2:$Q$50)</f>
        <v>0</v>
      </c>
      <c r="T16" s="73" ph="1">
        <f>T15*9.0746*LOOKUP(T17,密度!$A$2:$A$50,密度!$O$2:$O$50)</f>
        <v>48065.615312000002</v>
      </c>
      <c r="U16" s="73" ph="1">
        <f>U15*9.0746*LOOKUP(U17,密度!$A$2:$A$50,密度!$H$2:$H$50)</f>
        <v>2807.6812400000003</v>
      </c>
      <c r="V16" s="73" ph="1">
        <f>MAX(5600*LOOKUP(V17,密度!$A$2:$A$50,密度!$Q$2:$Q$50)+V15*9.0476*LOOKUP(V17,密度!$A$2:$A$50,密度!$Q$2:$Q$50),0)</f>
        <v>15515.812360499998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15548.69445336</v>
      </c>
      <c r="Y16" s="107" ph="1">
        <v>0</v>
      </c>
      <c r="Z16" s="73" ph="1">
        <f>Z15*9.0746*LOOKUP(Z17,密度!$A$2:$A$50,密度!$D$2:$D$50)</f>
        <v>455.28266406</v>
      </c>
      <c r="AA16" s="73" ph="1">
        <f>AA15*9.0746*LOOKUP(AA17,密度!$A$2:$A$50,密度!$B$2:$B$50)</f>
        <v>17743.625272360001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2398.0352553599996</v>
      </c>
      <c r="AE16" s="73" ph="1">
        <f>AE15*268.68*LOOKUP(AE17,密度!$A$2:$A$50,密度!B2:B50)+IF(AE15&lt;=0,0,1566*LOOKUP(AE17,密度!$A$2:$A$50,密度!B2:B50))</f>
        <v>12513.00004848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32</v>
      </c>
      <c r="E17" s="74">
        <v>31</v>
      </c>
      <c r="F17" s="74">
        <v>31</v>
      </c>
      <c r="G17" s="74">
        <v>27</v>
      </c>
      <c r="H17" s="74">
        <v>25</v>
      </c>
      <c r="I17" s="74">
        <v>28</v>
      </c>
      <c r="J17" s="74">
        <v>28</v>
      </c>
      <c r="K17" s="74">
        <v>29</v>
      </c>
      <c r="L17" s="74">
        <v>30</v>
      </c>
      <c r="M17" s="74">
        <v>31</v>
      </c>
      <c r="N17" s="74">
        <v>28</v>
      </c>
      <c r="O17" s="74">
        <v>29</v>
      </c>
      <c r="P17" s="74">
        <v>29</v>
      </c>
      <c r="Q17" s="74">
        <v>30</v>
      </c>
      <c r="R17" s="74">
        <v>30</v>
      </c>
      <c r="S17" s="74">
        <v>28</v>
      </c>
      <c r="T17" s="74">
        <v>28</v>
      </c>
      <c r="U17" s="74">
        <v>30</v>
      </c>
      <c r="V17" s="74">
        <v>33</v>
      </c>
      <c r="W17" s="74">
        <v>30</v>
      </c>
      <c r="X17" s="74">
        <v>29</v>
      </c>
      <c r="Y17" s="108">
        <v>29</v>
      </c>
      <c r="Z17" s="74">
        <v>28</v>
      </c>
      <c r="AA17" s="74">
        <v>30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2685</v>
      </c>
      <c r="E18" s="71">
        <v>2927</v>
      </c>
      <c r="F18" s="71">
        <v>3105</v>
      </c>
      <c r="G18" s="71">
        <v>2490</v>
      </c>
      <c r="H18" s="71">
        <v>2050</v>
      </c>
      <c r="I18" s="71">
        <v>3131</v>
      </c>
      <c r="J18" s="71">
        <v>637</v>
      </c>
      <c r="K18" s="71">
        <v>4292</v>
      </c>
      <c r="L18" s="71">
        <v>5858</v>
      </c>
      <c r="M18" s="71">
        <v>4105</v>
      </c>
      <c r="N18" s="71">
        <v>2849</v>
      </c>
      <c r="O18" s="71">
        <v>2502</v>
      </c>
      <c r="P18" s="71">
        <v>3452</v>
      </c>
      <c r="Q18" s="71">
        <v>2913</v>
      </c>
      <c r="R18" s="71">
        <v>1948</v>
      </c>
      <c r="S18" s="71">
        <v>0</v>
      </c>
      <c r="T18" s="71">
        <v>5725</v>
      </c>
      <c r="U18" s="71">
        <v>0</v>
      </c>
      <c r="V18" s="71">
        <v>21</v>
      </c>
      <c r="W18" s="71">
        <v>-811</v>
      </c>
      <c r="X18" s="71">
        <v>1037</v>
      </c>
      <c r="Y18" s="109">
        <v>-9909</v>
      </c>
      <c r="Z18" s="71">
        <v>41</v>
      </c>
      <c r="AA18" s="71">
        <v>2524</v>
      </c>
      <c r="AB18" s="71">
        <v>0</v>
      </c>
      <c r="AC18" s="71">
        <v>0</v>
      </c>
      <c r="AD18" s="71">
        <v>26.41</v>
      </c>
      <c r="AE18" s="71">
        <v>84.72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17650.647629999999</v>
      </c>
      <c r="E19" s="73" ph="1">
        <f>E18*7.0686*LOOKUP(E20,密度!$A$2:$A$50,密度!$L$2:$L$50)</f>
        <v>19220.8169538</v>
      </c>
      <c r="F19" s="73" ph="1">
        <f>F18*9.0746*LOOKUP(F20,密度!$A$2:$A$50,密度!$L$2:$L$50)</f>
        <v>26091.562158000004</v>
      </c>
      <c r="G19" s="73" ph="1">
        <f>G18*9.0746*LOOKUP(G20,密度!$A$2:$A$50,密度!$B$2:$B$50)</f>
        <v>17498.151897600001</v>
      </c>
      <c r="H19" s="73" ph="1">
        <f>H18*9.0746*LOOKUP(H20,密度!$A$2:$A$50,密度!$L$2:$L$50)</f>
        <v>17244.916110000002</v>
      </c>
      <c r="I19" s="73" ph="1">
        <f>I18*9.0746*LOOKUP(I20,密度!$A$2:$A$50,密度!$U$2:$U$50)</f>
        <v>28770.571014759997</v>
      </c>
      <c r="J19" s="73" ph="1">
        <f>J18*9.0746*LOOKUP(J20,密度!$A$2:$A$50,密度!$L$2:$L$50)</f>
        <v>5335.4201445999997</v>
      </c>
      <c r="K19" s="73" ph="1">
        <f>K18*9.0746*LOOKUP(K20,密度!$A$2:$A$50,密度!$C$2:$C$50)</f>
        <v>42878.054884880003</v>
      </c>
      <c r="L19" s="73" ph="1">
        <f>L18*9.0746*LOOKUP(L20,密度!$A$2:$A$50,密度!$E$2:$E$50)</f>
        <v>41215.241152176</v>
      </c>
      <c r="M19" s="73" ph="1">
        <f>M18*9.0746*LOOKUP(M20,密度!$A$2:$A$50,密度!$M$2:$M$50)</f>
        <v>32249.137432760002</v>
      </c>
      <c r="N19" s="73" ph="1">
        <f>N18*9.0746*LOOKUP(N20,密度!$A$2:$A$50,密度!$M$2:$M$50)</f>
        <v>22518.429333399999</v>
      </c>
      <c r="O19" s="73" ph="1">
        <f>O18*9.0746*LOOKUP(O20,密度!$A$2:$A$50,密度!$G$2:$G$50)</f>
        <v>21605.063039244</v>
      </c>
      <c r="P19" s="73" ph="1">
        <f ca="1">P18*9.0746*LOOKUP(P20,密度!$A$2:$A$51,密度!$Q$2:$Q$50)</f>
        <v>29526.807887536001</v>
      </c>
      <c r="Q19" s="73" ph="1">
        <f>Q18*9.0746*LOOKUP(Q20,密度!$A$2:$A$50,密度!$Q$2:$Q$50)</f>
        <v>24898.476400619998</v>
      </c>
      <c r="R19" s="73" ph="1">
        <f>MAX(R18*9.0746*LOOKUP(R20,密度!$A$2:$A$50,密度!$B$2:$B$50),0)</f>
        <v>13659.265782160002</v>
      </c>
      <c r="S19" s="73" ph="1">
        <f>S18*9.0746*LOOKUP(S20,密度!$A$2:$A$50,密度!$Q$2:$Q$50)</f>
        <v>0</v>
      </c>
      <c r="T19" s="73" ph="1">
        <f>T18*9.0746*LOOKUP(T20,密度!$A$2:$A$50,密度!$O$2:$O$50)</f>
        <v>47899.822370000002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5438.5466242800003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15499.252661399998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377.93712588000005</v>
      </c>
      <c r="AA19" s="73" ph="1">
        <f>AA18*9.0746*LOOKUP(AA20,密度!$A$2:$A$50,密度!$B$2:$B$50)</f>
        <v>17698.145192080003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6730.2487476000006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33</v>
      </c>
      <c r="F20" s="81">
        <v>36</v>
      </c>
      <c r="G20" s="81">
        <v>31</v>
      </c>
      <c r="H20" s="81">
        <v>35</v>
      </c>
      <c r="I20" s="81">
        <v>38</v>
      </c>
      <c r="J20" s="81">
        <v>39</v>
      </c>
      <c r="K20" s="81">
        <v>34</v>
      </c>
      <c r="L20" s="81">
        <v>32</v>
      </c>
      <c r="M20" s="81">
        <v>34</v>
      </c>
      <c r="N20" s="81">
        <v>29</v>
      </c>
      <c r="O20" s="81">
        <v>33</v>
      </c>
      <c r="P20" s="81">
        <v>31</v>
      </c>
      <c r="Q20" s="81">
        <v>32</v>
      </c>
      <c r="R20" s="81">
        <v>33</v>
      </c>
      <c r="S20" s="81">
        <v>35</v>
      </c>
      <c r="T20" s="81">
        <v>32</v>
      </c>
      <c r="U20" s="81">
        <v>34</v>
      </c>
      <c r="V20" s="81">
        <v>36</v>
      </c>
      <c r="W20" s="81">
        <v>34</v>
      </c>
      <c r="X20" s="81">
        <v>32</v>
      </c>
      <c r="Y20" s="110">
        <v>32</v>
      </c>
      <c r="Z20" s="81">
        <v>37</v>
      </c>
      <c r="AA20" s="81">
        <v>33</v>
      </c>
      <c r="AB20" s="81">
        <v>37</v>
      </c>
      <c r="AC20" s="81">
        <v>37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72.52</v>
      </c>
      <c r="E24" s="71">
        <v>5.82</v>
      </c>
      <c r="F24" s="71">
        <v>4021</v>
      </c>
      <c r="G24" s="71">
        <v>3728</v>
      </c>
      <c r="H24" s="71">
        <v>3549</v>
      </c>
      <c r="I24" s="71">
        <v>3620</v>
      </c>
      <c r="J24" s="71">
        <v>309</v>
      </c>
      <c r="K24" s="71">
        <v>3263</v>
      </c>
      <c r="L24" s="71">
        <v>302</v>
      </c>
      <c r="M24" s="71">
        <v>326</v>
      </c>
      <c r="N24" s="71">
        <v>1439</v>
      </c>
      <c r="O24" s="71">
        <v>343</v>
      </c>
      <c r="P24" s="71">
        <v>372</v>
      </c>
      <c r="Q24" s="90">
        <v>4252</v>
      </c>
      <c r="R24" s="71">
        <v>348</v>
      </c>
      <c r="S24" s="71">
        <v>615</v>
      </c>
      <c r="T24" s="71">
        <v>393</v>
      </c>
      <c r="U24" s="71">
        <v>2599</v>
      </c>
      <c r="V24" s="71">
        <v>882</v>
      </c>
      <c r="W24" s="71">
        <v>415</v>
      </c>
      <c r="X24" s="71">
        <v>4662</v>
      </c>
      <c r="Y24" s="71">
        <v>4932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19929.514724064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44447.90576804</v>
      </c>
      <c r="G25" s="91" ph="1">
        <f>G24*18.322*LOOKUP(G26,密度!$A$2:$A$50,密度!$B$2:$B$50)</f>
        <v>53134.005206399997</v>
      </c>
      <c r="H25" s="91" ph="1">
        <f>H24*18.322*LOOKUP(H26,密度!$A$2:$A$50,密度!$B$2:$B$50)</f>
        <v>50524.252505999997</v>
      </c>
      <c r="I25" s="91" ph="1">
        <f>I24*18.322*LOOKUP(I26,密度!$A$2:$A$50,密度!$Q$2:$Q$50)</f>
        <v>62698.954004800005</v>
      </c>
      <c r="J25" s="91" ph="1">
        <f>J24*18.322*LOOKUP(J26,密度!$A$2:$A$50,密度!$Q$2:$Q$50)</f>
        <v>5351.92728936</v>
      </c>
      <c r="K25" s="91" ph="1">
        <f>K24*18.322*LOOKUP(K26,密度!$A$2:$A$50,密度!$Q$2:$Q$50)</f>
        <v>56515.659369519999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5646.3698910399999</v>
      </c>
      <c r="N25" s="91" ph="1">
        <f>N24*18.322*LOOKUP(N26,密度!$A$2:$A$50,密度!$Q$2:$Q$50)</f>
        <v>24905.24447396</v>
      </c>
      <c r="O25" s="91" ph="1">
        <f>O24*18.322*LOOKUP(O26,密度!$A$2:$A$50,密度!$C$2:$C$50)</f>
        <v>6959.3955003999999</v>
      </c>
      <c r="P25" s="91" ph="1">
        <f>P24*11.702*LOOKUP(P26,密度!$A$2:$A$50,密度!$B$2:$B$50)</f>
        <v>3382.3928880000003</v>
      </c>
      <c r="Q25" s="92" ph="1">
        <f>Q24*18.322*LOOKUP(Q26,密度!$A$2:$A$50,密度!$B$2:$B$50)</f>
        <v>60602.411517600005</v>
      </c>
      <c r="R25" s="91" ph="1">
        <f>R24*35.891*LOOKUP(R26,密度!$A$2:$A$50,密度!$C$2:$C$50)</f>
        <v>13812.7662012</v>
      </c>
      <c r="S25" s="91" ph="1">
        <f>S24*35.891*LOOKUP(S26,密度!$A$2:$A$50,密度!$B$2:$B$50)</f>
        <v>17150.693804999999</v>
      </c>
      <c r="T25" s="91" ph="1">
        <f>T24*35.891*LOOKUP(T26,密度!$A$2:$A$50,密度!$Q$2:$Q$50)</f>
        <v>13333.89268716</v>
      </c>
      <c r="U25" s="91" ph="1">
        <f>U24*35.891</f>
        <v>93280.709000000003</v>
      </c>
      <c r="V25" s="91" ph="1">
        <f>V24*47.051*LOOKUP(V26,密度!$A$2:$A$50,密度!$B$2:$B$50)</f>
        <v>32244.709014000004</v>
      </c>
      <c r="W25" s="91" ph="1">
        <f>W24*47.051*LOOKUP(W26,密度!$A$2:$A$50,密度!$B$2:$B$50)</f>
        <v>15171.830205000002</v>
      </c>
      <c r="X25" s="91" ph="1">
        <f>X24*47.051*LOOKUP(X26,密度!$A$2:$A$61,密度!$I$2:$I$61)</f>
        <v>226414.88873640003</v>
      </c>
      <c r="Y25" s="91" ph="1">
        <f>Y24*47.051*LOOKUP(Y26,密度!$A$2:$A$50,密度!$L$2:$L$50)</f>
        <v>216739.86688800002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27</v>
      </c>
      <c r="H26" s="74">
        <v>28</v>
      </c>
      <c r="I26" s="74">
        <v>27</v>
      </c>
      <c r="J26" s="74">
        <v>27</v>
      </c>
      <c r="K26" s="74">
        <v>27</v>
      </c>
      <c r="L26" s="74">
        <v>28</v>
      </c>
      <c r="M26" s="74">
        <v>27</v>
      </c>
      <c r="N26" s="74">
        <v>28</v>
      </c>
      <c r="O26" s="74">
        <v>27</v>
      </c>
      <c r="P26" s="74">
        <v>28</v>
      </c>
      <c r="Q26" s="93">
        <v>27</v>
      </c>
      <c r="R26" s="74">
        <v>29</v>
      </c>
      <c r="S26" s="74">
        <v>28</v>
      </c>
      <c r="T26" s="74">
        <v>27</v>
      </c>
      <c r="U26" s="74">
        <v>28</v>
      </c>
      <c r="V26" s="74">
        <v>28</v>
      </c>
      <c r="W26" s="74">
        <v>28</v>
      </c>
      <c r="X26" s="74">
        <v>34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70.92</v>
      </c>
      <c r="E27" s="71">
        <v>5.82</v>
      </c>
      <c r="F27" s="71">
        <v>2508</v>
      </c>
      <c r="G27" s="71">
        <v>3295</v>
      </c>
      <c r="H27" s="71">
        <v>3136</v>
      </c>
      <c r="I27" s="71">
        <v>4190</v>
      </c>
      <c r="J27" s="71">
        <v>303</v>
      </c>
      <c r="K27" s="71">
        <v>3262</v>
      </c>
      <c r="L27" s="71">
        <v>296</v>
      </c>
      <c r="M27" s="71">
        <v>321</v>
      </c>
      <c r="N27" s="71">
        <v>1434</v>
      </c>
      <c r="O27" s="71">
        <v>338</v>
      </c>
      <c r="P27" s="71">
        <v>368</v>
      </c>
      <c r="Q27" s="90">
        <v>4485</v>
      </c>
      <c r="R27" s="71">
        <v>344</v>
      </c>
      <c r="S27" s="71">
        <v>610</v>
      </c>
      <c r="T27" s="71">
        <v>390</v>
      </c>
      <c r="U27" s="71">
        <v>2672</v>
      </c>
      <c r="V27" s="71">
        <v>878</v>
      </c>
      <c r="W27" s="71">
        <v>413</v>
      </c>
      <c r="X27" s="71">
        <v>5272</v>
      </c>
      <c r="Y27" s="71">
        <v>4027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19522.522558944002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27663.418469279997</v>
      </c>
      <c r="G28" s="91" ph="1">
        <f>G27*18.322*LOOKUP(G29,密度!$A$2:$A$50,密度!$B$2:$B$50)</f>
        <v>46751.294655999998</v>
      </c>
      <c r="H28" s="91" ph="1">
        <f>H27*18.322*LOOKUP(H29,密度!$A$2:$A$50,密度!$B$2:$B$50)</f>
        <v>44443.602111999993</v>
      </c>
      <c r="I28" s="91" ph="1">
        <f>I27*18.322*LOOKUP(I29,密度!$A$2:$A$50,密度!$Q$2:$Q$50)</f>
        <v>72361.093684399995</v>
      </c>
      <c r="J28" s="91" ph="1">
        <f>J27*18.322*LOOKUP(J29,密度!$A$2:$A$50,密度!$Q$2:$Q$50)</f>
        <v>5232.7950802799996</v>
      </c>
      <c r="K28" s="91" ph="1">
        <f>K27*18.322*LOOKUP(K29,密度!$A$2:$A$50,密度!$Q$2:$Q$50)</f>
        <v>56293.93825159999</v>
      </c>
      <c r="L28" s="91" ph="1">
        <f>L27*18.322*LOOKUP(L29,密度!$A$2:$A$50,密度!$Q$2:$Q$50)</f>
        <v>5108.2175727999993</v>
      </c>
      <c r="M28" s="91" ph="1">
        <f>M27*18.322*LOOKUP(M29,密度!$A$2:$A$50,密度!$Q$2:$Q$50)</f>
        <v>5543.6541939600002</v>
      </c>
      <c r="N28" s="91" ph="1">
        <f>N27*18.322*LOOKUP(N29,密度!$A$2:$A$50,密度!$Q$2:$Q$50)</f>
        <v>24784.814700840001</v>
      </c>
      <c r="O28" s="91" ph="1">
        <f>O27*18.322*LOOKUP(O29,密度!$A$2:$A$50,密度!$C$2:$C$50)</f>
        <v>6837.5102275999998</v>
      </c>
      <c r="P28" s="91" ph="1">
        <f>P27*11.702*LOOKUP(P29,密度!$A$2:$A$50,密度!$B$2:$B$50)</f>
        <v>3330.9508959999998</v>
      </c>
      <c r="Q28" s="92" ph="1">
        <f>Q27*18.322*LOOKUP(Q29,密度!$A$2:$A$50,密度!$B$2:$B$50)</f>
        <v>63709.634000999999</v>
      </c>
      <c r="R28" s="91" ph="1">
        <f>R27*35.891*LOOKUP(R29,密度!$A$2:$A$50,密度!$C$2:$C$50)</f>
        <v>13618.193911999999</v>
      </c>
      <c r="S28" s="91" ph="1">
        <f>S27*35.891*LOOKUP(S29,密度!$A$2:$A$50,密度!$B$2:$B$50)</f>
        <v>16974.038302999998</v>
      </c>
      <c r="T28" s="91" ph="1">
        <f>T27*35.891*LOOKUP(T29,密度!$A$2:$A$50,密度!$Q$2:$Q$50)</f>
        <v>13184.235831</v>
      </c>
      <c r="U28" s="91" ph="1">
        <f>U27*35.891</f>
        <v>95900.751999999993</v>
      </c>
      <c r="V28" s="91" ph="1">
        <f>V27*47.051*LOOKUP(V29,密度!$A$2:$A$50,密度!$B$2:$B$50)</f>
        <v>32028.246183399999</v>
      </c>
      <c r="W28" s="91" ph="1">
        <f>W27*47.051*LOOKUP(W29,密度!$A$2:$A$50,密度!$B$2:$B$50)</f>
        <v>15048.1895872</v>
      </c>
      <c r="X28" s="91" ph="1">
        <f>X27*47.051*LOOKUP(X29,密度!$A$2:$A$61,密度!$I$2:$I$61)</f>
        <v>255767.31631919998</v>
      </c>
      <c r="Y28" s="91" ph="1">
        <f>Y27*47.051*LOOKUP(Y29,密度!$A$2:$A$50,密度!$L$2:$L$50)</f>
        <v>176590.11936400001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32</v>
      </c>
      <c r="I29" s="74">
        <v>31</v>
      </c>
      <c r="J29" s="74">
        <v>31</v>
      </c>
      <c r="K29" s="74">
        <v>32</v>
      </c>
      <c r="L29" s="74">
        <v>32</v>
      </c>
      <c r="M29" s="74">
        <v>31</v>
      </c>
      <c r="N29" s="74">
        <v>30</v>
      </c>
      <c r="O29" s="74">
        <v>31</v>
      </c>
      <c r="P29" s="74">
        <v>32</v>
      </c>
      <c r="Q29" s="93">
        <v>30</v>
      </c>
      <c r="R29" s="74">
        <v>32</v>
      </c>
      <c r="S29" s="74">
        <v>30</v>
      </c>
      <c r="T29" s="74">
        <v>32</v>
      </c>
      <c r="U29" s="74">
        <v>31</v>
      </c>
      <c r="V29" s="74">
        <v>30</v>
      </c>
      <c r="W29" s="74">
        <v>31</v>
      </c>
      <c r="X29" s="74">
        <v>35</v>
      </c>
      <c r="Y29" s="74">
        <v>30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72309.272204280001</v>
      </c>
      <c r="E33" s="190" ph="1">
        <f>M10+I10</f>
        <v>162079.66142419999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1522252632456786910111213141516171819202123456789101112131415161718192022232424356789101112131415161718192021222345678910111213141516171819202345678910111213149101516171819222123234567891012131415161711181920212224252345678910111213117[[#This Row],[F25]]</f>
        <v>3880</v>
      </c>
      <c r="G33" s="216" ph="1">
        <f>N19</f>
        <v>22518.429333399999</v>
      </c>
      <c r="H33" s="190" ph="1">
        <f>M19</f>
        <v>32249.137432760002</v>
      </c>
      <c r="I33" s="194" ph="1">
        <v>0</v>
      </c>
      <c r="J33" s="198" ph="1">
        <f>F10+O28</f>
        <v>176986.86012560001</v>
      </c>
      <c r="K33" s="190" ph="1">
        <f>O10+K10+E28+R28</f>
        <v>46562.522708239994</v>
      </c>
      <c r="L33" s="200" ph="1">
        <f>K19</f>
        <v>42878.054884880003</v>
      </c>
      <c r="M33" s="198" ph="1">
        <f>G10+H10+W28+S28+V28+E10+R19+P28+Q28</f>
        <v>432952.41537576006</v>
      </c>
      <c r="N33" s="190" ph="1">
        <f>L10+P10++G28+H28+AD19+AE19</f>
        <v>158755.4538778</v>
      </c>
      <c r="O33" s="194" ph="1">
        <f>G19</f>
        <v>17498.151897600001</v>
      </c>
      <c r="P33" s="198" ph="1">
        <f>L19</f>
        <v>41215.241152176</v>
      </c>
      <c r="Q33" s="190" ph="1">
        <f>J10+N10</f>
        <v>143143.00072111003</v>
      </c>
      <c r="R33" s="194" ph="1">
        <f>BE23</f>
        <v>890</v>
      </c>
      <c r="S33" s="198" ph="1">
        <f>X28</f>
        <v>255767.31631919998</v>
      </c>
      <c r="T33" s="190" ph="1">
        <f>X19</f>
        <v>15499.252661399998</v>
      </c>
      <c r="U33" s="179" ph="1">
        <f>BE21</f>
        <v>730</v>
      </c>
      <c r="V33" s="192" ph="1">
        <f ca="1">P19+Q19+S19+M28+N28+J28+D10+AC10+D19+E19+H19+J19+O19+V19+W19+K28+L28</f>
        <v>734386.94888846017</v>
      </c>
      <c r="W33" s="192" ph="1">
        <f>D28+F28+T28+I28</f>
        <v>132731.27054362401</v>
      </c>
      <c r="X33" s="194" ph="1">
        <f>BE29+BE31</f>
        <v>10200</v>
      </c>
      <c r="Y33" s="196" ph="1">
        <f>+Q10+R10+S10+T10+U10+V10+W10+X10+Y10</f>
        <v>180546.03982800001</v>
      </c>
      <c r="Z33" s="177" ph="1">
        <f>T19+U19+Y28+Z10</f>
        <v>306900.98409000004</v>
      </c>
      <c r="AA33" s="179" ph="1">
        <f>BE19</f>
        <v>1440</v>
      </c>
      <c r="AB33" s="181" ph="1">
        <f>I19</f>
        <v>28770.571014759997</v>
      </c>
      <c r="AC33" s="183" ph="1">
        <f>AD10+AB19</f>
        <v>84702.822624000008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183" priority="101">
      <formula>ABS(D$7-D$10)&gt;=1000</formula>
    </cfRule>
  </conditionalFormatting>
  <conditionalFormatting sqref="E4 E6:E11">
    <cfRule type="expression" dxfId="1182" priority="100">
      <formula>ABS(E$7-E$10)&gt;=1000</formula>
    </cfRule>
  </conditionalFormatting>
  <conditionalFormatting sqref="F4:F11">
    <cfRule type="expression" dxfId="1181" priority="99">
      <formula>ABS(F$7-F$10)&gt;=1000</formula>
    </cfRule>
  </conditionalFormatting>
  <conditionalFormatting sqref="G4:G11">
    <cfRule type="expression" dxfId="1180" priority="98">
      <formula>ABS(G$7-G$10)&gt;=1000</formula>
    </cfRule>
  </conditionalFormatting>
  <conditionalFormatting sqref="H4:H11">
    <cfRule type="expression" dxfId="1179" priority="97">
      <formula>ABS(H$7-H$10)&gt;=1000</formula>
    </cfRule>
  </conditionalFormatting>
  <conditionalFormatting sqref="I4:I11">
    <cfRule type="expression" dxfId="1178" priority="96">
      <formula>ABS(I$7-I$10)&gt;=1000</formula>
    </cfRule>
  </conditionalFormatting>
  <conditionalFormatting sqref="J4:J11">
    <cfRule type="expression" dxfId="1177" priority="95">
      <formula>ABS(J$7-J$10)&gt;=1000</formula>
    </cfRule>
  </conditionalFormatting>
  <conditionalFormatting sqref="K4:K11">
    <cfRule type="expression" dxfId="1176" priority="94">
      <formula>ABS(K$7-K$10)&gt;=1000</formula>
    </cfRule>
  </conditionalFormatting>
  <conditionalFormatting sqref="L4:L11">
    <cfRule type="expression" dxfId="1175" priority="93">
      <formula>ABS(L$7-L$10)&gt;=1000</formula>
    </cfRule>
  </conditionalFormatting>
  <conditionalFormatting sqref="M4 M6:M11">
    <cfRule type="expression" dxfId="1174" priority="92">
      <formula>ABS(M$7-M$10)&gt;=1000</formula>
    </cfRule>
  </conditionalFormatting>
  <conditionalFormatting sqref="N4 N6:N11">
    <cfRule type="expression" dxfId="1173" priority="91">
      <formula>ABS(N$7-N$10)&gt;=1000</formula>
    </cfRule>
  </conditionalFormatting>
  <conditionalFormatting sqref="O4 O6:O11">
    <cfRule type="expression" dxfId="1172" priority="90">
      <formula>ABS(O$7-O$10)&gt;=1000</formula>
    </cfRule>
  </conditionalFormatting>
  <conditionalFormatting sqref="P4 P6:P11">
    <cfRule type="expression" dxfId="1171" priority="89">
      <formula>ABS(P$7-P$10)&gt;=1000</formula>
    </cfRule>
  </conditionalFormatting>
  <conditionalFormatting sqref="Q4:Q11">
    <cfRule type="expression" dxfId="1170" priority="88">
      <formula>ABS(Q$7-Q$10)&gt;=1000</formula>
    </cfRule>
  </conditionalFormatting>
  <conditionalFormatting sqref="R4:R11">
    <cfRule type="expression" dxfId="1169" priority="87">
      <formula>ABS(R$7-R$10)&gt;=1000</formula>
    </cfRule>
  </conditionalFormatting>
  <conditionalFormatting sqref="S4:S11">
    <cfRule type="expression" dxfId="1168" priority="86">
      <formula>ABS(S$7-S$10)&gt;=1000</formula>
    </cfRule>
  </conditionalFormatting>
  <conditionalFormatting sqref="T4:T9 T11">
    <cfRule type="expression" dxfId="1167" priority="85">
      <formula>ABS(T$7-T$10)&gt;=1000</formula>
    </cfRule>
  </conditionalFormatting>
  <conditionalFormatting sqref="U4:U9 U11">
    <cfRule type="expression" dxfId="1166" priority="84">
      <formula>ABS(U$7-U$10)&gt;=1000</formula>
    </cfRule>
  </conditionalFormatting>
  <conditionalFormatting sqref="V4:V9 V11">
    <cfRule type="expression" dxfId="1165" priority="83">
      <formula>ABS(V$7-V$10)&gt;=1000</formula>
    </cfRule>
  </conditionalFormatting>
  <conditionalFormatting sqref="W4:W9 W11">
    <cfRule type="expression" dxfId="1164" priority="82">
      <formula>ABS(W$7-W$10)&gt;=1000</formula>
    </cfRule>
  </conditionalFormatting>
  <conditionalFormatting sqref="X4:X9 X11">
    <cfRule type="expression" dxfId="1163" priority="81">
      <formula>ABS(X$7-X$10)&gt;=1000</formula>
    </cfRule>
  </conditionalFormatting>
  <conditionalFormatting sqref="Y4:Y9 Y11">
    <cfRule type="expression" dxfId="1162" priority="80">
      <formula>ABS(Y$7-Y$10)&gt;=1000</formula>
    </cfRule>
  </conditionalFormatting>
  <conditionalFormatting sqref="Z4:Z11">
    <cfRule type="expression" dxfId="1161" priority="79">
      <formula>ABS(Z$7-Z$10)&gt;=1000</formula>
    </cfRule>
  </conditionalFormatting>
  <conditionalFormatting sqref="AA4:AA11">
    <cfRule type="expression" dxfId="1160" priority="78">
      <formula>ABS(AA$7-AA$10)&gt;=1000</formula>
    </cfRule>
  </conditionalFormatting>
  <conditionalFormatting sqref="AB4:AB11">
    <cfRule type="expression" dxfId="1159" priority="77">
      <formula>ABS(AB$7-AB$10)&gt;=1000</formula>
    </cfRule>
  </conditionalFormatting>
  <conditionalFormatting sqref="AC4 AC6:AC11">
    <cfRule type="expression" dxfId="1158" priority="76">
      <formula>ABS(AC$7-AC$10)&gt;=1000</formula>
    </cfRule>
  </conditionalFormatting>
  <conditionalFormatting sqref="AD4 AD6:AD11">
    <cfRule type="expression" dxfId="1157" priority="75">
      <formula>ABS(AD$7-AD$10)&gt;=1000</formula>
    </cfRule>
  </conditionalFormatting>
  <conditionalFormatting sqref="AE4 AE6:AE11">
    <cfRule type="expression" dxfId="1156" priority="74">
      <formula>ABS(AE$7-AE$10)&gt;=1000</formula>
    </cfRule>
  </conditionalFormatting>
  <conditionalFormatting sqref="D13:D20">
    <cfRule type="expression" dxfId="1155" priority="73">
      <formula>ABS(D$16-D$19)&gt;=1000</formula>
    </cfRule>
  </conditionalFormatting>
  <conditionalFormatting sqref="E13:E20">
    <cfRule type="expression" dxfId="1154" priority="72">
      <formula>ABS(E$16-E$19)&gt;=1000</formula>
    </cfRule>
  </conditionalFormatting>
  <conditionalFormatting sqref="F13 F15:F20">
    <cfRule type="expression" dxfId="1153" priority="71">
      <formula>ABS(F$16-F$19)&gt;=1000</formula>
    </cfRule>
  </conditionalFormatting>
  <conditionalFormatting sqref="G13:G20">
    <cfRule type="expression" dxfId="1152" priority="70">
      <formula>ABS(G$16-G$19)&gt;=1000</formula>
    </cfRule>
  </conditionalFormatting>
  <conditionalFormatting sqref="H13 H15:H20">
    <cfRule type="expression" dxfId="1151" priority="69">
      <formula>ABS(H$16-H$19)&gt;=1000</formula>
    </cfRule>
  </conditionalFormatting>
  <conditionalFormatting sqref="I13:I20">
    <cfRule type="expression" dxfId="1150" priority="68">
      <formula>ABS(I$16-I$19)&gt;=1000</formula>
    </cfRule>
  </conditionalFormatting>
  <conditionalFormatting sqref="J13:J20">
    <cfRule type="expression" dxfId="1149" priority="67">
      <formula>ABS(J$16-J$19)&gt;=1000</formula>
    </cfRule>
  </conditionalFormatting>
  <conditionalFormatting sqref="L13:L20">
    <cfRule type="expression" dxfId="1148" priority="66">
      <formula>ABS(L$16-L$19)&gt;=1000</formula>
    </cfRule>
  </conditionalFormatting>
  <conditionalFormatting sqref="M13 M15 M17:M18 M20">
    <cfRule type="expression" dxfId="1147" priority="65">
      <formula>ABS(M$16-M$19)&gt;=1000</formula>
    </cfRule>
  </conditionalFormatting>
  <conditionalFormatting sqref="N13:N20">
    <cfRule type="expression" dxfId="1146" priority="64">
      <formula>ABS(N$16-N$19)&gt;=1000</formula>
    </cfRule>
  </conditionalFormatting>
  <conditionalFormatting sqref="O13:O20">
    <cfRule type="expression" dxfId="1145" priority="63">
      <formula>ABS(O$16-O$19)&gt;=1000</formula>
    </cfRule>
  </conditionalFormatting>
  <conditionalFormatting sqref="P13:P20">
    <cfRule type="expression" dxfId="1144" priority="62">
      <formula>ABS(P$16-P$19)&gt;=1000</formula>
    </cfRule>
  </conditionalFormatting>
  <conditionalFormatting sqref="Q13 Q15:Q20">
    <cfRule type="expression" dxfId="1143" priority="61">
      <formula>ABS(Q$16-Q$19)&gt;=1000</formula>
    </cfRule>
  </conditionalFormatting>
  <conditionalFormatting sqref="R13:R20">
    <cfRule type="expression" dxfId="1142" priority="60">
      <formula>ABS(R$16-R$19)&gt;=1000</formula>
    </cfRule>
  </conditionalFormatting>
  <conditionalFormatting sqref="S13:S20">
    <cfRule type="expression" dxfId="1141" priority="59">
      <formula>ABS(S$16-S$19)&gt;=1000</formula>
    </cfRule>
  </conditionalFormatting>
  <conditionalFormatting sqref="T13:T15 T17:T20">
    <cfRule type="expression" dxfId="1140" priority="58">
      <formula>ABS(T$16-T$19)&gt;=1000</formula>
    </cfRule>
  </conditionalFormatting>
  <conditionalFormatting sqref="U13:U20">
    <cfRule type="expression" dxfId="1139" priority="57">
      <formula>ABS(U$16-U$19)&gt;=1000</formula>
    </cfRule>
  </conditionalFormatting>
  <conditionalFormatting sqref="V13:V20">
    <cfRule type="expression" dxfId="1138" priority="56">
      <formula>ABS(V$16-V$19)&gt;=1000</formula>
    </cfRule>
  </conditionalFormatting>
  <conditionalFormatting sqref="W13 W20 W15:W18">
    <cfRule type="expression" dxfId="1137" priority="55">
      <formula>ABS(W$16-W$19)&gt;=1000</formula>
    </cfRule>
  </conditionalFormatting>
  <conditionalFormatting sqref="X13 X15:X20 Y19">
    <cfRule type="expression" dxfId="1136" priority="54">
      <formula>ABS(X$16-X$19)&gt;=1000</formula>
    </cfRule>
  </conditionalFormatting>
  <conditionalFormatting sqref="Y13 Y15:Y18 Y20">
    <cfRule type="expression" dxfId="1135" priority="53">
      <formula>ABS(Y$16-Y$19)&gt;=1000</formula>
    </cfRule>
  </conditionalFormatting>
  <conditionalFormatting sqref="Z13:Z20">
    <cfRule type="expression" dxfId="1134" priority="52">
      <formula>ABS(Z$16-Z$19)&gt;=1000</formula>
    </cfRule>
  </conditionalFormatting>
  <conditionalFormatting sqref="AA13:AA20">
    <cfRule type="expression" dxfId="1133" priority="51">
      <formula>ABS(AA$16-AA$19)&gt;=1000</formula>
    </cfRule>
  </conditionalFormatting>
  <conditionalFormatting sqref="AB13 AB15:AB20">
    <cfRule type="expression" dxfId="1132" priority="50">
      <formula>ABS(AB$16-AB$19)&gt;=1000</formula>
    </cfRule>
  </conditionalFormatting>
  <conditionalFormatting sqref="AC13 AC15:AC20">
    <cfRule type="expression" dxfId="1131" priority="49">
      <formula>ABS(AC$16-AC$19)&gt;=1000</formula>
    </cfRule>
  </conditionalFormatting>
  <conditionalFormatting sqref="AD13:AD20">
    <cfRule type="expression" dxfId="1130" priority="48">
      <formula>ABS(AD$16-AD$19)&gt;=1000</formula>
    </cfRule>
  </conditionalFormatting>
  <conditionalFormatting sqref="AE13:AE20">
    <cfRule type="expression" dxfId="1129" priority="47">
      <formula>ABS(AE$16-AE$19)&gt;=1000</formula>
    </cfRule>
  </conditionalFormatting>
  <conditionalFormatting sqref="D22:D29">
    <cfRule type="expression" dxfId="1128" priority="46">
      <formula>ABS(D$25-D$28)&gt;=1000</formula>
    </cfRule>
  </conditionalFormatting>
  <conditionalFormatting sqref="E22:E29">
    <cfRule type="expression" dxfId="1127" priority="45">
      <formula>ABS(E$25-E$28)&gt;=1000</formula>
    </cfRule>
  </conditionalFormatting>
  <conditionalFormatting sqref="F22:F29">
    <cfRule type="expression" dxfId="1126" priority="44">
      <formula>ABS(F$25-F$28)&gt;=1000</formula>
    </cfRule>
  </conditionalFormatting>
  <conditionalFormatting sqref="G22:G29">
    <cfRule type="expression" dxfId="1125" priority="43">
      <formula>ABS(G$25-G$28)&gt;=1000</formula>
    </cfRule>
  </conditionalFormatting>
  <conditionalFormatting sqref="H22:H29">
    <cfRule type="expression" dxfId="1124" priority="42">
      <formula>ABS(H$25-H$28)&gt;=1000</formula>
    </cfRule>
  </conditionalFormatting>
  <conditionalFormatting sqref="I22 I24:I29">
    <cfRule type="expression" dxfId="1123" priority="41">
      <formula>ABS(I$25-I$28)&gt;=1000</formula>
    </cfRule>
  </conditionalFormatting>
  <conditionalFormatting sqref="J22:J29 K22">
    <cfRule type="expression" dxfId="1122" priority="40">
      <formula>ABS(J$25-J$28)&gt;=1000</formula>
    </cfRule>
  </conditionalFormatting>
  <conditionalFormatting sqref="K23:K29 L25 L28">
    <cfRule type="expression" dxfId="1121" priority="39">
      <formula>ABS(K$25-K$28)&gt;=1000</formula>
    </cfRule>
  </conditionalFormatting>
  <conditionalFormatting sqref="L22 L26:L27 L29 L24">
    <cfRule type="expression" dxfId="1120" priority="38">
      <formula>ABS(L$25-L$28)&gt;=1000</formula>
    </cfRule>
  </conditionalFormatting>
  <conditionalFormatting sqref="M22:M29">
    <cfRule type="expression" dxfId="1119" priority="37">
      <formula>ABS(M$25-M$28)&gt;=1000</formula>
    </cfRule>
  </conditionalFormatting>
  <conditionalFormatting sqref="N22:N29">
    <cfRule type="expression" dxfId="1118" priority="36">
      <formula>ABS(N$25-N$28)&gt;=1000</formula>
    </cfRule>
  </conditionalFormatting>
  <conditionalFormatting sqref="O22:O29">
    <cfRule type="expression" dxfId="1117" priority="35">
      <formula>ABS(O$25-O$28)&gt;=1000</formula>
    </cfRule>
  </conditionalFormatting>
  <conditionalFormatting sqref="P22:P29">
    <cfRule type="expression" dxfId="1116" priority="34">
      <formula>ABS(P$25-P$28)&gt;=1000</formula>
    </cfRule>
  </conditionalFormatting>
  <conditionalFormatting sqref="Q22:Q29">
    <cfRule type="expression" dxfId="1115" priority="33">
      <formula>ABS(Q$25-Q$28)&gt;=1000</formula>
    </cfRule>
  </conditionalFormatting>
  <conditionalFormatting sqref="R22:R29">
    <cfRule type="expression" dxfId="1114" priority="32">
      <formula>ABS(R$25-R$28)&gt;=1000</formula>
    </cfRule>
  </conditionalFormatting>
  <conditionalFormatting sqref="S22:S29">
    <cfRule type="expression" dxfId="1113" priority="31">
      <formula>ABS(S$25-S$28)&gt;=1000</formula>
    </cfRule>
  </conditionalFormatting>
  <conditionalFormatting sqref="T22:T29">
    <cfRule type="expression" dxfId="1112" priority="30">
      <formula>ABS(T$25-T$28)&gt;=1000</formula>
    </cfRule>
  </conditionalFormatting>
  <conditionalFormatting sqref="U22:U29">
    <cfRule type="expression" dxfId="1111" priority="29">
      <formula>ABS(U$25-U$28)&gt;=1000</formula>
    </cfRule>
  </conditionalFormatting>
  <conditionalFormatting sqref="V22:V29">
    <cfRule type="expression" dxfId="1110" priority="28">
      <formula>ABS(V$25-V$28)&gt;=1000</formula>
    </cfRule>
  </conditionalFormatting>
  <conditionalFormatting sqref="W22:W29">
    <cfRule type="expression" dxfId="1109" priority="27">
      <formula>ABS(W$25-W$28)&gt;=1000</formula>
    </cfRule>
  </conditionalFormatting>
  <conditionalFormatting sqref="X22:X29">
    <cfRule type="expression" dxfId="1108" priority="26">
      <formula>ABS(X$25-X$28)&gt;=1000</formula>
    </cfRule>
  </conditionalFormatting>
  <conditionalFormatting sqref="Y22:Y29">
    <cfRule type="expression" dxfId="1107" priority="25">
      <formula>ABS(Y$25-Y$28)&gt;=1000</formula>
    </cfRule>
  </conditionalFormatting>
  <conditionalFormatting sqref="I23">
    <cfRule type="expression" dxfId="1106" priority="24">
      <formula>ABS(I$25-I$28)&gt;=1000</formula>
    </cfRule>
  </conditionalFormatting>
  <conditionalFormatting sqref="Q14">
    <cfRule type="expression" dxfId="1105" priority="23">
      <formula>ABS(Q$16-Q$19)&gt;=1000</formula>
    </cfRule>
  </conditionalFormatting>
  <conditionalFormatting sqref="W14">
    <cfRule type="expression" dxfId="1104" priority="22">
      <formula>ABS(W$16-W$19)&gt;=1000</formula>
    </cfRule>
  </conditionalFormatting>
  <conditionalFormatting sqref="X14">
    <cfRule type="expression" dxfId="1103" priority="21">
      <formula>ABS(X$16-X$19)&gt;=1000</formula>
    </cfRule>
  </conditionalFormatting>
  <conditionalFormatting sqref="T10:Y10">
    <cfRule type="expression" dxfId="1102" priority="20">
      <formula>ABS(T$7-T$10)&gt;=1000</formula>
    </cfRule>
  </conditionalFormatting>
  <conditionalFormatting sqref="W19">
    <cfRule type="expression" dxfId="1101" priority="19">
      <formula>ABS(W$16-W$19)&gt;=1000</formula>
    </cfRule>
  </conditionalFormatting>
  <conditionalFormatting sqref="AC5">
    <cfRule type="expression" dxfId="1100" priority="18">
      <formula>ABS(AC$7-AC$10)&gt;=1000</formula>
    </cfRule>
  </conditionalFormatting>
  <conditionalFormatting sqref="M14">
    <cfRule type="expression" dxfId="1099" priority="17">
      <formula>ABS(M$16-M$19)&gt;=1000</formula>
    </cfRule>
  </conditionalFormatting>
  <conditionalFormatting sqref="M16">
    <cfRule type="expression" dxfId="1098" priority="16">
      <formula>ABS(M$16-M$19)&gt;=1000</formula>
    </cfRule>
  </conditionalFormatting>
  <conditionalFormatting sqref="M19">
    <cfRule type="expression" dxfId="1097" priority="15">
      <formula>ABS(M$16-M$19)&gt;=1000</formula>
    </cfRule>
  </conditionalFormatting>
  <conditionalFormatting sqref="K13:K20">
    <cfRule type="expression" dxfId="1096" priority="14">
      <formula>ABS(K$16-K$19)&gt;=1000</formula>
    </cfRule>
  </conditionalFormatting>
  <conditionalFormatting sqref="E5">
    <cfRule type="expression" dxfId="1095" priority="13">
      <formula>ABS(E$7-E$10)&gt;=1000</formula>
    </cfRule>
  </conditionalFormatting>
  <conditionalFormatting sqref="AB14:AC14">
    <cfRule type="expression" dxfId="1094" priority="12">
      <formula>ABS(AB$16-AB$19)&gt;=1000</formula>
    </cfRule>
  </conditionalFormatting>
  <conditionalFormatting sqref="M5">
    <cfRule type="expression" dxfId="1093" priority="11">
      <formula>ABS(M$7-M$10)&gt;=1000</formula>
    </cfRule>
  </conditionalFormatting>
  <conditionalFormatting sqref="N5">
    <cfRule type="expression" dxfId="1092" priority="10">
      <formula>ABS(N$7-N$10)&gt;=1000</formula>
    </cfRule>
  </conditionalFormatting>
  <conditionalFormatting sqref="O5">
    <cfRule type="expression" dxfId="1091" priority="9">
      <formula>ABS(O$7-O$10)&gt;=1000</formula>
    </cfRule>
  </conditionalFormatting>
  <conditionalFormatting sqref="P5">
    <cfRule type="expression" dxfId="1090" priority="8">
      <formula>ABS(P$7-P$10)&gt;=1000</formula>
    </cfRule>
  </conditionalFormatting>
  <conditionalFormatting sqref="L23">
    <cfRule type="expression" dxfId="1089" priority="7">
      <formula>ABS(L$25-L$28)&gt;=1000</formula>
    </cfRule>
  </conditionalFormatting>
  <conditionalFormatting sqref="Y14">
    <cfRule type="expression" dxfId="1088" priority="6">
      <formula>ABS(Y$16-Y$19)&gt;=1000</formula>
    </cfRule>
  </conditionalFormatting>
  <conditionalFormatting sqref="F14">
    <cfRule type="expression" dxfId="1087" priority="5">
      <formula>ABS(F$16-F$19)&gt;=1000</formula>
    </cfRule>
  </conditionalFormatting>
  <conditionalFormatting sqref="H14">
    <cfRule type="expression" dxfId="1086" priority="4">
      <formula>ABS(H$16-H$19)&gt;=1000</formula>
    </cfRule>
  </conditionalFormatting>
  <conditionalFormatting sqref="AD5">
    <cfRule type="expression" dxfId="1085" priority="3">
      <formula>ABS(AD$7-AD$10)&gt;=1000</formula>
    </cfRule>
  </conditionalFormatting>
  <conditionalFormatting sqref="AE5">
    <cfRule type="expression" dxfId="1084" priority="2">
      <formula>ABS(AE$7-AE$10)&gt;=1000</formula>
    </cfRule>
  </conditionalFormatting>
  <conditionalFormatting sqref="T16">
    <cfRule type="expression" dxfId="1083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430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6">
    <pageSetUpPr fitToPage="1"/>
  </sheetPr>
  <dimension ref="A1:CU223"/>
  <sheetViews>
    <sheetView view="pageBreakPreview" topLeftCell="A7" zoomScaleNormal="100" zoomScaleSheetLayoutView="100" workbookViewId="0">
      <selection activeCell="P15" sqref="P15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46225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6037</v>
      </c>
      <c r="E6" s="71">
        <v>2345</v>
      </c>
      <c r="F6" s="71">
        <v>4231</v>
      </c>
      <c r="G6" s="71">
        <v>1008</v>
      </c>
      <c r="H6" s="71">
        <v>3756</v>
      </c>
      <c r="I6" s="71">
        <v>38.72</v>
      </c>
      <c r="J6" s="71">
        <v>77.010000000000005</v>
      </c>
      <c r="K6" s="71">
        <v>42.82</v>
      </c>
      <c r="L6" s="71">
        <v>6.32</v>
      </c>
      <c r="M6" s="71">
        <v>4470</v>
      </c>
      <c r="N6" s="71">
        <v>4653</v>
      </c>
      <c r="O6" s="71">
        <v>782</v>
      </c>
      <c r="P6" s="71">
        <v>1040</v>
      </c>
      <c r="Q6" s="71">
        <v>0</v>
      </c>
      <c r="R6" s="71">
        <v>687</v>
      </c>
      <c r="S6" s="71">
        <v>0</v>
      </c>
      <c r="T6" s="71">
        <v>7157</v>
      </c>
      <c r="U6" s="71">
        <v>5983</v>
      </c>
      <c r="V6" s="71">
        <v>5551</v>
      </c>
      <c r="W6" s="71">
        <v>0</v>
      </c>
      <c r="X6" s="71">
        <v>0</v>
      </c>
      <c r="Y6" s="71">
        <v>0</v>
      </c>
      <c r="Z6" s="71">
        <v>4401</v>
      </c>
      <c r="AA6" s="71">
        <v>0</v>
      </c>
      <c r="AB6" s="71">
        <v>3438</v>
      </c>
      <c r="AC6" s="71">
        <v>6322</v>
      </c>
      <c r="AD6" s="71">
        <v>4329</v>
      </c>
      <c r="AE6" s="71">
        <v>4335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189093.50502003002</v>
      </c>
      <c r="E7" s="73" ph="1">
        <f>E6*51.53*LOOKUP(E8,密度!$A$2:$A$50,密度!$B$2:$B$50)</f>
        <v>93685.585105000006</v>
      </c>
      <c r="F7" s="73" ph="1">
        <f>F6*33.183*LOOKUP(F8,密度!$A$2:$A$50,密度!$C$2:$C$50)</f>
        <v>155475.94012019999</v>
      </c>
      <c r="G7" s="73" ph="1">
        <f xml:space="preserve"> (G6+2)*51.53*LOOKUP(G8,密度!$A$2:$A$50,密度!$B$2:$B$50)</f>
        <v>40397.561860000002</v>
      </c>
      <c r="H7" s="73" ph="1">
        <f>(H6)*51.53*LOOKUP(H8,密度!$A$2:$A$50,密度!$B$2:$B$50)</f>
        <v>150559.96237200001</v>
      </c>
      <c r="I7" s="73" ph="1">
        <f>I6*290.8*1.0267</f>
        <v>11560.412019199999</v>
      </c>
      <c r="J7" s="73" ph="1">
        <f>J6*290.8*0.7892</f>
        <v>17673.745713600001</v>
      </c>
      <c r="K7" s="73" ph="1">
        <f>K6*290.8*1.1126</f>
        <v>13854.1575056</v>
      </c>
      <c r="L7" s="73" ph="1">
        <f>L6*290.8*0.777</f>
        <v>1428.0141120000003</v>
      </c>
      <c r="M7" s="73" ph="1">
        <f>M6*33.183*LOOKUP(M8,密度!$A$2:$A$50,密度!$D$2:$D$50)</f>
        <v>151457.731011</v>
      </c>
      <c r="N7" s="73" ph="1">
        <f>N6*33.183*LOOKUP(N8,密度!$A$2:$A$50,密度!$E$2:$E$50)</f>
        <v>120061.8280224</v>
      </c>
      <c r="O7" s="73" ph="1">
        <f>O6*20.428*LOOKUP(O8,密度!$A$2:$A$50,密度!$C$2:$C$50)</f>
        <v>17586.5428264</v>
      </c>
      <c r="P7" s="73" ph="1">
        <f>P6*51.53*LOOKUP(P8,密度!$A$2:$A$50,密度!$B$2:$B$50)</f>
        <v>41688.594480000007</v>
      </c>
      <c r="Q7" s="73" ph="1">
        <f>Q6*1.5*1.5*3.1416*LOOKUP(W8,密度!$A$2:$A$50,密度!$L$2:$L$50)</f>
        <v>0</v>
      </c>
      <c r="R7" s="73" ph="1">
        <f>R6*1.5*1.5*3.1416*LOOKUP(R8,密度!$A$2:$A$50,密度!$L$2:$L$50)</f>
        <v>4501.6308414000005</v>
      </c>
      <c r="S7" s="73" ph="1">
        <f>S6*1.5*1.5*3.1416*LOOKUP(S8,密度!$A$2:$A$50,密度!$L$2:$L$50)</f>
        <v>0</v>
      </c>
      <c r="T7" s="73" ph="1">
        <f>T6*1.5*1.5*3.1416*LOOKUP(T8,密度!$A$2:$A$50,密度!$L$2:$L$50)</f>
        <v>47402.802077399996</v>
      </c>
      <c r="U7" s="73" ph="1">
        <f>U6*1.5*1.5*3.1416*LOOKUP(U8,密度!$A$2:$A$50,密度!$L$2:$L$50)</f>
        <v>39457.907735400004</v>
      </c>
      <c r="V7" s="73" ph="1">
        <f>V6*1.5*1.5*3.1416*LOOKUP(V8,密度!$A$2:$A$50,密度!$L$2:$L$50)</f>
        <v>36648.103892400002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0</v>
      </c>
      <c r="Z7" s="73" ph="1">
        <f>Z6*33.183*LOOKUP(Z8,密度!$A$2:$A$50,密度!$L$2:$L$50)</f>
        <v>136399.84972200001</v>
      </c>
      <c r="AA7" s="73" ph="1">
        <f>AA6*33.183*LOOKUP(AA8,密度!$A$2:$A$50,密度!$D$2:$D$50)</f>
        <v>0</v>
      </c>
      <c r="AB7" s="73" ph="1">
        <f>AB6*20.428*LOOKUP(AB8,密度!$A$2:$A$50,密度!$D$2:$D$50)</f>
        <v>72169.852406400008</v>
      </c>
      <c r="AC7" s="73" ph="1">
        <f>AC6*51.53*LOOKUP(AC8,密度!$A$2:$A$50,密度!$Q$2:$Q$50)</f>
        <v>307731.37008920003</v>
      </c>
      <c r="AD7" s="73" ph="1">
        <f>AD6*20.428*LOOKUP(AD8,密度!$A$2:$A$50,密度!$V$2:$V$50)</f>
        <v>84683.260771200003</v>
      </c>
      <c r="AE7" s="73" ph="1">
        <f>AE6*20.428</f>
        <v>88555.38</v>
      </c>
    </row>
    <row r="8" spans="1:99" ph="1">
      <c r="B8" s="241" ph="1"/>
      <c r="C8" s="68" t="s" ph="1">
        <v>179</v>
      </c>
      <c r="D8" s="74">
        <v>29</v>
      </c>
      <c r="E8" s="74">
        <v>30</v>
      </c>
      <c r="F8" s="74">
        <v>27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31</v>
      </c>
      <c r="N8" s="74">
        <v>30</v>
      </c>
      <c r="O8" s="74">
        <v>34</v>
      </c>
      <c r="P8" s="74">
        <v>27</v>
      </c>
      <c r="Q8" s="74">
        <v>30</v>
      </c>
      <c r="R8" s="74">
        <v>35</v>
      </c>
      <c r="S8" s="74">
        <v>25</v>
      </c>
      <c r="T8" s="74">
        <v>25</v>
      </c>
      <c r="U8" s="74">
        <v>29</v>
      </c>
      <c r="V8" s="74">
        <v>28</v>
      </c>
      <c r="W8" s="74">
        <v>28</v>
      </c>
      <c r="X8" s="74">
        <v>27</v>
      </c>
      <c r="Y8" s="74">
        <v>28</v>
      </c>
      <c r="Z8" s="74">
        <v>28</v>
      </c>
      <c r="AA8" s="74">
        <v>30</v>
      </c>
      <c r="AB8" s="74">
        <v>24</v>
      </c>
      <c r="AC8" s="74">
        <v>28</v>
      </c>
      <c r="AD8" s="74">
        <v>27</v>
      </c>
      <c r="AE8" s="74">
        <v>29</v>
      </c>
    </row>
    <row r="9" spans="1:99" ht="26.4" ph="1">
      <c r="B9" s="241" ph="1">
        <v>0.66666666666666663</v>
      </c>
      <c r="C9" s="163" t="s" ph="1">
        <v>180</v>
      </c>
      <c r="D9" s="71">
        <v>6040</v>
      </c>
      <c r="E9" s="71">
        <v>1665</v>
      </c>
      <c r="F9" s="71">
        <v>4029</v>
      </c>
      <c r="G9" s="71">
        <v>1882</v>
      </c>
      <c r="H9" s="71">
        <v>3461</v>
      </c>
      <c r="I9" s="71">
        <v>38.72</v>
      </c>
      <c r="J9" s="71">
        <v>77.13</v>
      </c>
      <c r="K9" s="71">
        <v>12.21</v>
      </c>
      <c r="L9" s="71">
        <v>81.42</v>
      </c>
      <c r="M9" s="71">
        <v>4471</v>
      </c>
      <c r="N9" s="71">
        <v>4589</v>
      </c>
      <c r="O9" s="71">
        <v>1206</v>
      </c>
      <c r="P9" s="71">
        <v>506</v>
      </c>
      <c r="Q9" s="71">
        <v>0</v>
      </c>
      <c r="R9" s="71">
        <v>0</v>
      </c>
      <c r="S9" s="71">
        <v>0</v>
      </c>
      <c r="T9" s="71">
        <v>3449</v>
      </c>
      <c r="U9" s="71">
        <v>7119</v>
      </c>
      <c r="V9" s="71">
        <v>7122</v>
      </c>
      <c r="W9" s="71">
        <v>5705</v>
      </c>
      <c r="X9" s="71">
        <v>4648</v>
      </c>
      <c r="Y9" s="71">
        <v>0</v>
      </c>
      <c r="Z9" s="71">
        <v>2151</v>
      </c>
      <c r="AA9" s="71">
        <v>0</v>
      </c>
      <c r="AB9" s="71">
        <v>3279</v>
      </c>
      <c r="AC9" s="71">
        <v>6344</v>
      </c>
      <c r="AD9" s="71">
        <v>3385</v>
      </c>
      <c r="AE9" s="71">
        <v>4249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188518.05173880002</v>
      </c>
      <c r="E10" s="73" ph="1">
        <f>E9*51.53*LOOKUP(E11,密度!$A$2:$A$50,密度!$B$2:$B$50)</f>
        <v>66218.471910000007</v>
      </c>
      <c r="F10" s="73" ph="1">
        <f>F9*33.183*LOOKUP(F11,密度!$A$2:$A$50,密度!$C$2:$C$50)</f>
        <v>147464.82062099999</v>
      </c>
      <c r="G10" s="73" ph="1">
        <f xml:space="preserve"> (G9+2)*51.53*LOOKUP(G11,密度!$A$2:$A$50,密度!$B$2:$B$50)</f>
        <v>75015.663204000011</v>
      </c>
      <c r="H10" s="73" ph="1">
        <f>(H9)*51.53*LOOKUP(H11,密度!$A$2:$A$50,密度!$B$2:$B$50)</f>
        <v>137807.43649100003</v>
      </c>
      <c r="I10" s="73" ph="1">
        <f>I9*290.8*1.0267</f>
        <v>11560.412019199999</v>
      </c>
      <c r="J10" s="73" ph="1">
        <f>J9*290.8*0.7892</f>
        <v>17701.285636799999</v>
      </c>
      <c r="K10" s="73" ph="1">
        <f>K9*290.8*1.1126</f>
        <v>3950.473216800001</v>
      </c>
      <c r="L10" s="73" ph="1">
        <f>L9*290.8*0.777</f>
        <v>18396.979272</v>
      </c>
      <c r="M10" s="73" ph="1">
        <f>M9*33.183*LOOKUP(M11,密度!$A$2:$A$50,密度!$D$2:$D$50)</f>
        <v>150319.56074760002</v>
      </c>
      <c r="N10" s="73" ph="1">
        <f>N9*33.183*LOOKUP(N11,密度!$A$2:$A$50,密度!$E$2:$E$50)</f>
        <v>117719.09295822</v>
      </c>
      <c r="O10" s="73" ph="1">
        <f>O9*20.428*LOOKUP(O11,密度!$A$2:$A$50,密度!$C$2:$C$50)</f>
        <v>26966.749492800001</v>
      </c>
      <c r="P10" s="73" ph="1">
        <f>P9*51.53*LOOKUP(P11,密度!$A$2:$A$50,密度!$B$2:$B$50)</f>
        <v>20124.052124000002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22770.547707600002</v>
      </c>
      <c r="U10" s="73" ph="1">
        <f>U9*1.5*1.5*3.1416*LOOKUP(U11,密度!$A$2:$A$50,密度!$L$2:$L$50)</f>
        <v>46899.510688800001</v>
      </c>
      <c r="V10" s="73" ph="1">
        <f>V9*1.5*1.5*3.1416*LOOKUP(V11,密度!$A$2:$A$50,密度!$L$2:$L$50)</f>
        <v>47019.959632800004</v>
      </c>
      <c r="W10" s="73" ph="1">
        <f>W9*1.5*1.5*3.1416*LOOKUP(W11,密度!$A$2:$A$50,密度!$L$2:$L$50)</f>
        <v>37664.823041999996</v>
      </c>
      <c r="X10" s="73" ph="1">
        <f>X9*1.5*1.5*3.1416*LOOKUP(X11,密度!$A$2:$A$50,密度!$L$2:$L$50)</f>
        <v>30653.577662400003</v>
      </c>
      <c r="Y10" s="73" ph="1">
        <f>Y9*1.5*1.5*3.1416*LOOKUP(Y11,密度!$A$2:$A$50,密度!$L$2:$L$50)</f>
        <v>0</v>
      </c>
      <c r="Z10" s="73" ph="1">
        <f>Z9*33.183*LOOKUP(Z11,密度!$A$2:$A$50,密度!$L$2:$L$50)</f>
        <v>66094.762157999998</v>
      </c>
      <c r="AA10" s="73" ph="1">
        <f>AA9*33.183*LOOKUP(AA11,密度!$A$2:$A$50,密度!$D$2:$D$50)</f>
        <v>0</v>
      </c>
      <c r="AB10" s="73" ph="1">
        <f>AB9*20.428*LOOKUP(AB11,密度!$A$2:$A$50,密度!$D$2:$D$50)</f>
        <v>68644.600617599994</v>
      </c>
      <c r="AC10" s="73" ph="1">
        <f>AC9*51.53*LOOKUP(AC11,密度!$A$2:$A$50,密度!$Q$2:$Q$50)</f>
        <v>307484.81552880001</v>
      </c>
      <c r="AD10" s="73" ph="1">
        <f>AD9*20.428*LOOKUP(AD11,密度!$A$2:$A$50,密度!$V$2:$V$50)</f>
        <v>66216.871727999998</v>
      </c>
      <c r="AE10" s="73" ph="1">
        <f>AE9*20.428</f>
        <v>86798.572</v>
      </c>
    </row>
    <row r="11" spans="1:99" ph="1">
      <c r="A11" s="64" t="s" ph="1">
        <v>162</v>
      </c>
      <c r="B11" s="241" ph="1"/>
      <c r="C11" s="163" t="s" ph="1">
        <v>179</v>
      </c>
      <c r="D11" s="74">
        <v>34</v>
      </c>
      <c r="E11" s="74">
        <v>34</v>
      </c>
      <c r="F11" s="74">
        <v>32</v>
      </c>
      <c r="G11" s="74">
        <v>33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40</v>
      </c>
      <c r="N11" s="74">
        <v>34</v>
      </c>
      <c r="O11" s="74">
        <v>40</v>
      </c>
      <c r="P11" s="74">
        <v>34</v>
      </c>
      <c r="Q11" s="74">
        <v>43</v>
      </c>
      <c r="R11" s="74">
        <v>40</v>
      </c>
      <c r="S11" s="74">
        <v>30</v>
      </c>
      <c r="T11" s="74">
        <v>28</v>
      </c>
      <c r="U11" s="74">
        <v>30</v>
      </c>
      <c r="V11" s="74">
        <v>28</v>
      </c>
      <c r="W11" s="74">
        <v>28</v>
      </c>
      <c r="X11" s="74">
        <v>29</v>
      </c>
      <c r="Y11" s="74">
        <v>36</v>
      </c>
      <c r="Z11" s="74">
        <v>36</v>
      </c>
      <c r="AA11" s="74">
        <v>38</v>
      </c>
      <c r="AB11" s="74">
        <v>27</v>
      </c>
      <c r="AC11" s="74">
        <v>34</v>
      </c>
      <c r="AD11" s="74">
        <v>35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2685</v>
      </c>
      <c r="E15" s="78">
        <v>2926</v>
      </c>
      <c r="F15" s="78">
        <v>3103</v>
      </c>
      <c r="G15" s="78">
        <v>2716</v>
      </c>
      <c r="H15" s="78">
        <v>2043</v>
      </c>
      <c r="I15" s="78">
        <v>3130</v>
      </c>
      <c r="J15" s="78">
        <v>688</v>
      </c>
      <c r="K15" s="78">
        <v>4349</v>
      </c>
      <c r="L15" s="78">
        <v>5851</v>
      </c>
      <c r="M15" s="78">
        <v>6209</v>
      </c>
      <c r="N15" s="78">
        <v>730</v>
      </c>
      <c r="O15" s="78">
        <v>2501</v>
      </c>
      <c r="P15" s="78">
        <v>3450</v>
      </c>
      <c r="Q15" s="78">
        <v>2911</v>
      </c>
      <c r="R15" s="78">
        <v>1947</v>
      </c>
      <c r="S15" s="78">
        <v>0</v>
      </c>
      <c r="T15" s="78">
        <v>5723</v>
      </c>
      <c r="U15" s="78">
        <v>0</v>
      </c>
      <c r="V15" s="78">
        <v>-817</v>
      </c>
      <c r="W15" s="71">
        <v>-817</v>
      </c>
      <c r="X15" s="78">
        <v>1039</v>
      </c>
      <c r="Y15" s="106">
        <v>-9907</v>
      </c>
      <c r="Z15" s="78">
        <v>52</v>
      </c>
      <c r="AA15" s="78">
        <v>2522</v>
      </c>
      <c r="AB15" s="78" ph="1">
        <v>0</v>
      </c>
      <c r="AC15" s="78" ph="1">
        <v>0</v>
      </c>
      <c r="AD15" s="78">
        <v>5.62</v>
      </c>
      <c r="AE15" s="78">
        <v>54.32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17707.585202999999</v>
      </c>
      <c r="E16" s="73" ph="1">
        <f>E15*7.0686*LOOKUP(E17,密度!$A$2:$A$50,密度!$L$2:$L$50)</f>
        <v>19296.981118800002</v>
      </c>
      <c r="F16" s="73" ph="1">
        <f>F15*9.0746*LOOKUP(F17,密度!$A$2:$A$50,密度!$L$2:$L$50)</f>
        <v>26215.548417800004</v>
      </c>
      <c r="G16" s="73" ph="1">
        <f>G15*9.0746*LOOKUP(G17,密度!$A$2:$A$50,密度!$B$2:$B$50)</f>
        <v>19150.418767200001</v>
      </c>
      <c r="H16" s="73" ph="1">
        <f>H15*9.0746*LOOKUP(H17,密度!$A$2:$A$50,密度!$L$2:$L$50)</f>
        <v>17278.728069600002</v>
      </c>
      <c r="I16" s="73" ph="1">
        <f>I15*9.0746*LOOKUP(I17,密度!$A$2:$A$50,密度!$U$2:$U$50)</f>
        <v>29028.374956</v>
      </c>
      <c r="J16" s="73" ph="1">
        <f>J15*9.0746*LOOKUP(J17,密度!$A$2:$A$50,密度!$L$2:$L$50)</f>
        <v>5831.265363200001</v>
      </c>
      <c r="K16" s="73" ph="1">
        <f>K15*9.0746*LOOKUP(K17,密度!$A$2:$A$50,密度!$C$2:$C$50)</f>
        <v>43644.825008860003</v>
      </c>
      <c r="L16" s="73" ph="1">
        <f>L15*9.0746*LOOKUP(L17,密度!$A$2:$A$50,密度!$E$2:$E$50)</f>
        <v>41345.453858020002</v>
      </c>
      <c r="M16" s="73" ph="1">
        <f>M15*9.0746*LOOKUP(M17,密度!$A$2:$A$50,密度!$M$2:$M$50)</f>
        <v>49013.812098860006</v>
      </c>
      <c r="N16" s="73" ph="1">
        <f>N15*9.0746*LOOKUP(N17,密度!$A$2:$A$50,密度!$M$2:$M$50)</f>
        <v>5790.4387378000001</v>
      </c>
      <c r="O16" s="73" ph="1">
        <f>O15*9.0746*LOOKUP(O17,密度!$A$2:$A$50,密度!$G$2:$G$50)</f>
        <v>21667.465070620001</v>
      </c>
      <c r="P16" s="73" ph="1">
        <f ca="1">P15*9.0746*LOOKUP(P17,密度!$A$2:$A$51,密度!$Q$2:$Q$50)</f>
        <v>29551.965764100001</v>
      </c>
      <c r="Q16" s="73" ph="1">
        <f>Q15*9.0746*LOOKUP(Q17,密度!$A$2:$A$50,密度!$Q$2:$Q$50)</f>
        <v>24919.156778797998</v>
      </c>
      <c r="R16" s="73" ph="1">
        <f>MAX(R15*9.0746*LOOKUP(R17,密度!$A$2:$A$50,密度!$B$2:$B$50),0)</f>
        <v>13682.28985728</v>
      </c>
      <c r="S16" s="73" ph="1">
        <f>S15*9.0746*LOOKUP(S17,密度!$A$2:$A$50,密度!$Q$2:$Q$50)</f>
        <v>0</v>
      </c>
      <c r="T16" s="73" ph="1">
        <f>T15*9.0746*LOOKUP(T17,密度!$A$2:$A$50,密度!$O$2:$O$50)</f>
        <v>48090.824550800004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15567.47365192</v>
      </c>
      <c r="Y16" s="107" ph="1">
        <v>0</v>
      </c>
      <c r="Z16" s="73" ph="1">
        <f>Z15*9.0746*LOOKUP(Z17,密度!$A$2:$A$50,密度!$D$2:$D$50)</f>
        <v>483.15711288000006</v>
      </c>
      <c r="AA16" s="73" ph="1">
        <f>AA15*9.0746*LOOKUP(AA17,密度!$A$2:$A$50,密度!$B$2:$B$50)</f>
        <v>17782.531712400003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2398.0352553599996</v>
      </c>
      <c r="AE16" s="73" ph="1">
        <f>AE15*268.68*LOOKUP(AE17,密度!$A$2:$A$50,密度!B2:B50)+IF(AE15&lt;=0,0,1566*LOOKUP(AE17,密度!$A$2:$A$50,密度!B2:B50))</f>
        <v>12598.879848960001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29</v>
      </c>
      <c r="E17" s="74">
        <v>29</v>
      </c>
      <c r="F17" s="74">
        <v>31</v>
      </c>
      <c r="G17" s="74">
        <v>28</v>
      </c>
      <c r="H17" s="74">
        <v>30</v>
      </c>
      <c r="I17" s="74">
        <v>28</v>
      </c>
      <c r="J17" s="74">
        <v>28</v>
      </c>
      <c r="K17" s="74">
        <v>29</v>
      </c>
      <c r="L17" s="74">
        <v>29</v>
      </c>
      <c r="M17" s="74">
        <v>30</v>
      </c>
      <c r="N17" s="74">
        <v>26</v>
      </c>
      <c r="O17" s="74">
        <v>30</v>
      </c>
      <c r="P17" s="74">
        <v>29</v>
      </c>
      <c r="Q17" s="74">
        <v>30</v>
      </c>
      <c r="R17" s="74">
        <v>31</v>
      </c>
      <c r="S17" s="74">
        <v>28</v>
      </c>
      <c r="T17" s="74">
        <v>28</v>
      </c>
      <c r="U17" s="74">
        <v>29</v>
      </c>
      <c r="V17" s="74">
        <v>29</v>
      </c>
      <c r="W17" s="74">
        <v>30</v>
      </c>
      <c r="X17" s="74">
        <v>29</v>
      </c>
      <c r="Y17" s="108">
        <v>29</v>
      </c>
      <c r="Z17" s="74">
        <v>28</v>
      </c>
      <c r="AA17" s="74">
        <v>28</v>
      </c>
      <c r="AB17" s="74">
        <v>27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5985</v>
      </c>
      <c r="E18" s="71">
        <v>2467</v>
      </c>
      <c r="F18" s="71">
        <v>887</v>
      </c>
      <c r="G18" s="71">
        <v>3799</v>
      </c>
      <c r="H18" s="71">
        <v>2444</v>
      </c>
      <c r="I18" s="71">
        <v>3132</v>
      </c>
      <c r="J18" s="71">
        <v>702</v>
      </c>
      <c r="K18" s="71">
        <v>4371</v>
      </c>
      <c r="L18" s="71">
        <v>5863</v>
      </c>
      <c r="M18" s="71">
        <v>6220</v>
      </c>
      <c r="N18" s="71">
        <v>729</v>
      </c>
      <c r="O18" s="71">
        <v>2503</v>
      </c>
      <c r="P18" s="71">
        <v>1686</v>
      </c>
      <c r="Q18" s="71">
        <v>2914</v>
      </c>
      <c r="R18" s="71">
        <v>1947</v>
      </c>
      <c r="S18" s="71">
        <v>0</v>
      </c>
      <c r="T18" s="71">
        <v>5727</v>
      </c>
      <c r="U18" s="71">
        <v>0</v>
      </c>
      <c r="V18" s="71">
        <v>-817</v>
      </c>
      <c r="W18" s="71">
        <v>-817</v>
      </c>
      <c r="X18" s="71">
        <v>1037</v>
      </c>
      <c r="Y18" s="109">
        <v>-9909</v>
      </c>
      <c r="Z18" s="71">
        <v>39</v>
      </c>
      <c r="AA18" s="71">
        <v>2524</v>
      </c>
      <c r="AB18" s="71">
        <v>0</v>
      </c>
      <c r="AC18" s="71">
        <v>0</v>
      </c>
      <c r="AD18" s="71">
        <v>27.82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39301.875459000003</v>
      </c>
      <c r="E19" s="73" ph="1">
        <f>E18*7.0686*LOOKUP(E20,密度!$A$2:$A$50,密度!$L$2:$L$50)</f>
        <v>16200.1214298</v>
      </c>
      <c r="F19" s="73" ph="1">
        <f>F18*9.0746*LOOKUP(F20,密度!$A$2:$A$50,密度!$L$2:$L$50)</f>
        <v>7453.5316052000007</v>
      </c>
      <c r="G19" s="73" ph="1">
        <f>G18*9.0746*LOOKUP(G20,密度!$A$2:$A$50,密度!$B$2:$B$50)</f>
        <v>26696.979541760003</v>
      </c>
      <c r="H19" s="73" ph="1">
        <f>H18*9.0746*LOOKUP(H20,密度!$A$2:$A$50,密度!$L$2:$L$50)</f>
        <v>20625.839832000001</v>
      </c>
      <c r="I19" s="73" ph="1">
        <f>I18*9.0746*LOOKUP(I20,密度!$A$2:$A$50,密度!$U$2:$U$50)</f>
        <v>28961.658496799995</v>
      </c>
      <c r="J19" s="73" ph="1">
        <f>J18*9.0746*LOOKUP(J20,密度!$A$2:$A$50,密度!$L$2:$L$50)</f>
        <v>5873.4804024000005</v>
      </c>
      <c r="K19" s="73" ph="1">
        <f>K18*9.0746*LOOKUP(K20,密度!$A$2:$A$50,密度!$C$2:$C$50)</f>
        <v>43710.914413200007</v>
      </c>
      <c r="L19" s="73" ph="1">
        <f>L18*9.0746*LOOKUP(L20,密度!$A$2:$A$50,密度!$E$2:$E$50)</f>
        <v>41190.298797362004</v>
      </c>
      <c r="M19" s="73" ph="1">
        <f>M18*9.0746*LOOKUP(M20,密度!$A$2:$A$50,密度!$M$2:$M$50)</f>
        <v>48864.710068640008</v>
      </c>
      <c r="N19" s="73" ph="1">
        <f>N18*9.0746*LOOKUP(N20,密度!$A$2:$A$50,密度!$M$2:$M$50)</f>
        <v>5734.0158696179997</v>
      </c>
      <c r="O19" s="73" ph="1">
        <f>O18*9.0746*LOOKUP(O20,密度!$A$2:$A$50,密度!$G$2:$G$50)</f>
        <v>21589.394471899999</v>
      </c>
      <c r="P19" s="73" ph="1">
        <f ca="1">P18*9.0746*LOOKUP(P20,密度!$A$2:$A$51,密度!$Q$2:$Q$50)</f>
        <v>14421.262485048001</v>
      </c>
      <c r="Q19" s="73" ph="1">
        <f>Q18*9.0746*LOOKUP(Q20,密度!$A$2:$A$50,密度!$Q$2:$Q$50)</f>
        <v>24889.835566499998</v>
      </c>
      <c r="R19" s="73" ph="1">
        <f>MAX(R18*9.0746*LOOKUP(R20,密度!$A$2:$A$50,密度!$B$2:$B$50),0)</f>
        <v>13652.253838740002</v>
      </c>
      <c r="S19" s="73" ph="1">
        <f>S18*9.0746*LOOKUP(S20,密度!$A$2:$A$50,密度!$Q$2:$Q$50)</f>
        <v>0</v>
      </c>
      <c r="T19" s="73" ph="1">
        <f>T18*9.0746*LOOKUP(T20,密度!$A$2:$A$50,密度!$O$2:$O$50)</f>
        <v>47916.555932399999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15482.772064080002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359.50116852000002</v>
      </c>
      <c r="AA19" s="73" ph="1">
        <f>AA18*9.0746*LOOKUP(AA20,密度!$A$2:$A$50,密度!$B$2:$B$50)</f>
        <v>17636.303608000002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7024.6064952000006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33</v>
      </c>
      <c r="F20" s="81">
        <v>36</v>
      </c>
      <c r="G20" s="81">
        <v>31</v>
      </c>
      <c r="H20" s="81">
        <v>32</v>
      </c>
      <c r="I20" s="81">
        <v>31</v>
      </c>
      <c r="J20" s="81">
        <v>40</v>
      </c>
      <c r="K20" s="81">
        <v>33</v>
      </c>
      <c r="L20" s="81">
        <v>33</v>
      </c>
      <c r="M20" s="81">
        <v>34</v>
      </c>
      <c r="N20" s="81">
        <v>33</v>
      </c>
      <c r="O20" s="81">
        <v>34</v>
      </c>
      <c r="P20" s="81">
        <v>31</v>
      </c>
      <c r="Q20" s="81">
        <v>33</v>
      </c>
      <c r="R20" s="81">
        <v>33</v>
      </c>
      <c r="S20" s="81">
        <v>36</v>
      </c>
      <c r="T20" s="81">
        <v>32</v>
      </c>
      <c r="U20" s="81">
        <v>36</v>
      </c>
      <c r="V20" s="81">
        <v>37</v>
      </c>
      <c r="W20" s="81">
        <v>36</v>
      </c>
      <c r="X20" s="81">
        <v>33</v>
      </c>
      <c r="Y20" s="110">
        <v>33</v>
      </c>
      <c r="Z20" s="81">
        <v>37</v>
      </c>
      <c r="AA20" s="81">
        <v>36</v>
      </c>
      <c r="AB20" s="81">
        <v>35</v>
      </c>
      <c r="AC20" s="81">
        <v>36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62.61</v>
      </c>
      <c r="E24" s="71">
        <v>5.82</v>
      </c>
      <c r="F24" s="71">
        <v>2840</v>
      </c>
      <c r="G24" s="71">
        <v>3779</v>
      </c>
      <c r="H24" s="71">
        <v>3594</v>
      </c>
      <c r="I24" s="71">
        <v>4495</v>
      </c>
      <c r="J24" s="71">
        <v>310</v>
      </c>
      <c r="K24" s="71">
        <v>3088</v>
      </c>
      <c r="L24" s="71">
        <v>303</v>
      </c>
      <c r="M24" s="71">
        <v>327</v>
      </c>
      <c r="N24" s="71">
        <v>1438</v>
      </c>
      <c r="O24" s="71">
        <v>343</v>
      </c>
      <c r="P24" s="71">
        <v>373</v>
      </c>
      <c r="Q24" s="90">
        <v>4601</v>
      </c>
      <c r="R24" s="71">
        <v>349</v>
      </c>
      <c r="S24" s="71">
        <v>616</v>
      </c>
      <c r="T24" s="71">
        <v>394</v>
      </c>
      <c r="U24" s="71">
        <v>2744</v>
      </c>
      <c r="V24" s="71">
        <v>883</v>
      </c>
      <c r="W24" s="71">
        <v>417</v>
      </c>
      <c r="X24" s="71">
        <v>5271</v>
      </c>
      <c r="Y24" s="71">
        <v>4028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17408.707001352002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31416.462377600001</v>
      </c>
      <c r="G25" s="91" ph="1">
        <f>G24*18.322*LOOKUP(G26,密度!$A$2:$A$50,密度!$B$2:$B$50)</f>
        <v>53798.577126000004</v>
      </c>
      <c r="H25" s="91" ph="1">
        <f>H24*18.322*LOOKUP(H26,密度!$A$2:$A$50,密度!$B$2:$B$50)</f>
        <v>51224.145577199997</v>
      </c>
      <c r="I25" s="91" ph="1">
        <f>I24*18.322*LOOKUP(I26,密度!$A$2:$A$50,密度!$Q$2:$Q$50)</f>
        <v>77854.087914800009</v>
      </c>
      <c r="J25" s="91" ph="1">
        <f>J24*18.322*LOOKUP(J26,密度!$A$2:$A$50,密度!$Q$2:$Q$50)</f>
        <v>5365.2715683999995</v>
      </c>
      <c r="K25" s="91" ph="1">
        <f>K24*18.322*LOOKUP(K26,密度!$A$2:$A$50,密度!$Q$2:$Q$50)</f>
        <v>53445.027752319998</v>
      </c>
      <c r="L25" s="91" ph="1">
        <f>L24*18.322*LOOKUP(L26,密度!$A$2:$A$50,密度!$Q$2:$Q$50)</f>
        <v>5248.00637112</v>
      </c>
      <c r="M25" s="91" ph="1">
        <f>M24*18.322*LOOKUP(M26,密度!$A$2:$A$50,密度!$Q$2:$Q$50)</f>
        <v>5659.4961382800002</v>
      </c>
      <c r="N25" s="91" ph="1">
        <f>N24*18.322*LOOKUP(N26,密度!$A$2:$A$50,密度!$Q$2:$Q$50)</f>
        <v>24887.93714632</v>
      </c>
      <c r="O25" s="91" ph="1">
        <f>O24*18.322*LOOKUP(O26,密度!$A$2:$A$50,密度!$C$2:$C$50)</f>
        <v>6954.3679436000002</v>
      </c>
      <c r="P25" s="91" ph="1">
        <f>P24*11.702*LOOKUP(P26,密度!$A$2:$A$50,密度!$B$2:$B$50)</f>
        <v>3395.4137034</v>
      </c>
      <c r="Q25" s="92" ph="1">
        <f>Q24*18.322*LOOKUP(Q26,密度!$A$2:$A$50,密度!$B$2:$B$50)</f>
        <v>65576.598163799994</v>
      </c>
      <c r="R25" s="91" ph="1">
        <f>R24*35.891*LOOKUP(R26,密度!$A$2:$A$50,密度!$C$2:$C$50)</f>
        <v>13871.246996599997</v>
      </c>
      <c r="S25" s="91" ph="1">
        <f>S24*35.891*LOOKUP(S26,密度!$A$2:$A$50,密度!$B$2:$B$50)</f>
        <v>17198.479082400001</v>
      </c>
      <c r="T25" s="91" ph="1">
        <f>T24*35.891*LOOKUP(T26,密度!$A$2:$A$50,密度!$Q$2:$Q$50)</f>
        <v>13357.922429480001</v>
      </c>
      <c r="U25" s="91" ph="1">
        <f>U24*35.891</f>
        <v>98484.903999999995</v>
      </c>
      <c r="V25" s="91" ph="1">
        <f>V24*47.051*LOOKUP(V26,密度!$A$2:$A$50,密度!$B$2:$B$50)</f>
        <v>32318.659070700003</v>
      </c>
      <c r="W25" s="91" ph="1">
        <f>W24*47.051*LOOKUP(W26,密度!$A$2:$A$50,密度!$B$2:$B$50)</f>
        <v>15244.947459000001</v>
      </c>
      <c r="X25" s="91" ph="1">
        <f>X24*47.051*LOOKUP(X26,密度!$A$2:$A$61,密度!$I$2:$I$61)</f>
        <v>256289.21542140003</v>
      </c>
      <c r="Y25" s="91" ph="1">
        <f>Y24*47.051*LOOKUP(Y26,密度!$A$2:$A$50,密度!$L$2:$L$50)</f>
        <v>177202.53518000004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27</v>
      </c>
      <c r="I26" s="74">
        <v>27</v>
      </c>
      <c r="J26" s="74">
        <v>28</v>
      </c>
      <c r="K26" s="74">
        <v>28</v>
      </c>
      <c r="L26" s="74">
        <v>27</v>
      </c>
      <c r="M26" s="74">
        <v>28</v>
      </c>
      <c r="N26" s="74">
        <v>28</v>
      </c>
      <c r="O26" s="74">
        <v>28</v>
      </c>
      <c r="P26" s="74">
        <v>27</v>
      </c>
      <c r="Q26" s="93">
        <v>27</v>
      </c>
      <c r="R26" s="74">
        <v>27</v>
      </c>
      <c r="S26" s="74">
        <v>27</v>
      </c>
      <c r="T26" s="74">
        <v>28</v>
      </c>
      <c r="U26" s="74">
        <v>27</v>
      </c>
      <c r="V26" s="74">
        <v>27</v>
      </c>
      <c r="W26" s="74">
        <v>28</v>
      </c>
      <c r="X26" s="74">
        <v>33</v>
      </c>
      <c r="Y26" s="74">
        <v>27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10.72</v>
      </c>
      <c r="E27" s="71">
        <v>5.83</v>
      </c>
      <c r="F27" s="71">
        <v>3561</v>
      </c>
      <c r="G27" s="71">
        <v>3339</v>
      </c>
      <c r="H27" s="71">
        <v>3180</v>
      </c>
      <c r="I27" s="71">
        <v>4495</v>
      </c>
      <c r="J27" s="71">
        <v>303</v>
      </c>
      <c r="K27" s="71">
        <v>2484</v>
      </c>
      <c r="L27" s="71">
        <v>296</v>
      </c>
      <c r="M27" s="71">
        <v>321</v>
      </c>
      <c r="N27" s="71">
        <v>1435</v>
      </c>
      <c r="O27" s="71">
        <v>338</v>
      </c>
      <c r="P27" s="71">
        <v>369</v>
      </c>
      <c r="Q27" s="90">
        <v>4860</v>
      </c>
      <c r="R27" s="71">
        <v>344</v>
      </c>
      <c r="S27" s="71">
        <v>610</v>
      </c>
      <c r="T27" s="71">
        <v>391</v>
      </c>
      <c r="U27" s="71">
        <v>2735</v>
      </c>
      <c r="V27" s="71">
        <v>865</v>
      </c>
      <c r="W27" s="71">
        <v>1376</v>
      </c>
      <c r="X27" s="71">
        <v>5878</v>
      </c>
      <c r="Y27" s="71">
        <v>3121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4209.4423463040002</v>
      </c>
      <c r="E28" s="91" ph="1">
        <f>E27*268.68*LOOKUP(E29,密度!$A$2:$A$50,密度!$C$2:$C$50)+IF(E27&lt;=0,0,1566*LOOKUP(E29,密度!$A$2:$A$50,密度!$C$2:$C$50))</f>
        <v>3473.5232391600002</v>
      </c>
      <c r="F28" s="91" ph="1">
        <f>F27*11.702*LOOKUP(F29,密度!$A$2:$A$50,密度!$Q$2:$Q$50)</f>
        <v>39278.083400759999</v>
      </c>
      <c r="G28" s="91" ph="1">
        <f>G27*18.322*LOOKUP(G29,密度!$A$2:$A$50,密度!$B$2:$B$50)</f>
        <v>47375.591155199996</v>
      </c>
      <c r="H28" s="91" ph="1">
        <f>H27*18.322*LOOKUP(H29,密度!$A$2:$A$50,密度!$B$2:$B$50)</f>
        <v>45119.610624000001</v>
      </c>
      <c r="I28" s="91" ph="1">
        <f>I27*18.322*LOOKUP(I29,密度!$A$2:$A$50,密度!$Q$2:$Q$50)</f>
        <v>77572.425640999994</v>
      </c>
      <c r="J28" s="91" ph="1">
        <f>J27*18.322*LOOKUP(J29,密度!$A$2:$A$50,密度!$Q$2:$Q$50)</f>
        <v>5232.7950802799996</v>
      </c>
      <c r="K28" s="91" ph="1">
        <f>K27*18.322*LOOKUP(K29,密度!$A$2:$A$50,密度!$Q$2:$Q$50)</f>
        <v>42867.609631199994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5539.6548677999999</v>
      </c>
      <c r="N28" s="91" ph="1">
        <f>N27*18.322*LOOKUP(N29,密度!$A$2:$A$50,密度!$Q$2:$Q$50)</f>
        <v>24782.3793406</v>
      </c>
      <c r="O28" s="91" ph="1">
        <f>O27*18.322*LOOKUP(O29,密度!$A$2:$A$50,密度!$C$2:$C$50)</f>
        <v>6837.5102275999998</v>
      </c>
      <c r="P28" s="91" ph="1">
        <f>P27*11.702*LOOKUP(P29,密度!$A$2:$A$50,密度!$B$2:$B$50)</f>
        <v>3340.0023929999993</v>
      </c>
      <c r="Q28" s="92" ph="1">
        <f>Q27*18.322*LOOKUP(Q29,密度!$A$2:$A$50,密度!$B$2:$B$50)</f>
        <v>68876.245620000002</v>
      </c>
      <c r="R28" s="91" ph="1">
        <f>R27*35.891*LOOKUP(R29,密度!$A$2:$A$50,密度!$C$2:$C$50)</f>
        <v>13644.121570399999</v>
      </c>
      <c r="S28" s="91" ph="1">
        <f>S27*35.891*LOOKUP(S29,密度!$A$2:$A$50,密度!$B$2:$B$50)</f>
        <v>16954.334143999997</v>
      </c>
      <c r="T28" s="91" ph="1">
        <f>T27*35.891*LOOKUP(T29,密度!$A$2:$A$50,密度!$Q$2:$Q$50)</f>
        <v>13227.584262979999</v>
      </c>
      <c r="U28" s="91" ph="1">
        <f>U27*35.891</f>
        <v>98161.884999999995</v>
      </c>
      <c r="V28" s="91" ph="1">
        <f>V27*47.051*LOOKUP(V29,密度!$A$2:$A$50,密度!$B$2:$B$50)</f>
        <v>31517.394656000004</v>
      </c>
      <c r="W28" s="91" ph="1">
        <f>W27*47.051*LOOKUP(W29,密度!$A$2:$A$50,密度!$B$2:$B$50)</f>
        <v>50136.341094399999</v>
      </c>
      <c r="X28" s="91" ph="1">
        <f>X27*47.051*LOOKUP(X29,密度!$A$2:$A$61,密度!$I$2:$I$61)</f>
        <v>284862.75134000002</v>
      </c>
      <c r="Y28" s="91" ph="1">
        <f>Y27*47.051*LOOKUP(Y29,密度!$A$2:$A$50,密度!$L$2:$L$50)</f>
        <v>136860.631372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31</v>
      </c>
      <c r="G29" s="74">
        <v>31</v>
      </c>
      <c r="H29" s="74">
        <v>31</v>
      </c>
      <c r="I29" s="74">
        <v>32</v>
      </c>
      <c r="J29" s="74">
        <v>31</v>
      </c>
      <c r="K29" s="74">
        <v>32</v>
      </c>
      <c r="L29" s="74">
        <v>31</v>
      </c>
      <c r="M29" s="74">
        <v>32</v>
      </c>
      <c r="N29" s="74">
        <v>31</v>
      </c>
      <c r="O29" s="74">
        <v>31</v>
      </c>
      <c r="P29" s="74">
        <v>32</v>
      </c>
      <c r="Q29" s="93">
        <v>32</v>
      </c>
      <c r="R29" s="74">
        <v>30</v>
      </c>
      <c r="S29" s="74">
        <v>31</v>
      </c>
      <c r="T29" s="74">
        <v>31</v>
      </c>
      <c r="U29" s="74">
        <v>32</v>
      </c>
      <c r="V29" s="74">
        <v>31</v>
      </c>
      <c r="W29" s="74">
        <v>31</v>
      </c>
      <c r="X29" s="74">
        <v>36</v>
      </c>
      <c r="Y29" s="74">
        <v>30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69004.101786119994</v>
      </c>
      <c r="E33" s="190" ph="1">
        <f>M10+I10</f>
        <v>161879.97276680003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1522252632456786910111213141516171819202123456789101112131415161718192022232424356789101112131415161718192021222345678910111213141516171819202345678910111213149101516171819222123234567891012131415161711181920212224252345678910111213118[[#This Row],[F25]]</f>
        <v>3880</v>
      </c>
      <c r="G33" s="216" ph="1">
        <f>N19</f>
        <v>5734.0158696179997</v>
      </c>
      <c r="H33" s="190" ph="1">
        <f>M19</f>
        <v>48864.710068640008</v>
      </c>
      <c r="I33" s="194" ph="1">
        <v>0</v>
      </c>
      <c r="J33" s="198" ph="1">
        <f>F10+O28</f>
        <v>154302.33084859999</v>
      </c>
      <c r="K33" s="190" ph="1">
        <f>O10+K10+E28+R28</f>
        <v>48034.867519159998</v>
      </c>
      <c r="L33" s="200" ph="1">
        <f>K19</f>
        <v>43710.914413200007</v>
      </c>
      <c r="M33" s="198" ph="1">
        <f>G10+H10+W28+S28+V28+E10+R19+P28+Q28</f>
        <v>463518.14335114008</v>
      </c>
      <c r="N33" s="190" ph="1">
        <f>L10+P10++G28+H28+AD19+AE19</f>
        <v>156942.050606</v>
      </c>
      <c r="O33" s="194" ph="1">
        <f>G19</f>
        <v>26696.979541760003</v>
      </c>
      <c r="P33" s="198" ph="1">
        <f>L19</f>
        <v>41190.298797362004</v>
      </c>
      <c r="Q33" s="190" ph="1">
        <f>J10+N10</f>
        <v>135420.37859502001</v>
      </c>
      <c r="R33" s="194" ph="1">
        <f>BE23</f>
        <v>890</v>
      </c>
      <c r="S33" s="198" ph="1">
        <f>X28</f>
        <v>284862.75134000002</v>
      </c>
      <c r="T33" s="190" ph="1">
        <f>X19</f>
        <v>15482.772064080002</v>
      </c>
      <c r="U33" s="179" ph="1">
        <f>BE21</f>
        <v>730</v>
      </c>
      <c r="V33" s="192" ph="1">
        <f ca="1">P19+Q19+S19+M28+N28+J28+D10+AC10+D19+E19+H19+J19+O19+V19+W19+K28+L28</f>
        <v>722439.02125908795</v>
      </c>
      <c r="W33" s="192" ph="1">
        <f>D28+F28+T28+I28</f>
        <v>134287.53565104399</v>
      </c>
      <c r="X33" s="194" ph="1">
        <f>BE29+BE31</f>
        <v>10200</v>
      </c>
      <c r="Y33" s="196" ph="1">
        <f>+Q10+R10+S10+T10+U10+V10+W10+X10+Y10</f>
        <v>185008.4187336</v>
      </c>
      <c r="Z33" s="177" ph="1">
        <f>T19+U19+Y28+Z10</f>
        <v>250871.94946239999</v>
      </c>
      <c r="AA33" s="179" ph="1">
        <f>BE19</f>
        <v>1440</v>
      </c>
      <c r="AB33" s="181" ph="1">
        <f>I19</f>
        <v>28961.658496799995</v>
      </c>
      <c r="AC33" s="183" ph="1">
        <f>AD10+AB19</f>
        <v>66216.871727999998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052" priority="101">
      <formula>ABS(D$7-D$10)&gt;=1000</formula>
    </cfRule>
  </conditionalFormatting>
  <conditionalFormatting sqref="E4 E6:E11">
    <cfRule type="expression" dxfId="1051" priority="100">
      <formula>ABS(E$7-E$10)&gt;=1000</formula>
    </cfRule>
  </conditionalFormatting>
  <conditionalFormatting sqref="F4:F11">
    <cfRule type="expression" dxfId="1050" priority="99">
      <formula>ABS(F$7-F$10)&gt;=1000</formula>
    </cfRule>
  </conditionalFormatting>
  <conditionalFormatting sqref="G4:G11">
    <cfRule type="expression" dxfId="1049" priority="98">
      <formula>ABS(G$7-G$10)&gt;=1000</formula>
    </cfRule>
  </conditionalFormatting>
  <conditionalFormatting sqref="H4:H11">
    <cfRule type="expression" dxfId="1048" priority="97">
      <formula>ABS(H$7-H$10)&gt;=1000</formula>
    </cfRule>
  </conditionalFormatting>
  <conditionalFormatting sqref="I4:I11">
    <cfRule type="expression" dxfId="1047" priority="96">
      <formula>ABS(I$7-I$10)&gt;=1000</formula>
    </cfRule>
  </conditionalFormatting>
  <conditionalFormatting sqref="J4:J11">
    <cfRule type="expression" dxfId="1046" priority="95">
      <formula>ABS(J$7-J$10)&gt;=1000</formula>
    </cfRule>
  </conditionalFormatting>
  <conditionalFormatting sqref="K4:K11">
    <cfRule type="expression" dxfId="1045" priority="94">
      <formula>ABS(K$7-K$10)&gt;=1000</formula>
    </cfRule>
  </conditionalFormatting>
  <conditionalFormatting sqref="L4:L11">
    <cfRule type="expression" dxfId="1044" priority="93">
      <formula>ABS(L$7-L$10)&gt;=1000</formula>
    </cfRule>
  </conditionalFormatting>
  <conditionalFormatting sqref="M4 M6:M11">
    <cfRule type="expression" dxfId="1043" priority="92">
      <formula>ABS(M$7-M$10)&gt;=1000</formula>
    </cfRule>
  </conditionalFormatting>
  <conditionalFormatting sqref="N4 N6:N11">
    <cfRule type="expression" dxfId="1042" priority="91">
      <formula>ABS(N$7-N$10)&gt;=1000</formula>
    </cfRule>
  </conditionalFormatting>
  <conditionalFormatting sqref="O4 O6:O11">
    <cfRule type="expression" dxfId="1041" priority="90">
      <formula>ABS(O$7-O$10)&gt;=1000</formula>
    </cfRule>
  </conditionalFormatting>
  <conditionalFormatting sqref="P4 P6:P11">
    <cfRule type="expression" dxfId="1040" priority="89">
      <formula>ABS(P$7-P$10)&gt;=1000</formula>
    </cfRule>
  </conditionalFormatting>
  <conditionalFormatting sqref="Q4:Q11">
    <cfRule type="expression" dxfId="1039" priority="88">
      <formula>ABS(Q$7-Q$10)&gt;=1000</formula>
    </cfRule>
  </conditionalFormatting>
  <conditionalFormatting sqref="R4:R11">
    <cfRule type="expression" dxfId="1038" priority="87">
      <formula>ABS(R$7-R$10)&gt;=1000</formula>
    </cfRule>
  </conditionalFormatting>
  <conditionalFormatting sqref="S4:S11">
    <cfRule type="expression" dxfId="1037" priority="86">
      <formula>ABS(S$7-S$10)&gt;=1000</formula>
    </cfRule>
  </conditionalFormatting>
  <conditionalFormatting sqref="T4:T9 T11">
    <cfRule type="expression" dxfId="1036" priority="85">
      <formula>ABS(T$7-T$10)&gt;=1000</formula>
    </cfRule>
  </conditionalFormatting>
  <conditionalFormatting sqref="U4:U9 U11">
    <cfRule type="expression" dxfId="1035" priority="84">
      <formula>ABS(U$7-U$10)&gt;=1000</formula>
    </cfRule>
  </conditionalFormatting>
  <conditionalFormatting sqref="V4:V9 V11">
    <cfRule type="expression" dxfId="1034" priority="83">
      <formula>ABS(V$7-V$10)&gt;=1000</formula>
    </cfRule>
  </conditionalFormatting>
  <conditionalFormatting sqref="W4:W9 W11">
    <cfRule type="expression" dxfId="1033" priority="82">
      <formula>ABS(W$7-W$10)&gt;=1000</formula>
    </cfRule>
  </conditionalFormatting>
  <conditionalFormatting sqref="X4:X9 X11">
    <cfRule type="expression" dxfId="1032" priority="81">
      <formula>ABS(X$7-X$10)&gt;=1000</formula>
    </cfRule>
  </conditionalFormatting>
  <conditionalFormatting sqref="Y4:Y9 Y11">
    <cfRule type="expression" dxfId="1031" priority="80">
      <formula>ABS(Y$7-Y$10)&gt;=1000</formula>
    </cfRule>
  </conditionalFormatting>
  <conditionalFormatting sqref="Z4:Z11">
    <cfRule type="expression" dxfId="1030" priority="79">
      <formula>ABS(Z$7-Z$10)&gt;=1000</formula>
    </cfRule>
  </conditionalFormatting>
  <conditionalFormatting sqref="AA4:AA11">
    <cfRule type="expression" dxfId="1029" priority="78">
      <formula>ABS(AA$7-AA$10)&gt;=1000</formula>
    </cfRule>
  </conditionalFormatting>
  <conditionalFormatting sqref="AB4:AB11">
    <cfRule type="expression" dxfId="1028" priority="77">
      <formula>ABS(AB$7-AB$10)&gt;=1000</formula>
    </cfRule>
  </conditionalFormatting>
  <conditionalFormatting sqref="AC4 AC6:AC11">
    <cfRule type="expression" dxfId="1027" priority="76">
      <formula>ABS(AC$7-AC$10)&gt;=1000</formula>
    </cfRule>
  </conditionalFormatting>
  <conditionalFormatting sqref="AD4 AD6:AD11">
    <cfRule type="expression" dxfId="1026" priority="75">
      <formula>ABS(AD$7-AD$10)&gt;=1000</formula>
    </cfRule>
  </conditionalFormatting>
  <conditionalFormatting sqref="AE4 AE6:AE11">
    <cfRule type="expression" dxfId="1025" priority="74">
      <formula>ABS(AE$7-AE$10)&gt;=1000</formula>
    </cfRule>
  </conditionalFormatting>
  <conditionalFormatting sqref="D13:D20">
    <cfRule type="expression" dxfId="1024" priority="73">
      <formula>ABS(D$16-D$19)&gt;=1000</formula>
    </cfRule>
  </conditionalFormatting>
  <conditionalFormatting sqref="E13:E20">
    <cfRule type="expression" dxfId="1023" priority="72">
      <formula>ABS(E$16-E$19)&gt;=1000</formula>
    </cfRule>
  </conditionalFormatting>
  <conditionalFormatting sqref="F13 F15:F20">
    <cfRule type="expression" dxfId="1022" priority="71">
      <formula>ABS(F$16-F$19)&gt;=1000</formula>
    </cfRule>
  </conditionalFormatting>
  <conditionalFormatting sqref="G13:G20">
    <cfRule type="expression" dxfId="1021" priority="70">
      <formula>ABS(G$16-G$19)&gt;=1000</formula>
    </cfRule>
  </conditionalFormatting>
  <conditionalFormatting sqref="H13 H15:H20">
    <cfRule type="expression" dxfId="1020" priority="69">
      <formula>ABS(H$16-H$19)&gt;=1000</formula>
    </cfRule>
  </conditionalFormatting>
  <conditionalFormatting sqref="I13:I20">
    <cfRule type="expression" dxfId="1019" priority="68">
      <formula>ABS(I$16-I$19)&gt;=1000</formula>
    </cfRule>
  </conditionalFormatting>
  <conditionalFormatting sqref="J13:J20">
    <cfRule type="expression" dxfId="1018" priority="67">
      <formula>ABS(J$16-J$19)&gt;=1000</formula>
    </cfRule>
  </conditionalFormatting>
  <conditionalFormatting sqref="L13:L20">
    <cfRule type="expression" dxfId="1017" priority="66">
      <formula>ABS(L$16-L$19)&gt;=1000</formula>
    </cfRule>
  </conditionalFormatting>
  <conditionalFormatting sqref="M13 M15 M17:M18 M20">
    <cfRule type="expression" dxfId="1016" priority="65">
      <formula>ABS(M$16-M$19)&gt;=1000</formula>
    </cfRule>
  </conditionalFormatting>
  <conditionalFormatting sqref="N13:N20">
    <cfRule type="expression" dxfId="1015" priority="64">
      <formula>ABS(N$16-N$19)&gt;=1000</formula>
    </cfRule>
  </conditionalFormatting>
  <conditionalFormatting sqref="O13:O20">
    <cfRule type="expression" dxfId="1014" priority="63">
      <formula>ABS(O$16-O$19)&gt;=1000</formula>
    </cfRule>
  </conditionalFormatting>
  <conditionalFormatting sqref="P13:P20">
    <cfRule type="expression" dxfId="1013" priority="62">
      <formula>ABS(P$16-P$19)&gt;=1000</formula>
    </cfRule>
  </conditionalFormatting>
  <conditionalFormatting sqref="Q13 Q15:Q20">
    <cfRule type="expression" dxfId="1012" priority="61">
      <formula>ABS(Q$16-Q$19)&gt;=1000</formula>
    </cfRule>
  </conditionalFormatting>
  <conditionalFormatting sqref="R13:R20">
    <cfRule type="expression" dxfId="1011" priority="60">
      <formula>ABS(R$16-R$19)&gt;=1000</formula>
    </cfRule>
  </conditionalFormatting>
  <conditionalFormatting sqref="S13:S20">
    <cfRule type="expression" dxfId="1010" priority="59">
      <formula>ABS(S$16-S$19)&gt;=1000</formula>
    </cfRule>
  </conditionalFormatting>
  <conditionalFormatting sqref="T13:T15 T17:T20">
    <cfRule type="expression" dxfId="1009" priority="58">
      <formula>ABS(T$16-T$19)&gt;=1000</formula>
    </cfRule>
  </conditionalFormatting>
  <conditionalFormatting sqref="U13:U20">
    <cfRule type="expression" dxfId="1008" priority="57">
      <formula>ABS(U$16-U$19)&gt;=1000</formula>
    </cfRule>
  </conditionalFormatting>
  <conditionalFormatting sqref="V13:V20">
    <cfRule type="expression" dxfId="1007" priority="56">
      <formula>ABS(V$16-V$19)&gt;=1000</formula>
    </cfRule>
  </conditionalFormatting>
  <conditionalFormatting sqref="W13 W20 W15:W18">
    <cfRule type="expression" dxfId="1006" priority="55">
      <formula>ABS(W$16-W$19)&gt;=1000</formula>
    </cfRule>
  </conditionalFormatting>
  <conditionalFormatting sqref="X13 X15:X20 Y19">
    <cfRule type="expression" dxfId="1005" priority="54">
      <formula>ABS(X$16-X$19)&gt;=1000</formula>
    </cfRule>
  </conditionalFormatting>
  <conditionalFormatting sqref="Y13 Y15:Y18 Y20">
    <cfRule type="expression" dxfId="1004" priority="53">
      <formula>ABS(Y$16-Y$19)&gt;=1000</formula>
    </cfRule>
  </conditionalFormatting>
  <conditionalFormatting sqref="Z13:Z20">
    <cfRule type="expression" dxfId="1003" priority="52">
      <formula>ABS(Z$16-Z$19)&gt;=1000</formula>
    </cfRule>
  </conditionalFormatting>
  <conditionalFormatting sqref="AA13:AA20">
    <cfRule type="expression" dxfId="1002" priority="51">
      <formula>ABS(AA$16-AA$19)&gt;=1000</formula>
    </cfRule>
  </conditionalFormatting>
  <conditionalFormatting sqref="AB13 AB15:AB20">
    <cfRule type="expression" dxfId="1001" priority="50">
      <formula>ABS(AB$16-AB$19)&gt;=1000</formula>
    </cfRule>
  </conditionalFormatting>
  <conditionalFormatting sqref="AC13 AC15:AC20">
    <cfRule type="expression" dxfId="1000" priority="49">
      <formula>ABS(AC$16-AC$19)&gt;=1000</formula>
    </cfRule>
  </conditionalFormatting>
  <conditionalFormatting sqref="AD13:AD20">
    <cfRule type="expression" dxfId="999" priority="48">
      <formula>ABS(AD$16-AD$19)&gt;=1000</formula>
    </cfRule>
  </conditionalFormatting>
  <conditionalFormatting sqref="AE13:AE20">
    <cfRule type="expression" dxfId="998" priority="47">
      <formula>ABS(AE$16-AE$19)&gt;=1000</formula>
    </cfRule>
  </conditionalFormatting>
  <conditionalFormatting sqref="D22:D29">
    <cfRule type="expression" dxfId="997" priority="46">
      <formula>ABS(D$25-D$28)&gt;=1000</formula>
    </cfRule>
  </conditionalFormatting>
  <conditionalFormatting sqref="E22:E29">
    <cfRule type="expression" dxfId="996" priority="45">
      <formula>ABS(E$25-E$28)&gt;=1000</formula>
    </cfRule>
  </conditionalFormatting>
  <conditionalFormatting sqref="F22:F29">
    <cfRule type="expression" dxfId="995" priority="44">
      <formula>ABS(F$25-F$28)&gt;=1000</formula>
    </cfRule>
  </conditionalFormatting>
  <conditionalFormatting sqref="G22:G29">
    <cfRule type="expression" dxfId="994" priority="43">
      <formula>ABS(G$25-G$28)&gt;=1000</formula>
    </cfRule>
  </conditionalFormatting>
  <conditionalFormatting sqref="H22:H29">
    <cfRule type="expression" dxfId="993" priority="42">
      <formula>ABS(H$25-H$28)&gt;=1000</formula>
    </cfRule>
  </conditionalFormatting>
  <conditionalFormatting sqref="I22 I24:I29">
    <cfRule type="expression" dxfId="992" priority="41">
      <formula>ABS(I$25-I$28)&gt;=1000</formula>
    </cfRule>
  </conditionalFormatting>
  <conditionalFormatting sqref="J22:J29 K22">
    <cfRule type="expression" dxfId="991" priority="40">
      <formula>ABS(J$25-J$28)&gt;=1000</formula>
    </cfRule>
  </conditionalFormatting>
  <conditionalFormatting sqref="K23:K29 L25 L28">
    <cfRule type="expression" dxfId="990" priority="39">
      <formula>ABS(K$25-K$28)&gt;=1000</formula>
    </cfRule>
  </conditionalFormatting>
  <conditionalFormatting sqref="L22 L26:L27 L29 L24">
    <cfRule type="expression" dxfId="989" priority="38">
      <formula>ABS(L$25-L$28)&gt;=1000</formula>
    </cfRule>
  </conditionalFormatting>
  <conditionalFormatting sqref="M22:M29">
    <cfRule type="expression" dxfId="988" priority="37">
      <formula>ABS(M$25-M$28)&gt;=1000</formula>
    </cfRule>
  </conditionalFormatting>
  <conditionalFormatting sqref="N22:N29">
    <cfRule type="expression" dxfId="987" priority="36">
      <formula>ABS(N$25-N$28)&gt;=1000</formula>
    </cfRule>
  </conditionalFormatting>
  <conditionalFormatting sqref="O22:O29">
    <cfRule type="expression" dxfId="986" priority="35">
      <formula>ABS(O$25-O$28)&gt;=1000</formula>
    </cfRule>
  </conditionalFormatting>
  <conditionalFormatting sqref="P22:P29">
    <cfRule type="expression" dxfId="985" priority="34">
      <formula>ABS(P$25-P$28)&gt;=1000</formula>
    </cfRule>
  </conditionalFormatting>
  <conditionalFormatting sqref="Q22:Q29">
    <cfRule type="expression" dxfId="984" priority="33">
      <formula>ABS(Q$25-Q$28)&gt;=1000</formula>
    </cfRule>
  </conditionalFormatting>
  <conditionalFormatting sqref="R22:R29">
    <cfRule type="expression" dxfId="983" priority="32">
      <formula>ABS(R$25-R$28)&gt;=1000</formula>
    </cfRule>
  </conditionalFormatting>
  <conditionalFormatting sqref="S22:S29">
    <cfRule type="expression" dxfId="982" priority="31">
      <formula>ABS(S$25-S$28)&gt;=1000</formula>
    </cfRule>
  </conditionalFormatting>
  <conditionalFormatting sqref="T22:T29">
    <cfRule type="expression" dxfId="981" priority="30">
      <formula>ABS(T$25-T$28)&gt;=1000</formula>
    </cfRule>
  </conditionalFormatting>
  <conditionalFormatting sqref="U22:U29">
    <cfRule type="expression" dxfId="980" priority="29">
      <formula>ABS(U$25-U$28)&gt;=1000</formula>
    </cfRule>
  </conditionalFormatting>
  <conditionalFormatting sqref="V22:V29">
    <cfRule type="expression" dxfId="979" priority="28">
      <formula>ABS(V$25-V$28)&gt;=1000</formula>
    </cfRule>
  </conditionalFormatting>
  <conditionalFormatting sqref="W22:W29">
    <cfRule type="expression" dxfId="978" priority="27">
      <formula>ABS(W$25-W$28)&gt;=1000</formula>
    </cfRule>
  </conditionalFormatting>
  <conditionalFormatting sqref="X22:X29">
    <cfRule type="expression" dxfId="977" priority="26">
      <formula>ABS(X$25-X$28)&gt;=1000</formula>
    </cfRule>
  </conditionalFormatting>
  <conditionalFormatting sqref="Y22:Y29">
    <cfRule type="expression" dxfId="976" priority="25">
      <formula>ABS(Y$25-Y$28)&gt;=1000</formula>
    </cfRule>
  </conditionalFormatting>
  <conditionalFormatting sqref="I23">
    <cfRule type="expression" dxfId="975" priority="24">
      <formula>ABS(I$25-I$28)&gt;=1000</formula>
    </cfRule>
  </conditionalFormatting>
  <conditionalFormatting sqref="Q14">
    <cfRule type="expression" dxfId="974" priority="23">
      <formula>ABS(Q$16-Q$19)&gt;=1000</formula>
    </cfRule>
  </conditionalFormatting>
  <conditionalFormatting sqref="W14">
    <cfRule type="expression" dxfId="973" priority="22">
      <formula>ABS(W$16-W$19)&gt;=1000</formula>
    </cfRule>
  </conditionalFormatting>
  <conditionalFormatting sqref="X14">
    <cfRule type="expression" dxfId="972" priority="21">
      <formula>ABS(X$16-X$19)&gt;=1000</formula>
    </cfRule>
  </conditionalFormatting>
  <conditionalFormatting sqref="T10:Y10">
    <cfRule type="expression" dxfId="971" priority="20">
      <formula>ABS(T$7-T$10)&gt;=1000</formula>
    </cfRule>
  </conditionalFormatting>
  <conditionalFormatting sqref="W19">
    <cfRule type="expression" dxfId="970" priority="19">
      <formula>ABS(W$16-W$19)&gt;=1000</formula>
    </cfRule>
  </conditionalFormatting>
  <conditionalFormatting sqref="AC5">
    <cfRule type="expression" dxfId="969" priority="18">
      <formula>ABS(AC$7-AC$10)&gt;=1000</formula>
    </cfRule>
  </conditionalFormatting>
  <conditionalFormatting sqref="M14">
    <cfRule type="expression" dxfId="968" priority="17">
      <formula>ABS(M$16-M$19)&gt;=1000</formula>
    </cfRule>
  </conditionalFormatting>
  <conditionalFormatting sqref="M16">
    <cfRule type="expression" dxfId="967" priority="16">
      <formula>ABS(M$16-M$19)&gt;=1000</formula>
    </cfRule>
  </conditionalFormatting>
  <conditionalFormatting sqref="M19">
    <cfRule type="expression" dxfId="966" priority="15">
      <formula>ABS(M$16-M$19)&gt;=1000</formula>
    </cfRule>
  </conditionalFormatting>
  <conditionalFormatting sqref="K13:K20">
    <cfRule type="expression" dxfId="965" priority="14">
      <formula>ABS(K$16-K$19)&gt;=1000</formula>
    </cfRule>
  </conditionalFormatting>
  <conditionalFormatting sqref="E5">
    <cfRule type="expression" dxfId="964" priority="13">
      <formula>ABS(E$7-E$10)&gt;=1000</formula>
    </cfRule>
  </conditionalFormatting>
  <conditionalFormatting sqref="AB14:AC14">
    <cfRule type="expression" dxfId="963" priority="12">
      <formula>ABS(AB$16-AB$19)&gt;=1000</formula>
    </cfRule>
  </conditionalFormatting>
  <conditionalFormatting sqref="M5">
    <cfRule type="expression" dxfId="962" priority="11">
      <formula>ABS(M$7-M$10)&gt;=1000</formula>
    </cfRule>
  </conditionalFormatting>
  <conditionalFormatting sqref="N5">
    <cfRule type="expression" dxfId="961" priority="10">
      <formula>ABS(N$7-N$10)&gt;=1000</formula>
    </cfRule>
  </conditionalFormatting>
  <conditionalFormatting sqref="O5">
    <cfRule type="expression" dxfId="960" priority="9">
      <formula>ABS(O$7-O$10)&gt;=1000</formula>
    </cfRule>
  </conditionalFormatting>
  <conditionalFormatting sqref="P5">
    <cfRule type="expression" dxfId="959" priority="8">
      <formula>ABS(P$7-P$10)&gt;=1000</formula>
    </cfRule>
  </conditionalFormatting>
  <conditionalFormatting sqref="L23">
    <cfRule type="expression" dxfId="958" priority="7">
      <formula>ABS(L$25-L$28)&gt;=1000</formula>
    </cfRule>
  </conditionalFormatting>
  <conditionalFormatting sqref="Y14">
    <cfRule type="expression" dxfId="957" priority="6">
      <formula>ABS(Y$16-Y$19)&gt;=1000</formula>
    </cfRule>
  </conditionalFormatting>
  <conditionalFormatting sqref="F14">
    <cfRule type="expression" dxfId="956" priority="5">
      <formula>ABS(F$16-F$19)&gt;=1000</formula>
    </cfRule>
  </conditionalFormatting>
  <conditionalFormatting sqref="H14">
    <cfRule type="expression" dxfId="955" priority="4">
      <formula>ABS(H$16-H$19)&gt;=1000</formula>
    </cfRule>
  </conditionalFormatting>
  <conditionalFormatting sqref="AD5">
    <cfRule type="expression" dxfId="954" priority="3">
      <formula>ABS(AD$7-AD$10)&gt;=1000</formula>
    </cfRule>
  </conditionalFormatting>
  <conditionalFormatting sqref="AE5">
    <cfRule type="expression" dxfId="953" priority="2">
      <formula>ABS(AE$7-AE$10)&gt;=1000</formula>
    </cfRule>
  </conditionalFormatting>
  <conditionalFormatting sqref="T16">
    <cfRule type="expression" dxfId="952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532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7">
    <pageSetUpPr fitToPage="1"/>
  </sheetPr>
  <dimension ref="A1:CU223"/>
  <sheetViews>
    <sheetView view="pageBreakPreview" topLeftCell="D17" zoomScale="85" zoomScaleNormal="100" zoomScaleSheetLayoutView="85" workbookViewId="0">
      <selection activeCell="Z23" sqref="Z23:AE29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46226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6040</v>
      </c>
      <c r="E6" s="71">
        <v>1524</v>
      </c>
      <c r="F6" s="71">
        <v>3597</v>
      </c>
      <c r="G6" s="71">
        <v>2786</v>
      </c>
      <c r="H6" s="71">
        <v>2890</v>
      </c>
      <c r="I6" s="71">
        <v>38.72</v>
      </c>
      <c r="J6" s="71">
        <v>77.010000000000005</v>
      </c>
      <c r="K6" s="71">
        <v>41.14</v>
      </c>
      <c r="L6" s="71">
        <v>6.92</v>
      </c>
      <c r="M6" s="71">
        <v>4471</v>
      </c>
      <c r="N6" s="71">
        <v>4584</v>
      </c>
      <c r="O6" s="71">
        <v>1206</v>
      </c>
      <c r="P6" s="71">
        <v>568</v>
      </c>
      <c r="Q6" s="71">
        <v>0</v>
      </c>
      <c r="R6" s="71">
        <v>0</v>
      </c>
      <c r="S6" s="71">
        <v>0</v>
      </c>
      <c r="T6" s="71">
        <v>0</v>
      </c>
      <c r="U6" s="71">
        <v>2326</v>
      </c>
      <c r="V6" s="71">
        <v>7121</v>
      </c>
      <c r="W6" s="71">
        <v>5709</v>
      </c>
      <c r="X6" s="71">
        <v>4649</v>
      </c>
      <c r="Y6" s="71">
        <v>0</v>
      </c>
      <c r="Z6" s="71">
        <v>3916</v>
      </c>
      <c r="AA6" s="71">
        <v>0</v>
      </c>
      <c r="AB6" s="71">
        <v>3280</v>
      </c>
      <c r="AC6" s="71">
        <v>6341</v>
      </c>
      <c r="AD6" s="71">
        <v>3385</v>
      </c>
      <c r="AE6" s="71">
        <v>4255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189325.7657784</v>
      </c>
      <c r="E7" s="73" ph="1">
        <f>E6*51.53*LOOKUP(E8,密度!$A$2:$A$50,密度!$B$2:$B$50)</f>
        <v>60956.321064000003</v>
      </c>
      <c r="F7" s="73" ph="1">
        <f>F6*33.183*LOOKUP(F8,密度!$A$2:$A$50,密度!$C$2:$C$50)</f>
        <v>132082.94715660001</v>
      </c>
      <c r="G7" s="73" ph="1">
        <f xml:space="preserve"> (G6+2)*51.53*LOOKUP(G8,密度!$A$2:$A$50,密度!$B$2:$B$50)</f>
        <v>111513.26976800001</v>
      </c>
      <c r="H7" s="73" ph="1">
        <f>(H6)*51.53*LOOKUP(H8,密度!$A$2:$A$50,密度!$B$2:$B$50)</f>
        <v>115712.16090000002</v>
      </c>
      <c r="I7" s="73" ph="1">
        <f>I6*290.8*1.0267</f>
        <v>11560.412019199999</v>
      </c>
      <c r="J7" s="73" ph="1">
        <f>J6*290.8*0.7892</f>
        <v>17673.745713600001</v>
      </c>
      <c r="K7" s="73" ph="1">
        <f>K6*290.8*1.1126</f>
        <v>13310.603451200001</v>
      </c>
      <c r="L7" s="73" ph="1">
        <f>L6*290.8*0.777</f>
        <v>1563.5850720000001</v>
      </c>
      <c r="M7" s="73" ph="1">
        <f>M6*33.183*LOOKUP(M8,密度!$A$2:$A$50,密度!$D$2:$D$50)</f>
        <v>151625.13924600001</v>
      </c>
      <c r="N7" s="73" ph="1">
        <f>N6*33.183*LOOKUP(N8,密度!$A$2:$A$50,密度!$E$2:$E$50)</f>
        <v>118106.48656439999</v>
      </c>
      <c r="O7" s="73" ph="1">
        <f>O6*20.428*LOOKUP(O8,密度!$A$2:$A$50,密度!$C$2:$C$50)</f>
        <v>27097.321183200005</v>
      </c>
      <c r="P7" s="73" ph="1">
        <f>P6*51.53*LOOKUP(P8,密度!$A$2:$A$50,密度!$B$2:$B$50)</f>
        <v>22768.386216000003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15356.420402400003</v>
      </c>
      <c r="V7" s="73" ph="1">
        <f>V6*1.5*1.5*3.1416*LOOKUP(V8,密度!$A$2:$A$50,密度!$L$2:$L$50)</f>
        <v>47013.3575604</v>
      </c>
      <c r="W7" s="73" ph="1">
        <f>W6*1.5*1.5*3.1416*LOOKUP(W8,密度!$A$2:$A$50,密度!$L$2:$L$50)</f>
        <v>37691.2313316</v>
      </c>
      <c r="X7" s="73" ph="1">
        <f>X6*1.5*1.5*3.1416*LOOKUP(X8,密度!$A$2:$A$50,密度!$L$2:$L$50)</f>
        <v>30693.034587600003</v>
      </c>
      <c r="Y7" s="73" ph="1">
        <f>Y6*1.5*1.5*3.1416*LOOKUP(Y8,密度!$A$2:$A$50,密度!$L$2:$L$50)</f>
        <v>0</v>
      </c>
      <c r="Z7" s="73" ph="1">
        <f>Z6*33.183*LOOKUP(Z8,密度!$A$2:$A$50,密度!$L$2:$L$50)</f>
        <v>121368.282552</v>
      </c>
      <c r="AA7" s="73" ph="1">
        <f>AA6*33.183*LOOKUP(AA8,密度!$A$2:$A$50,密度!$D$2:$D$50)</f>
        <v>0</v>
      </c>
      <c r="AB7" s="73" ph="1">
        <f>AB6*20.428*LOOKUP(AB8,密度!$A$2:$A$50,密度!$D$2:$D$50)</f>
        <v>68853.145984000002</v>
      </c>
      <c r="AC7" s="73" ph="1">
        <f>AC6*51.53*LOOKUP(AC8,密度!$A$2:$A$50,密度!$Q$2:$Q$50)</f>
        <v>308234.70946089999</v>
      </c>
      <c r="AD7" s="73" ph="1">
        <f>AD6*20.428*LOOKUP(AD8,密度!$A$2:$A$50,密度!$V$2:$V$50)</f>
        <v>66216.871727999998</v>
      </c>
      <c r="AE7" s="73" ph="1">
        <f>AE6*20.428</f>
        <v>86921.14</v>
      </c>
    </row>
    <row r="8" spans="1:99" ph="1">
      <c r="B8" s="241" ph="1"/>
      <c r="C8" s="68" t="s" ph="1">
        <v>179</v>
      </c>
      <c r="D8" s="74">
        <v>28</v>
      </c>
      <c r="E8" s="74">
        <v>29</v>
      </c>
      <c r="F8" s="74">
        <v>28</v>
      </c>
      <c r="G8" s="74">
        <v>29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35</v>
      </c>
      <c r="P8" s="74">
        <v>27</v>
      </c>
      <c r="Q8" s="74">
        <v>30</v>
      </c>
      <c r="R8" s="74">
        <v>34</v>
      </c>
      <c r="S8" s="74">
        <v>25</v>
      </c>
      <c r="T8" s="74">
        <v>25</v>
      </c>
      <c r="U8" s="74">
        <v>28</v>
      </c>
      <c r="V8" s="74">
        <v>28</v>
      </c>
      <c r="W8" s="74">
        <v>28</v>
      </c>
      <c r="X8" s="74">
        <v>28</v>
      </c>
      <c r="Y8" s="74">
        <v>27</v>
      </c>
      <c r="Z8" s="74">
        <v>28</v>
      </c>
      <c r="AA8" s="74">
        <v>32</v>
      </c>
      <c r="AB8" s="74">
        <v>24</v>
      </c>
      <c r="AC8" s="74">
        <v>30</v>
      </c>
      <c r="AD8" s="74">
        <v>28</v>
      </c>
      <c r="AE8" s="74">
        <v>29</v>
      </c>
    </row>
    <row r="9" spans="1:99" ht="26.4" ph="1">
      <c r="B9" s="241" ph="1">
        <v>0.66666666666666663</v>
      </c>
      <c r="C9" s="163" t="s" ph="1">
        <v>180</v>
      </c>
      <c r="D9" s="71">
        <v>6041</v>
      </c>
      <c r="E9" s="71">
        <v>1227</v>
      </c>
      <c r="F9" s="71">
        <v>4178</v>
      </c>
      <c r="G9" s="71">
        <v>3662</v>
      </c>
      <c r="H9" s="71">
        <v>2592</v>
      </c>
      <c r="I9" s="71">
        <v>38.72</v>
      </c>
      <c r="J9" s="71">
        <v>77.13</v>
      </c>
      <c r="K9" s="71">
        <v>15.92</v>
      </c>
      <c r="L9" s="71">
        <v>22.92</v>
      </c>
      <c r="M9" s="71">
        <v>4471</v>
      </c>
      <c r="N9" s="71">
        <v>4590</v>
      </c>
      <c r="O9" s="71">
        <v>1264</v>
      </c>
      <c r="P9" s="71">
        <v>509</v>
      </c>
      <c r="Q9" s="71">
        <v>0</v>
      </c>
      <c r="R9" s="71">
        <v>0</v>
      </c>
      <c r="S9" s="71">
        <v>0</v>
      </c>
      <c r="T9" s="71">
        <v>0</v>
      </c>
      <c r="U9" s="71">
        <v>0</v>
      </c>
      <c r="V9" s="71">
        <v>4796</v>
      </c>
      <c r="W9" s="71">
        <v>7073</v>
      </c>
      <c r="X9" s="71">
        <v>7119</v>
      </c>
      <c r="Y9" s="71">
        <v>5329</v>
      </c>
      <c r="Z9" s="71">
        <v>1860</v>
      </c>
      <c r="AA9" s="71">
        <v>1099</v>
      </c>
      <c r="AB9" s="71">
        <v>4213</v>
      </c>
      <c r="AC9" s="71">
        <v>6344</v>
      </c>
      <c r="AD9" s="71">
        <v>3385</v>
      </c>
      <c r="AE9" s="71">
        <v>4268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188811.86397569999</v>
      </c>
      <c r="E10" s="73" ph="1">
        <f>E9*51.53*LOOKUP(E11,密度!$A$2:$A$50,密度!$B$2:$B$50)</f>
        <v>48855.742437000008</v>
      </c>
      <c r="F10" s="73" ph="1">
        <f>F9*33.183*LOOKUP(F11,密度!$A$2:$A$50,密度!$C$2:$C$50)</f>
        <v>153209.48812739999</v>
      </c>
      <c r="G10" s="73" ph="1">
        <f xml:space="preserve"> (G9+2)*51.53*LOOKUP(G11,密度!$A$2:$A$50,密度!$B$2:$B$50)</f>
        <v>145550.48372800002</v>
      </c>
      <c r="H10" s="73" ph="1">
        <f>(H9)*51.53*LOOKUP(H11,密度!$A$2:$A$50,密度!$B$2:$B$50)</f>
        <v>103086.05356800002</v>
      </c>
      <c r="I10" s="73" ph="1">
        <f>I9*290.8*1.0267</f>
        <v>11560.412019199999</v>
      </c>
      <c r="J10" s="73" ph="1">
        <f>J9*290.8*0.7892</f>
        <v>17701.285636799999</v>
      </c>
      <c r="K10" s="73" ph="1">
        <f>K9*290.8*1.1126</f>
        <v>5150.8217536000002</v>
      </c>
      <c r="L10" s="73" ph="1">
        <f>L9*290.8*0.777</f>
        <v>5178.8106720000005</v>
      </c>
      <c r="M10" s="73" ph="1">
        <f>M9*33.183*LOOKUP(M11,密度!$A$2:$A$50,密度!$D$2:$D$50)</f>
        <v>150972.34999680001</v>
      </c>
      <c r="N10" s="73" ph="1">
        <f>N9*33.183*LOOKUP(N11,密度!$A$2:$A$50,密度!$E$2:$E$50)</f>
        <v>117916.85567430001</v>
      </c>
      <c r="O10" s="73" ph="1">
        <f>O9*20.428*LOOKUP(O11,密度!$A$2:$A$50,密度!$C$2:$C$50)</f>
        <v>28292.0609344</v>
      </c>
      <c r="P10" s="73" ph="1">
        <f>P9*51.53*LOOKUP(P11,密度!$A$2:$A$50,密度!$B$2:$B$50)</f>
        <v>20266.970579000001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31663.539230399998</v>
      </c>
      <c r="W10" s="73" ph="1">
        <f>W9*1.5*1.5*3.1416*LOOKUP(W11,密度!$A$2:$A$50,密度!$L$2:$L$50)</f>
        <v>46646.461877399997</v>
      </c>
      <c r="X10" s="73" ph="1">
        <f>X9*1.5*1.5*3.1416*LOOKUP(X11,密度!$A$2:$A$50,密度!$L$2:$L$50)</f>
        <v>47000.153415600005</v>
      </c>
      <c r="Y10" s="73" ph="1">
        <f>Y9*1.5*1.5*3.1416*LOOKUP(Y11,密度!$A$2:$A$50,密度!$L$2:$L$50)</f>
        <v>35182.443819600005</v>
      </c>
      <c r="Z10" s="73" ph="1">
        <f>Z9*33.183*LOOKUP(Z11,密度!$A$2:$A$50,密度!$L$2:$L$50)</f>
        <v>57338.23302</v>
      </c>
      <c r="AA10" s="73" ph="1">
        <f>AA9*33.183*LOOKUP(AA11,密度!$A$2:$A$50,密度!$D$2:$D$50)</f>
        <v>37109.955859200003</v>
      </c>
      <c r="AB10" s="73" ph="1">
        <f>AB9*20.428*LOOKUP(AB11,密度!$A$2:$A$50,密度!$D$2:$D$50)</f>
        <v>88197.530467200006</v>
      </c>
      <c r="AC10" s="73" ph="1">
        <f>AC9*51.53*LOOKUP(AC11,密度!$A$2:$A$50,密度!$Q$2:$Q$50)</f>
        <v>307700.57370000001</v>
      </c>
      <c r="AD10" s="73" ph="1">
        <f>AD9*20.428*LOOKUP(AD11,密度!$A$2:$A$50,密度!$V$2:$V$50)</f>
        <v>66216.871727999998</v>
      </c>
      <c r="AE10" s="73" ph="1">
        <f>AE9*20.428</f>
        <v>87186.703999999998</v>
      </c>
    </row>
    <row r="11" spans="1:99" ph="1">
      <c r="A11" s="64" t="s" ph="1">
        <v>162</v>
      </c>
      <c r="B11" s="241" ph="1"/>
      <c r="C11" s="163" t="s" ph="1">
        <v>179</v>
      </c>
      <c r="D11" s="74">
        <v>32</v>
      </c>
      <c r="E11" s="74">
        <v>33</v>
      </c>
      <c r="F11" s="74">
        <v>30</v>
      </c>
      <c r="G11" s="74">
        <v>35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35</v>
      </c>
      <c r="N11" s="74">
        <v>33</v>
      </c>
      <c r="O11" s="74">
        <v>39</v>
      </c>
      <c r="P11" s="74">
        <v>33</v>
      </c>
      <c r="Q11" s="74">
        <v>41</v>
      </c>
      <c r="R11" s="74">
        <v>40</v>
      </c>
      <c r="S11" s="74">
        <v>29</v>
      </c>
      <c r="T11" s="74">
        <v>35</v>
      </c>
      <c r="U11" s="74">
        <v>34</v>
      </c>
      <c r="V11" s="74">
        <v>28</v>
      </c>
      <c r="W11" s="74">
        <v>29</v>
      </c>
      <c r="X11" s="74">
        <v>28</v>
      </c>
      <c r="Y11" s="74">
        <v>28</v>
      </c>
      <c r="Z11" s="74">
        <v>33</v>
      </c>
      <c r="AA11" s="74">
        <v>35</v>
      </c>
      <c r="AB11" s="74">
        <v>27</v>
      </c>
      <c r="AC11" s="74">
        <v>33</v>
      </c>
      <c r="AD11" s="74">
        <v>35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5983</v>
      </c>
      <c r="E15" s="78">
        <v>2465</v>
      </c>
      <c r="F15" s="78">
        <v>886</v>
      </c>
      <c r="G15" s="78">
        <v>4049</v>
      </c>
      <c r="H15" s="78">
        <v>3391</v>
      </c>
      <c r="I15" s="78">
        <v>3130</v>
      </c>
      <c r="J15" s="78">
        <v>794</v>
      </c>
      <c r="K15" s="78">
        <v>4390</v>
      </c>
      <c r="L15" s="78">
        <v>5854</v>
      </c>
      <c r="M15" s="78">
        <v>6212</v>
      </c>
      <c r="N15" s="78">
        <v>729</v>
      </c>
      <c r="O15" s="78">
        <v>2501</v>
      </c>
      <c r="P15" s="78">
        <v>1686</v>
      </c>
      <c r="Q15" s="78">
        <v>2912</v>
      </c>
      <c r="R15" s="78">
        <v>1946</v>
      </c>
      <c r="S15" s="78">
        <v>0</v>
      </c>
      <c r="T15" s="78">
        <v>5724</v>
      </c>
      <c r="U15" s="78">
        <v>0</v>
      </c>
      <c r="V15" s="78">
        <v>-817</v>
      </c>
      <c r="W15" s="71">
        <v>-817</v>
      </c>
      <c r="X15" s="78">
        <v>1038</v>
      </c>
      <c r="Y15" s="106">
        <v>-9909</v>
      </c>
      <c r="Z15" s="78">
        <v>51</v>
      </c>
      <c r="AA15" s="78">
        <v>2522</v>
      </c>
      <c r="AB15" s="78" ph="1">
        <v>0</v>
      </c>
      <c r="AC15" s="78" ph="1">
        <v>0</v>
      </c>
      <c r="AD15" s="78">
        <v>5.53</v>
      </c>
      <c r="AE15" s="78">
        <v>54.92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39415.616301599999</v>
      </c>
      <c r="E16" s="73" ph="1">
        <f>E15*7.0686*LOOKUP(E17,密度!$A$2:$A$50,密度!$L$2:$L$50)</f>
        <v>16239.260268</v>
      </c>
      <c r="F16" s="73" ph="1">
        <f>F15*9.0746*LOOKUP(F17,密度!$A$2:$A$50,密度!$L$2:$L$50)</f>
        <v>7485.3290036000008</v>
      </c>
      <c r="G16" s="73" ph="1">
        <f>G15*9.0746*LOOKUP(G17,密度!$A$2:$A$50,密度!$B$2:$B$50)</f>
        <v>28549.354045799999</v>
      </c>
      <c r="H16" s="73" ph="1">
        <f>H15*9.0746*LOOKUP(H17,密度!$A$2:$A$50,密度!$L$2:$L$50)</f>
        <v>28679.474735200001</v>
      </c>
      <c r="I16" s="73" ph="1">
        <f>I15*9.0746*LOOKUP(I17,密度!$A$2:$A$50,密度!$U$2:$U$50)</f>
        <v>29028.374956</v>
      </c>
      <c r="J16" s="73" ph="1">
        <f>J15*9.0746*LOOKUP(J17,密度!$A$2:$A$50,密度!$L$2:$L$50)</f>
        <v>6722.4818292</v>
      </c>
      <c r="K16" s="73" ph="1">
        <f>K15*9.0746*LOOKUP(K17,密度!$A$2:$A$50,密度!$C$2:$C$50)</f>
        <v>44084.170860400001</v>
      </c>
      <c r="L16" s="73" ph="1">
        <f>L15*9.0746*LOOKUP(L17,密度!$A$2:$A$50,密度!$E$2:$E$50)</f>
        <v>41308.218051839998</v>
      </c>
      <c r="M16" s="73" ph="1">
        <f>M15*9.0746*LOOKUP(M17,密度!$A$2:$A$50,密度!$M$2:$M$50)</f>
        <v>48979.431524824002</v>
      </c>
      <c r="N16" s="73" ph="1">
        <f>N15*9.0746*LOOKUP(N17,密度!$A$2:$A$50,密度!$M$2:$M$50)</f>
        <v>5782.5066299399996</v>
      </c>
      <c r="O16" s="73" ph="1">
        <f>O15*9.0746*LOOKUP(O17,密度!$A$2:$A$50,密度!$G$2:$G$50)</f>
        <v>21667.465070620001</v>
      </c>
      <c r="P16" s="73" ph="1">
        <f ca="1">P15*9.0746*LOOKUP(P17,密度!$A$2:$A$51,密度!$Q$2:$Q$50)</f>
        <v>14441.917182108002</v>
      </c>
      <c r="Q16" s="73" ph="1">
        <f>Q15*9.0746*LOOKUP(Q17,密度!$A$2:$A$50,密度!$Q$2:$Q$50)</f>
        <v>24927.717121215999</v>
      </c>
      <c r="R16" s="73" ph="1">
        <f>MAX(R15*9.0746*LOOKUP(R17,密度!$A$2:$A$50,密度!$B$2:$B$50),0)</f>
        <v>13659.3692326</v>
      </c>
      <c r="S16" s="73" ph="1">
        <f>S15*9.0746*LOOKUP(S17,密度!$A$2:$A$50,密度!$Q$2:$Q$50)</f>
        <v>0</v>
      </c>
      <c r="T16" s="73" ph="1">
        <f>T15*9.0746*LOOKUP(T17,密度!$A$2:$A$50,密度!$O$2:$O$50)</f>
        <v>48099.227630400004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15558.084052640001</v>
      </c>
      <c r="Y16" s="107" ph="1">
        <v>0</v>
      </c>
      <c r="Z16" s="73" ph="1">
        <f>Z15*9.0746*LOOKUP(Z17,密度!$A$2:$A$50,密度!$D$2:$D$50)</f>
        <v>473.86562994000002</v>
      </c>
      <c r="AA16" s="73" ph="1">
        <f>AA15*9.0746*LOOKUP(AA17,密度!$A$2:$A$50,密度!$B$2:$B$50)</f>
        <v>17782.531712400003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2379.1835918400002</v>
      </c>
      <c r="AE16" s="73" ph="1">
        <f>AE15*268.68*LOOKUP(AE17,密度!$A$2:$A$50,密度!B2:B50)+IF(AE15&lt;=0,0,1566*LOOKUP(AE17,密度!$A$2:$A$50,密度!B2:B50))</f>
        <v>12724.557605759999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31</v>
      </c>
      <c r="G17" s="74">
        <v>28</v>
      </c>
      <c r="H17" s="74">
        <v>30</v>
      </c>
      <c r="I17" s="74">
        <v>28</v>
      </c>
      <c r="J17" s="74">
        <v>29</v>
      </c>
      <c r="K17" s="74">
        <v>28</v>
      </c>
      <c r="L17" s="74">
        <v>30</v>
      </c>
      <c r="M17" s="74">
        <v>31</v>
      </c>
      <c r="N17" s="74">
        <v>26</v>
      </c>
      <c r="O17" s="74">
        <v>30</v>
      </c>
      <c r="P17" s="74">
        <v>29</v>
      </c>
      <c r="Q17" s="74">
        <v>30</v>
      </c>
      <c r="R17" s="74">
        <v>32</v>
      </c>
      <c r="S17" s="74">
        <v>28</v>
      </c>
      <c r="T17" s="74">
        <v>29</v>
      </c>
      <c r="U17" s="74">
        <v>28</v>
      </c>
      <c r="V17" s="74">
        <v>31</v>
      </c>
      <c r="W17" s="74">
        <v>30</v>
      </c>
      <c r="X17" s="74">
        <v>29</v>
      </c>
      <c r="Y17" s="108">
        <v>29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5992</v>
      </c>
      <c r="E18" s="71">
        <v>5185</v>
      </c>
      <c r="F18" s="71">
        <v>1290</v>
      </c>
      <c r="G18" s="71">
        <v>4191</v>
      </c>
      <c r="H18" s="71">
        <v>4398</v>
      </c>
      <c r="I18" s="71">
        <v>3133</v>
      </c>
      <c r="J18" s="71">
        <v>826</v>
      </c>
      <c r="K18" s="71">
        <v>4409</v>
      </c>
      <c r="L18" s="71">
        <v>5865</v>
      </c>
      <c r="M18" s="71">
        <v>3339</v>
      </c>
      <c r="N18" s="71">
        <v>3891</v>
      </c>
      <c r="O18" s="71">
        <v>2504</v>
      </c>
      <c r="P18" s="71">
        <v>1685</v>
      </c>
      <c r="Q18" s="71">
        <v>2915</v>
      </c>
      <c r="R18" s="71">
        <v>1947</v>
      </c>
      <c r="S18" s="71">
        <v>0</v>
      </c>
      <c r="T18" s="71">
        <v>5728</v>
      </c>
      <c r="U18" s="71">
        <v>0</v>
      </c>
      <c r="V18" s="71">
        <v>-817</v>
      </c>
      <c r="W18" s="71">
        <v>-817</v>
      </c>
      <c r="X18" s="71">
        <v>1034</v>
      </c>
      <c r="Y18" s="109">
        <v>-9909</v>
      </c>
      <c r="Z18" s="71">
        <v>43</v>
      </c>
      <c r="AA18" s="71">
        <v>2520</v>
      </c>
      <c r="AB18" s="71">
        <v>0</v>
      </c>
      <c r="AC18" s="71">
        <v>0</v>
      </c>
      <c r="AD18" s="71">
        <v>26.61</v>
      </c>
      <c r="AE18" s="71">
        <v>84.72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39347.842564800005</v>
      </c>
      <c r="E19" s="73" ph="1">
        <f>E18*7.0686*LOOKUP(E20,密度!$A$2:$A$50,密度!$L$2:$L$50)</f>
        <v>34048.491939</v>
      </c>
      <c r="F19" s="73" ph="1">
        <f>F18*9.0746*LOOKUP(F20,密度!$A$2:$A$50,密度!$L$2:$L$50)</f>
        <v>10793.147748000001</v>
      </c>
      <c r="G19" s="73" ph="1">
        <f>G18*9.0746*LOOKUP(G20,密度!$A$2:$A$50,密度!$B$2:$B$50)</f>
        <v>29451.70867584</v>
      </c>
      <c r="H19" s="73" ph="1">
        <f>H18*9.0746*LOOKUP(H20,密度!$A$2:$A$50,密度!$L$2:$L$50)</f>
        <v>37076.474353199999</v>
      </c>
      <c r="I19" s="73" ph="1">
        <f>I18*9.0746*LOOKUP(I20,密度!$A$2:$A$50,密度!$U$2:$U$50)</f>
        <v>28857.182626999998</v>
      </c>
      <c r="J19" s="73" ph="1">
        <f>J18*9.0746*LOOKUP(J20,密度!$A$2:$A$50,密度!$L$2:$L$50)</f>
        <v>6948.4393692000003</v>
      </c>
      <c r="K19" s="73" ph="1">
        <f>K18*9.0746*LOOKUP(K20,密度!$A$2:$A$50,密度!$C$2:$C$50)</f>
        <v>44046.911460260002</v>
      </c>
      <c r="L19" s="73" ph="1">
        <f>L18*9.0746*LOOKUP(L20,密度!$A$2:$A$50,密度!$E$2:$E$50)</f>
        <v>41264.491184279999</v>
      </c>
      <c r="M19" s="73" ph="1">
        <f>M18*9.0746*LOOKUP(M20,密度!$A$2:$A$50,密度!$M$2:$M$50)</f>
        <v>26167.763207628002</v>
      </c>
      <c r="N19" s="73" ph="1">
        <f>N18*9.0746*LOOKUP(N20,密度!$A$2:$A$50,密度!$M$2:$M$50)</f>
        <v>30715.532755140004</v>
      </c>
      <c r="O19" s="73" ph="1">
        <f>O18*9.0746*LOOKUP(O20,密度!$A$2:$A$50,密度!$G$2:$G$50)</f>
        <v>21598.019879200001</v>
      </c>
      <c r="P19" s="73" ph="1">
        <f ca="1">P18*9.0746*LOOKUP(P20,密度!$A$2:$A$51,密度!$Q$2:$Q$50)</f>
        <v>14412.708948580001</v>
      </c>
      <c r="Q19" s="73" ph="1">
        <f>Q18*9.0746*LOOKUP(Q20,密度!$A$2:$A$50,密度!$Q$2:$Q$50)</f>
        <v>24898.377033749999</v>
      </c>
      <c r="R19" s="73" ph="1">
        <f>MAX(R18*9.0746*LOOKUP(R20,密度!$A$2:$A$50,密度!$B$2:$B$50),0)</f>
        <v>13652.253838740002</v>
      </c>
      <c r="S19" s="73" ph="1">
        <f>S18*9.0746*LOOKUP(S20,密度!$A$2:$A$50,密度!$Q$2:$Q$50)</f>
        <v>0</v>
      </c>
      <c r="T19" s="73" ph="1">
        <f>T18*9.0746*LOOKUP(T20,密度!$A$2:$A$50,密度!$O$2:$O$50)</f>
        <v>47883.339266559997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15454.722694560001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397.07545728000002</v>
      </c>
      <c r="AA19" s="73" ph="1">
        <f>AA18*9.0746*LOOKUP(AA20,密度!$A$2:$A$50,密度!$B$2:$B$50)</f>
        <v>17649.516225600004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6772.0016196000006</v>
      </c>
      <c r="AE19" s="73" ph="1">
        <f>AE18*268.68*LOOKUP(AE20,密度!$A$2:$A$50,密度!B5:B53)+IF(AE18&lt;=0,0,1566*LOOKUP(AE20,密度!$A$2:$A$50,密度!B5:B53))</f>
        <v>18903.2985792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33</v>
      </c>
      <c r="F20" s="81">
        <v>40</v>
      </c>
      <c r="G20" s="81">
        <v>31</v>
      </c>
      <c r="H20" s="81">
        <v>33</v>
      </c>
      <c r="I20" s="81">
        <v>35</v>
      </c>
      <c r="J20" s="81">
        <v>35</v>
      </c>
      <c r="K20" s="81">
        <v>34</v>
      </c>
      <c r="L20" s="81">
        <v>32</v>
      </c>
      <c r="M20" s="81">
        <v>36</v>
      </c>
      <c r="N20" s="81">
        <v>30</v>
      </c>
      <c r="O20" s="81">
        <v>34</v>
      </c>
      <c r="P20" s="81">
        <v>31</v>
      </c>
      <c r="Q20" s="81">
        <v>33</v>
      </c>
      <c r="R20" s="81">
        <v>33</v>
      </c>
      <c r="S20" s="81">
        <v>37</v>
      </c>
      <c r="T20" s="81">
        <v>33</v>
      </c>
      <c r="U20" s="81">
        <v>32</v>
      </c>
      <c r="V20" s="81">
        <v>37</v>
      </c>
      <c r="W20" s="81">
        <v>38</v>
      </c>
      <c r="X20" s="81">
        <v>33</v>
      </c>
      <c r="Y20" s="110">
        <v>33</v>
      </c>
      <c r="Z20" s="81">
        <v>35</v>
      </c>
      <c r="AA20" s="81">
        <v>34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48.33</v>
      </c>
      <c r="E24" s="71">
        <v>5.83</v>
      </c>
      <c r="F24" s="71">
        <v>3119</v>
      </c>
      <c r="G24" s="71">
        <v>3793</v>
      </c>
      <c r="H24" s="71">
        <v>3684</v>
      </c>
      <c r="I24" s="71">
        <v>4496</v>
      </c>
      <c r="J24" s="71">
        <v>309</v>
      </c>
      <c r="K24" s="71">
        <v>1288</v>
      </c>
      <c r="L24" s="71">
        <v>302</v>
      </c>
      <c r="M24" s="71">
        <v>327</v>
      </c>
      <c r="N24" s="71">
        <v>1439</v>
      </c>
      <c r="O24" s="71">
        <v>343</v>
      </c>
      <c r="P24" s="71">
        <v>374</v>
      </c>
      <c r="Q24" s="90">
        <v>4943</v>
      </c>
      <c r="R24" s="71">
        <v>349</v>
      </c>
      <c r="S24" s="71">
        <v>616</v>
      </c>
      <c r="T24" s="71">
        <v>395</v>
      </c>
      <c r="U24" s="71">
        <v>2856</v>
      </c>
      <c r="V24" s="71">
        <v>742</v>
      </c>
      <c r="W24" s="71">
        <v>1380</v>
      </c>
      <c r="X24" s="71">
        <v>5880</v>
      </c>
      <c r="Y24" s="71">
        <v>3124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13776.301927655999</v>
      </c>
      <c r="E25" s="91" ph="1">
        <f>E24*268.68*LOOKUP(E26,密度!$A$2:$A$50,密度!$C$2:$C$50)+IF(E24&lt;=0,0,1566*LOOKUP(E26,密度!$A$2:$A$50,密度!$C$2:$C$50))</f>
        <v>3473.5232391600002</v>
      </c>
      <c r="F25" s="91" ph="1">
        <f>F24*11.702*LOOKUP(F26,密度!$A$2:$A$50,密度!$Q$2:$Q$50)</f>
        <v>34477.24896556</v>
      </c>
      <c r="G25" s="91" ph="1">
        <f>G24*18.322*LOOKUP(G26,密度!$A$2:$A$50,密度!$B$2:$B$50)</f>
        <v>54060.429653399995</v>
      </c>
      <c r="H25" s="91" ph="1">
        <f>H24*18.322*LOOKUP(H26,密度!$A$2:$A$50,密度!$B$2:$B$50)</f>
        <v>52506.887119199993</v>
      </c>
      <c r="I25" s="91" ph="1">
        <f>I24*18.322*LOOKUP(I26,密度!$A$2:$A$50,密度!$Q$2:$Q$50)</f>
        <v>77813.745069440003</v>
      </c>
      <c r="J25" s="91" ph="1">
        <f>J24*18.322*LOOKUP(J26,密度!$A$2:$A$50,密度!$Q$2:$Q$50)</f>
        <v>5351.92728936</v>
      </c>
      <c r="K25" s="91" ph="1">
        <f>K24*18.322*LOOKUP(K26,密度!$A$2:$A$50,密度!$Q$2:$Q$50)</f>
        <v>22291.838000319996</v>
      </c>
      <c r="L25" s="91" ph="1">
        <f>L24*18.322*LOOKUP(L26,密度!$A$2:$A$50,密度!$Q$2:$Q$50)</f>
        <v>5230.6862180799999</v>
      </c>
      <c r="M25" s="91" ph="1">
        <f>M24*18.322*LOOKUP(M26,密度!$A$2:$A$50,密度!$Q$2:$Q$50)</f>
        <v>5659.4961382800002</v>
      </c>
      <c r="N25" s="91" ph="1">
        <f>N24*18.322*LOOKUP(N26,密度!$A$2:$A$50,密度!$Q$2:$Q$50)</f>
        <v>24905.24447396</v>
      </c>
      <c r="O25" s="91" ph="1">
        <f>O24*18.322*LOOKUP(O26,密度!$A$2:$A$50,密度!$C$2:$C$50)</f>
        <v>6949.9688314000005</v>
      </c>
      <c r="P25" s="91" ph="1">
        <f>P24*11.702*LOOKUP(P26,密度!$A$2:$A$50,密度!$B$2:$B$50)</f>
        <v>3404.5166892000002</v>
      </c>
      <c r="Q25" s="92" ph="1">
        <f>Q24*18.322*LOOKUP(Q26,密度!$A$2:$A$50,密度!$B$2:$B$50)</f>
        <v>70451.016023399992</v>
      </c>
      <c r="R25" s="91" ph="1">
        <f>R24*35.891*LOOKUP(R26,密度!$A$2:$A$50,密度!$C$2:$C$50)</f>
        <v>13861.226229399999</v>
      </c>
      <c r="S25" s="91" ph="1">
        <f>S24*35.891*LOOKUP(S26,密度!$A$2:$A$50,密度!$B$2:$B$50)</f>
        <v>17198.479082400001</v>
      </c>
      <c r="T25" s="91" ph="1">
        <f>T24*35.891*LOOKUP(T26,密度!$A$2:$A$50,密度!$Q$2:$Q$50)</f>
        <v>13391.8257859</v>
      </c>
      <c r="U25" s="91" ph="1">
        <f>U24*35.891</f>
        <v>102504.696</v>
      </c>
      <c r="V25" s="91" ph="1">
        <f>V24*47.051*LOOKUP(V26,密度!$A$2:$A$50,密度!$B$2:$B$50)</f>
        <v>27157.921891800004</v>
      </c>
      <c r="W25" s="91" ph="1">
        <f>W24*47.051*LOOKUP(W26,密度!$A$2:$A$50,密度!$B$2:$B$50)</f>
        <v>50450.905260000007</v>
      </c>
      <c r="X25" s="91" ph="1">
        <f>X24*47.051*LOOKUP(X26,密度!$A$2:$A$61,密度!$I$2:$I$61)</f>
        <v>285900.319992</v>
      </c>
      <c r="Y25" s="91" ph="1">
        <f>Y24*47.051*LOOKUP(Y26,密度!$A$2:$A$50,密度!$L$2:$L$50)</f>
        <v>137139.17329199999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27</v>
      </c>
      <c r="H26" s="74">
        <v>27</v>
      </c>
      <c r="I26" s="74">
        <v>28</v>
      </c>
      <c r="J26" s="74">
        <v>27</v>
      </c>
      <c r="K26" s="74">
        <v>28</v>
      </c>
      <c r="L26" s="74">
        <v>27</v>
      </c>
      <c r="M26" s="74">
        <v>28</v>
      </c>
      <c r="N26" s="74">
        <v>28</v>
      </c>
      <c r="O26" s="74">
        <v>29</v>
      </c>
      <c r="P26" s="74">
        <v>27</v>
      </c>
      <c r="Q26" s="93">
        <v>27</v>
      </c>
      <c r="R26" s="74">
        <v>28</v>
      </c>
      <c r="S26" s="74">
        <v>27</v>
      </c>
      <c r="T26" s="74">
        <v>28</v>
      </c>
      <c r="U26" s="74">
        <v>27</v>
      </c>
      <c r="V26" s="74">
        <v>27</v>
      </c>
      <c r="W26" s="74">
        <v>28</v>
      </c>
      <c r="X26" s="74">
        <v>33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9.51</v>
      </c>
      <c r="E27" s="71">
        <v>5.82</v>
      </c>
      <c r="F27" s="71">
        <v>2146</v>
      </c>
      <c r="G27" s="71">
        <v>3340</v>
      </c>
      <c r="H27" s="71">
        <v>3407</v>
      </c>
      <c r="I27" s="71">
        <v>4496</v>
      </c>
      <c r="J27" s="71">
        <v>302</v>
      </c>
      <c r="K27" s="71">
        <v>692</v>
      </c>
      <c r="L27" s="71">
        <v>296</v>
      </c>
      <c r="M27" s="71">
        <v>322</v>
      </c>
      <c r="N27" s="71">
        <v>1434</v>
      </c>
      <c r="O27" s="71">
        <v>338</v>
      </c>
      <c r="P27" s="71">
        <v>368</v>
      </c>
      <c r="Q27" s="90">
        <v>5168</v>
      </c>
      <c r="R27" s="71">
        <v>344</v>
      </c>
      <c r="S27" s="71">
        <v>610</v>
      </c>
      <c r="T27" s="71">
        <v>392</v>
      </c>
      <c r="U27" s="71">
        <v>2909</v>
      </c>
      <c r="V27" s="71">
        <v>736</v>
      </c>
      <c r="W27" s="71">
        <v>1374</v>
      </c>
      <c r="X27" s="71">
        <v>5756</v>
      </c>
      <c r="Y27" s="71">
        <v>3120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3901.6545214320004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23689.367078359999</v>
      </c>
      <c r="G28" s="91" ph="1">
        <f>G27*18.322*LOOKUP(G29,密度!$A$2:$A$50,密度!$B$2:$B$50)</f>
        <v>47389.779711999996</v>
      </c>
      <c r="H28" s="91" ph="1">
        <f>H27*18.322*LOOKUP(H29,密度!$A$2:$A$50,密度!$B$2:$B$50)</f>
        <v>48284.232268999993</v>
      </c>
      <c r="I28" s="91" ph="1">
        <f>I27*18.322*LOOKUP(I29,密度!$A$2:$A$50,密度!$Q$2:$Q$50)</f>
        <v>77645.698616959999</v>
      </c>
      <c r="J28" s="91" ph="1">
        <f>J27*18.322*LOOKUP(J29,密度!$A$2:$A$50,密度!$Q$2:$Q$50)</f>
        <v>5211.7625235999994</v>
      </c>
      <c r="K28" s="91" ph="1">
        <f>K27*18.322*LOOKUP(K29,密度!$A$2:$A$50,密度!$Q$2:$Q$50)</f>
        <v>11942.184325599997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5560.9241447199993</v>
      </c>
      <c r="N28" s="91" ph="1">
        <f>N27*18.322*LOOKUP(N29,密度!$A$2:$A$50,密度!$Q$2:$Q$50)</f>
        <v>24765.109389839999</v>
      </c>
      <c r="O28" s="91" ph="1">
        <f>O27*18.322*LOOKUP(O29,密度!$A$2:$A$50,密度!$C$2:$C$50)</f>
        <v>6837.5102275999998</v>
      </c>
      <c r="P28" s="91" ph="1">
        <f>P27*11.702*LOOKUP(P29,密度!$A$2:$A$50,密度!$B$2:$B$50)</f>
        <v>3330.9508959999998</v>
      </c>
      <c r="Q28" s="92" ph="1">
        <f>Q27*18.322*LOOKUP(Q29,密度!$A$2:$A$50,密度!$B$2:$B$50)</f>
        <v>73165.491779199991</v>
      </c>
      <c r="R28" s="91" ph="1">
        <f>R27*35.891*LOOKUP(R29,密度!$A$2:$A$50,密度!$C$2:$C$50)</f>
        <v>13618.193911999999</v>
      </c>
      <c r="S28" s="91" ph="1">
        <f>S27*35.891*LOOKUP(S29,密度!$A$2:$A$50,密度!$B$2:$B$50)</f>
        <v>16934.629985</v>
      </c>
      <c r="T28" s="91" ph="1">
        <f>T27*35.891*LOOKUP(T29,密度!$A$2:$A$50,密度!$Q$2:$Q$50)</f>
        <v>13261.414401759999</v>
      </c>
      <c r="U28" s="91" ph="1">
        <f>U27*35.891</f>
        <v>104406.91899999999</v>
      </c>
      <c r="V28" s="91" ph="1">
        <f>V27*47.051*LOOKUP(V29,密度!$A$2:$A$50,密度!$B$2:$B$50)</f>
        <v>26817.112678400001</v>
      </c>
      <c r="W28" s="91" ph="1">
        <f>W27*47.051*LOOKUP(W29,密度!$A$2:$A$50,密度!$B$2:$B$50)</f>
        <v>50005.285238999997</v>
      </c>
      <c r="X28" s="91" ph="1">
        <f>X27*47.051*LOOKUP(X29,密度!$A$2:$A$61,密度!$I$2:$I$61)</f>
        <v>279248.23079159996</v>
      </c>
      <c r="Y28" s="91" ph="1">
        <f>Y27*47.051*LOOKUP(Y29,密度!$A$2:$A$50,密度!$L$2:$L$50)</f>
        <v>136669.98071999999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32</v>
      </c>
      <c r="I29" s="74">
        <v>31</v>
      </c>
      <c r="J29" s="74">
        <v>32</v>
      </c>
      <c r="K29" s="74">
        <v>32</v>
      </c>
      <c r="L29" s="74">
        <v>31</v>
      </c>
      <c r="M29" s="74">
        <v>31</v>
      </c>
      <c r="N29" s="74">
        <v>31</v>
      </c>
      <c r="O29" s="74">
        <v>31</v>
      </c>
      <c r="P29" s="74">
        <v>32</v>
      </c>
      <c r="Q29" s="93">
        <v>33</v>
      </c>
      <c r="R29" s="74">
        <v>32</v>
      </c>
      <c r="S29" s="74">
        <v>32</v>
      </c>
      <c r="T29" s="74">
        <v>31</v>
      </c>
      <c r="U29" s="74">
        <v>31</v>
      </c>
      <c r="V29" s="74">
        <v>31</v>
      </c>
      <c r="W29" s="74">
        <v>32</v>
      </c>
      <c r="X29" s="74">
        <v>35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125704.56178368002</v>
      </c>
      <c r="E33" s="190" ph="1">
        <f>M10+I10</f>
        <v>162532.76201600002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1522252632456786910111213141516171819202123456789101112131415161718192022232424356789101112131415161718192021222345678910111213141516171819202345678910111213149101516171819222123234567891012131415161711181920212224252345678910111213119[[#This Row],[F25]]</f>
        <v>3880</v>
      </c>
      <c r="G33" s="216" ph="1">
        <f>N19</f>
        <v>30715.532755140004</v>
      </c>
      <c r="H33" s="190" ph="1">
        <f>M19</f>
        <v>26167.763207628002</v>
      </c>
      <c r="I33" s="194" ph="1">
        <v>0</v>
      </c>
      <c r="J33" s="198" ph="1">
        <f>F10+O28</f>
        <v>160046.99835499999</v>
      </c>
      <c r="K33" s="190" ph="1">
        <f>O10+K10+E28+R28</f>
        <v>50531.620446639994</v>
      </c>
      <c r="L33" s="200" ph="1">
        <f>K19</f>
        <v>44046.911460260002</v>
      </c>
      <c r="M33" s="198" ph="1">
        <f>G10+H10+W28+S28+V28+E10+R19+P28+Q28</f>
        <v>481398.00414934009</v>
      </c>
      <c r="N33" s="190" ph="1">
        <f>L10+P10++G28+H28+AD19+AE19</f>
        <v>146795.09343080001</v>
      </c>
      <c r="O33" s="194" ph="1">
        <f>G19</f>
        <v>29451.70867584</v>
      </c>
      <c r="P33" s="198" ph="1">
        <f>L19</f>
        <v>41264.491184279999</v>
      </c>
      <c r="Q33" s="190" ph="1">
        <f>J10+N10</f>
        <v>135618.14131110001</v>
      </c>
      <c r="R33" s="194" ph="1">
        <f>BE23</f>
        <v>890</v>
      </c>
      <c r="S33" s="198" ph="1">
        <f>X28</f>
        <v>279248.23079159996</v>
      </c>
      <c r="T33" s="190" ph="1">
        <f>X19</f>
        <v>15454.722694560001</v>
      </c>
      <c r="U33" s="179" ph="1">
        <f>BE21</f>
        <v>730</v>
      </c>
      <c r="V33" s="192" ph="1">
        <f ca="1">P19+Q19+S19+M28+N28+J28+D10+AC10+D19+E19+H19+J19+O19+V19+W19+K28+L28</f>
        <v>727434.67757215002</v>
      </c>
      <c r="W33" s="192" ph="1">
        <f>D28+F28+T28+I28</f>
        <v>118498.13461851201</v>
      </c>
      <c r="X33" s="194" ph="1">
        <f>BE29+BE31</f>
        <v>10200</v>
      </c>
      <c r="Y33" s="196" ph="1">
        <f>+Q10+R10+S10+T10+U10+V10+W10+X10+Y10</f>
        <v>160492.59834300002</v>
      </c>
      <c r="Z33" s="177" ph="1">
        <f>T19+U19+Y28+Z10</f>
        <v>241891.55300655996</v>
      </c>
      <c r="AA33" s="179" ph="1">
        <f>BE19</f>
        <v>1440</v>
      </c>
      <c r="AB33" s="181" ph="1">
        <f>I19</f>
        <v>28857.182626999998</v>
      </c>
      <c r="AC33" s="183" ph="1">
        <f>AD10+AB19</f>
        <v>66216.871727999998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921" priority="101">
      <formula>ABS(D$7-D$10)&gt;=1000</formula>
    </cfRule>
  </conditionalFormatting>
  <conditionalFormatting sqref="E4 E6:E11">
    <cfRule type="expression" dxfId="920" priority="100">
      <formula>ABS(E$7-E$10)&gt;=1000</formula>
    </cfRule>
  </conditionalFormatting>
  <conditionalFormatting sqref="F4:F11">
    <cfRule type="expression" dxfId="919" priority="99">
      <formula>ABS(F$7-F$10)&gt;=1000</formula>
    </cfRule>
  </conditionalFormatting>
  <conditionalFormatting sqref="G4:G11">
    <cfRule type="expression" dxfId="918" priority="98">
      <formula>ABS(G$7-G$10)&gt;=1000</formula>
    </cfRule>
  </conditionalFormatting>
  <conditionalFormatting sqref="H4:H11">
    <cfRule type="expression" dxfId="917" priority="97">
      <formula>ABS(H$7-H$10)&gt;=1000</formula>
    </cfRule>
  </conditionalFormatting>
  <conditionalFormatting sqref="I4:I11">
    <cfRule type="expression" dxfId="916" priority="96">
      <formula>ABS(I$7-I$10)&gt;=1000</formula>
    </cfRule>
  </conditionalFormatting>
  <conditionalFormatting sqref="J4:J11">
    <cfRule type="expression" dxfId="915" priority="95">
      <formula>ABS(J$7-J$10)&gt;=1000</formula>
    </cfRule>
  </conditionalFormatting>
  <conditionalFormatting sqref="K4:K11">
    <cfRule type="expression" dxfId="914" priority="94">
      <formula>ABS(K$7-K$10)&gt;=1000</formula>
    </cfRule>
  </conditionalFormatting>
  <conditionalFormatting sqref="L4:L11">
    <cfRule type="expression" dxfId="913" priority="93">
      <formula>ABS(L$7-L$10)&gt;=1000</formula>
    </cfRule>
  </conditionalFormatting>
  <conditionalFormatting sqref="M4 M6:M11">
    <cfRule type="expression" dxfId="912" priority="92">
      <formula>ABS(M$7-M$10)&gt;=1000</formula>
    </cfRule>
  </conditionalFormatting>
  <conditionalFormatting sqref="N4 N6:N11">
    <cfRule type="expression" dxfId="911" priority="91">
      <formula>ABS(N$7-N$10)&gt;=1000</formula>
    </cfRule>
  </conditionalFormatting>
  <conditionalFormatting sqref="O4 O6:O11">
    <cfRule type="expression" dxfId="910" priority="90">
      <formula>ABS(O$7-O$10)&gt;=1000</formula>
    </cfRule>
  </conditionalFormatting>
  <conditionalFormatting sqref="P4 P6:P11">
    <cfRule type="expression" dxfId="909" priority="89">
      <formula>ABS(P$7-P$10)&gt;=1000</formula>
    </cfRule>
  </conditionalFormatting>
  <conditionalFormatting sqref="Q4:Q11">
    <cfRule type="expression" dxfId="908" priority="88">
      <formula>ABS(Q$7-Q$10)&gt;=1000</formula>
    </cfRule>
  </conditionalFormatting>
  <conditionalFormatting sqref="R4:R11">
    <cfRule type="expression" dxfId="907" priority="87">
      <formula>ABS(R$7-R$10)&gt;=1000</formula>
    </cfRule>
  </conditionalFormatting>
  <conditionalFormatting sqref="S4:S11">
    <cfRule type="expression" dxfId="906" priority="86">
      <formula>ABS(S$7-S$10)&gt;=1000</formula>
    </cfRule>
  </conditionalFormatting>
  <conditionalFormatting sqref="T4:T9 T11">
    <cfRule type="expression" dxfId="905" priority="85">
      <formula>ABS(T$7-T$10)&gt;=1000</formula>
    </cfRule>
  </conditionalFormatting>
  <conditionalFormatting sqref="U4:U9 U11">
    <cfRule type="expression" dxfId="904" priority="84">
      <formula>ABS(U$7-U$10)&gt;=1000</formula>
    </cfRule>
  </conditionalFormatting>
  <conditionalFormatting sqref="V4:V9 V11">
    <cfRule type="expression" dxfId="903" priority="83">
      <formula>ABS(V$7-V$10)&gt;=1000</formula>
    </cfRule>
  </conditionalFormatting>
  <conditionalFormatting sqref="W4:W9 W11">
    <cfRule type="expression" dxfId="902" priority="82">
      <formula>ABS(W$7-W$10)&gt;=1000</formula>
    </cfRule>
  </conditionalFormatting>
  <conditionalFormatting sqref="X4:X9 X11">
    <cfRule type="expression" dxfId="901" priority="81">
      <formula>ABS(X$7-X$10)&gt;=1000</formula>
    </cfRule>
  </conditionalFormatting>
  <conditionalFormatting sqref="Y4:Y9 Y11">
    <cfRule type="expression" dxfId="900" priority="80">
      <formula>ABS(Y$7-Y$10)&gt;=1000</formula>
    </cfRule>
  </conditionalFormatting>
  <conditionalFormatting sqref="Z4:Z11">
    <cfRule type="expression" dxfId="899" priority="79">
      <formula>ABS(Z$7-Z$10)&gt;=1000</formula>
    </cfRule>
  </conditionalFormatting>
  <conditionalFormatting sqref="AA4:AA11">
    <cfRule type="expression" dxfId="898" priority="78">
      <formula>ABS(AA$7-AA$10)&gt;=1000</formula>
    </cfRule>
  </conditionalFormatting>
  <conditionalFormatting sqref="AB4:AB11">
    <cfRule type="expression" dxfId="897" priority="77">
      <formula>ABS(AB$7-AB$10)&gt;=1000</formula>
    </cfRule>
  </conditionalFormatting>
  <conditionalFormatting sqref="AC4 AC6:AC11">
    <cfRule type="expression" dxfId="896" priority="76">
      <formula>ABS(AC$7-AC$10)&gt;=1000</formula>
    </cfRule>
  </conditionalFormatting>
  <conditionalFormatting sqref="AD4 AD6:AD11">
    <cfRule type="expression" dxfId="895" priority="75">
      <formula>ABS(AD$7-AD$10)&gt;=1000</formula>
    </cfRule>
  </conditionalFormatting>
  <conditionalFormatting sqref="AE4 AE6:AE11">
    <cfRule type="expression" dxfId="894" priority="74">
      <formula>ABS(AE$7-AE$10)&gt;=1000</formula>
    </cfRule>
  </conditionalFormatting>
  <conditionalFormatting sqref="D13:D20">
    <cfRule type="expression" dxfId="893" priority="73">
      <formula>ABS(D$16-D$19)&gt;=1000</formula>
    </cfRule>
  </conditionalFormatting>
  <conditionalFormatting sqref="E13:E20">
    <cfRule type="expression" dxfId="892" priority="72">
      <formula>ABS(E$16-E$19)&gt;=1000</formula>
    </cfRule>
  </conditionalFormatting>
  <conditionalFormatting sqref="F13 F15:F20">
    <cfRule type="expression" dxfId="891" priority="71">
      <formula>ABS(F$16-F$19)&gt;=1000</formula>
    </cfRule>
  </conditionalFormatting>
  <conditionalFormatting sqref="G13:G20">
    <cfRule type="expression" dxfId="890" priority="70">
      <formula>ABS(G$16-G$19)&gt;=1000</formula>
    </cfRule>
  </conditionalFormatting>
  <conditionalFormatting sqref="H13 H15:H20">
    <cfRule type="expression" dxfId="889" priority="69">
      <formula>ABS(H$16-H$19)&gt;=1000</formula>
    </cfRule>
  </conditionalFormatting>
  <conditionalFormatting sqref="I13:I20">
    <cfRule type="expression" dxfId="888" priority="68">
      <formula>ABS(I$16-I$19)&gt;=1000</formula>
    </cfRule>
  </conditionalFormatting>
  <conditionalFormatting sqref="J13:J20">
    <cfRule type="expression" dxfId="887" priority="67">
      <formula>ABS(J$16-J$19)&gt;=1000</formula>
    </cfRule>
  </conditionalFormatting>
  <conditionalFormatting sqref="L13:L20">
    <cfRule type="expression" dxfId="886" priority="66">
      <formula>ABS(L$16-L$19)&gt;=1000</formula>
    </cfRule>
  </conditionalFormatting>
  <conditionalFormatting sqref="M13 M15 M17:M18 M20">
    <cfRule type="expression" dxfId="885" priority="65">
      <formula>ABS(M$16-M$19)&gt;=1000</formula>
    </cfRule>
  </conditionalFormatting>
  <conditionalFormatting sqref="N13:N20">
    <cfRule type="expression" dxfId="884" priority="64">
      <formula>ABS(N$16-N$19)&gt;=1000</formula>
    </cfRule>
  </conditionalFormatting>
  <conditionalFormatting sqref="O13:O20">
    <cfRule type="expression" dxfId="883" priority="63">
      <formula>ABS(O$16-O$19)&gt;=1000</formula>
    </cfRule>
  </conditionalFormatting>
  <conditionalFormatting sqref="P13:P20">
    <cfRule type="expression" dxfId="882" priority="62">
      <formula>ABS(P$16-P$19)&gt;=1000</formula>
    </cfRule>
  </conditionalFormatting>
  <conditionalFormatting sqref="Q13 Q15:Q20">
    <cfRule type="expression" dxfId="881" priority="61">
      <formula>ABS(Q$16-Q$19)&gt;=1000</formula>
    </cfRule>
  </conditionalFormatting>
  <conditionalFormatting sqref="R13:R20">
    <cfRule type="expression" dxfId="880" priority="60">
      <formula>ABS(R$16-R$19)&gt;=1000</formula>
    </cfRule>
  </conditionalFormatting>
  <conditionalFormatting sqref="S13:S20">
    <cfRule type="expression" dxfId="879" priority="59">
      <formula>ABS(S$16-S$19)&gt;=1000</formula>
    </cfRule>
  </conditionalFormatting>
  <conditionalFormatting sqref="T13:T15 T17:T20">
    <cfRule type="expression" dxfId="878" priority="58">
      <formula>ABS(T$16-T$19)&gt;=1000</formula>
    </cfRule>
  </conditionalFormatting>
  <conditionalFormatting sqref="U13:U20">
    <cfRule type="expression" dxfId="877" priority="57">
      <formula>ABS(U$16-U$19)&gt;=1000</formula>
    </cfRule>
  </conditionalFormatting>
  <conditionalFormatting sqref="V13:V20">
    <cfRule type="expression" dxfId="876" priority="56">
      <formula>ABS(V$16-V$19)&gt;=1000</formula>
    </cfRule>
  </conditionalFormatting>
  <conditionalFormatting sqref="W13 W20 W15:W18">
    <cfRule type="expression" dxfId="875" priority="55">
      <formula>ABS(W$16-W$19)&gt;=1000</formula>
    </cfRule>
  </conditionalFormatting>
  <conditionalFormatting sqref="X13 X15:X20 Y19">
    <cfRule type="expression" dxfId="874" priority="54">
      <formula>ABS(X$16-X$19)&gt;=1000</formula>
    </cfRule>
  </conditionalFormatting>
  <conditionalFormatting sqref="Y13 Y15:Y18 Y20">
    <cfRule type="expression" dxfId="873" priority="53">
      <formula>ABS(Y$16-Y$19)&gt;=1000</formula>
    </cfRule>
  </conditionalFormatting>
  <conditionalFormatting sqref="Z13:Z20">
    <cfRule type="expression" dxfId="872" priority="52">
      <formula>ABS(Z$16-Z$19)&gt;=1000</formula>
    </cfRule>
  </conditionalFormatting>
  <conditionalFormatting sqref="AA13:AA20">
    <cfRule type="expression" dxfId="871" priority="51">
      <formula>ABS(AA$16-AA$19)&gt;=1000</formula>
    </cfRule>
  </conditionalFormatting>
  <conditionalFormatting sqref="AB13 AB15:AB20">
    <cfRule type="expression" dxfId="870" priority="50">
      <formula>ABS(AB$16-AB$19)&gt;=1000</formula>
    </cfRule>
  </conditionalFormatting>
  <conditionalFormatting sqref="AC13 AC15:AC20">
    <cfRule type="expression" dxfId="869" priority="49">
      <formula>ABS(AC$16-AC$19)&gt;=1000</formula>
    </cfRule>
  </conditionalFormatting>
  <conditionalFormatting sqref="AD13:AD20">
    <cfRule type="expression" dxfId="868" priority="48">
      <formula>ABS(AD$16-AD$19)&gt;=1000</formula>
    </cfRule>
  </conditionalFormatting>
  <conditionalFormatting sqref="AE13:AE20">
    <cfRule type="expression" dxfId="867" priority="47">
      <formula>ABS(AE$16-AE$19)&gt;=1000</formula>
    </cfRule>
  </conditionalFormatting>
  <conditionalFormatting sqref="D22:D29">
    <cfRule type="expression" dxfId="866" priority="46">
      <formula>ABS(D$25-D$28)&gt;=1000</formula>
    </cfRule>
  </conditionalFormatting>
  <conditionalFormatting sqref="E22:E29">
    <cfRule type="expression" dxfId="865" priority="45">
      <formula>ABS(E$25-E$28)&gt;=1000</formula>
    </cfRule>
  </conditionalFormatting>
  <conditionalFormatting sqref="F22:F29">
    <cfRule type="expression" dxfId="864" priority="44">
      <formula>ABS(F$25-F$28)&gt;=1000</formula>
    </cfRule>
  </conditionalFormatting>
  <conditionalFormatting sqref="G22:G29">
    <cfRule type="expression" dxfId="863" priority="43">
      <formula>ABS(G$25-G$28)&gt;=1000</formula>
    </cfRule>
  </conditionalFormatting>
  <conditionalFormatting sqref="H22:H29">
    <cfRule type="expression" dxfId="862" priority="42">
      <formula>ABS(H$25-H$28)&gt;=1000</formula>
    </cfRule>
  </conditionalFormatting>
  <conditionalFormatting sqref="I22 I24:I29">
    <cfRule type="expression" dxfId="861" priority="41">
      <formula>ABS(I$25-I$28)&gt;=1000</formula>
    </cfRule>
  </conditionalFormatting>
  <conditionalFormatting sqref="J22:J29 K22">
    <cfRule type="expression" dxfId="860" priority="40">
      <formula>ABS(J$25-J$28)&gt;=1000</formula>
    </cfRule>
  </conditionalFormatting>
  <conditionalFormatting sqref="K23:K29 L25 L28">
    <cfRule type="expression" dxfId="859" priority="39">
      <formula>ABS(K$25-K$28)&gt;=1000</formula>
    </cfRule>
  </conditionalFormatting>
  <conditionalFormatting sqref="L22 L26:L27 L29 L24">
    <cfRule type="expression" dxfId="858" priority="38">
      <formula>ABS(L$25-L$28)&gt;=1000</formula>
    </cfRule>
  </conditionalFormatting>
  <conditionalFormatting sqref="M22:M29">
    <cfRule type="expression" dxfId="857" priority="37">
      <formula>ABS(M$25-M$28)&gt;=1000</formula>
    </cfRule>
  </conditionalFormatting>
  <conditionalFormatting sqref="N22:N29">
    <cfRule type="expression" dxfId="856" priority="36">
      <formula>ABS(N$25-N$28)&gt;=1000</formula>
    </cfRule>
  </conditionalFormatting>
  <conditionalFormatting sqref="O22:O29">
    <cfRule type="expression" dxfId="855" priority="35">
      <formula>ABS(O$25-O$28)&gt;=1000</formula>
    </cfRule>
  </conditionalFormatting>
  <conditionalFormatting sqref="P22:P29">
    <cfRule type="expression" dxfId="854" priority="34">
      <formula>ABS(P$25-P$28)&gt;=1000</formula>
    </cfRule>
  </conditionalFormatting>
  <conditionalFormatting sqref="Q22:Q29">
    <cfRule type="expression" dxfId="853" priority="33">
      <formula>ABS(Q$25-Q$28)&gt;=1000</formula>
    </cfRule>
  </conditionalFormatting>
  <conditionalFormatting sqref="R22:R29">
    <cfRule type="expression" dxfId="852" priority="32">
      <formula>ABS(R$25-R$28)&gt;=1000</formula>
    </cfRule>
  </conditionalFormatting>
  <conditionalFormatting sqref="S22:S29">
    <cfRule type="expression" dxfId="851" priority="31">
      <formula>ABS(S$25-S$28)&gt;=1000</formula>
    </cfRule>
  </conditionalFormatting>
  <conditionalFormatting sqref="T22:T29">
    <cfRule type="expression" dxfId="850" priority="30">
      <formula>ABS(T$25-T$28)&gt;=1000</formula>
    </cfRule>
  </conditionalFormatting>
  <conditionalFormatting sqref="U22:U29">
    <cfRule type="expression" dxfId="849" priority="29">
      <formula>ABS(U$25-U$28)&gt;=1000</formula>
    </cfRule>
  </conditionalFormatting>
  <conditionalFormatting sqref="V22:V29">
    <cfRule type="expression" dxfId="848" priority="28">
      <formula>ABS(V$25-V$28)&gt;=1000</formula>
    </cfRule>
  </conditionalFormatting>
  <conditionalFormatting sqref="W22:W29">
    <cfRule type="expression" dxfId="847" priority="27">
      <formula>ABS(W$25-W$28)&gt;=1000</formula>
    </cfRule>
  </conditionalFormatting>
  <conditionalFormatting sqref="X22:X29">
    <cfRule type="expression" dxfId="846" priority="26">
      <formula>ABS(X$25-X$28)&gt;=1000</formula>
    </cfRule>
  </conditionalFormatting>
  <conditionalFormatting sqref="Y22:Y29">
    <cfRule type="expression" dxfId="845" priority="25">
      <formula>ABS(Y$25-Y$28)&gt;=1000</formula>
    </cfRule>
  </conditionalFormatting>
  <conditionalFormatting sqref="I23">
    <cfRule type="expression" dxfId="844" priority="24">
      <formula>ABS(I$25-I$28)&gt;=1000</formula>
    </cfRule>
  </conditionalFormatting>
  <conditionalFormatting sqref="Q14">
    <cfRule type="expression" dxfId="843" priority="23">
      <formula>ABS(Q$16-Q$19)&gt;=1000</formula>
    </cfRule>
  </conditionalFormatting>
  <conditionalFormatting sqref="W14">
    <cfRule type="expression" dxfId="842" priority="22">
      <formula>ABS(W$16-W$19)&gt;=1000</formula>
    </cfRule>
  </conditionalFormatting>
  <conditionalFormatting sqref="X14">
    <cfRule type="expression" dxfId="841" priority="21">
      <formula>ABS(X$16-X$19)&gt;=1000</formula>
    </cfRule>
  </conditionalFormatting>
  <conditionalFormatting sqref="T10:Y10">
    <cfRule type="expression" dxfId="840" priority="20">
      <formula>ABS(T$7-T$10)&gt;=1000</formula>
    </cfRule>
  </conditionalFormatting>
  <conditionalFormatting sqref="W19">
    <cfRule type="expression" dxfId="839" priority="19">
      <formula>ABS(W$16-W$19)&gt;=1000</formula>
    </cfRule>
  </conditionalFormatting>
  <conditionalFormatting sqref="AC5">
    <cfRule type="expression" dxfId="838" priority="18">
      <formula>ABS(AC$7-AC$10)&gt;=1000</formula>
    </cfRule>
  </conditionalFormatting>
  <conditionalFormatting sqref="M14">
    <cfRule type="expression" dxfId="837" priority="17">
      <formula>ABS(M$16-M$19)&gt;=1000</formula>
    </cfRule>
  </conditionalFormatting>
  <conditionalFormatting sqref="M16">
    <cfRule type="expression" dxfId="836" priority="16">
      <formula>ABS(M$16-M$19)&gt;=1000</formula>
    </cfRule>
  </conditionalFormatting>
  <conditionalFormatting sqref="M19">
    <cfRule type="expression" dxfId="835" priority="15">
      <formula>ABS(M$16-M$19)&gt;=1000</formula>
    </cfRule>
  </conditionalFormatting>
  <conditionalFormatting sqref="K13:K20">
    <cfRule type="expression" dxfId="834" priority="14">
      <formula>ABS(K$16-K$19)&gt;=1000</formula>
    </cfRule>
  </conditionalFormatting>
  <conditionalFormatting sqref="E5">
    <cfRule type="expression" dxfId="833" priority="13">
      <formula>ABS(E$7-E$10)&gt;=1000</formula>
    </cfRule>
  </conditionalFormatting>
  <conditionalFormatting sqref="AB14:AC14">
    <cfRule type="expression" dxfId="832" priority="12">
      <formula>ABS(AB$16-AB$19)&gt;=1000</formula>
    </cfRule>
  </conditionalFormatting>
  <conditionalFormatting sqref="M5">
    <cfRule type="expression" dxfId="831" priority="11">
      <formula>ABS(M$7-M$10)&gt;=1000</formula>
    </cfRule>
  </conditionalFormatting>
  <conditionalFormatting sqref="N5">
    <cfRule type="expression" dxfId="830" priority="10">
      <formula>ABS(N$7-N$10)&gt;=1000</formula>
    </cfRule>
  </conditionalFormatting>
  <conditionalFormatting sqref="O5">
    <cfRule type="expression" dxfId="829" priority="9">
      <formula>ABS(O$7-O$10)&gt;=1000</formula>
    </cfRule>
  </conditionalFormatting>
  <conditionalFormatting sqref="P5">
    <cfRule type="expression" dxfId="828" priority="8">
      <formula>ABS(P$7-P$10)&gt;=1000</formula>
    </cfRule>
  </conditionalFormatting>
  <conditionalFormatting sqref="L23">
    <cfRule type="expression" dxfId="827" priority="7">
      <formula>ABS(L$25-L$28)&gt;=1000</formula>
    </cfRule>
  </conditionalFormatting>
  <conditionalFormatting sqref="Y14">
    <cfRule type="expression" dxfId="826" priority="6">
      <formula>ABS(Y$16-Y$19)&gt;=1000</formula>
    </cfRule>
  </conditionalFormatting>
  <conditionalFormatting sqref="F14">
    <cfRule type="expression" dxfId="825" priority="5">
      <formula>ABS(F$16-F$19)&gt;=1000</formula>
    </cfRule>
  </conditionalFormatting>
  <conditionalFormatting sqref="H14">
    <cfRule type="expression" dxfId="824" priority="4">
      <formula>ABS(H$16-H$19)&gt;=1000</formula>
    </cfRule>
  </conditionalFormatting>
  <conditionalFormatting sqref="AD5">
    <cfRule type="expression" dxfId="823" priority="3">
      <formula>ABS(AD$7-AD$10)&gt;=1000</formula>
    </cfRule>
  </conditionalFormatting>
  <conditionalFormatting sqref="AE5">
    <cfRule type="expression" dxfId="822" priority="2">
      <formula>ABS(AE$7-AE$10)&gt;=1000</formula>
    </cfRule>
  </conditionalFormatting>
  <conditionalFormatting sqref="T16">
    <cfRule type="expression" dxfId="821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635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8">
    <pageSetUpPr fitToPage="1"/>
  </sheetPr>
  <dimension ref="A1:CU223"/>
  <sheetViews>
    <sheetView view="pageBreakPreview" zoomScale="70" zoomScaleNormal="100" zoomScaleSheetLayoutView="70" workbookViewId="0">
      <selection activeCell="AG8" sqref="AG8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46227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6041</v>
      </c>
      <c r="E6" s="71">
        <v>1126</v>
      </c>
      <c r="F6" s="71">
        <v>3682</v>
      </c>
      <c r="G6" s="71">
        <v>3662</v>
      </c>
      <c r="H6" s="71">
        <v>2000</v>
      </c>
      <c r="I6" s="71">
        <v>38.72</v>
      </c>
      <c r="J6" s="71">
        <v>77.13</v>
      </c>
      <c r="K6" s="71">
        <v>48.21</v>
      </c>
      <c r="L6" s="71">
        <v>6.82</v>
      </c>
      <c r="M6" s="71">
        <v>4472</v>
      </c>
      <c r="N6" s="71">
        <v>4585</v>
      </c>
      <c r="O6" s="71">
        <v>839</v>
      </c>
      <c r="P6" s="71">
        <v>1109</v>
      </c>
      <c r="Q6" s="71">
        <v>0</v>
      </c>
      <c r="R6" s="71">
        <v>0</v>
      </c>
      <c r="S6" s="71">
        <v>0</v>
      </c>
      <c r="T6" s="71">
        <v>0</v>
      </c>
      <c r="U6" s="71">
        <v>0</v>
      </c>
      <c r="V6" s="71">
        <v>0</v>
      </c>
      <c r="W6" s="71">
        <v>7067</v>
      </c>
      <c r="X6" s="71">
        <v>7121</v>
      </c>
      <c r="Y6" s="71">
        <v>5327</v>
      </c>
      <c r="Z6" s="71">
        <v>2967</v>
      </c>
      <c r="AA6" s="71">
        <v>1099</v>
      </c>
      <c r="AB6" s="71">
        <v>4214</v>
      </c>
      <c r="AC6" s="71">
        <v>6341</v>
      </c>
      <c r="AD6" s="71">
        <v>3385</v>
      </c>
      <c r="AE6" s="71">
        <v>4217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189357.11110385999</v>
      </c>
      <c r="E7" s="73" ph="1">
        <f>E6*51.53*LOOKUP(E8,密度!$A$2:$A$50,密度!$B$2:$B$50)</f>
        <v>45083.700060000003</v>
      </c>
      <c r="F7" s="73" ph="1">
        <f>F6*33.183*LOOKUP(F8,密度!$A$2:$A$50,密度!$C$2:$C$50)</f>
        <v>135204.1733196</v>
      </c>
      <c r="G7" s="73" ph="1">
        <f xml:space="preserve"> (G6+2)*51.53*LOOKUP(G8,密度!$A$2:$A$50,密度!$B$2:$B$50)</f>
        <v>146381.22977600002</v>
      </c>
      <c r="H7" s="73" ph="1">
        <f>(H6)*51.53*LOOKUP(H8,密度!$A$2:$A$50,密度!$B$2:$B$50)</f>
        <v>80170.374000000011</v>
      </c>
      <c r="I7" s="73" ph="1">
        <f>I6*290.8*1.0267</f>
        <v>11560.412019199999</v>
      </c>
      <c r="J7" s="73" ph="1">
        <f>J6*290.8*0.7892</f>
        <v>17701.285636799999</v>
      </c>
      <c r="K7" s="73" ph="1">
        <f>K6*290.8*1.1126</f>
        <v>15598.060096800002</v>
      </c>
      <c r="L7" s="73" ph="1">
        <f>L6*290.8*0.777</f>
        <v>1540.989912</v>
      </c>
      <c r="M7" s="73" ph="1">
        <f>M6*33.183*LOOKUP(M8,密度!$A$2:$A$50,密度!$D$2:$D$50)</f>
        <v>151659.052272</v>
      </c>
      <c r="N7" s="73" ph="1">
        <f>N6*33.183*LOOKUP(N8,密度!$A$2:$A$50,密度!$E$2:$E$50)</f>
        <v>118132.25150474999</v>
      </c>
      <c r="O7" s="73" ph="1">
        <f>O6*20.428*LOOKUP(O8,密度!$A$2:$A$50,密度!$C$2:$C$50)</f>
        <v>18904.418475999999</v>
      </c>
      <c r="P7" s="73" ph="1">
        <f>P6*51.53*LOOKUP(P8,密度!$A$2:$A$50,密度!$B$2:$B$50)</f>
        <v>44454.472383000008</v>
      </c>
      <c r="Q7" s="73" ph="1">
        <f>Q6*1.5*1.5*3.1416*LOOKUP(W8,密度!$A$2:$A$50,密度!$L$2:$L$50)</f>
        <v>0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46656.845650800002</v>
      </c>
      <c r="X7" s="73" ph="1">
        <f>X6*1.5*1.5*3.1416*LOOKUP(X8,密度!$A$2:$A$50,密度!$L$2:$L$50)</f>
        <v>47063.693061000005</v>
      </c>
      <c r="Y7" s="73" ph="1">
        <f>Y6*1.5*1.5*3.1416*LOOKUP(Y8,密度!$A$2:$A$50,密度!$L$2:$L$50)</f>
        <v>35169.239674800003</v>
      </c>
      <c r="Z7" s="73" ph="1">
        <f>Z6*33.183*LOOKUP(Z8,密度!$A$2:$A$50,密度!$L$2:$L$50)</f>
        <v>91955.999574000001</v>
      </c>
      <c r="AA7" s="73" ph="1">
        <f>AA6*33.183*LOOKUP(AA8,密度!$A$2:$A$50,密度!$D$2:$D$50)</f>
        <v>37237.594268699992</v>
      </c>
      <c r="AB7" s="73" ph="1">
        <f>AB6*20.428*LOOKUP(AB8,密度!$A$2:$A$50,密度!$D$2:$D$50)</f>
        <v>88459.499139200008</v>
      </c>
      <c r="AC7" s="73" ph="1">
        <f>AC6*51.53*LOOKUP(AC8,密度!$A$2:$A$50,密度!$Q$2:$Q$50)</f>
        <v>308656.21919259999</v>
      </c>
      <c r="AD7" s="73" ph="1">
        <f>AD6*20.428*LOOKUP(AD8,密度!$A$2:$A$50,密度!$V$2:$V$50)</f>
        <v>66216.871727999998</v>
      </c>
      <c r="AE7" s="73" ph="1">
        <f>AE6*20.428</f>
        <v>86144.876000000004</v>
      </c>
    </row>
    <row r="8" spans="1:99" ph="1">
      <c r="B8" s="241" ph="1"/>
      <c r="C8" s="68" t="s" ph="1">
        <v>179</v>
      </c>
      <c r="D8" s="74">
        <v>28</v>
      </c>
      <c r="E8" s="74">
        <v>28</v>
      </c>
      <c r="F8" s="74">
        <v>28</v>
      </c>
      <c r="G8" s="74">
        <v>30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31</v>
      </c>
      <c r="O8" s="74">
        <v>32</v>
      </c>
      <c r="P8" s="74">
        <v>27</v>
      </c>
      <c r="Q8" s="74">
        <v>31</v>
      </c>
      <c r="R8" s="74">
        <v>35</v>
      </c>
      <c r="S8" s="74">
        <v>25</v>
      </c>
      <c r="T8" s="74">
        <v>27</v>
      </c>
      <c r="U8" s="74">
        <v>29</v>
      </c>
      <c r="V8" s="74">
        <v>27</v>
      </c>
      <c r="W8" s="74">
        <v>28</v>
      </c>
      <c r="X8" s="74">
        <v>27</v>
      </c>
      <c r="Y8" s="74">
        <v>28</v>
      </c>
      <c r="Z8" s="74">
        <v>28</v>
      </c>
      <c r="AA8" s="74">
        <v>31</v>
      </c>
      <c r="AB8" s="74">
        <v>24</v>
      </c>
      <c r="AC8" s="74">
        <v>28</v>
      </c>
      <c r="AD8" s="74">
        <v>28</v>
      </c>
      <c r="AE8" s="74">
        <v>30</v>
      </c>
    </row>
    <row r="9" spans="1:99" ht="26.4" ph="1">
      <c r="B9" s="241" ph="1">
        <v>0.66666666666666663</v>
      </c>
      <c r="C9" s="163" t="s" ph="1">
        <v>180</v>
      </c>
      <c r="D9" s="71">
        <v>5793</v>
      </c>
      <c r="E9" s="71">
        <v>1126</v>
      </c>
      <c r="F9" s="71">
        <v>3492</v>
      </c>
      <c r="G9" s="71">
        <v>4539</v>
      </c>
      <c r="H9" s="71">
        <v>1702</v>
      </c>
      <c r="I9" s="71">
        <v>38.72</v>
      </c>
      <c r="J9" s="71">
        <v>77.209999999999994</v>
      </c>
      <c r="K9" s="71">
        <v>10.32</v>
      </c>
      <c r="L9" s="71">
        <v>25.21</v>
      </c>
      <c r="M9" s="71">
        <v>4471</v>
      </c>
      <c r="N9" s="71">
        <v>4588</v>
      </c>
      <c r="O9" s="71">
        <v>843</v>
      </c>
      <c r="P9" s="71">
        <v>1031</v>
      </c>
      <c r="Q9" s="71">
        <v>5905</v>
      </c>
      <c r="R9" s="71">
        <v>2223</v>
      </c>
      <c r="S9" s="71">
        <v>3018</v>
      </c>
      <c r="T9" s="71">
        <v>0</v>
      </c>
      <c r="U9" s="71">
        <v>0</v>
      </c>
      <c r="V9" s="71">
        <v>0</v>
      </c>
      <c r="W9" s="71">
        <v>3687</v>
      </c>
      <c r="X9" s="71">
        <v>7129</v>
      </c>
      <c r="Y9" s="71">
        <v>7113</v>
      </c>
      <c r="Z9" s="71">
        <v>1332</v>
      </c>
      <c r="AA9" s="71">
        <v>1099</v>
      </c>
      <c r="AB9" s="71">
        <v>4215</v>
      </c>
      <c r="AC9" s="71">
        <v>6647</v>
      </c>
      <c r="AD9" s="71">
        <v>3385</v>
      </c>
      <c r="AE9" s="71">
        <v>4230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180935.65825875002</v>
      </c>
      <c r="E10" s="73" ph="1">
        <f>E9*51.53*LOOKUP(E11,密度!$A$2:$A$50,密度!$B$2:$B$50)</f>
        <v>44880.620329999998</v>
      </c>
      <c r="F10" s="73" ph="1">
        <f>F9*33.183*LOOKUP(F11,密度!$A$2:$A$50,密度!$C$2:$C$50)</f>
        <v>128053.50228359998</v>
      </c>
      <c r="G10" s="73" ph="1">
        <f xml:space="preserve"> (G9+2)*51.53*LOOKUP(G11,密度!$A$2:$A$50,密度!$B$2:$B$50)</f>
        <v>180810.04597100001</v>
      </c>
      <c r="H10" s="73" ph="1">
        <f>(H9)*51.53*LOOKUP(H11,密度!$A$2:$A$50,密度!$B$2:$B$50)</f>
        <v>67768.927162000007</v>
      </c>
      <c r="I10" s="73" ph="1">
        <f>I9*290.8*1.0267</f>
        <v>11560.412019199999</v>
      </c>
      <c r="J10" s="73" ph="1">
        <f>J9*290.8*0.7892</f>
        <v>17719.645585599999</v>
      </c>
      <c r="K10" s="73" ph="1">
        <f>K9*290.8*1.1126</f>
        <v>3338.9749056000001</v>
      </c>
      <c r="L10" s="73" ph="1">
        <f>L9*290.8*0.777</f>
        <v>5696.2398360000007</v>
      </c>
      <c r="M10" s="73" ph="1">
        <f>M9*33.183*LOOKUP(M11,密度!$A$2:$A$50,密度!$D$2:$D$50)</f>
        <v>150838.82492309998</v>
      </c>
      <c r="N10" s="73" ph="1">
        <f>N9*33.183*LOOKUP(N11,密度!$A$2:$A$50,密度!$E$2:$E$50)</f>
        <v>117865.47578076</v>
      </c>
      <c r="O10" s="73" ph="1">
        <f>O9*20.428*LOOKUP(O11,密度!$A$2:$A$50,密度!$C$2:$C$50)</f>
        <v>18849.892058400001</v>
      </c>
      <c r="P10" s="73" ph="1">
        <f>P9*51.53*LOOKUP(P11,密度!$A$2:$A$50,密度!$B$2:$B$50)</f>
        <v>41051.565161000006</v>
      </c>
      <c r="Q10" s="73" ph="1">
        <f>Q9*1.5*1.5*3.1416*LOOKUP(W11,密度!$A$2:$A$50,密度!$L$2:$L$50)</f>
        <v>38901.757356000002</v>
      </c>
      <c r="R10" s="73" ph="1">
        <f>R9*1.5*1.5*3.1416*LOOKUP(R11,密度!$A$2:$A$50,密度!$L$2:$L$50)</f>
        <v>14582.1259584</v>
      </c>
      <c r="S10" s="73" ph="1">
        <f>S9*1.5*1.5*3.1416*LOOKUP(S11,密度!$A$2:$A$50,密度!$L$2:$L$50)</f>
        <v>19989.053607600003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0</v>
      </c>
      <c r="W10" s="73" ph="1">
        <f>W9*1.5*1.5*3.1416*LOOKUP(W11,密度!$A$2:$A$50,密度!$L$2:$L$50)</f>
        <v>24289.717082399999</v>
      </c>
      <c r="X10" s="73" ph="1">
        <f>X9*1.5*1.5*3.1416*LOOKUP(X11,密度!$A$2:$A$50,密度!$L$2:$L$50)</f>
        <v>47066.1741396</v>
      </c>
      <c r="Y10" s="73" ph="1">
        <f>Y9*1.5*1.5*3.1416*LOOKUP(Y11,密度!$A$2:$A$50,密度!$L$2:$L$50)</f>
        <v>46910.262029400008</v>
      </c>
      <c r="Z10" s="73" ph="1">
        <f>Z9*33.183*LOOKUP(Z11,密度!$A$2:$A$50,密度!$L$2:$L$50)</f>
        <v>41105.773080000006</v>
      </c>
      <c r="AA10" s="73" ph="1">
        <f>AA9*33.183*LOOKUP(AA11,密度!$A$2:$A$50,密度!$D$2:$D$50)</f>
        <v>37044.313248600003</v>
      </c>
      <c r="AB10" s="73" ph="1">
        <f>AB9*20.428*LOOKUP(AB11,密度!$A$2:$A$50,密度!$D$2:$D$50)</f>
        <v>87464.463516000003</v>
      </c>
      <c r="AC10" s="73" ph="1">
        <f>AC9*51.53*LOOKUP(AC11,密度!$A$2:$A$50,密度!$Q$2:$Q$50)</f>
        <v>322852.41676779999</v>
      </c>
      <c r="AD10" s="73" ph="1">
        <f>AD9*20.428*LOOKUP(AD11,密度!$A$2:$A$50,密度!$V$2:$V$50)</f>
        <v>66216.871727999998</v>
      </c>
      <c r="AE10" s="73" ph="1">
        <f>AE9*20.428</f>
        <v>86410.44</v>
      </c>
    </row>
    <row r="11" spans="1:99" ph="1">
      <c r="A11" s="64" t="s" ph="1">
        <v>162</v>
      </c>
      <c r="B11" s="241" ph="1"/>
      <c r="C11" s="163" t="s" ph="1">
        <v>179</v>
      </c>
      <c r="D11" s="74">
        <v>33</v>
      </c>
      <c r="E11" s="74">
        <v>32</v>
      </c>
      <c r="F11" s="74">
        <v>30</v>
      </c>
      <c r="G11" s="74">
        <v>33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36</v>
      </c>
      <c r="N11" s="74">
        <v>33</v>
      </c>
      <c r="O11" s="74">
        <v>40</v>
      </c>
      <c r="P11" s="74">
        <v>33</v>
      </c>
      <c r="Q11" s="74">
        <v>31</v>
      </c>
      <c r="R11" s="74">
        <v>34</v>
      </c>
      <c r="S11" s="74">
        <v>25</v>
      </c>
      <c r="T11" s="74">
        <v>35</v>
      </c>
      <c r="U11" s="74">
        <v>33</v>
      </c>
      <c r="V11" s="74">
        <v>28</v>
      </c>
      <c r="W11" s="74">
        <v>30</v>
      </c>
      <c r="X11" s="74">
        <v>28</v>
      </c>
      <c r="Y11" s="74">
        <v>29</v>
      </c>
      <c r="Z11" s="74">
        <v>32</v>
      </c>
      <c r="AA11" s="74">
        <v>37</v>
      </c>
      <c r="AB11" s="74">
        <v>37</v>
      </c>
      <c r="AC11" s="74">
        <v>31</v>
      </c>
      <c r="AD11" s="74">
        <v>34</v>
      </c>
      <c r="AE11" s="74">
        <v>33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5987</v>
      </c>
      <c r="E15" s="78">
        <v>3676</v>
      </c>
      <c r="F15" s="78">
        <v>2338</v>
      </c>
      <c r="G15" s="78">
        <v>4475</v>
      </c>
      <c r="H15" s="78">
        <v>4390</v>
      </c>
      <c r="I15" s="78">
        <v>3131</v>
      </c>
      <c r="J15" s="78">
        <v>890</v>
      </c>
      <c r="K15" s="78">
        <v>4476</v>
      </c>
      <c r="L15" s="78">
        <v>5856</v>
      </c>
      <c r="M15" s="78">
        <v>6842</v>
      </c>
      <c r="N15" s="78">
        <v>351</v>
      </c>
      <c r="O15" s="78">
        <v>2503</v>
      </c>
      <c r="P15" s="78">
        <v>1688</v>
      </c>
      <c r="Q15" s="78">
        <v>2912</v>
      </c>
      <c r="R15" s="78">
        <v>1947</v>
      </c>
      <c r="S15" s="78">
        <v>0</v>
      </c>
      <c r="T15" s="78">
        <v>5726</v>
      </c>
      <c r="U15" s="78">
        <v>0</v>
      </c>
      <c r="V15" s="78">
        <v>-817</v>
      </c>
      <c r="W15" s="71">
        <v>-814</v>
      </c>
      <c r="X15" s="78">
        <v>1035</v>
      </c>
      <c r="Y15" s="106">
        <v>-9909</v>
      </c>
      <c r="Z15" s="78">
        <v>52</v>
      </c>
      <c r="AA15" s="78">
        <v>2518</v>
      </c>
      <c r="AB15" s="78" ph="1">
        <v>0</v>
      </c>
      <c r="AC15" s="78" ph="1">
        <v>0</v>
      </c>
      <c r="AD15" s="78">
        <v>5.52</v>
      </c>
      <c r="AE15" s="78">
        <v>55.41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39526.607458800005</v>
      </c>
      <c r="E16" s="73" ph="1">
        <f>E15*7.0686*LOOKUP(E17,密度!$A$2:$A$50,密度!$L$2:$L$50)</f>
        <v>24269.218142400001</v>
      </c>
      <c r="F16" s="73" ph="1">
        <f>F15*9.0746*LOOKUP(F17,密度!$A$2:$A$50,密度!$L$2:$L$50)</f>
        <v>19603.967275200004</v>
      </c>
      <c r="G16" s="73" ph="1">
        <f>G15*9.0746*LOOKUP(G17,密度!$A$2:$A$50,密度!$B$2:$B$50)</f>
        <v>31520.577727</v>
      </c>
      <c r="H16" s="73" ph="1">
        <f>H15*9.0746*LOOKUP(H17,密度!$A$2:$A$50,密度!$L$2:$L$50)</f>
        <v>37128.544408000002</v>
      </c>
      <c r="I16" s="73" ph="1">
        <f>I15*9.0746*LOOKUP(I17,密度!$A$2:$A$50,密度!$U$2:$U$50)</f>
        <v>29009.236624599998</v>
      </c>
      <c r="J16" s="73" ph="1">
        <f>J15*9.0746*LOOKUP(J17,密度!$A$2:$A$50,密度!$L$2:$L$50)</f>
        <v>7535.2756020000006</v>
      </c>
      <c r="K16" s="73" ph="1">
        <f>K15*9.0746*LOOKUP(K17,密度!$A$2:$A$50,密度!$C$2:$C$50)</f>
        <v>44919.346226640002</v>
      </c>
      <c r="L16" s="73" ph="1">
        <f>L15*9.0746*LOOKUP(L17,密度!$A$2:$A$50,密度!$E$2:$E$50)</f>
        <v>41322.33086976</v>
      </c>
      <c r="M16" s="73" ph="1">
        <f>M15*9.0746*LOOKUP(M17,密度!$A$2:$A$50,密度!$M$2:$M$50)</f>
        <v>54010.710642680002</v>
      </c>
      <c r="N16" s="73" ph="1">
        <f>N15*9.0746*LOOKUP(N17,密度!$A$2:$A$50,密度!$M$2:$M$50)</f>
        <v>2780.9846742599998</v>
      </c>
      <c r="O16" s="73" ph="1">
        <f>O15*9.0746*LOOKUP(O17,密度!$A$2:$A$50,密度!$G$2:$G$50)</f>
        <v>21684.792111859999</v>
      </c>
      <c r="P16" s="73" ph="1">
        <f ca="1">P15*9.0746*LOOKUP(P17,密度!$A$2:$A$51,密度!$Q$2:$Q$50)</f>
        <v>14449.858001584</v>
      </c>
      <c r="Q16" s="73" ph="1">
        <f>Q15*9.0746*LOOKUP(Q17,密度!$A$2:$A$50,密度!$Q$2:$Q$50)</f>
        <v>24907.898194816</v>
      </c>
      <c r="R16" s="73" ph="1">
        <f>MAX(R15*9.0746*LOOKUP(R17,密度!$A$2:$A$50,密度!$B$2:$B$50),0)</f>
        <v>13682.28985728</v>
      </c>
      <c r="S16" s="73" ph="1">
        <f>S15*9.0746*LOOKUP(S17,密度!$A$2:$A$50,密度!$Q$2:$Q$50)</f>
        <v>0</v>
      </c>
      <c r="T16" s="73" ph="1">
        <f>T15*9.0746*LOOKUP(T17,密度!$A$2:$A$50,密度!$O$2:$O$50)</f>
        <v>48116.033789599998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15529.9152548</v>
      </c>
      <c r="Y16" s="107" ph="1">
        <v>0</v>
      </c>
      <c r="Z16" s="73" ph="1">
        <f>Z15*9.0746*LOOKUP(Z17,密度!$A$2:$A$50,密度!$D$2:$D$50)</f>
        <v>482.26054240000002</v>
      </c>
      <c r="AA16" s="73" ph="1">
        <f>AA15*9.0746*LOOKUP(AA17,密度!$A$2:$A$50,密度!$B$2:$B$50)</f>
        <v>17736.047981360003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2377.0889625599998</v>
      </c>
      <c r="AE16" s="73" ph="1">
        <f>AE15*268.68*LOOKUP(AE17,密度!$A$2:$A$50,密度!B2:B50)+IF(AE15&lt;=0,0,1566*LOOKUP(AE17,密度!$A$2:$A$50,密度!B2:B50))</f>
        <v>12827.19444048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28</v>
      </c>
      <c r="F17" s="74">
        <v>38</v>
      </c>
      <c r="G17" s="74">
        <v>29</v>
      </c>
      <c r="H17" s="74">
        <v>30</v>
      </c>
      <c r="I17" s="74">
        <v>29</v>
      </c>
      <c r="J17" s="74">
        <v>29</v>
      </c>
      <c r="K17" s="74">
        <v>29</v>
      </c>
      <c r="L17" s="74">
        <v>30</v>
      </c>
      <c r="M17" s="74">
        <v>30</v>
      </c>
      <c r="N17" s="74">
        <v>27</v>
      </c>
      <c r="O17" s="74">
        <v>30</v>
      </c>
      <c r="P17" s="74">
        <v>30</v>
      </c>
      <c r="Q17" s="74">
        <v>31</v>
      </c>
      <c r="R17" s="74">
        <v>31</v>
      </c>
      <c r="S17" s="74">
        <v>29</v>
      </c>
      <c r="T17" s="74">
        <v>29</v>
      </c>
      <c r="U17" s="74">
        <v>29</v>
      </c>
      <c r="V17" s="74">
        <v>31</v>
      </c>
      <c r="W17" s="74">
        <v>31</v>
      </c>
      <c r="X17" s="74">
        <v>29</v>
      </c>
      <c r="Y17" s="108">
        <v>30</v>
      </c>
      <c r="Z17" s="74">
        <v>30</v>
      </c>
      <c r="AA17" s="74">
        <v>29</v>
      </c>
      <c r="AB17" s="74">
        <v>28</v>
      </c>
      <c r="AC17" s="74">
        <v>28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5993</v>
      </c>
      <c r="E18" s="71">
        <v>2958</v>
      </c>
      <c r="F18" s="71">
        <v>2446</v>
      </c>
      <c r="G18" s="71">
        <v>4596</v>
      </c>
      <c r="H18" s="71">
        <v>4389</v>
      </c>
      <c r="I18" s="71">
        <v>3133</v>
      </c>
      <c r="J18" s="71">
        <v>1043</v>
      </c>
      <c r="K18" s="71">
        <v>4483</v>
      </c>
      <c r="L18" s="71">
        <v>4008</v>
      </c>
      <c r="M18" s="71">
        <v>3896</v>
      </c>
      <c r="N18" s="71">
        <v>351</v>
      </c>
      <c r="O18" s="71">
        <v>2504</v>
      </c>
      <c r="P18" s="71">
        <v>2058</v>
      </c>
      <c r="Q18" s="71">
        <v>2915</v>
      </c>
      <c r="R18" s="71">
        <v>1947</v>
      </c>
      <c r="S18" s="71">
        <v>0</v>
      </c>
      <c r="T18" s="71">
        <v>5311</v>
      </c>
      <c r="U18" s="71">
        <v>0</v>
      </c>
      <c r="V18" s="71">
        <v>-429</v>
      </c>
      <c r="W18" s="71">
        <v>-816</v>
      </c>
      <c r="X18" s="71">
        <v>1034</v>
      </c>
      <c r="Y18" s="109">
        <v>-9909</v>
      </c>
      <c r="Z18" s="71">
        <v>43</v>
      </c>
      <c r="AA18" s="71">
        <v>2518</v>
      </c>
      <c r="AB18" s="71">
        <v>0</v>
      </c>
      <c r="AC18" s="71">
        <v>0</v>
      </c>
      <c r="AD18" s="71">
        <v>28.31</v>
      </c>
      <c r="AE18" s="71">
        <v>84.52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39354.409294199999</v>
      </c>
      <c r="E19" s="73" ph="1">
        <f>E18*7.0686*LOOKUP(E20,密度!$A$2:$A$50,密度!$L$2:$L$50)</f>
        <v>19403.476646400002</v>
      </c>
      <c r="F19" s="73" ph="1">
        <f>F18*9.0746*LOOKUP(F20,密度!$A$2:$A$50,密度!$L$2:$L$50)</f>
        <v>20465.146815200002</v>
      </c>
      <c r="G19" s="73" ph="1">
        <f>G18*9.0746*LOOKUP(G20,密度!$A$2:$A$50,密度!$B$2:$B$50)</f>
        <v>32297.793623040001</v>
      </c>
      <c r="H19" s="73" ph="1">
        <f>H18*9.0746*LOOKUP(H20,密度!$A$2:$A$50,密度!$L$2:$L$50)</f>
        <v>37080.258461400001</v>
      </c>
      <c r="I19" s="73" ph="1">
        <f>I18*9.0746*LOOKUP(I20,密度!$A$2:$A$50,密度!$U$2:$U$50)</f>
        <v>28834.438049559998</v>
      </c>
      <c r="J19" s="73" ph="1">
        <f>J18*9.0746*LOOKUP(J20,密度!$A$2:$A$50,密度!$L$2:$L$50)</f>
        <v>8773.8768306000002</v>
      </c>
      <c r="K19" s="73" ph="1">
        <f>K18*9.0746*LOOKUP(K20,密度!$A$2:$A$50,密度!$C$2:$C$50)</f>
        <v>44830.937843600004</v>
      </c>
      <c r="L19" s="73" ph="1">
        <f>L18*9.0746*LOOKUP(L20,密度!$A$2:$A$50,密度!$E$2:$E$50)</f>
        <v>28158.062012592003</v>
      </c>
      <c r="M19" s="73" ph="1">
        <f>M18*9.0746*LOOKUP(M20,密度!$A$2:$A$50,密度!$M$2:$M$50)</f>
        <v>30570.097952272004</v>
      </c>
      <c r="N19" s="73" ph="1">
        <f>N18*9.0746*LOOKUP(N20,密度!$A$2:$A$50,密度!$M$2:$M$50)</f>
        <v>2760.8224557420003</v>
      </c>
      <c r="O19" s="73" ph="1">
        <f>O18*9.0746*LOOKUP(O20,密度!$A$2:$A$50,密度!$G$2:$G$50)</f>
        <v>21598.019879200001</v>
      </c>
      <c r="P19" s="73" ph="1">
        <f ca="1">P18*9.0746*LOOKUP(P20,密度!$A$2:$A$51,密度!$Q$2:$Q$50)</f>
        <v>17590.478692919998</v>
      </c>
      <c r="Q19" s="73" ph="1">
        <f>Q18*9.0746*LOOKUP(Q20,密度!$A$2:$A$50,密度!$Q$2:$Q$50)</f>
        <v>24898.377033749999</v>
      </c>
      <c r="R19" s="73" ph="1">
        <f>MAX(R18*9.0746*LOOKUP(R20,密度!$A$2:$A$50,密度!$B$2:$B$50),0)</f>
        <v>13636.352417160002</v>
      </c>
      <c r="S19" s="73" ph="1">
        <f>S18*9.0746*LOOKUP(S20,密度!$A$2:$A$50,密度!$Q$2:$Q$50)</f>
        <v>0</v>
      </c>
      <c r="T19" s="73" ph="1">
        <f>T18*9.0746*LOOKUP(T20,密度!$A$2:$A$50,密度!$O$2:$O$50)</f>
        <v>44397.418792720004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1613.1447415400003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15436.776432479999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397.07545728000002</v>
      </c>
      <c r="AA19" s="73" ph="1">
        <f>AA18*9.0746*LOOKUP(AA20,密度!$A$2:$A$50,密度!$B$2:$B$50)</f>
        <v>17635.508673040003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7126.9010316000004</v>
      </c>
      <c r="AE19" s="73" ph="1">
        <f>AE18*268.68*LOOKUP(AE20,密度!$A$2:$A$50,密度!B5:B53)+IF(AE18&lt;=0,0,1566*LOOKUP(AE20,密度!$A$2:$A$50,密度!B5:B53))</f>
        <v>18861.545707199999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34</v>
      </c>
      <c r="F20" s="81">
        <v>40</v>
      </c>
      <c r="G20" s="81">
        <v>31</v>
      </c>
      <c r="H20" s="81">
        <v>31</v>
      </c>
      <c r="I20" s="81">
        <v>36</v>
      </c>
      <c r="J20" s="81">
        <v>35</v>
      </c>
      <c r="K20" s="81">
        <v>33</v>
      </c>
      <c r="L20" s="81">
        <v>33</v>
      </c>
      <c r="M20" s="81">
        <v>35</v>
      </c>
      <c r="N20" s="81">
        <v>33</v>
      </c>
      <c r="O20" s="81">
        <v>34</v>
      </c>
      <c r="P20" s="81">
        <v>32</v>
      </c>
      <c r="Q20" s="81">
        <v>33</v>
      </c>
      <c r="R20" s="81">
        <v>34</v>
      </c>
      <c r="S20" s="81">
        <v>35</v>
      </c>
      <c r="T20" s="81">
        <v>33</v>
      </c>
      <c r="U20" s="81">
        <v>35</v>
      </c>
      <c r="V20" s="81">
        <v>37</v>
      </c>
      <c r="W20" s="81">
        <v>37</v>
      </c>
      <c r="X20" s="81">
        <v>34</v>
      </c>
      <c r="Y20" s="110">
        <v>34</v>
      </c>
      <c r="Z20" s="81">
        <v>35</v>
      </c>
      <c r="AA20" s="81">
        <v>34</v>
      </c>
      <c r="AB20" s="81">
        <v>35</v>
      </c>
      <c r="AC20" s="81">
        <v>34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318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48.82</v>
      </c>
      <c r="E24" s="71">
        <v>5.83</v>
      </c>
      <c r="F24" s="71">
        <v>3106</v>
      </c>
      <c r="G24" s="71">
        <v>3780</v>
      </c>
      <c r="H24" s="71">
        <v>3655</v>
      </c>
      <c r="I24" s="71">
        <v>4497</v>
      </c>
      <c r="J24" s="71">
        <v>307</v>
      </c>
      <c r="K24" s="71">
        <v>302</v>
      </c>
      <c r="L24" s="71">
        <v>302</v>
      </c>
      <c r="M24" s="71">
        <v>327</v>
      </c>
      <c r="N24" s="71">
        <v>638</v>
      </c>
      <c r="O24" s="71">
        <v>343</v>
      </c>
      <c r="P24" s="71">
        <v>373</v>
      </c>
      <c r="Q24" s="90">
        <v>5316</v>
      </c>
      <c r="R24" s="71">
        <v>349</v>
      </c>
      <c r="S24" s="71">
        <v>616</v>
      </c>
      <c r="T24" s="71">
        <v>395</v>
      </c>
      <c r="U24" s="71">
        <v>2834</v>
      </c>
      <c r="V24" s="71">
        <v>742</v>
      </c>
      <c r="W24" s="71">
        <v>2346</v>
      </c>
      <c r="X24" s="71">
        <v>5755</v>
      </c>
      <c r="Y24" s="71">
        <v>2671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13900.943278224</v>
      </c>
      <c r="E25" s="91" ph="1">
        <f>E24*268.68*LOOKUP(E26,密度!$A$2:$A$50,密度!$C$2:$C$50)+IF(E24&lt;=0,0,1566*LOOKUP(E26,密度!$A$2:$A$50,密度!$C$2:$C$50))</f>
        <v>3473.5232391600002</v>
      </c>
      <c r="F25" s="91" ph="1">
        <f>F24*11.702*LOOKUP(F26,密度!$A$2:$A$50,密度!$Q$2:$Q$50)</f>
        <v>34333.547703439996</v>
      </c>
      <c r="G25" s="91" ph="1">
        <f>G24*18.322*LOOKUP(G26,密度!$A$2:$A$50,密度!$B$2:$B$50)</f>
        <v>53875.144764000004</v>
      </c>
      <c r="H25" s="91" ph="1">
        <f>H24*18.322*LOOKUP(H26,密度!$A$2:$A$50,密度!$B$2:$B$50)</f>
        <v>52093.559289000004</v>
      </c>
      <c r="I25" s="91" ph="1">
        <f>I24*18.322*LOOKUP(I26,密度!$A$2:$A$50,密度!$Q$2:$Q$50)</f>
        <v>77888.728220880002</v>
      </c>
      <c r="J25" s="91" ph="1">
        <f>J24*18.322*LOOKUP(J26,密度!$A$2:$A$50,密度!$Q$2:$Q$50)</f>
        <v>5313.3495854799994</v>
      </c>
      <c r="K25" s="91" ph="1">
        <f>K24*18.322*LOOKUP(K26,密度!$A$2:$A$50,密度!$Q$2:$Q$50)</f>
        <v>5230.6862180799999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5663.69004408</v>
      </c>
      <c r="N25" s="91" ph="1">
        <f>N24*18.322*LOOKUP(N26,密度!$A$2:$A$50,密度!$Q$2:$Q$50)</f>
        <v>11042.07503432</v>
      </c>
      <c r="O25" s="91" ph="1">
        <f>O24*18.322*LOOKUP(O26,密度!$A$2:$A$50,密度!$C$2:$C$50)</f>
        <v>6959.3955003999999</v>
      </c>
      <c r="P25" s="91" ph="1">
        <f>P24*11.702*LOOKUP(P26,密度!$A$2:$A$50,密度!$B$2:$B$50)</f>
        <v>3395.4137034</v>
      </c>
      <c r="Q25" s="92" ph="1">
        <f>Q24*18.322*LOOKUP(Q26,密度!$A$2:$A$50,密度!$B$2:$B$50)</f>
        <v>75679.60730399999</v>
      </c>
      <c r="R25" s="91" ph="1">
        <f>R24*35.891*LOOKUP(R26,密度!$A$2:$A$50,密度!$C$2:$C$50)</f>
        <v>13861.226229399999</v>
      </c>
      <c r="S25" s="91" ph="1">
        <f>S24*35.891*LOOKUP(S26,密度!$A$2:$A$50,密度!$B$2:$B$50)</f>
        <v>17178.581112</v>
      </c>
      <c r="T25" s="91" ph="1">
        <f>T24*35.891*LOOKUP(T26,密度!$A$2:$A$50,密度!$Q$2:$Q$50)</f>
        <v>13382.043693850001</v>
      </c>
      <c r="U25" s="91" ph="1">
        <f>U24*35.891</f>
        <v>101715.094</v>
      </c>
      <c r="V25" s="91" ph="1">
        <f>V24*47.051*LOOKUP(V26,密度!$A$2:$A$50,密度!$B$2:$B$50)</f>
        <v>27126.501234000003</v>
      </c>
      <c r="W25" s="91" ph="1">
        <f>W24*47.051*LOOKUP(W26,密度!$A$2:$A$50,密度!$B$2:$B$50)</f>
        <v>85578.890143800003</v>
      </c>
      <c r="X25" s="91" ph="1">
        <f>X24*47.051*LOOKUP(X26,密度!$A$2:$A$61,密度!$I$2:$I$61)</f>
        <v>279822.50706700003</v>
      </c>
      <c r="Y25" s="91" ph="1">
        <f>Y24*47.051*LOOKUP(Y26,密度!$A$2:$A$50,密度!$L$2:$L$50)</f>
        <v>117378.78841400001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27</v>
      </c>
      <c r="H26" s="74">
        <v>27</v>
      </c>
      <c r="I26" s="74">
        <v>27</v>
      </c>
      <c r="J26" s="74">
        <v>28</v>
      </c>
      <c r="K26" s="74">
        <v>27</v>
      </c>
      <c r="L26" s="74">
        <v>28</v>
      </c>
      <c r="M26" s="74">
        <v>27</v>
      </c>
      <c r="N26" s="74">
        <v>28</v>
      </c>
      <c r="O26" s="74">
        <v>27</v>
      </c>
      <c r="P26" s="74">
        <v>27</v>
      </c>
      <c r="Q26" s="93">
        <v>28</v>
      </c>
      <c r="R26" s="74">
        <v>28</v>
      </c>
      <c r="S26" s="74">
        <v>28</v>
      </c>
      <c r="T26" s="74">
        <v>29</v>
      </c>
      <c r="U26" s="74">
        <v>27</v>
      </c>
      <c r="V26" s="74">
        <v>28</v>
      </c>
      <c r="W26" s="74">
        <v>30</v>
      </c>
      <c r="X26" s="74">
        <v>33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5.22</v>
      </c>
      <c r="E27" s="71">
        <v>5.83</v>
      </c>
      <c r="F27" s="71">
        <v>3218</v>
      </c>
      <c r="G27" s="71">
        <v>3384</v>
      </c>
      <c r="H27" s="71">
        <v>3235</v>
      </c>
      <c r="I27" s="71">
        <v>4496</v>
      </c>
      <c r="J27" s="71">
        <v>300</v>
      </c>
      <c r="K27" s="71">
        <v>298</v>
      </c>
      <c r="L27" s="71">
        <v>296</v>
      </c>
      <c r="M27" s="71">
        <v>322</v>
      </c>
      <c r="N27" s="71">
        <v>317</v>
      </c>
      <c r="O27" s="71">
        <v>338</v>
      </c>
      <c r="P27" s="71">
        <v>369</v>
      </c>
      <c r="Q27" s="90">
        <v>396</v>
      </c>
      <c r="R27" s="71">
        <v>344</v>
      </c>
      <c r="S27" s="71">
        <v>3224</v>
      </c>
      <c r="T27" s="71">
        <v>392</v>
      </c>
      <c r="U27" s="71">
        <v>2888</v>
      </c>
      <c r="V27" s="71">
        <v>735</v>
      </c>
      <c r="W27" s="71">
        <v>2343</v>
      </c>
      <c r="X27" s="71">
        <v>5630</v>
      </c>
      <c r="Y27" s="71">
        <v>2667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2810.4067787039999</v>
      </c>
      <c r="E28" s="91" ph="1">
        <f>E27*268.68*LOOKUP(E29,密度!$A$2:$A$50,密度!$C$2:$C$50)+IF(E27&lt;=0,0,1566*LOOKUP(E29,密度!$A$2:$A$50,密度!$C$2:$C$50))</f>
        <v>3473.5232391600002</v>
      </c>
      <c r="F28" s="91" ph="1">
        <f>F27*11.702*LOOKUP(F29,密度!$A$2:$A$50,密度!$Q$2:$Q$50)</f>
        <v>35494.768992879995</v>
      </c>
      <c r="G28" s="91" ph="1">
        <f>G27*18.322*LOOKUP(G29,密度!$A$2:$A$50,密度!$B$2:$B$50)</f>
        <v>47958.274727999989</v>
      </c>
      <c r="H28" s="91" ph="1">
        <f>H27*18.322*LOOKUP(H29,密度!$A$2:$A$50,密度!$B$2:$B$50)</f>
        <v>45899.981247999996</v>
      </c>
      <c r="I28" s="91" ph="1">
        <f>I27*18.322*LOOKUP(I29,密度!$A$2:$A$50,密度!$Q$2:$Q$50)</f>
        <v>77589.683132799997</v>
      </c>
      <c r="J28" s="91" ph="1">
        <f>J27*18.322*LOOKUP(J29,密度!$A$2:$A$50,密度!$Q$2:$Q$50)</f>
        <v>5180.9852279999996</v>
      </c>
      <c r="K28" s="91" ph="1">
        <f>K27*18.322*LOOKUP(K29,密度!$A$2:$A$50,密度!$Q$2:$Q$50)</f>
        <v>5150.5402934800004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5560.9241447199993</v>
      </c>
      <c r="N28" s="91" ph="1">
        <f>N27*18.322*LOOKUP(N29,密度!$A$2:$A$50,密度!$Q$2:$Q$50)</f>
        <v>5470.6249005999998</v>
      </c>
      <c r="O28" s="91" ph="1">
        <f>O27*18.322*LOOKUP(O29,密度!$A$2:$A$50,密度!$C$2:$C$50)</f>
        <v>6837.5102275999998</v>
      </c>
      <c r="P28" s="91" ph="1">
        <f>P27*11.702*LOOKUP(P29,密度!$A$2:$A$50,密度!$B$2:$B$50)</f>
        <v>3343.8886271999995</v>
      </c>
      <c r="Q28" s="92" ph="1">
        <f>Q27*18.322*LOOKUP(Q29,密度!$A$2:$A$50,密度!$B$2:$B$50)</f>
        <v>5612.1385319999999</v>
      </c>
      <c r="R28" s="91" ph="1">
        <f>R27*35.891*LOOKUP(R29,密度!$A$2:$A$50,密度!$C$2:$C$50)</f>
        <v>13631.7750664</v>
      </c>
      <c r="S28" s="91" ph="1">
        <f>S27*35.891*LOOKUP(S29,密度!$A$2:$A$50,密度!$B$2:$B$50)</f>
        <v>89503.683723999988</v>
      </c>
      <c r="T28" s="91" ph="1">
        <f>T27*35.891*LOOKUP(T29,密度!$A$2:$A$50,密度!$Q$2:$Q$50)</f>
        <v>13261.414401759999</v>
      </c>
      <c r="U28" s="91" ph="1">
        <f>U27*35.891</f>
        <v>103653.208</v>
      </c>
      <c r="V28" s="91" ph="1">
        <f>V27*47.051*LOOKUP(V29,密度!$A$2:$A$50,密度!$B$2:$B$50)</f>
        <v>26780.676383999999</v>
      </c>
      <c r="W28" s="91" ph="1">
        <f>W27*47.051*LOOKUP(W29,密度!$A$2:$A$50,密度!$B$2:$B$50)</f>
        <v>85271.021335500001</v>
      </c>
      <c r="X28" s="91" ph="1">
        <f>X27*47.051*LOOKUP(X29,密度!$A$2:$A$61,密度!$I$2:$I$61)</f>
        <v>273135.430743</v>
      </c>
      <c r="Y28" s="91" ph="1">
        <f>Y27*47.051*LOOKUP(Y29,密度!$A$2:$A$50,密度!$L$2:$L$50)</f>
        <v>116826.55082700001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31</v>
      </c>
      <c r="G29" s="74">
        <v>32</v>
      </c>
      <c r="H29" s="74">
        <v>31</v>
      </c>
      <c r="I29" s="74">
        <v>32</v>
      </c>
      <c r="J29" s="74">
        <v>31</v>
      </c>
      <c r="K29" s="74">
        <v>30</v>
      </c>
      <c r="L29" s="74">
        <v>31</v>
      </c>
      <c r="M29" s="74">
        <v>31</v>
      </c>
      <c r="N29" s="74">
        <v>32</v>
      </c>
      <c r="O29" s="74">
        <v>31</v>
      </c>
      <c r="P29" s="74">
        <v>31</v>
      </c>
      <c r="Q29" s="93">
        <v>32</v>
      </c>
      <c r="R29" s="74">
        <v>31</v>
      </c>
      <c r="S29" s="74">
        <v>32</v>
      </c>
      <c r="T29" s="74">
        <v>31</v>
      </c>
      <c r="U29" s="74">
        <v>31</v>
      </c>
      <c r="V29" s="74">
        <v>31</v>
      </c>
      <c r="W29" s="74">
        <v>32</v>
      </c>
      <c r="X29" s="74">
        <v>35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124905.85222188002</v>
      </c>
      <c r="E33" s="190" ph="1">
        <f>M10+I10</f>
        <v>162399.23694229999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1522252632456786910111213141516171819202123456789101112131415161718192022232424356789101112131415161718192021222345678910111213141516171819202345678910111213149101516171819222123234567891012131415161711181920212224252345678910111213120[[#This Row],[F25]]</f>
        <v>3880</v>
      </c>
      <c r="G33" s="216" ph="1">
        <f>N19</f>
        <v>2760.8224557420003</v>
      </c>
      <c r="H33" s="190" ph="1">
        <f>M19</f>
        <v>30570.097952272004</v>
      </c>
      <c r="I33" s="194" ph="1">
        <v>0</v>
      </c>
      <c r="J33" s="198" ph="1">
        <f>F10+O28</f>
        <v>134891.01251119998</v>
      </c>
      <c r="K33" s="190" ph="1">
        <f>O10+K10+E28+R28</f>
        <v>39294.165269559999</v>
      </c>
      <c r="L33" s="200" ph="1">
        <f>K19</f>
        <v>44830.937843600004</v>
      </c>
      <c r="M33" s="198" ph="1">
        <f>G10+H10+W28+S28+V28+E10+R19+P28+Q28</f>
        <v>517607.35448286001</v>
      </c>
      <c r="N33" s="190" ph="1">
        <f>L10+P10++G28+H28+AD19+AE19</f>
        <v>166594.50771179999</v>
      </c>
      <c r="O33" s="194" ph="1">
        <f>G19</f>
        <v>32297.793623040001</v>
      </c>
      <c r="P33" s="198" ph="1">
        <f>L19</f>
        <v>28158.062012592003</v>
      </c>
      <c r="Q33" s="190" ph="1">
        <f>J10+N10</f>
        <v>135585.12136635999</v>
      </c>
      <c r="R33" s="194" ph="1">
        <f>BE23</f>
        <v>890</v>
      </c>
      <c r="S33" s="198" ph="1">
        <f>X28</f>
        <v>273135.430743</v>
      </c>
      <c r="T33" s="190" ph="1">
        <f>X19</f>
        <v>15436.776432479999</v>
      </c>
      <c r="U33" s="179" ph="1">
        <f>BE21</f>
        <v>730</v>
      </c>
      <c r="V33" s="192" ph="1">
        <f ca="1">P19+Q19+S19+M28+N28+J28+D10+AC10+D19+E19+H19+J19+O19+V19+W19+K28+L28</f>
        <v>700575.09659832006</v>
      </c>
      <c r="W33" s="192" ph="1">
        <f>D28+F28+T28+I28</f>
        <v>129156.27330614399</v>
      </c>
      <c r="X33" s="194" ph="1">
        <f>BE29+BE31</f>
        <v>10200</v>
      </c>
      <c r="Y33" s="196" ph="1">
        <f>+Q10+R10+S10+T10+U10+V10+W10+X10+Y10</f>
        <v>191739.09017340004</v>
      </c>
      <c r="Z33" s="177" ph="1">
        <f>T19+U19+Y28+Z10</f>
        <v>202329.74269972002</v>
      </c>
      <c r="AA33" s="179" ph="1">
        <f>BE19</f>
        <v>1440</v>
      </c>
      <c r="AB33" s="181" ph="1">
        <f>I19</f>
        <v>28834.438049559998</v>
      </c>
      <c r="AC33" s="183" ph="1">
        <f>AD10+AB19</f>
        <v>66216.871727999998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790" priority="101">
      <formula>ABS(D$7-D$10)&gt;=1000</formula>
    </cfRule>
  </conditionalFormatting>
  <conditionalFormatting sqref="E4 E6:E11">
    <cfRule type="expression" dxfId="789" priority="100">
      <formula>ABS(E$7-E$10)&gt;=1000</formula>
    </cfRule>
  </conditionalFormatting>
  <conditionalFormatting sqref="F4:F11">
    <cfRule type="expression" dxfId="788" priority="99">
      <formula>ABS(F$7-F$10)&gt;=1000</formula>
    </cfRule>
  </conditionalFormatting>
  <conditionalFormatting sqref="G4:G11">
    <cfRule type="expression" dxfId="787" priority="98">
      <formula>ABS(G$7-G$10)&gt;=1000</formula>
    </cfRule>
  </conditionalFormatting>
  <conditionalFormatting sqref="H4:H11">
    <cfRule type="expression" dxfId="786" priority="97">
      <formula>ABS(H$7-H$10)&gt;=1000</formula>
    </cfRule>
  </conditionalFormatting>
  <conditionalFormatting sqref="I4:I11">
    <cfRule type="expression" dxfId="785" priority="96">
      <formula>ABS(I$7-I$10)&gt;=1000</formula>
    </cfRule>
  </conditionalFormatting>
  <conditionalFormatting sqref="J4:J11">
    <cfRule type="expression" dxfId="784" priority="95">
      <formula>ABS(J$7-J$10)&gt;=1000</formula>
    </cfRule>
  </conditionalFormatting>
  <conditionalFormatting sqref="K4:K11">
    <cfRule type="expression" dxfId="783" priority="94">
      <formula>ABS(K$7-K$10)&gt;=1000</formula>
    </cfRule>
  </conditionalFormatting>
  <conditionalFormatting sqref="L4:L11">
    <cfRule type="expression" dxfId="782" priority="93">
      <formula>ABS(L$7-L$10)&gt;=1000</formula>
    </cfRule>
  </conditionalFormatting>
  <conditionalFormatting sqref="M4 M6:M11">
    <cfRule type="expression" dxfId="781" priority="92">
      <formula>ABS(M$7-M$10)&gt;=1000</formula>
    </cfRule>
  </conditionalFormatting>
  <conditionalFormatting sqref="N4 N6:N11">
    <cfRule type="expression" dxfId="780" priority="91">
      <formula>ABS(N$7-N$10)&gt;=1000</formula>
    </cfRule>
  </conditionalFormatting>
  <conditionalFormatting sqref="O4 O6:O11">
    <cfRule type="expression" dxfId="779" priority="90">
      <formula>ABS(O$7-O$10)&gt;=1000</formula>
    </cfRule>
  </conditionalFormatting>
  <conditionalFormatting sqref="P4 P6:P11">
    <cfRule type="expression" dxfId="778" priority="89">
      <formula>ABS(P$7-P$10)&gt;=1000</formula>
    </cfRule>
  </conditionalFormatting>
  <conditionalFormatting sqref="Q4:Q11">
    <cfRule type="expression" dxfId="777" priority="88">
      <formula>ABS(Q$7-Q$10)&gt;=1000</formula>
    </cfRule>
  </conditionalFormatting>
  <conditionalFormatting sqref="R4:R11">
    <cfRule type="expression" dxfId="776" priority="87">
      <formula>ABS(R$7-R$10)&gt;=1000</formula>
    </cfRule>
  </conditionalFormatting>
  <conditionalFormatting sqref="S4:S11">
    <cfRule type="expression" dxfId="775" priority="86">
      <formula>ABS(S$7-S$10)&gt;=1000</formula>
    </cfRule>
  </conditionalFormatting>
  <conditionalFormatting sqref="T4:T9 T11">
    <cfRule type="expression" dxfId="774" priority="85">
      <formula>ABS(T$7-T$10)&gt;=1000</formula>
    </cfRule>
  </conditionalFormatting>
  <conditionalFormatting sqref="U4:U9 U11">
    <cfRule type="expression" dxfId="773" priority="84">
      <formula>ABS(U$7-U$10)&gt;=1000</formula>
    </cfRule>
  </conditionalFormatting>
  <conditionalFormatting sqref="V4:V9 V11">
    <cfRule type="expression" dxfId="772" priority="83">
      <formula>ABS(V$7-V$10)&gt;=1000</formula>
    </cfRule>
  </conditionalFormatting>
  <conditionalFormatting sqref="W4:W9 W11">
    <cfRule type="expression" dxfId="771" priority="82">
      <formula>ABS(W$7-W$10)&gt;=1000</formula>
    </cfRule>
  </conditionalFormatting>
  <conditionalFormatting sqref="X4:X9 X11">
    <cfRule type="expression" dxfId="770" priority="81">
      <formula>ABS(X$7-X$10)&gt;=1000</formula>
    </cfRule>
  </conditionalFormatting>
  <conditionalFormatting sqref="Y4:Y9 Y11">
    <cfRule type="expression" dxfId="769" priority="80">
      <formula>ABS(Y$7-Y$10)&gt;=1000</formula>
    </cfRule>
  </conditionalFormatting>
  <conditionalFormatting sqref="Z4:Z11">
    <cfRule type="expression" dxfId="768" priority="79">
      <formula>ABS(Z$7-Z$10)&gt;=1000</formula>
    </cfRule>
  </conditionalFormatting>
  <conditionalFormatting sqref="AA4:AA11">
    <cfRule type="expression" dxfId="767" priority="78">
      <formula>ABS(AA$7-AA$10)&gt;=1000</formula>
    </cfRule>
  </conditionalFormatting>
  <conditionalFormatting sqref="AB4:AB11">
    <cfRule type="expression" dxfId="766" priority="77">
      <formula>ABS(AB$7-AB$10)&gt;=1000</formula>
    </cfRule>
  </conditionalFormatting>
  <conditionalFormatting sqref="AC4 AC6:AC11">
    <cfRule type="expression" dxfId="765" priority="76">
      <formula>ABS(AC$7-AC$10)&gt;=1000</formula>
    </cfRule>
  </conditionalFormatting>
  <conditionalFormatting sqref="AD4 AD6:AD11">
    <cfRule type="expression" dxfId="764" priority="75">
      <formula>ABS(AD$7-AD$10)&gt;=1000</formula>
    </cfRule>
  </conditionalFormatting>
  <conditionalFormatting sqref="AE4 AE6:AE11">
    <cfRule type="expression" dxfId="763" priority="74">
      <formula>ABS(AE$7-AE$10)&gt;=1000</formula>
    </cfRule>
  </conditionalFormatting>
  <conditionalFormatting sqref="D13:D20">
    <cfRule type="expression" dxfId="762" priority="73">
      <formula>ABS(D$16-D$19)&gt;=1000</formula>
    </cfRule>
  </conditionalFormatting>
  <conditionalFormatting sqref="E13:E20">
    <cfRule type="expression" dxfId="761" priority="72">
      <formula>ABS(E$16-E$19)&gt;=1000</formula>
    </cfRule>
  </conditionalFormatting>
  <conditionalFormatting sqref="F13 F15:F20">
    <cfRule type="expression" dxfId="760" priority="71">
      <formula>ABS(F$16-F$19)&gt;=1000</formula>
    </cfRule>
  </conditionalFormatting>
  <conditionalFormatting sqref="G13:G20">
    <cfRule type="expression" dxfId="759" priority="70">
      <formula>ABS(G$16-G$19)&gt;=1000</formula>
    </cfRule>
  </conditionalFormatting>
  <conditionalFormatting sqref="H13 H15:H20">
    <cfRule type="expression" dxfId="758" priority="69">
      <formula>ABS(H$16-H$19)&gt;=1000</formula>
    </cfRule>
  </conditionalFormatting>
  <conditionalFormatting sqref="I13:I20">
    <cfRule type="expression" dxfId="757" priority="68">
      <formula>ABS(I$16-I$19)&gt;=1000</formula>
    </cfRule>
  </conditionalFormatting>
  <conditionalFormatting sqref="J13:J20">
    <cfRule type="expression" dxfId="756" priority="67">
      <formula>ABS(J$16-J$19)&gt;=1000</formula>
    </cfRule>
  </conditionalFormatting>
  <conditionalFormatting sqref="L13:L20">
    <cfRule type="expression" dxfId="755" priority="66">
      <formula>ABS(L$16-L$19)&gt;=1000</formula>
    </cfRule>
  </conditionalFormatting>
  <conditionalFormatting sqref="M13 M15 M17:M18 M20">
    <cfRule type="expression" dxfId="754" priority="65">
      <formula>ABS(M$16-M$19)&gt;=1000</formula>
    </cfRule>
  </conditionalFormatting>
  <conditionalFormatting sqref="N13:N20">
    <cfRule type="expression" dxfId="753" priority="64">
      <formula>ABS(N$16-N$19)&gt;=1000</formula>
    </cfRule>
  </conditionalFormatting>
  <conditionalFormatting sqref="O13:O20">
    <cfRule type="expression" dxfId="752" priority="63">
      <formula>ABS(O$16-O$19)&gt;=1000</formula>
    </cfRule>
  </conditionalFormatting>
  <conditionalFormatting sqref="P13:P20">
    <cfRule type="expression" dxfId="751" priority="62">
      <formula>ABS(P$16-P$19)&gt;=1000</formula>
    </cfRule>
  </conditionalFormatting>
  <conditionalFormatting sqref="Q13 Q15:Q20">
    <cfRule type="expression" dxfId="750" priority="61">
      <formula>ABS(Q$16-Q$19)&gt;=1000</formula>
    </cfRule>
  </conditionalFormatting>
  <conditionalFormatting sqref="R13:R20">
    <cfRule type="expression" dxfId="749" priority="60">
      <formula>ABS(R$16-R$19)&gt;=1000</formula>
    </cfRule>
  </conditionalFormatting>
  <conditionalFormatting sqref="S13:S20">
    <cfRule type="expression" dxfId="748" priority="59">
      <formula>ABS(S$16-S$19)&gt;=1000</formula>
    </cfRule>
  </conditionalFormatting>
  <conditionalFormatting sqref="T13:T15 T17:T20">
    <cfRule type="expression" dxfId="747" priority="58">
      <formula>ABS(T$16-T$19)&gt;=1000</formula>
    </cfRule>
  </conditionalFormatting>
  <conditionalFormatting sqref="U13:U20">
    <cfRule type="expression" dxfId="746" priority="57">
      <formula>ABS(U$16-U$19)&gt;=1000</formula>
    </cfRule>
  </conditionalFormatting>
  <conditionalFormatting sqref="V13:V20">
    <cfRule type="expression" dxfId="745" priority="56">
      <formula>ABS(V$16-V$19)&gt;=1000</formula>
    </cfRule>
  </conditionalFormatting>
  <conditionalFormatting sqref="W13 W20 W15:W18">
    <cfRule type="expression" dxfId="744" priority="55">
      <formula>ABS(W$16-W$19)&gt;=1000</formula>
    </cfRule>
  </conditionalFormatting>
  <conditionalFormatting sqref="X13 X15:X20 Y19">
    <cfRule type="expression" dxfId="743" priority="54">
      <formula>ABS(X$16-X$19)&gt;=1000</formula>
    </cfRule>
  </conditionalFormatting>
  <conditionalFormatting sqref="Y13 Y15:Y18 Y20">
    <cfRule type="expression" dxfId="742" priority="53">
      <formula>ABS(Y$16-Y$19)&gt;=1000</formula>
    </cfRule>
  </conditionalFormatting>
  <conditionalFormatting sqref="Z13:Z20">
    <cfRule type="expression" dxfId="741" priority="52">
      <formula>ABS(Z$16-Z$19)&gt;=1000</formula>
    </cfRule>
  </conditionalFormatting>
  <conditionalFormatting sqref="AA13:AA20">
    <cfRule type="expression" dxfId="740" priority="51">
      <formula>ABS(AA$16-AA$19)&gt;=1000</formula>
    </cfRule>
  </conditionalFormatting>
  <conditionalFormatting sqref="AB13 AB15:AB20">
    <cfRule type="expression" dxfId="739" priority="50">
      <formula>ABS(AB$16-AB$19)&gt;=1000</formula>
    </cfRule>
  </conditionalFormatting>
  <conditionalFormatting sqref="AC13 AC15:AC20">
    <cfRule type="expression" dxfId="738" priority="49">
      <formula>ABS(AC$16-AC$19)&gt;=1000</formula>
    </cfRule>
  </conditionalFormatting>
  <conditionalFormatting sqref="AD13:AD20">
    <cfRule type="expression" dxfId="737" priority="48">
      <formula>ABS(AD$16-AD$19)&gt;=1000</formula>
    </cfRule>
  </conditionalFormatting>
  <conditionalFormatting sqref="AE13:AE20">
    <cfRule type="expression" dxfId="736" priority="47">
      <formula>ABS(AE$16-AE$19)&gt;=1000</formula>
    </cfRule>
  </conditionalFormatting>
  <conditionalFormatting sqref="D22:D29">
    <cfRule type="expression" dxfId="735" priority="46">
      <formula>ABS(D$25-D$28)&gt;=1000</formula>
    </cfRule>
  </conditionalFormatting>
  <conditionalFormatting sqref="E22:E29">
    <cfRule type="expression" dxfId="734" priority="45">
      <formula>ABS(E$25-E$28)&gt;=1000</formula>
    </cfRule>
  </conditionalFormatting>
  <conditionalFormatting sqref="F22:F29">
    <cfRule type="expression" dxfId="733" priority="44">
      <formula>ABS(F$25-F$28)&gt;=1000</formula>
    </cfRule>
  </conditionalFormatting>
  <conditionalFormatting sqref="G22:G29">
    <cfRule type="expression" dxfId="732" priority="43">
      <formula>ABS(G$25-G$28)&gt;=1000</formula>
    </cfRule>
  </conditionalFormatting>
  <conditionalFormatting sqref="H22:H29">
    <cfRule type="expression" dxfId="731" priority="42">
      <formula>ABS(H$25-H$28)&gt;=1000</formula>
    </cfRule>
  </conditionalFormatting>
  <conditionalFormatting sqref="I22 I24:I29">
    <cfRule type="expression" dxfId="730" priority="41">
      <formula>ABS(I$25-I$28)&gt;=1000</formula>
    </cfRule>
  </conditionalFormatting>
  <conditionalFormatting sqref="J22:J29 K22">
    <cfRule type="expression" dxfId="729" priority="40">
      <formula>ABS(J$25-J$28)&gt;=1000</formula>
    </cfRule>
  </conditionalFormatting>
  <conditionalFormatting sqref="K23:K29 L25 L28">
    <cfRule type="expression" dxfId="728" priority="39">
      <formula>ABS(K$25-K$28)&gt;=1000</formula>
    </cfRule>
  </conditionalFormatting>
  <conditionalFormatting sqref="L22 L26:L27 L29 L24">
    <cfRule type="expression" dxfId="727" priority="38">
      <formula>ABS(L$25-L$28)&gt;=1000</formula>
    </cfRule>
  </conditionalFormatting>
  <conditionalFormatting sqref="M22:M29">
    <cfRule type="expression" dxfId="726" priority="37">
      <formula>ABS(M$25-M$28)&gt;=1000</formula>
    </cfRule>
  </conditionalFormatting>
  <conditionalFormatting sqref="N22:N29">
    <cfRule type="expression" dxfId="725" priority="36">
      <formula>ABS(N$25-N$28)&gt;=1000</formula>
    </cfRule>
  </conditionalFormatting>
  <conditionalFormatting sqref="O22:O29">
    <cfRule type="expression" dxfId="724" priority="35">
      <formula>ABS(O$25-O$28)&gt;=1000</formula>
    </cfRule>
  </conditionalFormatting>
  <conditionalFormatting sqref="P22:P29">
    <cfRule type="expression" dxfId="723" priority="34">
      <formula>ABS(P$25-P$28)&gt;=1000</formula>
    </cfRule>
  </conditionalFormatting>
  <conditionalFormatting sqref="Q22:Q29">
    <cfRule type="expression" dxfId="722" priority="33">
      <formula>ABS(Q$25-Q$28)&gt;=1000</formula>
    </cfRule>
  </conditionalFormatting>
  <conditionalFormatting sqref="R22:R29">
    <cfRule type="expression" dxfId="721" priority="32">
      <formula>ABS(R$25-R$28)&gt;=1000</formula>
    </cfRule>
  </conditionalFormatting>
  <conditionalFormatting sqref="S22:S29">
    <cfRule type="expression" dxfId="720" priority="31">
      <formula>ABS(S$25-S$28)&gt;=1000</formula>
    </cfRule>
  </conditionalFormatting>
  <conditionalFormatting sqref="T22:T29">
    <cfRule type="expression" dxfId="719" priority="30">
      <formula>ABS(T$25-T$28)&gt;=1000</formula>
    </cfRule>
  </conditionalFormatting>
  <conditionalFormatting sqref="U22:U29">
    <cfRule type="expression" dxfId="718" priority="29">
      <formula>ABS(U$25-U$28)&gt;=1000</formula>
    </cfRule>
  </conditionalFormatting>
  <conditionalFormatting sqref="V22:V29">
    <cfRule type="expression" dxfId="717" priority="28">
      <formula>ABS(V$25-V$28)&gt;=1000</formula>
    </cfRule>
  </conditionalFormatting>
  <conditionalFormatting sqref="W22:W29">
    <cfRule type="expression" dxfId="716" priority="27">
      <formula>ABS(W$25-W$28)&gt;=1000</formula>
    </cfRule>
  </conditionalFormatting>
  <conditionalFormatting sqref="X22:X29">
    <cfRule type="expression" dxfId="715" priority="26">
      <formula>ABS(X$25-X$28)&gt;=1000</formula>
    </cfRule>
  </conditionalFormatting>
  <conditionalFormatting sqref="Y22:Y29">
    <cfRule type="expression" dxfId="714" priority="25">
      <formula>ABS(Y$25-Y$28)&gt;=1000</formula>
    </cfRule>
  </conditionalFormatting>
  <conditionalFormatting sqref="I23">
    <cfRule type="expression" dxfId="713" priority="24">
      <formula>ABS(I$25-I$28)&gt;=1000</formula>
    </cfRule>
  </conditionalFormatting>
  <conditionalFormatting sqref="Q14">
    <cfRule type="expression" dxfId="712" priority="23">
      <formula>ABS(Q$16-Q$19)&gt;=1000</formula>
    </cfRule>
  </conditionalFormatting>
  <conditionalFormatting sqref="W14">
    <cfRule type="expression" dxfId="711" priority="22">
      <formula>ABS(W$16-W$19)&gt;=1000</formula>
    </cfRule>
  </conditionalFormatting>
  <conditionalFormatting sqref="X14">
    <cfRule type="expression" dxfId="710" priority="21">
      <formula>ABS(X$16-X$19)&gt;=1000</formula>
    </cfRule>
  </conditionalFormatting>
  <conditionalFormatting sqref="T10:Y10">
    <cfRule type="expression" dxfId="709" priority="20">
      <formula>ABS(T$7-T$10)&gt;=1000</formula>
    </cfRule>
  </conditionalFormatting>
  <conditionalFormatting sqref="W19">
    <cfRule type="expression" dxfId="708" priority="19">
      <formula>ABS(W$16-W$19)&gt;=1000</formula>
    </cfRule>
  </conditionalFormatting>
  <conditionalFormatting sqref="AC5">
    <cfRule type="expression" dxfId="707" priority="18">
      <formula>ABS(AC$7-AC$10)&gt;=1000</formula>
    </cfRule>
  </conditionalFormatting>
  <conditionalFormatting sqref="M14">
    <cfRule type="expression" dxfId="706" priority="17">
      <formula>ABS(M$16-M$19)&gt;=1000</formula>
    </cfRule>
  </conditionalFormatting>
  <conditionalFormatting sqref="M16">
    <cfRule type="expression" dxfId="705" priority="16">
      <formula>ABS(M$16-M$19)&gt;=1000</formula>
    </cfRule>
  </conditionalFormatting>
  <conditionalFormatting sqref="M19">
    <cfRule type="expression" dxfId="704" priority="15">
      <formula>ABS(M$16-M$19)&gt;=1000</formula>
    </cfRule>
  </conditionalFormatting>
  <conditionalFormatting sqref="K13:K20">
    <cfRule type="expression" dxfId="703" priority="14">
      <formula>ABS(K$16-K$19)&gt;=1000</formula>
    </cfRule>
  </conditionalFormatting>
  <conditionalFormatting sqref="E5">
    <cfRule type="expression" dxfId="702" priority="13">
      <formula>ABS(E$7-E$10)&gt;=1000</formula>
    </cfRule>
  </conditionalFormatting>
  <conditionalFormatting sqref="AB14:AC14">
    <cfRule type="expression" dxfId="701" priority="12">
      <formula>ABS(AB$16-AB$19)&gt;=1000</formula>
    </cfRule>
  </conditionalFormatting>
  <conditionalFormatting sqref="M5">
    <cfRule type="expression" dxfId="700" priority="11">
      <formula>ABS(M$7-M$10)&gt;=1000</formula>
    </cfRule>
  </conditionalFormatting>
  <conditionalFormatting sqref="N5">
    <cfRule type="expression" dxfId="699" priority="10">
      <formula>ABS(N$7-N$10)&gt;=1000</formula>
    </cfRule>
  </conditionalFormatting>
  <conditionalFormatting sqref="O5">
    <cfRule type="expression" dxfId="698" priority="9">
      <formula>ABS(O$7-O$10)&gt;=1000</formula>
    </cfRule>
  </conditionalFormatting>
  <conditionalFormatting sqref="P5">
    <cfRule type="expression" dxfId="697" priority="8">
      <formula>ABS(P$7-P$10)&gt;=1000</formula>
    </cfRule>
  </conditionalFormatting>
  <conditionalFormatting sqref="L23">
    <cfRule type="expression" dxfId="696" priority="7">
      <formula>ABS(L$25-L$28)&gt;=1000</formula>
    </cfRule>
  </conditionalFormatting>
  <conditionalFormatting sqref="Y14">
    <cfRule type="expression" dxfId="695" priority="6">
      <formula>ABS(Y$16-Y$19)&gt;=1000</formula>
    </cfRule>
  </conditionalFormatting>
  <conditionalFormatting sqref="F14">
    <cfRule type="expression" dxfId="694" priority="5">
      <formula>ABS(F$16-F$19)&gt;=1000</formula>
    </cfRule>
  </conditionalFormatting>
  <conditionalFormatting sqref="H14">
    <cfRule type="expression" dxfId="693" priority="4">
      <formula>ABS(H$16-H$19)&gt;=1000</formula>
    </cfRule>
  </conditionalFormatting>
  <conditionalFormatting sqref="AD5">
    <cfRule type="expression" dxfId="692" priority="3">
      <formula>ABS(AD$7-AD$10)&gt;=1000</formula>
    </cfRule>
  </conditionalFormatting>
  <conditionalFormatting sqref="AE5">
    <cfRule type="expression" dxfId="691" priority="2">
      <formula>ABS(AE$7-AE$10)&gt;=1000</formula>
    </cfRule>
  </conditionalFormatting>
  <conditionalFormatting sqref="T16">
    <cfRule type="expression" dxfId="690" priority="1">
      <formula>ABS(T$16-T$19)&gt;=1000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737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39">
    <pageSetUpPr fitToPage="1"/>
  </sheetPr>
  <dimension ref="A1:CU223"/>
  <sheetViews>
    <sheetView view="pageBreakPreview" topLeftCell="K25" zoomScaleNormal="100" zoomScaleSheetLayoutView="100" workbookViewId="0">
      <selection activeCell="S24" sqref="S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46230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1474</v>
      </c>
      <c r="E6" s="71">
        <v>1128</v>
      </c>
      <c r="F6" s="71">
        <v>3184</v>
      </c>
      <c r="G6" s="71">
        <v>4487</v>
      </c>
      <c r="H6" s="71">
        <v>0</v>
      </c>
      <c r="I6" s="71">
        <v>38.71</v>
      </c>
      <c r="J6" s="71">
        <v>76.92</v>
      </c>
      <c r="K6" s="71">
        <v>38.020000000000003</v>
      </c>
      <c r="L6" s="71">
        <v>6.82</v>
      </c>
      <c r="M6" s="71">
        <v>4470</v>
      </c>
      <c r="N6" s="71">
        <v>4580</v>
      </c>
      <c r="O6" s="71">
        <v>3481</v>
      </c>
      <c r="P6" s="71">
        <v>1843</v>
      </c>
      <c r="Q6" s="71">
        <v>7130</v>
      </c>
      <c r="R6" s="71">
        <v>5937</v>
      </c>
      <c r="S6" s="71">
        <v>7193</v>
      </c>
      <c r="T6" s="71">
        <v>2867</v>
      </c>
      <c r="U6" s="71">
        <v>7063</v>
      </c>
      <c r="V6" s="71">
        <v>0</v>
      </c>
      <c r="W6" s="71">
        <v>0</v>
      </c>
      <c r="X6" s="71">
        <v>0</v>
      </c>
      <c r="Y6" s="71">
        <v>1407</v>
      </c>
      <c r="Z6" s="71">
        <v>4887</v>
      </c>
      <c r="AA6" s="71">
        <v>1099</v>
      </c>
      <c r="AB6" s="71">
        <v>4212</v>
      </c>
      <c r="AC6" s="71">
        <v>7234</v>
      </c>
      <c r="AD6" s="71">
        <v>3383</v>
      </c>
      <c r="AE6" s="71">
        <v>4142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46203.00972804</v>
      </c>
      <c r="E7" s="73" ph="1">
        <f>E6*51.53*LOOKUP(E8,密度!$A$2:$A$50,密度!$B$2:$B$50)</f>
        <v>45163.777680000007</v>
      </c>
      <c r="F7" s="73" ph="1">
        <f>F6*33.183*LOOKUP(F8,密度!$A$2:$A$50,密度!$C$2:$C$50)</f>
        <v>117001.9837728</v>
      </c>
      <c r="G7" s="73" ph="1">
        <f xml:space="preserve"> (G6+2)*51.53*LOOKUP(G8,密度!$A$2:$A$50,密度!$B$2:$B$50)</f>
        <v>179549.163554</v>
      </c>
      <c r="H7" s="73" ph="1">
        <f>(H6)*51.53*LOOKUP(H8,密度!$A$2:$A$50,密度!$B$2:$B$50)</f>
        <v>0</v>
      </c>
      <c r="I7" s="73" ph="1">
        <f>I6*290.8*1.0267</f>
        <v>11557.4263756</v>
      </c>
      <c r="J7" s="73" ph="1">
        <f>J6*290.8*0.7892</f>
        <v>17653.090771200004</v>
      </c>
      <c r="K7" s="73" ph="1">
        <f>K6*290.8*1.1126</f>
        <v>12301.145921600002</v>
      </c>
      <c r="L7" s="73" ph="1">
        <f>L6*290.8*0.777</f>
        <v>1540.989912</v>
      </c>
      <c r="M7" s="73" ph="1">
        <f>M6*33.183*LOOKUP(M8,密度!$A$2:$A$50,密度!$D$2:$D$50)</f>
        <v>151591.22622000001</v>
      </c>
      <c r="N7" s="73" ph="1">
        <f>N6*33.183*LOOKUP(N8,密度!$A$2:$A$50,密度!$E$2:$E$50)</f>
        <v>118178.20166399998</v>
      </c>
      <c r="O7" s="73" ph="1">
        <f>O6*20.428*LOOKUP(O8,密度!$A$2:$A$50,密度!$C$2:$C$50)</f>
        <v>78284.853681199995</v>
      </c>
      <c r="P7" s="73" ph="1">
        <f>P6*51.53*LOOKUP(P8,密度!$A$2:$A$50,密度!$B$2:$B$50)</f>
        <v>73876.999641000017</v>
      </c>
      <c r="Q7" s="73" ph="1">
        <f>Q6*1.5*1.5*3.1416*LOOKUP(W8,密度!$A$2:$A$50,密度!$L$2:$L$50)</f>
        <v>47123.175330000005</v>
      </c>
      <c r="R7" s="73" ph="1">
        <f>R6*1.5*1.5*3.1416*LOOKUP(R8,密度!$A$2:$A$50,密度!$L$2:$L$50)</f>
        <v>39028.638726000005</v>
      </c>
      <c r="S7" s="73" ph="1">
        <f>S6*1.5*1.5*3.1416*LOOKUP(S8,密度!$A$2:$A$50,密度!$L$2:$L$50)</f>
        <v>47641.240092600005</v>
      </c>
      <c r="T7" s="73" ph="1">
        <f>T6*1.5*1.5*3.1416*LOOKUP(T8,密度!$A$2:$A$50,密度!$L$2:$L$50)</f>
        <v>18988.9385994</v>
      </c>
      <c r="U7" s="73" ph="1">
        <f>U6*1.5*1.5*3.1416*LOOKUP(U8,密度!$A$2:$A$50,密度!$L$2:$L$50)</f>
        <v>46680.362883000002</v>
      </c>
      <c r="V7" s="73" ph="1">
        <f>V6*1.5*1.5*3.1416*LOOKUP(V8,密度!$A$2:$A$50,密度!$L$2:$L$50)</f>
        <v>0</v>
      </c>
      <c r="W7" s="73" ph="1">
        <f>W6*1.5*1.5*3.1416*LOOKUP(W8,密度!$A$2:$A$50,密度!$L$2:$L$50)</f>
        <v>0</v>
      </c>
      <c r="X7" s="73" ph="1">
        <f>X6*1.5*1.5*3.1416*LOOKUP(X8,密度!$A$2:$A$50,密度!$L$2:$L$50)</f>
        <v>0</v>
      </c>
      <c r="Y7" s="73" ph="1">
        <f>Y6*1.5*1.5*3.1416*LOOKUP(Y8,密度!$A$2:$A$50,密度!$L$2:$L$50)</f>
        <v>9279.1703465999999</v>
      </c>
      <c r="Z7" s="73" ph="1">
        <f>Z6*33.183*LOOKUP(Z8,密度!$A$2:$A$50,密度!$L$2:$L$50)</f>
        <v>151624.57513499999</v>
      </c>
      <c r="AA7" s="73" ph="1">
        <f>AA6*33.183*LOOKUP(AA8,密度!$A$2:$A$50,密度!$D$2:$D$50)</f>
        <v>37270.415573999999</v>
      </c>
      <c r="AB7" s="73" ph="1">
        <f>AB6*20.428*LOOKUP(AB8,密度!$A$2:$A$50,密度!$D$2:$D$50)</f>
        <v>88417.51551360001</v>
      </c>
      <c r="AC7" s="73" ph="1">
        <f>AC6*51.53*LOOKUP(AC8,密度!$A$2:$A$50,密度!$Q$2:$Q$50)</f>
        <v>352124.12705240003</v>
      </c>
      <c r="AD7" s="73" ph="1">
        <f>AD6*20.428*LOOKUP(AD8,密度!$A$2:$A$50,密度!$V$2:$V$50)</f>
        <v>66177.748022400003</v>
      </c>
      <c r="AE7" s="73" ph="1">
        <f>AE6*20.428</f>
        <v>84612.775999999998</v>
      </c>
    </row>
    <row r="8" spans="1:99" ph="1">
      <c r="B8" s="241" ph="1"/>
      <c r="C8" s="68" t="s" ph="1">
        <v>179</v>
      </c>
      <c r="D8" s="74">
        <v>28</v>
      </c>
      <c r="E8" s="74">
        <v>28</v>
      </c>
      <c r="F8" s="74">
        <v>27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34</v>
      </c>
      <c r="P8" s="74">
        <v>27</v>
      </c>
      <c r="Q8" s="74">
        <v>31</v>
      </c>
      <c r="R8" s="74">
        <v>32</v>
      </c>
      <c r="S8" s="74">
        <v>25</v>
      </c>
      <c r="T8" s="74">
        <v>25</v>
      </c>
      <c r="U8" s="74">
        <v>27</v>
      </c>
      <c r="V8" s="74">
        <v>28</v>
      </c>
      <c r="W8" s="74">
        <v>27</v>
      </c>
      <c r="X8" s="74">
        <v>25</v>
      </c>
      <c r="Y8" s="74">
        <v>29</v>
      </c>
      <c r="Z8" s="74">
        <v>27</v>
      </c>
      <c r="AA8" s="74">
        <v>30</v>
      </c>
      <c r="AB8" s="74">
        <v>24</v>
      </c>
      <c r="AC8" s="74">
        <v>28</v>
      </c>
      <c r="AD8" s="74">
        <v>27</v>
      </c>
      <c r="AE8" s="74">
        <v>28</v>
      </c>
    </row>
    <row r="9" spans="1:99" ht="26.4" ph="1">
      <c r="B9" s="241" ph="1">
        <v>0.66666666666666663</v>
      </c>
      <c r="C9" s="163" t="s" ph="1">
        <v>180</v>
      </c>
      <c r="D9" s="71">
        <v>927</v>
      </c>
      <c r="E9" s="71">
        <v>710</v>
      </c>
      <c r="F9" s="71">
        <v>3952</v>
      </c>
      <c r="G9" s="71">
        <v>4212</v>
      </c>
      <c r="H9" s="71">
        <v>879</v>
      </c>
      <c r="I9" s="71">
        <v>38.71</v>
      </c>
      <c r="J9" s="71">
        <v>77.11</v>
      </c>
      <c r="K9" s="71">
        <v>18.12</v>
      </c>
      <c r="L9" s="71">
        <v>81.92</v>
      </c>
      <c r="M9" s="71">
        <v>4470</v>
      </c>
      <c r="N9" s="71">
        <v>4582</v>
      </c>
      <c r="O9" s="71">
        <v>2397</v>
      </c>
      <c r="P9" s="71">
        <v>1180</v>
      </c>
      <c r="Q9" s="71">
        <v>4257</v>
      </c>
      <c r="R9" s="71">
        <v>5941</v>
      </c>
      <c r="S9" s="71">
        <v>7200</v>
      </c>
      <c r="T9" s="71">
        <v>7193</v>
      </c>
      <c r="U9" s="71">
        <v>7162</v>
      </c>
      <c r="V9" s="71">
        <v>6565</v>
      </c>
      <c r="W9" s="71">
        <v>0</v>
      </c>
      <c r="X9" s="71">
        <v>2129</v>
      </c>
      <c r="Y9" s="71">
        <v>0</v>
      </c>
      <c r="Z9" s="71">
        <v>3409</v>
      </c>
      <c r="AA9" s="71">
        <v>1102</v>
      </c>
      <c r="AB9" s="71">
        <v>4215</v>
      </c>
      <c r="AC9" s="71">
        <v>7500</v>
      </c>
      <c r="AD9" s="71">
        <v>3384</v>
      </c>
      <c r="AE9" s="71">
        <v>4110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28973.447757899998</v>
      </c>
      <c r="E10" s="73" ph="1">
        <f>E9*51.53*LOOKUP(E11,密度!$A$2:$A$50,密度!$B$2:$B$50)</f>
        <v>28270.234010000004</v>
      </c>
      <c r="F10" s="73" ph="1">
        <f>F9*33.183*LOOKUP(F11,密度!$A$2:$A$50,密度!$C$2:$C$50)</f>
        <v>145026.85897440001</v>
      </c>
      <c r="G10" s="73" ph="1">
        <f xml:space="preserve"> (G9+2)*51.53*LOOKUP(G11,密度!$A$2:$A$50,密度!$B$2:$B$50)</f>
        <v>168354.394726</v>
      </c>
      <c r="H10" s="73" ph="1">
        <f>(H9)*51.53*LOOKUP(H11,密度!$A$2:$A$50,密度!$B$2:$B$50)</f>
        <v>35117.112711000002</v>
      </c>
      <c r="I10" s="73" ph="1">
        <f>I9*290.8*1.0267</f>
        <v>11557.4263756</v>
      </c>
      <c r="J10" s="73" ph="1">
        <f>J9*290.8*0.7892</f>
        <v>17696.695649599998</v>
      </c>
      <c r="K10" s="73" ph="1">
        <f>K9*290.8*1.1126</f>
        <v>5862.6187296000007</v>
      </c>
      <c r="L10" s="73" ph="1">
        <f>L9*290.8*0.777</f>
        <v>18509.955072000004</v>
      </c>
      <c r="M10" s="73" ph="1">
        <f>M9*33.183*LOOKUP(M11,密度!$A$2:$A$50,密度!$D$2:$D$50)</f>
        <v>151457.731011</v>
      </c>
      <c r="N10" s="73" ph="1">
        <f>N9*33.183*LOOKUP(N11,密度!$A$2:$A$50,密度!$E$2:$E$50)</f>
        <v>117883.14639192</v>
      </c>
      <c r="O10" s="73" ph="1">
        <f>O9*20.428*LOOKUP(O11,密度!$A$2:$A$50,密度!$C$2:$C$50)</f>
        <v>53857.61100840001</v>
      </c>
      <c r="P10" s="73" ph="1">
        <f>P9*51.53*LOOKUP(P11,密度!$A$2:$A$50,密度!$B$2:$B$50)</f>
        <v>47142.426619999998</v>
      </c>
      <c r="Q10" s="73" ph="1">
        <f>Q9*1.5*1.5*3.1416*LOOKUP(W11,密度!$A$2:$A$50,密度!$L$2:$L$50)</f>
        <v>27954.567055800002</v>
      </c>
      <c r="R10" s="73" ph="1">
        <f>R9*1.5*1.5*3.1416*LOOKUP(R11,密度!$A$2:$A$50,密度!$L$2:$L$50)</f>
        <v>39054.933918000002</v>
      </c>
      <c r="S10" s="73" ph="1">
        <f>S9*1.5*1.5*3.1416*LOOKUP(S11,密度!$A$2:$A$50,密度!$L$2:$L$50)</f>
        <v>47534.921280000002</v>
      </c>
      <c r="T10" s="73" ph="1">
        <f>T9*1.5*1.5*3.1416*LOOKUP(T11,密度!$A$2:$A$50,密度!$L$2:$L$50)</f>
        <v>47641.240092600005</v>
      </c>
      <c r="U10" s="73" ph="1">
        <f>U9*1.5*1.5*3.1416*LOOKUP(U11,密度!$A$2:$A$50,密度!$L$2:$L$50)</f>
        <v>47284.042528799997</v>
      </c>
      <c r="V10" s="73" ph="1">
        <f>V9*1.5*1.5*3.1416*LOOKUP(V11,密度!$A$2:$A$50,密度!$L$2:$L$50)</f>
        <v>43342.605305999998</v>
      </c>
      <c r="W10" s="73" ph="1">
        <f>W9*1.5*1.5*3.1416*LOOKUP(W11,密度!$A$2:$A$50,密度!$L$2:$L$50)</f>
        <v>0</v>
      </c>
      <c r="X10" s="73" ph="1">
        <f>X9*1.5*1.5*3.1416*LOOKUP(X11,密度!$A$2:$A$50,密度!$L$2:$L$50)</f>
        <v>14025.714040800001</v>
      </c>
      <c r="Y10" s="73" ph="1">
        <f>Y9*1.5*1.5*3.1416*LOOKUP(Y11,密度!$A$2:$A$50,密度!$L$2:$L$50)</f>
        <v>0</v>
      </c>
      <c r="Z10" s="73" ph="1">
        <f>Z9*33.183*LOOKUP(Z11,密度!$A$2:$A$50,密度!$L$2:$L$50)</f>
        <v>105654.871098</v>
      </c>
      <c r="AA10" s="73" ph="1">
        <f>AA9*33.183*LOOKUP(AA11,密度!$A$2:$A$50,密度!$D$2:$D$50)</f>
        <v>37178.346022199992</v>
      </c>
      <c r="AB10" s="73" ph="1">
        <f>AB9*20.428*LOOKUP(AB11,密度!$A$2:$A$50,密度!$D$2:$D$50)</f>
        <v>88480.490952000007</v>
      </c>
      <c r="AC10" s="73" ph="1">
        <f>AC9*51.53*LOOKUP(AC11,密度!$A$2:$A$50,密度!$Q$2:$Q$50)</f>
        <v>364020.80249999999</v>
      </c>
      <c r="AD10" s="73" ph="1">
        <f>AD9*20.428*LOOKUP(AD11,密度!$A$2:$A$50,密度!$V$2:$V$50)</f>
        <v>66197.309875199993</v>
      </c>
      <c r="AE10" s="73" ph="1">
        <f>AE9*20.428</f>
        <v>83959.08</v>
      </c>
    </row>
    <row r="11" spans="1:99" ph="1">
      <c r="A11" s="64" t="s" ph="1">
        <v>162</v>
      </c>
      <c r="B11" s="241" ph="1"/>
      <c r="C11" s="163" t="s" ph="1">
        <v>179</v>
      </c>
      <c r="D11" s="74">
        <v>32</v>
      </c>
      <c r="E11" s="74">
        <v>33</v>
      </c>
      <c r="F11" s="74">
        <v>29</v>
      </c>
      <c r="G11" s="74">
        <v>30</v>
      </c>
      <c r="H11" s="74">
        <v>30</v>
      </c>
      <c r="I11" s="74">
        <v>25</v>
      </c>
      <c r="J11" s="74">
        <v>25</v>
      </c>
      <c r="K11" s="74">
        <v>25</v>
      </c>
      <c r="L11" s="74">
        <v>25</v>
      </c>
      <c r="M11" s="74">
        <v>31</v>
      </c>
      <c r="N11" s="74">
        <v>32</v>
      </c>
      <c r="O11" s="74">
        <v>35</v>
      </c>
      <c r="P11" s="74">
        <v>30</v>
      </c>
      <c r="Q11" s="74">
        <v>32</v>
      </c>
      <c r="R11" s="74">
        <v>32</v>
      </c>
      <c r="S11" s="74">
        <v>28</v>
      </c>
      <c r="T11" s="74">
        <v>25</v>
      </c>
      <c r="U11" s="74">
        <v>28</v>
      </c>
      <c r="V11" s="74">
        <v>28</v>
      </c>
      <c r="W11" s="74">
        <v>33</v>
      </c>
      <c r="X11" s="74">
        <v>30</v>
      </c>
      <c r="Y11" s="74">
        <v>29</v>
      </c>
      <c r="Z11" s="74">
        <v>28</v>
      </c>
      <c r="AA11" s="74">
        <v>36</v>
      </c>
      <c r="AB11" s="74">
        <v>24</v>
      </c>
      <c r="AC11" s="74">
        <v>32</v>
      </c>
      <c r="AD11" s="74">
        <v>27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4828</v>
      </c>
      <c r="E15" s="78">
        <v>5377</v>
      </c>
      <c r="F15" s="78">
        <v>2413</v>
      </c>
      <c r="G15" s="78">
        <v>4888</v>
      </c>
      <c r="H15" s="78">
        <v>4372</v>
      </c>
      <c r="I15" s="78">
        <v>3130</v>
      </c>
      <c r="J15" s="78">
        <v>3862</v>
      </c>
      <c r="K15" s="78">
        <v>4562</v>
      </c>
      <c r="L15" s="78">
        <v>3988</v>
      </c>
      <c r="M15" s="78">
        <v>4146</v>
      </c>
      <c r="N15" s="78">
        <v>3794</v>
      </c>
      <c r="O15" s="78">
        <v>2500</v>
      </c>
      <c r="P15" s="78">
        <v>7051</v>
      </c>
      <c r="Q15" s="78">
        <v>6847</v>
      </c>
      <c r="R15" s="78">
        <v>1947</v>
      </c>
      <c r="S15" s="78">
        <v>0</v>
      </c>
      <c r="T15" s="78">
        <v>5302</v>
      </c>
      <c r="U15" s="78">
        <v>0</v>
      </c>
      <c r="V15" s="78">
        <v>3761</v>
      </c>
      <c r="W15" s="71">
        <v>-817</v>
      </c>
      <c r="X15" s="78">
        <v>1036</v>
      </c>
      <c r="Y15" s="106">
        <v>-9907</v>
      </c>
      <c r="Z15" s="78">
        <v>54</v>
      </c>
      <c r="AA15" s="78">
        <v>2512</v>
      </c>
      <c r="AB15" s="78" ph="1">
        <v>0</v>
      </c>
      <c r="AC15" s="78" ph="1">
        <v>0</v>
      </c>
      <c r="AD15" s="78">
        <v>5.51</v>
      </c>
      <c r="AE15" s="78">
        <v>26.41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31874.805547200001</v>
      </c>
      <c r="E16" s="73" ph="1">
        <f>E15*7.0686*LOOKUP(E17,密度!$A$2:$A$50,密度!$L$2:$L$50)</f>
        <v>35461.335432600004</v>
      </c>
      <c r="F16" s="73" ph="1">
        <f>F15*9.0746*LOOKUP(F17,密度!$A$2:$A$50,密度!$L$2:$L$50)</f>
        <v>20408.013133600001</v>
      </c>
      <c r="G16" s="73" ph="1">
        <f>G15*9.0746*LOOKUP(G17,密度!$A$2:$A$50,密度!$B$2:$B$50)</f>
        <v>34465.113009600005</v>
      </c>
      <c r="H16" s="73" ph="1">
        <f>H15*9.0746*LOOKUP(H17,密度!$A$2:$A$50,密度!$L$2:$L$50)</f>
        <v>37135.005523200001</v>
      </c>
      <c r="I16" s="73" ph="1">
        <f>I15*9.0746*LOOKUP(I17,密度!$A$2:$A$50,密度!$U$2:$U$50)</f>
        <v>29028.374956</v>
      </c>
      <c r="J16" s="73" ph="1">
        <f>J15*9.0746*LOOKUP(J17,密度!$A$2:$A$50,密度!$L$2:$L$50)</f>
        <v>32522.785625600001</v>
      </c>
      <c r="K16" s="73" ph="1">
        <f>K15*9.0746*LOOKUP(K17,密度!$A$2:$A$50,密度!$C$2:$C$50)</f>
        <v>45782.407838680003</v>
      </c>
      <c r="L16" s="73" ph="1">
        <f>L15*9.0746*LOOKUP(L17,密度!$A$2:$A$50,密度!$E$2:$E$50)</f>
        <v>28140.95893248</v>
      </c>
      <c r="M16" s="73" ph="1">
        <f>M15*9.0746*LOOKUP(M17,密度!$A$2:$A$50,密度!$M$2:$M$50)</f>
        <v>32728.501362840005</v>
      </c>
      <c r="N16" s="73" ph="1">
        <f>N15*9.0746*LOOKUP(N17,密度!$A$2:$A$50,密度!$M$2:$M$50)</f>
        <v>30059.988188440002</v>
      </c>
      <c r="O16" s="73" ph="1">
        <f>O15*9.0746*LOOKUP(O17,密度!$A$2:$A$50,密度!$G$2:$G$50)</f>
        <v>21710.980499999998</v>
      </c>
      <c r="P16" s="73" ph="1">
        <f ca="1">P15*9.0746*LOOKUP(P17,密度!$A$2:$A$51,密度!$Q$2:$Q$50)</f>
        <v>60397.365392078005</v>
      </c>
      <c r="Q16" s="73" ph="1">
        <f>Q15*9.0746*LOOKUP(Q17,密度!$A$2:$A$50,密度!$Q$2:$Q$50)</f>
        <v>58612.664536046002</v>
      </c>
      <c r="R16" s="73" ph="1">
        <f>MAX(R15*9.0746*LOOKUP(R17,密度!$A$2:$A$50,密度!$B$2:$B$50),0)</f>
        <v>13698.19127886</v>
      </c>
      <c r="S16" s="73" ph="1">
        <f>S15*9.0746*LOOKUP(S17,密度!$A$2:$A$50,密度!$Q$2:$Q$50)</f>
        <v>0</v>
      </c>
      <c r="T16" s="73" ph="1">
        <f>T15*9.0746*LOOKUP(T17,密度!$A$2:$A$50,密度!$O$2:$O$50)</f>
        <v>44553.128039200004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37406.080316748004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15557.272830399999</v>
      </c>
      <c r="Y16" s="107" ph="1">
        <v>0</v>
      </c>
      <c r="Z16" s="73" ph="1">
        <f>Z15*9.0746*LOOKUP(Z17,密度!$A$2:$A$50,密度!$D$2:$D$50)</f>
        <v>501.74007876000007</v>
      </c>
      <c r="AA16" s="73" ph="1">
        <f>AA15*9.0746*LOOKUP(AA17,密度!$A$2:$A$50,密度!$B$2:$B$50)</f>
        <v>17732.53792608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6752.7695284799993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29</v>
      </c>
      <c r="F17" s="74">
        <v>30</v>
      </c>
      <c r="G17" s="74">
        <v>28</v>
      </c>
      <c r="H17" s="74">
        <v>26</v>
      </c>
      <c r="I17" s="74">
        <v>28</v>
      </c>
      <c r="J17" s="74">
        <v>34</v>
      </c>
      <c r="K17" s="74">
        <v>29</v>
      </c>
      <c r="L17" s="74">
        <v>30</v>
      </c>
      <c r="M17" s="74">
        <v>30</v>
      </c>
      <c r="N17" s="74">
        <v>27</v>
      </c>
      <c r="O17" s="74">
        <v>28</v>
      </c>
      <c r="P17" s="74">
        <v>29</v>
      </c>
      <c r="Q17" s="74">
        <v>30</v>
      </c>
      <c r="R17" s="74">
        <v>30</v>
      </c>
      <c r="S17" s="74">
        <v>28</v>
      </c>
      <c r="T17" s="74">
        <v>28</v>
      </c>
      <c r="U17" s="74">
        <v>28</v>
      </c>
      <c r="V17" s="74">
        <v>29</v>
      </c>
      <c r="W17" s="74">
        <v>28</v>
      </c>
      <c r="X17" s="74">
        <v>28</v>
      </c>
      <c r="Y17" s="108">
        <v>28</v>
      </c>
      <c r="Z17" s="74">
        <v>28</v>
      </c>
      <c r="AA17" s="74">
        <v>27</v>
      </c>
      <c r="AB17" s="74">
        <v>28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5588</v>
      </c>
      <c r="E18" s="71">
        <v>3682</v>
      </c>
      <c r="F18" s="71">
        <v>2412</v>
      </c>
      <c r="G18" s="71">
        <v>4901</v>
      </c>
      <c r="H18" s="71">
        <v>4373</v>
      </c>
      <c r="I18" s="71">
        <v>3131</v>
      </c>
      <c r="J18" s="71">
        <v>4219</v>
      </c>
      <c r="K18" s="71">
        <v>4585</v>
      </c>
      <c r="L18" s="71">
        <v>5199</v>
      </c>
      <c r="M18" s="71">
        <v>6467</v>
      </c>
      <c r="N18" s="71">
        <v>4543</v>
      </c>
      <c r="O18" s="71">
        <v>2501</v>
      </c>
      <c r="P18" s="71">
        <v>7056</v>
      </c>
      <c r="Q18" s="71">
        <v>7041</v>
      </c>
      <c r="R18" s="71">
        <v>1945</v>
      </c>
      <c r="S18" s="71">
        <v>0</v>
      </c>
      <c r="T18" s="71">
        <v>5302</v>
      </c>
      <c r="U18" s="71">
        <v>0</v>
      </c>
      <c r="V18" s="71">
        <v>4980</v>
      </c>
      <c r="W18" s="71">
        <v>-355</v>
      </c>
      <c r="X18" s="71">
        <v>1034</v>
      </c>
      <c r="Y18" s="109">
        <v>-9907</v>
      </c>
      <c r="Z18" s="71">
        <v>0</v>
      </c>
      <c r="AA18" s="71">
        <v>2513</v>
      </c>
      <c r="AB18" s="71">
        <v>0</v>
      </c>
      <c r="AC18" s="71">
        <v>0</v>
      </c>
      <c r="AD18" s="71">
        <v>5.51</v>
      </c>
      <c r="AE18" s="71">
        <v>76.010000000000005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36734.383223999997</v>
      </c>
      <c r="E19" s="73" ph="1">
        <f>E18*7.0686*LOOKUP(E20,密度!$A$2:$A$50,密度!$L$2:$L$50)</f>
        <v>24204.724236000002</v>
      </c>
      <c r="F19" s="73" ph="1">
        <f>F18*9.0746*LOOKUP(F20,密度!$A$2:$A$50,密度!$L$2:$L$50)</f>
        <v>20377.667671200001</v>
      </c>
      <c r="G19" s="73" ph="1">
        <f>G18*9.0746*LOOKUP(G20,密度!$A$2:$A$50,密度!$B$2:$B$50)</f>
        <v>34481.168699380003</v>
      </c>
      <c r="H19" s="73" ph="1">
        <f>H18*9.0746*LOOKUP(H20,密度!$A$2:$A$50,密度!$L$2:$L$50)</f>
        <v>37103.816123000004</v>
      </c>
      <c r="I19" s="73" ph="1">
        <f>I18*9.0746*LOOKUP(I20,密度!$A$2:$A$50,密度!$U$2:$U$50)</f>
        <v>28867.173761599999</v>
      </c>
      <c r="J19" s="73" ph="1">
        <f>J18*9.0746*LOOKUP(J20,密度!$A$2:$A$50,密度!$L$2:$L$50)</f>
        <v>35529.164307200001</v>
      </c>
      <c r="K19" s="73" ph="1">
        <f>K18*9.0746*LOOKUP(K20,密度!$A$2:$A$50,密度!$C$2:$C$50)</f>
        <v>45892.566222999994</v>
      </c>
      <c r="L19" s="73" ph="1">
        <f>L18*9.0746*LOOKUP(L20,密度!$A$2:$A$50,密度!$E$2:$E$50)</f>
        <v>36686.270183039996</v>
      </c>
      <c r="M19" s="73" ph="1">
        <f>M18*9.0746*LOOKUP(M20,密度!$A$2:$A$50,密度!$M$2:$M$50)</f>
        <v>50928.396978724006</v>
      </c>
      <c r="N19" s="73" ph="1">
        <f>N18*9.0746*LOOKUP(N20,密度!$A$2:$A$50,密度!$M$2:$M$50)</f>
        <v>35907.7656938</v>
      </c>
      <c r="O19" s="73" ph="1">
        <f>O18*9.0746*LOOKUP(O20,密度!$A$2:$A$50,密度!$G$2:$G$50)</f>
        <v>21644.996451765997</v>
      </c>
      <c r="P19" s="73" ph="1">
        <f ca="1">P18*9.0746*LOOKUP(P20,密度!$A$2:$A$51,密度!$Q$2:$Q$50)</f>
        <v>60401.776101408002</v>
      </c>
      <c r="Q19" s="73" ph="1">
        <f>Q18*9.0746*LOOKUP(Q20,密度!$A$2:$A$50,密度!$Q$2:$Q$50)</f>
        <v>60225.450271187998</v>
      </c>
      <c r="R19" s="73" ph="1">
        <f>MAX(R18*9.0746*LOOKUP(R20,密度!$A$2:$A$50,密度!$B$2:$B$50),0)</f>
        <v>13668.2351168</v>
      </c>
      <c r="S19" s="73" ph="1">
        <f>S18*9.0746*LOOKUP(S20,密度!$A$2:$A$50,密度!$Q$2:$Q$50)</f>
        <v>0</v>
      </c>
      <c r="T19" s="73" ph="1">
        <f>T18*9.0746*LOOKUP(T20,密度!$A$2:$A$50,密度!$O$2:$O$50)</f>
        <v>44360.673922400005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47713.873511199992</v>
      </c>
      <c r="W19" s="73" ph="1">
        <f>MAX(5600*LOOKUP(W20,密度!$A$2:$A$50,密度!$Q$2:$Q$50)+W18*9.0476*LOOKUP(W20,密度!$A$2:$A$50,密度!$Q$2:$Q$50),0)</f>
        <v>2249.3532737999999</v>
      </c>
      <c r="X19" s="73" ph="1">
        <f>MAX(5600*LOOKUP(X20,密度!$A$2:$A$50,密度!$I$2:$I$50)+X18*9.0476*LOOKUP(X20,密度!$A$2:$A$50,密度!$I$2:$I$50),0)</f>
        <v>15471.173434799999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17719.073034599998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2367.0736236000002</v>
      </c>
      <c r="AE19" s="73" ph="1">
        <f>AE18*268.68*LOOKUP(AE20,密度!$A$2:$A$50,密度!B5:B53)+IF(AE18&lt;=0,0,1566*LOOKUP(AE20,密度!$A$2:$A$50,密度!B5:B53))</f>
        <v>17084.961003600005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31</v>
      </c>
      <c r="G20" s="81">
        <v>30</v>
      </c>
      <c r="H20" s="81">
        <v>27</v>
      </c>
      <c r="I20" s="81">
        <v>34</v>
      </c>
      <c r="J20" s="81">
        <v>34</v>
      </c>
      <c r="K20" s="81">
        <v>32</v>
      </c>
      <c r="L20" s="81">
        <v>30</v>
      </c>
      <c r="M20" s="81">
        <v>32</v>
      </c>
      <c r="N20" s="81">
        <v>29</v>
      </c>
      <c r="O20" s="81">
        <v>31</v>
      </c>
      <c r="P20" s="81">
        <v>30</v>
      </c>
      <c r="Q20" s="81">
        <v>31</v>
      </c>
      <c r="R20" s="81">
        <v>31</v>
      </c>
      <c r="S20" s="81">
        <v>33</v>
      </c>
      <c r="T20" s="81">
        <v>32</v>
      </c>
      <c r="U20" s="81">
        <v>32</v>
      </c>
      <c r="V20" s="81">
        <v>32</v>
      </c>
      <c r="W20" s="81">
        <v>32</v>
      </c>
      <c r="X20" s="81">
        <v>32</v>
      </c>
      <c r="Y20" s="110">
        <v>32</v>
      </c>
      <c r="Z20" s="81">
        <v>33</v>
      </c>
      <c r="AA20" s="81">
        <v>28</v>
      </c>
      <c r="AB20" s="81">
        <v>34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2.33</v>
      </c>
      <c r="E24" s="71">
        <v>5.82</v>
      </c>
      <c r="F24" s="71">
        <v>1916</v>
      </c>
      <c r="G24" s="71">
        <v>3837</v>
      </c>
      <c r="H24" s="71">
        <v>3702</v>
      </c>
      <c r="I24" s="71">
        <v>4487</v>
      </c>
      <c r="J24" s="71">
        <v>306</v>
      </c>
      <c r="K24" s="71">
        <v>303</v>
      </c>
      <c r="L24" s="71">
        <v>302</v>
      </c>
      <c r="M24" s="71">
        <v>327</v>
      </c>
      <c r="N24" s="71">
        <v>320</v>
      </c>
      <c r="O24" s="71">
        <v>343</v>
      </c>
      <c r="P24" s="71">
        <v>374</v>
      </c>
      <c r="Q24" s="90">
        <v>1244</v>
      </c>
      <c r="R24" s="71">
        <v>351</v>
      </c>
      <c r="S24" s="71">
        <v>3227</v>
      </c>
      <c r="T24" s="71">
        <v>398</v>
      </c>
      <c r="U24" s="71">
        <v>3583</v>
      </c>
      <c r="V24" s="71">
        <v>742</v>
      </c>
      <c r="W24" s="71">
        <v>2346</v>
      </c>
      <c r="X24" s="71">
        <v>5629</v>
      </c>
      <c r="Y24" s="71">
        <v>2670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2075.2771804559998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21195.049970240001</v>
      </c>
      <c r="G25" s="91" ph="1">
        <f>G24*18.322*LOOKUP(G26,密度!$A$2:$A$50,密度!$B$2:$B$50)</f>
        <v>54624.276377999995</v>
      </c>
      <c r="H25" s="91" ph="1">
        <f>H24*18.322*LOOKUP(H26,密度!$A$2:$A$50,密度!$B$2:$B$50)</f>
        <v>52763.435427600001</v>
      </c>
      <c r="I25" s="91" ph="1">
        <f>I24*18.322*LOOKUP(I26,密度!$A$2:$A$50,密度!$Q$2:$Q$50)</f>
        <v>77657.97912068</v>
      </c>
      <c r="J25" s="91" ph="1">
        <f>J24*18.322*LOOKUP(J26,密度!$A$2:$A$50,密度!$Q$2:$Q$50)</f>
        <v>5299.9668302400005</v>
      </c>
      <c r="K25" s="91" ph="1">
        <f>K24*18.322*LOOKUP(K26,密度!$A$2:$A$50,密度!$Q$2:$Q$50)</f>
        <v>5248.00637112</v>
      </c>
      <c r="L25" s="91" ph="1">
        <f>L24*18.322*LOOKUP(L26,密度!$A$2:$A$50,密度!$Q$2:$Q$50)</f>
        <v>5230.6862180799999</v>
      </c>
      <c r="M25" s="91" ph="1">
        <f>M24*18.322*LOOKUP(M26,密度!$A$2:$A$50,密度!$Q$2:$Q$50)</f>
        <v>5663.69004408</v>
      </c>
      <c r="N25" s="91" ph="1">
        <f>N24*18.322*LOOKUP(N26,密度!$A$2:$A$50,密度!$Q$2:$Q$50)</f>
        <v>5538.3448447999999</v>
      </c>
      <c r="O25" s="91" ph="1">
        <f>O24*18.322*LOOKUP(O26,密度!$A$2:$A$50,密度!$C$2:$C$50)</f>
        <v>6959.3955003999999</v>
      </c>
      <c r="P25" s="91" ph="1">
        <f>P24*11.702*LOOKUP(P26,密度!$A$2:$A$50,密度!$B$2:$B$50)</f>
        <v>3397.0765575999999</v>
      </c>
      <c r="Q25" s="92" ph="1">
        <f>Q24*18.322*LOOKUP(Q26,密度!$A$2:$A$50,密度!$B$2:$B$50)</f>
        <v>17730.338647200002</v>
      </c>
      <c r="R25" s="91" ph="1">
        <f>R24*35.891*LOOKUP(R26,密度!$A$2:$A$50,密度!$C$2:$C$50)</f>
        <v>13940.6601906</v>
      </c>
      <c r="S25" s="91" ph="1">
        <f>S24*35.891*LOOKUP(S26,密度!$A$2:$A$50,密度!$B$2:$B$50)</f>
        <v>90096.577920299998</v>
      </c>
      <c r="T25" s="91" ph="1">
        <f>T24*35.891*LOOKUP(T26,密度!$A$2:$A$50,密度!$Q$2:$Q$50)</f>
        <v>13503.535087759999</v>
      </c>
      <c r="U25" s="91" ph="1">
        <f>U24*35.891</f>
        <v>128597.45299999999</v>
      </c>
      <c r="V25" s="91" ph="1">
        <f>V24*47.051*LOOKUP(V26,密度!$A$2:$A$50,密度!$B$2:$B$50)</f>
        <v>27126.501234000003</v>
      </c>
      <c r="W25" s="91" ph="1">
        <f>W24*47.051*LOOKUP(W26,密度!$A$2:$A$50,密度!$B$2:$B$50)</f>
        <v>85865.882423400006</v>
      </c>
      <c r="X25" s="91" ph="1">
        <f>X24*47.051*LOOKUP(X26,密度!$A$2:$A$61,密度!$I$2:$I$61)</f>
        <v>273696.07163860003</v>
      </c>
      <c r="Y25" s="91" ph="1">
        <f>Y24*47.051*LOOKUP(Y26,密度!$A$2:$A$50,密度!$L$2:$L$50)</f>
        <v>117209.21661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27</v>
      </c>
      <c r="I26" s="74">
        <v>28</v>
      </c>
      <c r="J26" s="74">
        <v>27</v>
      </c>
      <c r="K26" s="74">
        <v>27</v>
      </c>
      <c r="L26" s="74">
        <v>27</v>
      </c>
      <c r="M26" s="74">
        <v>27</v>
      </c>
      <c r="N26" s="74">
        <v>28</v>
      </c>
      <c r="O26" s="74">
        <v>27</v>
      </c>
      <c r="P26" s="74">
        <v>29</v>
      </c>
      <c r="Q26" s="93">
        <v>27</v>
      </c>
      <c r="R26" s="74">
        <v>28</v>
      </c>
      <c r="S26" s="74">
        <v>27</v>
      </c>
      <c r="T26" s="74">
        <v>27</v>
      </c>
      <c r="U26" s="74">
        <v>27</v>
      </c>
      <c r="V26" s="74">
        <v>28</v>
      </c>
      <c r="W26" s="74">
        <v>27</v>
      </c>
      <c r="X26" s="74">
        <v>33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2.82</v>
      </c>
      <c r="E27" s="71">
        <v>5.82</v>
      </c>
      <c r="F27" s="71">
        <v>1917</v>
      </c>
      <c r="G27" s="71">
        <v>3351</v>
      </c>
      <c r="H27" s="71">
        <v>3217</v>
      </c>
      <c r="I27" s="71">
        <v>2907</v>
      </c>
      <c r="J27" s="71">
        <v>302</v>
      </c>
      <c r="K27" s="71">
        <v>300</v>
      </c>
      <c r="L27" s="71">
        <v>298</v>
      </c>
      <c r="M27" s="71">
        <v>324</v>
      </c>
      <c r="N27" s="71">
        <v>316</v>
      </c>
      <c r="O27" s="71">
        <v>341</v>
      </c>
      <c r="P27" s="71">
        <v>373</v>
      </c>
      <c r="Q27" s="90">
        <v>1498</v>
      </c>
      <c r="R27" s="71">
        <v>349</v>
      </c>
      <c r="S27" s="71">
        <v>3224</v>
      </c>
      <c r="T27" s="71">
        <v>397</v>
      </c>
      <c r="U27" s="71">
        <v>3926</v>
      </c>
      <c r="V27" s="71">
        <v>738</v>
      </c>
      <c r="W27" s="71">
        <v>2345</v>
      </c>
      <c r="X27" s="71">
        <v>4786</v>
      </c>
      <c r="Y27" s="71">
        <v>2669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2199.918531024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21190.409191080002</v>
      </c>
      <c r="G28" s="91" ph="1">
        <f>G27*18.322*LOOKUP(G29,密度!$A$2:$A$50,密度!$B$2:$B$50)</f>
        <v>47601.111156599996</v>
      </c>
      <c r="H28" s="91" ph="1">
        <f>H27*18.322*LOOKUP(H29,密度!$A$2:$A$50,密度!$B$2:$B$50)</f>
        <v>45697.634912199996</v>
      </c>
      <c r="I28" s="91" ph="1">
        <f>I27*18.322*LOOKUP(I29,密度!$A$2:$A$50,密度!$Q$2:$Q$50)</f>
        <v>50312.401449479999</v>
      </c>
      <c r="J28" s="91" ph="1">
        <f>J27*18.322*LOOKUP(J29,密度!$A$2:$A$50,密度!$Q$2:$Q$50)</f>
        <v>5222.9950089200001</v>
      </c>
      <c r="K28" s="91" ph="1">
        <f>K27*18.322*LOOKUP(K29,密度!$A$2:$A$50,密度!$Q$2:$Q$50)</f>
        <v>5192.1982919999991</v>
      </c>
      <c r="L28" s="91" ph="1">
        <f>L27*18.322*LOOKUP(L29,密度!$A$2:$A$50,密度!$Q$2:$Q$50)</f>
        <v>5153.8162670800002</v>
      </c>
      <c r="M28" s="91" ph="1">
        <f>M27*18.322*LOOKUP(M29,密度!$A$2:$A$50,密度!$Q$2:$Q$50)</f>
        <v>5607.5741553600001</v>
      </c>
      <c r="N28" s="91" ph="1">
        <f>N27*18.322*LOOKUP(N29,密度!$A$2:$A$50,密度!$Q$2:$Q$50)</f>
        <v>5469.1155342399998</v>
      </c>
      <c r="O28" s="91" ph="1">
        <f>O27*18.322*LOOKUP(O29,密度!$A$2:$A$50,密度!$C$2:$C$50)</f>
        <v>6909.4442318000001</v>
      </c>
      <c r="P28" s="91" ph="1">
        <f>P27*11.702*LOOKUP(P29,密度!$A$2:$A$50,密度!$B$2:$B$50)</f>
        <v>3384.0651037999996</v>
      </c>
      <c r="Q28" s="92" ph="1">
        <f>Q27*18.322*LOOKUP(Q29,密度!$A$2:$A$50,密度!$B$2:$B$50)</f>
        <v>21303.861527199999</v>
      </c>
      <c r="R28" s="91" ph="1">
        <f>R27*35.891*LOOKUP(R29,密度!$A$2:$A$50,密度!$C$2:$C$50)</f>
        <v>13861.226229399999</v>
      </c>
      <c r="S28" s="91" ph="1">
        <f>S27*35.891*LOOKUP(S29,密度!$A$2:$A$50,密度!$B$2:$B$50)</f>
        <v>89816.107700799985</v>
      </c>
      <c r="T28" s="91" ph="1">
        <f>T27*35.891*LOOKUP(T29,密度!$A$2:$A$50,密度!$Q$2:$Q$50)</f>
        <v>13441.251640909999</v>
      </c>
      <c r="U28" s="91" ph="1">
        <f>U27*35.891</f>
        <v>140908.06599999999</v>
      </c>
      <c r="V28" s="91" ph="1">
        <f>V27*47.051*LOOKUP(V29,密度!$A$2:$A$50,密度!$B$2:$B$50)</f>
        <v>26980.266726000002</v>
      </c>
      <c r="W28" s="91" ph="1">
        <f>W27*47.051*LOOKUP(W29,密度!$A$2:$A$50,密度!$B$2:$B$50)</f>
        <v>85729.980315000008</v>
      </c>
      <c r="X28" s="91" ph="1">
        <f>X27*47.051*LOOKUP(X29,密度!$A$2:$A$61,密度!$I$2:$I$61)</f>
        <v>232437.07796920001</v>
      </c>
      <c r="Y28" s="91" ph="1">
        <f>Y27*47.051*LOOKUP(Y29,密度!$A$2:$A$50,密度!$L$2:$L$50)</f>
        <v>117165.31802700002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28</v>
      </c>
      <c r="G29" s="74">
        <v>30</v>
      </c>
      <c r="H29" s="74">
        <v>30</v>
      </c>
      <c r="I29" s="74">
        <v>28</v>
      </c>
      <c r="J29" s="74">
        <v>29</v>
      </c>
      <c r="K29" s="74">
        <v>28</v>
      </c>
      <c r="L29" s="74">
        <v>29</v>
      </c>
      <c r="M29" s="74">
        <v>28</v>
      </c>
      <c r="N29" s="74">
        <v>28</v>
      </c>
      <c r="O29" s="74">
        <v>29</v>
      </c>
      <c r="P29" s="74">
        <v>30</v>
      </c>
      <c r="Q29" s="93">
        <v>29</v>
      </c>
      <c r="R29" s="74">
        <v>28</v>
      </c>
      <c r="S29" s="74">
        <v>29</v>
      </c>
      <c r="T29" s="74">
        <v>30</v>
      </c>
      <c r="U29" s="74">
        <v>29</v>
      </c>
      <c r="V29" s="74">
        <v>28</v>
      </c>
      <c r="W29" s="74">
        <v>28</v>
      </c>
      <c r="X29" s="74">
        <v>34</v>
      </c>
      <c r="Y29" s="74">
        <v>29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125658.83697420001</v>
      </c>
      <c r="E33" s="190" ph="1">
        <f>M10+I10</f>
        <v>163015.15738659998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1522252632456786910111213141516171819202123456789101112131415161718192022232424356789101112131415161718192021222345678910111213141516171819202345678910111213149101516171819222123234567891012131415161711181920212224252345678910111213121[[#This Row],[F25]]</f>
        <v>3880</v>
      </c>
      <c r="G33" s="216" ph="1">
        <f>N19</f>
        <v>35907.7656938</v>
      </c>
      <c r="H33" s="190" ph="1">
        <f>M19</f>
        <v>50928.396978724006</v>
      </c>
      <c r="I33" s="194" ph="1">
        <v>0</v>
      </c>
      <c r="J33" s="198" ph="1">
        <f>F10+O28</f>
        <v>151936.30320620001</v>
      </c>
      <c r="K33" s="190" ph="1">
        <f>O10+K10+E28+R28</f>
        <v>77051.999814040013</v>
      </c>
      <c r="L33" s="200" ph="1">
        <f>K19</f>
        <v>45892.566222999994</v>
      </c>
      <c r="M33" s="198" ph="1">
        <f>G10+H10+W28+S28+V28+E10+R19+P28+Q28</f>
        <v>472624.25793659996</v>
      </c>
      <c r="N33" s="190" ph="1">
        <f>L10+P10++G28+H28+AD19+AE19</f>
        <v>178403.16238800003</v>
      </c>
      <c r="O33" s="194" ph="1">
        <f>G19</f>
        <v>34481.168699380003</v>
      </c>
      <c r="P33" s="198" ph="1">
        <f>L19</f>
        <v>36686.270183039996</v>
      </c>
      <c r="Q33" s="190" ph="1">
        <f>J10+N10</f>
        <v>135579.84204151999</v>
      </c>
      <c r="R33" s="194" ph="1">
        <f>BE23</f>
        <v>890</v>
      </c>
      <c r="S33" s="198" ph="1">
        <f>X28</f>
        <v>232437.07796920001</v>
      </c>
      <c r="T33" s="190" ph="1">
        <f>X19</f>
        <v>15471.173434799999</v>
      </c>
      <c r="U33" s="179" ph="1">
        <f>BE21</f>
        <v>730</v>
      </c>
      <c r="V33" s="192" ph="1">
        <f ca="1">P19+Q19+S19+M28+N28+J28+D10+AC10+D19+E19+H19+J19+O19+V19+W19+K28+L28</f>
        <v>745447.4870150619</v>
      </c>
      <c r="W33" s="192" ph="1">
        <f>D28+F28+T28+I28</f>
        <v>87143.980812494003</v>
      </c>
      <c r="X33" s="194" ph="1">
        <f>BE29+BE31</f>
        <v>10200</v>
      </c>
      <c r="Y33" s="196" ph="1">
        <f>+Q10+R10+S10+T10+U10+V10+W10+X10+Y10</f>
        <v>266838.02422199998</v>
      </c>
      <c r="Z33" s="177" ph="1">
        <f>T19+U19+Y28+Z10</f>
        <v>267180.86304740002</v>
      </c>
      <c r="AA33" s="179" ph="1">
        <f>BE19</f>
        <v>1440</v>
      </c>
      <c r="AB33" s="181" ph="1">
        <f>I19</f>
        <v>28867.173761599999</v>
      </c>
      <c r="AC33" s="183" ph="1">
        <f>AD10+AB19</f>
        <v>66197.309875199993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659" priority="102">
      <formula>ABS(D$7-D$10)&gt;=1000</formula>
    </cfRule>
  </conditionalFormatting>
  <conditionalFormatting sqref="E4 E6:E11">
    <cfRule type="expression" dxfId="658" priority="101">
      <formula>ABS(E$7-E$10)&gt;=1000</formula>
    </cfRule>
  </conditionalFormatting>
  <conditionalFormatting sqref="F4:F11">
    <cfRule type="expression" dxfId="657" priority="100">
      <formula>ABS(F$7-F$10)&gt;=1000</formula>
    </cfRule>
  </conditionalFormatting>
  <conditionalFormatting sqref="G4:G11">
    <cfRule type="expression" dxfId="656" priority="99">
      <formula>ABS(G$7-G$10)&gt;=1000</formula>
    </cfRule>
  </conditionalFormatting>
  <conditionalFormatting sqref="H4:H11">
    <cfRule type="expression" dxfId="655" priority="98">
      <formula>ABS(H$7-H$10)&gt;=1000</formula>
    </cfRule>
  </conditionalFormatting>
  <conditionalFormatting sqref="I4:I11">
    <cfRule type="expression" dxfId="654" priority="97">
      <formula>ABS(I$7-I$10)&gt;=1000</formula>
    </cfRule>
  </conditionalFormatting>
  <conditionalFormatting sqref="J4:J11">
    <cfRule type="expression" dxfId="653" priority="96">
      <formula>ABS(J$7-J$10)&gt;=1000</formula>
    </cfRule>
  </conditionalFormatting>
  <conditionalFormatting sqref="K4:K11">
    <cfRule type="expression" dxfId="652" priority="95">
      <formula>ABS(K$7-K$10)&gt;=1000</formula>
    </cfRule>
  </conditionalFormatting>
  <conditionalFormatting sqref="L4:L11">
    <cfRule type="expression" dxfId="651" priority="94">
      <formula>ABS(L$7-L$10)&gt;=1000</formula>
    </cfRule>
  </conditionalFormatting>
  <conditionalFormatting sqref="M4 M6:M11">
    <cfRule type="expression" dxfId="650" priority="93">
      <formula>ABS(M$7-M$10)&gt;=1000</formula>
    </cfRule>
  </conditionalFormatting>
  <conditionalFormatting sqref="N4 N6:N11">
    <cfRule type="expression" dxfId="649" priority="92">
      <formula>ABS(N$7-N$10)&gt;=1000</formula>
    </cfRule>
  </conditionalFormatting>
  <conditionalFormatting sqref="O4 O6:O11">
    <cfRule type="expression" dxfId="648" priority="91">
      <formula>ABS(O$7-O$10)&gt;=1000</formula>
    </cfRule>
  </conditionalFormatting>
  <conditionalFormatting sqref="P4 P6:P11">
    <cfRule type="expression" dxfId="647" priority="90">
      <formula>ABS(P$7-P$10)&gt;=1000</formula>
    </cfRule>
  </conditionalFormatting>
  <conditionalFormatting sqref="Q4:Q11">
    <cfRule type="expression" dxfId="646" priority="89">
      <formula>ABS(Q$7-Q$10)&gt;=1000</formula>
    </cfRule>
  </conditionalFormatting>
  <conditionalFormatting sqref="R4:R11">
    <cfRule type="expression" dxfId="645" priority="88">
      <formula>ABS(R$7-R$10)&gt;=1000</formula>
    </cfRule>
  </conditionalFormatting>
  <conditionalFormatting sqref="S4:S11">
    <cfRule type="expression" dxfId="644" priority="87">
      <formula>ABS(S$7-S$10)&gt;=1000</formula>
    </cfRule>
  </conditionalFormatting>
  <conditionalFormatting sqref="T4:T9 T11">
    <cfRule type="expression" dxfId="643" priority="86">
      <formula>ABS(T$7-T$10)&gt;=1000</formula>
    </cfRule>
  </conditionalFormatting>
  <conditionalFormatting sqref="U4:U9 U11">
    <cfRule type="expression" dxfId="642" priority="85">
      <formula>ABS(U$7-U$10)&gt;=1000</formula>
    </cfRule>
  </conditionalFormatting>
  <conditionalFormatting sqref="V4:V9 V11">
    <cfRule type="expression" dxfId="641" priority="84">
      <formula>ABS(V$7-V$10)&gt;=1000</formula>
    </cfRule>
  </conditionalFormatting>
  <conditionalFormatting sqref="W4:W9 W11">
    <cfRule type="expression" dxfId="640" priority="83">
      <formula>ABS(W$7-W$10)&gt;=1000</formula>
    </cfRule>
  </conditionalFormatting>
  <conditionalFormatting sqref="X4:X9 X11">
    <cfRule type="expression" dxfId="639" priority="82">
      <formula>ABS(X$7-X$10)&gt;=1000</formula>
    </cfRule>
  </conditionalFormatting>
  <conditionalFormatting sqref="Y4:Y9 Y11">
    <cfRule type="expression" dxfId="638" priority="81">
      <formula>ABS(Y$7-Y$10)&gt;=1000</formula>
    </cfRule>
  </conditionalFormatting>
  <conditionalFormatting sqref="Z4:Z11">
    <cfRule type="expression" dxfId="637" priority="80">
      <formula>ABS(Z$7-Z$10)&gt;=1000</formula>
    </cfRule>
  </conditionalFormatting>
  <conditionalFormatting sqref="AA4:AA11">
    <cfRule type="expression" dxfId="636" priority="79">
      <formula>ABS(AA$7-AA$10)&gt;=1000</formula>
    </cfRule>
  </conditionalFormatting>
  <conditionalFormatting sqref="AB4:AB11">
    <cfRule type="expression" dxfId="635" priority="78">
      <formula>ABS(AB$7-AB$10)&gt;=1000</formula>
    </cfRule>
  </conditionalFormatting>
  <conditionalFormatting sqref="AC4 AC6:AC11">
    <cfRule type="expression" dxfId="634" priority="77">
      <formula>ABS(AC$7-AC$10)&gt;=1000</formula>
    </cfRule>
  </conditionalFormatting>
  <conditionalFormatting sqref="AD4 AD6:AD11">
    <cfRule type="expression" dxfId="633" priority="76">
      <formula>ABS(AD$7-AD$10)&gt;=1000</formula>
    </cfRule>
  </conditionalFormatting>
  <conditionalFormatting sqref="AE4 AE6:AE11">
    <cfRule type="expression" dxfId="632" priority="75">
      <formula>ABS(AE$7-AE$10)&gt;=1000</formula>
    </cfRule>
  </conditionalFormatting>
  <conditionalFormatting sqref="D13:D20">
    <cfRule type="expression" dxfId="631" priority="74">
      <formula>ABS(D$16-D$19)&gt;=1000</formula>
    </cfRule>
  </conditionalFormatting>
  <conditionalFormatting sqref="E13:E20">
    <cfRule type="expression" dxfId="630" priority="73">
      <formula>ABS(E$16-E$19)&gt;=1000</formula>
    </cfRule>
  </conditionalFormatting>
  <conditionalFormatting sqref="F13 F15:F20">
    <cfRule type="expression" dxfId="629" priority="72">
      <formula>ABS(F$16-F$19)&gt;=1000</formula>
    </cfRule>
  </conditionalFormatting>
  <conditionalFormatting sqref="G13:G20">
    <cfRule type="expression" dxfId="628" priority="71">
      <formula>ABS(G$16-G$19)&gt;=1000</formula>
    </cfRule>
  </conditionalFormatting>
  <conditionalFormatting sqref="H13 H15:H20">
    <cfRule type="expression" dxfId="627" priority="70">
      <formula>ABS(H$16-H$19)&gt;=1000</formula>
    </cfRule>
  </conditionalFormatting>
  <conditionalFormatting sqref="I13:I20">
    <cfRule type="expression" dxfId="626" priority="69">
      <formula>ABS(I$16-I$19)&gt;=1000</formula>
    </cfRule>
  </conditionalFormatting>
  <conditionalFormatting sqref="J13:J20">
    <cfRule type="expression" dxfId="625" priority="68">
      <formula>ABS(J$16-J$19)&gt;=1000</formula>
    </cfRule>
  </conditionalFormatting>
  <conditionalFormatting sqref="L13:L20">
    <cfRule type="expression" dxfId="624" priority="67">
      <formula>ABS(L$16-L$19)&gt;=1000</formula>
    </cfRule>
  </conditionalFormatting>
  <conditionalFormatting sqref="M13 M15 M17:M18 M20">
    <cfRule type="expression" dxfId="623" priority="66">
      <formula>ABS(M$16-M$19)&gt;=1000</formula>
    </cfRule>
  </conditionalFormatting>
  <conditionalFormatting sqref="N13:N20">
    <cfRule type="expression" dxfId="622" priority="65">
      <formula>ABS(N$16-N$19)&gt;=1000</formula>
    </cfRule>
  </conditionalFormatting>
  <conditionalFormatting sqref="O13:O20">
    <cfRule type="expression" dxfId="621" priority="64">
      <formula>ABS(O$16-O$19)&gt;=1000</formula>
    </cfRule>
  </conditionalFormatting>
  <conditionalFormatting sqref="P13:P20">
    <cfRule type="expression" dxfId="620" priority="63">
      <formula>ABS(P$16-P$19)&gt;=1000</formula>
    </cfRule>
  </conditionalFormatting>
  <conditionalFormatting sqref="Q13 Q15:Q20">
    <cfRule type="expression" dxfId="619" priority="62">
      <formula>ABS(Q$16-Q$19)&gt;=1000</formula>
    </cfRule>
  </conditionalFormatting>
  <conditionalFormatting sqref="R13:R20">
    <cfRule type="expression" dxfId="618" priority="61">
      <formula>ABS(R$16-R$19)&gt;=1000</formula>
    </cfRule>
  </conditionalFormatting>
  <conditionalFormatting sqref="S13:S20">
    <cfRule type="expression" dxfId="617" priority="60">
      <formula>ABS(S$16-S$19)&gt;=1000</formula>
    </cfRule>
  </conditionalFormatting>
  <conditionalFormatting sqref="T13:T15 T17:T20">
    <cfRule type="expression" dxfId="616" priority="59">
      <formula>ABS(T$16-T$19)&gt;=1000</formula>
    </cfRule>
  </conditionalFormatting>
  <conditionalFormatting sqref="U13:U20">
    <cfRule type="expression" dxfId="615" priority="58">
      <formula>ABS(U$16-U$19)&gt;=1000</formula>
    </cfRule>
  </conditionalFormatting>
  <conditionalFormatting sqref="V13:V20">
    <cfRule type="expression" dxfId="614" priority="57">
      <formula>ABS(V$16-V$19)&gt;=1000</formula>
    </cfRule>
  </conditionalFormatting>
  <conditionalFormatting sqref="W13 W20 W15:W18">
    <cfRule type="expression" dxfId="613" priority="56">
      <formula>ABS(W$16-W$19)&gt;=1000</formula>
    </cfRule>
  </conditionalFormatting>
  <conditionalFormatting sqref="X13 X15:X20 Y19">
    <cfRule type="expression" dxfId="612" priority="55">
      <formula>ABS(X$16-X$19)&gt;=1000</formula>
    </cfRule>
  </conditionalFormatting>
  <conditionalFormatting sqref="Y13 Y15:Y18 Y20">
    <cfRule type="expression" dxfId="611" priority="54">
      <formula>ABS(Y$16-Y$19)&gt;=1000</formula>
    </cfRule>
  </conditionalFormatting>
  <conditionalFormatting sqref="Z13:Z20">
    <cfRule type="expression" dxfId="610" priority="53">
      <formula>ABS(Z$16-Z$19)&gt;=1000</formula>
    </cfRule>
  </conditionalFormatting>
  <conditionalFormatting sqref="AA13:AA20">
    <cfRule type="expression" dxfId="609" priority="52">
      <formula>ABS(AA$16-AA$19)&gt;=1000</formula>
    </cfRule>
  </conditionalFormatting>
  <conditionalFormatting sqref="AB13 AB15:AB20">
    <cfRule type="expression" dxfId="608" priority="51">
      <formula>ABS(AB$16-AB$19)&gt;=1000</formula>
    </cfRule>
  </conditionalFormatting>
  <conditionalFormatting sqref="AC13 AC15:AC20">
    <cfRule type="expression" dxfId="607" priority="50">
      <formula>ABS(AC$16-AC$19)&gt;=1000</formula>
    </cfRule>
  </conditionalFormatting>
  <conditionalFormatting sqref="AD13:AD20">
    <cfRule type="expression" dxfId="606" priority="49">
      <formula>ABS(AD$16-AD$19)&gt;=1000</formula>
    </cfRule>
  </conditionalFormatting>
  <conditionalFormatting sqref="AE13:AE20">
    <cfRule type="expression" dxfId="605" priority="48">
      <formula>ABS(AE$16-AE$19)&gt;=1000</formula>
    </cfRule>
  </conditionalFormatting>
  <conditionalFormatting sqref="D22:D29">
    <cfRule type="expression" dxfId="604" priority="47">
      <formula>ABS(D$25-D$28)&gt;=1000</formula>
    </cfRule>
  </conditionalFormatting>
  <conditionalFormatting sqref="E22:E29">
    <cfRule type="expression" dxfId="603" priority="46">
      <formula>ABS(E$25-E$28)&gt;=1000</formula>
    </cfRule>
  </conditionalFormatting>
  <conditionalFormatting sqref="F22:F29">
    <cfRule type="expression" dxfId="602" priority="45">
      <formula>ABS(F$25-F$28)&gt;=1000</formula>
    </cfRule>
  </conditionalFormatting>
  <conditionalFormatting sqref="G22:G29">
    <cfRule type="expression" dxfId="601" priority="44">
      <formula>ABS(G$25-G$28)&gt;=1000</formula>
    </cfRule>
  </conditionalFormatting>
  <conditionalFormatting sqref="H22:H29">
    <cfRule type="expression" dxfId="600" priority="43">
      <formula>ABS(H$25-H$28)&gt;=1000</formula>
    </cfRule>
  </conditionalFormatting>
  <conditionalFormatting sqref="I22 I24:I29">
    <cfRule type="expression" dxfId="599" priority="42">
      <formula>ABS(I$25-I$28)&gt;=1000</formula>
    </cfRule>
  </conditionalFormatting>
  <conditionalFormatting sqref="J22:J29 K22">
    <cfRule type="expression" dxfId="598" priority="41">
      <formula>ABS(J$25-J$28)&gt;=1000</formula>
    </cfRule>
  </conditionalFormatting>
  <conditionalFormatting sqref="K23:K29 L25 L28">
    <cfRule type="expression" dxfId="597" priority="40">
      <formula>ABS(K$25-K$28)&gt;=1000</formula>
    </cfRule>
  </conditionalFormatting>
  <conditionalFormatting sqref="L22 L26:L27 L29 L24">
    <cfRule type="expression" dxfId="596" priority="39">
      <formula>ABS(L$25-L$28)&gt;=1000</formula>
    </cfRule>
  </conditionalFormatting>
  <conditionalFormatting sqref="M22:M29">
    <cfRule type="expression" dxfId="595" priority="38">
      <formula>ABS(M$25-M$28)&gt;=1000</formula>
    </cfRule>
  </conditionalFormatting>
  <conditionalFormatting sqref="N22:N29">
    <cfRule type="expression" dxfId="594" priority="37">
      <formula>ABS(N$25-N$28)&gt;=1000</formula>
    </cfRule>
  </conditionalFormatting>
  <conditionalFormatting sqref="O22 O24:O29">
    <cfRule type="expression" dxfId="593" priority="36">
      <formula>ABS(O$25-O$28)&gt;=1000</formula>
    </cfRule>
  </conditionalFormatting>
  <conditionalFormatting sqref="P22:P29">
    <cfRule type="expression" dxfId="592" priority="35">
      <formula>ABS(P$25-P$28)&gt;=1000</formula>
    </cfRule>
  </conditionalFormatting>
  <conditionalFormatting sqref="Q22:Q29">
    <cfRule type="expression" dxfId="591" priority="34">
      <formula>ABS(Q$25-Q$28)&gt;=1000</formula>
    </cfRule>
  </conditionalFormatting>
  <conditionalFormatting sqref="R22:R29">
    <cfRule type="expression" dxfId="590" priority="33">
      <formula>ABS(R$25-R$28)&gt;=1000</formula>
    </cfRule>
  </conditionalFormatting>
  <conditionalFormatting sqref="S22:S29">
    <cfRule type="expression" dxfId="589" priority="32">
      <formula>ABS(S$25-S$28)&gt;=1000</formula>
    </cfRule>
  </conditionalFormatting>
  <conditionalFormatting sqref="T22:T29">
    <cfRule type="expression" dxfId="588" priority="31">
      <formula>ABS(T$25-T$28)&gt;=1000</formula>
    </cfRule>
  </conditionalFormatting>
  <conditionalFormatting sqref="U22:U29">
    <cfRule type="expression" dxfId="587" priority="30">
      <formula>ABS(U$25-U$28)&gt;=1000</formula>
    </cfRule>
  </conditionalFormatting>
  <conditionalFormatting sqref="V22:V29">
    <cfRule type="expression" dxfId="586" priority="29">
      <formula>ABS(V$25-V$28)&gt;=1000</formula>
    </cfRule>
  </conditionalFormatting>
  <conditionalFormatting sqref="W22:W29">
    <cfRule type="expression" dxfId="585" priority="28">
      <formula>ABS(W$25-W$28)&gt;=1000</formula>
    </cfRule>
  </conditionalFormatting>
  <conditionalFormatting sqref="X22:X29">
    <cfRule type="expression" dxfId="584" priority="27">
      <formula>ABS(X$25-X$28)&gt;=1000</formula>
    </cfRule>
  </conditionalFormatting>
  <conditionalFormatting sqref="Y22:Y29">
    <cfRule type="expression" dxfId="583" priority="26">
      <formula>ABS(Y$25-Y$28)&gt;=1000</formula>
    </cfRule>
  </conditionalFormatting>
  <conditionalFormatting sqref="I23">
    <cfRule type="expression" dxfId="582" priority="25">
      <formula>ABS(I$25-I$28)&gt;=1000</formula>
    </cfRule>
  </conditionalFormatting>
  <conditionalFormatting sqref="Q14">
    <cfRule type="expression" dxfId="581" priority="24">
      <formula>ABS(Q$16-Q$19)&gt;=1000</formula>
    </cfRule>
  </conditionalFormatting>
  <conditionalFormatting sqref="W14">
    <cfRule type="expression" dxfId="580" priority="23">
      <formula>ABS(W$16-W$19)&gt;=1000</formula>
    </cfRule>
  </conditionalFormatting>
  <conditionalFormatting sqref="X14">
    <cfRule type="expression" dxfId="579" priority="22">
      <formula>ABS(X$16-X$19)&gt;=1000</formula>
    </cfRule>
  </conditionalFormatting>
  <conditionalFormatting sqref="T10:Y10">
    <cfRule type="expression" dxfId="578" priority="21">
      <formula>ABS(T$7-T$10)&gt;=1000</formula>
    </cfRule>
  </conditionalFormatting>
  <conditionalFormatting sqref="W19">
    <cfRule type="expression" dxfId="577" priority="20">
      <formula>ABS(W$16-W$19)&gt;=1000</formula>
    </cfRule>
  </conditionalFormatting>
  <conditionalFormatting sqref="AC5">
    <cfRule type="expression" dxfId="576" priority="19">
      <formula>ABS(AC$7-AC$10)&gt;=1000</formula>
    </cfRule>
  </conditionalFormatting>
  <conditionalFormatting sqref="M14">
    <cfRule type="expression" dxfId="575" priority="18">
      <formula>ABS(M$16-M$19)&gt;=1000</formula>
    </cfRule>
  </conditionalFormatting>
  <conditionalFormatting sqref="M16">
    <cfRule type="expression" dxfId="574" priority="17">
      <formula>ABS(M$16-M$19)&gt;=1000</formula>
    </cfRule>
  </conditionalFormatting>
  <conditionalFormatting sqref="M19">
    <cfRule type="expression" dxfId="573" priority="16">
      <formula>ABS(M$16-M$19)&gt;=1000</formula>
    </cfRule>
  </conditionalFormatting>
  <conditionalFormatting sqref="K13:K20">
    <cfRule type="expression" dxfId="572" priority="15">
      <formula>ABS(K$16-K$19)&gt;=1000</formula>
    </cfRule>
  </conditionalFormatting>
  <conditionalFormatting sqref="E5">
    <cfRule type="expression" dxfId="571" priority="14">
      <formula>ABS(E$7-E$10)&gt;=1000</formula>
    </cfRule>
  </conditionalFormatting>
  <conditionalFormatting sqref="AB14:AC14">
    <cfRule type="expression" dxfId="570" priority="13">
      <formula>ABS(AB$16-AB$19)&gt;=1000</formula>
    </cfRule>
  </conditionalFormatting>
  <conditionalFormatting sqref="M5">
    <cfRule type="expression" dxfId="569" priority="12">
      <formula>ABS(M$7-M$10)&gt;=1000</formula>
    </cfRule>
  </conditionalFormatting>
  <conditionalFormatting sqref="N5">
    <cfRule type="expression" dxfId="568" priority="11">
      <formula>ABS(N$7-N$10)&gt;=1000</formula>
    </cfRule>
  </conditionalFormatting>
  <conditionalFormatting sqref="O5">
    <cfRule type="expression" dxfId="567" priority="10">
      <formula>ABS(O$7-O$10)&gt;=1000</formula>
    </cfRule>
  </conditionalFormatting>
  <conditionalFormatting sqref="P5">
    <cfRule type="expression" dxfId="566" priority="9">
      <formula>ABS(P$7-P$10)&gt;=1000</formula>
    </cfRule>
  </conditionalFormatting>
  <conditionalFormatting sqref="L23">
    <cfRule type="expression" dxfId="565" priority="8">
      <formula>ABS(L$25-L$28)&gt;=1000</formula>
    </cfRule>
  </conditionalFormatting>
  <conditionalFormatting sqref="Y14">
    <cfRule type="expression" dxfId="564" priority="7">
      <formula>ABS(Y$16-Y$19)&gt;=1000</formula>
    </cfRule>
  </conditionalFormatting>
  <conditionalFormatting sqref="F14">
    <cfRule type="expression" dxfId="563" priority="6">
      <formula>ABS(F$16-F$19)&gt;=1000</formula>
    </cfRule>
  </conditionalFormatting>
  <conditionalFormatting sqref="H14">
    <cfRule type="expression" dxfId="562" priority="5">
      <formula>ABS(H$16-H$19)&gt;=1000</formula>
    </cfRule>
  </conditionalFormatting>
  <conditionalFormatting sqref="AD5">
    <cfRule type="expression" dxfId="561" priority="4">
      <formula>ABS(AD$7-AD$10)&gt;=1000</formula>
    </cfRule>
  </conditionalFormatting>
  <conditionalFormatting sqref="AE5">
    <cfRule type="expression" dxfId="560" priority="3">
      <formula>ABS(AE$7-AE$10)&gt;=1000</formula>
    </cfRule>
  </conditionalFormatting>
  <conditionalFormatting sqref="T16">
    <cfRule type="expression" dxfId="559" priority="2">
      <formula>ABS(T$16-T$19)&gt;=1000</formula>
    </cfRule>
  </conditionalFormatting>
  <conditionalFormatting sqref="O23">
    <cfRule type="expression" dxfId="528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8401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0">
    <pageSetUpPr fitToPage="1"/>
  </sheetPr>
  <dimension ref="A1:CU223"/>
  <sheetViews>
    <sheetView view="pageBreakPreview" topLeftCell="K19" zoomScaleNormal="100" zoomScaleSheetLayoutView="100" workbookViewId="0">
      <selection activeCell="S24" sqref="S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46231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142</v>
      </c>
      <c r="E6" s="71">
        <v>710</v>
      </c>
      <c r="F6" s="71">
        <v>4055</v>
      </c>
      <c r="G6" s="71">
        <v>3650</v>
      </c>
      <c r="H6" s="71">
        <v>876</v>
      </c>
      <c r="I6" s="71">
        <v>38.61</v>
      </c>
      <c r="J6" s="71">
        <v>76.81</v>
      </c>
      <c r="K6" s="71">
        <v>36.71</v>
      </c>
      <c r="L6" s="71">
        <v>6.31</v>
      </c>
      <c r="M6" s="71">
        <v>4466</v>
      </c>
      <c r="N6" s="71">
        <v>4573</v>
      </c>
      <c r="O6" s="71">
        <v>2926</v>
      </c>
      <c r="P6" s="71">
        <v>1893</v>
      </c>
      <c r="Q6" s="71">
        <v>2993</v>
      </c>
      <c r="R6" s="71">
        <v>0</v>
      </c>
      <c r="S6" s="71">
        <v>7189</v>
      </c>
      <c r="T6" s="71">
        <v>7189</v>
      </c>
      <c r="U6" s="71">
        <v>7157</v>
      </c>
      <c r="V6" s="71">
        <v>7058</v>
      </c>
      <c r="W6" s="71">
        <v>0</v>
      </c>
      <c r="X6" s="71">
        <v>2126</v>
      </c>
      <c r="Y6" s="71">
        <v>0</v>
      </c>
      <c r="Z6" s="71">
        <v>5420</v>
      </c>
      <c r="AA6" s="71">
        <v>1097</v>
      </c>
      <c r="AB6" s="71">
        <v>4208</v>
      </c>
      <c r="AC6" s="71">
        <v>7626</v>
      </c>
      <c r="AD6" s="71">
        <v>3380</v>
      </c>
      <c r="AE6" s="71">
        <v>4108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4451.0362153200003</v>
      </c>
      <c r="E7" s="73" ph="1">
        <f>E6*51.53*LOOKUP(E8,密度!$A$2:$A$50,密度!$B$2:$B$50)</f>
        <v>28398.286060000002</v>
      </c>
      <c r="F7" s="73" ph="1">
        <f>F6*33.183*LOOKUP(F8,密度!$A$2:$A$50,密度!$C$2:$C$50)</f>
        <v>148900.84812900002</v>
      </c>
      <c r="G7" s="73" ph="1">
        <f xml:space="preserve"> (G6+2)*51.53*LOOKUP(G8,密度!$A$2:$A$50,密度!$B$2:$B$50)</f>
        <v>146071.184072</v>
      </c>
      <c r="H7" s="73" ph="1">
        <f>(H6)*51.53*LOOKUP(H8,密度!$A$2:$A$50,密度!$B$2:$B$50)</f>
        <v>35150.736035999995</v>
      </c>
      <c r="I7" s="73" ph="1">
        <f>I6*290.8*1.0267</f>
        <v>11527.5699396</v>
      </c>
      <c r="J7" s="73" ph="1">
        <f>J6*290.8*0.7892</f>
        <v>17627.845841600003</v>
      </c>
      <c r="K7" s="73" ph="1">
        <f>K6*290.8*1.1126</f>
        <v>11877.3031768</v>
      </c>
      <c r="L7" s="73" ph="1">
        <f>L6*290.8*0.777</f>
        <v>1425.754596</v>
      </c>
      <c r="M7" s="73" ph="1">
        <f>M6*33.183*LOOKUP(M8,密度!$A$2:$A$50,密度!$D$2:$D$50)</f>
        <v>151737.14514419998</v>
      </c>
      <c r="N7" s="73" ph="1">
        <f>N6*33.183*LOOKUP(N8,密度!$A$2:$A$50,密度!$E$2:$E$50)</f>
        <v>117997.57995839999</v>
      </c>
      <c r="O7" s="73" ph="1">
        <f>O6*20.428*LOOKUP(O8,密度!$A$2:$A$50,密度!$C$2:$C$50)</f>
        <v>65869.105456000005</v>
      </c>
      <c r="P7" s="73" ph="1">
        <f>P6*51.53*LOOKUP(P8,密度!$A$2:$A$50,密度!$B$2:$B$50)</f>
        <v>75881.25899100001</v>
      </c>
      <c r="Q7" s="73" ph="1">
        <f>Q6*1.5*1.5*3.1416*LOOKUP(W8,密度!$A$2:$A$50,密度!$L$2:$L$50)</f>
        <v>19781.159013</v>
      </c>
      <c r="R7" s="73" ph="1">
        <f>R6*1.5*1.5*3.1416*LOOKUP(R8,密度!$A$2:$A$50,密度!$L$2:$L$50)</f>
        <v>0</v>
      </c>
      <c r="S7" s="73" ph="1">
        <f>S6*1.5*1.5*3.1416*LOOKUP(S8,密度!$A$2:$A$50,密度!$L$2:$L$50)</f>
        <v>47614.746979800002</v>
      </c>
      <c r="T7" s="73" ph="1">
        <f>T6*1.5*1.5*3.1416*LOOKUP(T8,密度!$A$2:$A$50,密度!$L$2:$L$50)</f>
        <v>47614.746979800002</v>
      </c>
      <c r="U7" s="73" ph="1">
        <f>U6*1.5*1.5*3.1416*LOOKUP(U8,密度!$A$2:$A$50,密度!$L$2:$L$50)</f>
        <v>47251.032166799996</v>
      </c>
      <c r="V7" s="73" ph="1">
        <f>V6*1.5*1.5*3.1416*LOOKUP(V8,密度!$A$2:$A$50,密度!$L$2:$L$50)</f>
        <v>46597.426999200005</v>
      </c>
      <c r="W7" s="73" ph="1">
        <f>W6*1.5*1.5*3.1416*LOOKUP(W8,密度!$A$2:$A$50,密度!$L$2:$L$50)</f>
        <v>0</v>
      </c>
      <c r="X7" s="73" ph="1">
        <f>X6*1.5*1.5*3.1416*LOOKUP(X8,密度!$A$2:$A$50,密度!$L$2:$L$50)</f>
        <v>14066.061609600001</v>
      </c>
      <c r="Y7" s="73" ph="1">
        <f>Y6*1.5*1.5*3.1416*LOOKUP(Y8,密度!$A$2:$A$50,密度!$L$2:$L$50)</f>
        <v>0</v>
      </c>
      <c r="Z7" s="73" ph="1">
        <f>Z6*33.183*LOOKUP(Z8,密度!$A$2:$A$50,密度!$L$2:$L$50)</f>
        <v>168161.48910000001</v>
      </c>
      <c r="AA7" s="73" ph="1">
        <f>AA6*33.183*LOOKUP(AA8,密度!$A$2:$A$50,密度!$D$2:$D$50)</f>
        <v>37137.066370199995</v>
      </c>
      <c r="AB7" s="73" ph="1">
        <f>AB6*20.428*LOOKUP(AB8,密度!$A$2:$A$50,密度!$D$2:$D$50)</f>
        <v>88419.509286400003</v>
      </c>
      <c r="AC7" s="73" ph="1">
        <f>AC6*51.53*LOOKUP(AC8,密度!$A$2:$A$50,密度!$Q$2:$Q$50)</f>
        <v>370698.29590740002</v>
      </c>
      <c r="AD7" s="73" ph="1">
        <f>AD6*20.428*LOOKUP(AD8,密度!$A$2:$A$50,密度!$V$2:$V$50)</f>
        <v>66119.062464000002</v>
      </c>
      <c r="AE7" s="73" ph="1">
        <f>AE6*20.428</f>
        <v>83918.224000000002</v>
      </c>
    </row>
    <row r="8" spans="1:99" ph="1">
      <c r="B8" s="241" ph="1"/>
      <c r="C8" s="68" t="s" ph="1">
        <v>179</v>
      </c>
      <c r="D8" s="74">
        <v>28</v>
      </c>
      <c r="E8" s="74">
        <v>29</v>
      </c>
      <c r="F8" s="74">
        <v>28</v>
      </c>
      <c r="G8" s="74">
        <v>29</v>
      </c>
      <c r="H8" s="74">
        <v>26</v>
      </c>
      <c r="I8" s="74">
        <v>25</v>
      </c>
      <c r="J8" s="74">
        <v>25</v>
      </c>
      <c r="K8" s="74">
        <v>25</v>
      </c>
      <c r="L8" s="74">
        <v>25</v>
      </c>
      <c r="M8" s="74">
        <v>28</v>
      </c>
      <c r="N8" s="74">
        <v>30</v>
      </c>
      <c r="O8" s="74">
        <v>33</v>
      </c>
      <c r="P8" s="74">
        <v>27</v>
      </c>
      <c r="Q8" s="74">
        <v>30</v>
      </c>
      <c r="R8" s="74">
        <v>33</v>
      </c>
      <c r="S8" s="74">
        <v>25</v>
      </c>
      <c r="T8" s="74">
        <v>25</v>
      </c>
      <c r="U8" s="74">
        <v>28</v>
      </c>
      <c r="V8" s="74">
        <v>28</v>
      </c>
      <c r="W8" s="74">
        <v>27</v>
      </c>
      <c r="X8" s="74">
        <v>26</v>
      </c>
      <c r="Y8" s="74">
        <v>27</v>
      </c>
      <c r="Z8" s="74">
        <v>27</v>
      </c>
      <c r="AA8" s="74">
        <v>32</v>
      </c>
      <c r="AB8" s="74">
        <v>23</v>
      </c>
      <c r="AC8" s="74">
        <v>30</v>
      </c>
      <c r="AD8" s="74">
        <v>27</v>
      </c>
      <c r="AE8" s="74">
        <v>28</v>
      </c>
    </row>
    <row r="9" spans="1:99" ht="26.4" ph="1">
      <c r="B9" s="241" ph="1">
        <v>0.66666666666666663</v>
      </c>
      <c r="C9" s="163" t="s" ph="1">
        <v>180</v>
      </c>
      <c r="D9" s="71">
        <v>141</v>
      </c>
      <c r="E9" s="71">
        <v>278</v>
      </c>
      <c r="F9" s="71">
        <v>4701</v>
      </c>
      <c r="G9" s="71">
        <v>3385</v>
      </c>
      <c r="H9" s="71">
        <v>1773</v>
      </c>
      <c r="I9" s="71">
        <v>38.61</v>
      </c>
      <c r="J9" s="71">
        <v>77.02</v>
      </c>
      <c r="K9" s="71">
        <v>17.010000000000002</v>
      </c>
      <c r="L9" s="71">
        <v>27</v>
      </c>
      <c r="M9" s="71">
        <v>4254</v>
      </c>
      <c r="N9" s="71">
        <v>4578</v>
      </c>
      <c r="O9" s="71">
        <v>3559</v>
      </c>
      <c r="P9" s="71">
        <v>1764</v>
      </c>
      <c r="Q9" s="71">
        <v>0</v>
      </c>
      <c r="R9" s="71">
        <v>2642</v>
      </c>
      <c r="S9" s="71">
        <v>6665</v>
      </c>
      <c r="T9" s="71">
        <v>7198</v>
      </c>
      <c r="U9" s="71">
        <v>7165</v>
      </c>
      <c r="V9" s="71">
        <v>7071</v>
      </c>
      <c r="W9" s="71">
        <v>5060</v>
      </c>
      <c r="X9" s="71">
        <v>5401</v>
      </c>
      <c r="Y9" s="71">
        <v>0</v>
      </c>
      <c r="Z9" s="71">
        <v>3850</v>
      </c>
      <c r="AA9" s="71">
        <v>1098</v>
      </c>
      <c r="AB9" s="71">
        <v>4053</v>
      </c>
      <c r="AC9" s="71">
        <v>7827</v>
      </c>
      <c r="AD9" s="71">
        <v>3381</v>
      </c>
      <c r="AE9" s="71">
        <v>4080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4406.9645456999997</v>
      </c>
      <c r="E10" s="73" ph="1">
        <f>E9*51.53*LOOKUP(E11,密度!$A$2:$A$50,密度!$B$2:$B$50)</f>
        <v>11069.190218000002</v>
      </c>
      <c r="F10" s="73" ph="1">
        <f>F9*33.183*LOOKUP(F11,密度!$A$2:$A$50,密度!$C$2:$C$50)</f>
        <v>172388.17704329998</v>
      </c>
      <c r="G10" s="73" ph="1">
        <f xml:space="preserve"> (G9+2)*51.53*LOOKUP(G11,密度!$A$2:$A$50,密度!$B$2:$B$50)</f>
        <v>134860.96139700004</v>
      </c>
      <c r="H10" s="73" ph="1">
        <f>(H9)*51.53*LOOKUP(H11,密度!$A$2:$A$50,密度!$B$2:$B$50)</f>
        <v>70513.724142000006</v>
      </c>
      <c r="I10" s="73" ph="1">
        <f>I9*290.8*1.0267</f>
        <v>11527.5699396</v>
      </c>
      <c r="J10" s="73" ph="1">
        <f>J9*290.8*0.7892</f>
        <v>17676.040707200002</v>
      </c>
      <c r="K10" s="73" ph="1">
        <f>K9*290.8*1.1126</f>
        <v>5503.4848008000008</v>
      </c>
      <c r="L10" s="73" ph="1">
        <f>L9*290.8*0.777</f>
        <v>6100.6932000000006</v>
      </c>
      <c r="M10" s="73" ph="1">
        <f>M9*33.183*LOOKUP(M11,密度!$A$2:$A$50,密度!$D$2:$D$50)</f>
        <v>143771.95091699998</v>
      </c>
      <c r="N10" s="73" ph="1">
        <f>N9*33.183*LOOKUP(N11,密度!$A$2:$A$50,密度!$E$2:$E$50)</f>
        <v>117780.23661768</v>
      </c>
      <c r="O10" s="73" ph="1">
        <f>O9*20.428*LOOKUP(O11,密度!$A$2:$A$50,密度!$C$2:$C$50)</f>
        <v>79813.630045600017</v>
      </c>
      <c r="P10" s="73" ph="1">
        <f>P9*51.53*LOOKUP(P11,密度!$A$2:$A$50,密度!$B$2:$B$50)</f>
        <v>70392.123647999993</v>
      </c>
      <c r="Q10" s="73" ph="1">
        <f>Q9*1.5*1.5*3.1416*LOOKUP(W11,密度!$A$2:$A$50,密度!$L$2:$L$50)</f>
        <v>0</v>
      </c>
      <c r="R10" s="73" ph="1">
        <f>R9*1.5*1.5*3.1416*LOOKUP(R11,密度!$A$2:$A$50,密度!$L$2:$L$50)</f>
        <v>17311.9485924</v>
      </c>
      <c r="S10" s="73" ph="1">
        <f>S9*1.5*1.5*3.1416*LOOKUP(S11,密度!$A$2:$A$50,密度!$L$2:$L$50)</f>
        <v>44049.924765000003</v>
      </c>
      <c r="T10" s="73" ph="1">
        <f>T9*1.5*1.5*3.1416*LOOKUP(T11,密度!$A$2:$A$50,密度!$L$2:$L$50)</f>
        <v>47674.356483600001</v>
      </c>
      <c r="U10" s="73" ph="1">
        <f>U9*1.5*1.5*3.1416*LOOKUP(U11,密度!$A$2:$A$50,密度!$L$2:$L$50)</f>
        <v>47303.848746000003</v>
      </c>
      <c r="V10" s="73" ph="1">
        <f>V9*1.5*1.5*3.1416*LOOKUP(V11,密度!$A$2:$A$50,密度!$L$2:$L$50)</f>
        <v>46683.253940400005</v>
      </c>
      <c r="W10" s="73" ph="1">
        <f>W9*1.5*1.5*3.1416*LOOKUP(W11,密度!$A$2:$A$50,密度!$L$2:$L$50)</f>
        <v>33442.253460000007</v>
      </c>
      <c r="X10" s="73" ph="1">
        <f>X9*1.5*1.5*3.1416*LOOKUP(X11,密度!$A$2:$A$50,密度!$L$2:$L$50)</f>
        <v>35734.1480496</v>
      </c>
      <c r="Y10" s="73" ph="1">
        <f>Y9*1.5*1.5*3.1416*LOOKUP(Y11,密度!$A$2:$A$50,密度!$L$2:$L$50)</f>
        <v>0</v>
      </c>
      <c r="Z10" s="73" ph="1">
        <f>Z9*33.183*LOOKUP(Z11,密度!$A$2:$A$50,密度!$L$2:$L$50)</f>
        <v>119067.2406</v>
      </c>
      <c r="AA10" s="73" ph="1">
        <f>AA9*33.183*LOOKUP(AA11,密度!$A$2:$A$50,密度!$D$2:$D$50)</f>
        <v>37043.397397799999</v>
      </c>
      <c r="AB10" s="73" ph="1">
        <f>AB9*20.428*LOOKUP(AB11,密度!$A$2:$A$50,密度!$D$2:$D$50)</f>
        <v>85005.302062800009</v>
      </c>
      <c r="AC10" s="73" ph="1">
        <f>AC9*51.53*LOOKUP(AC11,密度!$A$2:$A$50,密度!$Q$2:$Q$50)</f>
        <v>379892.10948899999</v>
      </c>
      <c r="AD10" s="73" ph="1">
        <f>AD9*20.428*LOOKUP(AD11,密度!$A$2:$A$50,密度!$V$2:$V$50)</f>
        <v>66138.624316799993</v>
      </c>
      <c r="AE10" s="73" ph="1">
        <f>AE9*20.428</f>
        <v>83346.240000000005</v>
      </c>
    </row>
    <row r="11" spans="1:99" ph="1">
      <c r="A11" s="64" t="s" ph="1">
        <v>162</v>
      </c>
      <c r="B11" s="241" ph="1"/>
      <c r="C11" s="163" t="s" ph="1">
        <v>179</v>
      </c>
      <c r="D11" s="74">
        <v>32</v>
      </c>
      <c r="E11" s="74">
        <v>33</v>
      </c>
      <c r="F11" s="74">
        <v>30</v>
      </c>
      <c r="G11" s="74">
        <v>33</v>
      </c>
      <c r="H11" s="74">
        <v>34</v>
      </c>
      <c r="I11" s="74">
        <v>25</v>
      </c>
      <c r="J11" s="74">
        <v>25</v>
      </c>
      <c r="K11" s="74">
        <v>25</v>
      </c>
      <c r="L11" s="74">
        <v>25</v>
      </c>
      <c r="M11" s="74">
        <v>34</v>
      </c>
      <c r="N11" s="74">
        <v>32</v>
      </c>
      <c r="O11" s="74">
        <v>37</v>
      </c>
      <c r="P11" s="74">
        <v>31</v>
      </c>
      <c r="Q11" s="74">
        <v>38</v>
      </c>
      <c r="R11" s="74">
        <v>35</v>
      </c>
      <c r="S11" s="74">
        <v>27</v>
      </c>
      <c r="T11" s="74">
        <v>25</v>
      </c>
      <c r="U11" s="74">
        <v>28</v>
      </c>
      <c r="V11" s="74">
        <v>28</v>
      </c>
      <c r="W11" s="74">
        <v>27</v>
      </c>
      <c r="X11" s="74">
        <v>26</v>
      </c>
      <c r="Y11" s="74">
        <v>33</v>
      </c>
      <c r="Z11" s="74">
        <v>30</v>
      </c>
      <c r="AA11" s="74">
        <v>36</v>
      </c>
      <c r="AB11" s="74">
        <v>25</v>
      </c>
      <c r="AC11" s="74">
        <v>32</v>
      </c>
      <c r="AD11" s="74">
        <v>32</v>
      </c>
      <c r="AE11" s="74">
        <v>32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5578</v>
      </c>
      <c r="E15" s="78">
        <v>2287</v>
      </c>
      <c r="F15" s="78">
        <v>2406</v>
      </c>
      <c r="G15" s="78">
        <v>4893</v>
      </c>
      <c r="H15" s="78">
        <v>4365</v>
      </c>
      <c r="I15" s="78">
        <v>3127</v>
      </c>
      <c r="J15" s="78">
        <v>4660</v>
      </c>
      <c r="K15" s="78">
        <v>4601</v>
      </c>
      <c r="L15" s="78">
        <v>2869</v>
      </c>
      <c r="M15" s="78">
        <v>6450</v>
      </c>
      <c r="N15" s="78">
        <v>4530</v>
      </c>
      <c r="O15" s="78">
        <v>2497</v>
      </c>
      <c r="P15" s="78">
        <v>7041</v>
      </c>
      <c r="Q15" s="78">
        <v>7025</v>
      </c>
      <c r="R15" s="78">
        <v>1943</v>
      </c>
      <c r="S15" s="78">
        <v>0</v>
      </c>
      <c r="T15" s="78">
        <v>5292</v>
      </c>
      <c r="U15" s="78">
        <v>0</v>
      </c>
      <c r="V15" s="78">
        <v>4739</v>
      </c>
      <c r="W15" s="71">
        <v>2167</v>
      </c>
      <c r="X15" s="78">
        <v>1032</v>
      </c>
      <c r="Y15" s="106">
        <v>-9907</v>
      </c>
      <c r="Z15" s="78">
        <v>0</v>
      </c>
      <c r="AA15" s="78">
        <v>2507</v>
      </c>
      <c r="AB15" s="78" ph="1">
        <v>0</v>
      </c>
      <c r="AC15" s="78" ph="1">
        <v>0</v>
      </c>
      <c r="AD15" s="78">
        <v>5.51</v>
      </c>
      <c r="AE15" s="78">
        <v>16.100000000000001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36826.359847200009</v>
      </c>
      <c r="E16" s="73" ph="1">
        <f>E15*7.0686*LOOKUP(E17,密度!$A$2:$A$50,密度!$L$2:$L$50)</f>
        <v>15098.9395788</v>
      </c>
      <c r="F16" s="73" ph="1">
        <f>F15*9.0746*LOOKUP(F17,密度!$A$2:$A$50,密度!$L$2:$L$50)</f>
        <v>20261.4764928</v>
      </c>
      <c r="G16" s="73" ph="1">
        <f>G15*9.0746*LOOKUP(G17,密度!$A$2:$A$50,密度!$B$2:$B$50)</f>
        <v>34540.329646620004</v>
      </c>
      <c r="H16" s="73" ph="1">
        <f>H15*9.0746*LOOKUP(H17,密度!$A$2:$A$50,密度!$L$2:$L$50)</f>
        <v>37115.159373000002</v>
      </c>
      <c r="I16" s="73" ph="1">
        <f>I15*9.0746*LOOKUP(I17,密度!$A$2:$A$50,密度!$U$2:$U$50)</f>
        <v>29028.928506599997</v>
      </c>
      <c r="J16" s="73" ph="1">
        <f>J15*9.0746*LOOKUP(J17,密度!$A$2:$A$50,密度!$L$2:$L$50)</f>
        <v>39496.652024000003</v>
      </c>
      <c r="K16" s="73" ph="1">
        <f>K15*9.0746*LOOKUP(K17,密度!$A$2:$A$50,密度!$C$2:$C$50)</f>
        <v>46203.022808360001</v>
      </c>
      <c r="L16" s="73" ph="1">
        <f>L15*9.0746*LOOKUP(L17,密度!$A$2:$A$50,密度!$E$2:$E$50)</f>
        <v>20244.837306239999</v>
      </c>
      <c r="M16" s="73" ph="1">
        <f>M15*9.0746*LOOKUP(M17,密度!$A$2:$A$50,密度!$M$2:$M$50)</f>
        <v>50980.649069999999</v>
      </c>
      <c r="N16" s="73" ph="1">
        <f>N15*9.0746*LOOKUP(N17,密度!$A$2:$A$50,密度!$M$2:$M$50)</f>
        <v>35932.448605800004</v>
      </c>
      <c r="O16" s="73" ph="1">
        <f>O15*9.0746*LOOKUP(O17,密度!$A$2:$A$50,密度!$G$2:$G$50)</f>
        <v>21684.927323399999</v>
      </c>
      <c r="P16" s="73" ph="1">
        <f ca="1">P15*9.0746*LOOKUP(P17,密度!$A$2:$A$51,密度!$Q$2:$Q$50)</f>
        <v>60355.794558731999</v>
      </c>
      <c r="Q16" s="73" ph="1">
        <f>Q15*9.0746*LOOKUP(Q17,密度!$A$2:$A$50,密度!$Q$2:$Q$50)</f>
        <v>60174.654925450006</v>
      </c>
      <c r="R16" s="73" ph="1">
        <f>MAX(R15*9.0746*LOOKUP(R17,密度!$A$2:$A$50,密度!$B$2:$B$50),0)</f>
        <v>13670.049129340001</v>
      </c>
      <c r="S16" s="73" ph="1">
        <f>S15*9.0746*LOOKUP(S17,密度!$A$2:$A$50,密度!$Q$2:$Q$50)</f>
        <v>0</v>
      </c>
      <c r="T16" s="73" ph="1">
        <f>T15*9.0746*LOOKUP(T17,密度!$A$2:$A$50,密度!$O$2:$O$50)</f>
        <v>44469.097243199998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45693.051383111997</v>
      </c>
      <c r="W16" s="73" ph="1">
        <f>MAX(5600*LOOKUP(W17,密度!$A$2:$A$50,密度!$Q$2:$Q$50)+W15*9.0476*LOOKUP(W17,密度!$A$2:$A$50,密度!$Q$2:$Q$50),0)</f>
        <v>23777.716724836002</v>
      </c>
      <c r="X16" s="73" ph="1">
        <f>MAX(5600*LOOKUP(X17,密度!$A$2:$A$50,密度!$I$2:$I$50)+X15*9.0476*LOOKUP(X17,密度!$A$2:$A$50,密度!$I$2:$I$50),0)</f>
        <v>15519.671004799999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17676.7672494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2374.9943332799999</v>
      </c>
      <c r="AE16" s="73" ph="1">
        <f>AE15*268.68*LOOKUP(AE17,密度!$A$2:$A$50,密度!B2:B50)+IF(AE15&lt;=0,0,1566*LOOKUP(AE17,密度!$A$2:$A$50,密度!B2:B50))</f>
        <v>4593.2067408000003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28</v>
      </c>
      <c r="F17" s="74">
        <v>34</v>
      </c>
      <c r="G17" s="74">
        <v>27</v>
      </c>
      <c r="H17" s="74">
        <v>25</v>
      </c>
      <c r="I17" s="74">
        <v>27</v>
      </c>
      <c r="J17" s="74">
        <v>28</v>
      </c>
      <c r="K17" s="74">
        <v>28</v>
      </c>
      <c r="L17" s="74">
        <v>30</v>
      </c>
      <c r="M17" s="74">
        <v>29</v>
      </c>
      <c r="N17" s="74">
        <v>26</v>
      </c>
      <c r="O17" s="74">
        <v>28</v>
      </c>
      <c r="P17" s="74">
        <v>28</v>
      </c>
      <c r="Q17" s="74">
        <v>29</v>
      </c>
      <c r="R17" s="74">
        <v>30</v>
      </c>
      <c r="S17" s="74">
        <v>27</v>
      </c>
      <c r="T17" s="74">
        <v>28</v>
      </c>
      <c r="U17" s="74">
        <v>28</v>
      </c>
      <c r="V17" s="74">
        <v>31</v>
      </c>
      <c r="W17" s="74">
        <v>30</v>
      </c>
      <c r="X17" s="74">
        <v>28</v>
      </c>
      <c r="Y17" s="108">
        <v>28</v>
      </c>
      <c r="Z17" s="74">
        <v>28</v>
      </c>
      <c r="AA17" s="74">
        <v>28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4217</v>
      </c>
      <c r="E18" s="71">
        <v>5348</v>
      </c>
      <c r="F18" s="71">
        <v>2407</v>
      </c>
      <c r="G18" s="71">
        <v>2788</v>
      </c>
      <c r="H18" s="71">
        <v>4368</v>
      </c>
      <c r="I18" s="71">
        <v>3129</v>
      </c>
      <c r="J18" s="71">
        <v>4677</v>
      </c>
      <c r="K18" s="71">
        <v>4608</v>
      </c>
      <c r="L18" s="71">
        <v>6022</v>
      </c>
      <c r="M18" s="71">
        <v>3741</v>
      </c>
      <c r="N18" s="71">
        <v>4329</v>
      </c>
      <c r="O18" s="71">
        <v>2500</v>
      </c>
      <c r="P18" s="71">
        <v>7048</v>
      </c>
      <c r="Q18" s="71">
        <v>7031</v>
      </c>
      <c r="R18" s="71">
        <v>1943</v>
      </c>
      <c r="S18" s="71">
        <v>0</v>
      </c>
      <c r="T18" s="71">
        <v>5297</v>
      </c>
      <c r="U18" s="71">
        <v>0</v>
      </c>
      <c r="V18" s="71">
        <v>4738</v>
      </c>
      <c r="W18" s="71">
        <v>2165</v>
      </c>
      <c r="X18" s="71">
        <v>1032</v>
      </c>
      <c r="Y18" s="109">
        <v>-9907</v>
      </c>
      <c r="Z18" s="71">
        <v>0</v>
      </c>
      <c r="AA18" s="71">
        <v>2509</v>
      </c>
      <c r="AB18" s="71">
        <v>0</v>
      </c>
      <c r="AC18" s="71">
        <v>0</v>
      </c>
      <c r="AD18" s="71">
        <v>5.51</v>
      </c>
      <c r="AE18" s="71">
        <v>62.71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27751.514452200001</v>
      </c>
      <c r="E19" s="73" ph="1">
        <f>E18*7.0686*LOOKUP(E20,密度!$A$2:$A$50,密度!$L$2:$L$50)</f>
        <v>35156.671704</v>
      </c>
      <c r="F19" s="73" ph="1">
        <f>F18*9.0746*LOOKUP(F20,密度!$A$2:$A$50,密度!$L$2:$L$50)</f>
        <v>20248.055159400003</v>
      </c>
      <c r="G19" s="73" ph="1">
        <f>G18*9.0746*LOOKUP(G20,密度!$A$2:$A$50,密度!$B$2:$B$50)</f>
        <v>19615.07821544</v>
      </c>
      <c r="H19" s="73" ph="1">
        <f>H18*9.0746*LOOKUP(H20,密度!$A$2:$A$50,密度!$L$2:$L$50)</f>
        <v>36982.116662400003</v>
      </c>
      <c r="I19" s="73" ph="1">
        <f>I18*9.0746*LOOKUP(I20,密度!$A$2:$A$50,密度!$U$2:$U$50)</f>
        <v>28820.339750999996</v>
      </c>
      <c r="J19" s="73" ph="1">
        <f>J18*9.0746*LOOKUP(J20,密度!$A$2:$A$50,密度!$L$2:$L$50)</f>
        <v>39386.087097600008</v>
      </c>
      <c r="K19" s="73" ph="1">
        <f>K18*9.0746*LOOKUP(K20,密度!$A$2:$A$50,密度!$C$2:$C$50)</f>
        <v>46122.779750400005</v>
      </c>
      <c r="L19" s="73" ph="1">
        <f>L18*9.0746*LOOKUP(L20,密度!$A$2:$A$50,密度!$E$2:$E$50)</f>
        <v>42430.85042974</v>
      </c>
      <c r="M19" s="73" ph="1">
        <f>M18*9.0746*LOOKUP(M20,密度!$A$2:$A$50,密度!$M$2:$M$50)</f>
        <v>29389.530605592001</v>
      </c>
      <c r="N19" s="73" ph="1">
        <f>N18*9.0746*LOOKUP(N20,密度!$A$2:$A$50,密度!$M$2:$M$50)</f>
        <v>34255.598644800004</v>
      </c>
      <c r="O19" s="73" ph="1">
        <f>O18*9.0746*LOOKUP(O20,密度!$A$2:$A$50,密度!$G$2:$G$50)</f>
        <v>21587.792805000001</v>
      </c>
      <c r="P19" s="73" ph="1">
        <f ca="1">P18*9.0746*LOOKUP(P20,密度!$A$2:$A$51,密度!$Q$2:$Q$50)</f>
        <v>60333.293362064003</v>
      </c>
      <c r="Q19" s="73" ph="1">
        <f>Q18*9.0746*LOOKUP(Q20,密度!$A$2:$A$50,密度!$Q$2:$Q$50)</f>
        <v>60139.914906507998</v>
      </c>
      <c r="R19" s="73" ph="1">
        <f>MAX(R18*9.0746*LOOKUP(R20,密度!$A$2:$A$50,密度!$B$2:$B$50),0)</f>
        <v>13638.3116233</v>
      </c>
      <c r="S19" s="73" ph="1">
        <f>S18*9.0746*LOOKUP(S20,密度!$A$2:$A$50,密度!$Q$2:$Q$50)</f>
        <v>0</v>
      </c>
      <c r="T19" s="73" ph="1">
        <f>T18*9.0746*LOOKUP(T20,密度!$A$2:$A$50,密度!$O$2:$O$50)</f>
        <v>44318.840016399998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45588.072913992</v>
      </c>
      <c r="W19" s="73" ph="1">
        <f>MAX(5600*LOOKUP(W20,密度!$A$2:$A$50,密度!$Q$2:$Q$50)+W18*9.0476*LOOKUP(W20,密度!$A$2:$A$50,密度!$Q$2:$Q$50),0)</f>
        <v>23708.255827499997</v>
      </c>
      <c r="X19" s="73" ph="1">
        <f>MAX(5600*LOOKUP(X20,密度!$A$2:$A$50,密度!$I$2:$I$50)+X18*9.0476*LOOKUP(X20,密度!$A$2:$A$50,密度!$I$2:$I$50),0)</f>
        <v>15436.023114880001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17572.47468652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2367.0736236000002</v>
      </c>
      <c r="AE19" s="73" ph="1">
        <f>AE18*268.68*LOOKUP(AE20,密度!$A$2:$A$50,密度!B5:B53)+IF(AE18&lt;=0,0,1566*LOOKUP(AE20,密度!$A$2:$A$50,密度!B5:B53))</f>
        <v>14308.395015599999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31</v>
      </c>
      <c r="E20" s="81">
        <v>32</v>
      </c>
      <c r="F20" s="81">
        <v>35</v>
      </c>
      <c r="G20" s="81">
        <v>30</v>
      </c>
      <c r="H20" s="81">
        <v>29</v>
      </c>
      <c r="I20" s="81">
        <v>35</v>
      </c>
      <c r="J20" s="81">
        <v>34</v>
      </c>
      <c r="K20" s="81">
        <v>32</v>
      </c>
      <c r="L20" s="81">
        <v>31</v>
      </c>
      <c r="M20" s="81">
        <v>34</v>
      </c>
      <c r="N20" s="81">
        <v>28</v>
      </c>
      <c r="O20" s="81">
        <v>33</v>
      </c>
      <c r="P20" s="81">
        <v>30</v>
      </c>
      <c r="Q20" s="81">
        <v>31</v>
      </c>
      <c r="R20" s="81">
        <v>32</v>
      </c>
      <c r="S20" s="81">
        <v>35</v>
      </c>
      <c r="T20" s="81">
        <v>32</v>
      </c>
      <c r="U20" s="81">
        <v>33</v>
      </c>
      <c r="V20" s="81">
        <v>34</v>
      </c>
      <c r="W20" s="81">
        <v>33</v>
      </c>
      <c r="X20" s="81">
        <v>33</v>
      </c>
      <c r="Y20" s="110">
        <v>33</v>
      </c>
      <c r="Z20" s="81">
        <v>33</v>
      </c>
      <c r="AA20" s="81">
        <v>34</v>
      </c>
      <c r="AB20" s="81">
        <v>33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2.82</v>
      </c>
      <c r="E24" s="71">
        <v>5.81</v>
      </c>
      <c r="F24" s="71">
        <v>1914</v>
      </c>
      <c r="G24" s="71">
        <v>3853</v>
      </c>
      <c r="H24" s="71">
        <v>3782</v>
      </c>
      <c r="I24" s="71">
        <v>2699</v>
      </c>
      <c r="J24" s="71">
        <v>306</v>
      </c>
      <c r="K24" s="71">
        <v>302</v>
      </c>
      <c r="L24" s="71">
        <v>302</v>
      </c>
      <c r="M24" s="71">
        <v>326</v>
      </c>
      <c r="N24" s="71">
        <v>320</v>
      </c>
      <c r="O24" s="71">
        <v>343</v>
      </c>
      <c r="P24" s="71">
        <v>374</v>
      </c>
      <c r="Q24" s="90">
        <v>1530</v>
      </c>
      <c r="R24" s="71">
        <v>350</v>
      </c>
      <c r="S24" s="71">
        <v>3224</v>
      </c>
      <c r="T24" s="71">
        <v>399</v>
      </c>
      <c r="U24" s="71">
        <v>5281</v>
      </c>
      <c r="V24" s="71">
        <v>740</v>
      </c>
      <c r="W24" s="71">
        <v>2344</v>
      </c>
      <c r="X24" s="71">
        <v>4786</v>
      </c>
      <c r="Y24" s="71">
        <v>2667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2199.918531024</v>
      </c>
      <c r="E25" s="91" ph="1">
        <f>E24*268.68*LOOKUP(E26,密度!$A$2:$A$50,密度!$C$2:$C$50)+IF(E24&lt;=0,0,1566*LOOKUP(E26,密度!$A$2:$A$50,密度!$C$2:$C$50))</f>
        <v>3467.5644541199999</v>
      </c>
      <c r="F25" s="91" ph="1">
        <f>F24*11.702*LOOKUP(F26,密度!$A$2:$A$50,密度!$Q$2:$Q$50)</f>
        <v>21128.354421240001</v>
      </c>
      <c r="G25" s="91" ph="1">
        <f>G24*18.322*LOOKUP(G26,密度!$A$2:$A$50,密度!$B$2:$B$50)</f>
        <v>54915.590681399997</v>
      </c>
      <c r="H25" s="91" ph="1">
        <f>H24*18.322*LOOKUP(H26,密度!$A$2:$A$50,密度!$B$2:$B$50)</f>
        <v>53841.285708000003</v>
      </c>
      <c r="I25" s="91" ph="1">
        <f>I24*18.322*LOOKUP(I26,密度!$A$2:$A$50,密度!$Q$2:$Q$50)</f>
        <v>46747.093054960002</v>
      </c>
      <c r="J25" s="91" ph="1">
        <f>J24*18.322*LOOKUP(J26,密度!$A$2:$A$50,密度!$Q$2:$Q$50)</f>
        <v>5296.0422578400003</v>
      </c>
      <c r="K25" s="91" ph="1">
        <f>K24*18.322*LOOKUP(K26,密度!$A$2:$A$50,密度!$Q$2:$Q$50)</f>
        <v>5230.6862180799999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5646.3698910399999</v>
      </c>
      <c r="N25" s="91" ph="1">
        <f>N24*18.322*LOOKUP(N26,密度!$A$2:$A$50,密度!$Q$2:$Q$50)</f>
        <v>5542.4489727999999</v>
      </c>
      <c r="O25" s="91" ph="1">
        <f>O24*18.322*LOOKUP(O26,密度!$A$2:$A$50,密度!$C$2:$C$50)</f>
        <v>6954.3679436000002</v>
      </c>
      <c r="P25" s="91" ph="1">
        <f>P24*11.702*LOOKUP(P26,密度!$A$2:$A$50,密度!$B$2:$B$50)</f>
        <v>3404.5166892000002</v>
      </c>
      <c r="Q25" s="92" ph="1">
        <f>Q24*18.322*LOOKUP(Q26,密度!$A$2:$A$50,密度!$B$2:$B$50)</f>
        <v>21806.606213999999</v>
      </c>
      <c r="R25" s="91" ph="1">
        <f>R24*35.891*LOOKUP(R26,密度!$A$2:$A$50,密度!$C$2:$C$50)</f>
        <v>13900.943209999999</v>
      </c>
      <c r="S25" s="91" ph="1">
        <f>S24*35.891*LOOKUP(S26,密度!$A$2:$A$50,密度!$B$2:$B$50)</f>
        <v>90012.819093599988</v>
      </c>
      <c r="T25" s="91" ph="1">
        <f>T24*35.891*LOOKUP(T26,密度!$A$2:$A$50,密度!$Q$2:$Q$50)</f>
        <v>13527.43921158</v>
      </c>
      <c r="U25" s="91" ph="1">
        <f>U24*35.891</f>
        <v>189540.37099999998</v>
      </c>
      <c r="V25" s="91" ph="1">
        <f>V24*47.051*LOOKUP(V26,密度!$A$2:$A$50,密度!$B$2:$B$50)</f>
        <v>27053.383979999999</v>
      </c>
      <c r="W25" s="91" ph="1">
        <f>W24*47.051*LOOKUP(W26,密度!$A$2:$A$50,密度!$B$2:$B$50)</f>
        <v>85792.680477600006</v>
      </c>
      <c r="X25" s="91" ph="1">
        <f>X24*47.051*LOOKUP(X26,密度!$A$2:$A$61,密度!$I$2:$I$61)</f>
        <v>232437.07796920001</v>
      </c>
      <c r="Y25" s="91" ph="1">
        <f>Y24*47.051*LOOKUP(Y26,密度!$A$2:$A$50,密度!$L$2:$L$50)</f>
        <v>117077.52086100001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30</v>
      </c>
      <c r="G26" s="74">
        <v>27</v>
      </c>
      <c r="H26" s="74">
        <v>28</v>
      </c>
      <c r="I26" s="74">
        <v>27</v>
      </c>
      <c r="J26" s="74">
        <v>28</v>
      </c>
      <c r="K26" s="74">
        <v>27</v>
      </c>
      <c r="L26" s="74">
        <v>28</v>
      </c>
      <c r="M26" s="74">
        <v>27</v>
      </c>
      <c r="N26" s="74">
        <v>27</v>
      </c>
      <c r="O26" s="74">
        <v>28</v>
      </c>
      <c r="P26" s="74">
        <v>27</v>
      </c>
      <c r="Q26" s="93">
        <v>27</v>
      </c>
      <c r="R26" s="74">
        <v>28</v>
      </c>
      <c r="S26" s="74">
        <v>27</v>
      </c>
      <c r="T26" s="74">
        <v>28</v>
      </c>
      <c r="U26" s="74">
        <v>27</v>
      </c>
      <c r="V26" s="74">
        <v>28</v>
      </c>
      <c r="W26" s="74">
        <v>27</v>
      </c>
      <c r="X26" s="74">
        <v>34</v>
      </c>
      <c r="Y26" s="74">
        <v>29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2.81</v>
      </c>
      <c r="E27" s="71">
        <v>5.82</v>
      </c>
      <c r="F27" s="71">
        <v>1915</v>
      </c>
      <c r="G27" s="71">
        <v>3444</v>
      </c>
      <c r="H27" s="71">
        <v>3401</v>
      </c>
      <c r="I27" s="71">
        <v>1375</v>
      </c>
      <c r="J27" s="71">
        <v>300</v>
      </c>
      <c r="K27" s="71">
        <v>298</v>
      </c>
      <c r="L27" s="71">
        <v>296</v>
      </c>
      <c r="M27" s="71">
        <v>322</v>
      </c>
      <c r="N27" s="71">
        <v>315</v>
      </c>
      <c r="O27" s="71">
        <v>338</v>
      </c>
      <c r="P27" s="71">
        <v>370</v>
      </c>
      <c r="Q27" s="90">
        <v>1700</v>
      </c>
      <c r="R27" s="71">
        <v>346</v>
      </c>
      <c r="S27" s="71">
        <v>3220</v>
      </c>
      <c r="T27" s="71">
        <v>397</v>
      </c>
      <c r="U27" s="71">
        <v>4520</v>
      </c>
      <c r="V27" s="71">
        <v>737</v>
      </c>
      <c r="W27" s="71">
        <v>2341</v>
      </c>
      <c r="X27" s="71">
        <v>4416</v>
      </c>
      <c r="Y27" s="71">
        <v>2665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2197.3748299919998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21139.393268899999</v>
      </c>
      <c r="G28" s="91" ph="1">
        <f>G27*18.322*LOOKUP(G29,密度!$A$2:$A$50,密度!$B$2:$B$50)</f>
        <v>48530.954488800002</v>
      </c>
      <c r="H28" s="91" ph="1">
        <f>H27*18.322*LOOKUP(H29,密度!$A$2:$A$50,密度!$B$2:$B$50)</f>
        <v>48311.363486599999</v>
      </c>
      <c r="I28" s="91" ph="1">
        <f>I27*18.322*LOOKUP(I29,密度!$A$2:$A$50,密度!$Q$2:$Q$50)</f>
        <v>23746.182294999999</v>
      </c>
      <c r="J28" s="91" ph="1">
        <f>J27*18.322*LOOKUP(J29,密度!$A$2:$A$50,密度!$Q$2:$Q$50)</f>
        <v>5185.1076779999994</v>
      </c>
      <c r="K28" s="91" ph="1">
        <f>K27*18.322*LOOKUP(K29,密度!$A$2:$A$50,密度!$Q$2:$Q$50)</f>
        <v>5142.7325564000002</v>
      </c>
      <c r="L28" s="91" ph="1">
        <f>L27*18.322*LOOKUP(L29,密度!$A$2:$A$50,密度!$Q$2:$Q$50)</f>
        <v>5111.9054249599994</v>
      </c>
      <c r="M28" s="91" ph="1">
        <f>M27*18.322*LOOKUP(M29,密度!$A$2:$A$50,密度!$Q$2:$Q$50)</f>
        <v>5560.9241447199993</v>
      </c>
      <c r="N28" s="91" ph="1">
        <f>N27*18.322*LOOKUP(N29,密度!$A$2:$A$50,密度!$Q$2:$Q$50)</f>
        <v>5444.3630618999996</v>
      </c>
      <c r="O28" s="91" ph="1">
        <f>O27*18.322*LOOKUP(O29,密度!$A$2:$A$50,密度!$C$2:$C$50)</f>
        <v>6830.6981079999996</v>
      </c>
      <c r="P28" s="91" ph="1">
        <f>P27*11.702*LOOKUP(P29,密度!$A$2:$A$50,密度!$B$2:$B$50)</f>
        <v>3352.9506559999995</v>
      </c>
      <c r="Q28" s="92" ph="1">
        <f>Q27*18.322*LOOKUP(Q29,密度!$A$2:$A$50,密度!$B$2:$B$50)</f>
        <v>24120.546559999999</v>
      </c>
      <c r="R28" s="91" ph="1">
        <f>R27*35.891*LOOKUP(R29,密度!$A$2:$A$50,密度!$C$2:$C$50)</f>
        <v>13723.4478586</v>
      </c>
      <c r="S28" s="91" ph="1">
        <f>S27*35.891*LOOKUP(S29,密度!$A$2:$A$50,密度!$B$2:$B$50)</f>
        <v>89392.636969999992</v>
      </c>
      <c r="T28" s="91" ph="1">
        <f>T27*35.891*LOOKUP(T29,密度!$A$2:$A$50,密度!$Q$2:$Q$50)</f>
        <v>13430.565095659998</v>
      </c>
      <c r="U28" s="91" ph="1">
        <f>U27*35.891</f>
        <v>162227.31999999998</v>
      </c>
      <c r="V28" s="91" ph="1">
        <f>V27*47.051*LOOKUP(V29,密度!$A$2:$A$50,密度!$B$2:$B$50)</f>
        <v>26853.548972799999</v>
      </c>
      <c r="W28" s="91" ph="1">
        <f>W27*47.051*LOOKUP(W29,密度!$A$2:$A$50,密度!$B$2:$B$50)</f>
        <v>85396.4969423</v>
      </c>
      <c r="X28" s="91" ph="1">
        <f>X27*47.051*LOOKUP(X29,密度!$A$2:$A$61,密度!$I$2:$I$61)</f>
        <v>214467.64235520002</v>
      </c>
      <c r="Y28" s="91" ph="1">
        <f>Y27*47.051*LOOKUP(Y29,密度!$A$2:$A$50,密度!$L$2:$L$50)</f>
        <v>116738.94186500002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30</v>
      </c>
      <c r="G29" s="74">
        <v>37</v>
      </c>
      <c r="H29" s="74">
        <v>30</v>
      </c>
      <c r="I29" s="74">
        <v>31</v>
      </c>
      <c r="J29" s="74">
        <v>30</v>
      </c>
      <c r="K29" s="74">
        <v>32</v>
      </c>
      <c r="L29" s="74">
        <v>31</v>
      </c>
      <c r="M29" s="74">
        <v>31</v>
      </c>
      <c r="N29" s="74">
        <v>30</v>
      </c>
      <c r="O29" s="74">
        <v>32</v>
      </c>
      <c r="P29" s="74">
        <v>31</v>
      </c>
      <c r="Q29" s="93">
        <v>31</v>
      </c>
      <c r="R29" s="74">
        <v>30</v>
      </c>
      <c r="S29" s="74">
        <v>32</v>
      </c>
      <c r="T29" s="74">
        <v>31</v>
      </c>
      <c r="U29" s="74">
        <v>31</v>
      </c>
      <c r="V29" s="74">
        <v>31</v>
      </c>
      <c r="W29" s="74">
        <v>30</v>
      </c>
      <c r="X29" s="74">
        <v>34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122048.69946060001</v>
      </c>
      <c r="E33" s="190" ph="1">
        <f>M10+I10</f>
        <v>155299.52085659999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1522252632456786910111213141516171819202123456789101112131415161718192022232424356789101112131415161718192021222345678910111213141516171819202345678910111213149101516171819222123234567891012131415161711181920212224252345678910111213130[[#This Row],[F25]]</f>
        <v>3880</v>
      </c>
      <c r="G33" s="216" ph="1">
        <f>N19</f>
        <v>34255.598644800004</v>
      </c>
      <c r="H33" s="190" ph="1">
        <f>M19</f>
        <v>29389.530605592001</v>
      </c>
      <c r="I33" s="194" ph="1">
        <v>0</v>
      </c>
      <c r="J33" s="198" ph="1">
        <f>F10+O28</f>
        <v>179218.87515129999</v>
      </c>
      <c r="K33" s="190" ph="1">
        <f>O10+K10+E28+R28</f>
        <v>102511.10655164001</v>
      </c>
      <c r="L33" s="200" ph="1">
        <f>K19</f>
        <v>46122.779750400005</v>
      </c>
      <c r="M33" s="198" ph="1">
        <f>G10+H10+W28+S28+V28+E10+R19+P28+Q28</f>
        <v>459198.36748140003</v>
      </c>
      <c r="N33" s="190" ph="1">
        <f>L10+P10++G28+H28+AD19+AE19</f>
        <v>190010.60346259997</v>
      </c>
      <c r="O33" s="194" ph="1">
        <f>G19</f>
        <v>19615.07821544</v>
      </c>
      <c r="P33" s="198" ph="1">
        <f>L19</f>
        <v>42430.85042974</v>
      </c>
      <c r="Q33" s="190" ph="1">
        <f>J10+N10</f>
        <v>135456.27732488001</v>
      </c>
      <c r="R33" s="194" ph="1">
        <f>BE23</f>
        <v>890</v>
      </c>
      <c r="S33" s="198" ph="1">
        <f>X28</f>
        <v>214467.64235520002</v>
      </c>
      <c r="T33" s="190" ph="1">
        <f>X19</f>
        <v>15436.023114880001</v>
      </c>
      <c r="U33" s="179" ph="1">
        <f>BE21</f>
        <v>730</v>
      </c>
      <c r="V33" s="192" ph="1">
        <f ca="1">P19+Q19+S19+M28+N28+J28+D10+AC10+D19+E19+H19+J19+O19+V19+W19+K28+L28</f>
        <v>761377.82663194393</v>
      </c>
      <c r="W33" s="192" ph="1">
        <f>D28+F28+T28+I28</f>
        <v>60513.515489551995</v>
      </c>
      <c r="X33" s="194" ph="1">
        <f>BE29+BE31</f>
        <v>10200</v>
      </c>
      <c r="Y33" s="196" ph="1">
        <f>+Q10+R10+S10+T10+U10+V10+W10+X10+Y10</f>
        <v>272199.73403700005</v>
      </c>
      <c r="Z33" s="177" ph="1">
        <f>T19+U19+Y28+Z10</f>
        <v>280125.0224814</v>
      </c>
      <c r="AA33" s="179" ph="1">
        <f>BE19</f>
        <v>1440</v>
      </c>
      <c r="AB33" s="181" ph="1">
        <f>I19</f>
        <v>28820.339750999996</v>
      </c>
      <c r="AC33" s="183" ph="1">
        <f>AD10+AB19</f>
        <v>66138.624316799993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527" priority="102">
      <formula>ABS(D$7-D$10)&gt;=1000</formula>
    </cfRule>
  </conditionalFormatting>
  <conditionalFormatting sqref="E4 E6:E11">
    <cfRule type="expression" dxfId="526" priority="101">
      <formula>ABS(E$7-E$10)&gt;=1000</formula>
    </cfRule>
  </conditionalFormatting>
  <conditionalFormatting sqref="F4:F11">
    <cfRule type="expression" dxfId="525" priority="100">
      <formula>ABS(F$7-F$10)&gt;=1000</formula>
    </cfRule>
  </conditionalFormatting>
  <conditionalFormatting sqref="G4:G11">
    <cfRule type="expression" dxfId="524" priority="99">
      <formula>ABS(G$7-G$10)&gt;=1000</formula>
    </cfRule>
  </conditionalFormatting>
  <conditionalFormatting sqref="H4:H11">
    <cfRule type="expression" dxfId="523" priority="98">
      <formula>ABS(H$7-H$10)&gt;=1000</formula>
    </cfRule>
  </conditionalFormatting>
  <conditionalFormatting sqref="I4:I11">
    <cfRule type="expression" dxfId="522" priority="97">
      <formula>ABS(I$7-I$10)&gt;=1000</formula>
    </cfRule>
  </conditionalFormatting>
  <conditionalFormatting sqref="J4:J11">
    <cfRule type="expression" dxfId="521" priority="96">
      <formula>ABS(J$7-J$10)&gt;=1000</formula>
    </cfRule>
  </conditionalFormatting>
  <conditionalFormatting sqref="K4:K11">
    <cfRule type="expression" dxfId="520" priority="95">
      <formula>ABS(K$7-K$10)&gt;=1000</formula>
    </cfRule>
  </conditionalFormatting>
  <conditionalFormatting sqref="L4:L11">
    <cfRule type="expression" dxfId="519" priority="94">
      <formula>ABS(L$7-L$10)&gt;=1000</formula>
    </cfRule>
  </conditionalFormatting>
  <conditionalFormatting sqref="M4 M6:M11">
    <cfRule type="expression" dxfId="518" priority="93">
      <formula>ABS(M$7-M$10)&gt;=1000</formula>
    </cfRule>
  </conditionalFormatting>
  <conditionalFormatting sqref="N4 N6:N11">
    <cfRule type="expression" dxfId="517" priority="92">
      <formula>ABS(N$7-N$10)&gt;=1000</formula>
    </cfRule>
  </conditionalFormatting>
  <conditionalFormatting sqref="O4 O6:O11">
    <cfRule type="expression" dxfId="516" priority="91">
      <formula>ABS(O$7-O$10)&gt;=1000</formula>
    </cfRule>
  </conditionalFormatting>
  <conditionalFormatting sqref="P4 P6:P11">
    <cfRule type="expression" dxfId="515" priority="90">
      <formula>ABS(P$7-P$10)&gt;=1000</formula>
    </cfRule>
  </conditionalFormatting>
  <conditionalFormatting sqref="Q4:Q11">
    <cfRule type="expression" dxfId="514" priority="89">
      <formula>ABS(Q$7-Q$10)&gt;=1000</formula>
    </cfRule>
  </conditionalFormatting>
  <conditionalFormatting sqref="R4:R11">
    <cfRule type="expression" dxfId="513" priority="88">
      <formula>ABS(R$7-R$10)&gt;=1000</formula>
    </cfRule>
  </conditionalFormatting>
  <conditionalFormatting sqref="S4:S11">
    <cfRule type="expression" dxfId="512" priority="87">
      <formula>ABS(S$7-S$10)&gt;=1000</formula>
    </cfRule>
  </conditionalFormatting>
  <conditionalFormatting sqref="T4:T9 T11">
    <cfRule type="expression" dxfId="511" priority="86">
      <formula>ABS(T$7-T$10)&gt;=1000</formula>
    </cfRule>
  </conditionalFormatting>
  <conditionalFormatting sqref="U4:U9 U11">
    <cfRule type="expression" dxfId="510" priority="85">
      <formula>ABS(U$7-U$10)&gt;=1000</formula>
    </cfRule>
  </conditionalFormatting>
  <conditionalFormatting sqref="V4:V9 V11">
    <cfRule type="expression" dxfId="509" priority="84">
      <formula>ABS(V$7-V$10)&gt;=1000</formula>
    </cfRule>
  </conditionalFormatting>
  <conditionalFormatting sqref="W4:W9 W11">
    <cfRule type="expression" dxfId="508" priority="83">
      <formula>ABS(W$7-W$10)&gt;=1000</formula>
    </cfRule>
  </conditionalFormatting>
  <conditionalFormatting sqref="X4:X9 X11">
    <cfRule type="expression" dxfId="507" priority="82">
      <formula>ABS(X$7-X$10)&gt;=1000</formula>
    </cfRule>
  </conditionalFormatting>
  <conditionalFormatting sqref="Y4:Y9 Y11">
    <cfRule type="expression" dxfId="506" priority="81">
      <formula>ABS(Y$7-Y$10)&gt;=1000</formula>
    </cfRule>
  </conditionalFormatting>
  <conditionalFormatting sqref="Z4:Z11">
    <cfRule type="expression" dxfId="505" priority="80">
      <formula>ABS(Z$7-Z$10)&gt;=1000</formula>
    </cfRule>
  </conditionalFormatting>
  <conditionalFormatting sqref="AA4:AA11">
    <cfRule type="expression" dxfId="504" priority="79">
      <formula>ABS(AA$7-AA$10)&gt;=1000</formula>
    </cfRule>
  </conditionalFormatting>
  <conditionalFormatting sqref="AB4:AB11">
    <cfRule type="expression" dxfId="503" priority="78">
      <formula>ABS(AB$7-AB$10)&gt;=1000</formula>
    </cfRule>
  </conditionalFormatting>
  <conditionalFormatting sqref="AC4 AC6:AC11">
    <cfRule type="expression" dxfId="502" priority="77">
      <formula>ABS(AC$7-AC$10)&gt;=1000</formula>
    </cfRule>
  </conditionalFormatting>
  <conditionalFormatting sqref="AD4 AD6:AD11">
    <cfRule type="expression" dxfId="501" priority="76">
      <formula>ABS(AD$7-AD$10)&gt;=1000</formula>
    </cfRule>
  </conditionalFormatting>
  <conditionalFormatting sqref="AE4 AE6:AE11">
    <cfRule type="expression" dxfId="500" priority="75">
      <formula>ABS(AE$7-AE$10)&gt;=1000</formula>
    </cfRule>
  </conditionalFormatting>
  <conditionalFormatting sqref="D13:D20">
    <cfRule type="expression" dxfId="499" priority="74">
      <formula>ABS(D$16-D$19)&gt;=1000</formula>
    </cfRule>
  </conditionalFormatting>
  <conditionalFormatting sqref="E13:E20">
    <cfRule type="expression" dxfId="498" priority="73">
      <formula>ABS(E$16-E$19)&gt;=1000</formula>
    </cfRule>
  </conditionalFormatting>
  <conditionalFormatting sqref="F13 F15:F20">
    <cfRule type="expression" dxfId="497" priority="72">
      <formula>ABS(F$16-F$19)&gt;=1000</formula>
    </cfRule>
  </conditionalFormatting>
  <conditionalFormatting sqref="G13:G20">
    <cfRule type="expression" dxfId="496" priority="71">
      <formula>ABS(G$16-G$19)&gt;=1000</formula>
    </cfRule>
  </conditionalFormatting>
  <conditionalFormatting sqref="H13 H15:H20">
    <cfRule type="expression" dxfId="495" priority="70">
      <formula>ABS(H$16-H$19)&gt;=1000</formula>
    </cfRule>
  </conditionalFormatting>
  <conditionalFormatting sqref="I13:I20">
    <cfRule type="expression" dxfId="494" priority="69">
      <formula>ABS(I$16-I$19)&gt;=1000</formula>
    </cfRule>
  </conditionalFormatting>
  <conditionalFormatting sqref="J13:J20">
    <cfRule type="expression" dxfId="493" priority="68">
      <formula>ABS(J$16-J$19)&gt;=1000</formula>
    </cfRule>
  </conditionalFormatting>
  <conditionalFormatting sqref="L13:L20">
    <cfRule type="expression" dxfId="492" priority="67">
      <formula>ABS(L$16-L$19)&gt;=1000</formula>
    </cfRule>
  </conditionalFormatting>
  <conditionalFormatting sqref="M13 M15 M17:M18 M20">
    <cfRule type="expression" dxfId="491" priority="66">
      <formula>ABS(M$16-M$19)&gt;=1000</formula>
    </cfRule>
  </conditionalFormatting>
  <conditionalFormatting sqref="N13:N20">
    <cfRule type="expression" dxfId="490" priority="65">
      <formula>ABS(N$16-N$19)&gt;=1000</formula>
    </cfRule>
  </conditionalFormatting>
  <conditionalFormatting sqref="O13:O20">
    <cfRule type="expression" dxfId="489" priority="64">
      <formula>ABS(O$16-O$19)&gt;=1000</formula>
    </cfRule>
  </conditionalFormatting>
  <conditionalFormatting sqref="P13:P20">
    <cfRule type="expression" dxfId="488" priority="63">
      <formula>ABS(P$16-P$19)&gt;=1000</formula>
    </cfRule>
  </conditionalFormatting>
  <conditionalFormatting sqref="Q13 Q15:Q20">
    <cfRule type="expression" dxfId="487" priority="62">
      <formula>ABS(Q$16-Q$19)&gt;=1000</formula>
    </cfRule>
  </conditionalFormatting>
  <conditionalFormatting sqref="R13:R20">
    <cfRule type="expression" dxfId="486" priority="61">
      <formula>ABS(R$16-R$19)&gt;=1000</formula>
    </cfRule>
  </conditionalFormatting>
  <conditionalFormatting sqref="S13:S20">
    <cfRule type="expression" dxfId="485" priority="60">
      <formula>ABS(S$16-S$19)&gt;=1000</formula>
    </cfRule>
  </conditionalFormatting>
  <conditionalFormatting sqref="T13:T15 T17:T20">
    <cfRule type="expression" dxfId="484" priority="59">
      <formula>ABS(T$16-T$19)&gt;=1000</formula>
    </cfRule>
  </conditionalFormatting>
  <conditionalFormatting sqref="U13:U20">
    <cfRule type="expression" dxfId="483" priority="58">
      <formula>ABS(U$16-U$19)&gt;=1000</formula>
    </cfRule>
  </conditionalFormatting>
  <conditionalFormatting sqref="V13:V20">
    <cfRule type="expression" dxfId="482" priority="57">
      <formula>ABS(V$16-V$19)&gt;=1000</formula>
    </cfRule>
  </conditionalFormatting>
  <conditionalFormatting sqref="W13 W20 W15:W18">
    <cfRule type="expression" dxfId="481" priority="56">
      <formula>ABS(W$16-W$19)&gt;=1000</formula>
    </cfRule>
  </conditionalFormatting>
  <conditionalFormatting sqref="X13 X15:X20 Y19">
    <cfRule type="expression" dxfId="480" priority="55">
      <formula>ABS(X$16-X$19)&gt;=1000</formula>
    </cfRule>
  </conditionalFormatting>
  <conditionalFormatting sqref="Y13 Y15:Y18 Y20">
    <cfRule type="expression" dxfId="479" priority="54">
      <formula>ABS(Y$16-Y$19)&gt;=1000</formula>
    </cfRule>
  </conditionalFormatting>
  <conditionalFormatting sqref="Z13:Z20">
    <cfRule type="expression" dxfId="478" priority="53">
      <formula>ABS(Z$16-Z$19)&gt;=1000</formula>
    </cfRule>
  </conditionalFormatting>
  <conditionalFormatting sqref="AA13:AA20">
    <cfRule type="expression" dxfId="477" priority="52">
      <formula>ABS(AA$16-AA$19)&gt;=1000</formula>
    </cfRule>
  </conditionalFormatting>
  <conditionalFormatting sqref="AB13 AB15:AB20">
    <cfRule type="expression" dxfId="476" priority="51">
      <formula>ABS(AB$16-AB$19)&gt;=1000</formula>
    </cfRule>
  </conditionalFormatting>
  <conditionalFormatting sqref="AC13 AC15:AC20">
    <cfRule type="expression" dxfId="475" priority="50">
      <formula>ABS(AC$16-AC$19)&gt;=1000</formula>
    </cfRule>
  </conditionalFormatting>
  <conditionalFormatting sqref="AD13:AD20">
    <cfRule type="expression" dxfId="474" priority="49">
      <formula>ABS(AD$16-AD$19)&gt;=1000</formula>
    </cfRule>
  </conditionalFormatting>
  <conditionalFormatting sqref="AE13:AE20">
    <cfRule type="expression" dxfId="473" priority="48">
      <formula>ABS(AE$16-AE$19)&gt;=1000</formula>
    </cfRule>
  </conditionalFormatting>
  <conditionalFormatting sqref="D22:D29">
    <cfRule type="expression" dxfId="472" priority="47">
      <formula>ABS(D$25-D$28)&gt;=1000</formula>
    </cfRule>
  </conditionalFormatting>
  <conditionalFormatting sqref="E22:E29">
    <cfRule type="expression" dxfId="471" priority="46">
      <formula>ABS(E$25-E$28)&gt;=1000</formula>
    </cfRule>
  </conditionalFormatting>
  <conditionalFormatting sqref="F22:F29">
    <cfRule type="expression" dxfId="470" priority="45">
      <formula>ABS(F$25-F$28)&gt;=1000</formula>
    </cfRule>
  </conditionalFormatting>
  <conditionalFormatting sqref="G22:G29">
    <cfRule type="expression" dxfId="469" priority="44">
      <formula>ABS(G$25-G$28)&gt;=1000</formula>
    </cfRule>
  </conditionalFormatting>
  <conditionalFormatting sqref="H22:H29">
    <cfRule type="expression" dxfId="468" priority="43">
      <formula>ABS(H$25-H$28)&gt;=1000</formula>
    </cfRule>
  </conditionalFormatting>
  <conditionalFormatting sqref="I22 I24:I29">
    <cfRule type="expression" dxfId="467" priority="42">
      <formula>ABS(I$25-I$28)&gt;=1000</formula>
    </cfRule>
  </conditionalFormatting>
  <conditionalFormatting sqref="J22:J29 K22">
    <cfRule type="expression" dxfId="466" priority="41">
      <formula>ABS(J$25-J$28)&gt;=1000</formula>
    </cfRule>
  </conditionalFormatting>
  <conditionalFormatting sqref="K23:K29 L25 L28">
    <cfRule type="expression" dxfId="465" priority="40">
      <formula>ABS(K$25-K$28)&gt;=1000</formula>
    </cfRule>
  </conditionalFormatting>
  <conditionalFormatting sqref="L22 L26:L27 L29 L24">
    <cfRule type="expression" dxfId="464" priority="39">
      <formula>ABS(L$25-L$28)&gt;=1000</formula>
    </cfRule>
  </conditionalFormatting>
  <conditionalFormatting sqref="M22:M29">
    <cfRule type="expression" dxfId="463" priority="38">
      <formula>ABS(M$25-M$28)&gt;=1000</formula>
    </cfRule>
  </conditionalFormatting>
  <conditionalFormatting sqref="N22:N29">
    <cfRule type="expression" dxfId="462" priority="37">
      <formula>ABS(N$25-N$28)&gt;=1000</formula>
    </cfRule>
  </conditionalFormatting>
  <conditionalFormatting sqref="O22 O24:O29">
    <cfRule type="expression" dxfId="461" priority="36">
      <formula>ABS(O$25-O$28)&gt;=1000</formula>
    </cfRule>
  </conditionalFormatting>
  <conditionalFormatting sqref="P22:P29">
    <cfRule type="expression" dxfId="460" priority="35">
      <formula>ABS(P$25-P$28)&gt;=1000</formula>
    </cfRule>
  </conditionalFormatting>
  <conditionalFormatting sqref="Q22:Q29">
    <cfRule type="expression" dxfId="459" priority="34">
      <formula>ABS(Q$25-Q$28)&gt;=1000</formula>
    </cfRule>
  </conditionalFormatting>
  <conditionalFormatting sqref="R22:R29">
    <cfRule type="expression" dxfId="458" priority="33">
      <formula>ABS(R$25-R$28)&gt;=1000</formula>
    </cfRule>
  </conditionalFormatting>
  <conditionalFormatting sqref="S22:S29">
    <cfRule type="expression" dxfId="457" priority="32">
      <formula>ABS(S$25-S$28)&gt;=1000</formula>
    </cfRule>
  </conditionalFormatting>
  <conditionalFormatting sqref="T22:T29">
    <cfRule type="expression" dxfId="456" priority="31">
      <formula>ABS(T$25-T$28)&gt;=1000</formula>
    </cfRule>
  </conditionalFormatting>
  <conditionalFormatting sqref="U22:U29">
    <cfRule type="expression" dxfId="455" priority="30">
      <formula>ABS(U$25-U$28)&gt;=1000</formula>
    </cfRule>
  </conditionalFormatting>
  <conditionalFormatting sqref="V22:V29">
    <cfRule type="expression" dxfId="454" priority="29">
      <formula>ABS(V$25-V$28)&gt;=1000</formula>
    </cfRule>
  </conditionalFormatting>
  <conditionalFormatting sqref="W22:W29">
    <cfRule type="expression" dxfId="453" priority="28">
      <formula>ABS(W$25-W$28)&gt;=1000</formula>
    </cfRule>
  </conditionalFormatting>
  <conditionalFormatting sqref="X22:X29">
    <cfRule type="expression" dxfId="452" priority="27">
      <formula>ABS(X$25-X$28)&gt;=1000</formula>
    </cfRule>
  </conditionalFormatting>
  <conditionalFormatting sqref="Y22:Y29">
    <cfRule type="expression" dxfId="451" priority="26">
      <formula>ABS(Y$25-Y$28)&gt;=1000</formula>
    </cfRule>
  </conditionalFormatting>
  <conditionalFormatting sqref="I23">
    <cfRule type="expression" dxfId="450" priority="25">
      <formula>ABS(I$25-I$28)&gt;=1000</formula>
    </cfRule>
  </conditionalFormatting>
  <conditionalFormatting sqref="Q14">
    <cfRule type="expression" dxfId="449" priority="24">
      <formula>ABS(Q$16-Q$19)&gt;=1000</formula>
    </cfRule>
  </conditionalFormatting>
  <conditionalFormatting sqref="W14">
    <cfRule type="expression" dxfId="448" priority="23">
      <formula>ABS(W$16-W$19)&gt;=1000</formula>
    </cfRule>
  </conditionalFormatting>
  <conditionalFormatting sqref="X14">
    <cfRule type="expression" dxfId="447" priority="22">
      <formula>ABS(X$16-X$19)&gt;=1000</formula>
    </cfRule>
  </conditionalFormatting>
  <conditionalFormatting sqref="T10:Y10">
    <cfRule type="expression" dxfId="446" priority="21">
      <formula>ABS(T$7-T$10)&gt;=1000</formula>
    </cfRule>
  </conditionalFormatting>
  <conditionalFormatting sqref="W19">
    <cfRule type="expression" dxfId="445" priority="20">
      <formula>ABS(W$16-W$19)&gt;=1000</formula>
    </cfRule>
  </conditionalFormatting>
  <conditionalFormatting sqref="AC5">
    <cfRule type="expression" dxfId="444" priority="19">
      <formula>ABS(AC$7-AC$10)&gt;=1000</formula>
    </cfRule>
  </conditionalFormatting>
  <conditionalFormatting sqref="M14">
    <cfRule type="expression" dxfId="443" priority="18">
      <formula>ABS(M$16-M$19)&gt;=1000</formula>
    </cfRule>
  </conditionalFormatting>
  <conditionalFormatting sqref="M16">
    <cfRule type="expression" dxfId="442" priority="17">
      <formula>ABS(M$16-M$19)&gt;=1000</formula>
    </cfRule>
  </conditionalFormatting>
  <conditionalFormatting sqref="M19">
    <cfRule type="expression" dxfId="441" priority="16">
      <formula>ABS(M$16-M$19)&gt;=1000</formula>
    </cfRule>
  </conditionalFormatting>
  <conditionalFormatting sqref="K13:K20">
    <cfRule type="expression" dxfId="440" priority="15">
      <formula>ABS(K$16-K$19)&gt;=1000</formula>
    </cfRule>
  </conditionalFormatting>
  <conditionalFormatting sqref="E5">
    <cfRule type="expression" dxfId="439" priority="14">
      <formula>ABS(E$7-E$10)&gt;=1000</formula>
    </cfRule>
  </conditionalFormatting>
  <conditionalFormatting sqref="AB14:AC14">
    <cfRule type="expression" dxfId="438" priority="13">
      <formula>ABS(AB$16-AB$19)&gt;=1000</formula>
    </cfRule>
  </conditionalFormatting>
  <conditionalFormatting sqref="M5">
    <cfRule type="expression" dxfId="437" priority="12">
      <formula>ABS(M$7-M$10)&gt;=1000</formula>
    </cfRule>
  </conditionalFormatting>
  <conditionalFormatting sqref="N5">
    <cfRule type="expression" dxfId="436" priority="11">
      <formula>ABS(N$7-N$10)&gt;=1000</formula>
    </cfRule>
  </conditionalFormatting>
  <conditionalFormatting sqref="O5">
    <cfRule type="expression" dxfId="435" priority="10">
      <formula>ABS(O$7-O$10)&gt;=1000</formula>
    </cfRule>
  </conditionalFormatting>
  <conditionalFormatting sqref="P5">
    <cfRule type="expression" dxfId="434" priority="9">
      <formula>ABS(P$7-P$10)&gt;=1000</formula>
    </cfRule>
  </conditionalFormatting>
  <conditionalFormatting sqref="L23">
    <cfRule type="expression" dxfId="433" priority="8">
      <formula>ABS(L$25-L$28)&gt;=1000</formula>
    </cfRule>
  </conditionalFormatting>
  <conditionalFormatting sqref="Y14">
    <cfRule type="expression" dxfId="432" priority="7">
      <formula>ABS(Y$16-Y$19)&gt;=1000</formula>
    </cfRule>
  </conditionalFormatting>
  <conditionalFormatting sqref="F14">
    <cfRule type="expression" dxfId="431" priority="6">
      <formula>ABS(F$16-F$19)&gt;=1000</formula>
    </cfRule>
  </conditionalFormatting>
  <conditionalFormatting sqref="H14">
    <cfRule type="expression" dxfId="430" priority="5">
      <formula>ABS(H$16-H$19)&gt;=1000</formula>
    </cfRule>
  </conditionalFormatting>
  <conditionalFormatting sqref="AD5">
    <cfRule type="expression" dxfId="429" priority="4">
      <formula>ABS(AD$7-AD$10)&gt;=1000</formula>
    </cfRule>
  </conditionalFormatting>
  <conditionalFormatting sqref="AE5">
    <cfRule type="expression" dxfId="428" priority="3">
      <formula>ABS(AE$7-AE$10)&gt;=1000</formula>
    </cfRule>
  </conditionalFormatting>
  <conditionalFormatting sqref="T16">
    <cfRule type="expression" dxfId="427" priority="2">
      <formula>ABS(T$16-T$19)&gt;=1000</formula>
    </cfRule>
  </conditionalFormatting>
  <conditionalFormatting sqref="O23">
    <cfRule type="expression" dxfId="426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19425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1">
    <pageSetUpPr fitToPage="1"/>
  </sheetPr>
  <dimension ref="A1:CU223"/>
  <sheetViews>
    <sheetView view="pageBreakPreview" zoomScaleNormal="100" zoomScaleSheetLayoutView="100" workbookViewId="0">
      <selection activeCell="S24" sqref="S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46232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142</v>
      </c>
      <c r="E6" s="71">
        <v>280</v>
      </c>
      <c r="F6" s="71">
        <v>4935</v>
      </c>
      <c r="G6" s="71">
        <v>2838</v>
      </c>
      <c r="H6" s="71">
        <v>2206</v>
      </c>
      <c r="I6" s="71">
        <v>38.72</v>
      </c>
      <c r="J6" s="71">
        <v>76.91</v>
      </c>
      <c r="K6" s="71">
        <v>50.11</v>
      </c>
      <c r="L6" s="71">
        <v>6.32</v>
      </c>
      <c r="M6" s="71">
        <v>4253</v>
      </c>
      <c r="N6" s="71">
        <v>4575</v>
      </c>
      <c r="O6" s="71">
        <v>3028</v>
      </c>
      <c r="P6" s="71">
        <v>2010</v>
      </c>
      <c r="Q6" s="71">
        <v>0</v>
      </c>
      <c r="R6" s="71">
        <v>3741</v>
      </c>
      <c r="S6" s="71">
        <v>0</v>
      </c>
      <c r="T6" s="71">
        <v>7200</v>
      </c>
      <c r="U6" s="71">
        <v>7166</v>
      </c>
      <c r="V6" s="71">
        <v>7073</v>
      </c>
      <c r="W6" s="71">
        <v>5065</v>
      </c>
      <c r="X6" s="71">
        <v>5404</v>
      </c>
      <c r="Y6" s="71">
        <v>0</v>
      </c>
      <c r="Z6" s="71">
        <v>5536</v>
      </c>
      <c r="AA6" s="71">
        <v>1098</v>
      </c>
      <c r="AB6" s="71">
        <v>4052</v>
      </c>
      <c r="AC6" s="71">
        <v>7922</v>
      </c>
      <c r="AD6" s="71">
        <v>3381</v>
      </c>
      <c r="AE6" s="71">
        <v>4064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4451.0362153200003</v>
      </c>
      <c r="E7" s="73" ph="1">
        <f>E6*51.53*LOOKUP(E8,密度!$A$2:$A$50,密度!$B$2:$B$50)</f>
        <v>11223.852360000001</v>
      </c>
      <c r="F7" s="73" ph="1">
        <f>F6*33.183*LOOKUP(F8,密度!$A$2:$A$50,密度!$C$2:$C$50)</f>
        <v>181345.725477</v>
      </c>
      <c r="G7" s="73" ph="1">
        <f xml:space="preserve"> (G6+2)*51.53*LOOKUP(G8,密度!$A$2:$A$50,密度!$B$2:$B$50)</f>
        <v>113593.14424000001</v>
      </c>
      <c r="H7" s="73" ph="1">
        <f>(H6)*51.53*LOOKUP(H8,密度!$A$2:$A$50,密度!$B$2:$B$50)</f>
        <v>88427.922522000008</v>
      </c>
      <c r="I7" s="73" ph="1">
        <f>I6*290.8*1.0267</f>
        <v>11560.412019199999</v>
      </c>
      <c r="J7" s="73" ph="1">
        <f>J6*290.8*0.7892</f>
        <v>17650.7957776</v>
      </c>
      <c r="K7" s="73" ph="1">
        <f>K6*290.8*1.1126</f>
        <v>16212.793848800002</v>
      </c>
      <c r="L7" s="73" ph="1">
        <f>L6*290.8*0.777</f>
        <v>1428.0141120000003</v>
      </c>
      <c r="M7" s="73" ph="1">
        <f>M6*33.183*LOOKUP(M8,密度!$A$2:$A$50,密度!$D$2:$D$50)</f>
        <v>144359.11414709999</v>
      </c>
      <c r="N7" s="73" ph="1">
        <f>N6*33.183*LOOKUP(N8,密度!$A$2:$A$50,密度!$E$2:$E$50)</f>
        <v>118049.18616</v>
      </c>
      <c r="O7" s="73" ph="1">
        <f>O6*20.428*LOOKUP(O8,密度!$A$2:$A$50,密度!$C$2:$C$50)</f>
        <v>68097.252785600009</v>
      </c>
      <c r="P7" s="73" ph="1">
        <f>P6*51.53*LOOKUP(P8,密度!$A$2:$A$50,密度!$B$2:$B$50)</f>
        <v>80478.008100000006</v>
      </c>
      <c r="Q7" s="73" ph="1">
        <f>Q6*1.5*1.5*3.1416*LOOKUP(W8,密度!$A$2:$A$50,密度!$L$2:$L$50)</f>
        <v>0</v>
      </c>
      <c r="R7" s="73" ph="1">
        <f>R6*1.5*1.5*3.1416*LOOKUP(R8,密度!$A$2:$A$50,密度!$L$2:$L$50)</f>
        <v>24513.247420200001</v>
      </c>
      <c r="S7" s="73" ph="1">
        <f>S6*1.5*1.5*3.1416*LOOKUP(S8,密度!$A$2:$A$50,密度!$L$2:$L$50)</f>
        <v>0</v>
      </c>
      <c r="T7" s="73" ph="1">
        <f>T6*1.5*1.5*3.1416*LOOKUP(T8,密度!$A$2:$A$50,密度!$L$2:$L$50)</f>
        <v>47687.603040000002</v>
      </c>
      <c r="U7" s="73" ph="1">
        <f>U6*1.5*1.5*3.1416*LOOKUP(U8,密度!$A$2:$A$50,密度!$L$2:$L$50)</f>
        <v>47310.450818400001</v>
      </c>
      <c r="V7" s="73" ph="1">
        <f>V6*1.5*1.5*3.1416*LOOKUP(V8,密度!$A$2:$A$50,密度!$L$2:$L$50)</f>
        <v>46696.4580852</v>
      </c>
      <c r="W7" s="73" ph="1">
        <f>W6*1.5*1.5*3.1416*LOOKUP(W8,密度!$A$2:$A$50,密度!$L$2:$L$50)</f>
        <v>33475.299165000004</v>
      </c>
      <c r="X7" s="73" ph="1">
        <f>X6*1.5*1.5*3.1416*LOOKUP(X8,密度!$A$2:$A$50,密度!$L$2:$L$50)</f>
        <v>35715.797963999998</v>
      </c>
      <c r="Y7" s="73" ph="1">
        <f>Y6*1.5*1.5*3.1416*LOOKUP(Y8,密度!$A$2:$A$50,密度!$L$2:$L$50)</f>
        <v>0</v>
      </c>
      <c r="Z7" s="73" ph="1">
        <f>Z6*33.183*LOOKUP(Z8,密度!$A$2:$A$50,密度!$L$2:$L$50)</f>
        <v>171760.51728</v>
      </c>
      <c r="AA7" s="73" ph="1">
        <f>AA6*33.183*LOOKUP(AA8,密度!$A$2:$A$50,密度!$D$2:$D$50)</f>
        <v>37269.293988599995</v>
      </c>
      <c r="AB7" s="73" ph="1">
        <f>AB6*20.428*LOOKUP(AB8,密度!$A$2:$A$50,密度!$D$2:$D$50)</f>
        <v>85141.599721600011</v>
      </c>
      <c r="AC7" s="73" ph="1">
        <f>AC6*51.53*LOOKUP(AC8,密度!$A$2:$A$50,密度!$Q$2:$Q$50)</f>
        <v>385613.39984920004</v>
      </c>
      <c r="AD7" s="73" ph="1">
        <f>AD6*20.428*LOOKUP(AD8,密度!$A$2:$A$50,密度!$V$2:$V$50)</f>
        <v>66138.624316799993</v>
      </c>
      <c r="AE7" s="73" ph="1">
        <f>AE6*20.428</f>
        <v>83019.392000000007</v>
      </c>
    </row>
    <row r="8" spans="1:99" ph="1">
      <c r="B8" s="241" ph="1"/>
      <c r="C8" s="68" t="s" ph="1">
        <v>179</v>
      </c>
      <c r="D8" s="74">
        <v>28</v>
      </c>
      <c r="E8" s="74">
        <v>27</v>
      </c>
      <c r="F8" s="74">
        <v>27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29</v>
      </c>
      <c r="N8" s="74">
        <v>30</v>
      </c>
      <c r="O8" s="74">
        <v>34</v>
      </c>
      <c r="P8" s="74">
        <v>28</v>
      </c>
      <c r="Q8" s="74">
        <v>30</v>
      </c>
      <c r="R8" s="74">
        <v>35</v>
      </c>
      <c r="S8" s="74">
        <v>25</v>
      </c>
      <c r="T8" s="74">
        <v>25</v>
      </c>
      <c r="U8" s="74">
        <v>28</v>
      </c>
      <c r="V8" s="74">
        <v>28</v>
      </c>
      <c r="W8" s="74">
        <v>27</v>
      </c>
      <c r="X8" s="74">
        <v>27</v>
      </c>
      <c r="Y8" s="74">
        <v>27</v>
      </c>
      <c r="Z8" s="74">
        <v>27</v>
      </c>
      <c r="AA8" s="74">
        <v>29</v>
      </c>
      <c r="AB8" s="74">
        <v>23</v>
      </c>
      <c r="AC8" s="74">
        <v>28</v>
      </c>
      <c r="AD8" s="74">
        <v>27</v>
      </c>
      <c r="AE8" s="74">
        <v>29</v>
      </c>
    </row>
    <row r="9" spans="1:99" ht="26.4" ph="1">
      <c r="B9" s="241" ph="1">
        <v>0.66666666666666663</v>
      </c>
      <c r="C9" s="163" t="s" ph="1">
        <v>180</v>
      </c>
      <c r="D9" s="71">
        <v>141</v>
      </c>
      <c r="E9" s="71">
        <v>276</v>
      </c>
      <c r="F9" s="71">
        <v>5485</v>
      </c>
      <c r="G9" s="71">
        <v>2577</v>
      </c>
      <c r="H9" s="71">
        <v>3084</v>
      </c>
      <c r="I9" s="71">
        <v>38.72</v>
      </c>
      <c r="J9" s="71">
        <v>77.03</v>
      </c>
      <c r="K9" s="71">
        <v>17.489999999999998</v>
      </c>
      <c r="L9" s="71">
        <v>44.61</v>
      </c>
      <c r="M9" s="71">
        <v>4251</v>
      </c>
      <c r="N9" s="71">
        <v>4520</v>
      </c>
      <c r="O9" s="71">
        <v>3887</v>
      </c>
      <c r="P9" s="71">
        <v>1768</v>
      </c>
      <c r="Q9" s="71">
        <v>6189</v>
      </c>
      <c r="R9" s="71">
        <v>0</v>
      </c>
      <c r="S9" s="71">
        <v>0</v>
      </c>
      <c r="T9" s="71">
        <v>6386</v>
      </c>
      <c r="U9" s="71">
        <v>7171</v>
      </c>
      <c r="V9" s="71">
        <v>7080</v>
      </c>
      <c r="W9" s="71">
        <v>7028</v>
      </c>
      <c r="X9" s="71">
        <v>5800</v>
      </c>
      <c r="Y9" s="71">
        <v>3194</v>
      </c>
      <c r="Z9" s="71">
        <v>3461</v>
      </c>
      <c r="AA9" s="71">
        <v>1098</v>
      </c>
      <c r="AB9" s="71">
        <v>3975</v>
      </c>
      <c r="AC9" s="71">
        <v>8258</v>
      </c>
      <c r="AD9" s="71">
        <v>3381</v>
      </c>
      <c r="AE9" s="71">
        <v>4025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4406.9645456999997</v>
      </c>
      <c r="E10" s="73" ph="1">
        <f>E9*51.53*LOOKUP(E11,密度!$A$2:$A$50,密度!$B$2:$B$50)</f>
        <v>11000.933580000001</v>
      </c>
      <c r="F10" s="73" ph="1">
        <f>F9*33.183*LOOKUP(F11,密度!$A$2:$A$50,密度!$C$2:$C$50)</f>
        <v>201137.87515050001</v>
      </c>
      <c r="G10" s="73" ph="1">
        <f xml:space="preserve"> (G9+2)*51.53*LOOKUP(G11,密度!$A$2:$A$50,密度!$B$2:$B$50)</f>
        <v>102688.63874900001</v>
      </c>
      <c r="H10" s="73" ph="1">
        <f>(H9)*51.53*LOOKUP(H11,密度!$A$2:$A$50,密度!$B$2:$B$50)</f>
        <v>122796.340404</v>
      </c>
      <c r="I10" s="73" ph="1">
        <f>I9*290.8*1.0267</f>
        <v>11560.412019199999</v>
      </c>
      <c r="J10" s="73" ph="1">
        <f>J9*290.8*0.7892</f>
        <v>17678.335700800002</v>
      </c>
      <c r="K10" s="73" ph="1">
        <f>K9*290.8*1.1126</f>
        <v>5658.7859591999995</v>
      </c>
      <c r="L10" s="73" ph="1">
        <f>L9*290.8*0.777</f>
        <v>10079.700876000001</v>
      </c>
      <c r="M10" s="73" ph="1">
        <f>M9*33.183*LOOKUP(M11,密度!$A$2:$A$50,密度!$D$2:$D$50)</f>
        <v>143797.51510019999</v>
      </c>
      <c r="N10" s="73" ph="1">
        <f>N9*33.183*LOOKUP(N11,密度!$A$2:$A$50,密度!$E$2:$E$50)</f>
        <v>116457.530382</v>
      </c>
      <c r="O10" s="73" ph="1">
        <f>O9*20.428*LOOKUP(O11,密度!$A$2:$A$50,密度!$C$2:$C$50)</f>
        <v>87169.311600800007</v>
      </c>
      <c r="P10" s="73" ph="1">
        <f>P9*51.53*LOOKUP(P11,密度!$A$2:$A$50,密度!$B$2:$B$50)</f>
        <v>70469.74844000001</v>
      </c>
      <c r="Q10" s="73" ph="1">
        <f>Q9*1.5*1.5*3.1416*LOOKUP(W11,密度!$A$2:$A$50,密度!$L$2:$L$50)</f>
        <v>40903.973649</v>
      </c>
      <c r="R10" s="73" ph="1">
        <f>R9*1.5*1.5*3.1416*LOOKUP(R11,密度!$A$2:$A$50,密度!$L$2:$L$50)</f>
        <v>0</v>
      </c>
      <c r="S10" s="73" ph="1">
        <f>S9*1.5*1.5*3.1416*LOOKUP(S11,密度!$A$2:$A$50,密度!$L$2:$L$50)</f>
        <v>0</v>
      </c>
      <c r="T10" s="73" ph="1">
        <f>T9*1.5*1.5*3.1416*LOOKUP(T11,密度!$A$2:$A$50,密度!$L$2:$L$50)</f>
        <v>42296.254585199997</v>
      </c>
      <c r="U10" s="73" ph="1">
        <f>U9*1.5*1.5*3.1416*LOOKUP(U11,密度!$A$2:$A$50,密度!$L$2:$L$50)</f>
        <v>47140.705458000004</v>
      </c>
      <c r="V10" s="73" ph="1">
        <f>V9*1.5*1.5*3.1416*LOOKUP(V11,密度!$A$2:$A$50,密度!$L$2:$L$50)</f>
        <v>46742.672592000003</v>
      </c>
      <c r="W10" s="73" ph="1">
        <f>W9*1.5*1.5*3.1416*LOOKUP(W11,密度!$A$2:$A$50,密度!$L$2:$L$50)</f>
        <v>46449.042948000002</v>
      </c>
      <c r="X10" s="73" ph="1">
        <f>X9*1.5*1.5*3.1416*LOOKUP(X11,密度!$A$2:$A$50,密度!$L$2:$L$50)</f>
        <v>38374.015679999997</v>
      </c>
      <c r="Y10" s="73" ph="1">
        <f>Y9*1.5*1.5*3.1416*LOOKUP(Y11,密度!$A$2:$A$50,密度!$L$2:$L$50)</f>
        <v>21109.596354000001</v>
      </c>
      <c r="Z10" s="73" ph="1">
        <f>Z9*33.183*LOOKUP(Z11,密度!$A$2:$A$50,密度!$L$2:$L$50)</f>
        <v>106921.963953</v>
      </c>
      <c r="AA10" s="73" ph="1">
        <f>AA9*33.183*LOOKUP(AA11,密度!$A$2:$A$50,密度!$D$2:$D$50)</f>
        <v>37043.397397799999</v>
      </c>
      <c r="AB10" s="73" ph="1">
        <f>AB9*20.428*LOOKUP(AB11,密度!$A$2:$A$50,密度!$D$2:$D$50)</f>
        <v>83369.374710000004</v>
      </c>
      <c r="AC10" s="73" ph="1">
        <f>AC9*51.53*LOOKUP(AC11,密度!$A$2:$A$50,密度!$Q$2:$Q$50)</f>
        <v>401419.6862842</v>
      </c>
      <c r="AD10" s="73" ph="1">
        <f>AD9*20.428*LOOKUP(AD11,密度!$A$2:$A$50,密度!$V$2:$V$50)</f>
        <v>66138.624316799993</v>
      </c>
      <c r="AE10" s="73" ph="1">
        <f>AE9*20.428</f>
        <v>82222.7</v>
      </c>
    </row>
    <row r="11" spans="1:99" ph="1">
      <c r="A11" s="64" t="s" ph="1">
        <v>162</v>
      </c>
      <c r="B11" s="241" ph="1"/>
      <c r="C11" s="163" t="s" ph="1">
        <v>179</v>
      </c>
      <c r="D11" s="74">
        <v>32</v>
      </c>
      <c r="E11" s="74">
        <v>32</v>
      </c>
      <c r="F11" s="74">
        <v>30</v>
      </c>
      <c r="G11" s="74">
        <v>33</v>
      </c>
      <c r="H11" s="74">
        <v>33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31</v>
      </c>
      <c r="O11" s="74">
        <v>37</v>
      </c>
      <c r="P11" s="74">
        <v>32</v>
      </c>
      <c r="Q11" s="74">
        <v>31</v>
      </c>
      <c r="R11" s="74">
        <v>31</v>
      </c>
      <c r="S11" s="74">
        <v>30</v>
      </c>
      <c r="T11" s="74">
        <v>25</v>
      </c>
      <c r="U11" s="74">
        <v>32</v>
      </c>
      <c r="V11" s="74">
        <v>28</v>
      </c>
      <c r="W11" s="74">
        <v>27</v>
      </c>
      <c r="X11" s="74">
        <v>26</v>
      </c>
      <c r="Y11" s="74">
        <v>27</v>
      </c>
      <c r="Z11" s="74">
        <v>31</v>
      </c>
      <c r="AA11" s="74">
        <v>36</v>
      </c>
      <c r="AB11" s="74">
        <v>25</v>
      </c>
      <c r="AC11" s="74">
        <v>30</v>
      </c>
      <c r="AD11" s="74">
        <v>32</v>
      </c>
      <c r="AE11" s="74">
        <v>31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2431</v>
      </c>
      <c r="E15" s="78">
        <v>5345</v>
      </c>
      <c r="F15" s="78">
        <v>2405</v>
      </c>
      <c r="G15" s="78">
        <v>3061</v>
      </c>
      <c r="H15" s="78">
        <v>4366</v>
      </c>
      <c r="I15" s="78">
        <v>3128</v>
      </c>
      <c r="J15" s="78">
        <v>4793</v>
      </c>
      <c r="K15" s="78">
        <v>4624</v>
      </c>
      <c r="L15" s="78">
        <v>6014</v>
      </c>
      <c r="M15" s="78">
        <v>6914</v>
      </c>
      <c r="N15" s="78">
        <v>1128</v>
      </c>
      <c r="O15" s="78">
        <v>2500</v>
      </c>
      <c r="P15" s="78">
        <v>7046</v>
      </c>
      <c r="Q15" s="78">
        <v>7030</v>
      </c>
      <c r="R15" s="78">
        <v>1944</v>
      </c>
      <c r="S15" s="78">
        <v>0</v>
      </c>
      <c r="T15" s="78">
        <v>5295</v>
      </c>
      <c r="U15" s="78">
        <v>0</v>
      </c>
      <c r="V15" s="78">
        <v>3858</v>
      </c>
      <c r="W15" s="71">
        <v>2166</v>
      </c>
      <c r="X15" s="78">
        <v>1034</v>
      </c>
      <c r="Y15" s="106">
        <v>-9907</v>
      </c>
      <c r="Z15" s="78">
        <v>0</v>
      </c>
      <c r="AA15" s="78">
        <v>2509</v>
      </c>
      <c r="AB15" s="78" ph="1">
        <v>0</v>
      </c>
      <c r="AC15" s="78" ph="1">
        <v>0</v>
      </c>
      <c r="AD15" s="78">
        <v>84.12</v>
      </c>
      <c r="AE15" s="78">
        <v>5.52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16049.6380044</v>
      </c>
      <c r="E16" s="73" ph="1">
        <f>E15*7.0686*LOOKUP(E17,密度!$A$2:$A$50,密度!$L$2:$L$50)</f>
        <v>35250.295311000002</v>
      </c>
      <c r="F16" s="73" ph="1">
        <f>F15*9.0746*LOOKUP(F17,密度!$A$2:$A$50,密度!$L$2:$L$50)</f>
        <v>20253.055264000002</v>
      </c>
      <c r="G16" s="73" ph="1">
        <f>G15*9.0746*LOOKUP(G17,密度!$A$2:$A$50,密度!$B$2:$B$50)</f>
        <v>21583.001416200001</v>
      </c>
      <c r="H16" s="73" ph="1">
        <f>H15*9.0746*LOOKUP(H17,密度!$A$2:$A$50,密度!$L$2:$L$50)</f>
        <v>37123.662273200003</v>
      </c>
      <c r="I16" s="73" ph="1">
        <f>I15*9.0746*LOOKUP(I17,密度!$A$2:$A$50,密度!$U$2:$U$50)</f>
        <v>29009.826473600002</v>
      </c>
      <c r="J16" s="73" ph="1">
        <f>J15*9.0746*LOOKUP(J17,密度!$A$2:$A$50,密度!$L$2:$L$50)</f>
        <v>40493.433311800007</v>
      </c>
      <c r="K16" s="73" ph="1">
        <f>K15*9.0746*LOOKUP(K17,密度!$A$2:$A$50,密度!$C$2:$C$50)</f>
        <v>46433.987712640002</v>
      </c>
      <c r="L16" s="73" ph="1">
        <f>L15*9.0746*LOOKUP(L17,密度!$A$2:$A$50,密度!$E$2:$E$50)</f>
        <v>42437.243485439998</v>
      </c>
      <c r="M16" s="73" ph="1">
        <f>M15*9.0746*LOOKUP(M17,密度!$A$2:$A$50,密度!$M$2:$M$50)</f>
        <v>54648.094212400007</v>
      </c>
      <c r="N16" s="73" ph="1">
        <f>N15*9.0746*LOOKUP(N17,密度!$A$2:$A$50,密度!$M$2:$M$50)</f>
        <v>8925.9217536000015</v>
      </c>
      <c r="O16" s="73" ph="1">
        <f>O15*9.0746*LOOKUP(O17,密度!$A$2:$A$50,密度!$G$2:$G$50)</f>
        <v>21686.02535</v>
      </c>
      <c r="P16" s="73" ph="1">
        <f ca="1">P15*9.0746*LOOKUP(P17,密度!$A$2:$A$51,密度!$Q$2:$Q$50)</f>
        <v>60354.536456188005</v>
      </c>
      <c r="Q16" s="73" ph="1">
        <f>Q15*9.0746*LOOKUP(Q17,密度!$A$2:$A$50,密度!$Q$2:$Q$50)</f>
        <v>60179.207198540003</v>
      </c>
      <c r="R16" s="73" ph="1">
        <f>MAX(R15*9.0746*LOOKUP(R17,密度!$A$2:$A$50,密度!$B$2:$B$50),0)</f>
        <v>13677.08466672</v>
      </c>
      <c r="S16" s="73" ph="1">
        <f>S15*9.0746*LOOKUP(S17,密度!$A$2:$A$50,密度!$Q$2:$Q$50)</f>
        <v>0</v>
      </c>
      <c r="T16" s="73" ph="1">
        <f>T15*9.0746*LOOKUP(T17,密度!$A$2:$A$50,密度!$O$2:$O$50)</f>
        <v>44494.306482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38234.489520343996</v>
      </c>
      <c r="W16" s="73" ph="1">
        <f>MAX(5600*LOOKUP(W17,密度!$A$2:$A$50,密度!$Q$2:$Q$50)+W15*9.0476*LOOKUP(W17,密度!$A$2:$A$50,密度!$Q$2:$Q$50),0)</f>
        <v>23769.181852327998</v>
      </c>
      <c r="X16" s="73" ph="1">
        <f>MAX(5600*LOOKUP(X17,密度!$A$2:$A$50,密度!$I$2:$I$50)+X15*9.0476*LOOKUP(X17,密度!$A$2:$A$50,密度!$I$2:$I$50),0)</f>
        <v>15504.074915279998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17672.654640680001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18840.875103359998</v>
      </c>
      <c r="AE16" s="73" ph="1">
        <f>AE15*268.68*LOOKUP(AE17,密度!$A$2:$A$50,密度!B2:B50)+IF(AE15&lt;=0,0,1566*LOOKUP(AE17,密度!$A$2:$A$50,密度!B2:B50))</f>
        <v>2377.0889625599998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28</v>
      </c>
      <c r="E17" s="74">
        <v>29</v>
      </c>
      <c r="F17" s="74">
        <v>34</v>
      </c>
      <c r="G17" s="74">
        <v>28</v>
      </c>
      <c r="H17" s="74">
        <v>25</v>
      </c>
      <c r="I17" s="74">
        <v>28</v>
      </c>
      <c r="J17" s="74">
        <v>31</v>
      </c>
      <c r="K17" s="74">
        <v>28</v>
      </c>
      <c r="L17" s="74">
        <v>30</v>
      </c>
      <c r="M17" s="74">
        <v>29</v>
      </c>
      <c r="N17" s="74">
        <v>28</v>
      </c>
      <c r="O17" s="74">
        <v>29</v>
      </c>
      <c r="P17" s="74">
        <v>29</v>
      </c>
      <c r="Q17" s="74">
        <v>30</v>
      </c>
      <c r="R17" s="74">
        <v>30</v>
      </c>
      <c r="S17" s="74">
        <v>28</v>
      </c>
      <c r="T17" s="74">
        <v>28</v>
      </c>
      <c r="U17" s="74">
        <v>29</v>
      </c>
      <c r="V17" s="74">
        <v>29</v>
      </c>
      <c r="W17" s="74">
        <v>30</v>
      </c>
      <c r="X17" s="74">
        <v>30</v>
      </c>
      <c r="Y17" s="108">
        <v>30</v>
      </c>
      <c r="Z17" s="74">
        <v>28</v>
      </c>
      <c r="AA17" s="74">
        <v>29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3361</v>
      </c>
      <c r="E18" s="71">
        <v>3107</v>
      </c>
      <c r="F18" s="71">
        <v>2405</v>
      </c>
      <c r="G18" s="71">
        <v>3198</v>
      </c>
      <c r="H18" s="71">
        <v>4367</v>
      </c>
      <c r="I18" s="71">
        <v>3129</v>
      </c>
      <c r="J18" s="71">
        <v>4938</v>
      </c>
      <c r="K18" s="71">
        <v>4647</v>
      </c>
      <c r="L18" s="71">
        <v>6021</v>
      </c>
      <c r="M18" s="71">
        <v>3973</v>
      </c>
      <c r="N18" s="71">
        <v>2583</v>
      </c>
      <c r="O18" s="71">
        <v>2500</v>
      </c>
      <c r="P18" s="71">
        <v>5276</v>
      </c>
      <c r="Q18" s="71">
        <v>7034</v>
      </c>
      <c r="R18" s="71">
        <v>1943</v>
      </c>
      <c r="S18" s="71">
        <v>0</v>
      </c>
      <c r="T18" s="71">
        <v>5298</v>
      </c>
      <c r="U18" s="71">
        <v>0</v>
      </c>
      <c r="V18" s="71">
        <v>2623</v>
      </c>
      <c r="W18" s="71">
        <v>2165</v>
      </c>
      <c r="X18" s="71">
        <v>1032</v>
      </c>
      <c r="Y18" s="109">
        <v>-9909</v>
      </c>
      <c r="Z18" s="71">
        <v>0</v>
      </c>
      <c r="AA18" s="71">
        <v>2510</v>
      </c>
      <c r="AB18" s="71">
        <v>0</v>
      </c>
      <c r="AC18" s="71">
        <v>0</v>
      </c>
      <c r="AD18" s="71">
        <v>6.51</v>
      </c>
      <c r="AE18" s="71">
        <v>51.59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22094.535078000001</v>
      </c>
      <c r="E19" s="73" ph="1">
        <f>E18*7.0686*LOOKUP(E20,密度!$A$2:$A$50,密度!$L$2:$L$50)</f>
        <v>20424.790386000004</v>
      </c>
      <c r="F19" s="73" ph="1">
        <f>F18*9.0746*LOOKUP(F20,密度!$A$2:$A$50,密度!$L$2:$L$50)</f>
        <v>20165.757612000001</v>
      </c>
      <c r="G19" s="73" ph="1">
        <f>G18*9.0746*LOOKUP(G20,密度!$A$2:$A$50,密度!$B$2:$B$50)</f>
        <v>22499.64854124</v>
      </c>
      <c r="H19" s="73" ph="1">
        <f>H18*9.0746*LOOKUP(H20,密度!$A$2:$A$50,密度!$L$2:$L$50)</f>
        <v>37013.278838800004</v>
      </c>
      <c r="I19" s="73" ph="1">
        <f>I18*9.0746*LOOKUP(I20,密度!$A$2:$A$50,密度!$U$2:$U$50)</f>
        <v>28820.339750999996</v>
      </c>
      <c r="J19" s="73" ph="1">
        <f>J18*9.0746*LOOKUP(J20,密度!$A$2:$A$50,密度!$L$2:$L$50)</f>
        <v>41584.027814399997</v>
      </c>
      <c r="K19" s="73" ph="1">
        <f>K18*9.0746*LOOKUP(K20,密度!$A$2:$A$50,密度!$C$2:$C$50)</f>
        <v>46513.141818600001</v>
      </c>
      <c r="L19" s="73" ph="1">
        <f>L18*9.0746*LOOKUP(L20,密度!$A$2:$A$50,密度!$E$2:$E$50)</f>
        <v>42423.804456570004</v>
      </c>
      <c r="M19" s="73" ph="1">
        <f>M18*9.0746*LOOKUP(M20,密度!$A$2:$A$50,密度!$M$2:$M$50)</f>
        <v>31249.993209866003</v>
      </c>
      <c r="N19" s="73" ph="1">
        <f>N18*9.0746*LOOKUP(N20,密度!$A$2:$A$50,密度!$M$2:$M$50)</f>
        <v>20439.411249600002</v>
      </c>
      <c r="O19" s="73" ph="1">
        <f>O18*9.0746*LOOKUP(O20,密度!$A$2:$A$50,密度!$G$2:$G$50)</f>
        <v>21587.792805000001</v>
      </c>
      <c r="P19" s="73" ph="1">
        <f ca="1">P18*9.0746*LOOKUP(P20,密度!$A$2:$A$51,密度!$Q$2:$Q$50)</f>
        <v>45164.366597367996</v>
      </c>
      <c r="Q19" s="73" ph="1">
        <f>Q18*9.0746*LOOKUP(Q20,密度!$A$2:$A$50,密度!$Q$2:$Q$50)</f>
        <v>60165.575515912002</v>
      </c>
      <c r="R19" s="73" ph="1">
        <f>MAX(R18*9.0746*LOOKUP(R20,密度!$A$2:$A$50,密度!$B$2:$B$50),0)</f>
        <v>13670.049129340001</v>
      </c>
      <c r="S19" s="73" ph="1">
        <f>S18*9.0746*LOOKUP(S20,密度!$A$2:$A$50,密度!$Q$2:$Q$50)</f>
        <v>0</v>
      </c>
      <c r="T19" s="73" ph="1">
        <f>T18*9.0746*LOOKUP(T20,密度!$A$2:$A$50,密度!$O$2:$O$50)</f>
        <v>44327.206797599996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27570.183600711996</v>
      </c>
      <c r="W19" s="73" ph="1">
        <f>MAX(5600*LOOKUP(W20,密度!$A$2:$A$50,密度!$Q$2:$Q$50)+W18*9.0476*LOOKUP(W20,密度!$A$2:$A$50,密度!$Q$2:$Q$50),0)</f>
        <v>23675.259476759999</v>
      </c>
      <c r="X19" s="73" ph="1">
        <f>MAX(5600*LOOKUP(X20,密度!$A$2:$A$50,密度!$I$2:$I$50)+X18*9.0476*LOOKUP(X20,密度!$A$2:$A$50,密度!$I$2:$I$50),0)</f>
        <v>15418.09856704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17579.478462800002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2575.8379835999999</v>
      </c>
      <c r="AE19" s="73" ph="1">
        <f>AE18*268.68*LOOKUP(AE20,密度!$A$2:$A$50,密度!B5:B53)+IF(AE18&lt;=0,0,1566*LOOKUP(AE20,密度!$A$2:$A$50,密度!B5:B53))</f>
        <v>11986.9353324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32</v>
      </c>
      <c r="E20" s="81">
        <v>32</v>
      </c>
      <c r="F20" s="81">
        <v>38</v>
      </c>
      <c r="G20" s="81">
        <v>30</v>
      </c>
      <c r="H20" s="81">
        <v>28</v>
      </c>
      <c r="I20" s="81">
        <v>35</v>
      </c>
      <c r="J20" s="81">
        <v>34</v>
      </c>
      <c r="K20" s="81">
        <v>32</v>
      </c>
      <c r="L20" s="81">
        <v>31</v>
      </c>
      <c r="M20" s="81">
        <v>33</v>
      </c>
      <c r="N20" s="81">
        <v>28</v>
      </c>
      <c r="O20" s="81">
        <v>33</v>
      </c>
      <c r="P20" s="81">
        <v>30</v>
      </c>
      <c r="Q20" s="81">
        <v>31</v>
      </c>
      <c r="R20" s="81">
        <v>30</v>
      </c>
      <c r="S20" s="81">
        <v>36</v>
      </c>
      <c r="T20" s="81">
        <v>32</v>
      </c>
      <c r="U20" s="81">
        <v>32</v>
      </c>
      <c r="V20" s="81">
        <v>35</v>
      </c>
      <c r="W20" s="81">
        <v>35</v>
      </c>
      <c r="X20" s="81">
        <v>34</v>
      </c>
      <c r="Y20" s="110">
        <v>34</v>
      </c>
      <c r="Z20" s="81">
        <v>35</v>
      </c>
      <c r="AA20" s="81">
        <v>34</v>
      </c>
      <c r="AB20" s="81">
        <v>35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2.83</v>
      </c>
      <c r="E24" s="71">
        <v>5.82</v>
      </c>
      <c r="F24" s="71">
        <v>1917</v>
      </c>
      <c r="G24" s="71">
        <v>2764</v>
      </c>
      <c r="H24" s="71">
        <v>3875</v>
      </c>
      <c r="I24" s="71">
        <v>1368</v>
      </c>
      <c r="J24" s="71">
        <v>306</v>
      </c>
      <c r="K24" s="71">
        <v>303</v>
      </c>
      <c r="L24" s="71">
        <v>302</v>
      </c>
      <c r="M24" s="71">
        <v>327</v>
      </c>
      <c r="N24" s="71">
        <v>320</v>
      </c>
      <c r="O24" s="71">
        <v>342</v>
      </c>
      <c r="P24" s="71">
        <v>374</v>
      </c>
      <c r="Q24" s="90">
        <v>1814</v>
      </c>
      <c r="R24" s="71">
        <v>350</v>
      </c>
      <c r="S24" s="71">
        <v>3225</v>
      </c>
      <c r="T24" s="71">
        <v>400</v>
      </c>
      <c r="U24" s="71">
        <v>4593</v>
      </c>
      <c r="V24" s="71">
        <v>740</v>
      </c>
      <c r="W24" s="71">
        <v>2345</v>
      </c>
      <c r="X24" s="71">
        <v>4415</v>
      </c>
      <c r="Y24" s="71">
        <v>2666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2202.4622320560002</v>
      </c>
      <c r="E25" s="91" ph="1">
        <f>E24*268.68*LOOKUP(E26,密度!$A$2:$A$50,密度!$C$2:$C$50)+IF(E24&lt;=0,0,1566*LOOKUP(E26,密度!$A$2:$A$50,密度!$C$2:$C$50))</f>
        <v>3470.5438466400001</v>
      </c>
      <c r="F25" s="91" ph="1">
        <f>F24*11.702*LOOKUP(F26,密度!$A$2:$A$50,密度!$Q$2:$Q$50)</f>
        <v>21190.409191080002</v>
      </c>
      <c r="G25" s="91" ph="1">
        <f>G24*18.322*LOOKUP(G26,密度!$A$2:$A$50,密度!$B$2:$B$50)</f>
        <v>39394.4180232</v>
      </c>
      <c r="H25" s="91" ph="1">
        <f>H24*18.322*LOOKUP(H26,密度!$A$2:$A$50,密度!$B$2:$B$50)</f>
        <v>55165.251750000003</v>
      </c>
      <c r="I25" s="91" ph="1">
        <f>I24*18.322*LOOKUP(I26,密度!$A$2:$A$50,密度!$Q$2:$Q$50)</f>
        <v>23693.969358720002</v>
      </c>
      <c r="J25" s="91" ph="1">
        <f>J24*18.322*LOOKUP(J26,密度!$A$2:$A$50,密度!$Q$2:$Q$50)</f>
        <v>5299.9668302400005</v>
      </c>
      <c r="K25" s="91" ph="1">
        <f>K24*18.322*LOOKUP(K26,密度!$A$2:$A$50,密度!$Q$2:$Q$50)</f>
        <v>5244.1202749200002</v>
      </c>
      <c r="L25" s="91" ph="1">
        <f>L24*18.322*LOOKUP(L26,密度!$A$2:$A$50,密度!$Q$2:$Q$50)</f>
        <v>5230.6862180799999</v>
      </c>
      <c r="M25" s="91" ph="1">
        <f>M24*18.322*LOOKUP(M26,密度!$A$2:$A$50,密度!$Q$2:$Q$50)</f>
        <v>5663.69004408</v>
      </c>
      <c r="N25" s="91" ph="1">
        <f>N24*18.322*LOOKUP(N26,密度!$A$2:$A$50,密度!$Q$2:$Q$50)</f>
        <v>5546.6117312000006</v>
      </c>
      <c r="O25" s="91" ph="1">
        <f>O24*18.322*LOOKUP(O26,密度!$A$2:$A$50,密度!$C$2:$C$50)</f>
        <v>6939.1057175999995</v>
      </c>
      <c r="P25" s="91" ph="1">
        <f>P24*11.702*LOOKUP(P26,密度!$A$2:$A$50,密度!$B$2:$B$50)</f>
        <v>3404.5166892000002</v>
      </c>
      <c r="Q25" s="92" ph="1">
        <f>Q24*18.322*LOOKUP(Q26,密度!$A$2:$A$50,密度!$B$2:$B$50)</f>
        <v>25854.368413200002</v>
      </c>
      <c r="R25" s="91" ph="1">
        <f>R24*35.891*LOOKUP(R26,密度!$A$2:$A$50,密度!$C$2:$C$50)</f>
        <v>13900.943209999999</v>
      </c>
      <c r="S25" s="91" ph="1">
        <f>S24*35.891*LOOKUP(S26,密度!$A$2:$A$50,密度!$B$2:$B$50)</f>
        <v>90040.738702499992</v>
      </c>
      <c r="T25" s="91" ph="1">
        <f>T24*35.891*LOOKUP(T26,密度!$A$2:$A$50,密度!$Q$2:$Q$50)</f>
        <v>13551.436652</v>
      </c>
      <c r="U25" s="91" ph="1">
        <f>U24*35.891</f>
        <v>164847.36299999998</v>
      </c>
      <c r="V25" s="91" ph="1">
        <f>V24*47.051*LOOKUP(V26,密度!$A$2:$A$50,密度!$B$2:$B$50)</f>
        <v>27084.719946000001</v>
      </c>
      <c r="W25" s="91" ph="1">
        <f>W24*47.051*LOOKUP(W26,密度!$A$2:$A$50,密度!$B$2:$B$50)</f>
        <v>85729.980315000008</v>
      </c>
      <c r="X25" s="91" ph="1">
        <f>X24*47.051*LOOKUP(X26,密度!$A$2:$A$61,密度!$I$2:$I$61)</f>
        <v>214419.076313</v>
      </c>
      <c r="Y25" s="91" ph="1">
        <f>Y24*47.051*LOOKUP(Y26,密度!$A$2:$A$50,密度!$L$2:$L$50)</f>
        <v>116908.18431200001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28</v>
      </c>
      <c r="G26" s="74">
        <v>27</v>
      </c>
      <c r="H26" s="74">
        <v>28</v>
      </c>
      <c r="I26" s="74">
        <v>27</v>
      </c>
      <c r="J26" s="74">
        <v>27</v>
      </c>
      <c r="K26" s="74">
        <v>28</v>
      </c>
      <c r="L26" s="74">
        <v>27</v>
      </c>
      <c r="M26" s="74">
        <v>27</v>
      </c>
      <c r="N26" s="74">
        <v>26</v>
      </c>
      <c r="O26" s="74">
        <v>27</v>
      </c>
      <c r="P26" s="74">
        <v>27</v>
      </c>
      <c r="Q26" s="93">
        <v>27</v>
      </c>
      <c r="R26" s="74">
        <v>28</v>
      </c>
      <c r="S26" s="74">
        <v>27</v>
      </c>
      <c r="T26" s="74">
        <v>29</v>
      </c>
      <c r="U26" s="74">
        <v>28</v>
      </c>
      <c r="V26" s="74">
        <v>27</v>
      </c>
      <c r="W26" s="74">
        <v>28</v>
      </c>
      <c r="X26" s="74">
        <v>34</v>
      </c>
      <c r="Y26" s="74">
        <v>30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2.73</v>
      </c>
      <c r="E27" s="71">
        <v>5.83</v>
      </c>
      <c r="F27" s="71">
        <v>539</v>
      </c>
      <c r="G27" s="71">
        <v>3480</v>
      </c>
      <c r="H27" s="71">
        <v>3462</v>
      </c>
      <c r="I27" s="71">
        <v>1890</v>
      </c>
      <c r="J27" s="71">
        <v>300</v>
      </c>
      <c r="K27" s="71">
        <v>298</v>
      </c>
      <c r="L27" s="71">
        <v>295</v>
      </c>
      <c r="M27" s="71">
        <v>321</v>
      </c>
      <c r="N27" s="71">
        <v>314</v>
      </c>
      <c r="O27" s="71">
        <v>337</v>
      </c>
      <c r="P27" s="71">
        <v>369</v>
      </c>
      <c r="Q27" s="90">
        <v>2017</v>
      </c>
      <c r="R27" s="71">
        <v>345</v>
      </c>
      <c r="S27" s="71">
        <v>3220</v>
      </c>
      <c r="T27" s="71">
        <v>397</v>
      </c>
      <c r="U27" s="71">
        <v>4545</v>
      </c>
      <c r="V27" s="71">
        <v>735</v>
      </c>
      <c r="W27" s="71">
        <v>2341</v>
      </c>
      <c r="X27" s="71">
        <v>4291</v>
      </c>
      <c r="Y27" s="71">
        <v>1914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2177.0252217359998</v>
      </c>
      <c r="E28" s="91" ph="1">
        <f>E27*268.68*LOOKUP(E29,密度!$A$2:$A$50,密度!$C$2:$C$50)+IF(E27&lt;=0,0,1566*LOOKUP(E29,密度!$A$2:$A$50,密度!$C$2:$C$50))</f>
        <v>3473.5232391600002</v>
      </c>
      <c r="F28" s="91" ph="1">
        <f>F27*11.702*LOOKUP(F29,密度!$A$2:$A$50,密度!$Q$2:$Q$50)</f>
        <v>5940.9193381999994</v>
      </c>
      <c r="G28" s="91" ph="1">
        <f>G27*18.322*LOOKUP(G29,密度!$A$2:$A$50,密度!$B$2:$B$50)</f>
        <v>49376.177663999995</v>
      </c>
      <c r="H28" s="91" ph="1">
        <f>H27*18.322*LOOKUP(H29,密度!$A$2:$A$50,密度!$B$2:$B$50)</f>
        <v>49063.695953999995</v>
      </c>
      <c r="I28" s="91" ph="1">
        <f>I27*18.322*LOOKUP(I29,密度!$A$2:$A$50,密度!$Q$2:$Q$50)</f>
        <v>32594.150925000002</v>
      </c>
      <c r="J28" s="91" ph="1">
        <f>J27*18.322*LOOKUP(J29,密度!$A$2:$A$50,密度!$Q$2:$Q$50)</f>
        <v>5166.4742039999992</v>
      </c>
      <c r="K28" s="91" ph="1">
        <f>K27*18.322*LOOKUP(K29,密度!$A$2:$A$50,密度!$Q$2:$Q$50)</f>
        <v>5135.5800140400006</v>
      </c>
      <c r="L28" s="91" ph="1">
        <f>L27*18.322*LOOKUP(L29,密度!$A$2:$A$50,密度!$Q$2:$Q$50)</f>
        <v>5080.3663005999997</v>
      </c>
      <c r="M28" s="91" ph="1">
        <f>M27*18.322*LOOKUP(M29,密度!$A$2:$A$50,密度!$Q$2:$Q$50)</f>
        <v>5535.8319824999999</v>
      </c>
      <c r="N28" s="91" ph="1">
        <f>N27*18.322*LOOKUP(N29,密度!$A$2:$A$50,密度!$Q$2:$Q$50)</f>
        <v>5418.8524251999997</v>
      </c>
      <c r="O28" s="91" ph="1">
        <f>O27*18.322*LOOKUP(O29,密度!$A$2:$A$50,密度!$C$2:$C$50)</f>
        <v>6817.2809074000006</v>
      </c>
      <c r="P28" s="91" ph="1">
        <f>P27*11.702*LOOKUP(P29,密度!$A$2:$A$50,密度!$B$2:$B$50)</f>
        <v>3347.7748613999997</v>
      </c>
      <c r="Q28" s="92" ph="1">
        <f>Q27*18.322*LOOKUP(Q29,密度!$A$2:$A$50,密度!$B$2:$B$50)</f>
        <v>28585.059138999994</v>
      </c>
      <c r="R28" s="91" ph="1">
        <f>R27*35.891*LOOKUP(R29,密度!$A$2:$A$50,密度!$C$2:$C$50)</f>
        <v>13657.781684999998</v>
      </c>
      <c r="S28" s="91" ph="1">
        <f>S27*35.891*LOOKUP(S29,密度!$A$2:$A$50,密度!$B$2:$B$50)</f>
        <v>89392.636969999992</v>
      </c>
      <c r="T28" s="91" ph="1">
        <f>T27*35.891*LOOKUP(T29,密度!$A$2:$A$50,密度!$Q$2:$Q$50)</f>
        <v>13411.614288749999</v>
      </c>
      <c r="U28" s="91" ph="1">
        <f>U27*35.891</f>
        <v>163124.595</v>
      </c>
      <c r="V28" s="91" ph="1">
        <f>V27*47.051*LOOKUP(V29,密度!$A$2:$A$50,密度!$B$2:$B$50)</f>
        <v>26721.886159500002</v>
      </c>
      <c r="W28" s="91" ph="1">
        <f>W27*47.051*LOOKUP(W29,密度!$A$2:$A$50,密度!$B$2:$B$50)</f>
        <v>85198.233438499999</v>
      </c>
      <c r="X28" s="91" ph="1">
        <f>X27*47.051*LOOKUP(X29,密度!$A$2:$A$61,密度!$I$2:$I$61)</f>
        <v>207730.63080489999</v>
      </c>
      <c r="Y28" s="91" ph="1">
        <f>Y27*47.051*LOOKUP(Y29,密度!$A$2:$A$50,密度!$L$2:$L$50)</f>
        <v>83661.665406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32</v>
      </c>
      <c r="G29" s="74">
        <v>31</v>
      </c>
      <c r="H29" s="74">
        <v>32</v>
      </c>
      <c r="I29" s="74">
        <v>33</v>
      </c>
      <c r="J29" s="74">
        <v>35</v>
      </c>
      <c r="K29" s="74">
        <v>34</v>
      </c>
      <c r="L29" s="74">
        <v>35</v>
      </c>
      <c r="M29" s="74">
        <v>33</v>
      </c>
      <c r="N29" s="74">
        <v>32</v>
      </c>
      <c r="O29" s="74">
        <v>31</v>
      </c>
      <c r="P29" s="74">
        <v>30</v>
      </c>
      <c r="Q29" s="93">
        <v>32</v>
      </c>
      <c r="R29" s="74">
        <v>32</v>
      </c>
      <c r="S29" s="74">
        <v>32</v>
      </c>
      <c r="T29" s="74">
        <v>33</v>
      </c>
      <c r="U29" s="74">
        <v>33</v>
      </c>
      <c r="V29" s="74">
        <v>33</v>
      </c>
      <c r="W29" s="74">
        <v>32</v>
      </c>
      <c r="X29" s="74">
        <v>37</v>
      </c>
      <c r="Y29" s="74">
        <v>33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120412.7721078</v>
      </c>
      <c r="E33" s="190" ph="1">
        <f>M10+I10</f>
        <v>155357.9271194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1522252632456786910111213141516171819202123456789101112131415161718192022232424356789101112131415161718192021222345678910111213141516171819202345678910111213149101516171819222123234567891012131415161711181920212224252345678910111213131[[#This Row],[F25]]</f>
        <v>3880</v>
      </c>
      <c r="G33" s="216" ph="1">
        <f>N19</f>
        <v>20439.411249600002</v>
      </c>
      <c r="H33" s="190" ph="1">
        <f>M19</f>
        <v>31249.993209866003</v>
      </c>
      <c r="I33" s="194" ph="1">
        <v>0</v>
      </c>
      <c r="J33" s="198" ph="1">
        <f>F10+O28</f>
        <v>207955.15605790002</v>
      </c>
      <c r="K33" s="190" ph="1">
        <f>O10+K10+E28+R28</f>
        <v>109959.40248416</v>
      </c>
      <c r="L33" s="200" ph="1">
        <f>K19</f>
        <v>46513.141818600001</v>
      </c>
      <c r="M33" s="198" ph="1">
        <f>G10+H10+W28+S28+V28+E10+R19+P28+Q28</f>
        <v>483401.55243074003</v>
      </c>
      <c r="N33" s="190" ph="1">
        <f>L10+P10++G28+H28+AD19+AE19</f>
        <v>193552.09625</v>
      </c>
      <c r="O33" s="194" ph="1">
        <f>G19</f>
        <v>22499.64854124</v>
      </c>
      <c r="P33" s="198" ph="1">
        <f>L19</f>
        <v>42423.804456570004</v>
      </c>
      <c r="Q33" s="190" ph="1">
        <f>J10+N10</f>
        <v>134135.8660828</v>
      </c>
      <c r="R33" s="194" ph="1">
        <f>BE23</f>
        <v>890</v>
      </c>
      <c r="S33" s="198" ph="1">
        <f>X28</f>
        <v>207730.63080489999</v>
      </c>
      <c r="T33" s="190" ph="1">
        <f>X19</f>
        <v>15418.09856704</v>
      </c>
      <c r="U33" s="179" ph="1">
        <f>BE21</f>
        <v>730</v>
      </c>
      <c r="V33" s="192" ph="1">
        <f ca="1">P19+Q19+S19+M28+N28+J28+D10+AC10+D19+E19+H19+J19+O19+V19+W19+K28+L28</f>
        <v>731443.56586919213</v>
      </c>
      <c r="W33" s="192" ph="1">
        <f>D28+F28+T28+I28</f>
        <v>54123.709773686001</v>
      </c>
      <c r="X33" s="194" ph="1">
        <f>BE29+BE31</f>
        <v>10200</v>
      </c>
      <c r="Y33" s="196" ph="1">
        <f>+Q10+R10+S10+T10+U10+V10+W10+X10+Y10</f>
        <v>283016.26126619999</v>
      </c>
      <c r="Z33" s="177" ph="1">
        <f>T19+U19+Y28+Z10</f>
        <v>234910.83615659998</v>
      </c>
      <c r="AA33" s="179" ph="1">
        <f>BE19</f>
        <v>1440</v>
      </c>
      <c r="AB33" s="181" ph="1">
        <f>I19</f>
        <v>28820.339750999996</v>
      </c>
      <c r="AC33" s="183" ph="1">
        <f>AD10+AB19</f>
        <v>66138.624316799993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395" priority="102">
      <formula>ABS(D$7-D$10)&gt;=1000</formula>
    </cfRule>
  </conditionalFormatting>
  <conditionalFormatting sqref="E4 E6:E11">
    <cfRule type="expression" dxfId="394" priority="101">
      <formula>ABS(E$7-E$10)&gt;=1000</formula>
    </cfRule>
  </conditionalFormatting>
  <conditionalFormatting sqref="F4:F11">
    <cfRule type="expression" dxfId="393" priority="100">
      <formula>ABS(F$7-F$10)&gt;=1000</formula>
    </cfRule>
  </conditionalFormatting>
  <conditionalFormatting sqref="G4:G11">
    <cfRule type="expression" dxfId="392" priority="99">
      <formula>ABS(G$7-G$10)&gt;=1000</formula>
    </cfRule>
  </conditionalFormatting>
  <conditionalFormatting sqref="H4:H11">
    <cfRule type="expression" dxfId="391" priority="98">
      <formula>ABS(H$7-H$10)&gt;=1000</formula>
    </cfRule>
  </conditionalFormatting>
  <conditionalFormatting sqref="I4:I11">
    <cfRule type="expression" dxfId="390" priority="97">
      <formula>ABS(I$7-I$10)&gt;=1000</formula>
    </cfRule>
  </conditionalFormatting>
  <conditionalFormatting sqref="J4:J11">
    <cfRule type="expression" dxfId="389" priority="96">
      <formula>ABS(J$7-J$10)&gt;=1000</formula>
    </cfRule>
  </conditionalFormatting>
  <conditionalFormatting sqref="K4:K11">
    <cfRule type="expression" dxfId="388" priority="95">
      <formula>ABS(K$7-K$10)&gt;=1000</formula>
    </cfRule>
  </conditionalFormatting>
  <conditionalFormatting sqref="L4:L11">
    <cfRule type="expression" dxfId="387" priority="94">
      <formula>ABS(L$7-L$10)&gt;=1000</formula>
    </cfRule>
  </conditionalFormatting>
  <conditionalFormatting sqref="M4 M6:M11">
    <cfRule type="expression" dxfId="386" priority="93">
      <formula>ABS(M$7-M$10)&gt;=1000</formula>
    </cfRule>
  </conditionalFormatting>
  <conditionalFormatting sqref="N4 N6:N11">
    <cfRule type="expression" dxfId="385" priority="92">
      <formula>ABS(N$7-N$10)&gt;=1000</formula>
    </cfRule>
  </conditionalFormatting>
  <conditionalFormatting sqref="O4 O6:O11">
    <cfRule type="expression" dxfId="384" priority="91">
      <formula>ABS(O$7-O$10)&gt;=1000</formula>
    </cfRule>
  </conditionalFormatting>
  <conditionalFormatting sqref="P4 P6:P11">
    <cfRule type="expression" dxfId="383" priority="90">
      <formula>ABS(P$7-P$10)&gt;=1000</formula>
    </cfRule>
  </conditionalFormatting>
  <conditionalFormatting sqref="Q4:Q11">
    <cfRule type="expression" dxfId="382" priority="89">
      <formula>ABS(Q$7-Q$10)&gt;=1000</formula>
    </cfRule>
  </conditionalFormatting>
  <conditionalFormatting sqref="R4:R11">
    <cfRule type="expression" dxfId="381" priority="88">
      <formula>ABS(R$7-R$10)&gt;=1000</formula>
    </cfRule>
  </conditionalFormatting>
  <conditionalFormatting sqref="S4:S11">
    <cfRule type="expression" dxfId="380" priority="87">
      <formula>ABS(S$7-S$10)&gt;=1000</formula>
    </cfRule>
  </conditionalFormatting>
  <conditionalFormatting sqref="T4:T9 T11">
    <cfRule type="expression" dxfId="379" priority="86">
      <formula>ABS(T$7-T$10)&gt;=1000</formula>
    </cfRule>
  </conditionalFormatting>
  <conditionalFormatting sqref="U4:U9 U11">
    <cfRule type="expression" dxfId="378" priority="85">
      <formula>ABS(U$7-U$10)&gt;=1000</formula>
    </cfRule>
  </conditionalFormatting>
  <conditionalFormatting sqref="V4:V9 V11">
    <cfRule type="expression" dxfId="377" priority="84">
      <formula>ABS(V$7-V$10)&gt;=1000</formula>
    </cfRule>
  </conditionalFormatting>
  <conditionalFormatting sqref="W4:W9 W11">
    <cfRule type="expression" dxfId="376" priority="83">
      <formula>ABS(W$7-W$10)&gt;=1000</formula>
    </cfRule>
  </conditionalFormatting>
  <conditionalFormatting sqref="X4:X9 X11">
    <cfRule type="expression" dxfId="375" priority="82">
      <formula>ABS(X$7-X$10)&gt;=1000</formula>
    </cfRule>
  </conditionalFormatting>
  <conditionalFormatting sqref="Y4:Y9 Y11">
    <cfRule type="expression" dxfId="374" priority="81">
      <formula>ABS(Y$7-Y$10)&gt;=1000</formula>
    </cfRule>
  </conditionalFormatting>
  <conditionalFormatting sqref="Z4:Z11">
    <cfRule type="expression" dxfId="373" priority="80">
      <formula>ABS(Z$7-Z$10)&gt;=1000</formula>
    </cfRule>
  </conditionalFormatting>
  <conditionalFormatting sqref="AA4:AA11">
    <cfRule type="expression" dxfId="372" priority="79">
      <formula>ABS(AA$7-AA$10)&gt;=1000</formula>
    </cfRule>
  </conditionalFormatting>
  <conditionalFormatting sqref="AB4:AB11">
    <cfRule type="expression" dxfId="371" priority="78">
      <formula>ABS(AB$7-AB$10)&gt;=1000</formula>
    </cfRule>
  </conditionalFormatting>
  <conditionalFormatting sqref="AC4 AC6:AC11">
    <cfRule type="expression" dxfId="370" priority="77">
      <formula>ABS(AC$7-AC$10)&gt;=1000</formula>
    </cfRule>
  </conditionalFormatting>
  <conditionalFormatting sqref="AD4 AD6:AD11">
    <cfRule type="expression" dxfId="369" priority="76">
      <formula>ABS(AD$7-AD$10)&gt;=1000</formula>
    </cfRule>
  </conditionalFormatting>
  <conditionalFormatting sqref="AE4 AE6:AE11">
    <cfRule type="expression" dxfId="368" priority="75">
      <formula>ABS(AE$7-AE$10)&gt;=1000</formula>
    </cfRule>
  </conditionalFormatting>
  <conditionalFormatting sqref="D13:D20">
    <cfRule type="expression" dxfId="367" priority="74">
      <formula>ABS(D$16-D$19)&gt;=1000</formula>
    </cfRule>
  </conditionalFormatting>
  <conditionalFormatting sqref="E13:E20">
    <cfRule type="expression" dxfId="366" priority="73">
      <formula>ABS(E$16-E$19)&gt;=1000</formula>
    </cfRule>
  </conditionalFormatting>
  <conditionalFormatting sqref="F13 F15:F20">
    <cfRule type="expression" dxfId="365" priority="72">
      <formula>ABS(F$16-F$19)&gt;=1000</formula>
    </cfRule>
  </conditionalFormatting>
  <conditionalFormatting sqref="G13:G20">
    <cfRule type="expression" dxfId="364" priority="71">
      <formula>ABS(G$16-G$19)&gt;=1000</formula>
    </cfRule>
  </conditionalFormatting>
  <conditionalFormatting sqref="H13 H15:H20">
    <cfRule type="expression" dxfId="363" priority="70">
      <formula>ABS(H$16-H$19)&gt;=1000</formula>
    </cfRule>
  </conditionalFormatting>
  <conditionalFormatting sqref="I13:I20">
    <cfRule type="expression" dxfId="362" priority="69">
      <formula>ABS(I$16-I$19)&gt;=1000</formula>
    </cfRule>
  </conditionalFormatting>
  <conditionalFormatting sqref="J13:J20">
    <cfRule type="expression" dxfId="361" priority="68">
      <formula>ABS(J$16-J$19)&gt;=1000</formula>
    </cfRule>
  </conditionalFormatting>
  <conditionalFormatting sqref="L13:L20">
    <cfRule type="expression" dxfId="360" priority="67">
      <formula>ABS(L$16-L$19)&gt;=1000</formula>
    </cfRule>
  </conditionalFormatting>
  <conditionalFormatting sqref="M13 M15 M17:M18 M20">
    <cfRule type="expression" dxfId="359" priority="66">
      <formula>ABS(M$16-M$19)&gt;=1000</formula>
    </cfRule>
  </conditionalFormatting>
  <conditionalFormatting sqref="N13:N20">
    <cfRule type="expression" dxfId="358" priority="65">
      <formula>ABS(N$16-N$19)&gt;=1000</formula>
    </cfRule>
  </conditionalFormatting>
  <conditionalFormatting sqref="O13:O20">
    <cfRule type="expression" dxfId="357" priority="64">
      <formula>ABS(O$16-O$19)&gt;=1000</formula>
    </cfRule>
  </conditionalFormatting>
  <conditionalFormatting sqref="P13:P20">
    <cfRule type="expression" dxfId="356" priority="63">
      <formula>ABS(P$16-P$19)&gt;=1000</formula>
    </cfRule>
  </conditionalFormatting>
  <conditionalFormatting sqref="Q13 Q15:Q20">
    <cfRule type="expression" dxfId="355" priority="62">
      <formula>ABS(Q$16-Q$19)&gt;=1000</formula>
    </cfRule>
  </conditionalFormatting>
  <conditionalFormatting sqref="R13:R20">
    <cfRule type="expression" dxfId="354" priority="61">
      <formula>ABS(R$16-R$19)&gt;=1000</formula>
    </cfRule>
  </conditionalFormatting>
  <conditionalFormatting sqref="S13:S20">
    <cfRule type="expression" dxfId="353" priority="60">
      <formula>ABS(S$16-S$19)&gt;=1000</formula>
    </cfRule>
  </conditionalFormatting>
  <conditionalFormatting sqref="T13:T15 T17:T20">
    <cfRule type="expression" dxfId="352" priority="59">
      <formula>ABS(T$16-T$19)&gt;=1000</formula>
    </cfRule>
  </conditionalFormatting>
  <conditionalFormatting sqref="U13:U20">
    <cfRule type="expression" dxfId="351" priority="58">
      <formula>ABS(U$16-U$19)&gt;=1000</formula>
    </cfRule>
  </conditionalFormatting>
  <conditionalFormatting sqref="V13:V20">
    <cfRule type="expression" dxfId="350" priority="57">
      <formula>ABS(V$16-V$19)&gt;=1000</formula>
    </cfRule>
  </conditionalFormatting>
  <conditionalFormatting sqref="W13 W20 W15:W18">
    <cfRule type="expression" dxfId="349" priority="56">
      <formula>ABS(W$16-W$19)&gt;=1000</formula>
    </cfRule>
  </conditionalFormatting>
  <conditionalFormatting sqref="X13 X15:X20 Y19">
    <cfRule type="expression" dxfId="348" priority="55">
      <formula>ABS(X$16-X$19)&gt;=1000</formula>
    </cfRule>
  </conditionalFormatting>
  <conditionalFormatting sqref="Y13 Y15:Y18 Y20">
    <cfRule type="expression" dxfId="347" priority="54">
      <formula>ABS(Y$16-Y$19)&gt;=1000</formula>
    </cfRule>
  </conditionalFormatting>
  <conditionalFormatting sqref="Z13:Z20">
    <cfRule type="expression" dxfId="346" priority="53">
      <formula>ABS(Z$16-Z$19)&gt;=1000</formula>
    </cfRule>
  </conditionalFormatting>
  <conditionalFormatting sqref="AA13:AA20">
    <cfRule type="expression" dxfId="345" priority="52">
      <formula>ABS(AA$16-AA$19)&gt;=1000</formula>
    </cfRule>
  </conditionalFormatting>
  <conditionalFormatting sqref="AB13 AB15:AB20">
    <cfRule type="expression" dxfId="344" priority="51">
      <formula>ABS(AB$16-AB$19)&gt;=1000</formula>
    </cfRule>
  </conditionalFormatting>
  <conditionalFormatting sqref="AC13 AC15:AC20">
    <cfRule type="expression" dxfId="343" priority="50">
      <formula>ABS(AC$16-AC$19)&gt;=1000</formula>
    </cfRule>
  </conditionalFormatting>
  <conditionalFormatting sqref="AD13:AD20">
    <cfRule type="expression" dxfId="342" priority="49">
      <formula>ABS(AD$16-AD$19)&gt;=1000</formula>
    </cfRule>
  </conditionalFormatting>
  <conditionalFormatting sqref="AE13:AE20">
    <cfRule type="expression" dxfId="341" priority="48">
      <formula>ABS(AE$16-AE$19)&gt;=1000</formula>
    </cfRule>
  </conditionalFormatting>
  <conditionalFormatting sqref="D22:D29">
    <cfRule type="expression" dxfId="340" priority="47">
      <formula>ABS(D$25-D$28)&gt;=1000</formula>
    </cfRule>
  </conditionalFormatting>
  <conditionalFormatting sqref="E22:E29">
    <cfRule type="expression" dxfId="339" priority="46">
      <formula>ABS(E$25-E$28)&gt;=1000</formula>
    </cfRule>
  </conditionalFormatting>
  <conditionalFormatting sqref="F22:F29">
    <cfRule type="expression" dxfId="338" priority="45">
      <formula>ABS(F$25-F$28)&gt;=1000</formula>
    </cfRule>
  </conditionalFormatting>
  <conditionalFormatting sqref="G22:G29">
    <cfRule type="expression" dxfId="337" priority="44">
      <formula>ABS(G$25-G$28)&gt;=1000</formula>
    </cfRule>
  </conditionalFormatting>
  <conditionalFormatting sqref="H22:H29">
    <cfRule type="expression" dxfId="336" priority="43">
      <formula>ABS(H$25-H$28)&gt;=1000</formula>
    </cfRule>
  </conditionalFormatting>
  <conditionalFormatting sqref="I22 I24:I29">
    <cfRule type="expression" dxfId="335" priority="42">
      <formula>ABS(I$25-I$28)&gt;=1000</formula>
    </cfRule>
  </conditionalFormatting>
  <conditionalFormatting sqref="J22:J29 K22">
    <cfRule type="expression" dxfId="334" priority="41">
      <formula>ABS(J$25-J$28)&gt;=1000</formula>
    </cfRule>
  </conditionalFormatting>
  <conditionalFormatting sqref="K23:K29 L25 L28">
    <cfRule type="expression" dxfId="333" priority="40">
      <formula>ABS(K$25-K$28)&gt;=1000</formula>
    </cfRule>
  </conditionalFormatting>
  <conditionalFormatting sqref="L22 L26:L27 L29 L24">
    <cfRule type="expression" dxfId="332" priority="39">
      <formula>ABS(L$25-L$28)&gt;=1000</formula>
    </cfRule>
  </conditionalFormatting>
  <conditionalFormatting sqref="M22:M29">
    <cfRule type="expression" dxfId="331" priority="38">
      <formula>ABS(M$25-M$28)&gt;=1000</formula>
    </cfRule>
  </conditionalFormatting>
  <conditionalFormatting sqref="N22:N29">
    <cfRule type="expression" dxfId="330" priority="37">
      <formula>ABS(N$25-N$28)&gt;=1000</formula>
    </cfRule>
  </conditionalFormatting>
  <conditionalFormatting sqref="O22 O24:O29">
    <cfRule type="expression" dxfId="329" priority="36">
      <formula>ABS(O$25-O$28)&gt;=1000</formula>
    </cfRule>
  </conditionalFormatting>
  <conditionalFormatting sqref="P22:P29">
    <cfRule type="expression" dxfId="328" priority="35">
      <formula>ABS(P$25-P$28)&gt;=1000</formula>
    </cfRule>
  </conditionalFormatting>
  <conditionalFormatting sqref="Q22:Q29">
    <cfRule type="expression" dxfId="327" priority="34">
      <formula>ABS(Q$25-Q$28)&gt;=1000</formula>
    </cfRule>
  </conditionalFormatting>
  <conditionalFormatting sqref="R22:R29">
    <cfRule type="expression" dxfId="326" priority="33">
      <formula>ABS(R$25-R$28)&gt;=1000</formula>
    </cfRule>
  </conditionalFormatting>
  <conditionalFormatting sqref="S22:S29">
    <cfRule type="expression" dxfId="325" priority="32">
      <formula>ABS(S$25-S$28)&gt;=1000</formula>
    </cfRule>
  </conditionalFormatting>
  <conditionalFormatting sqref="T22:T29">
    <cfRule type="expression" dxfId="324" priority="31">
      <formula>ABS(T$25-T$28)&gt;=1000</formula>
    </cfRule>
  </conditionalFormatting>
  <conditionalFormatting sqref="U22:U29">
    <cfRule type="expression" dxfId="323" priority="30">
      <formula>ABS(U$25-U$28)&gt;=1000</formula>
    </cfRule>
  </conditionalFormatting>
  <conditionalFormatting sqref="V22:V29">
    <cfRule type="expression" dxfId="322" priority="29">
      <formula>ABS(V$25-V$28)&gt;=1000</formula>
    </cfRule>
  </conditionalFormatting>
  <conditionalFormatting sqref="W22:W29">
    <cfRule type="expression" dxfId="321" priority="28">
      <formula>ABS(W$25-W$28)&gt;=1000</formula>
    </cfRule>
  </conditionalFormatting>
  <conditionalFormatting sqref="X22:X29">
    <cfRule type="expression" dxfId="320" priority="27">
      <formula>ABS(X$25-X$28)&gt;=1000</formula>
    </cfRule>
  </conditionalFormatting>
  <conditionalFormatting sqref="Y22:Y29">
    <cfRule type="expression" dxfId="319" priority="26">
      <formula>ABS(Y$25-Y$28)&gt;=1000</formula>
    </cfRule>
  </conditionalFormatting>
  <conditionalFormatting sqref="I23">
    <cfRule type="expression" dxfId="318" priority="25">
      <formula>ABS(I$25-I$28)&gt;=1000</formula>
    </cfRule>
  </conditionalFormatting>
  <conditionalFormatting sqref="Q14">
    <cfRule type="expression" dxfId="317" priority="24">
      <formula>ABS(Q$16-Q$19)&gt;=1000</formula>
    </cfRule>
  </conditionalFormatting>
  <conditionalFormatting sqref="W14">
    <cfRule type="expression" dxfId="316" priority="23">
      <formula>ABS(W$16-W$19)&gt;=1000</formula>
    </cfRule>
  </conditionalFormatting>
  <conditionalFormatting sqref="X14">
    <cfRule type="expression" dxfId="315" priority="22">
      <formula>ABS(X$16-X$19)&gt;=1000</formula>
    </cfRule>
  </conditionalFormatting>
  <conditionalFormatting sqref="T10:Y10">
    <cfRule type="expression" dxfId="314" priority="21">
      <formula>ABS(T$7-T$10)&gt;=1000</formula>
    </cfRule>
  </conditionalFormatting>
  <conditionalFormatting sqref="W19">
    <cfRule type="expression" dxfId="313" priority="20">
      <formula>ABS(W$16-W$19)&gt;=1000</formula>
    </cfRule>
  </conditionalFormatting>
  <conditionalFormatting sqref="AC5">
    <cfRule type="expression" dxfId="312" priority="19">
      <formula>ABS(AC$7-AC$10)&gt;=1000</formula>
    </cfRule>
  </conditionalFormatting>
  <conditionalFormatting sqref="M14">
    <cfRule type="expression" dxfId="311" priority="18">
      <formula>ABS(M$16-M$19)&gt;=1000</formula>
    </cfRule>
  </conditionalFormatting>
  <conditionalFormatting sqref="M16">
    <cfRule type="expression" dxfId="310" priority="17">
      <formula>ABS(M$16-M$19)&gt;=1000</formula>
    </cfRule>
  </conditionalFormatting>
  <conditionalFormatting sqref="M19">
    <cfRule type="expression" dxfId="309" priority="16">
      <formula>ABS(M$16-M$19)&gt;=1000</formula>
    </cfRule>
  </conditionalFormatting>
  <conditionalFormatting sqref="K13:K20">
    <cfRule type="expression" dxfId="308" priority="15">
      <formula>ABS(K$16-K$19)&gt;=1000</formula>
    </cfRule>
  </conditionalFormatting>
  <conditionalFormatting sqref="E5">
    <cfRule type="expression" dxfId="307" priority="14">
      <formula>ABS(E$7-E$10)&gt;=1000</formula>
    </cfRule>
  </conditionalFormatting>
  <conditionalFormatting sqref="AB14:AC14">
    <cfRule type="expression" dxfId="306" priority="13">
      <formula>ABS(AB$16-AB$19)&gt;=1000</formula>
    </cfRule>
  </conditionalFormatting>
  <conditionalFormatting sqref="M5">
    <cfRule type="expression" dxfId="305" priority="12">
      <formula>ABS(M$7-M$10)&gt;=1000</formula>
    </cfRule>
  </conditionalFormatting>
  <conditionalFormatting sqref="N5">
    <cfRule type="expression" dxfId="304" priority="11">
      <formula>ABS(N$7-N$10)&gt;=1000</formula>
    </cfRule>
  </conditionalFormatting>
  <conditionalFormatting sqref="O5">
    <cfRule type="expression" dxfId="303" priority="10">
      <formula>ABS(O$7-O$10)&gt;=1000</formula>
    </cfRule>
  </conditionalFormatting>
  <conditionalFormatting sqref="P5">
    <cfRule type="expression" dxfId="302" priority="9">
      <formula>ABS(P$7-P$10)&gt;=1000</formula>
    </cfRule>
  </conditionalFormatting>
  <conditionalFormatting sqref="L23">
    <cfRule type="expression" dxfId="301" priority="8">
      <formula>ABS(L$25-L$28)&gt;=1000</formula>
    </cfRule>
  </conditionalFormatting>
  <conditionalFormatting sqref="Y14">
    <cfRule type="expression" dxfId="300" priority="7">
      <formula>ABS(Y$16-Y$19)&gt;=1000</formula>
    </cfRule>
  </conditionalFormatting>
  <conditionalFormatting sqref="F14">
    <cfRule type="expression" dxfId="299" priority="6">
      <formula>ABS(F$16-F$19)&gt;=1000</formula>
    </cfRule>
  </conditionalFormatting>
  <conditionalFormatting sqref="H14">
    <cfRule type="expression" dxfId="298" priority="5">
      <formula>ABS(H$16-H$19)&gt;=1000</formula>
    </cfRule>
  </conditionalFormatting>
  <conditionalFormatting sqref="AD5">
    <cfRule type="expression" dxfId="297" priority="4">
      <formula>ABS(AD$7-AD$10)&gt;=1000</formula>
    </cfRule>
  </conditionalFormatting>
  <conditionalFormatting sqref="AE5">
    <cfRule type="expression" dxfId="296" priority="3">
      <formula>ABS(AE$7-AE$10)&gt;=1000</formula>
    </cfRule>
  </conditionalFormatting>
  <conditionalFormatting sqref="T16">
    <cfRule type="expression" dxfId="295" priority="2">
      <formula>ABS(T$16-T$19)&gt;=1000</formula>
    </cfRule>
  </conditionalFormatting>
  <conditionalFormatting sqref="O23">
    <cfRule type="expression" dxfId="294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0449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2">
    <pageSetUpPr fitToPage="1"/>
  </sheetPr>
  <dimension ref="A1:CU223"/>
  <sheetViews>
    <sheetView view="pageBreakPreview" topLeftCell="A12" zoomScale="70" zoomScaleNormal="100" zoomScaleSheetLayoutView="70" workbookViewId="0">
      <selection activeCell="S24" sqref="S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46233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142</v>
      </c>
      <c r="E6" s="71">
        <v>278</v>
      </c>
      <c r="F6" s="71">
        <v>4949</v>
      </c>
      <c r="G6" s="71">
        <v>1997</v>
      </c>
      <c r="H6" s="71">
        <v>3087</v>
      </c>
      <c r="I6" s="71">
        <v>38.72</v>
      </c>
      <c r="J6" s="71">
        <v>77.010000000000005</v>
      </c>
      <c r="K6" s="71">
        <v>52.73</v>
      </c>
      <c r="L6" s="71">
        <v>5.92</v>
      </c>
      <c r="M6" s="71">
        <v>4253</v>
      </c>
      <c r="N6" s="71">
        <v>4249</v>
      </c>
      <c r="O6" s="71">
        <v>4254</v>
      </c>
      <c r="P6" s="71">
        <v>2066</v>
      </c>
      <c r="Q6" s="71">
        <v>6194</v>
      </c>
      <c r="R6" s="71">
        <v>0</v>
      </c>
      <c r="S6" s="71">
        <v>0</v>
      </c>
      <c r="T6" s="71">
        <v>0</v>
      </c>
      <c r="U6" s="71">
        <v>4252</v>
      </c>
      <c r="V6" s="71">
        <v>7080</v>
      </c>
      <c r="W6" s="71">
        <v>7030</v>
      </c>
      <c r="X6" s="71">
        <v>5801</v>
      </c>
      <c r="Y6" s="71">
        <v>3188</v>
      </c>
      <c r="Z6" s="71">
        <v>5516</v>
      </c>
      <c r="AA6" s="71">
        <v>1098</v>
      </c>
      <c r="AB6" s="71">
        <v>3975</v>
      </c>
      <c r="AC6" s="71">
        <v>8469</v>
      </c>
      <c r="AD6" s="71">
        <v>3381</v>
      </c>
      <c r="AE6" s="71">
        <v>4018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4444.9577533800002</v>
      </c>
      <c r="E7" s="73" ph="1">
        <f>E6*51.53*LOOKUP(E8,密度!$A$2:$A$50,密度!$B$2:$B$50)</f>
        <v>11130.78918</v>
      </c>
      <c r="F7" s="73" ph="1">
        <f>F6*33.183*LOOKUP(F8,密度!$A$2:$A$50,密度!$C$2:$C$50)</f>
        <v>181860.18143579998</v>
      </c>
      <c r="G7" s="73" ph="1">
        <f xml:space="preserve"> (G6+2)*51.53*LOOKUP(G8,密度!$A$2:$A$50,密度!$B$2:$B$50)</f>
        <v>79955.174414000008</v>
      </c>
      <c r="H7" s="73" ph="1">
        <f>(H6)*51.53*LOOKUP(H8,密度!$A$2:$A$50,密度!$B$2:$B$50)</f>
        <v>123599.80647000001</v>
      </c>
      <c r="I7" s="73" ph="1">
        <f>I6*290.8*1.0267</f>
        <v>11560.412019199999</v>
      </c>
      <c r="J7" s="73" ph="1">
        <f>J6*290.8*0.7892</f>
        <v>17673.745713600001</v>
      </c>
      <c r="K7" s="73" ph="1">
        <f>K6*290.8*1.1126</f>
        <v>17060.4793384</v>
      </c>
      <c r="L7" s="73" ph="1">
        <f>L6*290.8*0.777</f>
        <v>1337.633472</v>
      </c>
      <c r="M7" s="73" ph="1">
        <f>M6*33.183*LOOKUP(M8,密度!$A$2:$A$50,密度!$D$2:$D$50)</f>
        <v>144232.09957799999</v>
      </c>
      <c r="N7" s="73" ph="1">
        <f>N6*33.183*LOOKUP(N8,密度!$A$2:$A$50,密度!$E$2:$E$50)</f>
        <v>109637.37529920001</v>
      </c>
      <c r="O7" s="73" ph="1">
        <f>O6*20.428*LOOKUP(O8,密度!$A$2:$A$50,密度!$C$2:$C$50)</f>
        <v>96103.497400800014</v>
      </c>
      <c r="P7" s="73" ph="1">
        <f>P6*51.53*LOOKUP(P8,密度!$A$2:$A$50,密度!$B$2:$B$50)</f>
        <v>82720.181459999993</v>
      </c>
      <c r="Q7" s="73" ph="1">
        <f>Q6*1.5*1.5*3.1416*LOOKUP(W8,密度!$A$2:$A$50,密度!$L$2:$L$50)</f>
        <v>40893.2364456</v>
      </c>
      <c r="R7" s="73" ph="1">
        <f>R6*1.5*1.5*3.1416*LOOKUP(R8,密度!$A$2:$A$50,密度!$L$2:$L$50)</f>
        <v>0</v>
      </c>
      <c r="S7" s="73" ph="1">
        <f>S6*1.5*1.5*3.1416*LOOKUP(S8,密度!$A$2:$A$50,密度!$L$2:$L$50)</f>
        <v>0</v>
      </c>
      <c r="T7" s="73" ph="1">
        <f>T6*1.5*1.5*3.1416*LOOKUP(T8,密度!$A$2:$A$50,密度!$L$2:$L$50)</f>
        <v>0</v>
      </c>
      <c r="U7" s="73" ph="1">
        <f>U6*1.5*1.5*3.1416*LOOKUP(U8,密度!$A$2:$A$50,密度!$L$2:$L$50)</f>
        <v>28072.011844800003</v>
      </c>
      <c r="V7" s="73" ph="1">
        <f>V6*1.5*1.5*3.1416*LOOKUP(V8,密度!$A$2:$A$50,密度!$L$2:$L$50)</f>
        <v>46792.718280000001</v>
      </c>
      <c r="W7" s="73" ph="1">
        <f>W6*1.5*1.5*3.1416*LOOKUP(W8,密度!$A$2:$A$50,密度!$L$2:$L$50)</f>
        <v>46412.568972000001</v>
      </c>
      <c r="X7" s="73" ph="1">
        <f>X6*1.5*1.5*3.1416*LOOKUP(X8,密度!$A$2:$A$50,密度!$L$2:$L$50)</f>
        <v>38421.6368382</v>
      </c>
      <c r="Y7" s="73" ph="1">
        <f>Y6*1.5*1.5*3.1416*LOOKUP(Y8,密度!$A$2:$A$50,密度!$L$2:$L$50)</f>
        <v>21069.941508</v>
      </c>
      <c r="Z7" s="73" ph="1">
        <f>Z6*33.183*LOOKUP(Z8,密度!$A$2:$A$50,密度!$L$2:$L$50)</f>
        <v>170956.95775199999</v>
      </c>
      <c r="AA7" s="73" ph="1">
        <f>AA6*33.183*LOOKUP(AA8,密度!$A$2:$A$50,密度!$D$2:$D$50)</f>
        <v>37236.502548000004</v>
      </c>
      <c r="AB7" s="73" ph="1">
        <f>AB6*20.428*LOOKUP(AB8,密度!$A$2:$A$50,密度!$D$2:$D$50)</f>
        <v>83442.455880000009</v>
      </c>
      <c r="AC7" s="73" ph="1">
        <f>AC6*51.53*LOOKUP(AC8,密度!$A$2:$A$50,密度!$Q$2:$Q$50)</f>
        <v>412239.31877340004</v>
      </c>
      <c r="AD7" s="73" ph="1">
        <f>AD6*20.428*LOOKUP(AD8,密度!$A$2:$A$50,密度!$V$2:$V$50)</f>
        <v>66138.624316799993</v>
      </c>
      <c r="AE7" s="73" ph="1">
        <f>AE6*20.428</f>
        <v>82079.703999999998</v>
      </c>
    </row>
    <row r="8" spans="1:99" ph="1">
      <c r="B8" s="241" ph="1"/>
      <c r="C8" s="68" t="s" ph="1">
        <v>179</v>
      </c>
      <c r="D8" s="74">
        <v>30</v>
      </c>
      <c r="E8" s="74">
        <v>28</v>
      </c>
      <c r="F8" s="74">
        <v>27</v>
      </c>
      <c r="G8" s="74">
        <v>29</v>
      </c>
      <c r="H8" s="74">
        <v>28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29</v>
      </c>
      <c r="P8" s="74">
        <v>28</v>
      </c>
      <c r="Q8" s="74">
        <v>30</v>
      </c>
      <c r="R8" s="74">
        <v>34</v>
      </c>
      <c r="S8" s="74">
        <v>24</v>
      </c>
      <c r="T8" s="74">
        <v>24</v>
      </c>
      <c r="U8" s="74">
        <v>28</v>
      </c>
      <c r="V8" s="74">
        <v>27</v>
      </c>
      <c r="W8" s="74">
        <v>28</v>
      </c>
      <c r="X8" s="74">
        <v>25</v>
      </c>
      <c r="Y8" s="74">
        <v>27</v>
      </c>
      <c r="Z8" s="74">
        <v>28</v>
      </c>
      <c r="AA8" s="74">
        <v>30</v>
      </c>
      <c r="AB8" s="74">
        <v>24</v>
      </c>
      <c r="AC8" s="74">
        <v>28</v>
      </c>
      <c r="AD8" s="74">
        <v>27</v>
      </c>
      <c r="AE8" s="74">
        <v>28</v>
      </c>
    </row>
    <row r="9" spans="1:99" ht="26.4" ph="1">
      <c r="B9" s="241" ph="1">
        <v>0.66666666666666663</v>
      </c>
      <c r="C9" s="163" t="s" ph="1">
        <v>180</v>
      </c>
      <c r="D9" s="71">
        <v>141</v>
      </c>
      <c r="E9" s="71">
        <v>276</v>
      </c>
      <c r="F9" s="71">
        <v>6301</v>
      </c>
      <c r="G9" s="71">
        <v>1724</v>
      </c>
      <c r="H9" s="71">
        <v>3964</v>
      </c>
      <c r="I9" s="71">
        <v>38.72</v>
      </c>
      <c r="J9" s="71">
        <v>77.13</v>
      </c>
      <c r="K9" s="71">
        <v>19.32</v>
      </c>
      <c r="L9" s="71">
        <v>7.12</v>
      </c>
      <c r="M9" s="71">
        <v>4252</v>
      </c>
      <c r="N9" s="71">
        <v>4249</v>
      </c>
      <c r="O9" s="71">
        <v>4215</v>
      </c>
      <c r="P9" s="71">
        <v>1786</v>
      </c>
      <c r="Q9" s="71">
        <v>7179</v>
      </c>
      <c r="R9" s="71">
        <v>7164</v>
      </c>
      <c r="S9" s="71">
        <v>657</v>
      </c>
      <c r="T9" s="71">
        <v>0</v>
      </c>
      <c r="U9" s="71">
        <v>0</v>
      </c>
      <c r="V9" s="71">
        <v>6833</v>
      </c>
      <c r="W9" s="71">
        <v>7038</v>
      </c>
      <c r="X9" s="71">
        <v>5805</v>
      </c>
      <c r="Y9" s="71">
        <v>5686</v>
      </c>
      <c r="Z9" s="71">
        <v>3437</v>
      </c>
      <c r="AA9" s="71">
        <v>1098</v>
      </c>
      <c r="AB9" s="71">
        <v>3859</v>
      </c>
      <c r="AC9" s="71">
        <v>8672</v>
      </c>
      <c r="AD9" s="71">
        <v>3381</v>
      </c>
      <c r="AE9" s="71">
        <v>3954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4403.9233237500002</v>
      </c>
      <c r="E10" s="73" ph="1">
        <f>E9*51.53*LOOKUP(E11,密度!$A$2:$A$50,密度!$B$2:$B$50)</f>
        <v>10976.755704000001</v>
      </c>
      <c r="F10" s="73" ph="1">
        <f>F9*33.183*LOOKUP(F11,密度!$A$2:$A$50,密度!$C$2:$C$50)</f>
        <v>231228.29918970005</v>
      </c>
      <c r="G10" s="73" ph="1">
        <f xml:space="preserve"> (G9+2)*51.53*LOOKUP(G11,密度!$A$2:$A$50,密度!$B$2:$B$50)</f>
        <v>68795.693329999995</v>
      </c>
      <c r="H10" s="73" ph="1">
        <f>(H9)*51.53*LOOKUP(H11,密度!$A$2:$A$50,密度!$B$2:$B$50)</f>
        <v>158182.754048</v>
      </c>
      <c r="I10" s="73" ph="1">
        <f>I9*290.8*1.0267</f>
        <v>11560.412019199999</v>
      </c>
      <c r="J10" s="73" ph="1">
        <f>J9*290.8*0.7892</f>
        <v>17701.285636799999</v>
      </c>
      <c r="K10" s="73" ph="1">
        <f>K9*290.8*1.1126</f>
        <v>6250.8716256000007</v>
      </c>
      <c r="L10" s="73" ph="1">
        <f>L9*290.8*0.777</f>
        <v>1608.775392</v>
      </c>
      <c r="M10" s="73" ph="1">
        <f>M9*33.183*LOOKUP(M11,密度!$A$2:$A$50,密度!$D$2:$D$50)</f>
        <v>143831.34185040003</v>
      </c>
      <c r="N10" s="73" ph="1">
        <f>N9*33.183*LOOKUP(N11,密度!$A$2:$A$50,密度!$E$2:$E$50)</f>
        <v>109475.23154715</v>
      </c>
      <c r="O10" s="73" ph="1">
        <f>O9*20.428*LOOKUP(O11,密度!$A$2:$A$50,密度!$C$2:$C$50)</f>
        <v>94611.09717600001</v>
      </c>
      <c r="P10" s="73" ph="1">
        <f>P9*51.53*LOOKUP(P11,密度!$A$2:$A$50,密度!$B$2:$B$50)</f>
        <v>71187.200629999992</v>
      </c>
      <c r="Q10" s="73" ph="1">
        <f>Q9*1.5*1.5*3.1416*LOOKUP(W11,密度!$A$2:$A$50,密度!$L$2:$L$50)</f>
        <v>47345.532280200001</v>
      </c>
      <c r="R10" s="73" ph="1">
        <f>R9*1.5*1.5*3.1416*LOOKUP(R11,密度!$A$2:$A$50,密度!$L$2:$L$50)</f>
        <v>46942.770520800004</v>
      </c>
      <c r="S10" s="73" ph="1">
        <f>S9*1.5*1.5*3.1416*LOOKUP(S11,密度!$A$2:$A$50,密度!$L$2:$L$50)</f>
        <v>4328.2734264000001</v>
      </c>
      <c r="T10" s="73" ph="1">
        <f>T9*1.5*1.5*3.1416*LOOKUP(T11,密度!$A$2:$A$50,密度!$L$2:$L$50)</f>
        <v>0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45015.361221599996</v>
      </c>
      <c r="W10" s="73" ph="1">
        <f>W9*1.5*1.5*3.1416*LOOKUP(W11,密度!$A$2:$A$50,密度!$L$2:$L$50)</f>
        <v>46415.636744399999</v>
      </c>
      <c r="X10" s="73" ph="1">
        <f>X9*1.5*1.5*3.1416*LOOKUP(X11,密度!$A$2:$A$50,密度!$L$2:$L$50)</f>
        <v>38366.063504999998</v>
      </c>
      <c r="Y10" s="73" ph="1">
        <f>Y9*1.5*1.5*3.1416*LOOKUP(Y11,密度!$A$2:$A$50,密度!$L$2:$L$50)</f>
        <v>37458.999547200001</v>
      </c>
      <c r="Z10" s="73" ph="1">
        <f>Z9*33.183*LOOKUP(Z11,密度!$A$2:$A$50,密度!$L$2:$L$50)</f>
        <v>106294.57297200001</v>
      </c>
      <c r="AA10" s="73" ph="1">
        <f>AA9*33.183*LOOKUP(AA11,密度!$A$2:$A$50,密度!$D$2:$D$50)</f>
        <v>37043.397397799999</v>
      </c>
      <c r="AB10" s="73" ph="1">
        <f>AB9*20.428*LOOKUP(AB11,密度!$A$2:$A$50,密度!$D$2:$D$50)</f>
        <v>80936.457108399991</v>
      </c>
      <c r="AC10" s="73" ph="1">
        <f>AC9*51.53*LOOKUP(AC11,密度!$A$2:$A$50,密度!$Q$2:$Q$50)</f>
        <v>421544.14137280005</v>
      </c>
      <c r="AD10" s="73" ph="1">
        <f>AD9*20.428*LOOKUP(AD11,密度!$A$2:$A$50,密度!$V$2:$V$50)</f>
        <v>66138.624316799993</v>
      </c>
      <c r="AE10" s="73" ph="1">
        <f>AE9*20.428</f>
        <v>80772.312000000005</v>
      </c>
    </row>
    <row r="11" spans="1:99" ph="1">
      <c r="A11" s="64" t="s" ph="1">
        <v>162</v>
      </c>
      <c r="B11" s="241" ph="1"/>
      <c r="C11" s="163" t="s" ph="1">
        <v>179</v>
      </c>
      <c r="D11" s="74">
        <v>33</v>
      </c>
      <c r="E11" s="74">
        <v>34</v>
      </c>
      <c r="F11" s="74">
        <v>29</v>
      </c>
      <c r="G11" s="74">
        <v>32</v>
      </c>
      <c r="H11" s="74">
        <v>31</v>
      </c>
      <c r="I11" s="74">
        <v>25</v>
      </c>
      <c r="J11" s="74">
        <v>25</v>
      </c>
      <c r="K11" s="74">
        <v>25</v>
      </c>
      <c r="L11" s="74">
        <v>25</v>
      </c>
      <c r="M11" s="74">
        <v>33</v>
      </c>
      <c r="N11" s="74">
        <v>31</v>
      </c>
      <c r="O11" s="74">
        <v>36</v>
      </c>
      <c r="P11" s="74">
        <v>32</v>
      </c>
      <c r="Q11" s="74">
        <v>32</v>
      </c>
      <c r="R11" s="74">
        <v>35</v>
      </c>
      <c r="S11" s="74">
        <v>30</v>
      </c>
      <c r="T11" s="74">
        <v>30</v>
      </c>
      <c r="U11" s="74">
        <v>30</v>
      </c>
      <c r="V11" s="74">
        <v>30</v>
      </c>
      <c r="W11" s="74">
        <v>29</v>
      </c>
      <c r="X11" s="74">
        <v>27</v>
      </c>
      <c r="Y11" s="74">
        <v>30</v>
      </c>
      <c r="Z11" s="74">
        <v>30</v>
      </c>
      <c r="AA11" s="74">
        <v>36</v>
      </c>
      <c r="AB11" s="74">
        <v>25</v>
      </c>
      <c r="AC11" s="74">
        <v>30</v>
      </c>
      <c r="AD11" s="74">
        <v>31</v>
      </c>
      <c r="AE11" s="74">
        <v>31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3360</v>
      </c>
      <c r="E15" s="78">
        <v>1463</v>
      </c>
      <c r="F15" s="78">
        <v>2403</v>
      </c>
      <c r="G15" s="78">
        <v>3483</v>
      </c>
      <c r="H15" s="78">
        <v>4366</v>
      </c>
      <c r="I15" s="78">
        <v>3128</v>
      </c>
      <c r="J15" s="78">
        <v>4937</v>
      </c>
      <c r="K15" s="78">
        <v>4663</v>
      </c>
      <c r="L15" s="78">
        <v>6015</v>
      </c>
      <c r="M15" s="78">
        <v>3969</v>
      </c>
      <c r="N15" s="78">
        <v>2589</v>
      </c>
      <c r="O15" s="78">
        <v>2500</v>
      </c>
      <c r="P15" s="78">
        <v>5275</v>
      </c>
      <c r="Q15" s="78">
        <v>7032</v>
      </c>
      <c r="R15" s="78">
        <v>1946</v>
      </c>
      <c r="S15" s="78">
        <v>505</v>
      </c>
      <c r="T15" s="78">
        <v>5297</v>
      </c>
      <c r="U15" s="78">
        <v>0</v>
      </c>
      <c r="V15" s="78">
        <v>25</v>
      </c>
      <c r="W15" s="71">
        <v>2166</v>
      </c>
      <c r="X15" s="78">
        <v>1034</v>
      </c>
      <c r="Y15" s="106">
        <v>-9909</v>
      </c>
      <c r="Z15" s="78">
        <v>0</v>
      </c>
      <c r="AA15" s="78">
        <v>2508</v>
      </c>
      <c r="AB15" s="78" ph="1">
        <v>0</v>
      </c>
      <c r="AC15" s="78" ph="1">
        <v>0</v>
      </c>
      <c r="AD15" s="78">
        <v>5.72</v>
      </c>
      <c r="AE15" s="78">
        <v>51.22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22135.462272000001</v>
      </c>
      <c r="E16" s="73" ph="1">
        <f>E15*7.0686*LOOKUP(E17,密度!$A$2:$A$50,密度!$L$2:$L$50)</f>
        <v>9638.1491976000016</v>
      </c>
      <c r="F16" s="73" ph="1">
        <f>F15*9.0746*LOOKUP(F17,密度!$A$2:$A$50,密度!$L$2:$L$50)</f>
        <v>20258.0190702</v>
      </c>
      <c r="G16" s="73" ph="1">
        <f>G15*9.0746*LOOKUP(G17,密度!$A$2:$A$50,密度!$B$2:$B$50)</f>
        <v>24558.508308600001</v>
      </c>
      <c r="H16" s="73" ph="1">
        <f>H15*9.0746*LOOKUP(H17,密度!$A$2:$A$50,密度!$L$2:$L$50)</f>
        <v>37084.042569600002</v>
      </c>
      <c r="I16" s="73" ph="1">
        <f>I15*9.0746*LOOKUP(I17,密度!$A$2:$A$50,密度!$U$2:$U$50)</f>
        <v>29009.826473600002</v>
      </c>
      <c r="J16" s="73" ph="1">
        <f>J15*9.0746*LOOKUP(J17,密度!$A$2:$A$50,密度!$L$2:$L$50)</f>
        <v>41754.811786400001</v>
      </c>
      <c r="K16" s="73" ph="1">
        <f>K15*9.0746*LOOKUP(K17,密度!$A$2:$A$50,密度!$C$2:$C$50)</f>
        <v>46825.623854680001</v>
      </c>
      <c r="L16" s="73" ph="1">
        <f>L15*9.0746*LOOKUP(L17,密度!$A$2:$A$50,密度!$E$2:$E$50)</f>
        <v>42444.299894399999</v>
      </c>
      <c r="M16" s="73" ph="1">
        <f>M15*9.0746*LOOKUP(M17,密度!$A$2:$A$50,密度!$M$2:$M$50)</f>
        <v>31331.264329260004</v>
      </c>
      <c r="N16" s="73" ph="1">
        <f>N15*9.0746*LOOKUP(N17,密度!$A$2:$A$50,密度!$M$2:$M$50)</f>
        <v>20512.733110140001</v>
      </c>
      <c r="O16" s="73" ph="1">
        <f>O15*9.0746*LOOKUP(O17,密度!$A$2:$A$50,密度!$G$2:$G$50)</f>
        <v>21686.02535</v>
      </c>
      <c r="P16" s="73" ph="1">
        <f ca="1">P15*9.0746*LOOKUP(P17,密度!$A$2:$A$51,密度!$Q$2:$Q$50)</f>
        <v>45217.556639299997</v>
      </c>
      <c r="Q16" s="73" ph="1">
        <f>Q15*9.0746*LOOKUP(Q17,密度!$A$2:$A$50,密度!$Q$2:$Q$50)</f>
        <v>60196.327883376005</v>
      </c>
      <c r="R16" s="73" ph="1">
        <f>MAX(R15*9.0746*LOOKUP(R17,密度!$A$2:$A$50,密度!$B$2:$B$50),0)</f>
        <v>13707.04899592</v>
      </c>
      <c r="S16" s="73" ph="1">
        <f>S15*9.0746*LOOKUP(S17,密度!$A$2:$A$50,密度!$Q$2:$Q$50)</f>
        <v>4328.8845692599998</v>
      </c>
      <c r="T16" s="73" ph="1">
        <f>T15*9.0746*LOOKUP(T17,密度!$A$2:$A$50,密度!$O$2:$O$50)</f>
        <v>44511.112641200001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5499.5155267</v>
      </c>
      <c r="W16" s="73" ph="1">
        <f>MAX(5600*LOOKUP(W17,密度!$A$2:$A$50,密度!$Q$2:$Q$50)+W15*9.0476*LOOKUP(W17,密度!$A$2:$A$50,密度!$Q$2:$Q$50),0)</f>
        <v>23784.300113288002</v>
      </c>
      <c r="X16" s="73" ph="1">
        <f>MAX(5600*LOOKUP(X17,密度!$A$2:$A$50,密度!$I$2:$I$50)+X15*9.0476*LOOKUP(X17,密度!$A$2:$A$50,密度!$I$2:$I$50),0)</f>
        <v>15538.471917599998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17683.8182136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11949.544772159999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30</v>
      </c>
      <c r="E17" s="74">
        <v>30</v>
      </c>
      <c r="F17" s="74">
        <v>33</v>
      </c>
      <c r="G17" s="74">
        <v>28</v>
      </c>
      <c r="H17" s="74">
        <v>26</v>
      </c>
      <c r="I17" s="74">
        <v>28</v>
      </c>
      <c r="J17" s="74">
        <v>30</v>
      </c>
      <c r="K17" s="74">
        <v>28</v>
      </c>
      <c r="L17" s="74">
        <v>30</v>
      </c>
      <c r="M17" s="74">
        <v>30</v>
      </c>
      <c r="N17" s="74">
        <v>27</v>
      </c>
      <c r="O17" s="74">
        <v>29</v>
      </c>
      <c r="P17" s="74">
        <v>28</v>
      </c>
      <c r="Q17" s="74">
        <v>30</v>
      </c>
      <c r="R17" s="74">
        <v>29</v>
      </c>
      <c r="S17" s="74">
        <v>28</v>
      </c>
      <c r="T17" s="74">
        <v>28</v>
      </c>
      <c r="U17" s="74">
        <v>28</v>
      </c>
      <c r="V17" s="74">
        <v>29</v>
      </c>
      <c r="W17" s="74">
        <v>29</v>
      </c>
      <c r="X17" s="74">
        <v>28</v>
      </c>
      <c r="Y17" s="108">
        <v>28</v>
      </c>
      <c r="Z17" s="74">
        <v>28</v>
      </c>
      <c r="AA17" s="74">
        <v>28</v>
      </c>
      <c r="AB17" s="74">
        <v>27</v>
      </c>
      <c r="AC17" s="74">
        <v>26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3312</v>
      </c>
      <c r="E18" s="71">
        <v>62</v>
      </c>
      <c r="F18" s="71">
        <v>461</v>
      </c>
      <c r="G18" s="71">
        <v>3612</v>
      </c>
      <c r="H18" s="71">
        <v>4368</v>
      </c>
      <c r="I18" s="71">
        <v>3129</v>
      </c>
      <c r="J18" s="71">
        <v>4940</v>
      </c>
      <c r="K18" s="71">
        <v>4686</v>
      </c>
      <c r="L18" s="71">
        <v>6022</v>
      </c>
      <c r="M18" s="71">
        <v>2167</v>
      </c>
      <c r="N18" s="71">
        <v>2527</v>
      </c>
      <c r="O18" s="71">
        <v>2501</v>
      </c>
      <c r="P18" s="71">
        <v>5276</v>
      </c>
      <c r="Q18" s="71">
        <v>7036</v>
      </c>
      <c r="R18" s="71">
        <v>0</v>
      </c>
      <c r="S18" s="71">
        <v>656</v>
      </c>
      <c r="T18" s="71">
        <v>4714</v>
      </c>
      <c r="U18" s="71">
        <v>0</v>
      </c>
      <c r="V18" s="71">
        <v>-817</v>
      </c>
      <c r="W18" s="71">
        <v>1536</v>
      </c>
      <c r="X18" s="71">
        <v>1033</v>
      </c>
      <c r="Y18" s="109">
        <v>-9909</v>
      </c>
      <c r="Z18" s="71">
        <v>0</v>
      </c>
      <c r="AA18" s="71">
        <v>2509</v>
      </c>
      <c r="AB18" s="71">
        <v>0</v>
      </c>
      <c r="AC18" s="71">
        <v>0</v>
      </c>
      <c r="AD18" s="71">
        <v>20.2</v>
      </c>
      <c r="AE18" s="71">
        <v>84.51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21749.0077728</v>
      </c>
      <c r="E19" s="73" ph="1">
        <f>E18*7.0686*LOOKUP(E20,密度!$A$2:$A$50,密度!$L$2:$L$50)</f>
        <v>407.13722280000002</v>
      </c>
      <c r="F19" s="73" ph="1">
        <f>F18*9.0746*LOOKUP(F20,密度!$A$2:$A$50,密度!$L$2:$L$50)</f>
        <v>3878.0030861999999</v>
      </c>
      <c r="G19" s="73" ph="1">
        <f>G18*9.0746*LOOKUP(G20,密度!$A$2:$A$50,密度!$B$2:$B$50)</f>
        <v>25412.361016560004</v>
      </c>
      <c r="H19" s="73" ph="1">
        <f>H18*9.0746*LOOKUP(H20,密度!$A$2:$A$50,密度!$L$2:$L$50)</f>
        <v>37021.754515200002</v>
      </c>
      <c r="I19" s="73" ph="1">
        <f>I18*9.0746*LOOKUP(I20,密度!$A$2:$A$50,密度!$U$2:$U$50)</f>
        <v>28820.339750999996</v>
      </c>
      <c r="J19" s="73" ph="1">
        <f>J18*9.0746*LOOKUP(J20,密度!$A$2:$A$50,密度!$L$2:$L$50)</f>
        <v>41645.698795999997</v>
      </c>
      <c r="K19" s="73" ph="1">
        <f>K18*9.0746*LOOKUP(K20,密度!$A$2:$A$50,密度!$C$2:$C$50)</f>
        <v>46903.503886800005</v>
      </c>
      <c r="L19" s="73" ph="1">
        <f>L18*9.0746*LOOKUP(L20,密度!$A$2:$A$50,密度!$E$2:$E$50)</f>
        <v>42369.099047184005</v>
      </c>
      <c r="M19" s="73" ph="1">
        <f>M18*9.0746*LOOKUP(M20,密度!$A$2:$A$50,密度!$M$2:$M$50)</f>
        <v>17003.440005794004</v>
      </c>
      <c r="N19" s="73" ph="1">
        <f>N18*9.0746*LOOKUP(N20,密度!$A$2:$A$50,密度!$M$2:$M$50)</f>
        <v>19973.348868200002</v>
      </c>
      <c r="O19" s="73" ph="1">
        <f>O18*9.0746*LOOKUP(O20,密度!$A$2:$A$50,密度!$G$2:$G$50)</f>
        <v>21620.712186944002</v>
      </c>
      <c r="P19" s="73" ph="1">
        <f ca="1">P18*9.0746*LOOKUP(P20,密度!$A$2:$A$51,密度!$Q$2:$Q$50)</f>
        <v>45164.366597367996</v>
      </c>
      <c r="Q19" s="73" ph="1">
        <f>Q18*9.0746*LOOKUP(Q20,密度!$A$2:$A$50,密度!$Q$2:$Q$50)</f>
        <v>60139.265346640001</v>
      </c>
      <c r="R19" s="73" ph="1">
        <f>MAX(R18*9.0746*LOOKUP(R20,密度!$A$2:$A$50,密度!$B$2:$B$50),0)</f>
        <v>0</v>
      </c>
      <c r="S19" s="73" ph="1">
        <f>S18*9.0746*LOOKUP(S20,密度!$A$2:$A$50,密度!$Q$2:$Q$50)</f>
        <v>5591.59428768</v>
      </c>
      <c r="T19" s="73" ph="1">
        <f>T18*9.0746*LOOKUP(T20,密度!$A$2:$A$50,密度!$O$2:$O$50)</f>
        <v>39441.006576800006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18338.790081023999</v>
      </c>
      <c r="X19" s="73" ph="1">
        <f>MAX(5600*LOOKUP(X20,密度!$A$2:$A$50,密度!$I$2:$I$50)+X18*9.0476*LOOKUP(X20,密度!$A$2:$A$50,密度!$I$2:$I$50),0)</f>
        <v>15427.437499759999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17592.96604078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5433.8220720000008</v>
      </c>
      <c r="AE19" s="73" ph="1">
        <f>AE18*268.68*LOOKUP(AE20,密度!$A$2:$A$50,密度!B5:B53)+IF(AE18&lt;=0,0,1566*LOOKUP(AE20,密度!$A$2:$A$50,密度!B5:B53))</f>
        <v>18859.458063600003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33</v>
      </c>
      <c r="E20" s="81">
        <v>33</v>
      </c>
      <c r="F20" s="81">
        <v>35</v>
      </c>
      <c r="G20" s="81">
        <v>30</v>
      </c>
      <c r="H20" s="81">
        <v>28</v>
      </c>
      <c r="I20" s="81">
        <v>35</v>
      </c>
      <c r="J20" s="81">
        <v>33</v>
      </c>
      <c r="K20" s="81">
        <v>32</v>
      </c>
      <c r="L20" s="81">
        <v>32</v>
      </c>
      <c r="M20" s="81">
        <v>35</v>
      </c>
      <c r="N20" s="81">
        <v>29</v>
      </c>
      <c r="O20" s="81">
        <v>32</v>
      </c>
      <c r="P20" s="81">
        <v>30</v>
      </c>
      <c r="Q20" s="81">
        <v>32</v>
      </c>
      <c r="R20" s="81">
        <v>35</v>
      </c>
      <c r="S20" s="81">
        <v>36</v>
      </c>
      <c r="T20" s="81">
        <v>32</v>
      </c>
      <c r="U20" s="81">
        <v>32</v>
      </c>
      <c r="V20" s="81">
        <v>33</v>
      </c>
      <c r="W20" s="81">
        <v>34</v>
      </c>
      <c r="X20" s="81">
        <v>34</v>
      </c>
      <c r="Y20" s="110">
        <v>34</v>
      </c>
      <c r="Z20" s="81">
        <v>34</v>
      </c>
      <c r="AA20" s="81">
        <v>33</v>
      </c>
      <c r="AB20" s="81">
        <v>34</v>
      </c>
      <c r="AC20" s="81">
        <v>33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2.74</v>
      </c>
      <c r="E24" s="71">
        <v>5.83</v>
      </c>
      <c r="F24" s="71">
        <v>541</v>
      </c>
      <c r="G24" s="71">
        <v>3917</v>
      </c>
      <c r="H24" s="71">
        <v>3197</v>
      </c>
      <c r="I24" s="71">
        <v>2933</v>
      </c>
      <c r="J24" s="71">
        <v>307</v>
      </c>
      <c r="K24" s="71">
        <v>303</v>
      </c>
      <c r="L24" s="71">
        <v>302</v>
      </c>
      <c r="M24" s="71">
        <v>327</v>
      </c>
      <c r="N24" s="71">
        <v>320</v>
      </c>
      <c r="O24" s="71">
        <v>343</v>
      </c>
      <c r="P24" s="71">
        <v>374</v>
      </c>
      <c r="Q24" s="90">
        <v>2069</v>
      </c>
      <c r="R24" s="71">
        <v>350</v>
      </c>
      <c r="S24" s="71">
        <v>3224</v>
      </c>
      <c r="T24" s="71">
        <v>400</v>
      </c>
      <c r="U24" s="71">
        <v>4598</v>
      </c>
      <c r="V24" s="71">
        <v>741</v>
      </c>
      <c r="W24" s="71">
        <v>2344</v>
      </c>
      <c r="X24" s="71">
        <v>4289</v>
      </c>
      <c r="Y24" s="71">
        <v>1765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2179.568922768</v>
      </c>
      <c r="E25" s="91" ph="1">
        <f>E24*268.68*LOOKUP(E26,密度!$A$2:$A$50,密度!$C$2:$C$50)+IF(E24&lt;=0,0,1566*LOOKUP(E26,密度!$A$2:$A$50,密度!$C$2:$C$50))</f>
        <v>3473.5232391600002</v>
      </c>
      <c r="F25" s="91" ph="1">
        <f>F24*11.702*LOOKUP(F26,密度!$A$2:$A$50,密度!$Q$2:$Q$50)</f>
        <v>5984.6148402400004</v>
      </c>
      <c r="G25" s="91" ph="1">
        <f>G24*18.322*LOOKUP(G26,密度!$A$2:$A$50,密度!$B$2:$B$50)</f>
        <v>55827.762444599997</v>
      </c>
      <c r="H25" s="91" ph="1">
        <f>H24*18.322*LOOKUP(H26,密度!$A$2:$A$50,密度!$B$2:$B$50)</f>
        <v>45513.112217999995</v>
      </c>
      <c r="I25" s="91" ph="1">
        <f>I24*18.322*LOOKUP(I26,密度!$A$2:$A$50,密度!$Q$2:$Q$50)</f>
        <v>50800.00886632</v>
      </c>
      <c r="J25" s="91" ph="1">
        <f>J24*18.322*LOOKUP(J26,密度!$A$2:$A$50,密度!$Q$2:$Q$50)</f>
        <v>5313.3495854799994</v>
      </c>
      <c r="K25" s="91" ph="1">
        <f>K24*18.322*LOOKUP(K26,密度!$A$2:$A$50,密度!$Q$2:$Q$50)</f>
        <v>5248.00637112</v>
      </c>
      <c r="L25" s="91" ph="1">
        <f>L24*18.322*LOOKUP(L26,密度!$A$2:$A$50,密度!$Q$2:$Q$50)</f>
        <v>5226.8129472800001</v>
      </c>
      <c r="M25" s="91" ph="1">
        <f>M24*18.322*LOOKUP(M26,密度!$A$2:$A$50,密度!$Q$2:$Q$50)</f>
        <v>5659.4961382800002</v>
      </c>
      <c r="N25" s="91" ph="1">
        <f>N24*18.322*LOOKUP(N26,密度!$A$2:$A$50,密度!$Q$2:$Q$50)</f>
        <v>5538.3448447999999</v>
      </c>
      <c r="O25" s="91" ph="1">
        <f>O24*18.322*LOOKUP(O26,密度!$A$2:$A$50,密度!$C$2:$C$50)</f>
        <v>6949.9688314000005</v>
      </c>
      <c r="P25" s="91" ph="1">
        <f>P24*11.702*LOOKUP(P26,密度!$A$2:$A$50,密度!$B$2:$B$50)</f>
        <v>3404.5166892000002</v>
      </c>
      <c r="Q25" s="92" ph="1">
        <f>Q24*18.322*LOOKUP(Q26,密度!$A$2:$A$50,密度!$B$2:$B$50)</f>
        <v>29488.8027822</v>
      </c>
      <c r="R25" s="91" ph="1">
        <f>R24*35.891*LOOKUP(R26,密度!$A$2:$A$50,密度!$C$2:$C$50)</f>
        <v>13900.943209999999</v>
      </c>
      <c r="S25" s="91" ph="1">
        <f>S24*35.891*LOOKUP(S26,密度!$A$2:$A$50,密度!$B$2:$B$50)</f>
        <v>90012.819093599988</v>
      </c>
      <c r="T25" s="91" ph="1">
        <f>T24*35.891*LOOKUP(T26,密度!$A$2:$A$50,密度!$Q$2:$Q$50)</f>
        <v>13551.436652</v>
      </c>
      <c r="U25" s="91" ph="1">
        <f>U24*35.891</f>
        <v>165026.818</v>
      </c>
      <c r="V25" s="91" ph="1">
        <f>V24*47.051*LOOKUP(V26,密度!$A$2:$A$50,密度!$B$2:$B$50)</f>
        <v>27149.212751700001</v>
      </c>
      <c r="W25" s="91" ph="1">
        <f>W24*47.051*LOOKUP(W26,密度!$A$2:$A$50,密度!$B$2:$B$50)</f>
        <v>85792.680477600006</v>
      </c>
      <c r="X25" s="91" ph="1">
        <f>X24*47.051*LOOKUP(X26,密度!$A$2:$A$61,密度!$I$2:$I$61)</f>
        <v>208299.7549958</v>
      </c>
      <c r="Y25" s="91" ph="1">
        <f>Y24*47.051*LOOKUP(Y26,密度!$A$2:$A$50,密度!$L$2:$L$50)</f>
        <v>77564.044009999998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27</v>
      </c>
      <c r="H26" s="74">
        <v>28</v>
      </c>
      <c r="I26" s="74">
        <v>27</v>
      </c>
      <c r="J26" s="74">
        <v>28</v>
      </c>
      <c r="K26" s="74">
        <v>27</v>
      </c>
      <c r="L26" s="74">
        <v>28</v>
      </c>
      <c r="M26" s="74">
        <v>28</v>
      </c>
      <c r="N26" s="74">
        <v>28</v>
      </c>
      <c r="O26" s="74">
        <v>29</v>
      </c>
      <c r="P26" s="74">
        <v>27</v>
      </c>
      <c r="Q26" s="93">
        <v>27</v>
      </c>
      <c r="R26" s="74">
        <v>28</v>
      </c>
      <c r="S26" s="74">
        <v>27</v>
      </c>
      <c r="T26" s="74">
        <v>29</v>
      </c>
      <c r="U26" s="74">
        <v>27</v>
      </c>
      <c r="V26" s="74">
        <v>26</v>
      </c>
      <c r="W26" s="74">
        <v>27</v>
      </c>
      <c r="X26" s="74">
        <v>34</v>
      </c>
      <c r="Y26" s="74">
        <v>28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2.72</v>
      </c>
      <c r="E27" s="71">
        <v>5.82</v>
      </c>
      <c r="F27" s="71">
        <v>540</v>
      </c>
      <c r="G27" s="71">
        <v>3497</v>
      </c>
      <c r="H27" s="71">
        <v>2777</v>
      </c>
      <c r="I27" s="71">
        <v>2174</v>
      </c>
      <c r="J27" s="71">
        <v>301</v>
      </c>
      <c r="K27" s="71">
        <v>300</v>
      </c>
      <c r="L27" s="71">
        <v>297</v>
      </c>
      <c r="M27" s="71">
        <v>323</v>
      </c>
      <c r="N27" s="71">
        <v>316</v>
      </c>
      <c r="O27" s="71">
        <v>339</v>
      </c>
      <c r="P27" s="71">
        <v>371</v>
      </c>
      <c r="Q27" s="90">
        <v>2309</v>
      </c>
      <c r="R27" s="71">
        <v>346</v>
      </c>
      <c r="S27" s="71">
        <v>3222</v>
      </c>
      <c r="T27" s="71">
        <v>399</v>
      </c>
      <c r="U27" s="71">
        <v>4622</v>
      </c>
      <c r="V27" s="71">
        <v>737</v>
      </c>
      <c r="W27" s="71">
        <v>3308</v>
      </c>
      <c r="X27" s="71">
        <v>4165</v>
      </c>
      <c r="Y27" s="71">
        <v>1762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2174.4815207040001</v>
      </c>
      <c r="E28" s="91" ph="1">
        <f>E27*268.68*LOOKUP(E29,密度!$A$2:$A$50,密度!$C$2:$C$50)+IF(E27&lt;=0,0,1566*LOOKUP(E29,密度!$A$2:$A$50,密度!$C$2:$C$50))</f>
        <v>3470.5438466400001</v>
      </c>
      <c r="F28" s="91" ph="1">
        <f>F27*11.702*LOOKUP(F29,密度!$A$2:$A$50,密度!$Q$2:$Q$50)</f>
        <v>5960.9777364000001</v>
      </c>
      <c r="G28" s="91" ph="1">
        <f>G27*18.322*LOOKUP(G29,密度!$A$2:$A$50,密度!$B$2:$B$50)</f>
        <v>49617.383129599999</v>
      </c>
      <c r="H28" s="91" ph="1">
        <f>H27*18.322*LOOKUP(H29,密度!$A$2:$A$50,密度!$B$2:$B$50)</f>
        <v>39315.125903799999</v>
      </c>
      <c r="I28" s="91" ph="1">
        <f>I27*18.322*LOOKUP(I29,密度!$A$2:$A$50,密度!$Q$2:$Q$50)</f>
        <v>37517.787173199999</v>
      </c>
      <c r="J28" s="91" ph="1">
        <f>J27*18.322*LOOKUP(J29,密度!$A$2:$A$50,密度!$Q$2:$Q$50)</f>
        <v>5198.2551787599996</v>
      </c>
      <c r="K28" s="91" ph="1">
        <f>K27*18.322*LOOKUP(K29,密度!$A$2:$A$50,密度!$Q$2:$Q$50)</f>
        <v>5173.6747499999992</v>
      </c>
      <c r="L28" s="91" ph="1">
        <f>L27*18.322*LOOKUP(L29,密度!$A$2:$A$50,密度!$Q$2:$Q$50)</f>
        <v>5125.4750646000002</v>
      </c>
      <c r="M28" s="91" ph="1">
        <f>M27*18.322*LOOKUP(M29,密度!$A$2:$A$50,密度!$Q$2:$Q$50)</f>
        <v>5578.1940954799993</v>
      </c>
      <c r="N28" s="91" ph="1">
        <f>N27*18.322*LOOKUP(N29,密度!$A$2:$A$50,密度!$Q$2:$Q$50)</f>
        <v>5449.6040699999994</v>
      </c>
      <c r="O28" s="91" ph="1">
        <f>O27*18.322*LOOKUP(O29,密度!$A$2:$A$50,密度!$C$2:$C$50)</f>
        <v>6844.6961160000001</v>
      </c>
      <c r="P28" s="91" ph="1">
        <f>P27*11.702*LOOKUP(P29,密度!$A$2:$A$50,密度!$B$2:$B$50)</f>
        <v>3358.1053870000001</v>
      </c>
      <c r="Q28" s="92" ph="1">
        <f>Q27*18.322*LOOKUP(Q29,密度!$A$2:$A$50,密度!$B$2:$B$50)</f>
        <v>32723.302702999998</v>
      </c>
      <c r="R28" s="91" ph="1">
        <f>R27*35.891*LOOKUP(R29,密度!$A$2:$A$50,密度!$C$2:$C$50)</f>
        <v>13697.369457999999</v>
      </c>
      <c r="S28" s="91" ph="1">
        <f>S27*35.891*LOOKUP(S29,密度!$A$2:$A$50,密度!$B$2:$B$50)</f>
        <v>89552.237068799994</v>
      </c>
      <c r="T28" s="91" ph="1">
        <f>T27*35.891*LOOKUP(T29,密度!$A$2:$A$50,密度!$Q$2:$Q$50)</f>
        <v>13488.487427099999</v>
      </c>
      <c r="U28" s="91" ph="1">
        <f>U27*35.891</f>
        <v>165888.20199999999</v>
      </c>
      <c r="V28" s="91" ph="1">
        <f>V27*47.051*LOOKUP(V29,密度!$A$2:$A$50,密度!$B$2:$B$50)</f>
        <v>26822.340044499997</v>
      </c>
      <c r="W28" s="91" ph="1">
        <f>W27*47.051*LOOKUP(W29,密度!$A$2:$A$50,密度!$B$2:$B$50)</f>
        <v>120671.3421124</v>
      </c>
      <c r="X28" s="91" ph="1">
        <f>X27*47.051*LOOKUP(X29,密度!$A$2:$A$61,密度!$I$2:$I$61)</f>
        <v>201846.43745000003</v>
      </c>
      <c r="Y28" s="91" ph="1">
        <f>Y27*47.051*LOOKUP(Y29,密度!$A$2:$A$50,密度!$L$2:$L$50)</f>
        <v>77017.687798000014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33</v>
      </c>
      <c r="I29" s="74">
        <v>32</v>
      </c>
      <c r="J29" s="74">
        <v>31</v>
      </c>
      <c r="K29" s="74">
        <v>33</v>
      </c>
      <c r="L29" s="74">
        <v>32</v>
      </c>
      <c r="M29" s="74">
        <v>31</v>
      </c>
      <c r="N29" s="74">
        <v>33</v>
      </c>
      <c r="O29" s="74">
        <v>33</v>
      </c>
      <c r="P29" s="74">
        <v>32</v>
      </c>
      <c r="Q29" s="93">
        <v>32</v>
      </c>
      <c r="R29" s="74">
        <v>32</v>
      </c>
      <c r="S29" s="74">
        <v>31</v>
      </c>
      <c r="T29" s="74">
        <v>32</v>
      </c>
      <c r="U29" s="74">
        <v>31</v>
      </c>
      <c r="V29" s="74">
        <v>32</v>
      </c>
      <c r="W29" s="74">
        <v>30</v>
      </c>
      <c r="X29" s="74">
        <v>36</v>
      </c>
      <c r="Y29" s="74">
        <v>33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117979.85450619999</v>
      </c>
      <c r="E33" s="190" ph="1">
        <f>M10+I10</f>
        <v>155391.75386960004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1522252632456786910111213141516171819202123456789101112131415161718192022232424356789101112131415161718192021222345678910111213141516171819202345678910111213149101516171819222123234567891012131415161711181920212224252345678910111213132[[#This Row],[F25]]</f>
        <v>3880</v>
      </c>
      <c r="G33" s="216" ph="1">
        <f>N19</f>
        <v>19973.348868200002</v>
      </c>
      <c r="H33" s="190" ph="1">
        <f>M19</f>
        <v>17003.440005794004</v>
      </c>
      <c r="I33" s="194" ph="1">
        <v>0</v>
      </c>
      <c r="J33" s="198" ph="1">
        <f>F10+O28</f>
        <v>238072.99530570005</v>
      </c>
      <c r="K33" s="190" ph="1">
        <f>O10+K10+E28+R28</f>
        <v>118029.88210624001</v>
      </c>
      <c r="L33" s="200" ph="1">
        <f>K19</f>
        <v>46903.503886800005</v>
      </c>
      <c r="M33" s="198" ph="1">
        <f>G10+H10+W28+S28+V28+E10+R19+P28+Q28</f>
        <v>511082.53039770009</v>
      </c>
      <c r="N33" s="190" ph="1">
        <f>L10+P10++G28+H28+AD19+AE19</f>
        <v>186021.76519100001</v>
      </c>
      <c r="O33" s="194" ph="1">
        <f>G19</f>
        <v>25412.361016560004</v>
      </c>
      <c r="P33" s="198" ph="1">
        <f>L19</f>
        <v>42369.099047184005</v>
      </c>
      <c r="Q33" s="190" ph="1">
        <f>J10+N10</f>
        <v>127176.51718395</v>
      </c>
      <c r="R33" s="194" ph="1">
        <f>BE23</f>
        <v>890</v>
      </c>
      <c r="S33" s="198" ph="1">
        <f>X28</f>
        <v>201846.43745000003</v>
      </c>
      <c r="T33" s="190" ph="1">
        <f>X19</f>
        <v>15427.437499759999</v>
      </c>
      <c r="U33" s="179" ph="1">
        <f>BE21</f>
        <v>730</v>
      </c>
      <c r="V33" s="192" ph="1">
        <f ca="1">P19+Q19+S19+M28+N28+J28+D10+AC10+D19+E19+H19+J19+O19+V19+W19+K28+L28</f>
        <v>704151.59466184617</v>
      </c>
      <c r="W33" s="192" ph="1">
        <f>D28+F28+T28+I28</f>
        <v>59141.733857403997</v>
      </c>
      <c r="X33" s="194" ph="1">
        <f>BE29+BE31</f>
        <v>10200</v>
      </c>
      <c r="Y33" s="196" ph="1">
        <f>+Q10+R10+S10+T10+U10+V10+W10+X10+Y10</f>
        <v>265872.6372456</v>
      </c>
      <c r="Z33" s="177" ph="1">
        <f>T19+U19+Y28+Z10</f>
        <v>222753.26734680001</v>
      </c>
      <c r="AA33" s="179" ph="1">
        <f>BE19</f>
        <v>1440</v>
      </c>
      <c r="AB33" s="181" ph="1">
        <f>I19</f>
        <v>28820.339750999996</v>
      </c>
      <c r="AC33" s="183" ph="1">
        <f>AD10+AB19</f>
        <v>66138.624316799993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263" priority="102">
      <formula>ABS(D$7-D$10)&gt;=1000</formula>
    </cfRule>
  </conditionalFormatting>
  <conditionalFormatting sqref="E4 E6:E11">
    <cfRule type="expression" dxfId="262" priority="101">
      <formula>ABS(E$7-E$10)&gt;=1000</formula>
    </cfRule>
  </conditionalFormatting>
  <conditionalFormatting sqref="F4:F11">
    <cfRule type="expression" dxfId="261" priority="100">
      <formula>ABS(F$7-F$10)&gt;=1000</formula>
    </cfRule>
  </conditionalFormatting>
  <conditionalFormatting sqref="G4:G11">
    <cfRule type="expression" dxfId="260" priority="99">
      <formula>ABS(G$7-G$10)&gt;=1000</formula>
    </cfRule>
  </conditionalFormatting>
  <conditionalFormatting sqref="H4:H11">
    <cfRule type="expression" dxfId="259" priority="98">
      <formula>ABS(H$7-H$10)&gt;=1000</formula>
    </cfRule>
  </conditionalFormatting>
  <conditionalFormatting sqref="I4:I11">
    <cfRule type="expression" dxfId="258" priority="97">
      <formula>ABS(I$7-I$10)&gt;=1000</formula>
    </cfRule>
  </conditionalFormatting>
  <conditionalFormatting sqref="J4:J11">
    <cfRule type="expression" dxfId="257" priority="96">
      <formula>ABS(J$7-J$10)&gt;=1000</formula>
    </cfRule>
  </conditionalFormatting>
  <conditionalFormatting sqref="K4:K11">
    <cfRule type="expression" dxfId="256" priority="95">
      <formula>ABS(K$7-K$10)&gt;=1000</formula>
    </cfRule>
  </conditionalFormatting>
  <conditionalFormatting sqref="L4:L11">
    <cfRule type="expression" dxfId="255" priority="94">
      <formula>ABS(L$7-L$10)&gt;=1000</formula>
    </cfRule>
  </conditionalFormatting>
  <conditionalFormatting sqref="M4 M6:M11">
    <cfRule type="expression" dxfId="254" priority="93">
      <formula>ABS(M$7-M$10)&gt;=1000</formula>
    </cfRule>
  </conditionalFormatting>
  <conditionalFormatting sqref="N4 N6:N11">
    <cfRule type="expression" dxfId="253" priority="92">
      <formula>ABS(N$7-N$10)&gt;=1000</formula>
    </cfRule>
  </conditionalFormatting>
  <conditionalFormatting sqref="O4 O6:O11">
    <cfRule type="expression" dxfId="252" priority="91">
      <formula>ABS(O$7-O$10)&gt;=1000</formula>
    </cfRule>
  </conditionalFormatting>
  <conditionalFormatting sqref="P4 P6:P11">
    <cfRule type="expression" dxfId="251" priority="90">
      <formula>ABS(P$7-P$10)&gt;=1000</formula>
    </cfRule>
  </conditionalFormatting>
  <conditionalFormatting sqref="Q4:Q11">
    <cfRule type="expression" dxfId="250" priority="89">
      <formula>ABS(Q$7-Q$10)&gt;=1000</formula>
    </cfRule>
  </conditionalFormatting>
  <conditionalFormatting sqref="R4:R11">
    <cfRule type="expression" dxfId="249" priority="88">
      <formula>ABS(R$7-R$10)&gt;=1000</formula>
    </cfRule>
  </conditionalFormatting>
  <conditionalFormatting sqref="S4:S11">
    <cfRule type="expression" dxfId="248" priority="87">
      <formula>ABS(S$7-S$10)&gt;=1000</formula>
    </cfRule>
  </conditionalFormatting>
  <conditionalFormatting sqref="T4:T9 T11">
    <cfRule type="expression" dxfId="247" priority="86">
      <formula>ABS(T$7-T$10)&gt;=1000</formula>
    </cfRule>
  </conditionalFormatting>
  <conditionalFormatting sqref="U4:U9 U11">
    <cfRule type="expression" dxfId="246" priority="85">
      <formula>ABS(U$7-U$10)&gt;=1000</formula>
    </cfRule>
  </conditionalFormatting>
  <conditionalFormatting sqref="V4:V9 V11">
    <cfRule type="expression" dxfId="245" priority="84">
      <formula>ABS(V$7-V$10)&gt;=1000</formula>
    </cfRule>
  </conditionalFormatting>
  <conditionalFormatting sqref="W4:W9 W11">
    <cfRule type="expression" dxfId="244" priority="83">
      <formula>ABS(W$7-W$10)&gt;=1000</formula>
    </cfRule>
  </conditionalFormatting>
  <conditionalFormatting sqref="X4:X9 X11">
    <cfRule type="expression" dxfId="243" priority="82">
      <formula>ABS(X$7-X$10)&gt;=1000</formula>
    </cfRule>
  </conditionalFormatting>
  <conditionalFormatting sqref="Y4:Y9 Y11">
    <cfRule type="expression" dxfId="242" priority="81">
      <formula>ABS(Y$7-Y$10)&gt;=1000</formula>
    </cfRule>
  </conditionalFormatting>
  <conditionalFormatting sqref="Z4:Z11">
    <cfRule type="expression" dxfId="241" priority="80">
      <formula>ABS(Z$7-Z$10)&gt;=1000</formula>
    </cfRule>
  </conditionalFormatting>
  <conditionalFormatting sqref="AA4:AA11">
    <cfRule type="expression" dxfId="240" priority="79">
      <formula>ABS(AA$7-AA$10)&gt;=1000</formula>
    </cfRule>
  </conditionalFormatting>
  <conditionalFormatting sqref="AB4:AB11">
    <cfRule type="expression" dxfId="239" priority="78">
      <formula>ABS(AB$7-AB$10)&gt;=1000</formula>
    </cfRule>
  </conditionalFormatting>
  <conditionalFormatting sqref="AC4 AC6:AC11">
    <cfRule type="expression" dxfId="238" priority="77">
      <formula>ABS(AC$7-AC$10)&gt;=1000</formula>
    </cfRule>
  </conditionalFormatting>
  <conditionalFormatting sqref="AD4 AD6:AD11">
    <cfRule type="expression" dxfId="237" priority="76">
      <formula>ABS(AD$7-AD$10)&gt;=1000</formula>
    </cfRule>
  </conditionalFormatting>
  <conditionalFormatting sqref="AE4 AE6:AE11">
    <cfRule type="expression" dxfId="236" priority="75">
      <formula>ABS(AE$7-AE$10)&gt;=1000</formula>
    </cfRule>
  </conditionalFormatting>
  <conditionalFormatting sqref="D13:D20">
    <cfRule type="expression" dxfId="235" priority="74">
      <formula>ABS(D$16-D$19)&gt;=1000</formula>
    </cfRule>
  </conditionalFormatting>
  <conditionalFormatting sqref="E13:E20">
    <cfRule type="expression" dxfId="234" priority="73">
      <formula>ABS(E$16-E$19)&gt;=1000</formula>
    </cfRule>
  </conditionalFormatting>
  <conditionalFormatting sqref="F13 F15:F20">
    <cfRule type="expression" dxfId="233" priority="72">
      <formula>ABS(F$16-F$19)&gt;=1000</formula>
    </cfRule>
  </conditionalFormatting>
  <conditionalFormatting sqref="G13:G20">
    <cfRule type="expression" dxfId="232" priority="71">
      <formula>ABS(G$16-G$19)&gt;=1000</formula>
    </cfRule>
  </conditionalFormatting>
  <conditionalFormatting sqref="H13 H15:H20">
    <cfRule type="expression" dxfId="231" priority="70">
      <formula>ABS(H$16-H$19)&gt;=1000</formula>
    </cfRule>
  </conditionalFormatting>
  <conditionalFormatting sqref="I13:I20">
    <cfRule type="expression" dxfId="230" priority="69">
      <formula>ABS(I$16-I$19)&gt;=1000</formula>
    </cfRule>
  </conditionalFormatting>
  <conditionalFormatting sqref="J13:J20">
    <cfRule type="expression" dxfId="229" priority="68">
      <formula>ABS(J$16-J$19)&gt;=1000</formula>
    </cfRule>
  </conditionalFormatting>
  <conditionalFormatting sqref="L13:L20">
    <cfRule type="expression" dxfId="228" priority="67">
      <formula>ABS(L$16-L$19)&gt;=1000</formula>
    </cfRule>
  </conditionalFormatting>
  <conditionalFormatting sqref="M13 M15 M17:M18 M20">
    <cfRule type="expression" dxfId="227" priority="66">
      <formula>ABS(M$16-M$19)&gt;=1000</formula>
    </cfRule>
  </conditionalFormatting>
  <conditionalFormatting sqref="N13:N20">
    <cfRule type="expression" dxfId="226" priority="65">
      <formula>ABS(N$16-N$19)&gt;=1000</formula>
    </cfRule>
  </conditionalFormatting>
  <conditionalFormatting sqref="O13:O20">
    <cfRule type="expression" dxfId="225" priority="64">
      <formula>ABS(O$16-O$19)&gt;=1000</formula>
    </cfRule>
  </conditionalFormatting>
  <conditionalFormatting sqref="P13:P20">
    <cfRule type="expression" dxfId="224" priority="63">
      <formula>ABS(P$16-P$19)&gt;=1000</formula>
    </cfRule>
  </conditionalFormatting>
  <conditionalFormatting sqref="Q13 Q15:Q20">
    <cfRule type="expression" dxfId="223" priority="62">
      <formula>ABS(Q$16-Q$19)&gt;=1000</formula>
    </cfRule>
  </conditionalFormatting>
  <conditionalFormatting sqref="R13:R20">
    <cfRule type="expression" dxfId="222" priority="61">
      <formula>ABS(R$16-R$19)&gt;=1000</formula>
    </cfRule>
  </conditionalFormatting>
  <conditionalFormatting sqref="S13:S20">
    <cfRule type="expression" dxfId="221" priority="60">
      <formula>ABS(S$16-S$19)&gt;=1000</formula>
    </cfRule>
  </conditionalFormatting>
  <conditionalFormatting sqref="T13:T15 T17:T20">
    <cfRule type="expression" dxfId="220" priority="59">
      <formula>ABS(T$16-T$19)&gt;=1000</formula>
    </cfRule>
  </conditionalFormatting>
  <conditionalFormatting sqref="U13:U20">
    <cfRule type="expression" dxfId="219" priority="58">
      <formula>ABS(U$16-U$19)&gt;=1000</formula>
    </cfRule>
  </conditionalFormatting>
  <conditionalFormatting sqref="V13:V20">
    <cfRule type="expression" dxfId="218" priority="57">
      <formula>ABS(V$16-V$19)&gt;=1000</formula>
    </cfRule>
  </conditionalFormatting>
  <conditionalFormatting sqref="W13 W20 W15:W18">
    <cfRule type="expression" dxfId="217" priority="56">
      <formula>ABS(W$16-W$19)&gt;=1000</formula>
    </cfRule>
  </conditionalFormatting>
  <conditionalFormatting sqref="X13 X15:X20 Y19">
    <cfRule type="expression" dxfId="216" priority="55">
      <formula>ABS(X$16-X$19)&gt;=1000</formula>
    </cfRule>
  </conditionalFormatting>
  <conditionalFormatting sqref="Y13 Y15:Y18 Y20">
    <cfRule type="expression" dxfId="215" priority="54">
      <formula>ABS(Y$16-Y$19)&gt;=1000</formula>
    </cfRule>
  </conditionalFormatting>
  <conditionalFormatting sqref="Z13:Z20">
    <cfRule type="expression" dxfId="214" priority="53">
      <formula>ABS(Z$16-Z$19)&gt;=1000</formula>
    </cfRule>
  </conditionalFormatting>
  <conditionalFormatting sqref="AA13:AA20">
    <cfRule type="expression" dxfId="213" priority="52">
      <formula>ABS(AA$16-AA$19)&gt;=1000</formula>
    </cfRule>
  </conditionalFormatting>
  <conditionalFormatting sqref="AB13 AB15:AB20">
    <cfRule type="expression" dxfId="212" priority="51">
      <formula>ABS(AB$16-AB$19)&gt;=1000</formula>
    </cfRule>
  </conditionalFormatting>
  <conditionalFormatting sqref="AC13 AC15:AC20">
    <cfRule type="expression" dxfId="211" priority="50">
      <formula>ABS(AC$16-AC$19)&gt;=1000</formula>
    </cfRule>
  </conditionalFormatting>
  <conditionalFormatting sqref="AD13:AD20">
    <cfRule type="expression" dxfId="210" priority="49">
      <formula>ABS(AD$16-AD$19)&gt;=1000</formula>
    </cfRule>
  </conditionalFormatting>
  <conditionalFormatting sqref="AE13:AE20">
    <cfRule type="expression" dxfId="209" priority="48">
      <formula>ABS(AE$16-AE$19)&gt;=1000</formula>
    </cfRule>
  </conditionalFormatting>
  <conditionalFormatting sqref="D22:D29">
    <cfRule type="expression" dxfId="208" priority="47">
      <formula>ABS(D$25-D$28)&gt;=1000</formula>
    </cfRule>
  </conditionalFormatting>
  <conditionalFormatting sqref="E22:E29">
    <cfRule type="expression" dxfId="207" priority="46">
      <formula>ABS(E$25-E$28)&gt;=1000</formula>
    </cfRule>
  </conditionalFormatting>
  <conditionalFormatting sqref="F22:F29">
    <cfRule type="expression" dxfId="206" priority="45">
      <formula>ABS(F$25-F$28)&gt;=1000</formula>
    </cfRule>
  </conditionalFormatting>
  <conditionalFormatting sqref="G22:G29">
    <cfRule type="expression" dxfId="205" priority="44">
      <formula>ABS(G$25-G$28)&gt;=1000</formula>
    </cfRule>
  </conditionalFormatting>
  <conditionalFormatting sqref="H22:H29">
    <cfRule type="expression" dxfId="204" priority="43">
      <formula>ABS(H$25-H$28)&gt;=1000</formula>
    </cfRule>
  </conditionalFormatting>
  <conditionalFormatting sqref="I22 I24:I29">
    <cfRule type="expression" dxfId="203" priority="42">
      <formula>ABS(I$25-I$28)&gt;=1000</formula>
    </cfRule>
  </conditionalFormatting>
  <conditionalFormatting sqref="J22:J29 K22">
    <cfRule type="expression" dxfId="202" priority="41">
      <formula>ABS(J$25-J$28)&gt;=1000</formula>
    </cfRule>
  </conditionalFormatting>
  <conditionalFormatting sqref="K23:K29 L25 L28">
    <cfRule type="expression" dxfId="201" priority="40">
      <formula>ABS(K$25-K$28)&gt;=1000</formula>
    </cfRule>
  </conditionalFormatting>
  <conditionalFormatting sqref="L22 L26:L27 L29 L24">
    <cfRule type="expression" dxfId="200" priority="39">
      <formula>ABS(L$25-L$28)&gt;=1000</formula>
    </cfRule>
  </conditionalFormatting>
  <conditionalFormatting sqref="M22:M29">
    <cfRule type="expression" dxfId="199" priority="38">
      <formula>ABS(M$25-M$28)&gt;=1000</formula>
    </cfRule>
  </conditionalFormatting>
  <conditionalFormatting sqref="N22:N29">
    <cfRule type="expression" dxfId="198" priority="37">
      <formula>ABS(N$25-N$28)&gt;=1000</formula>
    </cfRule>
  </conditionalFormatting>
  <conditionalFormatting sqref="O22 O24:O29">
    <cfRule type="expression" dxfId="197" priority="36">
      <formula>ABS(O$25-O$28)&gt;=1000</formula>
    </cfRule>
  </conditionalFormatting>
  <conditionalFormatting sqref="P22:P29">
    <cfRule type="expression" dxfId="196" priority="35">
      <formula>ABS(P$25-P$28)&gt;=1000</formula>
    </cfRule>
  </conditionalFormatting>
  <conditionalFormatting sqref="Q22:Q29">
    <cfRule type="expression" dxfId="195" priority="34">
      <formula>ABS(Q$25-Q$28)&gt;=1000</formula>
    </cfRule>
  </conditionalFormatting>
  <conditionalFormatting sqref="R22:R29">
    <cfRule type="expression" dxfId="194" priority="33">
      <formula>ABS(R$25-R$28)&gt;=1000</formula>
    </cfRule>
  </conditionalFormatting>
  <conditionalFormatting sqref="S22:S29">
    <cfRule type="expression" dxfId="193" priority="32">
      <formula>ABS(S$25-S$28)&gt;=1000</formula>
    </cfRule>
  </conditionalFormatting>
  <conditionalFormatting sqref="T22:T29">
    <cfRule type="expression" dxfId="192" priority="31">
      <formula>ABS(T$25-T$28)&gt;=1000</formula>
    </cfRule>
  </conditionalFormatting>
  <conditionalFormatting sqref="U22:U29">
    <cfRule type="expression" dxfId="191" priority="30">
      <formula>ABS(U$25-U$28)&gt;=1000</formula>
    </cfRule>
  </conditionalFormatting>
  <conditionalFormatting sqref="V22:V29">
    <cfRule type="expression" dxfId="190" priority="29">
      <formula>ABS(V$25-V$28)&gt;=1000</formula>
    </cfRule>
  </conditionalFormatting>
  <conditionalFormatting sqref="W22:W29">
    <cfRule type="expression" dxfId="189" priority="28">
      <formula>ABS(W$25-W$28)&gt;=1000</formula>
    </cfRule>
  </conditionalFormatting>
  <conditionalFormatting sqref="X22:X29">
    <cfRule type="expression" dxfId="188" priority="27">
      <formula>ABS(X$25-X$28)&gt;=1000</formula>
    </cfRule>
  </conditionalFormatting>
  <conditionalFormatting sqref="Y22:Y29">
    <cfRule type="expression" dxfId="187" priority="26">
      <formula>ABS(Y$25-Y$28)&gt;=1000</formula>
    </cfRule>
  </conditionalFormatting>
  <conditionalFormatting sqref="I23">
    <cfRule type="expression" dxfId="186" priority="25">
      <formula>ABS(I$25-I$28)&gt;=1000</formula>
    </cfRule>
  </conditionalFormatting>
  <conditionalFormatting sqref="Q14">
    <cfRule type="expression" dxfId="185" priority="24">
      <formula>ABS(Q$16-Q$19)&gt;=1000</formula>
    </cfRule>
  </conditionalFormatting>
  <conditionalFormatting sqref="W14">
    <cfRule type="expression" dxfId="184" priority="23">
      <formula>ABS(W$16-W$19)&gt;=1000</formula>
    </cfRule>
  </conditionalFormatting>
  <conditionalFormatting sqref="X14">
    <cfRule type="expression" dxfId="183" priority="22">
      <formula>ABS(X$16-X$19)&gt;=1000</formula>
    </cfRule>
  </conditionalFormatting>
  <conditionalFormatting sqref="T10:Y10">
    <cfRule type="expression" dxfId="182" priority="21">
      <formula>ABS(T$7-T$10)&gt;=1000</formula>
    </cfRule>
  </conditionalFormatting>
  <conditionalFormatting sqref="W19">
    <cfRule type="expression" dxfId="181" priority="20">
      <formula>ABS(W$16-W$19)&gt;=1000</formula>
    </cfRule>
  </conditionalFormatting>
  <conditionalFormatting sqref="AC5">
    <cfRule type="expression" dxfId="180" priority="19">
      <formula>ABS(AC$7-AC$10)&gt;=1000</formula>
    </cfRule>
  </conditionalFormatting>
  <conditionalFormatting sqref="M14">
    <cfRule type="expression" dxfId="179" priority="18">
      <formula>ABS(M$16-M$19)&gt;=1000</formula>
    </cfRule>
  </conditionalFormatting>
  <conditionalFormatting sqref="M16">
    <cfRule type="expression" dxfId="178" priority="17">
      <formula>ABS(M$16-M$19)&gt;=1000</formula>
    </cfRule>
  </conditionalFormatting>
  <conditionalFormatting sqref="M19">
    <cfRule type="expression" dxfId="177" priority="16">
      <formula>ABS(M$16-M$19)&gt;=1000</formula>
    </cfRule>
  </conditionalFormatting>
  <conditionalFormatting sqref="K13:K20">
    <cfRule type="expression" dxfId="176" priority="15">
      <formula>ABS(K$16-K$19)&gt;=1000</formula>
    </cfRule>
  </conditionalFormatting>
  <conditionalFormatting sqref="E5">
    <cfRule type="expression" dxfId="175" priority="14">
      <formula>ABS(E$7-E$10)&gt;=1000</formula>
    </cfRule>
  </conditionalFormatting>
  <conditionalFormatting sqref="AB14:AC14">
    <cfRule type="expression" dxfId="174" priority="13">
      <formula>ABS(AB$16-AB$19)&gt;=1000</formula>
    </cfRule>
  </conditionalFormatting>
  <conditionalFormatting sqref="M5">
    <cfRule type="expression" dxfId="173" priority="12">
      <formula>ABS(M$7-M$10)&gt;=1000</formula>
    </cfRule>
  </conditionalFormatting>
  <conditionalFormatting sqref="N5">
    <cfRule type="expression" dxfId="172" priority="11">
      <formula>ABS(N$7-N$10)&gt;=1000</formula>
    </cfRule>
  </conditionalFormatting>
  <conditionalFormatting sqref="O5">
    <cfRule type="expression" dxfId="171" priority="10">
      <formula>ABS(O$7-O$10)&gt;=1000</formula>
    </cfRule>
  </conditionalFormatting>
  <conditionalFormatting sqref="P5">
    <cfRule type="expression" dxfId="170" priority="9">
      <formula>ABS(P$7-P$10)&gt;=1000</formula>
    </cfRule>
  </conditionalFormatting>
  <conditionalFormatting sqref="L23">
    <cfRule type="expression" dxfId="169" priority="8">
      <formula>ABS(L$25-L$28)&gt;=1000</formula>
    </cfRule>
  </conditionalFormatting>
  <conditionalFormatting sqref="Y14">
    <cfRule type="expression" dxfId="168" priority="7">
      <formula>ABS(Y$16-Y$19)&gt;=1000</formula>
    </cfRule>
  </conditionalFormatting>
  <conditionalFormatting sqref="F14">
    <cfRule type="expression" dxfId="167" priority="6">
      <formula>ABS(F$16-F$19)&gt;=1000</formula>
    </cfRule>
  </conditionalFormatting>
  <conditionalFormatting sqref="H14">
    <cfRule type="expression" dxfId="166" priority="5">
      <formula>ABS(H$16-H$19)&gt;=1000</formula>
    </cfRule>
  </conditionalFormatting>
  <conditionalFormatting sqref="AD5">
    <cfRule type="expression" dxfId="165" priority="4">
      <formula>ABS(AD$7-AD$10)&gt;=1000</formula>
    </cfRule>
  </conditionalFormatting>
  <conditionalFormatting sqref="AE5">
    <cfRule type="expression" dxfId="164" priority="3">
      <formula>ABS(AE$7-AE$10)&gt;=1000</formula>
    </cfRule>
  </conditionalFormatting>
  <conditionalFormatting sqref="T16">
    <cfRule type="expression" dxfId="163" priority="2">
      <formula>ABS(T$16-T$19)&gt;=1000</formula>
    </cfRule>
  </conditionalFormatting>
  <conditionalFormatting sqref="O23">
    <cfRule type="expression" dxfId="162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1473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943">
    <pageSetUpPr fitToPage="1"/>
  </sheetPr>
  <dimension ref="A1:CU223"/>
  <sheetViews>
    <sheetView tabSelected="1" view="pageBreakPreview" topLeftCell="A12" zoomScale="70" zoomScaleNormal="100" zoomScaleSheetLayoutView="70" workbookViewId="0">
      <selection activeCell="S24" sqref="S24"/>
    </sheetView>
  </sheetViews>
  <sheetFormatPr defaultColWidth="8.109375" defaultRowHeight="25.8"/>
  <cols>
    <col min="1" max="1" width="11.6640625" style="64" customWidth="1" phonetic="1"/>
    <col min="2" max="2" width="7.6640625" style="64" customWidth="1" phonetic="1"/>
    <col min="3" max="3" width="8" style="64" customWidth="1" phonetic="1"/>
    <col min="4" max="8" width="7.6640625" style="64" customWidth="1" phonetic="1"/>
    <col min="9" max="9" width="8" style="64" customWidth="1" phonetic="1"/>
    <col min="10" max="12" width="7.6640625" style="64" customWidth="1" phonetic="1"/>
    <col min="13" max="13" width="7.77734375" style="64" bestFit="1" customWidth="1" phonetic="1"/>
    <col min="14" max="30" width="7.6640625" style="64" customWidth="1" phonetic="1"/>
    <col min="31" max="31" width="7.6640625" style="75" customWidth="1" phonetic="1"/>
    <col min="32" max="32" width="11.6640625" style="64" bestFit="1" customWidth="1" phonetic="1"/>
    <col min="33" max="33" width="22.109375" style="64" customWidth="1" phonetic="1"/>
    <col min="34" max="34" width="5.6640625" style="64" customWidth="1" phonetic="1"/>
    <col min="35" max="35" width="18.21875" style="64" customWidth="1" phonetic="1"/>
    <col min="36" max="36" width="12" style="64" bestFit="1" customWidth="1" phonetic="1"/>
    <col min="37" max="37" width="11.6640625" style="64" bestFit="1" customWidth="1" phonetic="1"/>
    <col min="38" max="38" width="5.6640625" style="64" customWidth="1" phonetic="1"/>
    <col min="39" max="39" width="11.44140625" style="64" bestFit="1" customWidth="1" phonetic="1"/>
    <col min="40" max="40" width="6.21875" style="64" customWidth="1" phonetic="1"/>
    <col min="41" max="41" width="8.6640625" style="64" customWidth="1" phonetic="1"/>
    <col min="42" max="42" width="11.21875" style="64" customWidth="1" phonetic="1"/>
    <col min="43" max="43" width="11.77734375" style="64" customWidth="1" phonetic="1"/>
    <col min="44" max="44" width="11.21875" style="64" customWidth="1" phonetic="1"/>
    <col min="45" max="45" width="11.21875" style="64" bestFit="1" customWidth="1" phonetic="1"/>
    <col min="46" max="46" width="41.77734375" style="64" customWidth="1" phonetic="1"/>
    <col min="47" max="47" width="7.77734375" style="64" customWidth="1" phonetic="1"/>
    <col min="48" max="48" width="17.109375" style="64" customWidth="1" phonetic="1"/>
    <col min="49" max="49" width="6.21875" style="64" customWidth="1" phonetic="1"/>
    <col min="50" max="50" width="10" style="64" customWidth="1" phonetic="1"/>
    <col min="51" max="51" width="6.21875" style="64" customWidth="1" phonetic="1"/>
    <col min="52" max="52" width="6.88671875" style="64" customWidth="1" phonetic="1"/>
    <col min="53" max="53" width="6.44140625" style="64" customWidth="1" phonetic="1"/>
    <col min="54" max="54" width="15.44140625" style="64" customWidth="1" phonetic="1"/>
    <col min="55" max="55" width="6.21875" style="64" customWidth="1" phonetic="1"/>
    <col min="56" max="56" width="22.109375" style="64" bestFit="1" customWidth="1" phonetic="1"/>
    <col min="57" max="57" width="6.44140625" style="64" customWidth="1" phonetic="1"/>
    <col min="58" max="60" width="6.21875" style="64" customWidth="1" phonetic="1"/>
    <col min="61" max="16384" width="8.109375" style="64" phonetic="1"/>
  </cols>
  <sheetData>
    <row r="1" spans="1:99" ht="31.2" ph="1">
      <c r="A1" s="64"/>
      <c r="B1" s="242" t="s" ph="1">
        <v>161</v>
      </c>
      <c r="C1" s="242" ph="1"/>
      <c r="D1" s="242" ph="1"/>
      <c r="E1" s="242" ph="1"/>
      <c r="F1" s="242" ph="1"/>
      <c r="G1" s="242" ph="1"/>
      <c r="H1" s="242" ph="1"/>
      <c r="I1" s="242" ph="1"/>
      <c r="J1" s="242" ph="1"/>
      <c r="K1" s="242" ph="1"/>
      <c r="L1" s="242" ph="1"/>
      <c r="M1" s="242" ph="1"/>
      <c r="N1" s="242" ph="1"/>
      <c r="O1" s="242" ph="1"/>
      <c r="P1" s="242" ph="1"/>
      <c r="Q1" s="242" ph="1"/>
      <c r="R1" s="242" ph="1"/>
      <c r="S1" s="242" ph="1"/>
      <c r="T1" s="242" ph="1"/>
      <c r="U1" s="242" ph="1"/>
      <c r="V1" s="242" ph="1"/>
      <c r="W1" s="242" ph="1"/>
      <c r="X1" s="242" ph="1"/>
      <c r="Y1" s="242" ph="1"/>
      <c r="Z1" s="242" ph="1"/>
      <c r="AA1" s="242" ph="1"/>
      <c r="AB1" s="242" ph="1"/>
      <c r="AC1" s="242" ph="1"/>
      <c r="AD1" s="242" ph="1"/>
      <c r="AE1" s="242" ph="1"/>
    </row>
    <row r="2" spans="1:99" s="66" customFormat="1" ht="24" customHeight="1" ph="1">
      <c r="B2" s="243" t="s" ph="1">
        <v>82</v>
      </c>
      <c r="C2" s="243" ph="1"/>
      <c r="D2" s="243" ph="1"/>
      <c r="E2" s="243" ph="1"/>
      <c r="F2" s="243" ph="1"/>
      <c r="G2" s="243" ph="1"/>
      <c r="H2" s="243" ph="1"/>
      <c r="I2" s="243" ph="1"/>
      <c r="J2" s="243" ph="1"/>
      <c r="K2" s="243" ph="1"/>
      <c r="L2" s="243" ph="1"/>
      <c r="M2" s="243" ph="1"/>
      <c r="N2" s="243" ph="1"/>
      <c r="O2" s="243" ph="1"/>
      <c r="P2" s="243" ph="1"/>
      <c r="Q2" s="243" ph="1"/>
      <c r="R2" s="243" ph="1"/>
      <c r="S2" s="243" ph="1"/>
      <c r="T2" s="243" ph="1"/>
      <c r="U2" s="243" ph="1"/>
      <c r="V2" s="243" ph="1"/>
      <c r="W2" s="243" ph="1"/>
      <c r="X2" s="243" ph="1"/>
      <c r="Y2" s="243" ph="1"/>
      <c r="Z2" s="243" ph="1"/>
      <c r="AA2" s="243" ph="1"/>
      <c r="AB2" s="243" ph="1"/>
      <c r="AC2" s="243" ph="1"/>
      <c r="AD2" s="243" ph="1"/>
      <c r="AE2" s="243" ph="1"/>
    </row>
    <row r="3" spans="1:99" ht="21" customHeight="1" ph="1">
      <c r="B3" s="244" ph="1">
        <v>46234</v>
      </c>
      <c r="C3" s="244"/>
      <c r="D3" s="244"/>
      <c r="E3" s="244"/>
      <c r="F3" s="244"/>
      <c r="G3" s="244"/>
      <c r="H3" s="244"/>
      <c r="I3" s="244"/>
      <c r="J3" s="244"/>
      <c r="K3" s="244"/>
      <c r="L3" s="244"/>
      <c r="M3" s="244"/>
      <c r="N3" s="244"/>
      <c r="O3" s="244"/>
      <c r="P3" s="244"/>
      <c r="Q3" s="244"/>
      <c r="R3" s="244"/>
      <c r="S3" s="244"/>
      <c r="T3" s="244"/>
      <c r="U3" s="244"/>
      <c r="V3" s="244"/>
      <c r="W3" s="244"/>
      <c r="X3" s="244"/>
      <c r="Y3" s="244"/>
      <c r="Z3" s="244"/>
      <c r="AA3" s="244"/>
      <c r="AB3" s="244"/>
      <c r="AC3" s="244"/>
      <c r="AD3" s="244"/>
      <c r="AE3" s="244"/>
    </row>
    <row r="4" spans="1:99" s="69" customFormat="1" ph="1">
      <c r="A4" s="65" ph="1"/>
      <c r="B4" s="223" t="s" ph="1">
        <v>37</v>
      </c>
      <c r="C4" s="67" t="s" ph="1">
        <v>176</v>
      </c>
      <c r="D4" s="68" t="s" ph="1">
        <v>44</v>
      </c>
      <c r="E4" s="68" t="s" ph="1">
        <v>45</v>
      </c>
      <c r="F4" s="68" t="s" ph="1">
        <v>39</v>
      </c>
      <c r="G4" s="68" t="s" ph="1">
        <v>46</v>
      </c>
      <c r="H4" s="68" t="s" ph="1">
        <v>47</v>
      </c>
      <c r="I4" s="68" t="s" ph="1">
        <v>110</v>
      </c>
      <c r="J4" s="68" t="s" ph="1">
        <v>48</v>
      </c>
      <c r="K4" s="68" t="s" ph="1">
        <v>111</v>
      </c>
      <c r="L4" s="68" t="s" ph="1">
        <v>112</v>
      </c>
      <c r="M4" s="68" t="s" ph="1">
        <v>49</v>
      </c>
      <c r="N4" s="68" t="s" ph="1">
        <v>50</v>
      </c>
      <c r="O4" s="68" t="s" ph="1">
        <v>113</v>
      </c>
      <c r="P4" s="68" t="s" ph="1">
        <v>114</v>
      </c>
      <c r="Q4" s="68" t="s" ph="1">
        <v>115</v>
      </c>
      <c r="R4" s="68" t="s" ph="1">
        <v>116</v>
      </c>
      <c r="S4" s="68" t="s" ph="1">
        <v>117</v>
      </c>
      <c r="T4" s="68" t="s" ph="1">
        <v>118</v>
      </c>
      <c r="U4" s="68" t="s" ph="1">
        <v>119</v>
      </c>
      <c r="V4" s="68" t="s" ph="1">
        <v>120</v>
      </c>
      <c r="W4" s="68" t="s" ph="1">
        <v>121</v>
      </c>
      <c r="X4" s="68" t="s" ph="1">
        <v>122</v>
      </c>
      <c r="Y4" s="68" t="s" ph="1">
        <v>123</v>
      </c>
      <c r="Z4" s="68" t="s" ph="1">
        <v>51</v>
      </c>
      <c r="AA4" s="68" t="s" ph="1">
        <v>124</v>
      </c>
      <c r="AB4" s="68" t="s" ph="1">
        <v>125</v>
      </c>
      <c r="AC4" s="68" t="s" ph="1">
        <v>126</v>
      </c>
      <c r="AD4" s="68" t="s" ph="1">
        <v>40</v>
      </c>
      <c r="AE4" s="68" t="s" ph="1">
        <v>127</v>
      </c>
      <c r="AF4" s="65" ph="1"/>
      <c r="AG4" s="65" ph="1"/>
      <c r="AH4" s="65" ph="1"/>
      <c r="AI4" s="65" ph="1"/>
      <c r="AJ4" s="65" ph="1"/>
      <c r="AK4" s="65" ph="1"/>
      <c r="AL4" s="65" ph="1"/>
      <c r="AM4" s="65" ph="1"/>
      <c r="AN4" s="65" ph="1"/>
      <c r="AO4" s="65" ph="1"/>
      <c r="AP4" s="65" ph="1"/>
      <c r="AQ4" s="65" ph="1"/>
      <c r="AR4" s="65" ph="1"/>
      <c r="AS4" s="65" ph="1"/>
      <c r="AT4" s="65" ph="1"/>
      <c r="AU4" s="65" ph="1"/>
      <c r="AV4" s="65" ph="1"/>
      <c r="AW4" s="65" ph="1"/>
      <c r="AX4" s="65" ph="1"/>
      <c r="AY4" s="65" ph="1"/>
      <c r="AZ4" s="65" ph="1"/>
      <c r="BA4" s="65" ph="1"/>
      <c r="BB4" s="65" ph="1"/>
      <c r="BC4" s="65" ph="1"/>
      <c r="BD4" s="65" ph="1"/>
      <c r="BE4" s="65" ph="1"/>
      <c r="BF4" s="65" ph="1"/>
      <c r="BG4" s="65" ph="1"/>
      <c r="BH4" s="65" ph="1"/>
      <c r="BI4" s="65" ph="1"/>
      <c r="BJ4" s="65" ph="1"/>
      <c r="BK4" s="65" ph="1"/>
      <c r="BL4" s="65" ph="1"/>
      <c r="BM4" s="65" ph="1"/>
      <c r="BN4" s="65" ph="1"/>
      <c r="BO4" s="65" ph="1"/>
      <c r="BP4" s="65" ph="1"/>
      <c r="BQ4" s="65" ph="1"/>
      <c r="BR4" s="65" ph="1"/>
      <c r="BS4" s="65" ph="1"/>
      <c r="BT4" s="65" ph="1"/>
      <c r="BU4" s="65" ph="1"/>
      <c r="BV4" s="65" ph="1"/>
      <c r="BW4" s="65" ph="1"/>
      <c r="BX4" s="65" ph="1"/>
      <c r="BY4" s="65" ph="1"/>
      <c r="BZ4" s="65" ph="1"/>
      <c r="CA4" s="65" ph="1"/>
      <c r="CB4" s="65" ph="1"/>
      <c r="CC4" s="65" ph="1"/>
      <c r="CD4" s="65" ph="1"/>
      <c r="CE4" s="65" ph="1"/>
      <c r="CF4" s="65" ph="1"/>
      <c r="CG4" s="65" ph="1"/>
      <c r="CH4" s="65" ph="1"/>
      <c r="CI4" s="65" ph="1"/>
      <c r="CJ4" s="65" ph="1"/>
      <c r="CK4" s="65" ph="1"/>
      <c r="CL4" s="65" ph="1"/>
      <c r="CM4" s="65" ph="1"/>
      <c r="CN4" s="65" ph="1"/>
      <c r="CO4" s="65" ph="1"/>
      <c r="CP4" s="65" ph="1"/>
      <c r="CQ4" s="65" ph="1"/>
      <c r="CR4" s="65" ph="1"/>
      <c r="CS4" s="65" ph="1"/>
      <c r="CT4" s="65" ph="1"/>
      <c r="CU4" s="65" ph="1"/>
    </row>
    <row r="5" spans="1:99" s="69" customFormat="1" ht="29.25" customHeight="1" ph="1">
      <c r="A5" s="65" ph="1"/>
      <c r="B5" s="223" ph="1"/>
      <c r="C5" s="67" t="s" ph="1">
        <v>36</v>
      </c>
      <c r="D5" s="70" t="s" ph="1">
        <v>160</v>
      </c>
      <c r="E5" s="142" t="s" ph="1">
        <v>7</v>
      </c>
      <c r="F5" s="142" t="s" ph="1">
        <v>1</v>
      </c>
      <c r="G5" s="142" t="s" ph="1">
        <v>7</v>
      </c>
      <c r="H5" s="142" t="s" ph="1">
        <v>7</v>
      </c>
      <c r="I5" s="141" t="s" ph="1">
        <v>608</v>
      </c>
      <c r="J5" s="141" t="s" ph="1">
        <v>609</v>
      </c>
      <c r="K5" s="141" t="s" ph="1">
        <v>611</v>
      </c>
      <c r="L5" s="141" t="s" ph="1">
        <v>613</v>
      </c>
      <c r="M5" s="141" t="s" ph="1">
        <v>608</v>
      </c>
      <c r="N5" s="70" t="s" ph="1">
        <v>609</v>
      </c>
      <c r="O5" s="70" t="s" ph="1">
        <v>611</v>
      </c>
      <c r="P5" s="70" t="s" ph="1">
        <v>613</v>
      </c>
      <c r="Q5" s="70" t="s" ph="1">
        <v>607</v>
      </c>
      <c r="R5" s="70" t="s" ph="1">
        <v>607</v>
      </c>
      <c r="S5" s="70" t="s" ph="1">
        <v>607</v>
      </c>
      <c r="T5" s="70" t="s" ph="1">
        <v>607</v>
      </c>
      <c r="U5" s="70" t="s" ph="1">
        <v>607</v>
      </c>
      <c r="V5" s="70" t="s" ph="1">
        <v>607</v>
      </c>
      <c r="W5" s="70" t="s" ph="1">
        <v>607</v>
      </c>
      <c r="X5" s="70" t="s" ph="1">
        <v>607</v>
      </c>
      <c r="Y5" s="70" t="s" ph="1">
        <v>607</v>
      </c>
      <c r="Z5" s="70" t="s" ph="1">
        <v>614</v>
      </c>
      <c r="AA5" s="70" t="s" ph="1">
        <v>54</v>
      </c>
      <c r="AB5" s="70" t="s" ph="1">
        <v>54</v>
      </c>
      <c r="AC5" s="70" t="s" ph="1">
        <v>615</v>
      </c>
      <c r="AD5" s="71" t="s">
        <v>72</v>
      </c>
      <c r="AE5" s="71" t="s">
        <v>635</v>
      </c>
      <c r="AF5" s="65" ph="1"/>
      <c r="AG5" s="65" ph="1"/>
      <c r="AH5" s="65" ph="1"/>
      <c r="AI5" s="65" ph="1"/>
      <c r="AJ5" s="65" ph="1"/>
      <c r="AK5" s="65" ph="1"/>
      <c r="AL5" s="65" ph="1"/>
      <c r="AM5" s="65" ph="1"/>
      <c r="AN5" s="65" ph="1"/>
      <c r="AO5" s="65" ph="1"/>
      <c r="AP5" s="65" ph="1"/>
      <c r="AQ5" s="65" ph="1"/>
      <c r="AR5" s="65" ph="1"/>
      <c r="AS5" s="65" ph="1"/>
      <c r="AT5" s="65" ph="1"/>
      <c r="AU5" s="65" ph="1"/>
      <c r="AV5" s="65" ph="1"/>
      <c r="AW5" s="65" ph="1"/>
      <c r="AX5" s="65" ph="1"/>
      <c r="AY5" s="65" ph="1"/>
      <c r="AZ5" s="65" ph="1"/>
      <c r="BA5" s="65" ph="1"/>
      <c r="BB5" s="65" ph="1"/>
      <c r="BC5" s="65" ph="1"/>
      <c r="BD5" s="65" ph="1"/>
      <c r="BE5" s="65" ph="1"/>
      <c r="BF5" s="65" ph="1"/>
      <c r="BG5" s="65" ph="1"/>
      <c r="BH5" s="65" ph="1"/>
      <c r="BI5" s="65" ph="1"/>
      <c r="BJ5" s="65" ph="1"/>
      <c r="BK5" s="65" ph="1"/>
      <c r="BL5" s="65" ph="1"/>
      <c r="BM5" s="65" ph="1"/>
      <c r="BN5" s="65" ph="1"/>
      <c r="BO5" s="65" ph="1"/>
      <c r="BP5" s="65" ph="1"/>
      <c r="BQ5" s="65" ph="1"/>
      <c r="BR5" s="65" ph="1"/>
      <c r="BS5" s="65" ph="1"/>
      <c r="BT5" s="65" ph="1"/>
      <c r="BU5" s="65" ph="1"/>
      <c r="BV5" s="65" ph="1"/>
      <c r="BW5" s="65" ph="1"/>
      <c r="BX5" s="65" ph="1"/>
      <c r="BY5" s="65" ph="1"/>
      <c r="BZ5" s="65" ph="1"/>
      <c r="CA5" s="65" ph="1"/>
      <c r="CB5" s="65" ph="1"/>
      <c r="CC5" s="65" ph="1"/>
      <c r="CD5" s="65" ph="1"/>
      <c r="CE5" s="65" ph="1"/>
      <c r="CF5" s="65" ph="1"/>
      <c r="CG5" s="65" ph="1"/>
      <c r="CH5" s="65" ph="1"/>
      <c r="CI5" s="65" ph="1"/>
      <c r="CJ5" s="65" ph="1"/>
      <c r="CK5" s="65" ph="1"/>
      <c r="CL5" s="65" ph="1"/>
      <c r="CM5" s="65" ph="1"/>
      <c r="CN5" s="65" ph="1"/>
      <c r="CO5" s="65" ph="1"/>
      <c r="CP5" s="65" ph="1"/>
      <c r="CQ5" s="65" ph="1"/>
      <c r="CR5" s="65" ph="1"/>
      <c r="CS5" s="65" ph="1"/>
      <c r="CT5" s="65" ph="1"/>
      <c r="CU5" s="65" ph="1"/>
    </row>
    <row r="6" spans="1:99" ph="1">
      <c r="B6" s="241" ph="1">
        <v>0.33333333333333331</v>
      </c>
      <c r="C6" s="163" t="s" ph="1">
        <v>177</v>
      </c>
      <c r="D6" s="71">
        <v>142</v>
      </c>
      <c r="E6" s="71">
        <v>278</v>
      </c>
      <c r="F6" s="71">
        <v>5784</v>
      </c>
      <c r="G6" s="71">
        <v>1169</v>
      </c>
      <c r="H6" s="71">
        <v>3966</v>
      </c>
      <c r="I6" s="71">
        <v>38.71</v>
      </c>
      <c r="J6" s="71">
        <v>77.02</v>
      </c>
      <c r="K6" s="71">
        <v>49.61</v>
      </c>
      <c r="L6" s="71">
        <v>7.33</v>
      </c>
      <c r="M6" s="71">
        <v>4253</v>
      </c>
      <c r="N6" s="71">
        <v>3963</v>
      </c>
      <c r="O6" s="71">
        <v>4619</v>
      </c>
      <c r="P6" s="71">
        <v>1888</v>
      </c>
      <c r="Q6" s="71">
        <v>7181</v>
      </c>
      <c r="R6" s="71">
        <v>7169</v>
      </c>
      <c r="S6" s="71">
        <v>659</v>
      </c>
      <c r="T6" s="71">
        <v>0</v>
      </c>
      <c r="U6" s="71">
        <v>0</v>
      </c>
      <c r="V6" s="71">
        <v>0</v>
      </c>
      <c r="W6" s="71">
        <v>4972</v>
      </c>
      <c r="X6" s="71">
        <v>5805</v>
      </c>
      <c r="Y6" s="71">
        <v>5689</v>
      </c>
      <c r="Z6" s="71">
        <v>5200</v>
      </c>
      <c r="AA6" s="71">
        <v>1099</v>
      </c>
      <c r="AB6" s="71">
        <v>3859</v>
      </c>
      <c r="AC6" s="71">
        <v>8678</v>
      </c>
      <c r="AD6" s="71">
        <v>3381</v>
      </c>
      <c r="AE6" s="71">
        <v>3955</v>
      </c>
    </row>
    <row r="7" spans="1:99" s="72" customFormat="1" ht="22.2" ph="1">
      <c r="B7" s="241" ph="1"/>
      <c r="C7" s="68" t="s" ph="1">
        <v>178</v>
      </c>
      <c r="D7" s="73" ph="1">
        <f>D6*33.183*LOOKUP(D8,密度!$A$2:$A$50,密度!$Q$2:$Q$50)</f>
        <v>4454.33460552</v>
      </c>
      <c r="E7" s="73" ph="1">
        <f>E6*51.53*LOOKUP(E8,密度!$A$2:$A$50,密度!$B$2:$B$50)</f>
        <v>11143.681986000001</v>
      </c>
      <c r="F7" s="73" ph="1">
        <f>F6*33.183*LOOKUP(F8,密度!$A$2:$A$50,密度!$C$2:$C$50)</f>
        <v>212543.80469280001</v>
      </c>
      <c r="G7" s="73" ph="1">
        <f xml:space="preserve"> (G6+2)*51.53*LOOKUP(G8,密度!$A$2:$A$50,密度!$B$2:$B$50)</f>
        <v>46837.173206000007</v>
      </c>
      <c r="H7" s="73" ph="1">
        <f>(H6)*51.53*LOOKUP(H8,密度!$A$2:$A$50,密度!$B$2:$B$50)</f>
        <v>158977.85164200002</v>
      </c>
      <c r="I7" s="73" ph="1">
        <f>I6*290.8*1.0267</f>
        <v>11557.4263756</v>
      </c>
      <c r="J7" s="73" ph="1">
        <f>J6*290.8*0.7892</f>
        <v>17676.040707200002</v>
      </c>
      <c r="K7" s="73" ph="1">
        <f>K6*290.8*1.1126</f>
        <v>16051.0218088</v>
      </c>
      <c r="L7" s="73" ph="1">
        <f>L6*290.8*0.777</f>
        <v>1656.2252280000002</v>
      </c>
      <c r="M7" s="73" ph="1">
        <f>M6*33.183*LOOKUP(M8,密度!$A$2:$A$50,密度!$D$2:$D$50)</f>
        <v>144232.09957799999</v>
      </c>
      <c r="N7" s="73" ph="1">
        <f>N6*33.183*LOOKUP(N8,密度!$A$2:$A$50,密度!$E$2:$E$50)</f>
        <v>102257.68847039998</v>
      </c>
      <c r="O7" s="73" ph="1">
        <f>O6*20.428*LOOKUP(O8,密度!$A$2:$A$50,密度!$C$2:$C$50)</f>
        <v>103877.5464388</v>
      </c>
      <c r="P7" s="73" ph="1">
        <f>P6*51.53*LOOKUP(P8,密度!$A$2:$A$50,密度!$B$2:$B$50)</f>
        <v>75593.273280000009</v>
      </c>
      <c r="Q7" s="73" ph="1">
        <f>Q6*1.5*1.5*3.1416*LOOKUP(W8,密度!$A$2:$A$50,密度!$L$2:$L$50)</f>
        <v>47409.481904400003</v>
      </c>
      <c r="R7" s="73" ph="1">
        <f>R6*1.5*1.5*3.1416*LOOKUP(R8,密度!$A$2:$A$50,密度!$L$2:$L$50)</f>
        <v>47026.208275200006</v>
      </c>
      <c r="S7" s="73" ph="1">
        <f>S6*1.5*1.5*3.1416*LOOKUP(S8,密度!$A$2:$A$50,密度!$L$2:$L$50)</f>
        <v>4364.7403338000004</v>
      </c>
      <c r="T7" s="73" ph="1">
        <f>T6*1.5*1.5*3.1416*LOOKUP(T8,密度!$A$2:$A$50,密度!$L$2:$L$50)</f>
        <v>0</v>
      </c>
      <c r="U7" s="73" ph="1">
        <f>U6*1.5*1.5*3.1416*LOOKUP(U8,密度!$A$2:$A$50,密度!$L$2:$L$50)</f>
        <v>0</v>
      </c>
      <c r="V7" s="73" ph="1">
        <f>V6*1.5*1.5*3.1416*LOOKUP(V8,密度!$A$2:$A$50,密度!$L$2:$L$50)</f>
        <v>0</v>
      </c>
      <c r="W7" s="73" ph="1">
        <f>W6*1.5*1.5*3.1416*LOOKUP(W8,密度!$A$2:$A$50,密度!$L$2:$L$50)</f>
        <v>32825.503972800005</v>
      </c>
      <c r="X7" s="73" ph="1">
        <f>X6*1.5*1.5*3.1416*LOOKUP(X8,密度!$A$2:$A$50,密度!$L$2:$L$50)</f>
        <v>38407.096728000004</v>
      </c>
      <c r="Y7" s="73" ph="1">
        <f>Y6*1.5*1.5*3.1416*LOOKUP(Y8,密度!$A$2:$A$50,密度!$L$2:$L$50)</f>
        <v>37518.976618200002</v>
      </c>
      <c r="Z7" s="73" ph="1">
        <f>Z6*33.183*LOOKUP(Z8,密度!$A$2:$A$50,密度!$L$2:$L$50)</f>
        <v>161163.19440000001</v>
      </c>
      <c r="AA7" s="73" ph="1">
        <f>AA6*33.183*LOOKUP(AA8,密度!$A$2:$A$50,密度!$D$2:$D$50)</f>
        <v>37109.955859200003</v>
      </c>
      <c r="AB7" s="73" ph="1">
        <f>AB6*20.428*LOOKUP(AB8,密度!$A$2:$A$50,密度!$D$2:$D$50)</f>
        <v>81086.237247199999</v>
      </c>
      <c r="AC7" s="73" ph="1">
        <f>AC6*51.53*LOOKUP(AC8,密度!$A$2:$A$50,密度!$Q$2:$Q$50)</f>
        <v>422412.6589108</v>
      </c>
      <c r="AD7" s="73" ph="1">
        <f>AD6*20.428*LOOKUP(AD8,密度!$A$2:$A$50,密度!$V$2:$V$50)</f>
        <v>66138.624316799993</v>
      </c>
      <c r="AE7" s="73" ph="1">
        <f>AE6*20.428</f>
        <v>80792.740000000005</v>
      </c>
    </row>
    <row r="8" spans="1:99" ph="1">
      <c r="B8" s="241" ph="1"/>
      <c r="C8" s="68" t="s" ph="1">
        <v>179</v>
      </c>
      <c r="D8" s="74">
        <v>27</v>
      </c>
      <c r="E8" s="74">
        <v>27</v>
      </c>
      <c r="F8" s="74">
        <v>27</v>
      </c>
      <c r="G8" s="74">
        <v>29</v>
      </c>
      <c r="H8" s="74">
        <v>27</v>
      </c>
      <c r="I8" s="74">
        <v>25</v>
      </c>
      <c r="J8" s="74">
        <v>25</v>
      </c>
      <c r="K8" s="74">
        <v>25</v>
      </c>
      <c r="L8" s="74">
        <v>25</v>
      </c>
      <c r="M8" s="74">
        <v>30</v>
      </c>
      <c r="N8" s="74">
        <v>30</v>
      </c>
      <c r="O8" s="74">
        <v>34</v>
      </c>
      <c r="P8" s="74">
        <v>28</v>
      </c>
      <c r="Q8" s="74">
        <v>29</v>
      </c>
      <c r="R8" s="74">
        <v>34</v>
      </c>
      <c r="S8" s="74">
        <v>25</v>
      </c>
      <c r="T8" s="74">
        <v>25</v>
      </c>
      <c r="U8" s="74">
        <v>29</v>
      </c>
      <c r="V8" s="74">
        <v>29</v>
      </c>
      <c r="W8" s="74">
        <v>28</v>
      </c>
      <c r="X8" s="74">
        <v>26</v>
      </c>
      <c r="Y8" s="74">
        <v>29</v>
      </c>
      <c r="Z8" s="74">
        <v>28</v>
      </c>
      <c r="AA8" s="74">
        <v>35</v>
      </c>
      <c r="AB8" s="74">
        <v>23</v>
      </c>
      <c r="AC8" s="74">
        <v>28</v>
      </c>
      <c r="AD8" s="74">
        <v>27</v>
      </c>
      <c r="AE8" s="74">
        <v>28</v>
      </c>
    </row>
    <row r="9" spans="1:99" ht="26.4" ph="1">
      <c r="B9" s="241" ph="1">
        <v>0.66666666666666663</v>
      </c>
      <c r="C9" s="163" t="s" ph="1">
        <v>180</v>
      </c>
      <c r="D9" s="71">
        <v>142</v>
      </c>
      <c r="E9" s="71">
        <v>278</v>
      </c>
      <c r="F9" s="71">
        <v>6344</v>
      </c>
      <c r="G9" s="71">
        <v>895</v>
      </c>
      <c r="H9" s="71">
        <v>5288</v>
      </c>
      <c r="I9" s="71">
        <v>38.72</v>
      </c>
      <c r="J9" s="71">
        <v>77.13</v>
      </c>
      <c r="K9" s="71">
        <v>20.02</v>
      </c>
      <c r="L9" s="71">
        <v>49.31</v>
      </c>
      <c r="M9" s="71">
        <v>4253</v>
      </c>
      <c r="N9" s="71">
        <v>3963</v>
      </c>
      <c r="O9" s="71">
        <v>4570</v>
      </c>
      <c r="P9" s="71">
        <v>1231</v>
      </c>
      <c r="Q9" s="71">
        <v>7186</v>
      </c>
      <c r="R9" s="71">
        <v>7175</v>
      </c>
      <c r="S9" s="71">
        <v>3735</v>
      </c>
      <c r="T9" s="71">
        <v>6027</v>
      </c>
      <c r="U9" s="71">
        <v>0</v>
      </c>
      <c r="V9" s="71">
        <v>2837</v>
      </c>
      <c r="W9" s="71">
        <v>416</v>
      </c>
      <c r="X9" s="71">
        <v>5808</v>
      </c>
      <c r="Y9" s="71">
        <v>5693</v>
      </c>
      <c r="Z9" s="71">
        <v>2356</v>
      </c>
      <c r="AA9" s="71">
        <v>1099</v>
      </c>
      <c r="AB9" s="71">
        <v>3859</v>
      </c>
      <c r="AC9" s="71">
        <v>8955</v>
      </c>
      <c r="AD9" s="71">
        <v>3381</v>
      </c>
      <c r="AE9" s="71">
        <v>3965</v>
      </c>
    </row>
    <row r="10" spans="1:99" s="72" customFormat="1" ht="22.2" ph="1">
      <c r="B10" s="241" ph="1"/>
      <c r="C10" s="163" t="s" ph="1">
        <v>178</v>
      </c>
      <c r="D10" s="73" ph="1">
        <f>D9*33.183*LOOKUP(D11,密度!$A$2:$A$50,密度!$Q$2:$Q$50)</f>
        <v>4441.4237638799996</v>
      </c>
      <c r="E10" s="73" ph="1">
        <f>E9*51.53*LOOKUP(E11,密度!$A$2:$A$50,密度!$B$2:$B$50)</f>
        <v>11069.190218000002</v>
      </c>
      <c r="F10" s="73" ph="1">
        <f>F9*33.183*LOOKUP(F11,密度!$A$2:$A$50,密度!$C$2:$C$50)</f>
        <v>232953.6326832</v>
      </c>
      <c r="G10" s="73" ph="1">
        <f xml:space="preserve"> (G9+2)*51.53*LOOKUP(G11,密度!$A$2:$A$50,密度!$B$2:$B$50)</f>
        <v>35794.634303999999</v>
      </c>
      <c r="H10" s="73" ph="1">
        <f>(H9)*51.53*LOOKUP(H11,密度!$A$2:$A$50,密度!$B$2:$B$50)</f>
        <v>211507.23476800002</v>
      </c>
      <c r="I10" s="73" ph="1">
        <f>I9*290.8*1.0267</f>
        <v>11560.412019199999</v>
      </c>
      <c r="J10" s="73" ph="1">
        <f>J9*290.8*0.7892</f>
        <v>17701.285636799999</v>
      </c>
      <c r="K10" s="73" ph="1">
        <f>K9*290.8*1.1126</f>
        <v>6477.3524815999999</v>
      </c>
      <c r="L10" s="73" ph="1">
        <f>L9*290.8*0.777</f>
        <v>11141.673396000002</v>
      </c>
      <c r="M10" s="73" ph="1">
        <f>M9*33.183*LOOKUP(M11,密度!$A$2:$A$50,密度!$D$2:$D$50)</f>
        <v>143978.07043980001</v>
      </c>
      <c r="N10" s="73" ph="1">
        <f>N9*33.183*LOOKUP(N11,密度!$A$2:$A$50,密度!$E$2:$E$50)</f>
        <v>102257.68847039998</v>
      </c>
      <c r="O10" s="73" ph="1">
        <f>O9*20.428*LOOKUP(O11,密度!$A$2:$A$50,密度!$C$2:$C$50)</f>
        <v>103242.35616400001</v>
      </c>
      <c r="P10" s="73" ph="1">
        <f>P9*51.53*LOOKUP(P11,密度!$A$2:$A$50,密度!$B$2:$B$50)</f>
        <v>49122.848191999998</v>
      </c>
      <c r="Q10" s="73" ph="1">
        <f>Q9*1.5*1.5*3.1416*LOOKUP(W11,密度!$A$2:$A$50,密度!$L$2:$L$50)</f>
        <v>47290.107387600001</v>
      </c>
      <c r="R10" s="73" ph="1">
        <f>R9*1.5*1.5*3.1416*LOOKUP(R11,密度!$A$2:$A$50,密度!$L$2:$L$50)</f>
        <v>47014.849035000007</v>
      </c>
      <c r="S10" s="73" ph="1">
        <f>S9*1.5*1.5*3.1416*LOOKUP(S11,密度!$A$2:$A$50,密度!$L$2:$L$50)</f>
        <v>24711.542856000004</v>
      </c>
      <c r="T10" s="73" ph="1">
        <f>T9*1.5*1.5*3.1416*LOOKUP(T11,密度!$A$2:$A$50,密度!$L$2:$L$50)</f>
        <v>40003.702615800001</v>
      </c>
      <c r="U10" s="73" ph="1">
        <f>U9*1.5*1.5*3.1416*LOOKUP(U11,密度!$A$2:$A$50,密度!$L$2:$L$50)</f>
        <v>0</v>
      </c>
      <c r="V10" s="73" ph="1">
        <f>V9*1.5*1.5*3.1416*LOOKUP(V11,密度!$A$2:$A$50,密度!$L$2:$L$50)</f>
        <v>18710.025780600001</v>
      </c>
      <c r="W10" s="73" ph="1">
        <f>W9*1.5*1.5*3.1416*LOOKUP(W11,密度!$A$2:$A$50,密度!$L$2:$L$50)</f>
        <v>2737.6405056000003</v>
      </c>
      <c r="X10" s="73" ph="1">
        <f>X9*1.5*1.5*3.1416*LOOKUP(X11,密度!$A$2:$A$50,密度!$L$2:$L$50)</f>
        <v>38385.890928000001</v>
      </c>
      <c r="Y10" s="73" ph="1">
        <f>Y9*1.5*1.5*3.1416*LOOKUP(Y11,密度!$A$2:$A$50,密度!$L$2:$L$50)</f>
        <v>37505.115093599998</v>
      </c>
      <c r="Z10" s="73" ph="1">
        <f>Z9*33.183*LOOKUP(Z11,密度!$A$2:$A$50,密度!$L$2:$L$50)</f>
        <v>72941.145084000003</v>
      </c>
      <c r="AA10" s="73" ph="1">
        <f>AA9*33.183*LOOKUP(AA11,密度!$A$2:$A$50,密度!$D$2:$D$50)</f>
        <v>37015.138754999993</v>
      </c>
      <c r="AB10" s="73" ph="1">
        <f>AB9*20.428*LOOKUP(AB11,密度!$A$2:$A$50,密度!$D$2:$D$50)</f>
        <v>81007.405595200005</v>
      </c>
      <c r="AC10" s="73" ph="1">
        <f>AC9*51.53*LOOKUP(AC11,密度!$A$2:$A$50,密度!$Q$2:$Q$50)</f>
        <v>434640.838185</v>
      </c>
      <c r="AD10" s="73" ph="1">
        <f>AD9*20.428*LOOKUP(AD11,密度!$A$2:$A$50,密度!$V$2:$V$50)</f>
        <v>66138.624316799993</v>
      </c>
      <c r="AE10" s="73" ph="1">
        <f>AE9*20.428</f>
        <v>80997.02</v>
      </c>
    </row>
    <row r="11" spans="1:99" ph="1">
      <c r="A11" s="64" t="s" ph="1">
        <v>162</v>
      </c>
      <c r="B11" s="241" ph="1"/>
      <c r="C11" s="163" t="s" ph="1">
        <v>179</v>
      </c>
      <c r="D11" s="74">
        <v>31</v>
      </c>
      <c r="E11" s="74">
        <v>33</v>
      </c>
      <c r="F11" s="74">
        <v>28</v>
      </c>
      <c r="G11" s="74">
        <v>31</v>
      </c>
      <c r="H11" s="74">
        <v>29</v>
      </c>
      <c r="I11" s="74">
        <v>25</v>
      </c>
      <c r="J11" s="74">
        <v>25</v>
      </c>
      <c r="K11" s="74">
        <v>25</v>
      </c>
      <c r="L11" s="74">
        <v>25</v>
      </c>
      <c r="M11" s="74">
        <v>32</v>
      </c>
      <c r="N11" s="74">
        <v>30</v>
      </c>
      <c r="O11" s="74">
        <v>29</v>
      </c>
      <c r="P11" s="74">
        <v>31</v>
      </c>
      <c r="Q11" s="74">
        <v>32</v>
      </c>
      <c r="R11" s="74">
        <v>35</v>
      </c>
      <c r="S11" s="74">
        <v>26</v>
      </c>
      <c r="T11" s="74">
        <v>23</v>
      </c>
      <c r="U11" s="74">
        <v>30</v>
      </c>
      <c r="V11" s="74">
        <v>29</v>
      </c>
      <c r="W11" s="74">
        <v>31</v>
      </c>
      <c r="X11" s="74">
        <v>27</v>
      </c>
      <c r="Y11" s="74">
        <v>30</v>
      </c>
      <c r="Z11" s="74">
        <v>29</v>
      </c>
      <c r="AA11" s="74">
        <v>38</v>
      </c>
      <c r="AB11" s="74">
        <v>24</v>
      </c>
      <c r="AC11" s="74">
        <v>32</v>
      </c>
      <c r="AD11" s="74">
        <v>29</v>
      </c>
      <c r="AE11" s="74">
        <v>30</v>
      </c>
    </row>
    <row r="12" spans="1:99" ht="9.9" customHeight="1" ph="1"/>
    <row r="13" spans="1:99" s="72" customFormat="1" ht="29.25" customHeight="1" ph="1">
      <c r="B13" s="218" t="s" ph="1">
        <v>37</v>
      </c>
      <c r="C13" s="163" t="s" ph="1">
        <v>176</v>
      </c>
      <c r="D13" s="76" t="s" ph="1">
        <v>52</v>
      </c>
      <c r="E13" s="76" t="s" ph="1">
        <v>53</v>
      </c>
      <c r="F13" s="76" t="s" ph="1">
        <v>57</v>
      </c>
      <c r="G13" s="76" t="s" ph="1">
        <v>58</v>
      </c>
      <c r="H13" s="76" t="s" ph="1">
        <v>128</v>
      </c>
      <c r="I13" s="76" t="s" ph="1">
        <v>59</v>
      </c>
      <c r="J13" s="76" t="s" ph="1">
        <v>129</v>
      </c>
      <c r="K13" s="76" t="s" ph="1">
        <v>55</v>
      </c>
      <c r="L13" s="76" t="s" ph="1">
        <v>60</v>
      </c>
      <c r="M13" s="76" t="s" ph="1">
        <v>61</v>
      </c>
      <c r="N13" s="76" t="s" ph="1">
        <v>130</v>
      </c>
      <c r="O13" s="76" t="s" ph="1">
        <v>56</v>
      </c>
      <c r="P13" s="76" t="s" ph="1">
        <v>62</v>
      </c>
      <c r="Q13" s="76" t="s" ph="1">
        <v>63</v>
      </c>
      <c r="R13" s="76" t="s" ph="1">
        <v>64</v>
      </c>
      <c r="S13" s="76" t="s" ph="1">
        <v>65</v>
      </c>
      <c r="T13" s="76" t="s" ph="1">
        <v>66</v>
      </c>
      <c r="U13" s="76" t="s" ph="1">
        <v>67</v>
      </c>
      <c r="V13" s="76" t="s" ph="1">
        <v>131</v>
      </c>
      <c r="W13" s="76" t="s" ph="1">
        <v>132</v>
      </c>
      <c r="X13" s="76" t="s" ph="1">
        <v>133</v>
      </c>
      <c r="Y13" s="105" t="s" ph="1">
        <v>68</v>
      </c>
      <c r="Z13" s="76" t="s" ph="1">
        <v>74</v>
      </c>
      <c r="AA13" s="76" t="s" ph="1">
        <v>134</v>
      </c>
      <c r="AB13" s="76" t="s" ph="1">
        <v>135</v>
      </c>
      <c r="AC13" s="76" t="s" ph="1">
        <v>136</v>
      </c>
      <c r="AD13" s="76" t="s" ph="1">
        <v>137</v>
      </c>
      <c r="AE13" s="76" t="s" ph="1">
        <v>138</v>
      </c>
      <c r="AG13" s="72" t="s" ph="1">
        <v>325</v>
      </c>
      <c r="AH13" s="72" t="s" ph="1">
        <v>188</v>
      </c>
      <c r="AI13" s="72" t="s" ph="1">
        <v>189</v>
      </c>
      <c r="AJ13" s="72" t="s" ph="1">
        <v>190</v>
      </c>
      <c r="AK13" s="72" t="s" ph="1">
        <v>191</v>
      </c>
      <c r="AL13" s="72" t="s" ph="1">
        <v>192</v>
      </c>
      <c r="AM13" s="72" t="s" ph="1">
        <v>193</v>
      </c>
      <c r="AN13" s="72" t="s" ph="1">
        <v>194</v>
      </c>
      <c r="AO13" s="72" t="s" ph="1">
        <v>195</v>
      </c>
      <c r="AP13" s="72" t="s" ph="1">
        <v>196</v>
      </c>
      <c r="AQ13" s="72" t="s" ph="1">
        <v>197</v>
      </c>
      <c r="AR13" s="72" t="s" ph="1">
        <v>198</v>
      </c>
      <c r="AS13" s="72" t="s" ph="1">
        <v>199</v>
      </c>
      <c r="AT13" s="72" t="s" ph="1">
        <v>200</v>
      </c>
      <c r="AU13" s="72" t="s" ph="1">
        <v>201</v>
      </c>
      <c r="AV13" s="72" t="s" ph="1">
        <v>202</v>
      </c>
      <c r="AW13" s="72" t="s" ph="1">
        <v>203</v>
      </c>
      <c r="AX13" s="72" t="s" ph="1">
        <v>204</v>
      </c>
      <c r="AY13" s="72" t="s" ph="1">
        <v>326</v>
      </c>
      <c r="AZ13" s="72" t="s" ph="1">
        <v>205</v>
      </c>
      <c r="BA13" s="72" t="s" ph="1">
        <v>206</v>
      </c>
      <c r="BB13" s="72" t="s" ph="1">
        <v>591</v>
      </c>
      <c r="BC13" s="72" t="s" ph="1">
        <v>207</v>
      </c>
      <c r="BD13" s="72" t="s" ph="1">
        <v>327</v>
      </c>
      <c r="BE13" s="72" t="s" ph="1">
        <v>328</v>
      </c>
      <c r="BF13" s="72" t="s" ph="1">
        <v>329</v>
      </c>
      <c r="BG13" s="72" t="s" ph="1">
        <v>330</v>
      </c>
      <c r="BH13" s="72" t="s" ph="1">
        <v>331</v>
      </c>
    </row>
    <row r="14" spans="1:99" s="72" customFormat="1" ht="24" ph="1">
      <c r="B14" s="219" ph="1"/>
      <c r="C14" s="67" t="s" ph="1">
        <v>36</v>
      </c>
      <c r="D14" s="77" t="s" ph="1">
        <v>616</v>
      </c>
      <c r="E14" s="77" t="s" ph="1">
        <v>616</v>
      </c>
      <c r="F14" s="144" t="s" ph="1">
        <v>636</v>
      </c>
      <c r="G14" s="77" t="s" ph="1">
        <v>617</v>
      </c>
      <c r="H14" s="77" t="s" ph="1">
        <v>637</v>
      </c>
      <c r="I14" s="138" t="s" ph="1">
        <v>618</v>
      </c>
      <c r="J14" s="77" t="s" ph="1">
        <v>619</v>
      </c>
      <c r="K14" s="77" t="s" ph="1">
        <v>186</v>
      </c>
      <c r="L14" s="77" t="s" ph="1">
        <v>41</v>
      </c>
      <c r="M14" s="104" t="s" ph="1">
        <v>620</v>
      </c>
      <c r="N14" s="104" t="s" ph="1">
        <v>621</v>
      </c>
      <c r="O14" s="104" t="s" ph="1">
        <v>639</v>
      </c>
      <c r="P14" s="77" t="s" ph="1">
        <v>622</v>
      </c>
      <c r="Q14" s="77" t="s" ph="1">
        <v>622</v>
      </c>
      <c r="R14" s="88" t="s" ph="1">
        <v>7</v>
      </c>
      <c r="S14" s="77" t="s" ph="1">
        <v>622</v>
      </c>
      <c r="T14" s="77" t="s" ph="1">
        <v>624</v>
      </c>
      <c r="U14" s="77" t="s" ph="1">
        <v>605</v>
      </c>
      <c r="V14" s="77" t="s" ph="1">
        <v>633</v>
      </c>
      <c r="W14" s="77" t="s" ph="1">
        <v>622</v>
      </c>
      <c r="X14" s="77" t="s" ph="1">
        <v>625</v>
      </c>
      <c r="Y14" s="143" t="s" ph="1">
        <v>0</v>
      </c>
      <c r="Z14" s="77" t="s" ph="1">
        <v>54</v>
      </c>
      <c r="AA14" s="77" t="s" ph="1">
        <v>613</v>
      </c>
      <c r="AB14" s="77" t="s" ph="1">
        <v>632</v>
      </c>
      <c r="AC14" s="77" t="s" ph="1">
        <v>632</v>
      </c>
      <c r="AD14" s="77" t="s" ph="1">
        <v>612</v>
      </c>
      <c r="AE14" s="77" t="s" ph="1">
        <v>612</v>
      </c>
      <c r="AG14" s="72" t="s" ph="1">
        <v>208</v>
      </c>
      <c r="AI14" s="72" t="s" ph="1">
        <v>209</v>
      </c>
      <c r="AJ14" s="72" t="s" ph="1">
        <v>332</v>
      </c>
      <c r="AK14" s="72" t="s" ph="1">
        <v>210</v>
      </c>
      <c r="AM14" s="72" t="s" ph="1">
        <v>212</v>
      </c>
      <c r="AN14" s="72" t="s" ph="1">
        <v>210</v>
      </c>
      <c r="AO14" s="72" t="s" ph="1">
        <v>211</v>
      </c>
      <c r="AP14" s="72" t="s" ph="1">
        <v>212</v>
      </c>
      <c r="AQ14" s="72" t="s" ph="1">
        <v>210</v>
      </c>
      <c r="AR14" s="72" t="s" ph="1">
        <v>211</v>
      </c>
      <c r="AS14" s="72" t="s" ph="1">
        <v>212</v>
      </c>
      <c r="AT14" s="72" t="s" ph="1">
        <v>210</v>
      </c>
      <c r="AU14" s="72" t="s" ph="1">
        <v>211</v>
      </c>
      <c r="AV14" s="72" t="s" ph="1">
        <v>212</v>
      </c>
      <c r="AW14" s="72" t="s" ph="1">
        <v>210</v>
      </c>
      <c r="AX14" s="72" t="s" ph="1">
        <v>211</v>
      </c>
      <c r="AY14" s="72" t="s" ph="1">
        <v>212</v>
      </c>
      <c r="AZ14" s="72" t="s" ph="1">
        <v>211</v>
      </c>
    </row>
    <row r="15" spans="1:99" ph="1">
      <c r="B15" s="220" ph="1">
        <v>0.33333333333333331</v>
      </c>
      <c r="C15" s="163" t="s" ph="1">
        <v>177</v>
      </c>
      <c r="D15" s="78">
        <v>2290</v>
      </c>
      <c r="E15" s="78">
        <v>63</v>
      </c>
      <c r="F15" s="78">
        <v>459</v>
      </c>
      <c r="G15" s="78">
        <v>3871</v>
      </c>
      <c r="H15" s="78">
        <v>4366</v>
      </c>
      <c r="I15" s="78">
        <v>3128</v>
      </c>
      <c r="J15" s="78">
        <v>4933</v>
      </c>
      <c r="K15" s="78">
        <v>4696</v>
      </c>
      <c r="L15" s="78">
        <v>6015</v>
      </c>
      <c r="M15" s="78">
        <v>4088</v>
      </c>
      <c r="N15" s="78">
        <v>552</v>
      </c>
      <c r="O15" s="78">
        <v>2500</v>
      </c>
      <c r="P15" s="78">
        <v>5276</v>
      </c>
      <c r="Q15" s="78">
        <v>6710</v>
      </c>
      <c r="R15" s="78">
        <v>0</v>
      </c>
      <c r="S15" s="78">
        <v>913</v>
      </c>
      <c r="T15" s="78">
        <v>4712</v>
      </c>
      <c r="U15" s="78">
        <v>0</v>
      </c>
      <c r="V15" s="78">
        <v>-817</v>
      </c>
      <c r="W15" s="71">
        <v>-817</v>
      </c>
      <c r="X15" s="78">
        <v>1034</v>
      </c>
      <c r="Y15" s="106">
        <v>-9909</v>
      </c>
      <c r="Z15" s="78">
        <v>0</v>
      </c>
      <c r="AA15" s="78">
        <v>2508</v>
      </c>
      <c r="AB15" s="78" ph="1">
        <v>0</v>
      </c>
      <c r="AC15" s="78" ph="1">
        <v>0</v>
      </c>
      <c r="AD15" s="78">
        <v>5.72</v>
      </c>
      <c r="AE15" s="78">
        <v>41.42</v>
      </c>
      <c r="AG15" s="64" t="s" ph="1">
        <v>214</v>
      </c>
      <c r="AH15" s="64" ph="1">
        <v>1</v>
      </c>
      <c r="AI15" s="64" t="s" ph="1">
        <v>333</v>
      </c>
      <c r="AK15" s="64" t="s" ph="1">
        <v>587</v>
      </c>
      <c r="AM15" s="64" t="s" ph="1">
        <v>335</v>
      </c>
      <c r="AZ15" s="64" t="s" ph="1">
        <v>216</v>
      </c>
      <c r="BA15" s="64" ph="1">
        <v>0</v>
      </c>
    </row>
    <row r="16" spans="1:99" s="72" customFormat="1" ht="22.2" ph="1">
      <c r="B16" s="221" ph="1"/>
      <c r="C16" s="163" t="s" ph="1">
        <v>178</v>
      </c>
      <c r="D16" s="73" ph="1">
        <f>D15*7.0686*LOOKUP(D17,密度!$A$2:$A$50,密度!$L$2:$L$50)</f>
        <v>15102.558702</v>
      </c>
      <c r="E16" s="73" ph="1">
        <f>E15*7.0686*LOOKUP(E17,密度!$A$2:$A$50,密度!$L$2:$L$50)</f>
        <v>415.9305612</v>
      </c>
      <c r="F16" s="73" ph="1">
        <f>F15*9.0746*LOOKUP(F17,密度!$A$2:$A$50,密度!$L$2:$L$50)</f>
        <v>3886.1702261999999</v>
      </c>
      <c r="G16" s="73" ph="1">
        <f>G15*9.0746*LOOKUP(G17,密度!$A$2:$A$50,密度!$B$2:$B$50)</f>
        <v>27234.565197979999</v>
      </c>
      <c r="H16" s="73" ph="1">
        <f>H15*9.0746*LOOKUP(H17,密度!$A$2:$A$50,密度!$L$2:$L$50)</f>
        <v>37084.042569600002</v>
      </c>
      <c r="I16" s="73" ph="1">
        <f>I15*9.0746*LOOKUP(I17,密度!$A$2:$A$50,密度!$U$2:$U$50)</f>
        <v>29009.826473600002</v>
      </c>
      <c r="J16" s="73" ph="1">
        <f>J15*9.0746*LOOKUP(J17,密度!$A$2:$A$50,密度!$L$2:$L$50)</f>
        <v>41720.981677600001</v>
      </c>
      <c r="K16" s="73" ph="1">
        <f>K15*9.0746*LOOKUP(K17,密度!$A$2:$A$50,密度!$C$2:$C$50)</f>
        <v>47157.008282560004</v>
      </c>
      <c r="L16" s="73" ph="1">
        <f>L15*9.0746*LOOKUP(L17,密度!$A$2:$A$50,密度!$E$2:$E$50)</f>
        <v>42444.299894399999</v>
      </c>
      <c r="M16" s="73" ph="1">
        <f>M15*9.0746*LOOKUP(M17,密度!$A$2:$A$50,密度!$M$2:$M$50)</f>
        <v>32270.64967952</v>
      </c>
      <c r="N16" s="73" ph="1">
        <f>N15*9.0746*LOOKUP(N17,密度!$A$2:$A$50,密度!$M$2:$M$50)</f>
        <v>4378.52353872</v>
      </c>
      <c r="O16" s="73" ph="1">
        <f>O15*9.0746*LOOKUP(O17,密度!$A$2:$A$50,密度!$G$2:$G$50)</f>
        <v>21658.80155</v>
      </c>
      <c r="P16" s="73" ph="1">
        <f ca="1">P15*9.0746*LOOKUP(P17,密度!$A$2:$A$51,密度!$Q$2:$Q$50)</f>
        <v>45193.093151128</v>
      </c>
      <c r="Q16" s="73" ph="1">
        <f>Q15*9.0746*LOOKUP(Q17,密度!$A$2:$A$50,密度!$Q$2:$Q$50)</f>
        <v>57439.897624780002</v>
      </c>
      <c r="R16" s="73" ph="1">
        <f>MAX(R15*9.0746*LOOKUP(R17,密度!$A$2:$A$50,密度!$B$2:$B$50),0)</f>
        <v>0</v>
      </c>
      <c r="S16" s="73" ph="1">
        <f>S15*9.0746*LOOKUP(S17,密度!$A$2:$A$50,密度!$Q$2:$Q$50)</f>
        <v>7826.2804192760004</v>
      </c>
      <c r="T16" s="73" ph="1">
        <f>T15*9.0746*LOOKUP(T17,密度!$A$2:$A$50,密度!$O$2:$O$50)</f>
        <v>39595.311075200007</v>
      </c>
      <c r="U16" s="73" ph="1">
        <f>U15*9.0746*LOOKUP(U17,密度!$A$2:$A$50,密度!$H$2:$H$50)</f>
        <v>0</v>
      </c>
      <c r="V16" s="73" ph="1">
        <f>MAX(5600*LOOKUP(V17,密度!$A$2:$A$50,密度!$Q$2:$Q$50)+V15*9.0476*LOOKUP(V17,密度!$A$2:$A$50,密度!$Q$2:$Q$50),0)</f>
        <v>0</v>
      </c>
      <c r="W16" s="73" ph="1">
        <f>MAX(5600*LOOKUP(W17,密度!$A$2:$A$50,密度!$Q$2:$Q$50)+W15*9.0476*LOOKUP(W17,密度!$A$2:$A$50,密度!$Q$2:$Q$50),0)</f>
        <v>0</v>
      </c>
      <c r="X16" s="73" ph="1">
        <f>MAX(5600*LOOKUP(X17,密度!$A$2:$A$50,密度!$I$2:$I$50)+X15*9.0476*LOOKUP(X17,密度!$A$2:$A$50,密度!$I$2:$I$50),0)</f>
        <v>15504.074915279998</v>
      </c>
      <c r="Y16" s="107" ph="1">
        <v>0</v>
      </c>
      <c r="Z16" s="73" ph="1">
        <f>Z15*9.0746*LOOKUP(Z17,密度!$A$2:$A$50,密度!$D$2:$D$50)</f>
        <v>0</v>
      </c>
      <c r="AA16" s="73" ph="1">
        <f>AA15*9.0746*LOOKUP(AA17,密度!$A$2:$A$50,密度!$B$2:$B$50)</f>
        <v>17683.8182136</v>
      </c>
      <c r="AB16" s="73" ph="1">
        <f>AB15*9.0746*LOOKUP(AB17,密度!$A$2:$A$50,密度!$L$2:$L$50)</f>
        <v>0</v>
      </c>
      <c r="AC16" s="73" ph="1">
        <f>AC15*9.0746*LOOKUP(AC17,密度!$A$2:$A$50,密度!$L$2:$L$50)</f>
        <v>0</v>
      </c>
      <c r="AD16" s="73" ph="1">
        <f>AD15*268.68*LOOKUP(AD17,密度!$A$2:$A$50,密度!B2:B50)+IF(AD15&lt;=0,0,1566*LOOKUP(AD17,密度!$A$2:$A$50,密度!B2:B50))</f>
        <v>2418.9815481599999</v>
      </c>
      <c r="AE16" s="73" ph="1">
        <f>AE15*268.68*LOOKUP(AE17,密度!$A$2:$A$50,密度!B2:B50)+IF(AE15&lt;=0,0,1566*LOOKUP(AE17,密度!$A$2:$A$50,密度!B2:B50))</f>
        <v>9896.8080777600007</v>
      </c>
      <c r="AH16" s="72" ph="1">
        <v>2</v>
      </c>
      <c r="AI16" s="72" t="s" ph="1">
        <v>337</v>
      </c>
      <c r="AZ16" s="72" t="s" ph="1">
        <v>216</v>
      </c>
      <c r="BA16" s="72" ph="1">
        <v>0</v>
      </c>
    </row>
    <row r="17" spans="1:57" ph="1">
      <c r="A17" s="64" t="s" ph="1">
        <v>73</v>
      </c>
      <c r="B17" s="222" ph="1"/>
      <c r="C17" s="79" t="s" ph="1">
        <v>179</v>
      </c>
      <c r="D17" s="74">
        <v>29</v>
      </c>
      <c r="E17" s="74">
        <v>28</v>
      </c>
      <c r="F17" s="74">
        <v>29</v>
      </c>
      <c r="G17" s="74">
        <v>30</v>
      </c>
      <c r="H17" s="74">
        <v>26</v>
      </c>
      <c r="I17" s="74">
        <v>28</v>
      </c>
      <c r="J17" s="74">
        <v>30</v>
      </c>
      <c r="K17" s="74">
        <v>28</v>
      </c>
      <c r="L17" s="74">
        <v>30</v>
      </c>
      <c r="M17" s="74">
        <v>30</v>
      </c>
      <c r="N17" s="74">
        <v>26</v>
      </c>
      <c r="O17" s="74">
        <v>30</v>
      </c>
      <c r="P17" s="74">
        <v>29</v>
      </c>
      <c r="Q17" s="74">
        <v>30</v>
      </c>
      <c r="R17" s="74">
        <v>29</v>
      </c>
      <c r="S17" s="74">
        <v>28</v>
      </c>
      <c r="T17" s="74">
        <v>28</v>
      </c>
      <c r="U17" s="74">
        <v>28</v>
      </c>
      <c r="V17" s="74">
        <v>29</v>
      </c>
      <c r="W17" s="74">
        <v>29</v>
      </c>
      <c r="X17" s="74">
        <v>30</v>
      </c>
      <c r="Y17" s="108">
        <v>30</v>
      </c>
      <c r="Z17" s="74">
        <v>28</v>
      </c>
      <c r="AA17" s="74">
        <v>28</v>
      </c>
      <c r="AB17" s="74">
        <v>28</v>
      </c>
      <c r="AC17" s="74">
        <v>27</v>
      </c>
      <c r="AD17" s="74">
        <v>25</v>
      </c>
      <c r="AE17" s="74">
        <v>25</v>
      </c>
      <c r="AH17" s="64" ph="1">
        <v>3</v>
      </c>
      <c r="AI17" s="64" t="s" ph="1">
        <v>338</v>
      </c>
      <c r="AK17" s="64" t="s" ph="1">
        <v>570</v>
      </c>
      <c r="AL17" s="64" ph="1">
        <v>80</v>
      </c>
      <c r="AM17" s="64" t="s" ph="1">
        <v>335</v>
      </c>
      <c r="AZ17" s="64" t="s" ph="1">
        <v>216</v>
      </c>
      <c r="BA17" s="64" ph="1">
        <v>80</v>
      </c>
      <c r="BD17" s="64" t="s" ph="1">
        <v>214</v>
      </c>
      <c r="BE17" s="64" ph="1">
        <v>2270</v>
      </c>
    </row>
    <row r="18" spans="1:57" ht="26.4" ph="1">
      <c r="B18" s="220" ph="1">
        <v>0.66666666666666663</v>
      </c>
      <c r="C18" s="79" t="s" ph="1">
        <v>180</v>
      </c>
      <c r="D18" s="71">
        <v>177</v>
      </c>
      <c r="E18" s="71">
        <v>2840</v>
      </c>
      <c r="F18" s="71">
        <v>458</v>
      </c>
      <c r="G18" s="71">
        <v>4000</v>
      </c>
      <c r="H18" s="71">
        <v>4367</v>
      </c>
      <c r="I18" s="71">
        <v>3129</v>
      </c>
      <c r="J18" s="71">
        <v>4936</v>
      </c>
      <c r="K18" s="71">
        <v>4709</v>
      </c>
      <c r="L18" s="71">
        <v>6020</v>
      </c>
      <c r="M18" s="71">
        <v>2738</v>
      </c>
      <c r="N18" s="71">
        <v>3914</v>
      </c>
      <c r="O18" s="71">
        <v>2500</v>
      </c>
      <c r="P18" s="71">
        <v>5280</v>
      </c>
      <c r="Q18" s="71">
        <v>5481</v>
      </c>
      <c r="R18" s="71">
        <v>0</v>
      </c>
      <c r="S18" s="71">
        <v>1013</v>
      </c>
      <c r="T18" s="71">
        <v>4215</v>
      </c>
      <c r="U18" s="71">
        <v>0</v>
      </c>
      <c r="V18" s="71">
        <v>-817</v>
      </c>
      <c r="W18" s="71">
        <v>-815</v>
      </c>
      <c r="X18" s="71">
        <v>1032</v>
      </c>
      <c r="Y18" s="109">
        <v>-9909</v>
      </c>
      <c r="Z18" s="71">
        <v>0</v>
      </c>
      <c r="AA18" s="71">
        <v>2509</v>
      </c>
      <c r="AB18" s="71">
        <v>0</v>
      </c>
      <c r="AC18" s="71">
        <v>0</v>
      </c>
      <c r="AD18" s="71">
        <v>11.22</v>
      </c>
      <c r="AE18" s="71">
        <v>84.71</v>
      </c>
      <c r="AH18" s="64" ph="1">
        <v>4</v>
      </c>
      <c r="AI18" s="64" t="s" ph="1">
        <v>340</v>
      </c>
      <c r="AJ18" s="64" t="s" ph="1">
        <v>588</v>
      </c>
      <c r="AK18" s="64" t="s" ph="1">
        <v>587</v>
      </c>
      <c r="AL18" s="64" ph="1">
        <v>740</v>
      </c>
      <c r="AM18" s="64" t="s" ph="1">
        <v>339</v>
      </c>
      <c r="AZ18" s="64" t="s" ph="1">
        <v>216</v>
      </c>
      <c r="BA18" s="64" ph="1">
        <v>740</v>
      </c>
    </row>
    <row r="19" spans="1:57" s="72" customFormat="1" ht="22.2" ph="1">
      <c r="B19" s="221" ph="1"/>
      <c r="C19" s="163" t="s" ph="1">
        <v>178</v>
      </c>
      <c r="D19" s="73" ph="1">
        <f>D18*7.0686*LOOKUP(D20,密度!$A$2:$A$50,密度!$L$2:$L$50)</f>
        <v>1166.0645304</v>
      </c>
      <c r="E19" s="73" ph="1">
        <f>E18*7.0686*LOOKUP(E20,密度!$A$2:$A$50,密度!$L$2:$L$50)</f>
        <v>18689.661144000002</v>
      </c>
      <c r="F19" s="73" ph="1">
        <f>F18*9.0746*LOOKUP(F20,密度!$A$2:$A$50,密度!$L$2:$L$50)</f>
        <v>3856.9227903999999</v>
      </c>
      <c r="G19" s="73" ph="1">
        <f>G18*9.0746*LOOKUP(G20,密度!$A$2:$A$50,密度!$B$2:$B$50)</f>
        <v>28142.149519999999</v>
      </c>
      <c r="H19" s="73" ph="1">
        <f>H18*9.0746*LOOKUP(H20,密度!$A$2:$A$50,密度!$L$2:$L$50)</f>
        <v>37052.907617000004</v>
      </c>
      <c r="I19" s="73" ph="1">
        <f>I18*9.0746*LOOKUP(I20,密度!$A$2:$A$50,密度!$U$2:$U$50)</f>
        <v>28877.128597799998</v>
      </c>
      <c r="J19" s="73" ph="1">
        <f>J18*9.0746*LOOKUP(J20,密度!$A$2:$A$50,密度!$L$2:$L$50)</f>
        <v>41656.769807999997</v>
      </c>
      <c r="K19" s="73" ph="1">
        <f>K18*9.0746*LOOKUP(K20,密度!$A$2:$A$50,密度!$C$2:$C$50)</f>
        <v>47223.455226140002</v>
      </c>
      <c r="L19" s="73" ph="1">
        <f>L18*9.0746*LOOKUP(L20,密度!$A$2:$A$50,密度!$E$2:$E$50)</f>
        <v>42479.581939199998</v>
      </c>
      <c r="M19" s="73" ph="1">
        <f>M18*9.0746*LOOKUP(M20,密度!$A$2:$A$50,密度!$M$2:$M$50)</f>
        <v>21509.899705455999</v>
      </c>
      <c r="N19" s="73" ph="1">
        <f>N18*9.0746*LOOKUP(N20,密度!$A$2:$A$50,密度!$M$2:$M$50)</f>
        <v>30936.164412400001</v>
      </c>
      <c r="O19" s="73" ph="1">
        <f>O18*9.0746*LOOKUP(O20,密度!$A$2:$A$50,密度!$G$2:$G$50)</f>
        <v>21612.067360000001</v>
      </c>
      <c r="P19" s="73" ph="1">
        <f ca="1">P18*9.0746*LOOKUP(P20,密度!$A$2:$A$51,密度!$Q$2:$Q$50)</f>
        <v>45198.607967039999</v>
      </c>
      <c r="Q19" s="73" ph="1">
        <f>Q18*9.0746*LOOKUP(Q20,密度!$A$2:$A$50,密度!$Q$2:$Q$50)</f>
        <v>46848.111620939999</v>
      </c>
      <c r="R19" s="73" ph="1">
        <f>MAX(R18*9.0746*LOOKUP(R20,密度!$A$2:$A$50,密度!$B$2:$B$50),0)</f>
        <v>0</v>
      </c>
      <c r="S19" s="73" ph="1">
        <f>S18*9.0746*LOOKUP(S20,密度!$A$2:$A$50,密度!$Q$2:$Q$50)</f>
        <v>8652.5063242500019</v>
      </c>
      <c r="T19" s="73" ph="1">
        <f>T18*9.0746*LOOKUP(T20,密度!$A$2:$A$50,密度!$O$2:$O$50)</f>
        <v>35235.383206799997</v>
      </c>
      <c r="U19" s="73" ph="1">
        <f>U18*9.0746*LOOKUP(U20,密度!$A$2:$A$50,密度!$H$2:$H$50)</f>
        <v>0</v>
      </c>
      <c r="V19" s="73" ph="1">
        <f>MAX(5600*LOOKUP(V20,密度!$A$2:$A$50,密度!$Q$2:$Q$50)+V18*9.0476*LOOKUP(V20,密度!$A$2:$A$50,密度!$Q$2:$Q$50),0)</f>
        <v>0</v>
      </c>
      <c r="W19" s="73" ph="1">
        <f>MAX(5600*LOOKUP(W20,密度!$A$2:$A$50,密度!$Q$2:$Q$50)+W18*9.0476*LOOKUP(W20,密度!$A$2:$A$50,密度!$Q$2:$Q$50),0)</f>
        <v>0</v>
      </c>
      <c r="X19" s="73" ph="1">
        <f>MAX(5600*LOOKUP(X20,密度!$A$2:$A$50,密度!$I$2:$I$50)+X18*9.0476*LOOKUP(X20,密度!$A$2:$A$50,密度!$I$2:$I$50),0)</f>
        <v>15452.453950399999</v>
      </c>
      <c r="Y19" s="73" ph="1">
        <f>MAX(5600*LOOKUP(Y20,密度!$A$2:$A$50,密度!$I$2:$I$50)+Y18*9.0476*LOOKUP(Y20,密度!$A$2:$A$50,密度!$I$2:$I$50),0)</f>
        <v>0</v>
      </c>
      <c r="Z19" s="73" ph="1">
        <f>Z18*9.0746*LOOKUP(Z20,密度!$A$2:$A$50,密度!$D$2:$D$50)</f>
        <v>0</v>
      </c>
      <c r="AA19" s="73" ph="1">
        <f>AA18*9.0746*LOOKUP(AA20,密度!$A$2:$A$50,密度!$B$2:$B$50)</f>
        <v>17592.96604078</v>
      </c>
      <c r="AB19" s="73" ph="1">
        <f>AB18*9.0746*LOOKUP(AB20,密度!$A$2:$A$50,密度!$L$2:$L$50)</f>
        <v>0</v>
      </c>
      <c r="AC19" s="73" ph="1">
        <f>AC18*9.0746*LOOKUP(AC20,密度!$A$2:$A$50,密度!$L$2:$L$50)</f>
        <v>0</v>
      </c>
      <c r="AD19" s="73" ph="1">
        <f>AD18*268.68*LOOKUP(AD20,密度!$A$2:$A$50,密度!B5:B53)+IF(AD18&lt;=0,0,1566*LOOKUP(AD20,密度!$A$2:$A$50,密度!B5:B53))</f>
        <v>3559.1181192000004</v>
      </c>
      <c r="AE19" s="73" ph="1">
        <f>AE18*268.68*LOOKUP(AE20,密度!$A$2:$A$50,密度!B5:B53)+IF(AE18&lt;=0,0,1566*LOOKUP(AE20,密度!$A$2:$A$50,密度!B5:B53))</f>
        <v>18901.2109356</v>
      </c>
      <c r="AH19" s="72" ph="1">
        <v>5</v>
      </c>
      <c r="AI19" s="72" t="s" ph="1">
        <v>341</v>
      </c>
      <c r="AZ19" s="72" t="s" ph="1">
        <v>216</v>
      </c>
      <c r="BA19" s="72" ph="1">
        <v>0</v>
      </c>
      <c r="BD19" s="72" t="s" ph="1">
        <v>342</v>
      </c>
      <c r="BE19" s="72" ph="1">
        <v>1440</v>
      </c>
    </row>
    <row r="20" spans="1:57" ph="1">
      <c r="A20" s="72" ph="1"/>
      <c r="B20" s="221" ph="1"/>
      <c r="C20" s="80" t="s" ph="1">
        <v>179</v>
      </c>
      <c r="D20" s="81">
        <v>30</v>
      </c>
      <c r="E20" s="81">
        <v>31</v>
      </c>
      <c r="F20" s="81">
        <v>34</v>
      </c>
      <c r="G20" s="81">
        <v>30</v>
      </c>
      <c r="H20" s="81">
        <v>27</v>
      </c>
      <c r="I20" s="81">
        <v>33</v>
      </c>
      <c r="J20" s="81">
        <v>32</v>
      </c>
      <c r="K20" s="81">
        <v>30</v>
      </c>
      <c r="L20" s="81">
        <v>30</v>
      </c>
      <c r="M20" s="81">
        <v>34</v>
      </c>
      <c r="N20" s="81">
        <v>29</v>
      </c>
      <c r="O20" s="81">
        <v>32</v>
      </c>
      <c r="P20" s="81">
        <v>30</v>
      </c>
      <c r="Q20" s="81">
        <v>32</v>
      </c>
      <c r="R20" s="81">
        <v>34</v>
      </c>
      <c r="S20" s="81">
        <v>33</v>
      </c>
      <c r="T20" s="81">
        <v>33</v>
      </c>
      <c r="U20" s="81">
        <v>32</v>
      </c>
      <c r="V20" s="81">
        <v>33</v>
      </c>
      <c r="W20" s="81">
        <v>34</v>
      </c>
      <c r="X20" s="81">
        <v>32</v>
      </c>
      <c r="Y20" s="110">
        <v>32</v>
      </c>
      <c r="Z20" s="81">
        <v>32</v>
      </c>
      <c r="AA20" s="81">
        <v>33</v>
      </c>
      <c r="AB20" s="81">
        <v>32</v>
      </c>
      <c r="AC20" s="81">
        <v>32</v>
      </c>
      <c r="AD20" s="81">
        <v>25</v>
      </c>
      <c r="AE20" s="81">
        <v>25</v>
      </c>
      <c r="AF20" s="64" t="s" ph="1">
        <v>35</v>
      </c>
      <c r="AH20" s="64" ph="1">
        <v>6</v>
      </c>
      <c r="AI20" s="64" t="s" ph="1">
        <v>343</v>
      </c>
      <c r="AZ20" s="64" t="s" ph="1">
        <v>216</v>
      </c>
      <c r="BA20" s="64" ph="1">
        <v>0</v>
      </c>
    </row>
    <row r="21" spans="1:57" ph="1">
      <c r="A21" s="72" ph="1"/>
      <c r="B21" s="82" ph="1"/>
      <c r="C21" s="83" ph="1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  <c r="S21" s="84"/>
      <c r="T21" s="84"/>
      <c r="U21" s="84"/>
      <c r="V21" s="84"/>
      <c r="W21" s="84"/>
      <c r="X21" s="84"/>
      <c r="Y21" s="84"/>
      <c r="Z21" s="84"/>
      <c r="AA21" s="84"/>
      <c r="AB21" s="84"/>
      <c r="AC21" s="84"/>
      <c r="AD21" s="84"/>
      <c r="AE21" s="84"/>
      <c r="AH21" s="64" ph="1">
        <v>7</v>
      </c>
      <c r="AI21" s="64" t="s" ph="1">
        <v>344</v>
      </c>
      <c r="AZ21" s="64" t="s" ph="1">
        <v>216</v>
      </c>
      <c r="BA21" s="64" ph="1">
        <v>0</v>
      </c>
      <c r="BD21" s="64" t="s" ph="1">
        <v>232</v>
      </c>
      <c r="BE21" s="64" ph="1">
        <v>730</v>
      </c>
    </row>
    <row r="22" spans="1:57" ph="1">
      <c r="A22" s="72" ph="1"/>
      <c r="B22" s="219" t="s" ph="1">
        <v>37</v>
      </c>
      <c r="C22" s="85" t="s" ph="1">
        <v>176</v>
      </c>
      <c r="D22" s="86" t="s" ph="1">
        <v>86</v>
      </c>
      <c r="E22" s="86" t="s" ph="1">
        <v>87</v>
      </c>
      <c r="F22" s="86" t="s" ph="1">
        <v>88</v>
      </c>
      <c r="G22" s="86" t="s" ph="1">
        <v>89</v>
      </c>
      <c r="H22" s="86" t="s" ph="1">
        <v>90</v>
      </c>
      <c r="I22" s="86" t="s" ph="1">
        <v>91</v>
      </c>
      <c r="J22" s="86" t="s" ph="1">
        <v>92</v>
      </c>
      <c r="K22" s="86" t="s" ph="1">
        <v>93</v>
      </c>
      <c r="L22" s="86" t="s" ph="1">
        <v>94</v>
      </c>
      <c r="M22" s="86" t="s" ph="1">
        <v>95</v>
      </c>
      <c r="N22" s="86" t="s" ph="1">
        <v>96</v>
      </c>
      <c r="O22" s="86" t="s" ph="1">
        <v>97</v>
      </c>
      <c r="P22" s="86" t="s" ph="1">
        <v>98</v>
      </c>
      <c r="Q22" s="87" t="s" ph="1">
        <v>99</v>
      </c>
      <c r="R22" s="86" t="s" ph="1">
        <v>100</v>
      </c>
      <c r="S22" s="86" t="s" ph="1">
        <v>101</v>
      </c>
      <c r="T22" s="86" t="s" ph="1">
        <v>102</v>
      </c>
      <c r="U22" s="86" t="s" ph="1">
        <v>103</v>
      </c>
      <c r="V22" s="86" t="s" ph="1">
        <v>104</v>
      </c>
      <c r="W22" s="86" t="s" ph="1">
        <v>105</v>
      </c>
      <c r="X22" s="86" t="s" ph="1">
        <v>106</v>
      </c>
      <c r="Y22" s="86" t="s" ph="1">
        <v>108</v>
      </c>
      <c r="Z22" s="229" t="s" ph="1">
        <v>69</v>
      </c>
      <c r="AA22" s="230"/>
      <c r="AB22" s="230"/>
      <c r="AC22" s="230"/>
      <c r="AD22" s="230"/>
      <c r="AE22" s="231"/>
      <c r="AH22" s="64" ph="1">
        <v>8</v>
      </c>
      <c r="AI22" s="64" t="s" ph="1">
        <v>345</v>
      </c>
      <c r="AZ22" s="64" t="s" ph="1">
        <v>216</v>
      </c>
      <c r="BA22" s="64" ph="1">
        <v>0</v>
      </c>
    </row>
    <row r="23" spans="1:57" ph="1">
      <c r="A23" s="72" ph="1"/>
      <c r="B23" s="223" ph="1"/>
      <c r="C23" s="67" t="s" ph="1">
        <v>36</v>
      </c>
      <c r="D23" s="88" t="s" ph="1">
        <v>109</v>
      </c>
      <c r="E23" s="88" t="s" ph="1">
        <v>107</v>
      </c>
      <c r="F23" s="88" t="s" ph="1">
        <v>109</v>
      </c>
      <c r="G23" s="88" t="s" ph="1">
        <v>626</v>
      </c>
      <c r="H23" s="88" t="s" ph="1">
        <v>626</v>
      </c>
      <c r="I23" s="88" t="s" ph="1">
        <v>627</v>
      </c>
      <c r="J23" s="88" t="s" ph="1">
        <v>628</v>
      </c>
      <c r="K23" s="88" t="s" ph="1">
        <v>628</v>
      </c>
      <c r="L23" s="88" t="s" ph="1">
        <v>628</v>
      </c>
      <c r="M23" s="88" t="s" ph="1">
        <v>623</v>
      </c>
      <c r="N23" s="88" t="s" ph="1">
        <v>623</v>
      </c>
      <c r="O23" s="88" t="s" ph="1">
        <v>610</v>
      </c>
      <c r="P23" s="88" t="s" ph="1">
        <v>629</v>
      </c>
      <c r="Q23" s="89" t="s" ph="1">
        <v>629</v>
      </c>
      <c r="R23" s="88" t="s" ph="1">
        <v>610</v>
      </c>
      <c r="S23" s="88" t="s" ph="1">
        <v>629</v>
      </c>
      <c r="T23" s="88" t="s" ph="1">
        <v>604</v>
      </c>
      <c r="U23" s="104" t="s" ph="1">
        <v>606</v>
      </c>
      <c r="V23" s="88" t="s" ph="1">
        <v>629</v>
      </c>
      <c r="W23" s="88" t="s" ph="1">
        <v>629</v>
      </c>
      <c r="X23" s="88" t="s" ph="1">
        <v>187</v>
      </c>
      <c r="Y23" s="88" t="s" ph="1">
        <v>630</v>
      </c>
      <c r="Z23" s="232" t="s" ph="1">
        <v>642</v>
      </c>
      <c r="AA23" s="233"/>
      <c r="AB23" s="233"/>
      <c r="AC23" s="233"/>
      <c r="AD23" s="233"/>
      <c r="AE23" s="234"/>
      <c r="AH23" s="64" ph="1">
        <v>9</v>
      </c>
      <c r="AI23" s="64" t="s" ph="1">
        <v>346</v>
      </c>
      <c r="AZ23" s="64" t="s" ph="1">
        <v>216</v>
      </c>
      <c r="BA23" s="64" ph="1">
        <v>0</v>
      </c>
      <c r="BD23" s="64" t="s" ph="1">
        <v>238</v>
      </c>
      <c r="BE23" s="64" ph="1">
        <v>890</v>
      </c>
    </row>
    <row r="24" spans="1:57" ph="1">
      <c r="A24" s="72" ph="1"/>
      <c r="B24" s="241" ph="1">
        <v>0.33333333333333331</v>
      </c>
      <c r="C24" s="163" t="s" ph="1">
        <v>177</v>
      </c>
      <c r="D24" s="71">
        <v>2.73</v>
      </c>
      <c r="E24" s="71">
        <v>5.81</v>
      </c>
      <c r="F24" s="71">
        <v>542</v>
      </c>
      <c r="G24" s="71">
        <v>3920</v>
      </c>
      <c r="H24" s="71">
        <v>3271</v>
      </c>
      <c r="I24" s="71">
        <v>2756</v>
      </c>
      <c r="J24" s="71">
        <v>306</v>
      </c>
      <c r="K24" s="71">
        <v>303</v>
      </c>
      <c r="L24" s="71">
        <v>302</v>
      </c>
      <c r="M24" s="71">
        <v>327</v>
      </c>
      <c r="N24" s="71">
        <v>320</v>
      </c>
      <c r="O24" s="71">
        <v>343</v>
      </c>
      <c r="P24" s="71">
        <v>374</v>
      </c>
      <c r="Q24" s="90">
        <v>2348</v>
      </c>
      <c r="R24" s="71">
        <v>350</v>
      </c>
      <c r="S24" s="71">
        <v>3225</v>
      </c>
      <c r="T24" s="71">
        <v>402</v>
      </c>
      <c r="U24" s="71">
        <v>3934</v>
      </c>
      <c r="V24" s="71">
        <v>741</v>
      </c>
      <c r="W24" s="71">
        <v>3310</v>
      </c>
      <c r="X24" s="71">
        <v>4165</v>
      </c>
      <c r="Y24" s="71">
        <v>1766</v>
      </c>
      <c r="Z24" s="235"/>
      <c r="AA24" s="236"/>
      <c r="AB24" s="236"/>
      <c r="AC24" s="236"/>
      <c r="AD24" s="236"/>
      <c r="AE24" s="237"/>
      <c r="AH24" s="64" ph="1">
        <v>10</v>
      </c>
      <c r="AI24" s="64" t="s" ph="1">
        <v>347</v>
      </c>
      <c r="AZ24" s="64" t="s" ph="1">
        <v>216</v>
      </c>
      <c r="BA24" s="64" ph="1">
        <v>0</v>
      </c>
    </row>
    <row r="25" spans="1:57" ph="1">
      <c r="A25" s="72" ph="1"/>
      <c r="B25" s="241" ph="1"/>
      <c r="C25" s="68" t="s" ph="1">
        <v>178</v>
      </c>
      <c r="D25" s="91" ph="1">
        <f>D24*268.68*LOOKUP(D26,密度!$A$2:$A$50,密度!$Q$2:$Q$50)+IF(D24&lt;=0,0,1566*LOOKUP(D26,密度!$A$2:$A$50,密度!$Q$2:$Q$50))</f>
        <v>2177.0252217359998</v>
      </c>
      <c r="E25" s="91" ph="1">
        <f>E24*268.68*LOOKUP(E26,密度!$A$2:$A$50,密度!$C$2:$C$50)+IF(E24&lt;=0,0,1566*LOOKUP(E26,密度!$A$2:$A$50,密度!$C$2:$C$50))</f>
        <v>3467.5644541199999</v>
      </c>
      <c r="F25" s="91" ph="1">
        <f>F24*11.702*LOOKUP(F26,密度!$A$2:$A$50,密度!$Q$2:$Q$50)</f>
        <v>5995.6769748800007</v>
      </c>
      <c r="G25" s="91" ph="1">
        <f>G24*18.322*LOOKUP(G26,密度!$A$2:$A$50,密度!$B$2:$B$50)</f>
        <v>55805.880479999993</v>
      </c>
      <c r="H25" s="91" ph="1">
        <f>H24*18.322*LOOKUP(H26,密度!$A$2:$A$50,密度!$B$2:$B$50)</f>
        <v>46620.528709799997</v>
      </c>
      <c r="I25" s="91" ph="1">
        <f>I24*18.322*LOOKUP(I26,密度!$A$2:$A$50,密度!$Q$2:$Q$50)</f>
        <v>47770.193534960003</v>
      </c>
      <c r="J25" s="91" ph="1">
        <f>J24*18.322*LOOKUP(J26,密度!$A$2:$A$50,密度!$Q$2:$Q$50)</f>
        <v>5299.9668302400005</v>
      </c>
      <c r="K25" s="91" ph="1">
        <f>K24*18.322*LOOKUP(K26,密度!$A$2:$A$50,密度!$Q$2:$Q$50)</f>
        <v>5248.00637112</v>
      </c>
      <c r="L25" s="91" ph="1">
        <f>L24*18.322*LOOKUP(L26,密度!$A$2:$A$50,密度!$Q$2:$Q$50)</f>
        <v>5234.6148213199995</v>
      </c>
      <c r="M25" s="91" ph="1">
        <f>M24*18.322*LOOKUP(M26,密度!$A$2:$A$50,密度!$Q$2:$Q$50)</f>
        <v>5659.4961382800002</v>
      </c>
      <c r="N25" s="91" ph="1">
        <f>N24*18.322*LOOKUP(N26,密度!$A$2:$A$50,密度!$Q$2:$Q$50)</f>
        <v>5542.4489727999999</v>
      </c>
      <c r="O25" s="91" ph="1">
        <f>O24*18.322*LOOKUP(O26,密度!$A$2:$A$50,密度!$C$2:$C$50)</f>
        <v>6963.7946126000006</v>
      </c>
      <c r="P25" s="91" ph="1">
        <f>P24*11.702*LOOKUP(P26,密度!$A$2:$A$50,密度!$B$2:$B$50)</f>
        <v>3404.5166892000002</v>
      </c>
      <c r="Q25" s="92" ph="1">
        <f>Q24*18.322*LOOKUP(Q26,密度!$A$2:$A$50,密度!$B$2:$B$50)</f>
        <v>33465.301562399996</v>
      </c>
      <c r="R25" s="91" ph="1">
        <f>R24*35.891*LOOKUP(R26,密度!$A$2:$A$50,密度!$C$2:$C$50)</f>
        <v>13900.943209999999</v>
      </c>
      <c r="S25" s="91" ph="1">
        <f>S24*35.891*LOOKUP(S26,密度!$A$2:$A$50,密度!$B$2:$B$50)</f>
        <v>89936.565074999991</v>
      </c>
      <c r="T25" s="91" ph="1">
        <f>T24*35.891*LOOKUP(T26,密度!$A$2:$A$50,密度!$Q$2:$Q$50)</f>
        <v>13639.24900824</v>
      </c>
      <c r="U25" s="91" ph="1">
        <f>U24*35.891</f>
        <v>141195.19399999999</v>
      </c>
      <c r="V25" s="91" ph="1">
        <f>V24*47.051*LOOKUP(V26,密度!$A$2:$A$50,密度!$B$2:$B$50)</f>
        <v>27089.942607000005</v>
      </c>
      <c r="W25" s="91" ph="1">
        <f>W24*47.051*LOOKUP(W26,密度!$A$2:$A$50,密度!$B$2:$B$50)</f>
        <v>120884.464322</v>
      </c>
      <c r="X25" s="91" ph="1">
        <f>X24*47.051*LOOKUP(X26,密度!$A$2:$A$61,密度!$I$2:$I$61)</f>
        <v>202277.56576300002</v>
      </c>
      <c r="Y25" s="91" ph="1">
        <f>Y24*47.051*LOOKUP(Y26,密度!$A$2:$A$50,密度!$L$2:$L$50)</f>
        <v>77691.081710000013</v>
      </c>
      <c r="Z25" s="235"/>
      <c r="AA25" s="236"/>
      <c r="AB25" s="236"/>
      <c r="AC25" s="236"/>
      <c r="AD25" s="236"/>
      <c r="AE25" s="237"/>
      <c r="AH25" s="64" ph="1">
        <v>11</v>
      </c>
      <c r="AI25" s="64" t="s" ph="1">
        <v>348</v>
      </c>
      <c r="AZ25" s="64" t="s" ph="1">
        <v>216</v>
      </c>
      <c r="BA25" s="64" ph="1">
        <v>0</v>
      </c>
      <c r="BD25" s="64" t="s" ph="1">
        <v>241</v>
      </c>
      <c r="BE25" s="64" ph="1">
        <v>8920</v>
      </c>
    </row>
    <row r="26" spans="1:57" ph="1">
      <c r="A26" s="72" ph="1"/>
      <c r="B26" s="241" ph="1"/>
      <c r="C26" s="68" t="s" ph="1">
        <v>179</v>
      </c>
      <c r="D26" s="74">
        <v>25</v>
      </c>
      <c r="E26" s="74">
        <v>25</v>
      </c>
      <c r="F26" s="74">
        <v>27</v>
      </c>
      <c r="G26" s="74">
        <v>28</v>
      </c>
      <c r="H26" s="74">
        <v>27</v>
      </c>
      <c r="I26" s="74">
        <v>26</v>
      </c>
      <c r="J26" s="74">
        <v>27</v>
      </c>
      <c r="K26" s="74">
        <v>27</v>
      </c>
      <c r="L26" s="74">
        <v>26</v>
      </c>
      <c r="M26" s="74">
        <v>28</v>
      </c>
      <c r="N26" s="74">
        <v>27</v>
      </c>
      <c r="O26" s="74">
        <v>26</v>
      </c>
      <c r="P26" s="74">
        <v>27</v>
      </c>
      <c r="Q26" s="93">
        <v>27</v>
      </c>
      <c r="R26" s="74">
        <v>28</v>
      </c>
      <c r="S26" s="74">
        <v>28</v>
      </c>
      <c r="T26" s="74">
        <v>27</v>
      </c>
      <c r="U26" s="74">
        <v>28</v>
      </c>
      <c r="V26" s="74">
        <v>28</v>
      </c>
      <c r="W26" s="74">
        <v>29</v>
      </c>
      <c r="X26" s="74">
        <v>34</v>
      </c>
      <c r="Y26" s="74">
        <v>27</v>
      </c>
      <c r="Z26" s="235"/>
      <c r="AA26" s="236"/>
      <c r="AB26" s="236"/>
      <c r="AC26" s="236"/>
      <c r="AD26" s="236"/>
      <c r="AE26" s="237"/>
      <c r="AH26" s="64" ph="1">
        <v>12</v>
      </c>
      <c r="AI26" s="64" t="s" ph="1">
        <v>349</v>
      </c>
      <c r="AZ26" s="64" t="s" ph="1">
        <v>216</v>
      </c>
      <c r="BA26" s="64" ph="1">
        <v>0</v>
      </c>
    </row>
    <row r="27" spans="1:57" ht="26.4" ph="1">
      <c r="A27" s="72" ph="1"/>
      <c r="B27" s="241" ph="1">
        <v>0.66666666666666663</v>
      </c>
      <c r="C27" s="163" t="s" ph="1">
        <v>180</v>
      </c>
      <c r="D27" s="71">
        <v>2.73</v>
      </c>
      <c r="E27" s="71">
        <v>5.81</v>
      </c>
      <c r="F27" s="71">
        <v>540</v>
      </c>
      <c r="G27" s="71">
        <v>3504</v>
      </c>
      <c r="H27" s="71">
        <v>2871</v>
      </c>
      <c r="I27" s="71">
        <v>1607</v>
      </c>
      <c r="J27" s="71">
        <v>302</v>
      </c>
      <c r="K27" s="71">
        <v>1411</v>
      </c>
      <c r="L27" s="71">
        <v>299</v>
      </c>
      <c r="M27" s="71">
        <v>324</v>
      </c>
      <c r="N27" s="71">
        <v>2531</v>
      </c>
      <c r="O27" s="71">
        <v>340</v>
      </c>
      <c r="P27" s="71">
        <v>372</v>
      </c>
      <c r="Q27" s="90">
        <v>2553</v>
      </c>
      <c r="R27" s="71">
        <v>348</v>
      </c>
      <c r="S27" s="71">
        <v>3222</v>
      </c>
      <c r="T27" s="71">
        <v>400</v>
      </c>
      <c r="U27" s="71">
        <v>3899</v>
      </c>
      <c r="V27" s="71">
        <v>737</v>
      </c>
      <c r="W27" s="71">
        <v>3308</v>
      </c>
      <c r="X27" s="71">
        <v>3694</v>
      </c>
      <c r="Y27" s="71">
        <v>1763</v>
      </c>
      <c r="Z27" s="235"/>
      <c r="AA27" s="236"/>
      <c r="AB27" s="236"/>
      <c r="AC27" s="236"/>
      <c r="AD27" s="236"/>
      <c r="AE27" s="237"/>
      <c r="AH27" s="64" ph="1">
        <v>13</v>
      </c>
      <c r="AI27" s="64" t="s" ph="1">
        <v>350</v>
      </c>
      <c r="AZ27" s="64" t="s" ph="1">
        <v>216</v>
      </c>
      <c r="BA27" s="64" ph="1">
        <v>0</v>
      </c>
      <c r="BD27" s="64" t="s" ph="1">
        <v>295</v>
      </c>
      <c r="BE27" s="64" ph="1">
        <v>7100</v>
      </c>
    </row>
    <row r="28" spans="1:57" ph="1">
      <c r="A28" s="72" ph="1"/>
      <c r="B28" s="241" ph="1"/>
      <c r="C28" s="163" t="s" ph="1">
        <v>178</v>
      </c>
      <c r="D28" s="91" ph="1">
        <f>D27*268.68*LOOKUP(D29,密度!$A$2:$A$50,密度!$Q$2:$Q$50)+IF(D27&lt;=0,0,1566*LOOKUP(D29,密度!$A$2:$A$50,密度!$Q$2:$Q$50))</f>
        <v>2177.0252217359998</v>
      </c>
      <c r="E28" s="91" ph="1">
        <f>E27*268.68*LOOKUP(E29,密度!$A$2:$A$50,密度!$C$2:$C$50)+IF(E27&lt;=0,0,1566*LOOKUP(E29,密度!$A$2:$A$50,密度!$C$2:$C$50))</f>
        <v>3467.5644541199999</v>
      </c>
      <c r="F28" s="91" ph="1">
        <f>F27*11.702*LOOKUP(F29,密度!$A$2:$A$50,密度!$Q$2:$Q$50)</f>
        <v>5960.9777364000001</v>
      </c>
      <c r="G28" s="91" ph="1">
        <f>G27*18.322*LOOKUP(G29,密度!$A$2:$A$50,密度!$B$2:$B$50)</f>
        <v>49716.703027199997</v>
      </c>
      <c r="H28" s="91" ph="1">
        <f>H27*18.322*LOOKUP(H29,密度!$A$2:$A$50,密度!$B$2:$B$50)</f>
        <v>40782.688788599997</v>
      </c>
      <c r="I28" s="91" ph="1">
        <f>I27*18.322*LOOKUP(I29,密度!$A$2:$A$50,密度!$Q$2:$Q$50)</f>
        <v>27732.789322599998</v>
      </c>
      <c r="J28" s="91" ph="1">
        <f>J27*18.322*LOOKUP(J29,密度!$A$2:$A$50,密度!$Q$2:$Q$50)</f>
        <v>5211.7625235999994</v>
      </c>
      <c r="K28" s="91" ph="1">
        <f>K27*18.322*LOOKUP(K29,密度!$A$2:$A$50,密度!$Q$2:$Q$50)</f>
        <v>24367.90052236</v>
      </c>
      <c r="L28" s="91" ph="1">
        <f>L27*18.322*LOOKUP(L29,密度!$A$2:$A$50,密度!$Q$2:$Q$50)</f>
        <v>5167.8239857399994</v>
      </c>
      <c r="M28" s="91" ph="1">
        <f>M27*18.322*LOOKUP(M29,密度!$A$2:$A$50,密度!$Q$2:$Q$50)</f>
        <v>5595.4640462399993</v>
      </c>
      <c r="N28" s="91" ph="1">
        <f>N27*18.322*LOOKUP(N29,密度!$A$2:$A$50,密度!$Q$2:$Q$50)</f>
        <v>43678.711745799992</v>
      </c>
      <c r="O28" s="91" ph="1">
        <f>O27*18.322*LOOKUP(O29,密度!$A$2:$A$50,密度!$C$2:$C$50)</f>
        <v>6877.9688679999999</v>
      </c>
      <c r="P28" s="91" ph="1">
        <f>P27*11.702*LOOKUP(P29,密度!$A$2:$A$50,密度!$B$2:$B$50)</f>
        <v>3374.9925432</v>
      </c>
      <c r="Q28" s="92" ph="1">
        <f>Q27*18.322*LOOKUP(Q29,密度!$A$2:$A$50,密度!$B$2:$B$50)</f>
        <v>36223.385510399996</v>
      </c>
      <c r="R28" s="91" ph="1">
        <f>R27*35.891*LOOKUP(R29,密度!$A$2:$A$50,密度!$C$2:$C$50)</f>
        <v>13802.774146799999</v>
      </c>
      <c r="S28" s="91" ph="1">
        <f>S27*35.891*LOOKUP(S29,密度!$A$2:$A$50,密度!$B$2:$B$50)</f>
        <v>89448.160346999997</v>
      </c>
      <c r="T28" s="91" ph="1">
        <f>T27*35.891*LOOKUP(T29,密度!$A$2:$A$50,密度!$Q$2:$Q$50)</f>
        <v>13532.055511999999</v>
      </c>
      <c r="U28" s="91" ph="1">
        <f>U27*35.891</f>
        <v>139939.00899999999</v>
      </c>
      <c r="V28" s="91" ph="1">
        <f>V27*47.051*LOOKUP(V29,密度!$A$2:$A$50,密度!$B$2:$B$50)</f>
        <v>26822.340044499997</v>
      </c>
      <c r="W28" s="91" ph="1">
        <f>W27*47.051*LOOKUP(W29,密度!$A$2:$A$50,密度!$B$2:$B$50)</f>
        <v>120531.26187520001</v>
      </c>
      <c r="X28" s="91" ph="1">
        <f>X27*47.051*LOOKUP(X29,密度!$A$2:$A$61,密度!$I$2:$I$61)</f>
        <v>179211.77285339998</v>
      </c>
      <c r="Y28" s="91" ph="1">
        <f>Y27*47.051*LOOKUP(Y29,密度!$A$2:$A$50,密度!$L$2:$L$50)</f>
        <v>77227.300003000011</v>
      </c>
      <c r="Z28" s="235"/>
      <c r="AA28" s="236"/>
      <c r="AB28" s="236"/>
      <c r="AC28" s="236"/>
      <c r="AD28" s="236"/>
      <c r="AE28" s="237"/>
      <c r="AH28" s="64" ph="1">
        <v>14</v>
      </c>
      <c r="AI28" s="64" t="s" ph="1">
        <v>351</v>
      </c>
      <c r="AZ28" s="64" t="s" ph="1">
        <v>216</v>
      </c>
      <c r="BA28" s="64" ph="1">
        <v>0</v>
      </c>
    </row>
    <row r="29" spans="1:57" ph="1">
      <c r="A29" s="72" ph="1"/>
      <c r="B29" s="241" ph="1"/>
      <c r="C29" s="163" t="s" ph="1">
        <v>179</v>
      </c>
      <c r="D29" s="74">
        <v>25</v>
      </c>
      <c r="E29" s="74">
        <v>25</v>
      </c>
      <c r="F29" s="74">
        <v>30</v>
      </c>
      <c r="G29" s="74">
        <v>31</v>
      </c>
      <c r="H29" s="74">
        <v>30</v>
      </c>
      <c r="I29" s="74">
        <v>32</v>
      </c>
      <c r="J29" s="74">
        <v>32</v>
      </c>
      <c r="K29" s="74">
        <v>31</v>
      </c>
      <c r="L29" s="74">
        <v>30</v>
      </c>
      <c r="M29" s="74">
        <v>31</v>
      </c>
      <c r="N29" s="74">
        <v>32</v>
      </c>
      <c r="O29" s="74">
        <v>31</v>
      </c>
      <c r="P29" s="74">
        <v>30</v>
      </c>
      <c r="Q29" s="93">
        <v>31</v>
      </c>
      <c r="R29" s="74">
        <v>30</v>
      </c>
      <c r="S29" s="74">
        <v>32</v>
      </c>
      <c r="T29" s="74">
        <v>31</v>
      </c>
      <c r="U29" s="74">
        <v>30</v>
      </c>
      <c r="V29" s="74">
        <v>32</v>
      </c>
      <c r="W29" s="74">
        <v>31</v>
      </c>
      <c r="X29" s="74">
        <v>35</v>
      </c>
      <c r="Y29" s="74">
        <v>31</v>
      </c>
      <c r="Z29" s="238"/>
      <c r="AA29" s="239"/>
      <c r="AB29" s="239"/>
      <c r="AC29" s="239"/>
      <c r="AD29" s="239"/>
      <c r="AE29" s="240"/>
      <c r="AH29" s="64" ph="1">
        <v>15</v>
      </c>
      <c r="AI29" s="64" t="s" ph="1">
        <v>352</v>
      </c>
      <c r="AZ29" s="64" t="s" ph="1">
        <v>216</v>
      </c>
      <c r="BA29" s="64" ph="1">
        <v>0</v>
      </c>
      <c r="BD29" s="64" t="s" ph="1">
        <v>353</v>
      </c>
      <c r="BE29" s="64" ph="1">
        <v>890</v>
      </c>
    </row>
    <row r="30" spans="1:57" ph="1">
      <c r="D30" s="94" ph="1"/>
      <c r="Z30" s="64" t="s" ph="1">
        <v>35</v>
      </c>
      <c r="AE30" s="95" ph="1"/>
      <c r="AH30" s="64" ph="1">
        <v>16</v>
      </c>
      <c r="AI30" s="64" t="s" ph="1">
        <v>354</v>
      </c>
      <c r="AZ30" s="64" t="s" ph="1">
        <v>216</v>
      </c>
      <c r="BA30" s="64" ph="1">
        <v>0</v>
      </c>
    </row>
    <row r="31" spans="1:57" ht="28.2" ph="1">
      <c r="A31" s="64"/>
      <c r="B31" s="224" t="s" ph="1">
        <v>35</v>
      </c>
      <c r="C31" s="225" ph="1"/>
      <c r="D31" s="228" t="s" ph="1">
        <v>9</v>
      </c>
      <c r="E31" s="203" ph="1"/>
      <c r="F31" s="204" ph="1"/>
      <c r="G31" s="228" t="s" ph="1">
        <v>18</v>
      </c>
      <c r="H31" s="203" ph="1"/>
      <c r="I31" s="204" ph="1"/>
      <c r="J31" s="202" t="s" ph="1">
        <v>1</v>
      </c>
      <c r="K31" s="203" ph="1"/>
      <c r="L31" s="204" ph="1"/>
      <c r="M31" s="202" t="s" ph="1">
        <v>7</v>
      </c>
      <c r="N31" s="203" ph="1"/>
      <c r="O31" s="204" ph="1"/>
      <c r="P31" s="202" t="s" ph="1">
        <v>41</v>
      </c>
      <c r="Q31" s="203"/>
      <c r="R31" s="204"/>
      <c r="S31" s="202" t="s" ph="1">
        <v>2</v>
      </c>
      <c r="T31" s="203"/>
      <c r="U31" s="204"/>
      <c r="V31" s="202" t="s" ph="1">
        <v>71</v>
      </c>
      <c r="W31" s="203" ph="1"/>
      <c r="X31" s="204" ph="1"/>
      <c r="Y31" s="202" t="s" ph="1">
        <v>3</v>
      </c>
      <c r="Z31" s="203" ph="1"/>
      <c r="AA31" s="204" ph="1"/>
      <c r="AB31" s="205" t="s">
        <v>42</v>
      </c>
      <c r="AC31" s="206"/>
      <c r="AD31" s="206"/>
      <c r="AE31" s="207"/>
      <c r="AH31" s="64" ph="1">
        <v>17</v>
      </c>
      <c r="AI31" s="64" t="s" ph="1">
        <v>355</v>
      </c>
      <c r="AZ31" s="64" t="s" ph="1">
        <v>216</v>
      </c>
      <c r="BA31" s="64" ph="1">
        <v>0</v>
      </c>
      <c r="BD31" s="64" t="s" ph="1">
        <v>356</v>
      </c>
      <c r="BE31" s="64" ph="1">
        <v>9310</v>
      </c>
    </row>
    <row r="32" spans="1:57" ph="1">
      <c r="A32" s="64"/>
      <c r="B32" s="226" ph="1"/>
      <c r="C32" s="227" ph="1"/>
      <c r="D32" s="96" t="s" ph="1">
        <v>4</v>
      </c>
      <c r="E32" s="163" t="s" ph="1">
        <v>5</v>
      </c>
      <c r="F32" s="164" t="s" ph="1">
        <v>43</v>
      </c>
      <c r="G32" s="97" t="s" ph="1">
        <v>4</v>
      </c>
      <c r="H32" s="163" t="s" ph="1">
        <v>5</v>
      </c>
      <c r="I32" s="164" t="s" ph="1">
        <v>43</v>
      </c>
      <c r="J32" s="97" t="s" ph="1">
        <v>4</v>
      </c>
      <c r="K32" s="163" t="s" ph="1">
        <v>5</v>
      </c>
      <c r="L32" s="164" t="s" ph="1">
        <v>43</v>
      </c>
      <c r="M32" s="97" t="s" ph="1">
        <v>4</v>
      </c>
      <c r="N32" s="163" t="s" ph="1">
        <v>5</v>
      </c>
      <c r="O32" s="164" t="s" ph="1">
        <v>43</v>
      </c>
      <c r="P32" s="97" t="s" ph="1">
        <v>4</v>
      </c>
      <c r="Q32" s="98" t="s" ph="1">
        <v>5</v>
      </c>
      <c r="R32" s="99" t="s" ph="1">
        <v>43</v>
      </c>
      <c r="S32" s="97" t="s" ph="1">
        <v>4</v>
      </c>
      <c r="T32" s="163" t="s" ph="1">
        <v>5</v>
      </c>
      <c r="U32" s="99" t="s" ph="1">
        <v>43</v>
      </c>
      <c r="V32" s="97" t="s" ph="1">
        <v>4</v>
      </c>
      <c r="W32" s="163" t="s" ph="1">
        <v>5</v>
      </c>
      <c r="X32" s="99" t="s" ph="1">
        <v>43</v>
      </c>
      <c r="Y32" s="100" t="s" ph="1">
        <v>4</v>
      </c>
      <c r="Z32" s="163" t="s" ph="1">
        <v>5</v>
      </c>
      <c r="AA32" s="164" t="s" ph="1">
        <v>43</v>
      </c>
      <c r="AB32" s="97" t="s" ph="1">
        <v>85</v>
      </c>
      <c r="AC32" s="163" t="s" ph="1">
        <v>84</v>
      </c>
      <c r="AD32" s="208" t="s" ph="1">
        <v>83</v>
      </c>
      <c r="AE32" s="209"/>
      <c r="AH32" s="64" ph="1">
        <v>18</v>
      </c>
      <c r="AI32" s="64" t="s" ph="1">
        <v>357</v>
      </c>
      <c r="AZ32" s="64" t="s" ph="1">
        <v>216</v>
      </c>
      <c r="BA32" s="64" ph="1">
        <v>0</v>
      </c>
    </row>
    <row r="33" spans="1:57" ph="1">
      <c r="A33" s="64"/>
      <c r="B33" s="210" t="s" ph="1">
        <v>181</v>
      </c>
      <c r="C33" s="211" ph="1"/>
      <c r="D33" s="190" ph="1">
        <f>AA10+AB10+Z19</f>
        <v>118022.5443502</v>
      </c>
      <c r="E33" s="190" ph="1">
        <f>M10+I10</f>
        <v>155538.48245900002</v>
      </c>
      <c r="F33" s="214" ph="1">
        <f>表格_取樣回收每月庫存表_0620更新1522252632456786910111213141516171819202123456789101112131415161718192022232424356789101112131415161718192021222345678910111213141516171819202345678910111213149101516171819222123234567891012131415161711181920212224252345678910111213133[[#This Row],[F25]]</f>
        <v>3880</v>
      </c>
      <c r="G33" s="216" ph="1">
        <f>N19</f>
        <v>30936.164412400001</v>
      </c>
      <c r="H33" s="190" ph="1">
        <f>M19</f>
        <v>21509.899705455999</v>
      </c>
      <c r="I33" s="194" ph="1">
        <v>0</v>
      </c>
      <c r="J33" s="198" ph="1">
        <f>F10+O28</f>
        <v>239831.6015512</v>
      </c>
      <c r="K33" s="190" ph="1">
        <f>O10+K10+E28+R28</f>
        <v>126990.04724652001</v>
      </c>
      <c r="L33" s="200" ph="1">
        <f>K19</f>
        <v>47223.455226140002</v>
      </c>
      <c r="M33" s="198" ph="1">
        <f>G10+H10+W28+S28+V28+E10+R19+P28+Q28</f>
        <v>534771.19961030001</v>
      </c>
      <c r="N33" s="190" ph="1">
        <f>L10+P10++G28+H28+AD19+AE19</f>
        <v>173224.24245859997</v>
      </c>
      <c r="O33" s="194" ph="1">
        <f>G19</f>
        <v>28142.149519999999</v>
      </c>
      <c r="P33" s="198" ph="1">
        <f>L19</f>
        <v>42479.581939199998</v>
      </c>
      <c r="Q33" s="190" ph="1">
        <f>J10+N10</f>
        <v>119958.97410719999</v>
      </c>
      <c r="R33" s="194" ph="1">
        <f>BE23</f>
        <v>890</v>
      </c>
      <c r="S33" s="198" ph="1">
        <f>X28</f>
        <v>179211.77285339998</v>
      </c>
      <c r="T33" s="190" ph="1">
        <f>X19</f>
        <v>15452.453950399999</v>
      </c>
      <c r="U33" s="179" ph="1">
        <f>BE21</f>
        <v>730</v>
      </c>
      <c r="V33" s="192" ph="1">
        <f ca="1">P19+Q19+S19+M28+N28+J28+D10+AC10+D19+E19+H19+J19+O19+V19+W19+K28+L28</f>
        <v>743980.62114424992</v>
      </c>
      <c r="W33" s="192" ph="1">
        <f>D28+F28+T28+I28</f>
        <v>49402.847792735993</v>
      </c>
      <c r="X33" s="194" ph="1">
        <f>BE29+BE31</f>
        <v>10200</v>
      </c>
      <c r="Y33" s="196" ph="1">
        <f>+Q10+R10+S10+T10+U10+V10+W10+X10+Y10</f>
        <v>256358.87420220001</v>
      </c>
      <c r="Z33" s="177" ph="1">
        <f>T19+U19+Y28+Z10</f>
        <v>185403.8282938</v>
      </c>
      <c r="AA33" s="179" ph="1">
        <f>BE19</f>
        <v>1440</v>
      </c>
      <c r="AB33" s="181" ph="1">
        <f>I19</f>
        <v>28877.128597799998</v>
      </c>
      <c r="AC33" s="183" ph="1">
        <f>AD10+AB19</f>
        <v>66138.624316799993</v>
      </c>
      <c r="AD33" s="185" ph="1">
        <v>0</v>
      </c>
      <c r="AE33" s="186"/>
      <c r="AH33" s="64" ph="1">
        <v>19</v>
      </c>
      <c r="AI33" s="64" t="s" ph="1">
        <v>358</v>
      </c>
      <c r="AJ33" s="64" t="s" ph="1">
        <v>592</v>
      </c>
      <c r="AK33" s="64" t="s" ph="1">
        <v>589</v>
      </c>
      <c r="AL33" s="64" ph="1">
        <v>730</v>
      </c>
      <c r="AM33" s="64" t="s" ph="1">
        <v>339</v>
      </c>
      <c r="AZ33" s="64" t="s" ph="1">
        <v>216</v>
      </c>
      <c r="BA33" s="64" ph="1">
        <v>730</v>
      </c>
      <c r="BD33" s="64" t="s" ph="1">
        <v>290</v>
      </c>
      <c r="BE33" s="64" ph="1">
        <v>3880</v>
      </c>
    </row>
    <row r="34" spans="1:57" ph="1">
      <c r="A34" s="64"/>
      <c r="B34" s="212" ph="1"/>
      <c r="C34" s="213" ph="1"/>
      <c r="D34" s="191" ph="1"/>
      <c r="E34" s="191" ph="1"/>
      <c r="F34" s="215" ph="1"/>
      <c r="G34" s="217" ph="1"/>
      <c r="H34" s="191" ph="1"/>
      <c r="I34" s="195" ph="1"/>
      <c r="J34" s="199" ph="1"/>
      <c r="K34" s="191" ph="1"/>
      <c r="L34" s="201" ph="1"/>
      <c r="M34" s="199" ph="1"/>
      <c r="N34" s="191" ph="1"/>
      <c r="O34" s="195" ph="1"/>
      <c r="P34" s="199" ph="1"/>
      <c r="Q34" s="191" ph="1"/>
      <c r="R34" s="195" ph="1"/>
      <c r="S34" s="199" ph="1"/>
      <c r="T34" s="191"/>
      <c r="U34" s="180"/>
      <c r="V34" s="193" ph="1"/>
      <c r="W34" s="193" ph="1"/>
      <c r="X34" s="195" ph="1"/>
      <c r="Y34" s="197" ph="1"/>
      <c r="Z34" s="178" ph="1"/>
      <c r="AA34" s="180" ph="1"/>
      <c r="AB34" s="182"/>
      <c r="AC34" s="184"/>
      <c r="AD34" s="187"/>
      <c r="AE34" s="188"/>
      <c r="AH34" s="64" ph="1">
        <v>20</v>
      </c>
      <c r="AI34" s="64" t="s" ph="1">
        <v>359</v>
      </c>
      <c r="AJ34" s="64" t="s" ph="1">
        <v>593</v>
      </c>
      <c r="AK34" s="64" t="s" ph="1">
        <v>589</v>
      </c>
      <c r="AL34" s="64" ph="1">
        <v>720</v>
      </c>
      <c r="AM34" s="64" t="s" ph="1">
        <v>339</v>
      </c>
      <c r="AZ34" s="64" t="s" ph="1">
        <v>216</v>
      </c>
      <c r="BA34" s="64" ph="1">
        <v>720</v>
      </c>
    </row>
    <row r="35" spans="1:57" ph="1">
      <c r="A35" s="64"/>
      <c r="AC35" s="189" t="s" ph="1">
        <v>631</v>
      </c>
      <c r="AD35" s="189"/>
      <c r="AE35" s="189"/>
      <c r="AH35" s="64" ph="1">
        <v>21</v>
      </c>
      <c r="AI35" s="64" t="s" ph="1">
        <v>360</v>
      </c>
      <c r="AZ35" s="64" t="s" ph="1">
        <v>216</v>
      </c>
      <c r="BA35" s="64" ph="1">
        <v>0</v>
      </c>
      <c r="BD35" s="64" t="s" ph="1">
        <v>361</v>
      </c>
      <c r="BE35" s="64" ph="1">
        <v>2030</v>
      </c>
    </row>
    <row r="36" spans="1:57" ht="28.2" ph="1">
      <c r="A36" s="64"/>
      <c r="B36" s="103" t="s" ph="1">
        <v>182</v>
      </c>
      <c r="I36" s="175" t="s" ph="1">
        <v>183</v>
      </c>
      <c r="J36" s="175" ph="1"/>
      <c r="K36" s="101" ph="1"/>
      <c r="P36" s="101" ph="1"/>
      <c r="R36" s="175" t="s" ph="1">
        <v>184</v>
      </c>
      <c r="S36" s="175" ph="1"/>
      <c r="Y36" s="102" ph="1"/>
      <c r="Z36" s="165" t="s" ph="1">
        <v>185</v>
      </c>
      <c r="AA36" s="165" ph="1"/>
      <c r="AB36" s="176" t="s" ph="1">
        <v>641</v>
      </c>
      <c r="AC36" s="176" ph="1"/>
      <c r="AD36" s="176" ph="1"/>
      <c r="AE36" s="176" ph="1"/>
      <c r="BA36" s="64" ph="1">
        <v>2270</v>
      </c>
    </row>
    <row r="37" spans="1:57" s="165" customFormat="1" ph="1">
      <c r="A37" s="64" ph="1"/>
      <c r="B37" s="64" ph="1"/>
      <c r="C37" s="64" ph="1"/>
      <c r="D37" s="64" ph="1"/>
      <c r="E37" s="64" ph="1"/>
      <c r="F37" s="64" ph="1"/>
      <c r="G37" s="64" ph="1"/>
      <c r="H37" s="64" ph="1"/>
      <c r="I37" s="64" ph="1"/>
      <c r="J37" s="64" ph="1"/>
      <c r="K37" s="64" ph="1"/>
      <c r="L37" s="64" ph="1"/>
      <c r="M37" s="64" ph="1"/>
      <c r="N37" s="64" ph="1"/>
      <c r="O37" s="64" ph="1"/>
      <c r="P37" s="64" ph="1"/>
      <c r="Q37" s="64" ph="1"/>
      <c r="R37" s="64" ph="1"/>
      <c r="S37" s="64" ph="1"/>
      <c r="T37" s="64" ph="1"/>
      <c r="U37" s="64" ph="1"/>
      <c r="V37" s="64" ph="1"/>
      <c r="W37" s="64" ph="1"/>
      <c r="X37" s="64" ph="1"/>
      <c r="Y37" s="64" ph="1"/>
      <c r="Z37" s="64" ph="1"/>
      <c r="AA37" s="64" ph="1"/>
      <c r="AB37" s="64" ph="1"/>
      <c r="AC37" s="64" ph="1"/>
      <c r="AD37" s="64" ph="1"/>
      <c r="AE37" s="64" ph="1"/>
      <c r="AG37" s="165" t="s" ph="1">
        <v>342</v>
      </c>
      <c r="AI37" s="165" t="s" ph="1">
        <v>209</v>
      </c>
      <c r="AJ37" s="165" t="s" ph="1">
        <v>210</v>
      </c>
      <c r="AK37" s="165" t="s" ph="1">
        <v>211</v>
      </c>
      <c r="AM37" s="165" t="s" ph="1">
        <v>210</v>
      </c>
      <c r="AN37" s="165" t="s" ph="1">
        <v>211</v>
      </c>
      <c r="AO37" s="165" t="s" ph="1">
        <v>212</v>
      </c>
      <c r="AP37" s="165" t="s" ph="1">
        <v>210</v>
      </c>
      <c r="AQ37" s="165" t="s" ph="1">
        <v>211</v>
      </c>
      <c r="AR37" s="165" t="s" ph="1">
        <v>212</v>
      </c>
      <c r="AS37" s="165" t="s" ph="1">
        <v>210</v>
      </c>
      <c r="AT37" s="165" t="s" ph="1">
        <v>211</v>
      </c>
      <c r="AU37" s="165" t="s" ph="1">
        <v>212</v>
      </c>
      <c r="AV37" s="165" t="s" ph="1">
        <v>210</v>
      </c>
      <c r="AW37" s="165" t="s" ph="1">
        <v>211</v>
      </c>
      <c r="AX37" s="165" t="s" ph="1">
        <v>212</v>
      </c>
      <c r="AY37" s="165" t="s" ph="1">
        <v>211</v>
      </c>
      <c r="AZ37" s="165" t="s" ph="1">
        <v>213</v>
      </c>
      <c r="BD37" s="165" t="s" ph="1">
        <v>305</v>
      </c>
      <c r="BE37" s="165" ph="1">
        <v>0</v>
      </c>
    </row>
    <row r="38" spans="1:57" ph="1">
      <c r="AE38" s="64" ph="1"/>
      <c r="AH38" s="64" ph="1">
        <v>1</v>
      </c>
      <c r="AI38" s="64" t="s" ph="1">
        <v>362</v>
      </c>
      <c r="AY38" s="64" t="s" ph="1">
        <v>216</v>
      </c>
      <c r="AZ38" s="64" t="s" ph="1">
        <v>367</v>
      </c>
    </row>
    <row r="39" spans="1:57" ph="1">
      <c r="AH39" s="64" ph="1">
        <v>2</v>
      </c>
      <c r="AI39" s="64" t="s" ph="1">
        <v>364</v>
      </c>
      <c r="AJ39" s="64" t="s" ph="1">
        <v>336</v>
      </c>
      <c r="AK39" s="64" t="s" ph="1">
        <v>365</v>
      </c>
      <c r="AM39" s="64" t="s" ph="1">
        <v>570</v>
      </c>
      <c r="AN39" s="64" t="s" ph="1">
        <v>228</v>
      </c>
      <c r="AO39" s="64" t="s" ph="1">
        <v>363</v>
      </c>
      <c r="AY39" s="64" t="s" ph="1">
        <v>216</v>
      </c>
      <c r="AZ39" s="64" t="s" ph="1">
        <v>499</v>
      </c>
    </row>
    <row r="40" spans="1:57" ph="1">
      <c r="AH40" s="64" ph="1">
        <v>3</v>
      </c>
      <c r="AI40" s="64" t="s" ph="1">
        <v>366</v>
      </c>
      <c r="AJ40" s="64" t="s" ph="1">
        <v>570</v>
      </c>
      <c r="AK40" s="64" t="s" ph="1">
        <v>571</v>
      </c>
      <c r="AY40" s="64" t="s" ph="1">
        <v>216</v>
      </c>
      <c r="AZ40" s="64" t="s" ph="1">
        <v>571</v>
      </c>
    </row>
    <row r="41" spans="1:57" ph="1">
      <c r="AH41" s="64" ph="1">
        <v>4</v>
      </c>
      <c r="AI41" s="64" t="s" ph="1">
        <v>368</v>
      </c>
      <c r="AJ41" s="64" t="s" ph="1">
        <v>572</v>
      </c>
      <c r="AK41" s="64" t="s" ph="1">
        <v>573</v>
      </c>
      <c r="AM41" s="64" t="s" ph="1">
        <v>574</v>
      </c>
      <c r="AY41" s="64" t="s" ph="1">
        <v>216</v>
      </c>
      <c r="AZ41" s="64" t="s" ph="1">
        <v>573</v>
      </c>
    </row>
    <row r="42" spans="1:57" ph="1">
      <c r="P42" s="64"/>
      <c r="Q42" s="64"/>
      <c r="R42" s="64"/>
      <c r="S42" s="64"/>
      <c r="T42" s="64"/>
      <c r="U42" s="64"/>
      <c r="V42" s="64"/>
      <c r="W42" s="64"/>
      <c r="X42" s="64"/>
      <c r="Y42" s="64"/>
      <c r="Z42" s="64"/>
      <c r="AA42" s="64"/>
      <c r="AB42" s="64"/>
      <c r="AC42" s="64"/>
      <c r="AD42" s="64"/>
      <c r="AE42" s="75"/>
      <c r="AH42" s="64" ph="1">
        <v>5</v>
      </c>
      <c r="AI42" s="64" t="s" ph="1">
        <v>369</v>
      </c>
      <c r="AY42" s="64" t="s" ph="1">
        <v>216</v>
      </c>
      <c r="AZ42" s="64" t="s" ph="1">
        <v>367</v>
      </c>
    </row>
    <row r="43" spans="1:57" ph="1">
      <c r="C43" s="64"/>
      <c r="D43" s="64"/>
      <c r="E43" s="64"/>
      <c r="F43" s="64"/>
      <c r="G43" s="64"/>
      <c r="H43" s="64"/>
      <c r="I43" s="64"/>
      <c r="J43" s="64"/>
      <c r="K43" s="64"/>
      <c r="L43" s="64"/>
      <c r="M43" s="64"/>
      <c r="N43" s="64"/>
      <c r="O43" s="64"/>
      <c r="P43" s="64"/>
      <c r="R43" s="64"/>
      <c r="S43" s="64"/>
      <c r="T43" s="64"/>
      <c r="U43" s="64"/>
      <c r="V43" s="64"/>
      <c r="W43" s="64"/>
      <c r="X43" s="64"/>
      <c r="Y43" s="64"/>
      <c r="Z43" s="64"/>
      <c r="AA43" s="64"/>
      <c r="AB43" s="64"/>
      <c r="AC43" s="64"/>
      <c r="AD43" s="64"/>
      <c r="AE43" s="75"/>
      <c r="AH43" s="64" ph="1">
        <v>6</v>
      </c>
      <c r="AI43" s="64" t="s" ph="1">
        <v>370</v>
      </c>
      <c r="AY43" s="64" t="s" ph="1">
        <v>216</v>
      </c>
      <c r="AZ43" s="64" t="s" ph="1">
        <v>367</v>
      </c>
    </row>
    <row r="44" spans="1:57" ph="1">
      <c r="R44" s="64"/>
      <c r="S44" s="64"/>
      <c r="T44" s="64"/>
      <c r="U44" s="64"/>
      <c r="V44" s="64"/>
      <c r="W44" s="64"/>
      <c r="X44" s="64"/>
      <c r="Y44" s="64"/>
      <c r="Z44" s="64"/>
      <c r="AA44" s="64"/>
      <c r="AB44" s="64"/>
      <c r="AC44" s="64"/>
      <c r="AD44" s="64"/>
      <c r="AE44" s="75"/>
      <c r="AH44" s="64" ph="1">
        <v>7</v>
      </c>
      <c r="AI44" s="64" t="s" ph="1">
        <v>371</v>
      </c>
      <c r="AV44" s="64" t="s" ph="1">
        <v>217</v>
      </c>
      <c r="AY44" s="64" t="s" ph="1">
        <v>216</v>
      </c>
      <c r="AZ44" s="64" t="s" ph="1">
        <v>367</v>
      </c>
    </row>
    <row r="45" spans="1:57" ph="1">
      <c r="R45" s="64"/>
      <c r="S45" s="64"/>
      <c r="T45" s="64"/>
      <c r="U45" s="64"/>
      <c r="V45" s="64"/>
      <c r="W45" s="64"/>
      <c r="X45" s="64"/>
      <c r="Y45" s="64"/>
      <c r="Z45" s="64"/>
      <c r="AA45" s="64"/>
      <c r="AB45" s="64"/>
      <c r="AC45" s="64"/>
      <c r="AD45" s="64"/>
      <c r="AE45" s="75"/>
      <c r="AH45" s="64" ph="1">
        <v>8</v>
      </c>
      <c r="AI45" s="64" t="s" ph="1">
        <v>372</v>
      </c>
      <c r="AV45" s="64" t="s" ph="1">
        <v>217</v>
      </c>
      <c r="AY45" s="64" t="s" ph="1">
        <v>216</v>
      </c>
      <c r="AZ45" s="64" t="s" ph="1">
        <v>367</v>
      </c>
    </row>
    <row r="46" spans="1:57" ph="1">
      <c r="R46" s="64"/>
      <c r="S46" s="64"/>
      <c r="T46" s="64"/>
      <c r="U46" s="64"/>
      <c r="V46" s="64"/>
      <c r="W46" s="64"/>
      <c r="X46" s="64"/>
      <c r="Y46" s="64"/>
      <c r="Z46" s="64"/>
      <c r="AA46" s="64"/>
      <c r="AB46" s="64"/>
      <c r="AC46" s="64"/>
      <c r="AD46" s="64"/>
      <c r="AE46" s="75"/>
      <c r="AH46" s="64" ph="1">
        <v>9</v>
      </c>
      <c r="AI46" s="64" t="s" ph="1">
        <v>373</v>
      </c>
      <c r="AV46" s="64" t="s" ph="1">
        <v>217</v>
      </c>
      <c r="AY46" s="64" t="s" ph="1">
        <v>216</v>
      </c>
      <c r="AZ46" s="64" t="s" ph="1">
        <v>367</v>
      </c>
    </row>
    <row r="47" spans="1:57" ph="1">
      <c r="R47" s="64"/>
      <c r="S47" s="64"/>
      <c r="T47" s="64"/>
      <c r="U47" s="64"/>
      <c r="V47" s="64"/>
      <c r="W47" s="64"/>
      <c r="X47" s="64"/>
      <c r="Y47" s="64"/>
      <c r="Z47" s="64"/>
      <c r="AA47" s="64"/>
      <c r="AB47" s="64"/>
      <c r="AC47" s="64"/>
      <c r="AD47" s="64"/>
      <c r="AE47" s="75"/>
      <c r="AH47" s="64" ph="1">
        <v>10</v>
      </c>
      <c r="AI47" s="64" t="s" ph="1">
        <v>374</v>
      </c>
      <c r="AV47" s="64" t="s" ph="1">
        <v>217</v>
      </c>
      <c r="AY47" s="64" t="s" ph="1">
        <v>216</v>
      </c>
      <c r="AZ47" s="64" t="s" ph="1">
        <v>367</v>
      </c>
    </row>
    <row r="48" spans="1:57" ph="1">
      <c r="R48" s="64"/>
      <c r="S48" s="64"/>
      <c r="T48" s="64"/>
      <c r="U48" s="64"/>
      <c r="V48" s="64"/>
      <c r="W48" s="64"/>
      <c r="X48" s="64"/>
      <c r="Y48" s="64"/>
      <c r="Z48" s="64"/>
      <c r="AA48" s="64"/>
      <c r="AB48" s="64"/>
      <c r="AC48" s="64"/>
      <c r="AD48" s="64"/>
      <c r="AE48" s="75"/>
      <c r="AZ48" s="64" t="s" ph="1">
        <v>575</v>
      </c>
    </row>
    <row r="49" spans="16:52" ph="1">
      <c r="R49" s="64"/>
      <c r="S49" s="64"/>
      <c r="T49" s="64"/>
      <c r="U49" s="64"/>
      <c r="V49" s="64"/>
      <c r="W49" s="64"/>
      <c r="X49" s="64"/>
      <c r="Y49" s="64"/>
      <c r="Z49" s="64"/>
      <c r="AA49" s="64"/>
      <c r="AB49" s="64"/>
      <c r="AC49" s="64"/>
      <c r="AD49" s="64"/>
      <c r="AE49" s="75"/>
      <c r="AG49" s="64" t="s" ph="1">
        <v>232</v>
      </c>
      <c r="AI49" s="64" t="s" ph="1">
        <v>209</v>
      </c>
      <c r="AJ49" s="64" t="s" ph="1">
        <v>210</v>
      </c>
      <c r="AK49" s="64" t="s" ph="1">
        <v>211</v>
      </c>
      <c r="AM49" s="64" t="s" ph="1">
        <v>210</v>
      </c>
      <c r="AN49" s="64" t="s" ph="1">
        <v>211</v>
      </c>
      <c r="AO49" s="64" t="s" ph="1">
        <v>212</v>
      </c>
      <c r="AP49" s="64" t="s" ph="1">
        <v>210</v>
      </c>
      <c r="AQ49" s="64" t="s" ph="1">
        <v>211</v>
      </c>
      <c r="AR49" s="64" t="s" ph="1">
        <v>212</v>
      </c>
      <c r="AS49" s="64" t="s" ph="1">
        <v>210</v>
      </c>
      <c r="AT49" s="64" t="s" ph="1">
        <v>211</v>
      </c>
      <c r="AU49" s="64" t="s" ph="1">
        <v>212</v>
      </c>
      <c r="AV49" s="64" t="s" ph="1">
        <v>210</v>
      </c>
      <c r="AW49" s="64" t="s" ph="1">
        <v>211</v>
      </c>
      <c r="AX49" s="64" t="s" ph="1">
        <v>212</v>
      </c>
      <c r="AY49" s="64" t="s" ph="1">
        <v>211</v>
      </c>
      <c r="AZ49" s="64" t="s" ph="1">
        <v>213</v>
      </c>
    </row>
    <row r="50" spans="16:52" ph="1">
      <c r="R50" s="64"/>
      <c r="S50" s="64"/>
      <c r="T50" s="64"/>
      <c r="U50" s="64"/>
      <c r="V50" s="64"/>
      <c r="W50" s="64"/>
      <c r="X50" s="64"/>
      <c r="Y50" s="64"/>
      <c r="Z50" s="64"/>
      <c r="AA50" s="64"/>
      <c r="AB50" s="64"/>
      <c r="AC50" s="64"/>
      <c r="AD50" s="64"/>
      <c r="AE50" s="75"/>
      <c r="AH50" s="64" ph="1">
        <v>1</v>
      </c>
      <c r="AI50" s="64" t="s" ph="1">
        <v>375</v>
      </c>
      <c r="AY50" s="64" t="s" ph="1">
        <v>216</v>
      </c>
      <c r="AZ50" s="64" t="s" ph="1">
        <v>367</v>
      </c>
    </row>
    <row r="51" spans="16:52" ph="1">
      <c r="R51" s="64"/>
      <c r="S51" s="64"/>
      <c r="T51" s="64"/>
      <c r="U51" s="64"/>
      <c r="V51" s="64"/>
      <c r="W51" s="64"/>
      <c r="X51" s="64"/>
      <c r="Y51" s="64"/>
      <c r="Z51" s="64"/>
      <c r="AA51" s="64"/>
      <c r="AB51" s="64"/>
      <c r="AC51" s="64"/>
      <c r="AD51" s="64"/>
      <c r="AE51" s="75"/>
      <c r="AH51" s="64" ph="1">
        <v>2</v>
      </c>
      <c r="AI51" s="64" t="s" ph="1">
        <v>376</v>
      </c>
      <c r="AY51" s="64" t="s" ph="1">
        <v>216</v>
      </c>
      <c r="AZ51" s="64" t="s" ph="1">
        <v>367</v>
      </c>
    </row>
    <row r="52" spans="16:52" ph="1">
      <c r="R52" s="64"/>
      <c r="S52" s="64"/>
      <c r="T52" s="64"/>
      <c r="U52" s="64"/>
      <c r="V52" s="64"/>
      <c r="W52" s="64"/>
      <c r="X52" s="64"/>
      <c r="Y52" s="64"/>
      <c r="Z52" s="64"/>
      <c r="AA52" s="64"/>
      <c r="AB52" s="64"/>
      <c r="AC52" s="64"/>
      <c r="AD52" s="64"/>
      <c r="AE52" s="75"/>
      <c r="AH52" s="64" ph="1">
        <v>3</v>
      </c>
      <c r="AI52" s="64" t="s" ph="1">
        <v>377</v>
      </c>
      <c r="AJ52" s="64" t="s" ph="1">
        <v>334</v>
      </c>
      <c r="AK52" s="64" t="s" ph="1">
        <v>228</v>
      </c>
      <c r="AM52" s="64" t="s" ph="1">
        <v>336</v>
      </c>
      <c r="AN52" s="64" t="s" ph="1">
        <v>300</v>
      </c>
      <c r="AO52" s="64" t="s" ph="1">
        <v>233</v>
      </c>
      <c r="AP52" s="64" t="s" ph="1">
        <v>570</v>
      </c>
      <c r="AQ52" s="64" t="s" ph="1">
        <v>282</v>
      </c>
      <c r="AR52" s="64" t="s" ph="1">
        <v>233</v>
      </c>
      <c r="AY52" s="64" t="s" ph="1">
        <v>216</v>
      </c>
      <c r="AZ52" s="64" t="s" ph="1">
        <v>576</v>
      </c>
    </row>
    <row r="53" spans="16:52" ph="1">
      <c r="R53" s="64"/>
      <c r="S53" s="64"/>
      <c r="T53" s="64"/>
      <c r="U53" s="64"/>
      <c r="W53" s="64"/>
      <c r="X53" s="64"/>
      <c r="Y53" s="64"/>
      <c r="Z53" s="64"/>
      <c r="AA53" s="64"/>
      <c r="AB53" s="64"/>
      <c r="AC53" s="64"/>
      <c r="AD53" s="64"/>
      <c r="AH53" s="64" ph="1">
        <v>4</v>
      </c>
      <c r="AI53" s="64" t="s" ph="1">
        <v>378</v>
      </c>
      <c r="AY53" s="64" t="s" ph="1">
        <v>216</v>
      </c>
      <c r="AZ53" s="64" t="s" ph="1">
        <v>367</v>
      </c>
    </row>
    <row r="54" spans="16:52" ph="1">
      <c r="R54" s="64"/>
      <c r="S54" s="64"/>
      <c r="T54" s="64"/>
      <c r="U54" s="64"/>
      <c r="W54" s="64"/>
      <c r="X54" s="64"/>
      <c r="Y54" s="64"/>
      <c r="Z54" s="64"/>
      <c r="AA54" s="64"/>
      <c r="AC54" s="64"/>
      <c r="AD54" s="64"/>
      <c r="AH54" s="64" ph="1">
        <v>5</v>
      </c>
      <c r="AI54" s="64" t="s" ph="1">
        <v>379</v>
      </c>
      <c r="AJ54" s="64" t="s" ph="1">
        <v>334</v>
      </c>
      <c r="AK54" s="64" t="s" ph="1">
        <v>219</v>
      </c>
      <c r="AM54" s="64" t="s" ph="1">
        <v>336</v>
      </c>
      <c r="AN54" s="64" t="s" ph="1">
        <v>224</v>
      </c>
      <c r="AO54" s="64" t="s" ph="1">
        <v>233</v>
      </c>
      <c r="AP54" s="64" t="s" ph="1">
        <v>570</v>
      </c>
      <c r="AQ54" s="64" t="s" ph="1">
        <v>240</v>
      </c>
      <c r="AR54" s="64" t="s" ph="1">
        <v>233</v>
      </c>
      <c r="AY54" s="64" t="s" ph="1">
        <v>216</v>
      </c>
      <c r="AZ54" s="64" t="s" ph="1">
        <v>234</v>
      </c>
    </row>
    <row r="55" spans="16:52" ph="1">
      <c r="R55" s="64"/>
      <c r="S55" s="64"/>
      <c r="T55" s="64"/>
      <c r="U55" s="64"/>
      <c r="V55" s="64"/>
      <c r="W55" s="64"/>
      <c r="X55" s="64"/>
      <c r="Z55" s="64"/>
      <c r="AC55" s="64"/>
      <c r="AD55" s="64"/>
      <c r="AE55" s="75"/>
      <c r="AH55" s="64" ph="1">
        <v>6</v>
      </c>
      <c r="AI55" s="64" t="s" ph="1">
        <v>380</v>
      </c>
      <c r="AY55" s="64" t="s" ph="1">
        <v>216</v>
      </c>
      <c r="AZ55" s="64" t="s" ph="1">
        <v>367</v>
      </c>
    </row>
    <row r="56" spans="16:52" ph="1">
      <c r="R56" s="64"/>
      <c r="S56" s="64"/>
      <c r="T56" s="64"/>
      <c r="U56" s="64"/>
      <c r="V56" s="64"/>
      <c r="W56" s="64"/>
      <c r="X56" s="64"/>
      <c r="Z56" s="64"/>
      <c r="AA56" s="64"/>
      <c r="AB56" s="64"/>
      <c r="AC56" s="64"/>
      <c r="AD56" s="64"/>
      <c r="AE56" s="75"/>
      <c r="AH56" s="64" ph="1">
        <v>7</v>
      </c>
      <c r="AI56" s="64" t="s" ph="1">
        <v>381</v>
      </c>
      <c r="AY56" s="64" t="s" ph="1">
        <v>216</v>
      </c>
      <c r="AZ56" s="64" t="s" ph="1">
        <v>367</v>
      </c>
    </row>
    <row r="57" spans="16:52" ph="1">
      <c r="R57" s="64"/>
      <c r="S57" s="64"/>
      <c r="T57" s="64"/>
      <c r="U57" s="64"/>
      <c r="V57" s="64"/>
      <c r="W57" s="64"/>
      <c r="AA57" s="64"/>
      <c r="AB57" s="64"/>
      <c r="AC57" s="64"/>
      <c r="AD57" s="64"/>
      <c r="AE57" s="75"/>
      <c r="AH57" s="64" ph="1">
        <v>8</v>
      </c>
      <c r="AI57" s="64" t="s" ph="1">
        <v>382</v>
      </c>
      <c r="AY57" s="64" t="s" ph="1">
        <v>216</v>
      </c>
      <c r="AZ57" s="64" t="s" ph="1">
        <v>367</v>
      </c>
    </row>
    <row r="58" spans="16:52" ph="1">
      <c r="P58" s="64"/>
      <c r="AN58" s="64" t="s" ph="1">
        <v>217</v>
      </c>
      <c r="AZ58" s="64" t="s" ph="1">
        <v>577</v>
      </c>
    </row>
    <row r="59" spans="16:52" ph="1">
      <c r="V59" s="64"/>
      <c r="AG59" s="64" t="s" ph="1">
        <v>235</v>
      </c>
      <c r="AI59" s="64" t="s" ph="1">
        <v>209</v>
      </c>
      <c r="AJ59" s="64" t="s" ph="1">
        <v>210</v>
      </c>
      <c r="AK59" s="64" t="s" ph="1">
        <v>211</v>
      </c>
      <c r="AM59" s="64" t="s" ph="1">
        <v>210</v>
      </c>
      <c r="AN59" s="64" t="s" ph="1">
        <v>211</v>
      </c>
      <c r="AO59" s="64" t="s" ph="1">
        <v>212</v>
      </c>
      <c r="AP59" s="64" t="s" ph="1">
        <v>210</v>
      </c>
      <c r="AQ59" s="64" t="s" ph="1">
        <v>211</v>
      </c>
      <c r="AR59" s="64" t="s" ph="1">
        <v>212</v>
      </c>
      <c r="AS59" s="64" t="s" ph="1">
        <v>210</v>
      </c>
      <c r="AT59" s="64" t="s" ph="1">
        <v>211</v>
      </c>
      <c r="AU59" s="64" t="s" ph="1">
        <v>212</v>
      </c>
      <c r="AV59" s="64" t="s" ph="1">
        <v>210</v>
      </c>
      <c r="AW59" s="64" t="s" ph="1">
        <v>211</v>
      </c>
      <c r="AX59" s="64" t="s" ph="1">
        <v>212</v>
      </c>
      <c r="AY59" s="64" t="s" ph="1">
        <v>211</v>
      </c>
      <c r="AZ59" s="64" t="s" ph="1">
        <v>213</v>
      </c>
    </row>
    <row r="60" spans="16:52" ph="1">
      <c r="R60" s="64"/>
      <c r="S60" s="64"/>
      <c r="T60" s="64"/>
      <c r="AH60" s="64" ph="1">
        <v>1</v>
      </c>
      <c r="AI60" s="64" t="s" ph="1">
        <v>383</v>
      </c>
      <c r="AY60" s="64" t="s" ph="1">
        <v>216</v>
      </c>
      <c r="AZ60" s="64" t="s" ph="1">
        <v>367</v>
      </c>
    </row>
    <row r="61" spans="16:52" ph="1">
      <c r="AH61" s="64" ph="1">
        <v>2</v>
      </c>
      <c r="AI61" s="64" t="s" ph="1">
        <v>384</v>
      </c>
      <c r="AS61" s="64" t="s" ph="1">
        <v>217</v>
      </c>
      <c r="AY61" s="64" t="s" ph="1">
        <v>216</v>
      </c>
      <c r="AZ61" s="64" t="s" ph="1">
        <v>367</v>
      </c>
    </row>
    <row r="62" spans="16:52" ph="1">
      <c r="AZ62" s="64" t="s" ph="1">
        <v>385</v>
      </c>
    </row>
    <row r="63" spans="16:52" ph="1">
      <c r="AG63" s="64" t="s" ph="1">
        <v>238</v>
      </c>
      <c r="AI63" s="64" t="s" ph="1">
        <v>209</v>
      </c>
      <c r="AJ63" s="64" t="s" ph="1">
        <v>210</v>
      </c>
      <c r="AK63" s="64" t="s" ph="1">
        <v>211</v>
      </c>
      <c r="AM63" s="64" t="s" ph="1">
        <v>210</v>
      </c>
      <c r="AN63" s="64" t="s" ph="1">
        <v>211</v>
      </c>
      <c r="AO63" s="64" t="s" ph="1">
        <v>212</v>
      </c>
      <c r="AP63" s="64" t="s" ph="1">
        <v>210</v>
      </c>
      <c r="AQ63" s="64" t="s" ph="1">
        <v>211</v>
      </c>
      <c r="AR63" s="64" t="s" ph="1">
        <v>212</v>
      </c>
      <c r="AS63" s="64" t="s" ph="1">
        <v>210</v>
      </c>
      <c r="AT63" s="64" t="s" ph="1">
        <v>211</v>
      </c>
      <c r="AU63" s="64" t="s" ph="1">
        <v>212</v>
      </c>
      <c r="AV63" s="64" t="s" ph="1">
        <v>210</v>
      </c>
      <c r="AW63" s="64" t="s" ph="1">
        <v>211</v>
      </c>
      <c r="AX63" s="64" t="s" ph="1">
        <v>212</v>
      </c>
      <c r="AY63" s="64" t="s" ph="1">
        <v>211</v>
      </c>
      <c r="AZ63" s="64" t="s" ph="1">
        <v>213</v>
      </c>
    </row>
    <row r="64" spans="16:52" ph="1">
      <c r="AH64" s="64" ph="1">
        <v>1</v>
      </c>
      <c r="AI64" s="64" t="s" ph="1">
        <v>386</v>
      </c>
      <c r="AJ64" s="64" t="s" ph="1">
        <v>387</v>
      </c>
      <c r="AK64" s="64" t="s" ph="1">
        <v>388</v>
      </c>
      <c r="AY64" s="64" t="s" ph="1">
        <v>216</v>
      </c>
      <c r="AZ64" s="64" t="s" ph="1">
        <v>388</v>
      </c>
    </row>
    <row r="65" spans="33:52" ph="1">
      <c r="AH65" s="64" ph="1">
        <v>2</v>
      </c>
      <c r="AI65" s="64" t="s" ph="1">
        <v>389</v>
      </c>
      <c r="AY65" s="64" t="s" ph="1">
        <v>216</v>
      </c>
      <c r="AZ65" s="64" t="s" ph="1">
        <v>367</v>
      </c>
    </row>
    <row r="66" spans="33:52" ph="1">
      <c r="AH66" s="64" ph="1">
        <v>3</v>
      </c>
      <c r="AI66" s="64" t="s" ph="1">
        <v>390</v>
      </c>
      <c r="AY66" s="64" t="s" ph="1">
        <v>216</v>
      </c>
      <c r="AZ66" s="64" t="s" ph="1">
        <v>367</v>
      </c>
    </row>
    <row r="67" spans="33:52" ph="1">
      <c r="AH67" s="64" ph="1">
        <v>4</v>
      </c>
      <c r="AI67" s="64" t="s" ph="1">
        <v>391</v>
      </c>
      <c r="AY67" s="64" t="s" ph="1">
        <v>216</v>
      </c>
      <c r="AZ67" s="64" t="s" ph="1">
        <v>367</v>
      </c>
    </row>
    <row r="68" spans="33:52" ph="1">
      <c r="AH68" s="64" ph="1">
        <v>5</v>
      </c>
      <c r="AI68" s="64" t="s" ph="1">
        <v>392</v>
      </c>
      <c r="AY68" s="64" t="s" ph="1">
        <v>216</v>
      </c>
      <c r="AZ68" s="64" t="s" ph="1">
        <v>367</v>
      </c>
    </row>
    <row r="69" spans="33:52" ph="1">
      <c r="AH69" s="64" ph="1">
        <v>6</v>
      </c>
      <c r="AI69" s="64" t="s" ph="1">
        <v>393</v>
      </c>
      <c r="AY69" s="64" t="s" ph="1">
        <v>216</v>
      </c>
      <c r="AZ69" s="64" t="s" ph="1">
        <v>367</v>
      </c>
    </row>
    <row r="70" spans="33:52" ph="1">
      <c r="AI70" s="64" t="s" ph="1">
        <v>394</v>
      </c>
      <c r="AY70" s="64" t="s" ph="1">
        <v>216</v>
      </c>
      <c r="AZ70" s="64" t="s" ph="1">
        <v>367</v>
      </c>
    </row>
    <row r="71" spans="33:52" ph="1">
      <c r="AH71" s="64" ph="1">
        <v>7</v>
      </c>
      <c r="AI71" s="64" t="s" ph="1">
        <v>395</v>
      </c>
      <c r="AJ71" s="64" t="s" ph="1">
        <v>334</v>
      </c>
      <c r="AK71" s="64" t="s" ph="1">
        <v>228</v>
      </c>
      <c r="AM71" s="64" t="s" ph="1">
        <v>336</v>
      </c>
      <c r="AN71" s="64" t="s" ph="1">
        <v>228</v>
      </c>
      <c r="AO71" s="64" t="s" ph="1">
        <v>396</v>
      </c>
      <c r="AP71" s="64" t="s" ph="1">
        <v>570</v>
      </c>
      <c r="AQ71" s="64" t="s" ph="1">
        <v>219</v>
      </c>
      <c r="AR71" s="64" t="s" ph="1">
        <v>396</v>
      </c>
      <c r="AY71" s="64" t="s" ph="1">
        <v>216</v>
      </c>
      <c r="AZ71" s="64" t="s" ph="1">
        <v>578</v>
      </c>
    </row>
    <row r="72" spans="33:52" ph="1">
      <c r="AZ72" s="64" t="s" ph="1">
        <v>579</v>
      </c>
    </row>
    <row r="73" spans="33:52" ph="1">
      <c r="AG73" s="64" t="s" ph="1">
        <v>241</v>
      </c>
      <c r="AI73" s="64" t="s" ph="1">
        <v>209</v>
      </c>
      <c r="AJ73" s="64" t="s" ph="1">
        <v>210</v>
      </c>
      <c r="AK73" s="64" t="s" ph="1">
        <v>211</v>
      </c>
      <c r="AM73" s="64" t="s" ph="1">
        <v>210</v>
      </c>
      <c r="AN73" s="64" t="s" ph="1">
        <v>211</v>
      </c>
      <c r="AO73" s="64" t="s" ph="1">
        <v>212</v>
      </c>
      <c r="AP73" s="64" t="s" ph="1">
        <v>210</v>
      </c>
      <c r="AQ73" s="64" t="s" ph="1">
        <v>211</v>
      </c>
      <c r="AR73" s="64" t="s" ph="1">
        <v>212</v>
      </c>
      <c r="AS73" s="64" t="s" ph="1">
        <v>210</v>
      </c>
      <c r="AT73" s="64" t="s" ph="1">
        <v>211</v>
      </c>
      <c r="AU73" s="64" t="s" ph="1">
        <v>212</v>
      </c>
      <c r="AV73" s="64" t="s" ph="1">
        <v>210</v>
      </c>
      <c r="AW73" s="64" t="s" ph="1">
        <v>211</v>
      </c>
      <c r="AX73" s="64" t="s" ph="1">
        <v>212</v>
      </c>
      <c r="AY73" s="64" t="s" ph="1">
        <v>211</v>
      </c>
      <c r="AZ73" s="64" t="s" ph="1">
        <v>213</v>
      </c>
    </row>
    <row r="74" spans="33:52" ph="1">
      <c r="AH74" s="64" ph="1">
        <v>1</v>
      </c>
      <c r="AI74" s="64" t="s" ph="1">
        <v>397</v>
      </c>
      <c r="AJ74" s="64" t="s" ph="1">
        <v>242</v>
      </c>
      <c r="AK74" s="64" t="s" ph="1">
        <v>224</v>
      </c>
      <c r="AM74" s="64" t="s" ph="1">
        <v>244</v>
      </c>
      <c r="AN74" s="64" t="s" ph="1">
        <v>254</v>
      </c>
      <c r="AO74" s="64" t="s" ph="1">
        <v>243</v>
      </c>
      <c r="AP74" s="64" t="s" ph="1">
        <v>245</v>
      </c>
      <c r="AQ74" s="64" t="s" ph="1">
        <v>222</v>
      </c>
      <c r="AR74" s="64" t="s" ph="1">
        <v>243</v>
      </c>
      <c r="AS74" s="64" t="s" ph="1">
        <v>215</v>
      </c>
      <c r="AT74" s="64" t="s" ph="1">
        <v>217</v>
      </c>
      <c r="AV74" s="64" t="s" ph="1">
        <v>398</v>
      </c>
      <c r="AW74" s="64" t="s" ph="1">
        <v>399</v>
      </c>
      <c r="AX74" s="64" t="s" ph="1">
        <v>400</v>
      </c>
      <c r="AY74" s="64" t="s" ph="1">
        <v>216</v>
      </c>
      <c r="AZ74" s="64" t="s" ph="1">
        <v>401</v>
      </c>
    </row>
    <row r="75" spans="33:52" ph="1">
      <c r="AJ75" s="64" t="s" ph="1">
        <v>247</v>
      </c>
      <c r="AK75" s="64" t="s" ph="1">
        <v>300</v>
      </c>
      <c r="AM75" s="64" t="s" ph="1">
        <v>245</v>
      </c>
      <c r="AN75" s="64" t="s" ph="1">
        <v>225</v>
      </c>
      <c r="AO75" s="64" t="s" ph="1">
        <v>243</v>
      </c>
      <c r="AS75" s="64" t="s" ph="1">
        <v>215</v>
      </c>
      <c r="AT75" s="64" t="s" ph="1">
        <v>246</v>
      </c>
    </row>
    <row r="76" spans="33:52" ph="1">
      <c r="AJ76" s="64" t="s" ph="1">
        <v>247</v>
      </c>
      <c r="AK76" s="64" t="s" ph="1">
        <v>240</v>
      </c>
      <c r="AM76" s="64" t="s" ph="1">
        <v>245</v>
      </c>
      <c r="AN76" s="64" t="s" ph="1">
        <v>228</v>
      </c>
      <c r="AO76" s="64" t="s" ph="1">
        <v>243</v>
      </c>
      <c r="AS76" s="64" t="s" ph="1">
        <v>215</v>
      </c>
      <c r="AT76" s="64" t="s" ph="1">
        <v>246</v>
      </c>
    </row>
    <row r="77" spans="33:52" ph="1">
      <c r="AJ77" s="64" t="s" ph="1">
        <v>283</v>
      </c>
      <c r="AK77" s="64" t="s" ph="1">
        <v>240</v>
      </c>
      <c r="AM77" s="64" t="s" ph="1">
        <v>284</v>
      </c>
      <c r="AN77" s="64" t="s" ph="1">
        <v>223</v>
      </c>
      <c r="AO77" s="64" t="s" ph="1">
        <v>243</v>
      </c>
      <c r="AS77" s="64" t="s" ph="1">
        <v>215</v>
      </c>
      <c r="AT77" s="64" t="s" ph="1">
        <v>285</v>
      </c>
    </row>
    <row r="78" spans="33:52" ph="1">
      <c r="AH78" s="64" ph="1">
        <v>2</v>
      </c>
      <c r="AI78" s="64" t="s" ph="1">
        <v>249</v>
      </c>
      <c r="AJ78" s="64" t="s" ph="1">
        <v>250</v>
      </c>
      <c r="AK78" s="64" t="s" ph="1">
        <v>219</v>
      </c>
      <c r="AM78" s="64" t="s" ph="1">
        <v>251</v>
      </c>
      <c r="AN78" s="64" t="s" ph="1">
        <v>254</v>
      </c>
      <c r="AO78" s="64" t="s" ph="1">
        <v>243</v>
      </c>
      <c r="AP78" s="64" t="s" ph="1">
        <v>252</v>
      </c>
      <c r="AQ78" s="64" t="s" ph="1">
        <v>298</v>
      </c>
      <c r="AR78" s="64" t="s" ph="1">
        <v>243</v>
      </c>
      <c r="AS78" s="64" t="s" ph="1">
        <v>253</v>
      </c>
      <c r="AT78" s="64" t="s" ph="1">
        <v>254</v>
      </c>
      <c r="AU78" s="64" t="s" ph="1">
        <v>243</v>
      </c>
      <c r="AV78" s="64" t="s" ph="1">
        <v>255</v>
      </c>
      <c r="AW78" s="64" t="s" ph="1">
        <v>243</v>
      </c>
      <c r="AY78" s="64" t="s" ph="1">
        <v>216</v>
      </c>
      <c r="AZ78" s="64" t="s" ph="1">
        <v>402</v>
      </c>
    </row>
    <row r="79" spans="33:52" ph="1">
      <c r="AJ79" s="64" t="s" ph="1">
        <v>245</v>
      </c>
      <c r="AK79" s="64" t="s" ph="1">
        <v>256</v>
      </c>
      <c r="AM79" s="64" t="s" ph="1">
        <v>257</v>
      </c>
      <c r="AN79" s="64" t="s" ph="1">
        <v>225</v>
      </c>
      <c r="AO79" s="64" t="s" ph="1">
        <v>243</v>
      </c>
      <c r="AP79" s="64" t="s" ph="1">
        <v>258</v>
      </c>
      <c r="AQ79" s="64" t="s" ph="1">
        <v>223</v>
      </c>
      <c r="AR79" s="64" t="s" ph="1">
        <v>259</v>
      </c>
      <c r="AS79" s="64" t="s" ph="1">
        <v>215</v>
      </c>
      <c r="AT79" s="64" t="s" ph="1">
        <v>260</v>
      </c>
      <c r="AV79" s="64" t="s" ph="1">
        <v>403</v>
      </c>
      <c r="AW79" s="64" t="s" ph="1">
        <v>302</v>
      </c>
      <c r="AX79" s="64" t="s" ph="1">
        <v>400</v>
      </c>
    </row>
    <row r="80" spans="33:52" ph="1">
      <c r="AH80" s="64" ph="1">
        <v>3</v>
      </c>
      <c r="AI80" s="64" t="s" ph="1">
        <v>261</v>
      </c>
      <c r="AJ80" s="64" t="s" ph="1">
        <v>262</v>
      </c>
      <c r="AK80" s="64" t="s" ph="1">
        <v>263</v>
      </c>
      <c r="AM80" s="64" t="s" ph="1">
        <v>264</v>
      </c>
      <c r="AN80" s="64" t="s" ph="1">
        <v>254</v>
      </c>
      <c r="AO80" s="64" t="s" ph="1">
        <v>243</v>
      </c>
      <c r="AP80" s="64" t="s" ph="1">
        <v>265</v>
      </c>
      <c r="AQ80" s="64" t="s" ph="1">
        <v>228</v>
      </c>
      <c r="AR80" s="64" t="s" ph="1">
        <v>243</v>
      </c>
      <c r="AS80" s="64" t="s" ph="1">
        <v>266</v>
      </c>
      <c r="AT80" s="64" t="s" ph="1">
        <v>227</v>
      </c>
      <c r="AU80" s="64" t="s" ph="1">
        <v>243</v>
      </c>
      <c r="AV80" s="64" t="s" ph="1">
        <v>267</v>
      </c>
      <c r="AW80" s="64" t="s" ph="1">
        <v>243</v>
      </c>
      <c r="AY80" s="64" t="s" ph="1">
        <v>216</v>
      </c>
      <c r="AZ80" s="64" t="s" ph="1">
        <v>404</v>
      </c>
    </row>
    <row r="81" spans="34:52" ph="1">
      <c r="AJ81" s="64" t="s" ph="1">
        <v>268</v>
      </c>
      <c r="AK81" s="64" t="s" ph="1">
        <v>222</v>
      </c>
      <c r="AM81" s="64" t="s" ph="1">
        <v>269</v>
      </c>
      <c r="AN81" s="64" t="s" ph="1">
        <v>225</v>
      </c>
      <c r="AO81" s="64" t="s" ph="1">
        <v>243</v>
      </c>
      <c r="AP81" s="64" t="s" ph="1">
        <v>270</v>
      </c>
      <c r="AQ81" s="64" t="s" ph="1">
        <v>254</v>
      </c>
      <c r="AR81" s="64" t="s" ph="1">
        <v>243</v>
      </c>
      <c r="AS81" s="64" t="s" ph="1">
        <v>271</v>
      </c>
      <c r="AT81" s="64" t="s" ph="1">
        <v>272</v>
      </c>
      <c r="AU81" s="64" t="s" ph="1">
        <v>243</v>
      </c>
      <c r="AV81" s="64" t="s" ph="1">
        <v>273</v>
      </c>
    </row>
    <row r="82" spans="34:52" ph="1">
      <c r="AJ82" s="64" t="s" ph="1">
        <v>274</v>
      </c>
      <c r="AK82" s="64" t="s" ph="1">
        <v>222</v>
      </c>
      <c r="AM82" s="64" t="s" ph="1">
        <v>275</v>
      </c>
      <c r="AN82" s="64" t="s" ph="1">
        <v>272</v>
      </c>
      <c r="AO82" s="64" t="s" ph="1">
        <v>276</v>
      </c>
      <c r="AP82" s="64" t="s" ph="1">
        <v>277</v>
      </c>
      <c r="AQ82" s="64" t="s" ph="1">
        <v>254</v>
      </c>
      <c r="AR82" s="64" t="s" ph="1">
        <v>243</v>
      </c>
      <c r="AS82" s="64" t="s" ph="1">
        <v>278</v>
      </c>
      <c r="AT82" s="64" t="s" ph="1">
        <v>229</v>
      </c>
      <c r="AU82" s="64" t="s" ph="1">
        <v>243</v>
      </c>
      <c r="AV82" s="64" t="s" ph="1">
        <v>403</v>
      </c>
      <c r="AW82" s="64" t="s" ph="1">
        <v>303</v>
      </c>
      <c r="AX82" s="64" t="s" ph="1">
        <v>400</v>
      </c>
    </row>
    <row r="83" spans="34:52" ph="1">
      <c r="AJ83" s="64" t="s" ph="1">
        <v>279</v>
      </c>
      <c r="AK83" s="64" t="s" ph="1">
        <v>296</v>
      </c>
      <c r="AM83" s="64" t="s" ph="1">
        <v>280</v>
      </c>
      <c r="AN83" s="64" t="s" ph="1">
        <v>228</v>
      </c>
      <c r="AO83" s="64" t="s" ph="1">
        <v>259</v>
      </c>
      <c r="AP83" s="64" t="s" ph="1">
        <v>281</v>
      </c>
      <c r="AQ83" s="64" t="s" ph="1">
        <v>282</v>
      </c>
      <c r="AR83" s="64" t="s" ph="1">
        <v>259</v>
      </c>
      <c r="AS83" s="64" t="s" ph="1">
        <v>405</v>
      </c>
      <c r="AT83" s="64" t="s" ph="1">
        <v>254</v>
      </c>
      <c r="AU83" s="64" t="s" ph="1">
        <v>259</v>
      </c>
      <c r="AV83" s="64" t="s" ph="1">
        <v>406</v>
      </c>
      <c r="AW83" s="64" t="s" ph="1">
        <v>303</v>
      </c>
      <c r="AX83" s="64" t="s" ph="1">
        <v>407</v>
      </c>
    </row>
    <row r="84" spans="34:52" ph="1">
      <c r="AH84" s="64" ph="1">
        <v>4</v>
      </c>
      <c r="AI84" s="64" t="s" ph="1">
        <v>286</v>
      </c>
      <c r="AJ84" s="64" t="s" ph="1">
        <v>226</v>
      </c>
      <c r="AK84" s="64" t="s" ph="1">
        <v>229</v>
      </c>
      <c r="AM84" s="64" t="s" ph="1">
        <v>230</v>
      </c>
      <c r="AN84" s="64" t="s" ph="1">
        <v>223</v>
      </c>
      <c r="AO84" s="64" t="s" ph="1">
        <v>259</v>
      </c>
      <c r="AP84" s="64" t="s" ph="1">
        <v>288</v>
      </c>
      <c r="AQ84" s="64" t="s" ph="1">
        <v>222</v>
      </c>
      <c r="AR84" s="64" t="s" ph="1">
        <v>259</v>
      </c>
      <c r="AS84" s="64" t="s" ph="1">
        <v>288</v>
      </c>
      <c r="AT84" s="64" t="s" ph="1">
        <v>224</v>
      </c>
      <c r="AU84" s="64" t="s" ph="1">
        <v>259</v>
      </c>
      <c r="AY84" s="64" t="s" ph="1">
        <v>216</v>
      </c>
      <c r="AZ84" s="64" t="s" ph="1">
        <v>408</v>
      </c>
    </row>
    <row r="85" spans="34:52" ph="1">
      <c r="AJ85" s="64" t="s" ph="1">
        <v>218</v>
      </c>
      <c r="AK85" s="64" t="s" ph="1">
        <v>222</v>
      </c>
      <c r="AM85" s="64" t="s" ph="1">
        <v>409</v>
      </c>
      <c r="AN85" s="64" t="s" ph="1">
        <v>229</v>
      </c>
      <c r="AO85" s="64" t="s" ph="1">
        <v>259</v>
      </c>
      <c r="AP85" s="64" t="s" ph="1">
        <v>410</v>
      </c>
      <c r="AQ85" s="64" t="s" ph="1">
        <v>225</v>
      </c>
      <c r="AR85" s="64" t="s" ph="1">
        <v>259</v>
      </c>
      <c r="AS85" s="64" t="s" ph="1">
        <v>411</v>
      </c>
      <c r="AT85" s="64" t="s" ph="1">
        <v>225</v>
      </c>
      <c r="AU85" s="64" t="s" ph="1">
        <v>259</v>
      </c>
    </row>
    <row r="86" spans="34:52" ph="1">
      <c r="AJ86" s="64" t="s" ph="1">
        <v>412</v>
      </c>
      <c r="AK86" s="64" t="s" ph="1">
        <v>231</v>
      </c>
      <c r="AM86" s="64" t="s" ph="1">
        <v>413</v>
      </c>
      <c r="AN86" s="64" t="s" ph="1">
        <v>272</v>
      </c>
      <c r="AO86" s="64" t="s" ph="1">
        <v>259</v>
      </c>
      <c r="AP86" s="64" t="s" ph="1">
        <v>414</v>
      </c>
      <c r="AQ86" s="64" t="s" ph="1">
        <v>219</v>
      </c>
      <c r="AR86" s="64" t="s" ph="1">
        <v>259</v>
      </c>
      <c r="AS86" s="64" t="s" ph="1">
        <v>415</v>
      </c>
      <c r="AT86" s="64" t="s" ph="1">
        <v>237</v>
      </c>
      <c r="AU86" s="64" t="s" ph="1">
        <v>259</v>
      </c>
    </row>
    <row r="87" spans="34:52" ph="1">
      <c r="AJ87" s="64" t="s" ph="1">
        <v>416</v>
      </c>
      <c r="AK87" s="64" t="s" ph="1">
        <v>272</v>
      </c>
      <c r="AM87" s="64" t="s" ph="1">
        <v>403</v>
      </c>
      <c r="AN87" s="64" t="s" ph="1">
        <v>417</v>
      </c>
      <c r="AO87" s="64" t="s" ph="1">
        <v>400</v>
      </c>
    </row>
    <row r="88" spans="34:52" ph="1">
      <c r="AH88" s="64" ph="1">
        <v>5</v>
      </c>
      <c r="AI88" s="64" t="s" ph="1">
        <v>289</v>
      </c>
      <c r="AJ88" s="64" t="s" ph="1">
        <v>418</v>
      </c>
      <c r="AK88" s="64" t="s" ph="1">
        <v>272</v>
      </c>
      <c r="AM88" s="64" t="s" ph="1">
        <v>419</v>
      </c>
      <c r="AN88" s="64" t="s" ph="1">
        <v>272</v>
      </c>
      <c r="AO88" s="64" t="s" ph="1">
        <v>259</v>
      </c>
      <c r="AP88" s="64" t="s" ph="1">
        <v>420</v>
      </c>
      <c r="AQ88" s="64" t="s" ph="1">
        <v>222</v>
      </c>
      <c r="AR88" s="64" t="s" ph="1">
        <v>259</v>
      </c>
      <c r="AS88" s="64" t="s" ph="1">
        <v>421</v>
      </c>
      <c r="AT88" s="64" t="s" ph="1">
        <v>272</v>
      </c>
      <c r="AU88" s="64" t="s" ph="1">
        <v>259</v>
      </c>
      <c r="AV88" s="64" t="s" ph="1">
        <v>422</v>
      </c>
      <c r="AW88" s="64" t="s" ph="1">
        <v>227</v>
      </c>
      <c r="AX88" s="64" t="s" ph="1">
        <v>259</v>
      </c>
      <c r="AY88" s="64" t="s" ph="1">
        <v>216</v>
      </c>
      <c r="AZ88" s="64" t="s" ph="1">
        <v>423</v>
      </c>
    </row>
    <row r="89" spans="34:52" ph="1">
      <c r="AJ89" s="64" t="s" ph="1">
        <v>424</v>
      </c>
      <c r="AK89" s="64" t="s" ph="1">
        <v>225</v>
      </c>
      <c r="AM89" s="64" t="s" ph="1">
        <v>425</v>
      </c>
      <c r="AN89" s="64" t="s" ph="1">
        <v>228</v>
      </c>
      <c r="AO89" s="64" t="s" ph="1">
        <v>259</v>
      </c>
      <c r="AP89" s="64" t="s" ph="1">
        <v>426</v>
      </c>
      <c r="AQ89" s="64" t="s" ph="1">
        <v>237</v>
      </c>
      <c r="AR89" s="64" t="s" ph="1">
        <v>259</v>
      </c>
      <c r="AS89" s="64" t="s" ph="1">
        <v>427</v>
      </c>
      <c r="AT89" s="64" t="s" ph="1">
        <v>272</v>
      </c>
      <c r="AU89" s="64" t="s" ph="1">
        <v>259</v>
      </c>
      <c r="AV89" s="64" t="s" ph="1">
        <v>428</v>
      </c>
      <c r="AW89" s="64" t="s" ph="1">
        <v>254</v>
      </c>
      <c r="AX89" s="64" t="s" ph="1">
        <v>287</v>
      </c>
    </row>
    <row r="90" spans="34:52" ph="1">
      <c r="AJ90" s="64" t="s" ph="1">
        <v>429</v>
      </c>
      <c r="AK90" s="64" t="s" ph="1">
        <v>228</v>
      </c>
      <c r="AM90" s="64" t="s" ph="1">
        <v>430</v>
      </c>
      <c r="AN90" s="64" t="s" ph="1">
        <v>225</v>
      </c>
      <c r="AO90" s="64" t="s" ph="1">
        <v>259</v>
      </c>
      <c r="AP90" s="64" t="s" ph="1">
        <v>431</v>
      </c>
      <c r="AQ90" s="64" t="s" ph="1">
        <v>294</v>
      </c>
      <c r="AR90" s="64" t="s" ph="1">
        <v>259</v>
      </c>
      <c r="AS90" s="64" t="s" ph="1">
        <v>432</v>
      </c>
      <c r="AT90" s="64" t="s" ph="1">
        <v>282</v>
      </c>
      <c r="AU90" s="64" t="s" ph="1">
        <v>259</v>
      </c>
      <c r="AV90" s="64" t="s" ph="1">
        <v>433</v>
      </c>
      <c r="AW90" s="64" t="s" ph="1">
        <v>219</v>
      </c>
      <c r="AX90" s="64" t="s" ph="1">
        <v>259</v>
      </c>
    </row>
    <row r="91" spans="34:52" ph="1">
      <c r="AJ91" s="64" t="s" ph="1">
        <v>434</v>
      </c>
      <c r="AK91" s="64" t="s" ph="1">
        <v>272</v>
      </c>
      <c r="AM91" s="64" t="s" ph="1">
        <v>435</v>
      </c>
      <c r="AN91" s="64" t="s" ph="1">
        <v>239</v>
      </c>
      <c r="AO91" s="64" t="s" ph="1">
        <v>259</v>
      </c>
      <c r="AP91" s="64" t="s" ph="1">
        <v>436</v>
      </c>
      <c r="AQ91" s="64" t="s" ph="1">
        <v>219</v>
      </c>
      <c r="AS91" s="64" t="s" ph="1">
        <v>403</v>
      </c>
      <c r="AT91" s="64" t="s" ph="1">
        <v>399</v>
      </c>
      <c r="AU91" s="64" t="s" ph="1">
        <v>400</v>
      </c>
    </row>
    <row r="92" spans="34:52" ph="1">
      <c r="AH92" s="64" ph="1">
        <v>6</v>
      </c>
      <c r="AI92" s="64" t="s" ph="1">
        <v>437</v>
      </c>
      <c r="AJ92" s="64" t="s" ph="1">
        <v>438</v>
      </c>
      <c r="AK92" s="64" t="s" ph="1">
        <v>367</v>
      </c>
      <c r="AM92" s="64" t="s" ph="1">
        <v>439</v>
      </c>
      <c r="AN92" s="64" t="s" ph="1">
        <v>227</v>
      </c>
      <c r="AO92" s="64" t="s" ph="1">
        <v>259</v>
      </c>
      <c r="AP92" s="64" t="s" ph="1">
        <v>440</v>
      </c>
      <c r="AQ92" s="64" t="s" ph="1">
        <v>299</v>
      </c>
      <c r="AR92" s="64" t="s" ph="1">
        <v>259</v>
      </c>
      <c r="AS92" s="64" t="s" ph="1">
        <v>441</v>
      </c>
      <c r="AT92" s="64" t="s" ph="1">
        <v>272</v>
      </c>
      <c r="AU92" s="64" t="s" ph="1">
        <v>259</v>
      </c>
      <c r="AV92" s="64" t="s" ph="1">
        <v>442</v>
      </c>
      <c r="AW92" s="64" t="s" ph="1">
        <v>228</v>
      </c>
      <c r="AX92" s="64" t="s" ph="1">
        <v>259</v>
      </c>
      <c r="AY92" s="64" t="s" ph="1">
        <v>216</v>
      </c>
      <c r="AZ92" s="64" t="s" ph="1">
        <v>423</v>
      </c>
    </row>
    <row r="93" spans="34:52" ph="1">
      <c r="AJ93" s="64" t="s" ph="1">
        <v>443</v>
      </c>
      <c r="AK93" s="64" t="s" ph="1">
        <v>222</v>
      </c>
      <c r="AM93" s="64" t="s" ph="1">
        <v>444</v>
      </c>
      <c r="AN93" s="64" t="s" ph="1">
        <v>227</v>
      </c>
      <c r="AO93" s="64" t="s" ph="1">
        <v>259</v>
      </c>
      <c r="AP93" s="64" t="s" ph="1">
        <v>445</v>
      </c>
      <c r="AQ93" s="64" t="s" ph="1">
        <v>231</v>
      </c>
      <c r="AR93" s="64" t="s" ph="1">
        <v>259</v>
      </c>
      <c r="AS93" s="64" t="s" ph="1">
        <v>446</v>
      </c>
      <c r="AT93" s="64" t="s" ph="1">
        <v>237</v>
      </c>
      <c r="AU93" s="64" t="s" ph="1">
        <v>259</v>
      </c>
      <c r="AV93" s="64" t="s" ph="1">
        <v>447</v>
      </c>
      <c r="AW93" s="64" t="s" ph="1">
        <v>231</v>
      </c>
      <c r="AX93" s="64" t="s" ph="1">
        <v>259</v>
      </c>
    </row>
    <row r="94" spans="34:52" ph="1">
      <c r="AJ94" s="64" t="s" ph="1">
        <v>448</v>
      </c>
      <c r="AK94" s="64" t="s" ph="1">
        <v>294</v>
      </c>
      <c r="AM94" s="64" t="s" ph="1">
        <v>449</v>
      </c>
      <c r="AN94" s="64" t="s" ph="1">
        <v>231</v>
      </c>
      <c r="AO94" s="64" t="s" ph="1">
        <v>259</v>
      </c>
      <c r="AP94" s="64" t="s" ph="1">
        <v>450</v>
      </c>
      <c r="AQ94" s="64" t="s" ph="1">
        <v>239</v>
      </c>
      <c r="AR94" s="64" t="s" ph="1">
        <v>259</v>
      </c>
      <c r="AS94" s="64" t="s" ph="1">
        <v>451</v>
      </c>
      <c r="AT94" s="64" t="s" ph="1">
        <v>225</v>
      </c>
      <c r="AU94" s="64" t="s" ph="1">
        <v>259</v>
      </c>
      <c r="AV94" s="64" t="s" ph="1">
        <v>452</v>
      </c>
      <c r="AW94" s="64" t="s" ph="1">
        <v>225</v>
      </c>
      <c r="AX94" s="64" t="s" ph="1">
        <v>259</v>
      </c>
    </row>
    <row r="95" spans="34:52" ph="1">
      <c r="AJ95" s="64" t="s" ph="1">
        <v>453</v>
      </c>
      <c r="AK95" s="64" t="s" ph="1">
        <v>299</v>
      </c>
    </row>
    <row r="96" spans="34:52" ph="1">
      <c r="AH96" s="64" ph="1">
        <v>7</v>
      </c>
      <c r="AI96" s="64" t="s" ph="1">
        <v>454</v>
      </c>
      <c r="AJ96" s="64" t="s" ph="1">
        <v>453</v>
      </c>
      <c r="AK96" s="64" t="s" ph="1">
        <v>254</v>
      </c>
      <c r="AM96" s="64" t="s" ph="1">
        <v>455</v>
      </c>
      <c r="AN96" s="64" t="s" ph="1">
        <v>228</v>
      </c>
      <c r="AO96" s="64" t="s" ph="1">
        <v>259</v>
      </c>
      <c r="AP96" s="64" t="s" ph="1">
        <v>456</v>
      </c>
      <c r="AQ96" s="64" t="s" ph="1">
        <v>272</v>
      </c>
      <c r="AR96" s="64" t="s" ph="1">
        <v>287</v>
      </c>
      <c r="AS96" s="64" t="s" ph="1">
        <v>457</v>
      </c>
      <c r="AT96" s="64" t="s" ph="1">
        <v>231</v>
      </c>
      <c r="AU96" s="64" t="s" ph="1">
        <v>287</v>
      </c>
      <c r="AV96" s="64" t="s" ph="1">
        <v>458</v>
      </c>
      <c r="AW96" s="64" t="s" ph="1">
        <v>227</v>
      </c>
      <c r="AX96" s="64" t="s" ph="1">
        <v>287</v>
      </c>
      <c r="AY96" s="64" t="s" ph="1">
        <v>216</v>
      </c>
      <c r="AZ96" s="64" t="s" ph="1">
        <v>459</v>
      </c>
    </row>
    <row r="97" spans="33:52" ph="1">
      <c r="AJ97" s="64" t="s" ph="1">
        <v>460</v>
      </c>
      <c r="AK97" s="64" t="s" ph="1">
        <v>282</v>
      </c>
      <c r="AM97" s="64" t="s" ph="1">
        <v>461</v>
      </c>
      <c r="AN97" s="64" t="s" ph="1">
        <v>225</v>
      </c>
      <c r="AO97" s="64" t="s" ph="1">
        <v>259</v>
      </c>
      <c r="AP97" s="64" t="s" ph="1">
        <v>462</v>
      </c>
      <c r="AQ97" s="64" t="s" ph="1">
        <v>219</v>
      </c>
      <c r="AR97" s="64" t="s" ph="1">
        <v>287</v>
      </c>
      <c r="AS97" s="64" t="s" ph="1">
        <v>463</v>
      </c>
      <c r="AT97" s="64" t="s" ph="1">
        <v>222</v>
      </c>
      <c r="AU97" s="64" t="s" ph="1">
        <v>287</v>
      </c>
      <c r="AV97" s="64" t="s" ph="1">
        <v>464</v>
      </c>
      <c r="AW97" s="64" t="s" ph="1">
        <v>228</v>
      </c>
      <c r="AX97" s="64" t="s" ph="1">
        <v>287</v>
      </c>
    </row>
    <row r="98" spans="33:52" ph="1">
      <c r="AJ98" s="64" t="s" ph="1">
        <v>465</v>
      </c>
      <c r="AK98" s="64" t="s" ph="1">
        <v>231</v>
      </c>
      <c r="AM98" s="64" t="s" ph="1">
        <v>466</v>
      </c>
      <c r="AN98" s="64" t="s" ph="1">
        <v>239</v>
      </c>
      <c r="AO98" s="64" t="s" ph="1">
        <v>259</v>
      </c>
      <c r="AP98" s="64" t="s" ph="1">
        <v>467</v>
      </c>
      <c r="AQ98" s="64" t="s" ph="1">
        <v>219</v>
      </c>
      <c r="AR98" s="64" t="s" ph="1">
        <v>287</v>
      </c>
      <c r="AS98" s="64" t="s" ph="1">
        <v>468</v>
      </c>
      <c r="AT98" s="64" t="s" ph="1">
        <v>299</v>
      </c>
      <c r="AU98" s="64" t="s" ph="1">
        <v>287</v>
      </c>
      <c r="AV98" s="64" t="s" ph="1">
        <v>469</v>
      </c>
      <c r="AW98" s="64" t="s" ph="1">
        <v>222</v>
      </c>
      <c r="AX98" s="64" t="s" ph="1">
        <v>287</v>
      </c>
    </row>
    <row r="99" spans="33:52" ph="1">
      <c r="AH99" s="64" ph="1">
        <v>8</v>
      </c>
      <c r="AI99" s="64" t="s" ph="1">
        <v>470</v>
      </c>
      <c r="AJ99" s="64" t="s" ph="1">
        <v>471</v>
      </c>
      <c r="AK99" s="64" t="s" ph="1">
        <v>367</v>
      </c>
      <c r="AM99" s="64" t="s" ph="1">
        <v>472</v>
      </c>
      <c r="AN99" s="64" t="s" ph="1">
        <v>254</v>
      </c>
      <c r="AO99" s="64" t="s" ph="1">
        <v>259</v>
      </c>
      <c r="AP99" s="64" t="s" ph="1">
        <v>473</v>
      </c>
      <c r="AQ99" s="64" t="s" ph="1">
        <v>224</v>
      </c>
      <c r="AR99" s="64" t="s" ph="1">
        <v>287</v>
      </c>
      <c r="AS99" s="64" t="s" ph="1">
        <v>474</v>
      </c>
      <c r="AT99" s="64" t="s" ph="1">
        <v>239</v>
      </c>
      <c r="AU99" s="64" t="s" ph="1">
        <v>287</v>
      </c>
      <c r="AV99" s="64" t="s" ph="1">
        <v>475</v>
      </c>
      <c r="AW99" s="64" t="s" ph="1">
        <v>224</v>
      </c>
      <c r="AX99" s="64" t="s" ph="1">
        <v>287</v>
      </c>
      <c r="AY99" s="64" t="s" ph="1">
        <v>216</v>
      </c>
      <c r="AZ99" s="64" t="s" ph="1">
        <v>476</v>
      </c>
    </row>
    <row r="100" spans="33:52" ph="1">
      <c r="AJ100" s="64" t="s" ph="1">
        <v>477</v>
      </c>
      <c r="AK100" s="64" t="s" ph="1">
        <v>222</v>
      </c>
      <c r="AM100" s="64" t="s" ph="1">
        <v>478</v>
      </c>
      <c r="AN100" s="64" t="s" ph="1">
        <v>294</v>
      </c>
      <c r="AO100" s="64" t="s" ph="1">
        <v>259</v>
      </c>
      <c r="AP100" s="64" t="s" ph="1">
        <v>479</v>
      </c>
      <c r="AQ100" s="64" t="s" ph="1">
        <v>300</v>
      </c>
      <c r="AR100" s="64" t="s" ph="1">
        <v>287</v>
      </c>
      <c r="AS100" s="64" t="s" ph="1">
        <v>480</v>
      </c>
      <c r="AT100" s="64" t="s" ph="1">
        <v>367</v>
      </c>
      <c r="AU100" s="64" t="s" ph="1">
        <v>259</v>
      </c>
      <c r="AV100" s="64" t="s" ph="1">
        <v>481</v>
      </c>
      <c r="AW100" s="64" t="s" ph="1">
        <v>367</v>
      </c>
      <c r="AX100" s="64" t="s" ph="1">
        <v>259</v>
      </c>
    </row>
    <row r="101" spans="33:52" ph="1">
      <c r="AJ101" s="64" t="s" ph="1">
        <v>482</v>
      </c>
      <c r="AK101" s="64" t="s" ph="1">
        <v>367</v>
      </c>
      <c r="AM101" s="64" t="s" ph="1">
        <v>483</v>
      </c>
      <c r="AN101" s="64" t="s" ph="1">
        <v>225</v>
      </c>
      <c r="AO101" s="64" t="s" ph="1">
        <v>259</v>
      </c>
      <c r="AP101" s="64" t="s" ph="1">
        <v>484</v>
      </c>
      <c r="AQ101" s="64" t="s" ph="1">
        <v>237</v>
      </c>
      <c r="AR101" s="64" t="s" ph="1">
        <v>287</v>
      </c>
      <c r="AS101" s="64" t="s" ph="1">
        <v>485</v>
      </c>
      <c r="AT101" s="64" t="s" ph="1">
        <v>294</v>
      </c>
      <c r="AU101" s="64" t="s" ph="1">
        <v>287</v>
      </c>
      <c r="AV101" s="64" t="s" ph="1">
        <v>486</v>
      </c>
      <c r="AW101" s="64" t="s" ph="1">
        <v>225</v>
      </c>
      <c r="AX101" s="64" t="s" ph="1">
        <v>259</v>
      </c>
    </row>
    <row r="102" spans="33:52" ph="1">
      <c r="AJ102" s="64" t="s" ph="1">
        <v>487</v>
      </c>
      <c r="AK102" s="64" t="s" ph="1">
        <v>222</v>
      </c>
      <c r="AM102" s="64" t="s" ph="1">
        <v>488</v>
      </c>
      <c r="AN102" s="64" t="s" ph="1">
        <v>231</v>
      </c>
      <c r="AO102" s="64" t="s" ph="1">
        <v>259</v>
      </c>
      <c r="AP102" s="64" t="s" ph="1">
        <v>489</v>
      </c>
      <c r="AQ102" s="64" t="s" ph="1">
        <v>237</v>
      </c>
      <c r="AR102" s="64" t="s" ph="1">
        <v>259</v>
      </c>
      <c r="AS102" s="64" t="s" ph="1">
        <v>490</v>
      </c>
      <c r="AT102" s="64" t="s" ph="1">
        <v>254</v>
      </c>
      <c r="AU102" s="64" t="s" ph="1">
        <v>259</v>
      </c>
      <c r="AV102" s="64" t="s" ph="1">
        <v>491</v>
      </c>
      <c r="AW102" s="64" t="s" ph="1">
        <v>272</v>
      </c>
      <c r="AX102" s="64" t="s" ph="1">
        <v>259</v>
      </c>
    </row>
    <row r="103" spans="33:52" ph="1">
      <c r="AH103" s="64" ph="1">
        <v>9</v>
      </c>
      <c r="AI103" s="64" t="s" ph="1">
        <v>492</v>
      </c>
      <c r="AJ103" s="64" t="s" ph="1">
        <v>493</v>
      </c>
      <c r="AK103" s="64" t="s" ph="1">
        <v>367</v>
      </c>
      <c r="AM103" s="64" t="s" ph="1">
        <v>494</v>
      </c>
      <c r="AN103" s="64" t="s" ph="1">
        <v>282</v>
      </c>
      <c r="AO103" s="64" t="s" ph="1">
        <v>259</v>
      </c>
      <c r="AP103" s="64" t="s" ph="1">
        <v>336</v>
      </c>
      <c r="AQ103" s="64" t="s" ph="1">
        <v>225</v>
      </c>
      <c r="AR103" s="64" t="s" ph="1">
        <v>259</v>
      </c>
      <c r="AS103" s="64" t="s" ph="1">
        <v>570</v>
      </c>
      <c r="AT103" s="64" t="s" ph="1">
        <v>367</v>
      </c>
      <c r="AU103" s="64" t="s" ph="1">
        <v>259</v>
      </c>
      <c r="AY103" s="64" t="s" ph="1">
        <v>216</v>
      </c>
      <c r="AZ103" s="64" t="s" ph="1">
        <v>224</v>
      </c>
    </row>
    <row r="104" spans="33:52" ph="1">
      <c r="AZ104" s="64" t="s" ph="1">
        <v>495</v>
      </c>
    </row>
    <row r="105" spans="33:52" ph="1">
      <c r="AG105" s="64" t="s" ph="1">
        <v>295</v>
      </c>
      <c r="AI105" s="64" t="s" ph="1">
        <v>209</v>
      </c>
      <c r="AJ105" s="64" t="s" ph="1">
        <v>210</v>
      </c>
      <c r="AK105" s="64" t="s" ph="1">
        <v>211</v>
      </c>
      <c r="AM105" s="64" t="s" ph="1">
        <v>210</v>
      </c>
      <c r="AN105" s="64" t="s" ph="1">
        <v>211</v>
      </c>
      <c r="AO105" s="64" t="s" ph="1">
        <v>212</v>
      </c>
      <c r="AP105" s="64" t="s" ph="1">
        <v>210</v>
      </c>
      <c r="AQ105" s="64" t="s" ph="1">
        <v>211</v>
      </c>
      <c r="AR105" s="64" t="s" ph="1">
        <v>212</v>
      </c>
      <c r="AS105" s="64" t="s" ph="1">
        <v>210</v>
      </c>
      <c r="AT105" s="64" t="s" ph="1">
        <v>211</v>
      </c>
      <c r="AU105" s="64" t="s" ph="1">
        <v>212</v>
      </c>
      <c r="AV105" s="64" t="s" ph="1">
        <v>210</v>
      </c>
      <c r="AW105" s="64" t="s" ph="1">
        <v>211</v>
      </c>
      <c r="AX105" s="64" t="s" ph="1">
        <v>212</v>
      </c>
      <c r="AZ105" s="64" t="s" ph="1">
        <v>213</v>
      </c>
    </row>
    <row r="106" spans="33:52" ph="1">
      <c r="AH106" s="64" ph="1">
        <v>1</v>
      </c>
      <c r="AI106" s="64" t="s" ph="1">
        <v>496</v>
      </c>
      <c r="AJ106" s="64" t="s" ph="1">
        <v>570</v>
      </c>
      <c r="AK106" s="64" t="s" ph="1">
        <v>231</v>
      </c>
      <c r="AZ106" s="64" t="s" ph="1">
        <v>231</v>
      </c>
    </row>
    <row r="107" spans="33:52" ph="1">
      <c r="AH107" s="64" ph="1">
        <v>2</v>
      </c>
      <c r="AI107" s="64" t="s" ph="1">
        <v>497</v>
      </c>
      <c r="AJ107" s="64" t="s" ph="1">
        <v>498</v>
      </c>
      <c r="AK107" s="64" t="s" ph="1">
        <v>228</v>
      </c>
      <c r="AM107" s="64" t="s" ph="1">
        <v>334</v>
      </c>
      <c r="AN107" s="64" t="s" ph="1">
        <v>499</v>
      </c>
      <c r="AO107" s="64" t="s" ph="1">
        <v>500</v>
      </c>
      <c r="AP107" s="64" t="s" ph="1">
        <v>336</v>
      </c>
      <c r="AQ107" s="64" t="s" ph="1">
        <v>304</v>
      </c>
      <c r="AR107" s="64" t="s" ph="1">
        <v>500</v>
      </c>
      <c r="AS107" s="64" t="s" ph="1">
        <v>570</v>
      </c>
      <c r="AT107" s="64" t="s" ph="1">
        <v>499</v>
      </c>
      <c r="AU107" s="64" t="s" ph="1">
        <v>500</v>
      </c>
      <c r="AY107" s="64" t="s" ph="1">
        <v>216</v>
      </c>
      <c r="AZ107" s="64" t="s" ph="1">
        <v>580</v>
      </c>
    </row>
    <row r="108" spans="33:52" ph="1">
      <c r="AH108" s="64" ph="1">
        <v>3</v>
      </c>
      <c r="AI108" s="64" t="s" ph="1">
        <v>501</v>
      </c>
      <c r="AY108" s="64" t="s" ph="1">
        <v>216</v>
      </c>
      <c r="AZ108" s="64" t="s" ph="1">
        <v>367</v>
      </c>
    </row>
    <row r="109" spans="33:52" ph="1">
      <c r="AH109" s="64" ph="1">
        <v>4</v>
      </c>
      <c r="AI109" s="64" t="s" ph="1">
        <v>502</v>
      </c>
      <c r="AY109" s="64" t="s" ph="1">
        <v>216</v>
      </c>
      <c r="AZ109" s="64" t="s" ph="1">
        <v>367</v>
      </c>
    </row>
    <row r="110" spans="33:52" ph="1">
      <c r="AH110" s="64" ph="1">
        <v>5</v>
      </c>
      <c r="AI110" s="64" t="s" ph="1">
        <v>503</v>
      </c>
      <c r="AY110" s="64" t="s" ph="1">
        <v>216</v>
      </c>
      <c r="AZ110" s="64" t="s" ph="1">
        <v>367</v>
      </c>
    </row>
    <row r="111" spans="33:52" ph="1">
      <c r="AH111" s="64" ph="1">
        <v>6</v>
      </c>
      <c r="AI111" s="64" t="s" ph="1">
        <v>581</v>
      </c>
      <c r="AJ111" s="64" t="s" ph="1">
        <v>486</v>
      </c>
      <c r="AK111" s="64" t="s" ph="1">
        <v>225</v>
      </c>
      <c r="AM111" s="64" t="s" ph="1">
        <v>487</v>
      </c>
      <c r="AN111" s="64" t="s" ph="1">
        <v>219</v>
      </c>
      <c r="AO111" s="64" t="s" ph="1">
        <v>500</v>
      </c>
      <c r="AP111" s="64" t="s" ph="1">
        <v>488</v>
      </c>
      <c r="AQ111" s="64" t="s" ph="1">
        <v>228</v>
      </c>
      <c r="AR111" s="64" t="s" ph="1">
        <v>500</v>
      </c>
      <c r="AS111" s="64" t="s" ph="1">
        <v>489</v>
      </c>
      <c r="AT111" s="64" t="s" ph="1">
        <v>237</v>
      </c>
      <c r="AU111" s="64" t="s" ph="1">
        <v>500</v>
      </c>
      <c r="AV111" s="64" t="s" ph="1">
        <v>490</v>
      </c>
      <c r="AW111" s="64" t="s" ph="1">
        <v>227</v>
      </c>
      <c r="AX111" s="64" t="s" ph="1">
        <v>500</v>
      </c>
      <c r="AY111" s="64" t="s" ph="1">
        <v>216</v>
      </c>
      <c r="AZ111" s="64" t="s" ph="1">
        <v>504</v>
      </c>
    </row>
    <row r="112" spans="33:52" ph="1">
      <c r="AJ112" s="64" t="s" ph="1">
        <v>491</v>
      </c>
      <c r="AK112" s="64" t="s" ph="1">
        <v>272</v>
      </c>
      <c r="AM112" s="64" t="s" ph="1">
        <v>493</v>
      </c>
      <c r="AN112" s="64" t="s" ph="1">
        <v>296</v>
      </c>
      <c r="AO112" s="64" t="s" ph="1">
        <v>500</v>
      </c>
      <c r="AP112" s="64" t="s" ph="1">
        <v>494</v>
      </c>
      <c r="AQ112" s="64" t="s" ph="1">
        <v>505</v>
      </c>
      <c r="AR112" s="64" t="s" ph="1">
        <v>500</v>
      </c>
      <c r="AS112" s="64" t="s" ph="1">
        <v>506</v>
      </c>
      <c r="AT112" s="64" t="s" ph="1">
        <v>248</v>
      </c>
      <c r="AU112" s="64" t="s" ph="1">
        <v>500</v>
      </c>
      <c r="AV112" s="64" t="s" ph="1">
        <v>507</v>
      </c>
      <c r="AW112" s="64" t="s" ph="1">
        <v>294</v>
      </c>
      <c r="AX112" s="64" t="s" ph="1">
        <v>500</v>
      </c>
    </row>
    <row r="113" spans="33:52" ph="1">
      <c r="AH113" s="64" ph="1">
        <v>7</v>
      </c>
      <c r="AI113" s="64" t="s" ph="1">
        <v>508</v>
      </c>
      <c r="AJ113" s="64" t="s" ph="1">
        <v>589</v>
      </c>
      <c r="AK113" s="64" t="s" ph="1">
        <v>594</v>
      </c>
      <c r="AY113" s="64" t="s" ph="1">
        <v>216</v>
      </c>
      <c r="AZ113" s="64" t="s" ph="1">
        <v>594</v>
      </c>
    </row>
    <row r="114" spans="33:52" ph="1">
      <c r="AH114" s="64" ph="1">
        <v>8</v>
      </c>
      <c r="AI114" s="64" t="s" ph="1">
        <v>509</v>
      </c>
      <c r="AJ114" s="64" t="s" ph="1">
        <v>589</v>
      </c>
      <c r="AK114" s="64" t="s" ph="1">
        <v>595</v>
      </c>
      <c r="AY114" s="64" t="s" ph="1">
        <v>216</v>
      </c>
      <c r="AZ114" s="64" t="s" ph="1">
        <v>595</v>
      </c>
    </row>
    <row r="115" spans="33:52" ph="1">
      <c r="AH115" s="64" ph="1">
        <v>9</v>
      </c>
      <c r="AI115" s="64" t="s" ph="1">
        <v>510</v>
      </c>
      <c r="AJ115" s="64" t="s" ph="1">
        <v>589</v>
      </c>
      <c r="AK115" s="64" t="s" ph="1">
        <v>595</v>
      </c>
      <c r="AY115" s="64" t="s" ph="1">
        <v>216</v>
      </c>
      <c r="AZ115" s="64" t="s" ph="1">
        <v>595</v>
      </c>
    </row>
    <row r="116" spans="33:52" ph="1">
      <c r="AH116" s="64" ph="1">
        <v>10</v>
      </c>
      <c r="AI116" s="64" t="s" ph="1">
        <v>511</v>
      </c>
      <c r="AJ116" s="64" t="s" ph="1">
        <v>589</v>
      </c>
      <c r="AK116" s="64" t="s" ph="1">
        <v>595</v>
      </c>
      <c r="AY116" s="64" t="s" ph="1">
        <v>216</v>
      </c>
      <c r="AZ116" s="64" t="s" ph="1">
        <v>595</v>
      </c>
    </row>
    <row r="117" spans="33:52" ph="1">
      <c r="AH117" s="64" ph="1">
        <v>11</v>
      </c>
      <c r="AI117" s="64" t="s" ph="1">
        <v>512</v>
      </c>
      <c r="AJ117" s="64" t="s" ph="1">
        <v>589</v>
      </c>
      <c r="AK117" s="64" t="s" ph="1">
        <v>595</v>
      </c>
      <c r="AY117" s="64" t="s" ph="1">
        <v>216</v>
      </c>
      <c r="AZ117" s="64" t="s" ph="1">
        <v>595</v>
      </c>
    </row>
    <row r="118" spans="33:52" ph="1">
      <c r="AZ118" s="64" t="s" ph="1">
        <v>596</v>
      </c>
    </row>
    <row r="119" spans="33:52" ph="1">
      <c r="AI119" s="64" t="s" ph="1">
        <v>209</v>
      </c>
      <c r="AJ119" s="64" t="s" ph="1">
        <v>210</v>
      </c>
      <c r="AK119" s="64" t="s" ph="1">
        <v>211</v>
      </c>
      <c r="AM119" s="64" t="s" ph="1">
        <v>210</v>
      </c>
      <c r="AN119" s="64" t="s" ph="1">
        <v>211</v>
      </c>
      <c r="AO119" s="64" t="s" ph="1">
        <v>212</v>
      </c>
      <c r="AP119" s="64" t="s" ph="1">
        <v>210</v>
      </c>
      <c r="AQ119" s="64" t="s" ph="1">
        <v>211</v>
      </c>
      <c r="AR119" s="64" t="s" ph="1">
        <v>212</v>
      </c>
      <c r="AS119" s="64" t="s" ph="1">
        <v>210</v>
      </c>
      <c r="AT119" s="64" t="s" ph="1">
        <v>211</v>
      </c>
      <c r="AU119" s="64" t="s" ph="1">
        <v>212</v>
      </c>
      <c r="AV119" s="64" t="s" ph="1">
        <v>210</v>
      </c>
      <c r="AW119" s="64" t="s" ph="1">
        <v>211</v>
      </c>
      <c r="AX119" s="64" t="s" ph="1">
        <v>212</v>
      </c>
      <c r="AY119" s="64" t="s" ph="1">
        <v>211</v>
      </c>
      <c r="AZ119" s="64" t="s" ph="1">
        <v>213</v>
      </c>
    </row>
    <row r="120" spans="33:52" ph="1">
      <c r="AG120" s="64" t="s" ph="1">
        <v>353</v>
      </c>
      <c r="AH120" s="64" ph="1">
        <v>1</v>
      </c>
      <c r="AI120" s="64" t="s" ph="1">
        <v>513</v>
      </c>
      <c r="AJ120" s="64" t="s" ph="1">
        <v>587</v>
      </c>
      <c r="AK120" s="64" t="s" ph="1">
        <v>367</v>
      </c>
      <c r="AY120" s="64" t="s" ph="1">
        <v>216</v>
      </c>
      <c r="AZ120" s="64" t="s" ph="1">
        <v>367</v>
      </c>
    </row>
    <row r="121" spans="33:52" ph="1">
      <c r="AH121" s="64" ph="1">
        <v>2</v>
      </c>
      <c r="AI121" s="64" t="s" ph="1">
        <v>514</v>
      </c>
      <c r="AY121" s="64" t="s" ph="1">
        <v>216</v>
      </c>
      <c r="AZ121" s="64" t="s" ph="1">
        <v>367</v>
      </c>
    </row>
    <row r="122" spans="33:52" ph="1">
      <c r="AH122" s="64" ph="1">
        <v>3</v>
      </c>
      <c r="AI122" s="64" t="s" ph="1">
        <v>515</v>
      </c>
      <c r="AJ122" s="64" t="s" ph="1">
        <v>570</v>
      </c>
      <c r="AK122" s="64" t="s" ph="1">
        <v>582</v>
      </c>
      <c r="AM122" s="64" t="s" ph="1">
        <v>597</v>
      </c>
      <c r="AN122" s="64" t="s" ph="1">
        <v>590</v>
      </c>
      <c r="AO122" s="64" t="s" ph="1">
        <v>91</v>
      </c>
      <c r="AY122" s="64" t="s" ph="1">
        <v>216</v>
      </c>
      <c r="AZ122" s="64" t="s" ph="1">
        <v>579</v>
      </c>
    </row>
    <row r="123" spans="33:52" ph="1">
      <c r="AY123" s="64" t="s" ph="1">
        <v>216</v>
      </c>
      <c r="AZ123" s="64" t="s" ph="1">
        <v>579</v>
      </c>
    </row>
    <row r="124" spans="33:52" ph="1">
      <c r="AG124" s="64" t="s" ph="1">
        <v>356</v>
      </c>
      <c r="AH124" s="64" ph="1">
        <v>4</v>
      </c>
      <c r="AI124" s="64" t="s" ph="1">
        <v>516</v>
      </c>
      <c r="AJ124" s="64" t="s" ph="1">
        <v>517</v>
      </c>
      <c r="AK124" s="64" t="s" ph="1">
        <v>518</v>
      </c>
      <c r="AY124" s="64" t="s" ph="1">
        <v>216</v>
      </c>
      <c r="AZ124" s="64" t="s" ph="1">
        <v>518</v>
      </c>
    </row>
    <row r="125" spans="33:52" ph="1">
      <c r="AH125" s="64" ph="1">
        <v>5</v>
      </c>
      <c r="AI125" s="64" t="s" ph="1">
        <v>519</v>
      </c>
      <c r="AJ125" s="64" t="s" ph="1">
        <v>517</v>
      </c>
      <c r="AK125" s="64" t="s" ph="1">
        <v>518</v>
      </c>
      <c r="AY125" s="64" t="s" ph="1">
        <v>216</v>
      </c>
      <c r="AZ125" s="64" t="s" ph="1">
        <v>518</v>
      </c>
    </row>
    <row r="126" spans="33:52" ph="1">
      <c r="AH126" s="64" ph="1">
        <v>6</v>
      </c>
      <c r="AI126" s="64" t="s" ph="1">
        <v>520</v>
      </c>
      <c r="AJ126" s="64" t="s" ph="1">
        <v>589</v>
      </c>
      <c r="AK126" s="64" t="s" ph="1">
        <v>598</v>
      </c>
      <c r="AY126" s="64" t="s" ph="1">
        <v>216</v>
      </c>
      <c r="AZ126" s="64" t="s" ph="1">
        <v>598</v>
      </c>
    </row>
    <row r="127" spans="33:52" ph="1">
      <c r="AH127" s="64" ph="1">
        <v>7</v>
      </c>
      <c r="AI127" s="64" t="s" ph="1">
        <v>521</v>
      </c>
      <c r="AJ127" s="64" t="s" ph="1">
        <v>589</v>
      </c>
      <c r="AK127" s="64" t="s" ph="1">
        <v>599</v>
      </c>
      <c r="AY127" s="64" t="s" ph="1">
        <v>216</v>
      </c>
      <c r="AZ127" s="64" t="s" ph="1">
        <v>599</v>
      </c>
    </row>
    <row r="128" spans="33:52" ph="1">
      <c r="AH128" s="64" ph="1">
        <v>8</v>
      </c>
      <c r="AI128" s="64" t="s" ph="1">
        <v>522</v>
      </c>
      <c r="AY128" s="64" t="s" ph="1">
        <v>216</v>
      </c>
      <c r="AZ128" s="64" t="s" ph="1">
        <v>367</v>
      </c>
    </row>
    <row r="129" spans="33:52" ph="1">
      <c r="AH129" s="64" ph="1">
        <v>9</v>
      </c>
      <c r="AI129" s="64" t="s" ph="1">
        <v>523</v>
      </c>
      <c r="AY129" s="64" t="s" ph="1">
        <v>216</v>
      </c>
      <c r="AZ129" s="64" t="s" ph="1">
        <v>367</v>
      </c>
    </row>
    <row r="130" spans="33:52" ph="1">
      <c r="AH130" s="64" ph="1">
        <v>10</v>
      </c>
      <c r="AI130" s="64" t="s" ph="1">
        <v>524</v>
      </c>
      <c r="AY130" s="64" t="s" ph="1">
        <v>216</v>
      </c>
      <c r="AZ130" s="64" t="s" ph="1">
        <v>367</v>
      </c>
    </row>
    <row r="131" spans="33:52" ph="1">
      <c r="AH131" s="64" ph="1">
        <v>11</v>
      </c>
      <c r="AI131" s="64" t="s" ph="1">
        <v>525</v>
      </c>
      <c r="AJ131" s="64" t="s" ph="1">
        <v>583</v>
      </c>
      <c r="AK131" s="64" t="s" ph="1">
        <v>579</v>
      </c>
      <c r="AY131" s="64" t="s" ph="1">
        <v>216</v>
      </c>
      <c r="AZ131" s="64" t="s" ph="1">
        <v>579</v>
      </c>
    </row>
    <row r="132" spans="33:52" ph="1">
      <c r="AH132" s="64" ph="1">
        <v>12</v>
      </c>
      <c r="AI132" s="64" t="s" ph="1">
        <v>526</v>
      </c>
      <c r="AJ132" s="64" t="s" ph="1">
        <v>583</v>
      </c>
      <c r="AK132" s="64" t="s" ph="1">
        <v>518</v>
      </c>
      <c r="AY132" s="64" t="s" ph="1">
        <v>216</v>
      </c>
      <c r="AZ132" s="64" t="s" ph="1">
        <v>518</v>
      </c>
    </row>
    <row r="133" spans="33:52" ph="1">
      <c r="AH133" s="64" ph="1">
        <v>13</v>
      </c>
      <c r="AI133" s="64" t="s" ph="1">
        <v>527</v>
      </c>
      <c r="AJ133" s="64" t="s" ph="1">
        <v>583</v>
      </c>
      <c r="AK133" s="64" t="s" ph="1">
        <v>584</v>
      </c>
      <c r="AY133" s="64" t="s" ph="1">
        <v>216</v>
      </c>
      <c r="AZ133" s="64" t="s" ph="1">
        <v>584</v>
      </c>
    </row>
    <row r="134" spans="33:52" ph="1">
      <c r="AH134" s="64" ph="1">
        <v>14</v>
      </c>
      <c r="AI134" s="64" t="s" ph="1">
        <v>528</v>
      </c>
      <c r="AJ134" s="64" t="s" ph="1">
        <v>583</v>
      </c>
      <c r="AK134" s="64" t="s" ph="1">
        <v>585</v>
      </c>
      <c r="AY134" s="64" t="s" ph="1">
        <v>216</v>
      </c>
      <c r="AZ134" s="64" t="s" ph="1">
        <v>585</v>
      </c>
    </row>
    <row r="135" spans="33:52" ph="1">
      <c r="AH135" s="64" ph="1">
        <v>15</v>
      </c>
      <c r="AI135" s="64" t="s" ph="1">
        <v>529</v>
      </c>
      <c r="AJ135" s="64" t="s" ph="1">
        <v>583</v>
      </c>
      <c r="AK135" s="64" t="s" ph="1">
        <v>586</v>
      </c>
      <c r="AY135" s="64" t="s" ph="1">
        <v>216</v>
      </c>
      <c r="AZ135" s="64" t="s" ph="1">
        <v>586</v>
      </c>
    </row>
    <row r="136" spans="33:52" ph="1">
      <c r="AZ136" s="64" t="s" ph="1">
        <v>600</v>
      </c>
    </row>
    <row r="137" spans="33:52" ph="1">
      <c r="AG137" s="64" t="s" ph="1">
        <v>290</v>
      </c>
      <c r="AI137" s="64" t="s" ph="1">
        <v>209</v>
      </c>
      <c r="AJ137" s="64" t="s" ph="1">
        <v>210</v>
      </c>
      <c r="AK137" s="64" t="s" ph="1">
        <v>211</v>
      </c>
      <c r="AM137" s="64" t="s" ph="1">
        <v>210</v>
      </c>
      <c r="AN137" s="64" t="s" ph="1">
        <v>211</v>
      </c>
      <c r="AO137" s="64" t="s" ph="1">
        <v>212</v>
      </c>
      <c r="AP137" s="64" t="s" ph="1">
        <v>210</v>
      </c>
      <c r="AQ137" s="64" t="s" ph="1">
        <v>211</v>
      </c>
      <c r="AR137" s="64" t="s" ph="1">
        <v>212</v>
      </c>
      <c r="AS137" s="64" t="s" ph="1">
        <v>210</v>
      </c>
      <c r="AT137" s="64" t="s" ph="1">
        <v>211</v>
      </c>
      <c r="AU137" s="64" t="s" ph="1">
        <v>212</v>
      </c>
      <c r="AV137" s="64" t="s" ph="1">
        <v>210</v>
      </c>
      <c r="AW137" s="64" t="s" ph="1">
        <v>211</v>
      </c>
      <c r="AX137" s="64" t="s" ph="1">
        <v>212</v>
      </c>
      <c r="AY137" s="64" t="s" ph="1">
        <v>211</v>
      </c>
      <c r="AZ137" s="64" t="s" ph="1">
        <v>213</v>
      </c>
    </row>
    <row r="138" spans="33:52" ph="1">
      <c r="AH138" s="64" ph="1">
        <v>1</v>
      </c>
      <c r="AI138" s="64" t="s" ph="1">
        <v>530</v>
      </c>
      <c r="AJ138" s="64" t="s" ph="1">
        <v>531</v>
      </c>
      <c r="AK138" s="64" t="s" ph="1">
        <v>532</v>
      </c>
      <c r="AY138" s="64" t="s" ph="1">
        <v>216</v>
      </c>
      <c r="AZ138" s="64" t="s" ph="1">
        <v>532</v>
      </c>
    </row>
    <row r="139" spans="33:52" ph="1">
      <c r="AH139" s="64" ph="1">
        <v>2</v>
      </c>
      <c r="AI139" s="64" t="s" ph="1">
        <v>533</v>
      </c>
      <c r="AJ139" s="64" t="s" ph="1">
        <v>589</v>
      </c>
      <c r="AK139" s="64" t="s" ph="1">
        <v>601</v>
      </c>
      <c r="AY139" s="64" t="s" ph="1">
        <v>216</v>
      </c>
      <c r="AZ139" s="64" t="s" ph="1">
        <v>601</v>
      </c>
    </row>
    <row r="140" spans="33:52" ph="1">
      <c r="AH140" s="64" ph="1">
        <v>3</v>
      </c>
      <c r="AI140" s="64" t="s" ph="1">
        <v>534</v>
      </c>
      <c r="AJ140" s="64" t="s" ph="1">
        <v>487</v>
      </c>
      <c r="AK140" s="64" t="s" ph="1">
        <v>299</v>
      </c>
      <c r="AM140" s="64" t="s" ph="1">
        <v>488</v>
      </c>
      <c r="AN140" s="64" t="s" ph="1">
        <v>219</v>
      </c>
      <c r="AO140" s="64" t="s" ph="1">
        <v>535</v>
      </c>
      <c r="AP140" s="64" t="s" ph="1">
        <v>489</v>
      </c>
      <c r="AQ140" s="64" t="s" ph="1">
        <v>236</v>
      </c>
      <c r="AR140" s="64" t="s" ph="1">
        <v>535</v>
      </c>
      <c r="AS140" s="64" t="s" ph="1">
        <v>490</v>
      </c>
      <c r="AT140" s="64" t="s" ph="1">
        <v>229</v>
      </c>
      <c r="AU140" s="64" t="s" ph="1">
        <v>535</v>
      </c>
      <c r="AV140" s="64" t="s" ph="1">
        <v>491</v>
      </c>
      <c r="AW140" s="64" t="s" ph="1">
        <v>222</v>
      </c>
      <c r="AX140" s="64" t="s" ph="1">
        <v>535</v>
      </c>
      <c r="AY140" s="64" t="s" ph="1">
        <v>216</v>
      </c>
      <c r="AZ140" s="64" t="s" ph="1">
        <v>291</v>
      </c>
    </row>
    <row r="141" spans="33:52" ph="1">
      <c r="AJ141" s="64" t="s" ph="1">
        <v>493</v>
      </c>
      <c r="AK141" s="64" t="s" ph="1">
        <v>222</v>
      </c>
      <c r="AM141" s="64" t="s" ph="1">
        <v>494</v>
      </c>
      <c r="AN141" s="64" t="s" ph="1">
        <v>225</v>
      </c>
      <c r="AO141" s="64" t="s" ph="1">
        <v>535</v>
      </c>
      <c r="AP141" s="64" t="s" ph="1">
        <v>506</v>
      </c>
      <c r="AQ141" s="64" t="s" ph="1">
        <v>294</v>
      </c>
      <c r="AR141" s="64" t="s" ph="1">
        <v>535</v>
      </c>
      <c r="AS141" s="64" t="s" ph="1">
        <v>498</v>
      </c>
      <c r="AT141" s="64" t="s" ph="1">
        <v>222</v>
      </c>
      <c r="AU141" s="64" t="s" ph="1">
        <v>535</v>
      </c>
      <c r="AV141" s="64" t="s" ph="1">
        <v>334</v>
      </c>
      <c r="AW141" s="64" t="s" ph="1">
        <v>228</v>
      </c>
      <c r="AX141" s="64" t="s" ph="1">
        <v>535</v>
      </c>
    </row>
    <row r="142" spans="33:52" ph="1">
      <c r="AJ142" s="64" t="s" ph="1">
        <v>536</v>
      </c>
      <c r="AK142" s="64" t="s" ph="1">
        <v>239</v>
      </c>
    </row>
    <row r="143" spans="33:52" ph="1">
      <c r="AH143" s="64" ph="1">
        <v>4</v>
      </c>
      <c r="AI143" s="64" t="s" ph="1">
        <v>537</v>
      </c>
      <c r="AJ143" s="64" t="s" ph="1">
        <v>517</v>
      </c>
      <c r="AK143" s="64" t="s" ph="1">
        <v>538</v>
      </c>
      <c r="AY143" s="64" t="s" ph="1">
        <v>216</v>
      </c>
      <c r="AZ143" s="64" t="s" ph="1">
        <v>538</v>
      </c>
    </row>
    <row r="144" spans="33:52" ph="1">
      <c r="AH144" s="64" ph="1">
        <v>5</v>
      </c>
      <c r="AI144" s="64" t="s" ph="1">
        <v>539</v>
      </c>
      <c r="AY144" s="64" t="s" ph="1">
        <v>216</v>
      </c>
      <c r="AZ144" s="64" t="s" ph="1">
        <v>367</v>
      </c>
    </row>
    <row r="145" spans="33:52" ph="1">
      <c r="AH145" s="64" ph="1">
        <v>6</v>
      </c>
      <c r="AI145" s="64" t="s" ph="1">
        <v>540</v>
      </c>
      <c r="AY145" s="64" t="s" ph="1">
        <v>216</v>
      </c>
      <c r="AZ145" s="64" t="s" ph="1">
        <v>367</v>
      </c>
    </row>
    <row r="146" spans="33:52" ph="1">
      <c r="AH146" s="64" ph="1">
        <v>7</v>
      </c>
      <c r="AI146" s="64" t="s" ph="1">
        <v>541</v>
      </c>
      <c r="AY146" s="64" t="s" ph="1">
        <v>216</v>
      </c>
      <c r="AZ146" s="64" t="s" ph="1">
        <v>367</v>
      </c>
    </row>
    <row r="147" spans="33:52" ph="1">
      <c r="AH147" s="64" ph="1">
        <v>8</v>
      </c>
      <c r="AI147" s="64" t="s" ph="1">
        <v>542</v>
      </c>
      <c r="AY147" s="64" t="s" ph="1">
        <v>216</v>
      </c>
      <c r="AZ147" s="64" t="s" ph="1">
        <v>367</v>
      </c>
    </row>
    <row r="148" spans="33:52" ph="1">
      <c r="AH148" s="64" ph="1">
        <v>9</v>
      </c>
      <c r="AI148" s="64" t="s" ph="1">
        <v>543</v>
      </c>
      <c r="AY148" s="64" t="s" ph="1">
        <v>216</v>
      </c>
      <c r="AZ148" s="64" t="s" ph="1">
        <v>367</v>
      </c>
    </row>
    <row r="149" spans="33:52" ph="1">
      <c r="AH149" s="64" ph="1">
        <v>10</v>
      </c>
      <c r="AI149" s="64" t="s" ph="1">
        <v>544</v>
      </c>
      <c r="AY149" s="64" t="s" ph="1">
        <v>216</v>
      </c>
      <c r="AZ149" s="64" t="s" ph="1">
        <v>367</v>
      </c>
    </row>
    <row r="150" spans="33:52" ph="1">
      <c r="AH150" s="64" ph="1">
        <v>11</v>
      </c>
      <c r="AI150" s="64" t="s" ph="1">
        <v>545</v>
      </c>
      <c r="AY150" s="64" t="s" ph="1">
        <v>216</v>
      </c>
      <c r="AZ150" s="64" t="s" ph="1">
        <v>367</v>
      </c>
    </row>
    <row r="151" spans="33:52" ph="1">
      <c r="AH151" s="64" ph="1">
        <v>12</v>
      </c>
      <c r="AI151" s="64" t="s" ph="1">
        <v>546</v>
      </c>
      <c r="AY151" s="64" t="s" ph="1">
        <v>216</v>
      </c>
      <c r="AZ151" s="64" t="s" ph="1">
        <v>367</v>
      </c>
    </row>
    <row r="152" spans="33:52" ph="1">
      <c r="AH152" s="64" ph="1">
        <v>13</v>
      </c>
      <c r="AI152" s="64" t="s" ph="1">
        <v>547</v>
      </c>
      <c r="AY152" s="64" t="s" ph="1">
        <v>216</v>
      </c>
      <c r="AZ152" s="64" t="s" ph="1">
        <v>367</v>
      </c>
    </row>
    <row r="153" spans="33:52" ph="1">
      <c r="AH153" s="64" ph="1">
        <v>14</v>
      </c>
      <c r="AI153" s="64" t="s" ph="1">
        <v>548</v>
      </c>
      <c r="AY153" s="64" t="s" ph="1">
        <v>216</v>
      </c>
      <c r="AZ153" s="64" t="s" ph="1">
        <v>367</v>
      </c>
    </row>
    <row r="154" spans="33:52" ph="1">
      <c r="AH154" s="64" ph="1">
        <v>15</v>
      </c>
      <c r="AI154" s="64" t="s" ph="1">
        <v>549</v>
      </c>
      <c r="AY154" s="64" t="s" ph="1">
        <v>216</v>
      </c>
      <c r="AZ154" s="64" t="s" ph="1">
        <v>367</v>
      </c>
    </row>
    <row r="155" spans="33:52" ph="1">
      <c r="AH155" s="64" ph="1">
        <v>16</v>
      </c>
      <c r="AI155" s="64" t="s" ph="1">
        <v>550</v>
      </c>
      <c r="AJ155" s="64" t="s" ph="1">
        <v>336</v>
      </c>
      <c r="AK155" s="64" t="s" ph="1">
        <v>231</v>
      </c>
      <c r="AM155" s="64" t="s" ph="1">
        <v>570</v>
      </c>
      <c r="AN155" s="64" t="s" ph="1">
        <v>282</v>
      </c>
      <c r="AO155" s="64" t="s" ph="1">
        <v>535</v>
      </c>
      <c r="AY155" s="64" t="s" ph="1">
        <v>216</v>
      </c>
      <c r="AZ155" s="64" t="s" ph="1">
        <v>223</v>
      </c>
    </row>
    <row r="156" spans="33:52" ph="1">
      <c r="AZ156" s="64" t="s" ph="1">
        <v>602</v>
      </c>
    </row>
    <row r="157" spans="33:52" ph="1">
      <c r="AG157" s="64" t="s" ph="1">
        <v>551</v>
      </c>
      <c r="AI157" s="64" t="s" ph="1">
        <v>209</v>
      </c>
      <c r="AJ157" s="64" t="s" ph="1">
        <v>210</v>
      </c>
      <c r="AK157" s="64" t="s" ph="1">
        <v>211</v>
      </c>
      <c r="AM157" s="64" t="s" ph="1">
        <v>210</v>
      </c>
      <c r="AN157" s="64" t="s" ph="1">
        <v>211</v>
      </c>
      <c r="AO157" s="64" t="s" ph="1">
        <v>212</v>
      </c>
      <c r="AP157" s="64" t="s" ph="1">
        <v>210</v>
      </c>
      <c r="AQ157" s="64" t="s" ph="1">
        <v>211</v>
      </c>
      <c r="AR157" s="64" t="s" ph="1">
        <v>212</v>
      </c>
      <c r="AS157" s="64" t="s" ph="1">
        <v>210</v>
      </c>
      <c r="AT157" s="64" t="s" ph="1">
        <v>211</v>
      </c>
      <c r="AU157" s="64" t="s" ph="1">
        <v>212</v>
      </c>
      <c r="AV157" s="64" t="s" ph="1">
        <v>210</v>
      </c>
      <c r="AW157" s="64" t="s" ph="1">
        <v>211</v>
      </c>
      <c r="AX157" s="64" t="s" ph="1">
        <v>212</v>
      </c>
      <c r="AY157" s="64" t="s" ph="1">
        <v>211</v>
      </c>
      <c r="AZ157" s="64" t="s" ph="1">
        <v>213</v>
      </c>
    </row>
    <row r="158" spans="33:52" ph="1">
      <c r="AH158" s="64" ph="1">
        <v>1</v>
      </c>
      <c r="AI158" s="64" t="s" ph="1">
        <v>552</v>
      </c>
      <c r="AY158" s="64" t="s" ph="1">
        <v>216</v>
      </c>
      <c r="AZ158" s="64" t="s" ph="1">
        <v>367</v>
      </c>
    </row>
    <row r="159" spans="33:52" ph="1">
      <c r="AH159" s="64" ph="1">
        <v>2</v>
      </c>
      <c r="AI159" s="64" t="s" ph="1">
        <v>553</v>
      </c>
      <c r="AY159" s="64" t="s" ph="1">
        <v>216</v>
      </c>
      <c r="AZ159" s="64" t="s" ph="1">
        <v>367</v>
      </c>
    </row>
    <row r="160" spans="33:52" ph="1">
      <c r="AZ160" s="64" t="s" ph="1">
        <v>385</v>
      </c>
    </row>
    <row r="161" spans="33:52" ph="1">
      <c r="AG161" s="64" t="s" ph="1">
        <v>361</v>
      </c>
      <c r="AI161" s="64" t="s" ph="1">
        <v>209</v>
      </c>
      <c r="AJ161" s="64" t="s" ph="1">
        <v>210</v>
      </c>
      <c r="AK161" s="64" t="s" ph="1">
        <v>211</v>
      </c>
      <c r="AM161" s="64" t="s" ph="1">
        <v>210</v>
      </c>
      <c r="AN161" s="64" t="s" ph="1">
        <v>211</v>
      </c>
      <c r="AO161" s="64" t="s" ph="1">
        <v>212</v>
      </c>
      <c r="AP161" s="64" t="s" ph="1">
        <v>210</v>
      </c>
      <c r="AQ161" s="64" t="s" ph="1">
        <v>211</v>
      </c>
      <c r="AR161" s="64" t="s" ph="1">
        <v>212</v>
      </c>
      <c r="AS161" s="64" t="s" ph="1">
        <v>210</v>
      </c>
      <c r="AT161" s="64" t="s" ph="1">
        <v>211</v>
      </c>
      <c r="AU161" s="64" t="s" ph="1">
        <v>212</v>
      </c>
      <c r="AV161" s="64" t="s" ph="1">
        <v>210</v>
      </c>
      <c r="AW161" s="64" t="s" ph="1">
        <v>211</v>
      </c>
      <c r="AX161" s="64" t="s" ph="1">
        <v>212</v>
      </c>
      <c r="AY161" s="64" t="s" ph="1">
        <v>211</v>
      </c>
      <c r="AZ161" s="64" t="s" ph="1">
        <v>213</v>
      </c>
    </row>
    <row r="162" spans="33:52" ph="1">
      <c r="AH162" s="64" ph="1">
        <v>1</v>
      </c>
      <c r="AI162" s="64" t="s" ph="1">
        <v>554</v>
      </c>
      <c r="AJ162" s="64" t="s" ph="1">
        <v>555</v>
      </c>
      <c r="AK162" s="64" t="s" ph="1">
        <v>499</v>
      </c>
      <c r="AM162" s="64" t="s" ph="1">
        <v>556</v>
      </c>
      <c r="AN162" s="64" t="s" ph="1">
        <v>220</v>
      </c>
      <c r="AO162" s="64" t="s" ph="1">
        <v>557</v>
      </c>
      <c r="AY162" s="64" t="s" ph="1">
        <v>216</v>
      </c>
      <c r="AZ162" s="64" t="s" ph="1">
        <v>292</v>
      </c>
    </row>
    <row r="163" spans="33:52" ph="1">
      <c r="AH163" s="64" ph="1">
        <v>2</v>
      </c>
      <c r="AI163" s="64" t="s" ph="1">
        <v>558</v>
      </c>
      <c r="AJ163" s="64" t="s" ph="1">
        <v>555</v>
      </c>
      <c r="AK163" s="64" t="s" ph="1">
        <v>388</v>
      </c>
      <c r="AY163" s="64" t="s" ph="1">
        <v>216</v>
      </c>
      <c r="AZ163" s="64" t="s" ph="1">
        <v>388</v>
      </c>
    </row>
    <row r="164" spans="33:52" ph="1">
      <c r="AH164" s="64" ph="1">
        <v>3</v>
      </c>
      <c r="AI164" s="64" t="s" ph="1">
        <v>559</v>
      </c>
      <c r="AJ164" s="64" t="s" ph="1">
        <v>555</v>
      </c>
      <c r="AK164" s="64" t="s" ph="1">
        <v>292</v>
      </c>
      <c r="AY164" s="64" t="s" ph="1">
        <v>216</v>
      </c>
      <c r="AZ164" s="64" t="s" ph="1">
        <v>292</v>
      </c>
    </row>
    <row r="165" spans="33:52" ph="1">
      <c r="AH165" s="64" ph="1">
        <v>4</v>
      </c>
      <c r="AI165" s="64" t="s" ph="1">
        <v>560</v>
      </c>
      <c r="AY165" s="64" t="s" ph="1">
        <v>216</v>
      </c>
      <c r="AZ165" s="64" t="s" ph="1">
        <v>367</v>
      </c>
    </row>
    <row r="166" spans="33:52" ph="1">
      <c r="AH166" s="64" ph="1">
        <v>5</v>
      </c>
      <c r="AI166" s="64" t="s" ph="1">
        <v>561</v>
      </c>
      <c r="AY166" s="64" t="s" ph="1">
        <v>216</v>
      </c>
      <c r="AZ166" s="64" t="s" ph="1">
        <v>367</v>
      </c>
    </row>
    <row r="167" spans="33:52" ph="1">
      <c r="AZ167" s="64" t="s" ph="1">
        <v>562</v>
      </c>
    </row>
    <row r="168" spans="33:52" ph="1">
      <c r="AG168" s="64" t="s" ph="1">
        <v>305</v>
      </c>
      <c r="AI168" s="64" t="s" ph="1">
        <v>209</v>
      </c>
      <c r="AJ168" s="64" t="s" ph="1">
        <v>210</v>
      </c>
      <c r="AK168" s="64" t="s" ph="1">
        <v>211</v>
      </c>
      <c r="AM168" s="64" t="s" ph="1">
        <v>210</v>
      </c>
      <c r="AN168" s="64" t="s" ph="1">
        <v>211</v>
      </c>
      <c r="AO168" s="64" t="s" ph="1">
        <v>212</v>
      </c>
      <c r="AP168" s="64" t="s" ph="1">
        <v>210</v>
      </c>
      <c r="AQ168" s="64" t="s" ph="1">
        <v>211</v>
      </c>
      <c r="AR168" s="64" t="s" ph="1">
        <v>212</v>
      </c>
      <c r="AS168" s="64" t="s" ph="1">
        <v>210</v>
      </c>
      <c r="AT168" s="64" t="s" ph="1">
        <v>211</v>
      </c>
      <c r="AU168" s="64" t="s" ph="1">
        <v>212</v>
      </c>
      <c r="AV168" s="64" t="s" ph="1">
        <v>210</v>
      </c>
      <c r="AW168" s="64" t="s" ph="1">
        <v>211</v>
      </c>
      <c r="AX168" s="64" t="s" ph="1">
        <v>212</v>
      </c>
      <c r="AY168" s="64" t="s" ph="1">
        <v>211</v>
      </c>
      <c r="AZ168" s="64" t="s" ph="1">
        <v>213</v>
      </c>
    </row>
    <row r="169" spans="33:52" ph="1">
      <c r="AH169" s="64" ph="1">
        <v>1</v>
      </c>
      <c r="AI169" s="64" t="s" ph="1">
        <v>563</v>
      </c>
      <c r="AY169" s="64" t="s" ph="1">
        <v>216</v>
      </c>
      <c r="AZ169" s="64" t="s" ph="1">
        <v>367</v>
      </c>
    </row>
    <row r="170" spans="33:52" ph="1">
      <c r="AH170" s="64" ph="1">
        <v>2</v>
      </c>
      <c r="AI170" s="64" t="s" ph="1">
        <v>564</v>
      </c>
      <c r="AY170" s="64" t="s" ph="1">
        <v>216</v>
      </c>
      <c r="AZ170" s="64" t="s" ph="1">
        <v>367</v>
      </c>
    </row>
    <row r="171" spans="33:52" ph="1">
      <c r="AH171" s="64" ph="1">
        <v>3</v>
      </c>
      <c r="AI171" s="64" t="s" ph="1">
        <v>565</v>
      </c>
      <c r="AY171" s="64" t="s" ph="1">
        <v>216</v>
      </c>
      <c r="AZ171" s="64" t="s" ph="1">
        <v>367</v>
      </c>
    </row>
    <row r="172" spans="33:52" ph="1">
      <c r="AH172" s="64" ph="1">
        <v>4</v>
      </c>
      <c r="AI172" s="64" t="s" ph="1">
        <v>566</v>
      </c>
      <c r="AY172" s="64" t="s" ph="1">
        <v>216</v>
      </c>
      <c r="AZ172" s="64" t="s" ph="1">
        <v>367</v>
      </c>
    </row>
    <row r="173" spans="33:52" ph="1">
      <c r="AH173" s="64" ph="1">
        <v>5</v>
      </c>
      <c r="AI173" s="64" t="s" ph="1">
        <v>567</v>
      </c>
      <c r="AY173" s="64" t="s" ph="1">
        <v>216</v>
      </c>
      <c r="AZ173" s="64" t="s" ph="1">
        <v>367</v>
      </c>
    </row>
    <row r="174" spans="33:52" ph="1">
      <c r="AZ174" s="64" t="s" ph="1">
        <v>385</v>
      </c>
    </row>
    <row r="175" spans="33:52" ph="1">
      <c r="AJ175" s="64" t="s" ph="1">
        <v>306</v>
      </c>
    </row>
    <row r="176" spans="33:52" ph="1">
      <c r="AJ176" s="64" t="s" ph="1">
        <v>307</v>
      </c>
      <c r="AK176" s="64" t="s" ph="1">
        <v>308</v>
      </c>
      <c r="AM176" s="64" t="s" ph="1">
        <v>309</v>
      </c>
      <c r="AO176" s="64" t="s" ph="1">
        <v>310</v>
      </c>
      <c r="AP176" s="64" t="s" ph="1">
        <v>311</v>
      </c>
      <c r="AQ176" s="64" t="s" ph="1">
        <v>301</v>
      </c>
      <c r="AR176" s="64" t="s" ph="1">
        <v>221</v>
      </c>
    </row>
    <row r="177" spans="36:56" ph="1">
      <c r="AJ177" s="64" t="s" ph="1">
        <v>603</v>
      </c>
      <c r="AK177" s="64" t="s" ph="1">
        <v>312</v>
      </c>
      <c r="AO177" s="64" t="s" ph="1">
        <v>312</v>
      </c>
      <c r="AP177" s="64" t="s" ph="1">
        <v>312</v>
      </c>
      <c r="AQ177" s="64" t="s" ph="1">
        <v>313</v>
      </c>
      <c r="AR177" s="64" t="s" ph="1">
        <v>314</v>
      </c>
    </row>
    <row r="179" spans="36:56" ph="1">
      <c r="AJ179" s="64" t="s" ph="1">
        <v>315</v>
      </c>
      <c r="AK179" s="64" t="s" ph="1">
        <v>316</v>
      </c>
      <c r="AM179" s="64" t="s" ph="1">
        <v>317</v>
      </c>
      <c r="AN179" s="64" t="s" ph="1">
        <v>293</v>
      </c>
      <c r="AO179" s="64" t="s" ph="1">
        <v>318</v>
      </c>
      <c r="AP179" s="64" t="s" ph="1">
        <v>297</v>
      </c>
      <c r="AQ179" s="64" t="s" ph="1">
        <v>319</v>
      </c>
      <c r="AR179" s="64" t="s" ph="1">
        <v>320</v>
      </c>
    </row>
    <row r="180" spans="36:56" ph="1">
      <c r="AJ180" s="64" t="s" ph="1">
        <v>312</v>
      </c>
      <c r="AK180" s="64" t="s" ph="1">
        <v>312</v>
      </c>
      <c r="AL180" s="64" ph="1">
        <v>116</v>
      </c>
      <c r="AM180" s="64" t="s" ph="1">
        <v>312</v>
      </c>
      <c r="AN180" s="64" t="s" ph="1">
        <v>321</v>
      </c>
      <c r="AO180" s="64" t="s" ph="1">
        <v>312</v>
      </c>
      <c r="AP180" s="64" t="s" ph="1">
        <v>322</v>
      </c>
      <c r="AQ180" s="64" t="s" ph="1">
        <v>323</v>
      </c>
      <c r="AR180" s="64" t="s" ph="1">
        <v>324</v>
      </c>
    </row>
    <row r="189" spans="36:56" ph="1">
      <c r="BD189" s="64" t="s" ph="1">
        <v>568</v>
      </c>
    </row>
    <row r="223" spans="18:18" ph="1">
      <c r="R223" s="135" ph="1">
        <v>45496</v>
      </c>
    </row>
  </sheetData>
  <mergeCells count="58">
    <mergeCell ref="I36:J36"/>
    <mergeCell ref="R36:S36"/>
    <mergeCell ref="AB36:AC36"/>
    <mergeCell ref="AD36:AE36"/>
    <mergeCell ref="Z33:Z34"/>
    <mergeCell ref="AA33:AA34"/>
    <mergeCell ref="AB33:AB34"/>
    <mergeCell ref="AC33:AC34"/>
    <mergeCell ref="AD33:AE34"/>
    <mergeCell ref="AC35:AE35"/>
    <mergeCell ref="T33:T34"/>
    <mergeCell ref="U33:U34"/>
    <mergeCell ref="V33:V34"/>
    <mergeCell ref="W33:W34"/>
    <mergeCell ref="X33:X34"/>
    <mergeCell ref="Y33:Y34"/>
    <mergeCell ref="N33:N34"/>
    <mergeCell ref="O33:O34"/>
    <mergeCell ref="P33:P34"/>
    <mergeCell ref="Q33:Q34"/>
    <mergeCell ref="R33:R34"/>
    <mergeCell ref="S33:S34"/>
    <mergeCell ref="H33:H34"/>
    <mergeCell ref="I33:I34"/>
    <mergeCell ref="J33:J34"/>
    <mergeCell ref="K33:K34"/>
    <mergeCell ref="L33:L34"/>
    <mergeCell ref="M33:M34"/>
    <mergeCell ref="S31:U31"/>
    <mergeCell ref="V31:X31"/>
    <mergeCell ref="Y31:AA31"/>
    <mergeCell ref="AB31:AE31"/>
    <mergeCell ref="AD32:AE32"/>
    <mergeCell ref="B33:C34"/>
    <mergeCell ref="D33:D34"/>
    <mergeCell ref="E33:E34"/>
    <mergeCell ref="F33:F34"/>
    <mergeCell ref="G33:G34"/>
    <mergeCell ref="B31:C32"/>
    <mergeCell ref="D31:F31"/>
    <mergeCell ref="G31:I31"/>
    <mergeCell ref="J31:L31"/>
    <mergeCell ref="M31:O31"/>
    <mergeCell ref="P31:R31"/>
    <mergeCell ref="B13:B14"/>
    <mergeCell ref="B15:B17"/>
    <mergeCell ref="B18:B20"/>
    <mergeCell ref="B22:B23"/>
    <mergeCell ref="Z22:AE22"/>
    <mergeCell ref="Z23:AE29"/>
    <mergeCell ref="B24:B26"/>
    <mergeCell ref="B27:B29"/>
    <mergeCell ref="B1:AE1"/>
    <mergeCell ref="B2:AE2"/>
    <mergeCell ref="B3:AE3"/>
    <mergeCell ref="B4:B5"/>
    <mergeCell ref="B6:B8"/>
    <mergeCell ref="B9:B11"/>
  </mergeCells>
  <phoneticPr fontId="2" type="noConversion"/>
  <conditionalFormatting sqref="D4:D11">
    <cfRule type="expression" dxfId="131" priority="102">
      <formula>ABS(D$7-D$10)&gt;=1000</formula>
    </cfRule>
  </conditionalFormatting>
  <conditionalFormatting sqref="E4 E6:E11">
    <cfRule type="expression" dxfId="130" priority="101">
      <formula>ABS(E$7-E$10)&gt;=1000</formula>
    </cfRule>
  </conditionalFormatting>
  <conditionalFormatting sqref="F4:F11">
    <cfRule type="expression" dxfId="129" priority="100">
      <formula>ABS(F$7-F$10)&gt;=1000</formula>
    </cfRule>
  </conditionalFormatting>
  <conditionalFormatting sqref="G4:G11">
    <cfRule type="expression" dxfId="128" priority="99">
      <formula>ABS(G$7-G$10)&gt;=1000</formula>
    </cfRule>
  </conditionalFormatting>
  <conditionalFormatting sqref="H4:H11">
    <cfRule type="expression" dxfId="127" priority="98">
      <formula>ABS(H$7-H$10)&gt;=1000</formula>
    </cfRule>
  </conditionalFormatting>
  <conditionalFormatting sqref="I4:I11">
    <cfRule type="expression" dxfId="126" priority="97">
      <formula>ABS(I$7-I$10)&gt;=1000</formula>
    </cfRule>
  </conditionalFormatting>
  <conditionalFormatting sqref="J4:J11">
    <cfRule type="expression" dxfId="125" priority="96">
      <formula>ABS(J$7-J$10)&gt;=1000</formula>
    </cfRule>
  </conditionalFormatting>
  <conditionalFormatting sqref="K4:K11">
    <cfRule type="expression" dxfId="124" priority="95">
      <formula>ABS(K$7-K$10)&gt;=1000</formula>
    </cfRule>
  </conditionalFormatting>
  <conditionalFormatting sqref="L4:L11">
    <cfRule type="expression" dxfId="123" priority="94">
      <formula>ABS(L$7-L$10)&gt;=1000</formula>
    </cfRule>
  </conditionalFormatting>
  <conditionalFormatting sqref="M4 M6:M11">
    <cfRule type="expression" dxfId="122" priority="93">
      <formula>ABS(M$7-M$10)&gt;=1000</formula>
    </cfRule>
  </conditionalFormatting>
  <conditionalFormatting sqref="N4 N6:N11">
    <cfRule type="expression" dxfId="121" priority="92">
      <formula>ABS(N$7-N$10)&gt;=1000</formula>
    </cfRule>
  </conditionalFormatting>
  <conditionalFormatting sqref="O4 O6:O11">
    <cfRule type="expression" dxfId="120" priority="91">
      <formula>ABS(O$7-O$10)&gt;=1000</formula>
    </cfRule>
  </conditionalFormatting>
  <conditionalFormatting sqref="P4 P6:P11">
    <cfRule type="expression" dxfId="119" priority="90">
      <formula>ABS(P$7-P$10)&gt;=1000</formula>
    </cfRule>
  </conditionalFormatting>
  <conditionalFormatting sqref="Q4:Q11">
    <cfRule type="expression" dxfId="118" priority="89">
      <formula>ABS(Q$7-Q$10)&gt;=1000</formula>
    </cfRule>
  </conditionalFormatting>
  <conditionalFormatting sqref="R4:R11">
    <cfRule type="expression" dxfId="117" priority="88">
      <formula>ABS(R$7-R$10)&gt;=1000</formula>
    </cfRule>
  </conditionalFormatting>
  <conditionalFormatting sqref="S4:S11">
    <cfRule type="expression" dxfId="116" priority="87">
      <formula>ABS(S$7-S$10)&gt;=1000</formula>
    </cfRule>
  </conditionalFormatting>
  <conditionalFormatting sqref="T4:T9 T11">
    <cfRule type="expression" dxfId="115" priority="86">
      <formula>ABS(T$7-T$10)&gt;=1000</formula>
    </cfRule>
  </conditionalFormatting>
  <conditionalFormatting sqref="U4:U9 U11">
    <cfRule type="expression" dxfId="114" priority="85">
      <formula>ABS(U$7-U$10)&gt;=1000</formula>
    </cfRule>
  </conditionalFormatting>
  <conditionalFormatting sqref="V4:V9 V11">
    <cfRule type="expression" dxfId="113" priority="84">
      <formula>ABS(V$7-V$10)&gt;=1000</formula>
    </cfRule>
  </conditionalFormatting>
  <conditionalFormatting sqref="W4:W9 W11">
    <cfRule type="expression" dxfId="112" priority="83">
      <formula>ABS(W$7-W$10)&gt;=1000</formula>
    </cfRule>
  </conditionalFormatting>
  <conditionalFormatting sqref="X4:X9 X11">
    <cfRule type="expression" dxfId="111" priority="82">
      <formula>ABS(X$7-X$10)&gt;=1000</formula>
    </cfRule>
  </conditionalFormatting>
  <conditionalFormatting sqref="Y4:Y9 Y11">
    <cfRule type="expression" dxfId="110" priority="81">
      <formula>ABS(Y$7-Y$10)&gt;=1000</formula>
    </cfRule>
  </conditionalFormatting>
  <conditionalFormatting sqref="Z4:Z11">
    <cfRule type="expression" dxfId="109" priority="80">
      <formula>ABS(Z$7-Z$10)&gt;=1000</formula>
    </cfRule>
  </conditionalFormatting>
  <conditionalFormatting sqref="AA4:AA11">
    <cfRule type="expression" dxfId="108" priority="79">
      <formula>ABS(AA$7-AA$10)&gt;=1000</formula>
    </cfRule>
  </conditionalFormatting>
  <conditionalFormatting sqref="AB4:AB11">
    <cfRule type="expression" dxfId="107" priority="78">
      <formula>ABS(AB$7-AB$10)&gt;=1000</formula>
    </cfRule>
  </conditionalFormatting>
  <conditionalFormatting sqref="AC4 AC6:AC11">
    <cfRule type="expression" dxfId="106" priority="77">
      <formula>ABS(AC$7-AC$10)&gt;=1000</formula>
    </cfRule>
  </conditionalFormatting>
  <conditionalFormatting sqref="AD4 AD6:AD11">
    <cfRule type="expression" dxfId="105" priority="76">
      <formula>ABS(AD$7-AD$10)&gt;=1000</formula>
    </cfRule>
  </conditionalFormatting>
  <conditionalFormatting sqref="AE4 AE6:AE11">
    <cfRule type="expression" dxfId="104" priority="75">
      <formula>ABS(AE$7-AE$10)&gt;=1000</formula>
    </cfRule>
  </conditionalFormatting>
  <conditionalFormatting sqref="D13:D20">
    <cfRule type="expression" dxfId="103" priority="74">
      <formula>ABS(D$16-D$19)&gt;=1000</formula>
    </cfRule>
  </conditionalFormatting>
  <conditionalFormatting sqref="E13:E20">
    <cfRule type="expression" dxfId="102" priority="73">
      <formula>ABS(E$16-E$19)&gt;=1000</formula>
    </cfRule>
  </conditionalFormatting>
  <conditionalFormatting sqref="F13 F15:F20">
    <cfRule type="expression" dxfId="101" priority="72">
      <formula>ABS(F$16-F$19)&gt;=1000</formula>
    </cfRule>
  </conditionalFormatting>
  <conditionalFormatting sqref="G13:G20">
    <cfRule type="expression" dxfId="100" priority="71">
      <formula>ABS(G$16-G$19)&gt;=1000</formula>
    </cfRule>
  </conditionalFormatting>
  <conditionalFormatting sqref="H13 H15:H20">
    <cfRule type="expression" dxfId="99" priority="70">
      <formula>ABS(H$16-H$19)&gt;=1000</formula>
    </cfRule>
  </conditionalFormatting>
  <conditionalFormatting sqref="I13:I20">
    <cfRule type="expression" dxfId="98" priority="69">
      <formula>ABS(I$16-I$19)&gt;=1000</formula>
    </cfRule>
  </conditionalFormatting>
  <conditionalFormatting sqref="J13:J20">
    <cfRule type="expression" dxfId="97" priority="68">
      <formula>ABS(J$16-J$19)&gt;=1000</formula>
    </cfRule>
  </conditionalFormatting>
  <conditionalFormatting sqref="L13:L20">
    <cfRule type="expression" dxfId="96" priority="67">
      <formula>ABS(L$16-L$19)&gt;=1000</formula>
    </cfRule>
  </conditionalFormatting>
  <conditionalFormatting sqref="M13 M15 M17:M18 M20">
    <cfRule type="expression" dxfId="95" priority="66">
      <formula>ABS(M$16-M$19)&gt;=1000</formula>
    </cfRule>
  </conditionalFormatting>
  <conditionalFormatting sqref="N13:N20">
    <cfRule type="expression" dxfId="94" priority="65">
      <formula>ABS(N$16-N$19)&gt;=1000</formula>
    </cfRule>
  </conditionalFormatting>
  <conditionalFormatting sqref="O13:O20">
    <cfRule type="expression" dxfId="93" priority="64">
      <formula>ABS(O$16-O$19)&gt;=1000</formula>
    </cfRule>
  </conditionalFormatting>
  <conditionalFormatting sqref="P13:P20">
    <cfRule type="expression" dxfId="92" priority="63">
      <formula>ABS(P$16-P$19)&gt;=1000</formula>
    </cfRule>
  </conditionalFormatting>
  <conditionalFormatting sqref="Q13 Q15:Q20">
    <cfRule type="expression" dxfId="91" priority="62">
      <formula>ABS(Q$16-Q$19)&gt;=1000</formula>
    </cfRule>
  </conditionalFormatting>
  <conditionalFormatting sqref="R13:R20">
    <cfRule type="expression" dxfId="90" priority="61">
      <formula>ABS(R$16-R$19)&gt;=1000</formula>
    </cfRule>
  </conditionalFormatting>
  <conditionalFormatting sqref="S13:S20">
    <cfRule type="expression" dxfId="89" priority="60">
      <formula>ABS(S$16-S$19)&gt;=1000</formula>
    </cfRule>
  </conditionalFormatting>
  <conditionalFormatting sqref="T13:T15 T17:T20">
    <cfRule type="expression" dxfId="88" priority="59">
      <formula>ABS(T$16-T$19)&gt;=1000</formula>
    </cfRule>
  </conditionalFormatting>
  <conditionalFormatting sqref="U13:U20">
    <cfRule type="expression" dxfId="87" priority="58">
      <formula>ABS(U$16-U$19)&gt;=1000</formula>
    </cfRule>
  </conditionalFormatting>
  <conditionalFormatting sqref="V13:V20">
    <cfRule type="expression" dxfId="86" priority="57">
      <formula>ABS(V$16-V$19)&gt;=1000</formula>
    </cfRule>
  </conditionalFormatting>
  <conditionalFormatting sqref="W13 W20 W15:W18">
    <cfRule type="expression" dxfId="85" priority="56">
      <formula>ABS(W$16-W$19)&gt;=1000</formula>
    </cfRule>
  </conditionalFormatting>
  <conditionalFormatting sqref="X13 X15:X20 Y19">
    <cfRule type="expression" dxfId="84" priority="55">
      <formula>ABS(X$16-X$19)&gt;=1000</formula>
    </cfRule>
  </conditionalFormatting>
  <conditionalFormatting sqref="Y13 Y15:Y18 Y20">
    <cfRule type="expression" dxfId="83" priority="54">
      <formula>ABS(Y$16-Y$19)&gt;=1000</formula>
    </cfRule>
  </conditionalFormatting>
  <conditionalFormatting sqref="Z13:Z20">
    <cfRule type="expression" dxfId="82" priority="53">
      <formula>ABS(Z$16-Z$19)&gt;=1000</formula>
    </cfRule>
  </conditionalFormatting>
  <conditionalFormatting sqref="AA13:AA20">
    <cfRule type="expression" dxfId="81" priority="52">
      <formula>ABS(AA$16-AA$19)&gt;=1000</formula>
    </cfRule>
  </conditionalFormatting>
  <conditionalFormatting sqref="AB13 AB15:AB20">
    <cfRule type="expression" dxfId="80" priority="51">
      <formula>ABS(AB$16-AB$19)&gt;=1000</formula>
    </cfRule>
  </conditionalFormatting>
  <conditionalFormatting sqref="AC13 AC15:AC20">
    <cfRule type="expression" dxfId="79" priority="50">
      <formula>ABS(AC$16-AC$19)&gt;=1000</formula>
    </cfRule>
  </conditionalFormatting>
  <conditionalFormatting sqref="AD13:AD20">
    <cfRule type="expression" dxfId="78" priority="49">
      <formula>ABS(AD$16-AD$19)&gt;=1000</formula>
    </cfRule>
  </conditionalFormatting>
  <conditionalFormatting sqref="AE13:AE20">
    <cfRule type="expression" dxfId="77" priority="48">
      <formula>ABS(AE$16-AE$19)&gt;=1000</formula>
    </cfRule>
  </conditionalFormatting>
  <conditionalFormatting sqref="D22:D29">
    <cfRule type="expression" dxfId="76" priority="47">
      <formula>ABS(D$25-D$28)&gt;=1000</formula>
    </cfRule>
  </conditionalFormatting>
  <conditionalFormatting sqref="E22:E29">
    <cfRule type="expression" dxfId="75" priority="46">
      <formula>ABS(E$25-E$28)&gt;=1000</formula>
    </cfRule>
  </conditionalFormatting>
  <conditionalFormatting sqref="F22:F29">
    <cfRule type="expression" dxfId="74" priority="45">
      <formula>ABS(F$25-F$28)&gt;=1000</formula>
    </cfRule>
  </conditionalFormatting>
  <conditionalFormatting sqref="G22:G29">
    <cfRule type="expression" dxfId="73" priority="44">
      <formula>ABS(G$25-G$28)&gt;=1000</formula>
    </cfRule>
  </conditionalFormatting>
  <conditionalFormatting sqref="H22:H29">
    <cfRule type="expression" dxfId="72" priority="43">
      <formula>ABS(H$25-H$28)&gt;=1000</formula>
    </cfRule>
  </conditionalFormatting>
  <conditionalFormatting sqref="I22 I24:I29">
    <cfRule type="expression" dxfId="71" priority="42">
      <formula>ABS(I$25-I$28)&gt;=1000</formula>
    </cfRule>
  </conditionalFormatting>
  <conditionalFormatting sqref="J22:J29 K22">
    <cfRule type="expression" dxfId="70" priority="41">
      <formula>ABS(J$25-J$28)&gt;=1000</formula>
    </cfRule>
  </conditionalFormatting>
  <conditionalFormatting sqref="K23:K29 L25 L28">
    <cfRule type="expression" dxfId="69" priority="40">
      <formula>ABS(K$25-K$28)&gt;=1000</formula>
    </cfRule>
  </conditionalFormatting>
  <conditionalFormatting sqref="L22 L26:L27 L29 L24">
    <cfRule type="expression" dxfId="68" priority="39">
      <formula>ABS(L$25-L$28)&gt;=1000</formula>
    </cfRule>
  </conditionalFormatting>
  <conditionalFormatting sqref="M22:M29">
    <cfRule type="expression" dxfId="67" priority="38">
      <formula>ABS(M$25-M$28)&gt;=1000</formula>
    </cfRule>
  </conditionalFormatting>
  <conditionalFormatting sqref="N22:N29">
    <cfRule type="expression" dxfId="66" priority="37">
      <formula>ABS(N$25-N$28)&gt;=1000</formula>
    </cfRule>
  </conditionalFormatting>
  <conditionalFormatting sqref="O22 O24:O29">
    <cfRule type="expression" dxfId="65" priority="36">
      <formula>ABS(O$25-O$28)&gt;=1000</formula>
    </cfRule>
  </conditionalFormatting>
  <conditionalFormatting sqref="P22:P29">
    <cfRule type="expression" dxfId="64" priority="35">
      <formula>ABS(P$25-P$28)&gt;=1000</formula>
    </cfRule>
  </conditionalFormatting>
  <conditionalFormatting sqref="Q22:Q29">
    <cfRule type="expression" dxfId="63" priority="34">
      <formula>ABS(Q$25-Q$28)&gt;=1000</formula>
    </cfRule>
  </conditionalFormatting>
  <conditionalFormatting sqref="R22:R29">
    <cfRule type="expression" dxfId="62" priority="33">
      <formula>ABS(R$25-R$28)&gt;=1000</formula>
    </cfRule>
  </conditionalFormatting>
  <conditionalFormatting sqref="S22:S29">
    <cfRule type="expression" dxfId="61" priority="32">
      <formula>ABS(S$25-S$28)&gt;=1000</formula>
    </cfRule>
  </conditionalFormatting>
  <conditionalFormatting sqref="T22:T29">
    <cfRule type="expression" dxfId="60" priority="31">
      <formula>ABS(T$25-T$28)&gt;=1000</formula>
    </cfRule>
  </conditionalFormatting>
  <conditionalFormatting sqref="U22:U29">
    <cfRule type="expression" dxfId="59" priority="30">
      <formula>ABS(U$25-U$28)&gt;=1000</formula>
    </cfRule>
  </conditionalFormatting>
  <conditionalFormatting sqref="V22:V29">
    <cfRule type="expression" dxfId="58" priority="29">
      <formula>ABS(V$25-V$28)&gt;=1000</formula>
    </cfRule>
  </conditionalFormatting>
  <conditionalFormatting sqref="W22:W29">
    <cfRule type="expression" dxfId="57" priority="28">
      <formula>ABS(W$25-W$28)&gt;=1000</formula>
    </cfRule>
  </conditionalFormatting>
  <conditionalFormatting sqref="X22:X29">
    <cfRule type="expression" dxfId="56" priority="27">
      <formula>ABS(X$25-X$28)&gt;=1000</formula>
    </cfRule>
  </conditionalFormatting>
  <conditionalFormatting sqref="Y22:Y29">
    <cfRule type="expression" dxfId="55" priority="26">
      <formula>ABS(Y$25-Y$28)&gt;=1000</formula>
    </cfRule>
  </conditionalFormatting>
  <conditionalFormatting sqref="I23">
    <cfRule type="expression" dxfId="54" priority="25">
      <formula>ABS(I$25-I$28)&gt;=1000</formula>
    </cfRule>
  </conditionalFormatting>
  <conditionalFormatting sqref="Q14">
    <cfRule type="expression" dxfId="53" priority="24">
      <formula>ABS(Q$16-Q$19)&gt;=1000</formula>
    </cfRule>
  </conditionalFormatting>
  <conditionalFormatting sqref="W14">
    <cfRule type="expression" dxfId="52" priority="23">
      <formula>ABS(W$16-W$19)&gt;=1000</formula>
    </cfRule>
  </conditionalFormatting>
  <conditionalFormatting sqref="X14">
    <cfRule type="expression" dxfId="51" priority="22">
      <formula>ABS(X$16-X$19)&gt;=1000</formula>
    </cfRule>
  </conditionalFormatting>
  <conditionalFormatting sqref="T10:Y10">
    <cfRule type="expression" dxfId="50" priority="21">
      <formula>ABS(T$7-T$10)&gt;=1000</formula>
    </cfRule>
  </conditionalFormatting>
  <conditionalFormatting sqref="W19">
    <cfRule type="expression" dxfId="49" priority="20">
      <formula>ABS(W$16-W$19)&gt;=1000</formula>
    </cfRule>
  </conditionalFormatting>
  <conditionalFormatting sqref="AC5">
    <cfRule type="expression" dxfId="48" priority="19">
      <formula>ABS(AC$7-AC$10)&gt;=1000</formula>
    </cfRule>
  </conditionalFormatting>
  <conditionalFormatting sqref="M14">
    <cfRule type="expression" dxfId="47" priority="18">
      <formula>ABS(M$16-M$19)&gt;=1000</formula>
    </cfRule>
  </conditionalFormatting>
  <conditionalFormatting sqref="M16">
    <cfRule type="expression" dxfId="46" priority="17">
      <formula>ABS(M$16-M$19)&gt;=1000</formula>
    </cfRule>
  </conditionalFormatting>
  <conditionalFormatting sqref="M19">
    <cfRule type="expression" dxfId="45" priority="16">
      <formula>ABS(M$16-M$19)&gt;=1000</formula>
    </cfRule>
  </conditionalFormatting>
  <conditionalFormatting sqref="K13:K20">
    <cfRule type="expression" dxfId="44" priority="15">
      <formula>ABS(K$16-K$19)&gt;=1000</formula>
    </cfRule>
  </conditionalFormatting>
  <conditionalFormatting sqref="E5">
    <cfRule type="expression" dxfId="43" priority="14">
      <formula>ABS(E$7-E$10)&gt;=1000</formula>
    </cfRule>
  </conditionalFormatting>
  <conditionalFormatting sqref="AB14:AC14">
    <cfRule type="expression" dxfId="42" priority="13">
      <formula>ABS(AB$16-AB$19)&gt;=1000</formula>
    </cfRule>
  </conditionalFormatting>
  <conditionalFormatting sqref="M5">
    <cfRule type="expression" dxfId="41" priority="12">
      <formula>ABS(M$7-M$10)&gt;=1000</formula>
    </cfRule>
  </conditionalFormatting>
  <conditionalFormatting sqref="N5">
    <cfRule type="expression" dxfId="40" priority="11">
      <formula>ABS(N$7-N$10)&gt;=1000</formula>
    </cfRule>
  </conditionalFormatting>
  <conditionalFormatting sqref="O5">
    <cfRule type="expression" dxfId="39" priority="10">
      <formula>ABS(O$7-O$10)&gt;=1000</formula>
    </cfRule>
  </conditionalFormatting>
  <conditionalFormatting sqref="P5">
    <cfRule type="expression" dxfId="38" priority="9">
      <formula>ABS(P$7-P$10)&gt;=1000</formula>
    </cfRule>
  </conditionalFormatting>
  <conditionalFormatting sqref="L23">
    <cfRule type="expression" dxfId="37" priority="8">
      <formula>ABS(L$25-L$28)&gt;=1000</formula>
    </cfRule>
  </conditionalFormatting>
  <conditionalFormatting sqref="Y14">
    <cfRule type="expression" dxfId="36" priority="7">
      <formula>ABS(Y$16-Y$19)&gt;=1000</formula>
    </cfRule>
  </conditionalFormatting>
  <conditionalFormatting sqref="F14">
    <cfRule type="expression" dxfId="35" priority="6">
      <formula>ABS(F$16-F$19)&gt;=1000</formula>
    </cfRule>
  </conditionalFormatting>
  <conditionalFormatting sqref="H14">
    <cfRule type="expression" dxfId="34" priority="5">
      <formula>ABS(H$16-H$19)&gt;=1000</formula>
    </cfRule>
  </conditionalFormatting>
  <conditionalFormatting sqref="AD5">
    <cfRule type="expression" dxfId="33" priority="4">
      <formula>ABS(AD$7-AD$10)&gt;=1000</formula>
    </cfRule>
  </conditionalFormatting>
  <conditionalFormatting sqref="AE5">
    <cfRule type="expression" dxfId="32" priority="3">
      <formula>ABS(AE$7-AE$10)&gt;=1000</formula>
    </cfRule>
  </conditionalFormatting>
  <conditionalFormatting sqref="T16">
    <cfRule type="expression" dxfId="31" priority="2">
      <formula>ABS(T$16-T$19)&gt;=1000</formula>
    </cfRule>
  </conditionalFormatting>
  <conditionalFormatting sqref="O23">
    <cfRule type="expression" dxfId="30" priority="1">
      <formula>ABS(O$25-O$28)&gt;=1000</formula>
    </cfRule>
  </conditionalFormatting>
  <dataValidations count="1">
    <dataValidation operator="greaterThanOrEqual" allowBlank="1" showErrorMessage="1" sqref="D6"/>
  </dataValidations>
  <printOptions horizontalCentered="1"/>
  <pageMargins left="0.39370078740157483" right="0.39370078740157483" top="0.39370078740157483" bottom="0.39370078740157483" header="0.51181102362204722" footer="0.51181102362204722"/>
  <pageSetup paperSize="9" scale="6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22497" r:id="rId4" name="Button 1">
              <controlPr defaultSize="0" print="0" autoFill="0" autoPict="0">
                <anchor moveWithCells="1">
                  <from>
                    <xdr:col>31</xdr:col>
                    <xdr:colOff>0</xdr:colOff>
                    <xdr:row>0</xdr:row>
                    <xdr:rowOff>342900</xdr:rowOff>
                  </from>
                  <to>
                    <xdr:col>32</xdr:col>
                    <xdr:colOff>411480</xdr:colOff>
                    <xdr:row>3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26</vt:i4>
      </vt:variant>
      <vt:variant>
        <vt:lpstr>已命名的範圍</vt:lpstr>
      </vt:variant>
      <vt:variant>
        <vt:i4>26</vt:i4>
      </vt:variant>
    </vt:vector>
  </HeadingPairs>
  <TitlesOfParts>
    <vt:vector size="52" baseType="lpstr">
      <vt:lpstr>新增</vt:lpstr>
      <vt:lpstr>密度</vt:lpstr>
      <vt:lpstr>6.30</vt:lpstr>
      <vt:lpstr>7.1</vt:lpstr>
      <vt:lpstr>7.2</vt:lpstr>
      <vt:lpstr>7.3</vt:lpstr>
      <vt:lpstr>7.6</vt:lpstr>
      <vt:lpstr>7.7</vt:lpstr>
      <vt:lpstr>7.8</vt:lpstr>
      <vt:lpstr>7.9</vt:lpstr>
      <vt:lpstr>7.10</vt:lpstr>
      <vt:lpstr>7.13</vt:lpstr>
      <vt:lpstr>7.14</vt:lpstr>
      <vt:lpstr>7.15</vt:lpstr>
      <vt:lpstr>7.16</vt:lpstr>
      <vt:lpstr>7.17</vt:lpstr>
      <vt:lpstr>7.20</vt:lpstr>
      <vt:lpstr>7.21</vt:lpstr>
      <vt:lpstr>7.22</vt:lpstr>
      <vt:lpstr>7.23</vt:lpstr>
      <vt:lpstr>7.24</vt:lpstr>
      <vt:lpstr>7.27</vt:lpstr>
      <vt:lpstr>7.28</vt:lpstr>
      <vt:lpstr>7.29</vt:lpstr>
      <vt:lpstr>7.30</vt:lpstr>
      <vt:lpstr>7.31</vt:lpstr>
      <vt:lpstr>'6.30'!Print_Area</vt:lpstr>
      <vt:lpstr>'7.1'!Print_Area</vt:lpstr>
      <vt:lpstr>'7.10'!Print_Area</vt:lpstr>
      <vt:lpstr>'7.13'!Print_Area</vt:lpstr>
      <vt:lpstr>'7.14'!Print_Area</vt:lpstr>
      <vt:lpstr>'7.15'!Print_Area</vt:lpstr>
      <vt:lpstr>'7.16'!Print_Area</vt:lpstr>
      <vt:lpstr>'7.17'!Print_Area</vt:lpstr>
      <vt:lpstr>'7.2'!Print_Area</vt:lpstr>
      <vt:lpstr>'7.20'!Print_Area</vt:lpstr>
      <vt:lpstr>'7.21'!Print_Area</vt:lpstr>
      <vt:lpstr>'7.22'!Print_Area</vt:lpstr>
      <vt:lpstr>'7.23'!Print_Area</vt:lpstr>
      <vt:lpstr>'7.24'!Print_Area</vt:lpstr>
      <vt:lpstr>'7.27'!Print_Area</vt:lpstr>
      <vt:lpstr>'7.28'!Print_Area</vt:lpstr>
      <vt:lpstr>'7.29'!Print_Area</vt:lpstr>
      <vt:lpstr>'7.3'!Print_Area</vt:lpstr>
      <vt:lpstr>'7.30'!Print_Area</vt:lpstr>
      <vt:lpstr>'7.31'!Print_Area</vt:lpstr>
      <vt:lpstr>'7.6'!Print_Area</vt:lpstr>
      <vt:lpstr>'7.7'!Print_Area</vt:lpstr>
      <vt:lpstr>'7.8'!Print_Area</vt:lpstr>
      <vt:lpstr>'7.9'!Print_Area</vt:lpstr>
      <vt:lpstr>密度!Print_Area</vt:lpstr>
      <vt:lpstr>新增!Print_Area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C663</dc:creator>
  <cp:lastModifiedBy>C712-PC</cp:lastModifiedBy>
  <cp:lastPrinted>2026-07-31T07:21:16Z</cp:lastPrinted>
  <dcterms:created xsi:type="dcterms:W3CDTF">2006-09-16T00:00:00Z</dcterms:created>
  <dcterms:modified xsi:type="dcterms:W3CDTF">2026-07-31T07:22:32Z</dcterms:modified>
</cp:coreProperties>
</file>