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drawings/drawing2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3.xml" ContentType="application/vnd.openxmlformats-officedocument.drawing+xml"/>
  <Override PartName="/xl/ctrlProps/ctrlProp2.xml" ContentType="application/vnd.ms-excel.controlproperties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drawings/drawing4.xml" ContentType="application/vnd.openxmlformats-officedocument.drawing+xml"/>
  <Override PartName="/xl/ctrlProps/ctrlProp3.xml" ContentType="application/vnd.ms-excel.controlproperties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drawings/drawing5.xml" ContentType="application/vnd.openxmlformats-officedocument.drawing+xml"/>
  <Override PartName="/xl/ctrlProps/ctrlProp4.xml" ContentType="application/vnd.ms-excel.controlproperties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drawings/drawing6.xml" ContentType="application/vnd.openxmlformats-officedocument.drawing+xml"/>
  <Override PartName="/xl/ctrlProps/ctrlProp5.xml" ContentType="application/vnd.ms-excel.controlproperties+xml"/>
  <Override PartName="/xl/tables/table5.xml" ContentType="application/vnd.openxmlformats-officedocument.spreadsheetml.table+xml"/>
  <Override PartName="/xl/queryTables/queryTable5.xml" ContentType="application/vnd.openxmlformats-officedocument.spreadsheetml.queryTable+xml"/>
  <Override PartName="/xl/drawings/drawing7.xml" ContentType="application/vnd.openxmlformats-officedocument.drawing+xml"/>
  <Override PartName="/xl/ctrlProps/ctrlProp6.xml" ContentType="application/vnd.ms-excel.controlproperties+xml"/>
  <Override PartName="/xl/tables/table6.xml" ContentType="application/vnd.openxmlformats-officedocument.spreadsheetml.table+xml"/>
  <Override PartName="/xl/queryTables/queryTable6.xml" ContentType="application/vnd.openxmlformats-officedocument.spreadsheetml.queryTable+xml"/>
  <Override PartName="/xl/drawings/drawing8.xml" ContentType="application/vnd.openxmlformats-officedocument.drawing+xml"/>
  <Override PartName="/xl/ctrlProps/ctrlProp7.xml" ContentType="application/vnd.ms-excel.controlproperties+xml"/>
  <Override PartName="/xl/tables/table7.xml" ContentType="application/vnd.openxmlformats-officedocument.spreadsheetml.table+xml"/>
  <Override PartName="/xl/queryTables/queryTable7.xml" ContentType="application/vnd.openxmlformats-officedocument.spreadsheetml.queryTable+xml"/>
  <Override PartName="/xl/drawings/drawing9.xml" ContentType="application/vnd.openxmlformats-officedocument.drawing+xml"/>
  <Override PartName="/xl/ctrlProps/ctrlProp8.xml" ContentType="application/vnd.ms-excel.controlproperties+xml"/>
  <Override PartName="/xl/tables/table8.xml" ContentType="application/vnd.openxmlformats-officedocument.spreadsheetml.table+xml"/>
  <Override PartName="/xl/queryTables/queryTable8.xml" ContentType="application/vnd.openxmlformats-officedocument.spreadsheetml.queryTable+xml"/>
  <Override PartName="/xl/drawings/drawing10.xml" ContentType="application/vnd.openxmlformats-officedocument.drawing+xml"/>
  <Override PartName="/xl/ctrlProps/ctrlProp9.xml" ContentType="application/vnd.ms-excel.controlproperties+xml"/>
  <Override PartName="/xl/tables/table9.xml" ContentType="application/vnd.openxmlformats-officedocument.spreadsheetml.table+xml"/>
  <Override PartName="/xl/queryTables/queryTable9.xml" ContentType="application/vnd.openxmlformats-officedocument.spreadsheetml.queryTable+xml"/>
  <Override PartName="/xl/drawings/drawing11.xml" ContentType="application/vnd.openxmlformats-officedocument.drawing+xml"/>
  <Override PartName="/xl/ctrlProps/ctrlProp10.xml" ContentType="application/vnd.ms-excel.controlproperties+xml"/>
  <Override PartName="/xl/tables/table10.xml" ContentType="application/vnd.openxmlformats-officedocument.spreadsheetml.table+xml"/>
  <Override PartName="/xl/queryTables/queryTable10.xml" ContentType="application/vnd.openxmlformats-officedocument.spreadsheetml.queryTable+xml"/>
  <Override PartName="/xl/drawings/drawing12.xml" ContentType="application/vnd.openxmlformats-officedocument.drawing+xml"/>
  <Override PartName="/xl/ctrlProps/ctrlProp11.xml" ContentType="application/vnd.ms-excel.controlproperties+xml"/>
  <Override PartName="/xl/tables/table11.xml" ContentType="application/vnd.openxmlformats-officedocument.spreadsheetml.table+xml"/>
  <Override PartName="/xl/queryTables/queryTable11.xml" ContentType="application/vnd.openxmlformats-officedocument.spreadsheetml.queryTable+xml"/>
  <Override PartName="/xl/drawings/drawing13.xml" ContentType="application/vnd.openxmlformats-officedocument.drawing+xml"/>
  <Override PartName="/xl/ctrlProps/ctrlProp12.xml" ContentType="application/vnd.ms-excel.controlproperties+xml"/>
  <Override PartName="/xl/tables/table12.xml" ContentType="application/vnd.openxmlformats-officedocument.spreadsheetml.table+xml"/>
  <Override PartName="/xl/queryTables/queryTable12.xml" ContentType="application/vnd.openxmlformats-officedocument.spreadsheetml.queryTable+xml"/>
  <Override PartName="/xl/drawings/drawing14.xml" ContentType="application/vnd.openxmlformats-officedocument.drawing+xml"/>
  <Override PartName="/xl/ctrlProps/ctrlProp13.xml" ContentType="application/vnd.ms-excel.controlproperties+xml"/>
  <Override PartName="/xl/tables/table13.xml" ContentType="application/vnd.openxmlformats-officedocument.spreadsheetml.table+xml"/>
  <Override PartName="/xl/queryTables/queryTable13.xml" ContentType="application/vnd.openxmlformats-officedocument.spreadsheetml.queryTable+xml"/>
  <Override PartName="/xl/drawings/drawing15.xml" ContentType="application/vnd.openxmlformats-officedocument.drawing+xml"/>
  <Override PartName="/xl/ctrlProps/ctrlProp14.xml" ContentType="application/vnd.ms-excel.controlproperties+xml"/>
  <Override PartName="/xl/tables/table14.xml" ContentType="application/vnd.openxmlformats-officedocument.spreadsheetml.table+xml"/>
  <Override PartName="/xl/queryTables/queryTable14.xml" ContentType="application/vnd.openxmlformats-officedocument.spreadsheetml.queryTable+xml"/>
  <Override PartName="/xl/drawings/drawing16.xml" ContentType="application/vnd.openxmlformats-officedocument.drawing+xml"/>
  <Override PartName="/xl/ctrlProps/ctrlProp15.xml" ContentType="application/vnd.ms-excel.controlproperties+xml"/>
  <Override PartName="/xl/tables/table15.xml" ContentType="application/vnd.openxmlformats-officedocument.spreadsheetml.table+xml"/>
  <Override PartName="/xl/queryTables/queryTable15.xml" ContentType="application/vnd.openxmlformats-officedocument.spreadsheetml.queryTable+xml"/>
  <Override PartName="/xl/drawings/drawing17.xml" ContentType="application/vnd.openxmlformats-officedocument.drawing+xml"/>
  <Override PartName="/xl/ctrlProps/ctrlProp16.xml" ContentType="application/vnd.ms-excel.controlproperties+xml"/>
  <Override PartName="/xl/tables/table16.xml" ContentType="application/vnd.openxmlformats-officedocument.spreadsheetml.table+xml"/>
  <Override PartName="/xl/queryTables/queryTable16.xml" ContentType="application/vnd.openxmlformats-officedocument.spreadsheetml.queryTable+xml"/>
  <Override PartName="/xl/drawings/drawing18.xml" ContentType="application/vnd.openxmlformats-officedocument.drawing+xml"/>
  <Override PartName="/xl/ctrlProps/ctrlProp17.xml" ContentType="application/vnd.ms-excel.controlproperties+xml"/>
  <Override PartName="/xl/tables/table17.xml" ContentType="application/vnd.openxmlformats-officedocument.spreadsheetml.table+xml"/>
  <Override PartName="/xl/queryTables/queryTable17.xml" ContentType="application/vnd.openxmlformats-officedocument.spreadsheetml.queryTable+xml"/>
  <Override PartName="/xl/drawings/drawing19.xml" ContentType="application/vnd.openxmlformats-officedocument.drawing+xml"/>
  <Override PartName="/xl/ctrlProps/ctrlProp18.xml" ContentType="application/vnd.ms-excel.controlproperties+xml"/>
  <Override PartName="/xl/tables/table18.xml" ContentType="application/vnd.openxmlformats-officedocument.spreadsheetml.table+xml"/>
  <Override PartName="/xl/queryTables/queryTable18.xml" ContentType="application/vnd.openxmlformats-officedocument.spreadsheetml.queryTable+xml"/>
  <Override PartName="/xl/drawings/drawing20.xml" ContentType="application/vnd.openxmlformats-officedocument.drawing+xml"/>
  <Override PartName="/xl/ctrlProps/ctrlProp19.xml" ContentType="application/vnd.ms-excel.controlproperties+xml"/>
  <Override PartName="/xl/tables/table19.xml" ContentType="application/vnd.openxmlformats-officedocument.spreadsheetml.table+xml"/>
  <Override PartName="/xl/queryTables/queryTable19.xml" ContentType="application/vnd.openxmlformats-officedocument.spreadsheetml.queryTable+xml"/>
  <Override PartName="/xl/drawings/drawing21.xml" ContentType="application/vnd.openxmlformats-officedocument.drawing+xml"/>
  <Override PartName="/xl/ctrlProps/ctrlProp20.xml" ContentType="application/vnd.ms-excel.controlproperties+xml"/>
  <Override PartName="/xl/tables/table20.xml" ContentType="application/vnd.openxmlformats-officedocument.spreadsheetml.table+xml"/>
  <Override PartName="/xl/queryTables/queryTable20.xml" ContentType="application/vnd.openxmlformats-officedocument.spreadsheetml.queryTable+xml"/>
  <Override PartName="/xl/drawings/drawing22.xml" ContentType="application/vnd.openxmlformats-officedocument.drawing+xml"/>
  <Override PartName="/xl/ctrlProps/ctrlProp21.xml" ContentType="application/vnd.ms-excel.controlproperties+xml"/>
  <Override PartName="/xl/tables/table21.xml" ContentType="application/vnd.openxmlformats-officedocument.spreadsheetml.table+xml"/>
  <Override PartName="/xl/queryTables/queryTable21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O:\各單位對外\資材部對外\!儲槽作業日報\儲槽作業日報\2026\"/>
    </mc:Choice>
  </mc:AlternateContent>
  <bookViews>
    <workbookView xWindow="0" yWindow="0" windowWidth="21600" windowHeight="8256" firstSheet="6" activeTab="22"/>
  </bookViews>
  <sheets>
    <sheet name="新增" sheetId="1727" r:id="rId1"/>
    <sheet name="密度" sheetId="13" r:id="rId2"/>
    <sheet name="8.31" sheetId="2247" r:id="rId3"/>
    <sheet name="9.1" sheetId="2248" r:id="rId4"/>
    <sheet name="9.2" sheetId="2249" r:id="rId5"/>
    <sheet name="9.3" sheetId="2250" r:id="rId6"/>
    <sheet name="9.4" sheetId="2251" r:id="rId7"/>
    <sheet name="9.7" sheetId="2252" r:id="rId8"/>
    <sheet name="9.8" sheetId="2253" r:id="rId9"/>
    <sheet name="9.9" sheetId="2254" r:id="rId10"/>
    <sheet name="9.10" sheetId="2255" r:id="rId11"/>
    <sheet name="9.11" sheetId="2256" r:id="rId12"/>
    <sheet name="9.14" sheetId="2257" r:id="rId13"/>
    <sheet name="9.15" sheetId="2258" r:id="rId14"/>
    <sheet name="9.16" sheetId="2259" r:id="rId15"/>
    <sheet name="9.17" sheetId="2260" r:id="rId16"/>
    <sheet name="9.18" sheetId="2261" r:id="rId17"/>
    <sheet name="9.21" sheetId="2262" r:id="rId18"/>
    <sheet name="9.22" sheetId="2263" r:id="rId19"/>
    <sheet name="9.23" sheetId="2264" r:id="rId20"/>
    <sheet name="9.24" sheetId="2265" r:id="rId21"/>
    <sheet name="9.29" sheetId="2266" r:id="rId22"/>
    <sheet name="9.30" sheetId="2267" r:id="rId23"/>
  </sheets>
  <definedNames>
    <definedName name="_xlnm.Print_Area" localSheetId="2">'8.31'!$B$1:$AE$36</definedName>
    <definedName name="_xlnm.Print_Area" localSheetId="3">'9.1'!$B$1:$AE$36</definedName>
    <definedName name="_xlnm.Print_Area" localSheetId="10">'9.10'!$B$1:$AE$36</definedName>
    <definedName name="_xlnm.Print_Area" localSheetId="11">'9.11'!$B$1:$AE$36</definedName>
    <definedName name="_xlnm.Print_Area" localSheetId="12">'9.14'!$B$1:$AE$36</definedName>
    <definedName name="_xlnm.Print_Area" localSheetId="13">'9.15'!$B$1:$AE$36</definedName>
    <definedName name="_xlnm.Print_Area" localSheetId="14">'9.16'!$B$1:$AE$36</definedName>
    <definedName name="_xlnm.Print_Area" localSheetId="15">'9.17'!$B$1:$AE$36</definedName>
    <definedName name="_xlnm.Print_Area" localSheetId="16">'9.18'!$B$1:$AE$36</definedName>
    <definedName name="_xlnm.Print_Area" localSheetId="4">'9.2'!$B$1:$AE$36</definedName>
    <definedName name="_xlnm.Print_Area" localSheetId="17">'9.21'!$B$1:$AE$36</definedName>
    <definedName name="_xlnm.Print_Area" localSheetId="18">'9.22'!$B$1:$AE$36</definedName>
    <definedName name="_xlnm.Print_Area" localSheetId="19">'9.23'!$B$1:$AE$36</definedName>
    <definedName name="_xlnm.Print_Area" localSheetId="20">'9.24'!$B$1:$AE$36</definedName>
    <definedName name="_xlnm.Print_Area" localSheetId="21">'9.29'!$B$1:$AE$36</definedName>
    <definedName name="_xlnm.Print_Area" localSheetId="5">'9.3'!$B$1:$AE$36</definedName>
    <definedName name="_xlnm.Print_Area" localSheetId="22">'9.30'!$B$1:$AE$36</definedName>
    <definedName name="_xlnm.Print_Area" localSheetId="6">'9.4'!$B$1:$AE$36</definedName>
    <definedName name="_xlnm.Print_Area" localSheetId="7">'9.7'!$B$1:$AE$36</definedName>
    <definedName name="_xlnm.Print_Area" localSheetId="8">'9.8'!$B$1:$AE$36</definedName>
    <definedName name="_xlnm.Print_Area" localSheetId="9">'9.9'!$B$1:$AE$36</definedName>
    <definedName name="_xlnm.Print_Area" localSheetId="1">密度!$A$1:$W$61</definedName>
    <definedName name="_xlnm.Print_Area" localSheetId="0">新增!$A$1:$M$45</definedName>
    <definedName name="Z_512059F6_F0DC_4056_8FD0_37088AB81F9E_.wvu.PrintArea" localSheetId="2" hidden="1">'8.31'!$B$3:$AE$36</definedName>
    <definedName name="Z_512059F6_F0DC_4056_8FD0_37088AB81F9E_.wvu.PrintArea" localSheetId="3" hidden="1">'9.1'!$B$3:$AE$36</definedName>
    <definedName name="Z_512059F6_F0DC_4056_8FD0_37088AB81F9E_.wvu.PrintArea" localSheetId="10" hidden="1">'9.10'!$B$3:$AE$36</definedName>
    <definedName name="Z_512059F6_F0DC_4056_8FD0_37088AB81F9E_.wvu.PrintArea" localSheetId="11" hidden="1">'9.11'!$B$3:$AE$36</definedName>
    <definedName name="Z_512059F6_F0DC_4056_8FD0_37088AB81F9E_.wvu.PrintArea" localSheetId="12" hidden="1">'9.14'!$B$3:$AE$36</definedName>
    <definedName name="Z_512059F6_F0DC_4056_8FD0_37088AB81F9E_.wvu.PrintArea" localSheetId="13" hidden="1">'9.15'!$B$3:$AE$36</definedName>
    <definedName name="Z_512059F6_F0DC_4056_8FD0_37088AB81F9E_.wvu.PrintArea" localSheetId="14" hidden="1">'9.16'!$B$3:$AE$36</definedName>
    <definedName name="Z_512059F6_F0DC_4056_8FD0_37088AB81F9E_.wvu.PrintArea" localSheetId="15" hidden="1">'9.17'!$B$3:$AE$36</definedName>
    <definedName name="Z_512059F6_F0DC_4056_8FD0_37088AB81F9E_.wvu.PrintArea" localSheetId="16" hidden="1">'9.18'!$B$3:$AE$36</definedName>
    <definedName name="Z_512059F6_F0DC_4056_8FD0_37088AB81F9E_.wvu.PrintArea" localSheetId="4" hidden="1">'9.2'!$B$3:$AE$36</definedName>
    <definedName name="Z_512059F6_F0DC_4056_8FD0_37088AB81F9E_.wvu.PrintArea" localSheetId="17" hidden="1">'9.21'!$B$3:$AE$36</definedName>
    <definedName name="Z_512059F6_F0DC_4056_8FD0_37088AB81F9E_.wvu.PrintArea" localSheetId="18" hidden="1">'9.22'!$B$3:$AE$36</definedName>
    <definedName name="Z_512059F6_F0DC_4056_8FD0_37088AB81F9E_.wvu.PrintArea" localSheetId="19" hidden="1">'9.23'!$B$3:$AE$36</definedName>
    <definedName name="Z_512059F6_F0DC_4056_8FD0_37088AB81F9E_.wvu.PrintArea" localSheetId="20" hidden="1">'9.24'!$B$3:$AE$36</definedName>
    <definedName name="Z_512059F6_F0DC_4056_8FD0_37088AB81F9E_.wvu.PrintArea" localSheetId="21" hidden="1">'9.29'!$B$3:$AE$36</definedName>
    <definedName name="Z_512059F6_F0DC_4056_8FD0_37088AB81F9E_.wvu.PrintArea" localSheetId="5" hidden="1">'9.3'!$B$3:$AE$36</definedName>
    <definedName name="Z_512059F6_F0DC_4056_8FD0_37088AB81F9E_.wvu.PrintArea" localSheetId="22" hidden="1">'9.30'!$B$3:$AE$36</definedName>
    <definedName name="Z_512059F6_F0DC_4056_8FD0_37088AB81F9E_.wvu.PrintArea" localSheetId="6" hidden="1">'9.4'!$B$3:$AE$36</definedName>
    <definedName name="Z_512059F6_F0DC_4056_8FD0_37088AB81F9E_.wvu.PrintArea" localSheetId="7" hidden="1">'9.7'!$B$3:$AE$36</definedName>
    <definedName name="Z_512059F6_F0DC_4056_8FD0_37088AB81F9E_.wvu.PrintArea" localSheetId="8" hidden="1">'9.8'!$B$3:$AE$36</definedName>
    <definedName name="Z_512059F6_F0DC_4056_8FD0_37088AB81F9E_.wvu.PrintArea" localSheetId="9" hidden="1">'9.9'!$B$3:$AE$36</definedName>
    <definedName name="Z_68643476_8805_447E_8170_A582EA1D0343_.wvu.PrintArea" localSheetId="2" hidden="1">'8.31'!$B$3:$AE$36</definedName>
    <definedName name="Z_68643476_8805_447E_8170_A582EA1D0343_.wvu.PrintArea" localSheetId="3" hidden="1">'9.1'!$B$3:$AE$36</definedName>
    <definedName name="Z_68643476_8805_447E_8170_A582EA1D0343_.wvu.PrintArea" localSheetId="10" hidden="1">'9.10'!$B$3:$AE$36</definedName>
    <definedName name="Z_68643476_8805_447E_8170_A582EA1D0343_.wvu.PrintArea" localSheetId="11" hidden="1">'9.11'!$B$3:$AE$36</definedName>
    <definedName name="Z_68643476_8805_447E_8170_A582EA1D0343_.wvu.PrintArea" localSheetId="12" hidden="1">'9.14'!$B$3:$AE$36</definedName>
    <definedName name="Z_68643476_8805_447E_8170_A582EA1D0343_.wvu.PrintArea" localSheetId="13" hidden="1">'9.15'!$B$3:$AE$36</definedName>
    <definedName name="Z_68643476_8805_447E_8170_A582EA1D0343_.wvu.PrintArea" localSheetId="14" hidden="1">'9.16'!$B$3:$AE$36</definedName>
    <definedName name="Z_68643476_8805_447E_8170_A582EA1D0343_.wvu.PrintArea" localSheetId="15" hidden="1">'9.17'!$B$3:$AE$36</definedName>
    <definedName name="Z_68643476_8805_447E_8170_A582EA1D0343_.wvu.PrintArea" localSheetId="16" hidden="1">'9.18'!$B$3:$AE$36</definedName>
    <definedName name="Z_68643476_8805_447E_8170_A582EA1D0343_.wvu.PrintArea" localSheetId="4" hidden="1">'9.2'!$B$3:$AE$36</definedName>
    <definedName name="Z_68643476_8805_447E_8170_A582EA1D0343_.wvu.PrintArea" localSheetId="17" hidden="1">'9.21'!$B$3:$AE$36</definedName>
    <definedName name="Z_68643476_8805_447E_8170_A582EA1D0343_.wvu.PrintArea" localSheetId="18" hidden="1">'9.22'!$B$3:$AE$36</definedName>
    <definedName name="Z_68643476_8805_447E_8170_A582EA1D0343_.wvu.PrintArea" localSheetId="19" hidden="1">'9.23'!$B$3:$AE$36</definedName>
    <definedName name="Z_68643476_8805_447E_8170_A582EA1D0343_.wvu.PrintArea" localSheetId="20" hidden="1">'9.24'!$B$3:$AE$36</definedName>
    <definedName name="Z_68643476_8805_447E_8170_A582EA1D0343_.wvu.PrintArea" localSheetId="21" hidden="1">'9.29'!$B$3:$AE$36</definedName>
    <definedName name="Z_68643476_8805_447E_8170_A582EA1D0343_.wvu.PrintArea" localSheetId="5" hidden="1">'9.3'!$B$3:$AE$36</definedName>
    <definedName name="Z_68643476_8805_447E_8170_A582EA1D0343_.wvu.PrintArea" localSheetId="22" hidden="1">'9.30'!$B$3:$AE$36</definedName>
    <definedName name="Z_68643476_8805_447E_8170_A582EA1D0343_.wvu.PrintArea" localSheetId="6" hidden="1">'9.4'!$B$3:$AE$36</definedName>
    <definedName name="Z_68643476_8805_447E_8170_A582EA1D0343_.wvu.PrintArea" localSheetId="7" hidden="1">'9.7'!$B$3:$AE$36</definedName>
    <definedName name="Z_68643476_8805_447E_8170_A582EA1D0343_.wvu.PrintArea" localSheetId="8" hidden="1">'9.8'!$B$3:$AE$36</definedName>
    <definedName name="Z_68643476_8805_447E_8170_A582EA1D0343_.wvu.PrintArea" localSheetId="9" hidden="1">'9.9'!$B$3:$AE$36</definedName>
    <definedName name="Z_8E5926ED_4EBD_4129_B8FF_799CC47580D7_.wvu.PrintArea" localSheetId="2" hidden="1">'8.31'!$B$3:$AE$36</definedName>
    <definedName name="Z_8E5926ED_4EBD_4129_B8FF_799CC47580D7_.wvu.PrintArea" localSheetId="3" hidden="1">'9.1'!$B$3:$AE$36</definedName>
    <definedName name="Z_8E5926ED_4EBD_4129_B8FF_799CC47580D7_.wvu.PrintArea" localSheetId="10" hidden="1">'9.10'!$B$3:$AE$36</definedName>
    <definedName name="Z_8E5926ED_4EBD_4129_B8FF_799CC47580D7_.wvu.PrintArea" localSheetId="11" hidden="1">'9.11'!$B$3:$AE$36</definedName>
    <definedName name="Z_8E5926ED_4EBD_4129_B8FF_799CC47580D7_.wvu.PrintArea" localSheetId="12" hidden="1">'9.14'!$B$3:$AE$36</definedName>
    <definedName name="Z_8E5926ED_4EBD_4129_B8FF_799CC47580D7_.wvu.PrintArea" localSheetId="13" hidden="1">'9.15'!$B$3:$AE$36</definedName>
    <definedName name="Z_8E5926ED_4EBD_4129_B8FF_799CC47580D7_.wvu.PrintArea" localSheetId="14" hidden="1">'9.16'!$B$3:$AE$36</definedName>
    <definedName name="Z_8E5926ED_4EBD_4129_B8FF_799CC47580D7_.wvu.PrintArea" localSheetId="15" hidden="1">'9.17'!$B$3:$AE$36</definedName>
    <definedName name="Z_8E5926ED_4EBD_4129_B8FF_799CC47580D7_.wvu.PrintArea" localSheetId="16" hidden="1">'9.18'!$B$3:$AE$36</definedName>
    <definedName name="Z_8E5926ED_4EBD_4129_B8FF_799CC47580D7_.wvu.PrintArea" localSheetId="4" hidden="1">'9.2'!$B$3:$AE$36</definedName>
    <definedName name="Z_8E5926ED_4EBD_4129_B8FF_799CC47580D7_.wvu.PrintArea" localSheetId="17" hidden="1">'9.21'!$B$3:$AE$36</definedName>
    <definedName name="Z_8E5926ED_4EBD_4129_B8FF_799CC47580D7_.wvu.PrintArea" localSheetId="18" hidden="1">'9.22'!$B$3:$AE$36</definedName>
    <definedName name="Z_8E5926ED_4EBD_4129_B8FF_799CC47580D7_.wvu.PrintArea" localSheetId="19" hidden="1">'9.23'!$B$3:$AE$36</definedName>
    <definedName name="Z_8E5926ED_4EBD_4129_B8FF_799CC47580D7_.wvu.PrintArea" localSheetId="20" hidden="1">'9.24'!$B$3:$AE$36</definedName>
    <definedName name="Z_8E5926ED_4EBD_4129_B8FF_799CC47580D7_.wvu.PrintArea" localSheetId="21" hidden="1">'9.29'!$B$3:$AE$36</definedName>
    <definedName name="Z_8E5926ED_4EBD_4129_B8FF_799CC47580D7_.wvu.PrintArea" localSheetId="5" hidden="1">'9.3'!$B$3:$AE$36</definedName>
    <definedName name="Z_8E5926ED_4EBD_4129_B8FF_799CC47580D7_.wvu.PrintArea" localSheetId="22" hidden="1">'9.30'!$B$3:$AE$36</definedName>
    <definedName name="Z_8E5926ED_4EBD_4129_B8FF_799CC47580D7_.wvu.PrintArea" localSheetId="6" hidden="1">'9.4'!$B$3:$AE$36</definedName>
    <definedName name="Z_8E5926ED_4EBD_4129_B8FF_799CC47580D7_.wvu.PrintArea" localSheetId="7" hidden="1">'9.7'!$B$3:$AE$36</definedName>
    <definedName name="Z_8E5926ED_4EBD_4129_B8FF_799CC47580D7_.wvu.PrintArea" localSheetId="8" hidden="1">'9.8'!$B$3:$AE$36</definedName>
    <definedName name="Z_8E5926ED_4EBD_4129_B8FF_799CC47580D7_.wvu.PrintArea" localSheetId="9" hidden="1">'9.9'!$B$3:$AE$36</definedName>
    <definedName name="Z_8FA8B620_C56C_11DB_A857_00055D5FD5FF_.wvu.PrintArea" localSheetId="2" hidden="1">'8.31'!$B$3:$AE$36</definedName>
    <definedName name="Z_8FA8B620_C56C_11DB_A857_00055D5FD5FF_.wvu.PrintArea" localSheetId="3" hidden="1">'9.1'!$B$3:$AE$36</definedName>
    <definedName name="Z_8FA8B620_C56C_11DB_A857_00055D5FD5FF_.wvu.PrintArea" localSheetId="10" hidden="1">'9.10'!$B$3:$AE$36</definedName>
    <definedName name="Z_8FA8B620_C56C_11DB_A857_00055D5FD5FF_.wvu.PrintArea" localSheetId="11" hidden="1">'9.11'!$B$3:$AE$36</definedName>
    <definedName name="Z_8FA8B620_C56C_11DB_A857_00055D5FD5FF_.wvu.PrintArea" localSheetId="12" hidden="1">'9.14'!$B$3:$AE$36</definedName>
    <definedName name="Z_8FA8B620_C56C_11DB_A857_00055D5FD5FF_.wvu.PrintArea" localSheetId="13" hidden="1">'9.15'!$B$3:$AE$36</definedName>
    <definedName name="Z_8FA8B620_C56C_11DB_A857_00055D5FD5FF_.wvu.PrintArea" localSheetId="14" hidden="1">'9.16'!$B$3:$AE$36</definedName>
    <definedName name="Z_8FA8B620_C56C_11DB_A857_00055D5FD5FF_.wvu.PrintArea" localSheetId="15" hidden="1">'9.17'!$B$3:$AE$36</definedName>
    <definedName name="Z_8FA8B620_C56C_11DB_A857_00055D5FD5FF_.wvu.PrintArea" localSheetId="16" hidden="1">'9.18'!$B$3:$AE$36</definedName>
    <definedName name="Z_8FA8B620_C56C_11DB_A857_00055D5FD5FF_.wvu.PrintArea" localSheetId="4" hidden="1">'9.2'!$B$3:$AE$36</definedName>
    <definedName name="Z_8FA8B620_C56C_11DB_A857_00055D5FD5FF_.wvu.PrintArea" localSheetId="17" hidden="1">'9.21'!$B$3:$AE$36</definedName>
    <definedName name="Z_8FA8B620_C56C_11DB_A857_00055D5FD5FF_.wvu.PrintArea" localSheetId="18" hidden="1">'9.22'!$B$3:$AE$36</definedName>
    <definedName name="Z_8FA8B620_C56C_11DB_A857_00055D5FD5FF_.wvu.PrintArea" localSheetId="19" hidden="1">'9.23'!$B$3:$AE$36</definedName>
    <definedName name="Z_8FA8B620_C56C_11DB_A857_00055D5FD5FF_.wvu.PrintArea" localSheetId="20" hidden="1">'9.24'!$B$3:$AE$36</definedName>
    <definedName name="Z_8FA8B620_C56C_11DB_A857_00055D5FD5FF_.wvu.PrintArea" localSheetId="21" hidden="1">'9.29'!$B$3:$AE$36</definedName>
    <definedName name="Z_8FA8B620_C56C_11DB_A857_00055D5FD5FF_.wvu.PrintArea" localSheetId="5" hidden="1">'9.3'!$B$3:$AE$36</definedName>
    <definedName name="Z_8FA8B620_C56C_11DB_A857_00055D5FD5FF_.wvu.PrintArea" localSheetId="22" hidden="1">'9.30'!$B$3:$AE$36</definedName>
    <definedName name="Z_8FA8B620_C56C_11DB_A857_00055D5FD5FF_.wvu.PrintArea" localSheetId="6" hidden="1">'9.4'!$B$3:$AE$36</definedName>
    <definedName name="Z_8FA8B620_C56C_11DB_A857_00055D5FD5FF_.wvu.PrintArea" localSheetId="7" hidden="1">'9.7'!$B$3:$AE$36</definedName>
    <definedName name="Z_8FA8B620_C56C_11DB_A857_00055D5FD5FF_.wvu.PrintArea" localSheetId="8" hidden="1">'9.8'!$B$3:$AE$36</definedName>
    <definedName name="Z_8FA8B620_C56C_11DB_A857_00055D5FD5FF_.wvu.PrintArea" localSheetId="9" hidden="1">'9.9'!$B$3:$AE$36</definedName>
    <definedName name="Z_A3DB5619_047E_4CE2_8C39_700CFD25F2CB_.wvu.PrintArea" localSheetId="2" hidden="1">'8.31'!$B$3:$AE$36</definedName>
    <definedName name="Z_A3DB5619_047E_4CE2_8C39_700CFD25F2CB_.wvu.PrintArea" localSheetId="3" hidden="1">'9.1'!$B$3:$AE$36</definedName>
    <definedName name="Z_A3DB5619_047E_4CE2_8C39_700CFD25F2CB_.wvu.PrintArea" localSheetId="10" hidden="1">'9.10'!$B$3:$AE$36</definedName>
    <definedName name="Z_A3DB5619_047E_4CE2_8C39_700CFD25F2CB_.wvu.PrintArea" localSheetId="11" hidden="1">'9.11'!$B$3:$AE$36</definedName>
    <definedName name="Z_A3DB5619_047E_4CE2_8C39_700CFD25F2CB_.wvu.PrintArea" localSheetId="12" hidden="1">'9.14'!$B$3:$AE$36</definedName>
    <definedName name="Z_A3DB5619_047E_4CE2_8C39_700CFD25F2CB_.wvu.PrintArea" localSheetId="13" hidden="1">'9.15'!$B$3:$AE$36</definedName>
    <definedName name="Z_A3DB5619_047E_4CE2_8C39_700CFD25F2CB_.wvu.PrintArea" localSheetId="14" hidden="1">'9.16'!$B$3:$AE$36</definedName>
    <definedName name="Z_A3DB5619_047E_4CE2_8C39_700CFD25F2CB_.wvu.PrintArea" localSheetId="15" hidden="1">'9.17'!$B$3:$AE$36</definedName>
    <definedName name="Z_A3DB5619_047E_4CE2_8C39_700CFD25F2CB_.wvu.PrintArea" localSheetId="16" hidden="1">'9.18'!$B$3:$AE$36</definedName>
    <definedName name="Z_A3DB5619_047E_4CE2_8C39_700CFD25F2CB_.wvu.PrintArea" localSheetId="4" hidden="1">'9.2'!$B$3:$AE$36</definedName>
    <definedName name="Z_A3DB5619_047E_4CE2_8C39_700CFD25F2CB_.wvu.PrintArea" localSheetId="17" hidden="1">'9.21'!$B$3:$AE$36</definedName>
    <definedName name="Z_A3DB5619_047E_4CE2_8C39_700CFD25F2CB_.wvu.PrintArea" localSheetId="18" hidden="1">'9.22'!$B$3:$AE$36</definedName>
    <definedName name="Z_A3DB5619_047E_4CE2_8C39_700CFD25F2CB_.wvu.PrintArea" localSheetId="19" hidden="1">'9.23'!$B$3:$AE$36</definedName>
    <definedName name="Z_A3DB5619_047E_4CE2_8C39_700CFD25F2CB_.wvu.PrintArea" localSheetId="20" hidden="1">'9.24'!$B$3:$AE$36</definedName>
    <definedName name="Z_A3DB5619_047E_4CE2_8C39_700CFD25F2CB_.wvu.PrintArea" localSheetId="21" hidden="1">'9.29'!$B$3:$AE$36</definedName>
    <definedName name="Z_A3DB5619_047E_4CE2_8C39_700CFD25F2CB_.wvu.PrintArea" localSheetId="5" hidden="1">'9.3'!$B$3:$AE$36</definedName>
    <definedName name="Z_A3DB5619_047E_4CE2_8C39_700CFD25F2CB_.wvu.PrintArea" localSheetId="22" hidden="1">'9.30'!$B$3:$AE$36</definedName>
    <definedName name="Z_A3DB5619_047E_4CE2_8C39_700CFD25F2CB_.wvu.PrintArea" localSheetId="6" hidden="1">'9.4'!$B$3:$AE$36</definedName>
    <definedName name="Z_A3DB5619_047E_4CE2_8C39_700CFD25F2CB_.wvu.PrintArea" localSheetId="7" hidden="1">'9.7'!$B$3:$AE$36</definedName>
    <definedName name="Z_A3DB5619_047E_4CE2_8C39_700CFD25F2CB_.wvu.PrintArea" localSheetId="8" hidden="1">'9.8'!$B$3:$AE$36</definedName>
    <definedName name="Z_A3DB5619_047E_4CE2_8C39_700CFD25F2CB_.wvu.PrintArea" localSheetId="9" hidden="1">'9.9'!$B$3:$AE$36</definedName>
    <definedName name="Z_D903F940_B812_11DB_B168_0010B575B8B2_.wvu.PrintArea" localSheetId="2" hidden="1">'8.31'!$B$3:$AE$36</definedName>
    <definedName name="Z_D903F940_B812_11DB_B168_0010B575B8B2_.wvu.PrintArea" localSheetId="3" hidden="1">'9.1'!$B$3:$AE$36</definedName>
    <definedName name="Z_D903F940_B812_11DB_B168_0010B575B8B2_.wvu.PrintArea" localSheetId="10" hidden="1">'9.10'!$B$3:$AE$36</definedName>
    <definedName name="Z_D903F940_B812_11DB_B168_0010B575B8B2_.wvu.PrintArea" localSheetId="11" hidden="1">'9.11'!$B$3:$AE$36</definedName>
    <definedName name="Z_D903F940_B812_11DB_B168_0010B575B8B2_.wvu.PrintArea" localSheetId="12" hidden="1">'9.14'!$B$3:$AE$36</definedName>
    <definedName name="Z_D903F940_B812_11DB_B168_0010B575B8B2_.wvu.PrintArea" localSheetId="13" hidden="1">'9.15'!$B$3:$AE$36</definedName>
    <definedName name="Z_D903F940_B812_11DB_B168_0010B575B8B2_.wvu.PrintArea" localSheetId="14" hidden="1">'9.16'!$B$3:$AE$36</definedName>
    <definedName name="Z_D903F940_B812_11DB_B168_0010B575B8B2_.wvu.PrintArea" localSheetId="15" hidden="1">'9.17'!$B$3:$AE$36</definedName>
    <definedName name="Z_D903F940_B812_11DB_B168_0010B575B8B2_.wvu.PrintArea" localSheetId="16" hidden="1">'9.18'!$B$3:$AE$36</definedName>
    <definedName name="Z_D903F940_B812_11DB_B168_0010B575B8B2_.wvu.PrintArea" localSheetId="4" hidden="1">'9.2'!$B$3:$AE$36</definedName>
    <definedName name="Z_D903F940_B812_11DB_B168_0010B575B8B2_.wvu.PrintArea" localSheetId="17" hidden="1">'9.21'!$B$3:$AE$36</definedName>
    <definedName name="Z_D903F940_B812_11DB_B168_0010B575B8B2_.wvu.PrintArea" localSheetId="18" hidden="1">'9.22'!$B$3:$AE$36</definedName>
    <definedName name="Z_D903F940_B812_11DB_B168_0010B575B8B2_.wvu.PrintArea" localSheetId="19" hidden="1">'9.23'!$B$3:$AE$36</definedName>
    <definedName name="Z_D903F940_B812_11DB_B168_0010B575B8B2_.wvu.PrintArea" localSheetId="20" hidden="1">'9.24'!$B$3:$AE$36</definedName>
    <definedName name="Z_D903F940_B812_11DB_B168_0010B575B8B2_.wvu.PrintArea" localSheetId="21" hidden="1">'9.29'!$B$3:$AE$36</definedName>
    <definedName name="Z_D903F940_B812_11DB_B168_0010B575B8B2_.wvu.PrintArea" localSheetId="5" hidden="1">'9.3'!$B$3:$AE$36</definedName>
    <definedName name="Z_D903F940_B812_11DB_B168_0010B575B8B2_.wvu.PrintArea" localSheetId="22" hidden="1">'9.30'!$B$3:$AE$36</definedName>
    <definedName name="Z_D903F940_B812_11DB_B168_0010B575B8B2_.wvu.PrintArea" localSheetId="6" hidden="1">'9.4'!$B$3:$AE$36</definedName>
    <definedName name="Z_D903F940_B812_11DB_B168_0010B575B8B2_.wvu.PrintArea" localSheetId="7" hidden="1">'9.7'!$B$3:$AE$36</definedName>
    <definedName name="Z_D903F940_B812_11DB_B168_0010B575B8B2_.wvu.PrintArea" localSheetId="8" hidden="1">'9.8'!$B$3:$AE$36</definedName>
    <definedName name="Z_D903F940_B812_11DB_B168_0010B575B8B2_.wvu.PrintArea" localSheetId="9" hidden="1">'9.9'!$B$3:$AE$36</definedName>
    <definedName name="取樣回收每月庫存表" localSheetId="2" hidden="1">'8.31'!#REF!</definedName>
    <definedName name="取樣回收每月庫存表" localSheetId="3" hidden="1">'9.1'!#REF!</definedName>
    <definedName name="取樣回收每月庫存表" localSheetId="10" hidden="1">'9.10'!#REF!</definedName>
    <definedName name="取樣回收每月庫存表" localSheetId="11" hidden="1">'9.11'!#REF!</definedName>
    <definedName name="取樣回收每月庫存表" localSheetId="12" hidden="1">'9.14'!#REF!</definedName>
    <definedName name="取樣回收每月庫存表" localSheetId="13" hidden="1">'9.15'!#REF!</definedName>
    <definedName name="取樣回收每月庫存表" localSheetId="14" hidden="1">'9.16'!#REF!</definedName>
    <definedName name="取樣回收每月庫存表" localSheetId="15" hidden="1">'9.17'!#REF!</definedName>
    <definedName name="取樣回收每月庫存表" localSheetId="16" hidden="1">'9.18'!#REF!</definedName>
    <definedName name="取樣回收每月庫存表" localSheetId="4" hidden="1">'9.2'!#REF!</definedName>
    <definedName name="取樣回收每月庫存表" localSheetId="17" hidden="1">'9.21'!#REF!</definedName>
    <definedName name="取樣回收每月庫存表" localSheetId="18" hidden="1">'9.22'!#REF!</definedName>
    <definedName name="取樣回收每月庫存表" localSheetId="19" hidden="1">'9.23'!#REF!</definedName>
    <definedName name="取樣回收每月庫存表" localSheetId="20" hidden="1">'9.24'!#REF!</definedName>
    <definedName name="取樣回收每月庫存表" localSheetId="21" hidden="1">'9.29'!#REF!</definedName>
    <definedName name="取樣回收每月庫存表" localSheetId="5" hidden="1">'9.3'!#REF!</definedName>
    <definedName name="取樣回收每月庫存表" localSheetId="22" hidden="1">'9.30'!#REF!</definedName>
    <definedName name="取樣回收每月庫存表" localSheetId="6" hidden="1">'9.4'!#REF!</definedName>
    <definedName name="取樣回收每月庫存表" localSheetId="7" hidden="1">'9.7'!#REF!</definedName>
    <definedName name="取樣回收每月庫存表" localSheetId="8" hidden="1">'9.8'!#REF!</definedName>
    <definedName name="取樣回收每月庫存表" localSheetId="9" hidden="1">'9.9'!#REF!</definedName>
    <definedName name="取樣回收每月庫存表_0620更新" localSheetId="2" hidden="1">'8.31'!$AG$13:$BH$189</definedName>
    <definedName name="取樣回收每月庫存表_0620更新" localSheetId="3" hidden="1">'9.1'!$AG$13:$BH$189</definedName>
    <definedName name="取樣回收每月庫存表_0620更新" localSheetId="10" hidden="1">'9.10'!$AG$13:$BH$189</definedName>
    <definedName name="取樣回收每月庫存表_0620更新" localSheetId="11" hidden="1">'9.11'!$AG$13:$BH$189</definedName>
    <definedName name="取樣回收每月庫存表_0620更新" localSheetId="12" hidden="1">'9.14'!$AG$13:$BH$189</definedName>
    <definedName name="取樣回收每月庫存表_0620更新" localSheetId="13" hidden="1">'9.15'!$AG$13:$BH$189</definedName>
    <definedName name="取樣回收每月庫存表_0620更新" localSheetId="14" hidden="1">'9.16'!$AG$13:$BH$189</definedName>
    <definedName name="取樣回收每月庫存表_0620更新" localSheetId="15" hidden="1">'9.17'!$AG$13:$BH$189</definedName>
    <definedName name="取樣回收每月庫存表_0620更新" localSheetId="16" hidden="1">'9.18'!$AG$13:$BH$189</definedName>
    <definedName name="取樣回收每月庫存表_0620更新" localSheetId="4" hidden="1">'9.2'!$AG$13:$BH$189</definedName>
    <definedName name="取樣回收每月庫存表_0620更新" localSheetId="17" hidden="1">'9.21'!$AG$13:$BH$189</definedName>
    <definedName name="取樣回收每月庫存表_0620更新" localSheetId="18" hidden="1">'9.22'!$AG$13:$BH$189</definedName>
    <definedName name="取樣回收每月庫存表_0620更新" localSheetId="19" hidden="1">'9.23'!$AG$13:$BH$189</definedName>
    <definedName name="取樣回收每月庫存表_0620更新" localSheetId="20" hidden="1">'9.24'!$AG$13:$BH$189</definedName>
    <definedName name="取樣回收每月庫存表_0620更新" localSheetId="21" hidden="1">'9.29'!$AG$13:$BH$189</definedName>
    <definedName name="取樣回收每月庫存表_0620更新" localSheetId="5" hidden="1">'9.3'!$AG$13:$BH$189</definedName>
    <definedName name="取樣回收每月庫存表_0620更新" localSheetId="22" hidden="1">'9.30'!$AG$13:$BH$189</definedName>
    <definedName name="取樣回收每月庫存表_0620更新" localSheetId="6" hidden="1">'9.4'!$AG$13:$BH$189</definedName>
    <definedName name="取樣回收每月庫存表_0620更新" localSheetId="7" hidden="1">'9.7'!$AG$13:$BH$189</definedName>
    <definedName name="取樣回收每月庫存表_0620更新" localSheetId="8" hidden="1">'9.8'!$AG$13:$BH$189</definedName>
    <definedName name="取樣回收每月庫存表_0620更新" localSheetId="9" hidden="1">'9.9'!$AG$13:$BH$189</definedName>
    <definedName name="複本_14_取樣回收每月庫存表" localSheetId="2" hidden="1">'8.31'!#REF!</definedName>
    <definedName name="複本_14_取樣回收每月庫存表" localSheetId="3" hidden="1">'9.1'!#REF!</definedName>
    <definedName name="複本_14_取樣回收每月庫存表" localSheetId="10" hidden="1">'9.10'!#REF!</definedName>
    <definedName name="複本_14_取樣回收每月庫存表" localSheetId="11" hidden="1">'9.11'!#REF!</definedName>
    <definedName name="複本_14_取樣回收每月庫存表" localSheetId="12" hidden="1">'9.14'!#REF!</definedName>
    <definedName name="複本_14_取樣回收每月庫存表" localSheetId="13" hidden="1">'9.15'!#REF!</definedName>
    <definedName name="複本_14_取樣回收每月庫存表" localSheetId="14" hidden="1">'9.16'!#REF!</definedName>
    <definedName name="複本_14_取樣回收每月庫存表" localSheetId="15" hidden="1">'9.17'!#REF!</definedName>
    <definedName name="複本_14_取樣回收每月庫存表" localSheetId="16" hidden="1">'9.18'!#REF!</definedName>
    <definedName name="複本_14_取樣回收每月庫存表" localSheetId="4" hidden="1">'9.2'!#REF!</definedName>
    <definedName name="複本_14_取樣回收每月庫存表" localSheetId="17" hidden="1">'9.21'!#REF!</definedName>
    <definedName name="複本_14_取樣回收每月庫存表" localSheetId="18" hidden="1">'9.22'!#REF!</definedName>
    <definedName name="複本_14_取樣回收每月庫存表" localSheetId="19" hidden="1">'9.23'!#REF!</definedName>
    <definedName name="複本_14_取樣回收每月庫存表" localSheetId="20" hidden="1">'9.24'!#REF!</definedName>
    <definedName name="複本_14_取樣回收每月庫存表" localSheetId="21" hidden="1">'9.29'!#REF!</definedName>
    <definedName name="複本_14_取樣回收每月庫存表" localSheetId="5" hidden="1">'9.3'!#REF!</definedName>
    <definedName name="複本_14_取樣回收每月庫存表" localSheetId="22" hidden="1">'9.30'!#REF!</definedName>
    <definedName name="複本_14_取樣回收每月庫存表" localSheetId="6" hidden="1">'9.4'!#REF!</definedName>
    <definedName name="複本_14_取樣回收每月庫存表" localSheetId="7" hidden="1">'9.7'!#REF!</definedName>
    <definedName name="複本_14_取樣回收每月庫存表" localSheetId="8" hidden="1">'9.8'!#REF!</definedName>
    <definedName name="複本_14_取樣回收每月庫存表" localSheetId="9" hidden="1">'9.9'!#REF!</definedName>
  </definedNames>
  <calcPr calcId="162913"/>
</workbook>
</file>

<file path=xl/calcChain.xml><?xml version="1.0" encoding="utf-8"?>
<calcChain xmlns="http://schemas.openxmlformats.org/spreadsheetml/2006/main">
  <c r="AA33" i="2267" l="1"/>
  <c r="X33" i="2267"/>
  <c r="U33" i="2267"/>
  <c r="R33" i="2267"/>
  <c r="F33" i="2267"/>
  <c r="Y28" i="2267"/>
  <c r="X28" i="2267"/>
  <c r="S33" i="2267" s="1"/>
  <c r="W28" i="2267"/>
  <c r="V28" i="2267"/>
  <c r="U28" i="2267"/>
  <c r="T28" i="2267"/>
  <c r="S28" i="2267"/>
  <c r="R28" i="2267"/>
  <c r="Q28" i="2267"/>
  <c r="P28" i="2267"/>
  <c r="O28" i="2267"/>
  <c r="N28" i="2267"/>
  <c r="M28" i="2267"/>
  <c r="L28" i="2267"/>
  <c r="K28" i="2267"/>
  <c r="J28" i="2267"/>
  <c r="I28" i="2267"/>
  <c r="H28" i="2267"/>
  <c r="G28" i="2267"/>
  <c r="F28" i="2267"/>
  <c r="E28" i="2267"/>
  <c r="D28" i="2267"/>
  <c r="Y25" i="2267"/>
  <c r="X25" i="2267"/>
  <c r="W25" i="2267"/>
  <c r="V25" i="2267"/>
  <c r="U25" i="2267"/>
  <c r="T25" i="2267"/>
  <c r="S25" i="2267"/>
  <c r="R25" i="2267"/>
  <c r="Q25" i="2267"/>
  <c r="P25" i="2267"/>
  <c r="O25" i="2267"/>
  <c r="N25" i="2267"/>
  <c r="M25" i="2267"/>
  <c r="L25" i="2267"/>
  <c r="K25" i="2267"/>
  <c r="J25" i="2267"/>
  <c r="I25" i="2267"/>
  <c r="H25" i="2267"/>
  <c r="G25" i="2267"/>
  <c r="F25" i="2267"/>
  <c r="E25" i="2267"/>
  <c r="D25" i="2267"/>
  <c r="AE19" i="2267"/>
  <c r="AD19" i="2267"/>
  <c r="AC19" i="2267"/>
  <c r="AB19" i="2267"/>
  <c r="AA19" i="2267"/>
  <c r="Z19" i="2267"/>
  <c r="Y19" i="2267"/>
  <c r="X19" i="2267"/>
  <c r="T33" i="2267" s="1"/>
  <c r="W19" i="2267"/>
  <c r="V19" i="2267"/>
  <c r="U19" i="2267"/>
  <c r="T19" i="2267"/>
  <c r="S19" i="2267"/>
  <c r="R19" i="2267"/>
  <c r="Q19" i="2267"/>
  <c r="P19" i="2267"/>
  <c r="O19" i="2267"/>
  <c r="N19" i="2267"/>
  <c r="G33" i="2267" s="1"/>
  <c r="M19" i="2267"/>
  <c r="H33" i="2267" s="1"/>
  <c r="L19" i="2267"/>
  <c r="P33" i="2267" s="1"/>
  <c r="K19" i="2267"/>
  <c r="L33" i="2267" s="1"/>
  <c r="J19" i="2267"/>
  <c r="I19" i="2267"/>
  <c r="AB33" i="2267" s="1"/>
  <c r="H19" i="2267"/>
  <c r="G19" i="2267"/>
  <c r="O33" i="2267" s="1"/>
  <c r="F19" i="2267"/>
  <c r="E19" i="2267"/>
  <c r="D19" i="2267"/>
  <c r="AE16" i="2267"/>
  <c r="AD16" i="2267"/>
  <c r="AC16" i="2267"/>
  <c r="AB16" i="2267"/>
  <c r="AA16" i="2267"/>
  <c r="Z16" i="2267"/>
  <c r="X16" i="2267"/>
  <c r="W16" i="2267"/>
  <c r="V16" i="2267"/>
  <c r="U16" i="2267"/>
  <c r="T16" i="2267"/>
  <c r="S16" i="2267"/>
  <c r="R16" i="2267"/>
  <c r="Q16" i="2267"/>
  <c r="P16" i="2267"/>
  <c r="O16" i="2267"/>
  <c r="N16" i="2267"/>
  <c r="M16" i="2267"/>
  <c r="L16" i="2267"/>
  <c r="K16" i="2267"/>
  <c r="J16" i="2267"/>
  <c r="I16" i="2267"/>
  <c r="H16" i="2267"/>
  <c r="G16" i="2267"/>
  <c r="F16" i="2267"/>
  <c r="E16" i="2267"/>
  <c r="D16" i="2267"/>
  <c r="AE10" i="2267"/>
  <c r="AD10" i="2267"/>
  <c r="AC10" i="2267"/>
  <c r="AB10" i="2267"/>
  <c r="AA10" i="2267"/>
  <c r="Z10" i="2267"/>
  <c r="Y10" i="2267"/>
  <c r="X10" i="2267"/>
  <c r="W10" i="2267"/>
  <c r="V10" i="2267"/>
  <c r="U10" i="2267"/>
  <c r="T10" i="2267"/>
  <c r="S10" i="2267"/>
  <c r="R10" i="2267"/>
  <c r="Q10" i="2267"/>
  <c r="P10" i="2267"/>
  <c r="O10" i="2267"/>
  <c r="N10" i="2267"/>
  <c r="M10" i="2267"/>
  <c r="L10" i="2267"/>
  <c r="K10" i="2267"/>
  <c r="J10" i="2267"/>
  <c r="I10" i="2267"/>
  <c r="H10" i="2267"/>
  <c r="G10" i="2267"/>
  <c r="F10" i="2267"/>
  <c r="E10" i="2267"/>
  <c r="D10" i="2267"/>
  <c r="AE7" i="2267"/>
  <c r="AD7" i="2267"/>
  <c r="AC7" i="2267"/>
  <c r="AB7" i="2267"/>
  <c r="AA7" i="2267"/>
  <c r="Z7" i="2267"/>
  <c r="Y7" i="2267"/>
  <c r="X7" i="2267"/>
  <c r="W7" i="2267"/>
  <c r="V7" i="2267"/>
  <c r="U7" i="2267"/>
  <c r="T7" i="2267"/>
  <c r="S7" i="2267"/>
  <c r="R7" i="2267"/>
  <c r="Q7" i="2267"/>
  <c r="P7" i="2267"/>
  <c r="O7" i="2267"/>
  <c r="N7" i="2267"/>
  <c r="M7" i="2267"/>
  <c r="L7" i="2267"/>
  <c r="K7" i="2267"/>
  <c r="J7" i="2267"/>
  <c r="I7" i="2267"/>
  <c r="H7" i="2267"/>
  <c r="G7" i="2267"/>
  <c r="F7" i="2267"/>
  <c r="E7" i="2267"/>
  <c r="D7" i="2267"/>
  <c r="K33" i="2267" l="1"/>
  <c r="J33" i="2267"/>
  <c r="W33" i="2267"/>
  <c r="N33" i="2267"/>
  <c r="AC33" i="2267"/>
  <c r="D33" i="2267"/>
  <c r="Z33" i="2267"/>
  <c r="Y33" i="2267"/>
  <c r="Q33" i="2267"/>
  <c r="E33" i="2267"/>
  <c r="M33" i="2267"/>
  <c r="V33" i="2267"/>
  <c r="AA33" i="2266" l="1"/>
  <c r="X33" i="2266"/>
  <c r="U33" i="2266"/>
  <c r="R33" i="2266"/>
  <c r="F33" i="2266"/>
  <c r="Y28" i="2266"/>
  <c r="X28" i="2266"/>
  <c r="S33" i="2266" s="1"/>
  <c r="W28" i="2266"/>
  <c r="V28" i="2266"/>
  <c r="U28" i="2266"/>
  <c r="T28" i="2266"/>
  <c r="S28" i="2266"/>
  <c r="R28" i="2266"/>
  <c r="Q28" i="2266"/>
  <c r="P28" i="2266"/>
  <c r="O28" i="2266"/>
  <c r="N28" i="2266"/>
  <c r="M28" i="2266"/>
  <c r="L28" i="2266"/>
  <c r="K28" i="2266"/>
  <c r="J28" i="2266"/>
  <c r="I28" i="2266"/>
  <c r="H28" i="2266"/>
  <c r="G28" i="2266"/>
  <c r="F28" i="2266"/>
  <c r="E28" i="2266"/>
  <c r="D28" i="2266"/>
  <c r="Y25" i="2266"/>
  <c r="X25" i="2266"/>
  <c r="W25" i="2266"/>
  <c r="V25" i="2266"/>
  <c r="U25" i="2266"/>
  <c r="T25" i="2266"/>
  <c r="S25" i="2266"/>
  <c r="R25" i="2266"/>
  <c r="Q25" i="2266"/>
  <c r="P25" i="2266"/>
  <c r="O25" i="2266"/>
  <c r="N25" i="2266"/>
  <c r="M25" i="2266"/>
  <c r="L25" i="2266"/>
  <c r="K25" i="2266"/>
  <c r="J25" i="2266"/>
  <c r="I25" i="2266"/>
  <c r="H25" i="2266"/>
  <c r="G25" i="2266"/>
  <c r="F25" i="2266"/>
  <c r="E25" i="2266"/>
  <c r="D25" i="2266"/>
  <c r="AE19" i="2266"/>
  <c r="AD19" i="2266"/>
  <c r="AC19" i="2266"/>
  <c r="AB19" i="2266"/>
  <c r="AA19" i="2266"/>
  <c r="Z19" i="2266"/>
  <c r="Y19" i="2266"/>
  <c r="X19" i="2266"/>
  <c r="T33" i="2266" s="1"/>
  <c r="W19" i="2266"/>
  <c r="V19" i="2266"/>
  <c r="U19" i="2266"/>
  <c r="T19" i="2266"/>
  <c r="S19" i="2266"/>
  <c r="R19" i="2266"/>
  <c r="Q19" i="2266"/>
  <c r="P19" i="2266"/>
  <c r="O19" i="2266"/>
  <c r="N19" i="2266"/>
  <c r="G33" i="2266" s="1"/>
  <c r="M19" i="2266"/>
  <c r="H33" i="2266" s="1"/>
  <c r="L19" i="2266"/>
  <c r="P33" i="2266" s="1"/>
  <c r="K19" i="2266"/>
  <c r="L33" i="2266" s="1"/>
  <c r="J19" i="2266"/>
  <c r="I19" i="2266"/>
  <c r="AB33" i="2266" s="1"/>
  <c r="H19" i="2266"/>
  <c r="G19" i="2266"/>
  <c r="O33" i="2266" s="1"/>
  <c r="F19" i="2266"/>
  <c r="E19" i="2266"/>
  <c r="D19" i="2266"/>
  <c r="AE16" i="2266"/>
  <c r="AD16" i="2266"/>
  <c r="AC16" i="2266"/>
  <c r="AB16" i="2266"/>
  <c r="AA16" i="2266"/>
  <c r="Z16" i="2266"/>
  <c r="X16" i="2266"/>
  <c r="W16" i="2266"/>
  <c r="V16" i="2266"/>
  <c r="U16" i="2266"/>
  <c r="T16" i="2266"/>
  <c r="S16" i="2266"/>
  <c r="R16" i="2266"/>
  <c r="Q16" i="2266"/>
  <c r="P16" i="2266"/>
  <c r="O16" i="2266"/>
  <c r="N16" i="2266"/>
  <c r="M16" i="2266"/>
  <c r="L16" i="2266"/>
  <c r="K16" i="2266"/>
  <c r="J16" i="2266"/>
  <c r="I16" i="2266"/>
  <c r="H16" i="2266"/>
  <c r="G16" i="2266"/>
  <c r="F16" i="2266"/>
  <c r="E16" i="2266"/>
  <c r="D16" i="2266"/>
  <c r="AE10" i="2266"/>
  <c r="AD10" i="2266"/>
  <c r="AC10" i="2266"/>
  <c r="AB10" i="2266"/>
  <c r="AA10" i="2266"/>
  <c r="Z10" i="2266"/>
  <c r="Y10" i="2266"/>
  <c r="X10" i="2266"/>
  <c r="W10" i="2266"/>
  <c r="V10" i="2266"/>
  <c r="U10" i="2266"/>
  <c r="T10" i="2266"/>
  <c r="S10" i="2266"/>
  <c r="R10" i="2266"/>
  <c r="Q10" i="2266"/>
  <c r="P10" i="2266"/>
  <c r="O10" i="2266"/>
  <c r="N10" i="2266"/>
  <c r="M10" i="2266"/>
  <c r="E33" i="2266" s="1"/>
  <c r="L10" i="2266"/>
  <c r="K10" i="2266"/>
  <c r="J10" i="2266"/>
  <c r="I10" i="2266"/>
  <c r="H10" i="2266"/>
  <c r="G10" i="2266"/>
  <c r="F10" i="2266"/>
  <c r="E10" i="2266"/>
  <c r="D10" i="2266"/>
  <c r="AE7" i="2266"/>
  <c r="AD7" i="2266"/>
  <c r="AC7" i="2266"/>
  <c r="AB7" i="2266"/>
  <c r="AA7" i="2266"/>
  <c r="Z7" i="2266"/>
  <c r="Y7" i="2266"/>
  <c r="X7" i="2266"/>
  <c r="W7" i="2266"/>
  <c r="V7" i="2266"/>
  <c r="U7" i="2266"/>
  <c r="T7" i="2266"/>
  <c r="S7" i="2266"/>
  <c r="R7" i="2266"/>
  <c r="Q7" i="2266"/>
  <c r="P7" i="2266"/>
  <c r="O7" i="2266"/>
  <c r="N7" i="2266"/>
  <c r="M7" i="2266"/>
  <c r="L7" i="2266"/>
  <c r="K7" i="2266"/>
  <c r="J7" i="2266"/>
  <c r="I7" i="2266"/>
  <c r="H7" i="2266"/>
  <c r="G7" i="2266"/>
  <c r="F7" i="2266"/>
  <c r="E7" i="2266"/>
  <c r="D7" i="2266"/>
  <c r="AA33" i="2265"/>
  <c r="X33" i="2265"/>
  <c r="U33" i="2265"/>
  <c r="R33" i="2265"/>
  <c r="F33" i="2265"/>
  <c r="Y28" i="2265"/>
  <c r="X28" i="2265"/>
  <c r="S33" i="2265" s="1"/>
  <c r="W28" i="2265"/>
  <c r="V28" i="2265"/>
  <c r="U28" i="2265"/>
  <c r="T28" i="2265"/>
  <c r="S28" i="2265"/>
  <c r="R28" i="2265"/>
  <c r="Q28" i="2265"/>
  <c r="P28" i="2265"/>
  <c r="O28" i="2265"/>
  <c r="N28" i="2265"/>
  <c r="M28" i="2265"/>
  <c r="L28" i="2265"/>
  <c r="K28" i="2265"/>
  <c r="J28" i="2265"/>
  <c r="I28" i="2265"/>
  <c r="H28" i="2265"/>
  <c r="G28" i="2265"/>
  <c r="F28" i="2265"/>
  <c r="E28" i="2265"/>
  <c r="D28" i="2265"/>
  <c r="Y25" i="2265"/>
  <c r="X25" i="2265"/>
  <c r="W25" i="2265"/>
  <c r="V25" i="2265"/>
  <c r="U25" i="2265"/>
  <c r="T25" i="2265"/>
  <c r="S25" i="2265"/>
  <c r="R25" i="2265"/>
  <c r="Q25" i="2265"/>
  <c r="P25" i="2265"/>
  <c r="O25" i="2265"/>
  <c r="N25" i="2265"/>
  <c r="M25" i="2265"/>
  <c r="L25" i="2265"/>
  <c r="K25" i="2265"/>
  <c r="J25" i="2265"/>
  <c r="I25" i="2265"/>
  <c r="H25" i="2265"/>
  <c r="G25" i="2265"/>
  <c r="F25" i="2265"/>
  <c r="E25" i="2265"/>
  <c r="D25" i="2265"/>
  <c r="AE19" i="2265"/>
  <c r="AD19" i="2265"/>
  <c r="AC19" i="2265"/>
  <c r="AB19" i="2265"/>
  <c r="AA19" i="2265"/>
  <c r="Z19" i="2265"/>
  <c r="Y19" i="2265"/>
  <c r="X19" i="2265"/>
  <c r="T33" i="2265" s="1"/>
  <c r="W19" i="2265"/>
  <c r="V19" i="2265"/>
  <c r="U19" i="2265"/>
  <c r="T19" i="2265"/>
  <c r="S19" i="2265"/>
  <c r="R19" i="2265"/>
  <c r="Q19" i="2265"/>
  <c r="P19" i="2265"/>
  <c r="O19" i="2265"/>
  <c r="N19" i="2265"/>
  <c r="G33" i="2265" s="1"/>
  <c r="M19" i="2265"/>
  <c r="H33" i="2265" s="1"/>
  <c r="L19" i="2265"/>
  <c r="P33" i="2265" s="1"/>
  <c r="K19" i="2265"/>
  <c r="L33" i="2265" s="1"/>
  <c r="J19" i="2265"/>
  <c r="I19" i="2265"/>
  <c r="AB33" i="2265" s="1"/>
  <c r="H19" i="2265"/>
  <c r="G19" i="2265"/>
  <c r="O33" i="2265" s="1"/>
  <c r="F19" i="2265"/>
  <c r="E19" i="2265"/>
  <c r="D19" i="2265"/>
  <c r="AE16" i="2265"/>
  <c r="AD16" i="2265"/>
  <c r="AC16" i="2265"/>
  <c r="AB16" i="2265"/>
  <c r="AA16" i="2265"/>
  <c r="Z16" i="2265"/>
  <c r="X16" i="2265"/>
  <c r="W16" i="2265"/>
  <c r="V16" i="2265"/>
  <c r="U16" i="2265"/>
  <c r="T16" i="2265"/>
  <c r="S16" i="2265"/>
  <c r="R16" i="2265"/>
  <c r="Q16" i="2265"/>
  <c r="P16" i="2265"/>
  <c r="O16" i="2265"/>
  <c r="N16" i="2265"/>
  <c r="M16" i="2265"/>
  <c r="L16" i="2265"/>
  <c r="K16" i="2265"/>
  <c r="J16" i="2265"/>
  <c r="I16" i="2265"/>
  <c r="H16" i="2265"/>
  <c r="G16" i="2265"/>
  <c r="F16" i="2265"/>
  <c r="E16" i="2265"/>
  <c r="D16" i="2265"/>
  <c r="AE10" i="2265"/>
  <c r="AD10" i="2265"/>
  <c r="AC10" i="2265"/>
  <c r="AB10" i="2265"/>
  <c r="AA10" i="2265"/>
  <c r="Z10" i="2265"/>
  <c r="Y10" i="2265"/>
  <c r="X10" i="2265"/>
  <c r="W10" i="2265"/>
  <c r="V10" i="2265"/>
  <c r="U10" i="2265"/>
  <c r="T10" i="2265"/>
  <c r="S10" i="2265"/>
  <c r="R10" i="2265"/>
  <c r="Q10" i="2265"/>
  <c r="P10" i="2265"/>
  <c r="O10" i="2265"/>
  <c r="N10" i="2265"/>
  <c r="Q33" i="2265" s="1"/>
  <c r="M10" i="2265"/>
  <c r="L10" i="2265"/>
  <c r="K10" i="2265"/>
  <c r="J10" i="2265"/>
  <c r="I10" i="2265"/>
  <c r="H10" i="2265"/>
  <c r="G10" i="2265"/>
  <c r="F10" i="2265"/>
  <c r="J33" i="2265" s="1"/>
  <c r="E10" i="2265"/>
  <c r="D10" i="2265"/>
  <c r="AE7" i="2265"/>
  <c r="AD7" i="2265"/>
  <c r="AC7" i="2265"/>
  <c r="AB7" i="2265"/>
  <c r="AA7" i="2265"/>
  <c r="Z7" i="2265"/>
  <c r="Y7" i="2265"/>
  <c r="X7" i="2265"/>
  <c r="W7" i="2265"/>
  <c r="V7" i="2265"/>
  <c r="U7" i="2265"/>
  <c r="T7" i="2265"/>
  <c r="S7" i="2265"/>
  <c r="R7" i="2265"/>
  <c r="Q7" i="2265"/>
  <c r="P7" i="2265"/>
  <c r="O7" i="2265"/>
  <c r="N7" i="2265"/>
  <c r="M7" i="2265"/>
  <c r="L7" i="2265"/>
  <c r="K7" i="2265"/>
  <c r="J7" i="2265"/>
  <c r="I7" i="2265"/>
  <c r="H7" i="2265"/>
  <c r="G7" i="2265"/>
  <c r="F7" i="2265"/>
  <c r="E7" i="2265"/>
  <c r="D7" i="2265"/>
  <c r="J33" i="2266" l="1"/>
  <c r="W33" i="2266"/>
  <c r="N33" i="2266"/>
  <c r="AC33" i="2266"/>
  <c r="V33" i="2266"/>
  <c r="D33" i="2266"/>
  <c r="Z33" i="2266"/>
  <c r="Y33" i="2266"/>
  <c r="K33" i="2266"/>
  <c r="Q33" i="2266"/>
  <c r="M33" i="2266"/>
  <c r="W33" i="2265"/>
  <c r="N33" i="2265"/>
  <c r="AC33" i="2265"/>
  <c r="Z33" i="2265"/>
  <c r="D33" i="2265"/>
  <c r="Y33" i="2265"/>
  <c r="E33" i="2265"/>
  <c r="K33" i="2265"/>
  <c r="M33" i="2265"/>
  <c r="V33" i="2265"/>
  <c r="AA33" i="2264" l="1"/>
  <c r="X33" i="2264"/>
  <c r="U33" i="2264"/>
  <c r="R33" i="2264"/>
  <c r="F33" i="2264"/>
  <c r="Y28" i="2264"/>
  <c r="X28" i="2264"/>
  <c r="S33" i="2264" s="1"/>
  <c r="W28" i="2264"/>
  <c r="V28" i="2264"/>
  <c r="U28" i="2264"/>
  <c r="T28" i="2264"/>
  <c r="S28" i="2264"/>
  <c r="R28" i="2264"/>
  <c r="Q28" i="2264"/>
  <c r="P28" i="2264"/>
  <c r="O28" i="2264"/>
  <c r="N28" i="2264"/>
  <c r="M28" i="2264"/>
  <c r="L28" i="2264"/>
  <c r="K28" i="2264"/>
  <c r="J28" i="2264"/>
  <c r="I28" i="2264"/>
  <c r="H28" i="2264"/>
  <c r="G28" i="2264"/>
  <c r="F28" i="2264"/>
  <c r="E28" i="2264"/>
  <c r="D28" i="2264"/>
  <c r="Y25" i="2264"/>
  <c r="X25" i="2264"/>
  <c r="W25" i="2264"/>
  <c r="V25" i="2264"/>
  <c r="U25" i="2264"/>
  <c r="T25" i="2264"/>
  <c r="S25" i="2264"/>
  <c r="R25" i="2264"/>
  <c r="Q25" i="2264"/>
  <c r="P25" i="2264"/>
  <c r="O25" i="2264"/>
  <c r="N25" i="2264"/>
  <c r="M25" i="2264"/>
  <c r="L25" i="2264"/>
  <c r="K25" i="2264"/>
  <c r="J25" i="2264"/>
  <c r="I25" i="2264"/>
  <c r="H25" i="2264"/>
  <c r="G25" i="2264"/>
  <c r="F25" i="2264"/>
  <c r="E25" i="2264"/>
  <c r="D25" i="2264"/>
  <c r="AE19" i="2264"/>
  <c r="AD19" i="2264"/>
  <c r="AC19" i="2264"/>
  <c r="AB19" i="2264"/>
  <c r="AA19" i="2264"/>
  <c r="Z19" i="2264"/>
  <c r="Y19" i="2264"/>
  <c r="X19" i="2264"/>
  <c r="T33" i="2264" s="1"/>
  <c r="W19" i="2264"/>
  <c r="V19" i="2264"/>
  <c r="U19" i="2264"/>
  <c r="T19" i="2264"/>
  <c r="S19" i="2264"/>
  <c r="R19" i="2264"/>
  <c r="Q19" i="2264"/>
  <c r="P19" i="2264"/>
  <c r="O19" i="2264"/>
  <c r="N19" i="2264"/>
  <c r="G33" i="2264" s="1"/>
  <c r="M19" i="2264"/>
  <c r="H33" i="2264" s="1"/>
  <c r="L19" i="2264"/>
  <c r="P33" i="2264" s="1"/>
  <c r="K19" i="2264"/>
  <c r="L33" i="2264" s="1"/>
  <c r="J19" i="2264"/>
  <c r="I19" i="2264"/>
  <c r="AB33" i="2264" s="1"/>
  <c r="H19" i="2264"/>
  <c r="G19" i="2264"/>
  <c r="O33" i="2264" s="1"/>
  <c r="F19" i="2264"/>
  <c r="E19" i="2264"/>
  <c r="D19" i="2264"/>
  <c r="AE16" i="2264"/>
  <c r="AD16" i="2264"/>
  <c r="AC16" i="2264"/>
  <c r="AB16" i="2264"/>
  <c r="AA16" i="2264"/>
  <c r="Z16" i="2264"/>
  <c r="X16" i="2264"/>
  <c r="W16" i="2264"/>
  <c r="V16" i="2264"/>
  <c r="U16" i="2264"/>
  <c r="T16" i="2264"/>
  <c r="S16" i="2264"/>
  <c r="R16" i="2264"/>
  <c r="Q16" i="2264"/>
  <c r="P16" i="2264"/>
  <c r="O16" i="2264"/>
  <c r="N16" i="2264"/>
  <c r="M16" i="2264"/>
  <c r="L16" i="2264"/>
  <c r="K16" i="2264"/>
  <c r="J16" i="2264"/>
  <c r="I16" i="2264"/>
  <c r="H16" i="2264"/>
  <c r="G16" i="2264"/>
  <c r="F16" i="2264"/>
  <c r="E16" i="2264"/>
  <c r="D16" i="2264"/>
  <c r="AE10" i="2264"/>
  <c r="AD10" i="2264"/>
  <c r="AC10" i="2264"/>
  <c r="AB10" i="2264"/>
  <c r="AA10" i="2264"/>
  <c r="Z10" i="2264"/>
  <c r="Y10" i="2264"/>
  <c r="X10" i="2264"/>
  <c r="W10" i="2264"/>
  <c r="V10" i="2264"/>
  <c r="U10" i="2264"/>
  <c r="T10" i="2264"/>
  <c r="S10" i="2264"/>
  <c r="R10" i="2264"/>
  <c r="Q10" i="2264"/>
  <c r="P10" i="2264"/>
  <c r="O10" i="2264"/>
  <c r="N10" i="2264"/>
  <c r="Q33" i="2264" s="1"/>
  <c r="M10" i="2264"/>
  <c r="E33" i="2264" s="1"/>
  <c r="L10" i="2264"/>
  <c r="K10" i="2264"/>
  <c r="J10" i="2264"/>
  <c r="I10" i="2264"/>
  <c r="H10" i="2264"/>
  <c r="G10" i="2264"/>
  <c r="F10" i="2264"/>
  <c r="E10" i="2264"/>
  <c r="D10" i="2264"/>
  <c r="AE7" i="2264"/>
  <c r="AD7" i="2264"/>
  <c r="AC7" i="2264"/>
  <c r="AB7" i="2264"/>
  <c r="AA7" i="2264"/>
  <c r="Z7" i="2264"/>
  <c r="Y7" i="2264"/>
  <c r="X7" i="2264"/>
  <c r="W7" i="2264"/>
  <c r="V7" i="2264"/>
  <c r="U7" i="2264"/>
  <c r="T7" i="2264"/>
  <c r="S7" i="2264"/>
  <c r="R7" i="2264"/>
  <c r="Q7" i="2264"/>
  <c r="P7" i="2264"/>
  <c r="O7" i="2264"/>
  <c r="N7" i="2264"/>
  <c r="M7" i="2264"/>
  <c r="L7" i="2264"/>
  <c r="K7" i="2264"/>
  <c r="J7" i="2264"/>
  <c r="I7" i="2264"/>
  <c r="H7" i="2264"/>
  <c r="G7" i="2264"/>
  <c r="F7" i="2264"/>
  <c r="E7" i="2264"/>
  <c r="D7" i="2264"/>
  <c r="Z33" i="2264" l="1"/>
  <c r="J33" i="2264"/>
  <c r="W33" i="2264"/>
  <c r="K33" i="2264"/>
  <c r="N33" i="2264"/>
  <c r="AC33" i="2264"/>
  <c r="D33" i="2264"/>
  <c r="Y33" i="2264"/>
  <c r="M33" i="2264"/>
  <c r="V33" i="2264"/>
  <c r="AA33" i="2263"/>
  <c r="X33" i="2263"/>
  <c r="U33" i="2263"/>
  <c r="R33" i="2263"/>
  <c r="F33" i="2263"/>
  <c r="Y28" i="2263"/>
  <c r="X28" i="2263"/>
  <c r="S33" i="2263" s="1"/>
  <c r="W28" i="2263"/>
  <c r="V28" i="2263"/>
  <c r="U28" i="2263"/>
  <c r="T28" i="2263"/>
  <c r="S28" i="2263"/>
  <c r="R28" i="2263"/>
  <c r="Q28" i="2263"/>
  <c r="P28" i="2263"/>
  <c r="O28" i="2263"/>
  <c r="N28" i="2263"/>
  <c r="M28" i="2263"/>
  <c r="L28" i="2263"/>
  <c r="K28" i="2263"/>
  <c r="J28" i="2263"/>
  <c r="I28" i="2263"/>
  <c r="H28" i="2263"/>
  <c r="G28" i="2263"/>
  <c r="F28" i="2263"/>
  <c r="E28" i="2263"/>
  <c r="D28" i="2263"/>
  <c r="Y25" i="2263"/>
  <c r="X25" i="2263"/>
  <c r="W25" i="2263"/>
  <c r="V25" i="2263"/>
  <c r="U25" i="2263"/>
  <c r="T25" i="2263"/>
  <c r="S25" i="2263"/>
  <c r="R25" i="2263"/>
  <c r="Q25" i="2263"/>
  <c r="P25" i="2263"/>
  <c r="O25" i="2263"/>
  <c r="N25" i="2263"/>
  <c r="M25" i="2263"/>
  <c r="L25" i="2263"/>
  <c r="K25" i="2263"/>
  <c r="J25" i="2263"/>
  <c r="I25" i="2263"/>
  <c r="H25" i="2263"/>
  <c r="G25" i="2263"/>
  <c r="F25" i="2263"/>
  <c r="E25" i="2263"/>
  <c r="D25" i="2263"/>
  <c r="AE19" i="2263"/>
  <c r="AD19" i="2263"/>
  <c r="AC19" i="2263"/>
  <c r="AB19" i="2263"/>
  <c r="AA19" i="2263"/>
  <c r="Z19" i="2263"/>
  <c r="Y19" i="2263"/>
  <c r="X19" i="2263"/>
  <c r="T33" i="2263" s="1"/>
  <c r="W19" i="2263"/>
  <c r="V19" i="2263"/>
  <c r="U19" i="2263"/>
  <c r="T19" i="2263"/>
  <c r="S19" i="2263"/>
  <c r="R19" i="2263"/>
  <c r="Q19" i="2263"/>
  <c r="P19" i="2263"/>
  <c r="O19" i="2263"/>
  <c r="N19" i="2263"/>
  <c r="G33" i="2263" s="1"/>
  <c r="M19" i="2263"/>
  <c r="H33" i="2263" s="1"/>
  <c r="L19" i="2263"/>
  <c r="P33" i="2263" s="1"/>
  <c r="K19" i="2263"/>
  <c r="L33" i="2263" s="1"/>
  <c r="J19" i="2263"/>
  <c r="I19" i="2263"/>
  <c r="AB33" i="2263" s="1"/>
  <c r="H19" i="2263"/>
  <c r="G19" i="2263"/>
  <c r="O33" i="2263" s="1"/>
  <c r="F19" i="2263"/>
  <c r="E19" i="2263"/>
  <c r="D19" i="2263"/>
  <c r="AE16" i="2263"/>
  <c r="AD16" i="2263"/>
  <c r="AC16" i="2263"/>
  <c r="AB16" i="2263"/>
  <c r="AA16" i="2263"/>
  <c r="Z16" i="2263"/>
  <c r="X16" i="2263"/>
  <c r="W16" i="2263"/>
  <c r="V16" i="2263"/>
  <c r="U16" i="2263"/>
  <c r="T16" i="2263"/>
  <c r="S16" i="2263"/>
  <c r="R16" i="2263"/>
  <c r="Q16" i="2263"/>
  <c r="P16" i="2263"/>
  <c r="O16" i="2263"/>
  <c r="N16" i="2263"/>
  <c r="M16" i="2263"/>
  <c r="L16" i="2263"/>
  <c r="K16" i="2263"/>
  <c r="J16" i="2263"/>
  <c r="I16" i="2263"/>
  <c r="H16" i="2263"/>
  <c r="G16" i="2263"/>
  <c r="F16" i="2263"/>
  <c r="E16" i="2263"/>
  <c r="D16" i="2263"/>
  <c r="AE10" i="2263"/>
  <c r="AD10" i="2263"/>
  <c r="AC10" i="2263"/>
  <c r="AB10" i="2263"/>
  <c r="AA10" i="2263"/>
  <c r="Z10" i="2263"/>
  <c r="Y10" i="2263"/>
  <c r="X10" i="2263"/>
  <c r="W10" i="2263"/>
  <c r="V10" i="2263"/>
  <c r="U10" i="2263"/>
  <c r="T10" i="2263"/>
  <c r="S10" i="2263"/>
  <c r="R10" i="2263"/>
  <c r="Q10" i="2263"/>
  <c r="P10" i="2263"/>
  <c r="O10" i="2263"/>
  <c r="N10" i="2263"/>
  <c r="Q33" i="2263" s="1"/>
  <c r="M10" i="2263"/>
  <c r="E33" i="2263" s="1"/>
  <c r="L10" i="2263"/>
  <c r="K10" i="2263"/>
  <c r="J10" i="2263"/>
  <c r="I10" i="2263"/>
  <c r="H10" i="2263"/>
  <c r="G10" i="2263"/>
  <c r="F10" i="2263"/>
  <c r="J33" i="2263" s="1"/>
  <c r="E10" i="2263"/>
  <c r="D10" i="2263"/>
  <c r="AE7" i="2263"/>
  <c r="AD7" i="2263"/>
  <c r="AC7" i="2263"/>
  <c r="AB7" i="2263"/>
  <c r="AA7" i="2263"/>
  <c r="Z7" i="2263"/>
  <c r="Y7" i="2263"/>
  <c r="X7" i="2263"/>
  <c r="W7" i="2263"/>
  <c r="V7" i="2263"/>
  <c r="U7" i="2263"/>
  <c r="T7" i="2263"/>
  <c r="S7" i="2263"/>
  <c r="R7" i="2263"/>
  <c r="Q7" i="2263"/>
  <c r="P7" i="2263"/>
  <c r="O7" i="2263"/>
  <c r="N7" i="2263"/>
  <c r="M7" i="2263"/>
  <c r="L7" i="2263"/>
  <c r="K7" i="2263"/>
  <c r="J7" i="2263"/>
  <c r="I7" i="2263"/>
  <c r="H7" i="2263"/>
  <c r="G7" i="2263"/>
  <c r="F7" i="2263"/>
  <c r="E7" i="2263"/>
  <c r="D7" i="2263"/>
  <c r="AA33" i="2262"/>
  <c r="X33" i="2262"/>
  <c r="U33" i="2262"/>
  <c r="R33" i="2262"/>
  <c r="F33" i="2262"/>
  <c r="Y28" i="2262"/>
  <c r="X28" i="2262"/>
  <c r="S33" i="2262" s="1"/>
  <c r="W28" i="2262"/>
  <c r="V28" i="2262"/>
  <c r="U28" i="2262"/>
  <c r="T28" i="2262"/>
  <c r="S28" i="2262"/>
  <c r="R28" i="2262"/>
  <c r="Q28" i="2262"/>
  <c r="P28" i="2262"/>
  <c r="O28" i="2262"/>
  <c r="N28" i="2262"/>
  <c r="M28" i="2262"/>
  <c r="L28" i="2262"/>
  <c r="K28" i="2262"/>
  <c r="J28" i="2262"/>
  <c r="I28" i="2262"/>
  <c r="H28" i="2262"/>
  <c r="G28" i="2262"/>
  <c r="F28" i="2262"/>
  <c r="E28" i="2262"/>
  <c r="D28" i="2262"/>
  <c r="Y25" i="2262"/>
  <c r="X25" i="2262"/>
  <c r="W25" i="2262"/>
  <c r="V25" i="2262"/>
  <c r="U25" i="2262"/>
  <c r="T25" i="2262"/>
  <c r="S25" i="2262"/>
  <c r="R25" i="2262"/>
  <c r="Q25" i="2262"/>
  <c r="P25" i="2262"/>
  <c r="O25" i="2262"/>
  <c r="N25" i="2262"/>
  <c r="M25" i="2262"/>
  <c r="L25" i="2262"/>
  <c r="K25" i="2262"/>
  <c r="J25" i="2262"/>
  <c r="I25" i="2262"/>
  <c r="H25" i="2262"/>
  <c r="G25" i="2262"/>
  <c r="F25" i="2262"/>
  <c r="E25" i="2262"/>
  <c r="D25" i="2262"/>
  <c r="AE19" i="2262"/>
  <c r="AD19" i="2262"/>
  <c r="AC19" i="2262"/>
  <c r="AB19" i="2262"/>
  <c r="AA19" i="2262"/>
  <c r="Z19" i="2262"/>
  <c r="Y19" i="2262"/>
  <c r="X19" i="2262"/>
  <c r="T33" i="2262" s="1"/>
  <c r="W19" i="2262"/>
  <c r="V19" i="2262"/>
  <c r="U19" i="2262"/>
  <c r="T19" i="2262"/>
  <c r="S19" i="2262"/>
  <c r="R19" i="2262"/>
  <c r="Q19" i="2262"/>
  <c r="P19" i="2262"/>
  <c r="O19" i="2262"/>
  <c r="N19" i="2262"/>
  <c r="G33" i="2262" s="1"/>
  <c r="M19" i="2262"/>
  <c r="H33" i="2262" s="1"/>
  <c r="L19" i="2262"/>
  <c r="P33" i="2262" s="1"/>
  <c r="K19" i="2262"/>
  <c r="L33" i="2262" s="1"/>
  <c r="J19" i="2262"/>
  <c r="I19" i="2262"/>
  <c r="AB33" i="2262" s="1"/>
  <c r="H19" i="2262"/>
  <c r="G19" i="2262"/>
  <c r="O33" i="2262" s="1"/>
  <c r="F19" i="2262"/>
  <c r="E19" i="2262"/>
  <c r="D19" i="2262"/>
  <c r="AE16" i="2262"/>
  <c r="AD16" i="2262"/>
  <c r="AC16" i="2262"/>
  <c r="AB16" i="2262"/>
  <c r="AA16" i="2262"/>
  <c r="Z16" i="2262"/>
  <c r="X16" i="2262"/>
  <c r="W16" i="2262"/>
  <c r="V16" i="2262"/>
  <c r="U16" i="2262"/>
  <c r="T16" i="2262"/>
  <c r="S16" i="2262"/>
  <c r="R16" i="2262"/>
  <c r="Q16" i="2262"/>
  <c r="P16" i="2262"/>
  <c r="O16" i="2262"/>
  <c r="N16" i="2262"/>
  <c r="M16" i="2262"/>
  <c r="L16" i="2262"/>
  <c r="K16" i="2262"/>
  <c r="J16" i="2262"/>
  <c r="I16" i="2262"/>
  <c r="H16" i="2262"/>
  <c r="G16" i="2262"/>
  <c r="F16" i="2262"/>
  <c r="E16" i="2262"/>
  <c r="D16" i="2262"/>
  <c r="AE10" i="2262"/>
  <c r="AD10" i="2262"/>
  <c r="AC10" i="2262"/>
  <c r="AB10" i="2262"/>
  <c r="AA10" i="2262"/>
  <c r="Z10" i="2262"/>
  <c r="Y10" i="2262"/>
  <c r="X10" i="2262"/>
  <c r="W10" i="2262"/>
  <c r="V10" i="2262"/>
  <c r="U10" i="2262"/>
  <c r="T10" i="2262"/>
  <c r="S10" i="2262"/>
  <c r="R10" i="2262"/>
  <c r="Q10" i="2262"/>
  <c r="P10" i="2262"/>
  <c r="O10" i="2262"/>
  <c r="N10" i="2262"/>
  <c r="Q33" i="2262" s="1"/>
  <c r="M10" i="2262"/>
  <c r="E33" i="2262" s="1"/>
  <c r="L10" i="2262"/>
  <c r="K10" i="2262"/>
  <c r="J10" i="2262"/>
  <c r="I10" i="2262"/>
  <c r="H10" i="2262"/>
  <c r="G10" i="2262"/>
  <c r="F10" i="2262"/>
  <c r="E10" i="2262"/>
  <c r="D10" i="2262"/>
  <c r="AE7" i="2262"/>
  <c r="AD7" i="2262"/>
  <c r="AC7" i="2262"/>
  <c r="AB7" i="2262"/>
  <c r="AA7" i="2262"/>
  <c r="Z7" i="2262"/>
  <c r="Y7" i="2262"/>
  <c r="X7" i="2262"/>
  <c r="W7" i="2262"/>
  <c r="V7" i="2262"/>
  <c r="U7" i="2262"/>
  <c r="T7" i="2262"/>
  <c r="S7" i="2262"/>
  <c r="R7" i="2262"/>
  <c r="Q7" i="2262"/>
  <c r="P7" i="2262"/>
  <c r="O7" i="2262"/>
  <c r="N7" i="2262"/>
  <c r="M7" i="2262"/>
  <c r="L7" i="2262"/>
  <c r="K7" i="2262"/>
  <c r="J7" i="2262"/>
  <c r="I7" i="2262"/>
  <c r="H7" i="2262"/>
  <c r="G7" i="2262"/>
  <c r="F7" i="2262"/>
  <c r="E7" i="2262"/>
  <c r="D7" i="2262"/>
  <c r="N33" i="2263" l="1"/>
  <c r="W33" i="2263"/>
  <c r="AC33" i="2263"/>
  <c r="D33" i="2263"/>
  <c r="Z33" i="2263"/>
  <c r="Y33" i="2263"/>
  <c r="K33" i="2263"/>
  <c r="M33" i="2263"/>
  <c r="V33" i="2263"/>
  <c r="J33" i="2262"/>
  <c r="W33" i="2262"/>
  <c r="AC33" i="2262"/>
  <c r="D33" i="2262"/>
  <c r="Z33" i="2262"/>
  <c r="Y33" i="2262"/>
  <c r="N33" i="2262"/>
  <c r="K33" i="2262"/>
  <c r="M33" i="2262"/>
  <c r="V33" i="2262"/>
  <c r="AA33" i="2261"/>
  <c r="X33" i="2261"/>
  <c r="U33" i="2261"/>
  <c r="R33" i="2261"/>
  <c r="F33" i="2261"/>
  <c r="Y28" i="2261"/>
  <c r="X28" i="2261"/>
  <c r="S33" i="2261" s="1"/>
  <c r="W28" i="2261"/>
  <c r="V28" i="2261"/>
  <c r="U28" i="2261"/>
  <c r="T28" i="2261"/>
  <c r="S28" i="2261"/>
  <c r="R28" i="2261"/>
  <c r="Q28" i="2261"/>
  <c r="P28" i="2261"/>
  <c r="O28" i="2261"/>
  <c r="N28" i="2261"/>
  <c r="M28" i="2261"/>
  <c r="L28" i="2261"/>
  <c r="K28" i="2261"/>
  <c r="J28" i="2261"/>
  <c r="I28" i="2261"/>
  <c r="H28" i="2261"/>
  <c r="G28" i="2261"/>
  <c r="F28" i="2261"/>
  <c r="E28" i="2261"/>
  <c r="D28" i="2261"/>
  <c r="Y25" i="2261"/>
  <c r="X25" i="2261"/>
  <c r="W25" i="2261"/>
  <c r="V25" i="2261"/>
  <c r="U25" i="2261"/>
  <c r="T25" i="2261"/>
  <c r="S25" i="2261"/>
  <c r="R25" i="2261"/>
  <c r="Q25" i="2261"/>
  <c r="P25" i="2261"/>
  <c r="O25" i="2261"/>
  <c r="N25" i="2261"/>
  <c r="M25" i="2261"/>
  <c r="L25" i="2261"/>
  <c r="K25" i="2261"/>
  <c r="J25" i="2261"/>
  <c r="I25" i="2261"/>
  <c r="H25" i="2261"/>
  <c r="G25" i="2261"/>
  <c r="F25" i="2261"/>
  <c r="E25" i="2261"/>
  <c r="D25" i="2261"/>
  <c r="AE19" i="2261"/>
  <c r="AD19" i="2261"/>
  <c r="AC19" i="2261"/>
  <c r="AB19" i="2261"/>
  <c r="AC33" i="2261" s="1"/>
  <c r="AA19" i="2261"/>
  <c r="Z19" i="2261"/>
  <c r="Y19" i="2261"/>
  <c r="X19" i="2261"/>
  <c r="T33" i="2261" s="1"/>
  <c r="W19" i="2261"/>
  <c r="V19" i="2261"/>
  <c r="U19" i="2261"/>
  <c r="T19" i="2261"/>
  <c r="S19" i="2261"/>
  <c r="R19" i="2261"/>
  <c r="Q19" i="2261"/>
  <c r="P19" i="2261"/>
  <c r="O19" i="2261"/>
  <c r="N19" i="2261"/>
  <c r="G33" i="2261" s="1"/>
  <c r="M19" i="2261"/>
  <c r="H33" i="2261" s="1"/>
  <c r="L19" i="2261"/>
  <c r="P33" i="2261" s="1"/>
  <c r="K19" i="2261"/>
  <c r="L33" i="2261" s="1"/>
  <c r="J19" i="2261"/>
  <c r="I19" i="2261"/>
  <c r="AB33" i="2261" s="1"/>
  <c r="H19" i="2261"/>
  <c r="G19" i="2261"/>
  <c r="O33" i="2261" s="1"/>
  <c r="F19" i="2261"/>
  <c r="E19" i="2261"/>
  <c r="D19" i="2261"/>
  <c r="AE16" i="2261"/>
  <c r="AD16" i="2261"/>
  <c r="AC16" i="2261"/>
  <c r="AB16" i="2261"/>
  <c r="AA16" i="2261"/>
  <c r="Z16" i="2261"/>
  <c r="X16" i="2261"/>
  <c r="W16" i="2261"/>
  <c r="V16" i="2261"/>
  <c r="U16" i="2261"/>
  <c r="T16" i="2261"/>
  <c r="S16" i="2261"/>
  <c r="R16" i="2261"/>
  <c r="Q16" i="2261"/>
  <c r="P16" i="2261"/>
  <c r="O16" i="2261"/>
  <c r="N16" i="2261"/>
  <c r="M16" i="2261"/>
  <c r="L16" i="2261"/>
  <c r="K16" i="2261"/>
  <c r="J16" i="2261"/>
  <c r="I16" i="2261"/>
  <c r="H16" i="2261"/>
  <c r="G16" i="2261"/>
  <c r="F16" i="2261"/>
  <c r="E16" i="2261"/>
  <c r="D16" i="2261"/>
  <c r="AE10" i="2261"/>
  <c r="AD10" i="2261"/>
  <c r="AC10" i="2261"/>
  <c r="AB10" i="2261"/>
  <c r="AA10" i="2261"/>
  <c r="Z10" i="2261"/>
  <c r="Y10" i="2261"/>
  <c r="X10" i="2261"/>
  <c r="W10" i="2261"/>
  <c r="V10" i="2261"/>
  <c r="U10" i="2261"/>
  <c r="T10" i="2261"/>
  <c r="S10" i="2261"/>
  <c r="R10" i="2261"/>
  <c r="Q10" i="2261"/>
  <c r="P10" i="2261"/>
  <c r="O10" i="2261"/>
  <c r="N10" i="2261"/>
  <c r="M10" i="2261"/>
  <c r="L10" i="2261"/>
  <c r="K10" i="2261"/>
  <c r="J10" i="2261"/>
  <c r="I10" i="2261"/>
  <c r="H10" i="2261"/>
  <c r="G10" i="2261"/>
  <c r="F10" i="2261"/>
  <c r="E10" i="2261"/>
  <c r="D10" i="2261"/>
  <c r="AE7" i="2261"/>
  <c r="AD7" i="2261"/>
  <c r="AC7" i="2261"/>
  <c r="AB7" i="2261"/>
  <c r="AA7" i="2261"/>
  <c r="Z7" i="2261"/>
  <c r="Y7" i="2261"/>
  <c r="X7" i="2261"/>
  <c r="W7" i="2261"/>
  <c r="V7" i="2261"/>
  <c r="U7" i="2261"/>
  <c r="T7" i="2261"/>
  <c r="S7" i="2261"/>
  <c r="R7" i="2261"/>
  <c r="Q7" i="2261"/>
  <c r="P7" i="2261"/>
  <c r="O7" i="2261"/>
  <c r="N7" i="2261"/>
  <c r="M7" i="2261"/>
  <c r="L7" i="2261"/>
  <c r="K7" i="2261"/>
  <c r="J7" i="2261"/>
  <c r="I7" i="2261"/>
  <c r="H7" i="2261"/>
  <c r="G7" i="2261"/>
  <c r="F7" i="2261"/>
  <c r="E7" i="2261"/>
  <c r="D7" i="2261"/>
  <c r="Z33" i="2261" l="1"/>
  <c r="J33" i="2261"/>
  <c r="W33" i="2261"/>
  <c r="K33" i="2261"/>
  <c r="N33" i="2261"/>
  <c r="D33" i="2261"/>
  <c r="Y33" i="2261"/>
  <c r="Q33" i="2261"/>
  <c r="E33" i="2261"/>
  <c r="M33" i="2261"/>
  <c r="V33" i="2261"/>
  <c r="AA33" i="2260" l="1"/>
  <c r="X33" i="2260"/>
  <c r="U33" i="2260"/>
  <c r="R33" i="2260"/>
  <c r="O33" i="2260"/>
  <c r="F33" i="2260"/>
  <c r="Y28" i="2260"/>
  <c r="X28" i="2260"/>
  <c r="S33" i="2260" s="1"/>
  <c r="W28" i="2260"/>
  <c r="V28" i="2260"/>
  <c r="U28" i="2260"/>
  <c r="T28" i="2260"/>
  <c r="S28" i="2260"/>
  <c r="R28" i="2260"/>
  <c r="Q28" i="2260"/>
  <c r="P28" i="2260"/>
  <c r="O28" i="2260"/>
  <c r="N28" i="2260"/>
  <c r="M28" i="2260"/>
  <c r="L28" i="2260"/>
  <c r="K28" i="2260"/>
  <c r="J28" i="2260"/>
  <c r="I28" i="2260"/>
  <c r="H28" i="2260"/>
  <c r="G28" i="2260"/>
  <c r="F28" i="2260"/>
  <c r="E28" i="2260"/>
  <c r="D28" i="2260"/>
  <c r="Y25" i="2260"/>
  <c r="X25" i="2260"/>
  <c r="W25" i="2260"/>
  <c r="V25" i="2260"/>
  <c r="U25" i="2260"/>
  <c r="T25" i="2260"/>
  <c r="S25" i="2260"/>
  <c r="R25" i="2260"/>
  <c r="Q25" i="2260"/>
  <c r="P25" i="2260"/>
  <c r="O25" i="2260"/>
  <c r="N25" i="2260"/>
  <c r="M25" i="2260"/>
  <c r="L25" i="2260"/>
  <c r="K25" i="2260"/>
  <c r="J25" i="2260"/>
  <c r="I25" i="2260"/>
  <c r="H25" i="2260"/>
  <c r="G25" i="2260"/>
  <c r="F25" i="2260"/>
  <c r="E25" i="2260"/>
  <c r="D25" i="2260"/>
  <c r="AE19" i="2260"/>
  <c r="AD19" i="2260"/>
  <c r="AC19" i="2260"/>
  <c r="AB19" i="2260"/>
  <c r="AA19" i="2260"/>
  <c r="Z19" i="2260"/>
  <c r="Y19" i="2260"/>
  <c r="X19" i="2260"/>
  <c r="T33" i="2260" s="1"/>
  <c r="W19" i="2260"/>
  <c r="V19" i="2260"/>
  <c r="U19" i="2260"/>
  <c r="T19" i="2260"/>
  <c r="S19" i="2260"/>
  <c r="R19" i="2260"/>
  <c r="Q19" i="2260"/>
  <c r="P19" i="2260"/>
  <c r="O19" i="2260"/>
  <c r="N19" i="2260"/>
  <c r="G33" i="2260" s="1"/>
  <c r="M19" i="2260"/>
  <c r="H33" i="2260" s="1"/>
  <c r="L19" i="2260"/>
  <c r="P33" i="2260" s="1"/>
  <c r="K19" i="2260"/>
  <c r="L33" i="2260" s="1"/>
  <c r="J19" i="2260"/>
  <c r="I19" i="2260"/>
  <c r="AB33" i="2260" s="1"/>
  <c r="H19" i="2260"/>
  <c r="G19" i="2260"/>
  <c r="F19" i="2260"/>
  <c r="E19" i="2260"/>
  <c r="D19" i="2260"/>
  <c r="AE16" i="2260"/>
  <c r="AD16" i="2260"/>
  <c r="AC16" i="2260"/>
  <c r="AB16" i="2260"/>
  <c r="AA16" i="2260"/>
  <c r="Z16" i="2260"/>
  <c r="X16" i="2260"/>
  <c r="W16" i="2260"/>
  <c r="V16" i="2260"/>
  <c r="U16" i="2260"/>
  <c r="T16" i="2260"/>
  <c r="S16" i="2260"/>
  <c r="R16" i="2260"/>
  <c r="Q16" i="2260"/>
  <c r="P16" i="2260"/>
  <c r="O16" i="2260"/>
  <c r="N16" i="2260"/>
  <c r="M16" i="2260"/>
  <c r="L16" i="2260"/>
  <c r="K16" i="2260"/>
  <c r="J16" i="2260"/>
  <c r="I16" i="2260"/>
  <c r="H16" i="2260"/>
  <c r="G16" i="2260"/>
  <c r="F16" i="2260"/>
  <c r="E16" i="2260"/>
  <c r="D16" i="2260"/>
  <c r="AE10" i="2260"/>
  <c r="AD10" i="2260"/>
  <c r="AC10" i="2260"/>
  <c r="AB10" i="2260"/>
  <c r="AA10" i="2260"/>
  <c r="Z10" i="2260"/>
  <c r="Y10" i="2260"/>
  <c r="X10" i="2260"/>
  <c r="W10" i="2260"/>
  <c r="V10" i="2260"/>
  <c r="U10" i="2260"/>
  <c r="T10" i="2260"/>
  <c r="S10" i="2260"/>
  <c r="R10" i="2260"/>
  <c r="Q10" i="2260"/>
  <c r="P10" i="2260"/>
  <c r="O10" i="2260"/>
  <c r="N10" i="2260"/>
  <c r="M10" i="2260"/>
  <c r="L10" i="2260"/>
  <c r="K10" i="2260"/>
  <c r="J10" i="2260"/>
  <c r="Q33" i="2260" s="1"/>
  <c r="I10" i="2260"/>
  <c r="H10" i="2260"/>
  <c r="G10" i="2260"/>
  <c r="F10" i="2260"/>
  <c r="J33" i="2260" s="1"/>
  <c r="E10" i="2260"/>
  <c r="D10" i="2260"/>
  <c r="AE7" i="2260"/>
  <c r="AD7" i="2260"/>
  <c r="AC7" i="2260"/>
  <c r="AB7" i="2260"/>
  <c r="AA7" i="2260"/>
  <c r="Z7" i="2260"/>
  <c r="Y7" i="2260"/>
  <c r="X7" i="2260"/>
  <c r="W7" i="2260"/>
  <c r="V7" i="2260"/>
  <c r="U7" i="2260"/>
  <c r="T7" i="2260"/>
  <c r="S7" i="2260"/>
  <c r="R7" i="2260"/>
  <c r="Q7" i="2260"/>
  <c r="P7" i="2260"/>
  <c r="O7" i="2260"/>
  <c r="N7" i="2260"/>
  <c r="M7" i="2260"/>
  <c r="L7" i="2260"/>
  <c r="K7" i="2260"/>
  <c r="J7" i="2260"/>
  <c r="I7" i="2260"/>
  <c r="H7" i="2260"/>
  <c r="G7" i="2260"/>
  <c r="F7" i="2260"/>
  <c r="E7" i="2260"/>
  <c r="D7" i="2260"/>
  <c r="W33" i="2260" l="1"/>
  <c r="N33" i="2260"/>
  <c r="AC33" i="2260"/>
  <c r="D33" i="2260"/>
  <c r="Z33" i="2260"/>
  <c r="Y33" i="2260"/>
  <c r="E33" i="2260"/>
  <c r="K33" i="2260"/>
  <c r="M33" i="2260"/>
  <c r="V33" i="2260"/>
  <c r="AA33" i="2259"/>
  <c r="X33" i="2259"/>
  <c r="U33" i="2259"/>
  <c r="R33" i="2259"/>
  <c r="F33" i="2259"/>
  <c r="E33" i="2259"/>
  <c r="Y28" i="2259"/>
  <c r="X28" i="2259"/>
  <c r="S33" i="2259" s="1"/>
  <c r="W28" i="2259"/>
  <c r="V28" i="2259"/>
  <c r="U28" i="2259"/>
  <c r="T28" i="2259"/>
  <c r="S28" i="2259"/>
  <c r="R28" i="2259"/>
  <c r="Q28" i="2259"/>
  <c r="P28" i="2259"/>
  <c r="O28" i="2259"/>
  <c r="N28" i="2259"/>
  <c r="M28" i="2259"/>
  <c r="L28" i="2259"/>
  <c r="K28" i="2259"/>
  <c r="J28" i="2259"/>
  <c r="I28" i="2259"/>
  <c r="H28" i="2259"/>
  <c r="G28" i="2259"/>
  <c r="F28" i="2259"/>
  <c r="E28" i="2259"/>
  <c r="D28" i="2259"/>
  <c r="Y25" i="2259"/>
  <c r="X25" i="2259"/>
  <c r="W25" i="2259"/>
  <c r="V25" i="2259"/>
  <c r="U25" i="2259"/>
  <c r="T25" i="2259"/>
  <c r="S25" i="2259"/>
  <c r="R25" i="2259"/>
  <c r="Q25" i="2259"/>
  <c r="P25" i="2259"/>
  <c r="O25" i="2259"/>
  <c r="N25" i="2259"/>
  <c r="M25" i="2259"/>
  <c r="L25" i="2259"/>
  <c r="K25" i="2259"/>
  <c r="J25" i="2259"/>
  <c r="I25" i="2259"/>
  <c r="H25" i="2259"/>
  <c r="G25" i="2259"/>
  <c r="F25" i="2259"/>
  <c r="E25" i="2259"/>
  <c r="D25" i="2259"/>
  <c r="AE19" i="2259"/>
  <c r="AD19" i="2259"/>
  <c r="AC19" i="2259"/>
  <c r="AB19" i="2259"/>
  <c r="AA19" i="2259"/>
  <c r="Z19" i="2259"/>
  <c r="Y19" i="2259"/>
  <c r="X19" i="2259"/>
  <c r="T33" i="2259" s="1"/>
  <c r="W19" i="2259"/>
  <c r="V19" i="2259"/>
  <c r="U19" i="2259"/>
  <c r="T19" i="2259"/>
  <c r="S19" i="2259"/>
  <c r="R19" i="2259"/>
  <c r="Q19" i="2259"/>
  <c r="P19" i="2259"/>
  <c r="O19" i="2259"/>
  <c r="N19" i="2259"/>
  <c r="G33" i="2259" s="1"/>
  <c r="M19" i="2259"/>
  <c r="H33" i="2259" s="1"/>
  <c r="L19" i="2259"/>
  <c r="P33" i="2259" s="1"/>
  <c r="K19" i="2259"/>
  <c r="L33" i="2259" s="1"/>
  <c r="J19" i="2259"/>
  <c r="I19" i="2259"/>
  <c r="AB33" i="2259" s="1"/>
  <c r="H19" i="2259"/>
  <c r="G19" i="2259"/>
  <c r="O33" i="2259" s="1"/>
  <c r="F19" i="2259"/>
  <c r="E19" i="2259"/>
  <c r="D19" i="2259"/>
  <c r="AE16" i="2259"/>
  <c r="AD16" i="2259"/>
  <c r="AC16" i="2259"/>
  <c r="AB16" i="2259"/>
  <c r="AA16" i="2259"/>
  <c r="Z16" i="2259"/>
  <c r="X16" i="2259"/>
  <c r="W16" i="2259"/>
  <c r="V16" i="2259"/>
  <c r="U16" i="2259"/>
  <c r="T16" i="2259"/>
  <c r="S16" i="2259"/>
  <c r="R16" i="2259"/>
  <c r="Q16" i="2259"/>
  <c r="P16" i="2259"/>
  <c r="O16" i="2259"/>
  <c r="N16" i="2259"/>
  <c r="M16" i="2259"/>
  <c r="L16" i="2259"/>
  <c r="K16" i="2259"/>
  <c r="J16" i="2259"/>
  <c r="I16" i="2259"/>
  <c r="H16" i="2259"/>
  <c r="G16" i="2259"/>
  <c r="F16" i="2259"/>
  <c r="E16" i="2259"/>
  <c r="D16" i="2259"/>
  <c r="AE10" i="2259"/>
  <c r="AD10" i="2259"/>
  <c r="AC10" i="2259"/>
  <c r="AB10" i="2259"/>
  <c r="AA10" i="2259"/>
  <c r="Z10" i="2259"/>
  <c r="Y10" i="2259"/>
  <c r="X10" i="2259"/>
  <c r="W10" i="2259"/>
  <c r="V10" i="2259"/>
  <c r="U10" i="2259"/>
  <c r="T10" i="2259"/>
  <c r="S10" i="2259"/>
  <c r="R10" i="2259"/>
  <c r="Q10" i="2259"/>
  <c r="P10" i="2259"/>
  <c r="O10" i="2259"/>
  <c r="N10" i="2259"/>
  <c r="M10" i="2259"/>
  <c r="L10" i="2259"/>
  <c r="K10" i="2259"/>
  <c r="J10" i="2259"/>
  <c r="I10" i="2259"/>
  <c r="H10" i="2259"/>
  <c r="G10" i="2259"/>
  <c r="F10" i="2259"/>
  <c r="E10" i="2259"/>
  <c r="D10" i="2259"/>
  <c r="AE7" i="2259"/>
  <c r="AD7" i="2259"/>
  <c r="AC7" i="2259"/>
  <c r="AB7" i="2259"/>
  <c r="AA7" i="2259"/>
  <c r="Z7" i="2259"/>
  <c r="Y7" i="2259"/>
  <c r="X7" i="2259"/>
  <c r="W7" i="2259"/>
  <c r="V7" i="2259"/>
  <c r="U7" i="2259"/>
  <c r="T7" i="2259"/>
  <c r="S7" i="2259"/>
  <c r="R7" i="2259"/>
  <c r="Q7" i="2259"/>
  <c r="P7" i="2259"/>
  <c r="O7" i="2259"/>
  <c r="N7" i="2259"/>
  <c r="M7" i="2259"/>
  <c r="L7" i="2259"/>
  <c r="K7" i="2259"/>
  <c r="J7" i="2259"/>
  <c r="I7" i="2259"/>
  <c r="H7" i="2259"/>
  <c r="G7" i="2259"/>
  <c r="F7" i="2259"/>
  <c r="E7" i="2259"/>
  <c r="D7" i="2259"/>
  <c r="J33" i="2259" l="1"/>
  <c r="W33" i="2259"/>
  <c r="N33" i="2259"/>
  <c r="AC33" i="2259"/>
  <c r="Z33" i="2259"/>
  <c r="D33" i="2259"/>
  <c r="Y33" i="2259"/>
  <c r="K33" i="2259"/>
  <c r="Q33" i="2259"/>
  <c r="M33" i="2259"/>
  <c r="V33" i="2259"/>
  <c r="AA33" i="2258"/>
  <c r="X33" i="2258"/>
  <c r="U33" i="2258"/>
  <c r="R33" i="2258"/>
  <c r="F33" i="2258"/>
  <c r="E33" i="2258"/>
  <c r="Y28" i="2258"/>
  <c r="X28" i="2258"/>
  <c r="S33" i="2258" s="1"/>
  <c r="W28" i="2258"/>
  <c r="V28" i="2258"/>
  <c r="U28" i="2258"/>
  <c r="T28" i="2258"/>
  <c r="S28" i="2258"/>
  <c r="R28" i="2258"/>
  <c r="Q28" i="2258"/>
  <c r="P28" i="2258"/>
  <c r="O28" i="2258"/>
  <c r="N28" i="2258"/>
  <c r="M28" i="2258"/>
  <c r="L28" i="2258"/>
  <c r="K28" i="2258"/>
  <c r="J28" i="2258"/>
  <c r="I28" i="2258"/>
  <c r="H28" i="2258"/>
  <c r="G28" i="2258"/>
  <c r="F28" i="2258"/>
  <c r="E28" i="2258"/>
  <c r="D28" i="2258"/>
  <c r="Y25" i="2258"/>
  <c r="X25" i="2258"/>
  <c r="W25" i="2258"/>
  <c r="V25" i="2258"/>
  <c r="U25" i="2258"/>
  <c r="T25" i="2258"/>
  <c r="S25" i="2258"/>
  <c r="R25" i="2258"/>
  <c r="Q25" i="2258"/>
  <c r="P25" i="2258"/>
  <c r="O25" i="2258"/>
  <c r="N25" i="2258"/>
  <c r="M25" i="2258"/>
  <c r="L25" i="2258"/>
  <c r="K25" i="2258"/>
  <c r="J25" i="2258"/>
  <c r="I25" i="2258"/>
  <c r="H25" i="2258"/>
  <c r="G25" i="2258"/>
  <c r="F25" i="2258"/>
  <c r="E25" i="2258"/>
  <c r="D25" i="2258"/>
  <c r="AE19" i="2258"/>
  <c r="AD19" i="2258"/>
  <c r="AC19" i="2258"/>
  <c r="AB19" i="2258"/>
  <c r="AA19" i="2258"/>
  <c r="Z19" i="2258"/>
  <c r="Y19" i="2258"/>
  <c r="X19" i="2258"/>
  <c r="T33" i="2258" s="1"/>
  <c r="W19" i="2258"/>
  <c r="V19" i="2258"/>
  <c r="U19" i="2258"/>
  <c r="T19" i="2258"/>
  <c r="S19" i="2258"/>
  <c r="R19" i="2258"/>
  <c r="Q19" i="2258"/>
  <c r="P19" i="2258"/>
  <c r="O19" i="2258"/>
  <c r="N19" i="2258"/>
  <c r="G33" i="2258" s="1"/>
  <c r="M19" i="2258"/>
  <c r="H33" i="2258" s="1"/>
  <c r="L19" i="2258"/>
  <c r="P33" i="2258" s="1"/>
  <c r="K19" i="2258"/>
  <c r="L33" i="2258" s="1"/>
  <c r="J19" i="2258"/>
  <c r="I19" i="2258"/>
  <c r="AB33" i="2258" s="1"/>
  <c r="H19" i="2258"/>
  <c r="G19" i="2258"/>
  <c r="O33" i="2258" s="1"/>
  <c r="F19" i="2258"/>
  <c r="E19" i="2258"/>
  <c r="D19" i="2258"/>
  <c r="AE16" i="2258"/>
  <c r="AD16" i="2258"/>
  <c r="AC16" i="2258"/>
  <c r="AB16" i="2258"/>
  <c r="AA16" i="2258"/>
  <c r="Z16" i="2258"/>
  <c r="X16" i="2258"/>
  <c r="W16" i="2258"/>
  <c r="V16" i="2258"/>
  <c r="U16" i="2258"/>
  <c r="T16" i="2258"/>
  <c r="S16" i="2258"/>
  <c r="R16" i="2258"/>
  <c r="Q16" i="2258"/>
  <c r="P16" i="2258"/>
  <c r="O16" i="2258"/>
  <c r="N16" i="2258"/>
  <c r="M16" i="2258"/>
  <c r="L16" i="2258"/>
  <c r="K16" i="2258"/>
  <c r="J16" i="2258"/>
  <c r="I16" i="2258"/>
  <c r="H16" i="2258"/>
  <c r="G16" i="2258"/>
  <c r="F16" i="2258"/>
  <c r="E16" i="2258"/>
  <c r="D16" i="2258"/>
  <c r="AE10" i="2258"/>
  <c r="AD10" i="2258"/>
  <c r="AC10" i="2258"/>
  <c r="AB10" i="2258"/>
  <c r="AA10" i="2258"/>
  <c r="Z10" i="2258"/>
  <c r="Y10" i="2258"/>
  <c r="X10" i="2258"/>
  <c r="W10" i="2258"/>
  <c r="V10" i="2258"/>
  <c r="U10" i="2258"/>
  <c r="T10" i="2258"/>
  <c r="S10" i="2258"/>
  <c r="R10" i="2258"/>
  <c r="Q10" i="2258"/>
  <c r="P10" i="2258"/>
  <c r="O10" i="2258"/>
  <c r="N10" i="2258"/>
  <c r="Q33" i="2258" s="1"/>
  <c r="M10" i="2258"/>
  <c r="L10" i="2258"/>
  <c r="K10" i="2258"/>
  <c r="J10" i="2258"/>
  <c r="I10" i="2258"/>
  <c r="H10" i="2258"/>
  <c r="G10" i="2258"/>
  <c r="F10" i="2258"/>
  <c r="J33" i="2258" s="1"/>
  <c r="E10" i="2258"/>
  <c r="D10" i="2258"/>
  <c r="AE7" i="2258"/>
  <c r="AD7" i="2258"/>
  <c r="AC7" i="2258"/>
  <c r="AB7" i="2258"/>
  <c r="AA7" i="2258"/>
  <c r="Z7" i="2258"/>
  <c r="Y7" i="2258"/>
  <c r="X7" i="2258"/>
  <c r="W7" i="2258"/>
  <c r="V7" i="2258"/>
  <c r="U7" i="2258"/>
  <c r="T7" i="2258"/>
  <c r="S7" i="2258"/>
  <c r="R7" i="2258"/>
  <c r="Q7" i="2258"/>
  <c r="P7" i="2258"/>
  <c r="O7" i="2258"/>
  <c r="N7" i="2258"/>
  <c r="M7" i="2258"/>
  <c r="L7" i="2258"/>
  <c r="K7" i="2258"/>
  <c r="J7" i="2258"/>
  <c r="I7" i="2258"/>
  <c r="H7" i="2258"/>
  <c r="G7" i="2258"/>
  <c r="F7" i="2258"/>
  <c r="E7" i="2258"/>
  <c r="D7" i="2258"/>
  <c r="W33" i="2258" l="1"/>
  <c r="N33" i="2258"/>
  <c r="AC33" i="2258"/>
  <c r="Z33" i="2258"/>
  <c r="D33" i="2258"/>
  <c r="Y33" i="2258"/>
  <c r="K33" i="2258"/>
  <c r="M33" i="2258"/>
  <c r="V33" i="2258"/>
  <c r="AA33" i="2257"/>
  <c r="X33" i="2257"/>
  <c r="U33" i="2257"/>
  <c r="R33" i="2257"/>
  <c r="O33" i="2257"/>
  <c r="F33" i="2257"/>
  <c r="Y28" i="2257"/>
  <c r="X28" i="2257"/>
  <c r="S33" i="2257" s="1"/>
  <c r="W28" i="2257"/>
  <c r="V28" i="2257"/>
  <c r="U28" i="2257"/>
  <c r="T28" i="2257"/>
  <c r="S28" i="2257"/>
  <c r="R28" i="2257"/>
  <c r="Q28" i="2257"/>
  <c r="P28" i="2257"/>
  <c r="O28" i="2257"/>
  <c r="N28" i="2257"/>
  <c r="M28" i="2257"/>
  <c r="L28" i="2257"/>
  <c r="K28" i="2257"/>
  <c r="J28" i="2257"/>
  <c r="I28" i="2257"/>
  <c r="H28" i="2257"/>
  <c r="G28" i="2257"/>
  <c r="F28" i="2257"/>
  <c r="E28" i="2257"/>
  <c r="D28" i="2257"/>
  <c r="Y25" i="2257"/>
  <c r="X25" i="2257"/>
  <c r="W25" i="2257"/>
  <c r="V25" i="2257"/>
  <c r="U25" i="2257"/>
  <c r="T25" i="2257"/>
  <c r="S25" i="2257"/>
  <c r="R25" i="2257"/>
  <c r="Q25" i="2257"/>
  <c r="P25" i="2257"/>
  <c r="O25" i="2257"/>
  <c r="N25" i="2257"/>
  <c r="M25" i="2257"/>
  <c r="L25" i="2257"/>
  <c r="K25" i="2257"/>
  <c r="J25" i="2257"/>
  <c r="I25" i="2257"/>
  <c r="H25" i="2257"/>
  <c r="G25" i="2257"/>
  <c r="F25" i="2257"/>
  <c r="E25" i="2257"/>
  <c r="D25" i="2257"/>
  <c r="AE19" i="2257"/>
  <c r="AD19" i="2257"/>
  <c r="AC19" i="2257"/>
  <c r="AB19" i="2257"/>
  <c r="AA19" i="2257"/>
  <c r="Z19" i="2257"/>
  <c r="Y19" i="2257"/>
  <c r="X19" i="2257"/>
  <c r="T33" i="2257" s="1"/>
  <c r="W19" i="2257"/>
  <c r="V19" i="2257"/>
  <c r="U19" i="2257"/>
  <c r="T19" i="2257"/>
  <c r="S19" i="2257"/>
  <c r="R19" i="2257"/>
  <c r="Q19" i="2257"/>
  <c r="P19" i="2257"/>
  <c r="O19" i="2257"/>
  <c r="N19" i="2257"/>
  <c r="G33" i="2257" s="1"/>
  <c r="M19" i="2257"/>
  <c r="H33" i="2257" s="1"/>
  <c r="L19" i="2257"/>
  <c r="P33" i="2257" s="1"/>
  <c r="K19" i="2257"/>
  <c r="L33" i="2257" s="1"/>
  <c r="J19" i="2257"/>
  <c r="I19" i="2257"/>
  <c r="AB33" i="2257" s="1"/>
  <c r="H19" i="2257"/>
  <c r="G19" i="2257"/>
  <c r="F19" i="2257"/>
  <c r="E19" i="2257"/>
  <c r="D19" i="2257"/>
  <c r="AE16" i="2257"/>
  <c r="AD16" i="2257"/>
  <c r="AC16" i="2257"/>
  <c r="AB16" i="2257"/>
  <c r="AA16" i="2257"/>
  <c r="Z16" i="2257"/>
  <c r="X16" i="2257"/>
  <c r="W16" i="2257"/>
  <c r="V16" i="2257"/>
  <c r="U16" i="2257"/>
  <c r="T16" i="2257"/>
  <c r="S16" i="2257"/>
  <c r="R16" i="2257"/>
  <c r="Q16" i="2257"/>
  <c r="P16" i="2257"/>
  <c r="O16" i="2257"/>
  <c r="N16" i="2257"/>
  <c r="M16" i="2257"/>
  <c r="L16" i="2257"/>
  <c r="K16" i="2257"/>
  <c r="J16" i="2257"/>
  <c r="I16" i="2257"/>
  <c r="H16" i="2257"/>
  <c r="G16" i="2257"/>
  <c r="F16" i="2257"/>
  <c r="E16" i="2257"/>
  <c r="D16" i="2257"/>
  <c r="AE10" i="2257"/>
  <c r="AD10" i="2257"/>
  <c r="AC10" i="2257"/>
  <c r="AB10" i="2257"/>
  <c r="AA10" i="2257"/>
  <c r="Z10" i="2257"/>
  <c r="Y10" i="2257"/>
  <c r="X10" i="2257"/>
  <c r="W10" i="2257"/>
  <c r="V10" i="2257"/>
  <c r="U10" i="2257"/>
  <c r="T10" i="2257"/>
  <c r="S10" i="2257"/>
  <c r="R10" i="2257"/>
  <c r="Q10" i="2257"/>
  <c r="P10" i="2257"/>
  <c r="O10" i="2257"/>
  <c r="N10" i="2257"/>
  <c r="Q33" i="2257" s="1"/>
  <c r="M10" i="2257"/>
  <c r="E33" i="2257" s="1"/>
  <c r="L10" i="2257"/>
  <c r="K10" i="2257"/>
  <c r="J10" i="2257"/>
  <c r="I10" i="2257"/>
  <c r="H10" i="2257"/>
  <c r="G10" i="2257"/>
  <c r="F10" i="2257"/>
  <c r="J33" i="2257" s="1"/>
  <c r="E10" i="2257"/>
  <c r="D10" i="2257"/>
  <c r="AE7" i="2257"/>
  <c r="AD7" i="2257"/>
  <c r="AC7" i="2257"/>
  <c r="AB7" i="2257"/>
  <c r="AA7" i="2257"/>
  <c r="Z7" i="2257"/>
  <c r="Y7" i="2257"/>
  <c r="X7" i="2257"/>
  <c r="W7" i="2257"/>
  <c r="V7" i="2257"/>
  <c r="U7" i="2257"/>
  <c r="T7" i="2257"/>
  <c r="S7" i="2257"/>
  <c r="R7" i="2257"/>
  <c r="Q7" i="2257"/>
  <c r="P7" i="2257"/>
  <c r="O7" i="2257"/>
  <c r="N7" i="2257"/>
  <c r="M7" i="2257"/>
  <c r="L7" i="2257"/>
  <c r="K7" i="2257"/>
  <c r="J7" i="2257"/>
  <c r="I7" i="2257"/>
  <c r="H7" i="2257"/>
  <c r="G7" i="2257"/>
  <c r="F7" i="2257"/>
  <c r="E7" i="2257"/>
  <c r="D7" i="2257"/>
  <c r="W33" i="2257" l="1"/>
  <c r="N33" i="2257"/>
  <c r="AC33" i="2257"/>
  <c r="D33" i="2257"/>
  <c r="Z33" i="2257"/>
  <c r="Y33" i="2257"/>
  <c r="K33" i="2257"/>
  <c r="M33" i="2257"/>
  <c r="V33" i="2257"/>
  <c r="AA33" i="2256"/>
  <c r="X33" i="2256"/>
  <c r="U33" i="2256"/>
  <c r="R33" i="2256"/>
  <c r="F33" i="2256"/>
  <c r="Y28" i="2256"/>
  <c r="X28" i="2256"/>
  <c r="S33" i="2256" s="1"/>
  <c r="W28" i="2256"/>
  <c r="V28" i="2256"/>
  <c r="U28" i="2256"/>
  <c r="T28" i="2256"/>
  <c r="S28" i="2256"/>
  <c r="R28" i="2256"/>
  <c r="Q28" i="2256"/>
  <c r="P28" i="2256"/>
  <c r="O28" i="2256"/>
  <c r="N28" i="2256"/>
  <c r="M28" i="2256"/>
  <c r="L28" i="2256"/>
  <c r="K28" i="2256"/>
  <c r="J28" i="2256"/>
  <c r="I28" i="2256"/>
  <c r="H28" i="2256"/>
  <c r="G28" i="2256"/>
  <c r="F28" i="2256"/>
  <c r="E28" i="2256"/>
  <c r="D28" i="2256"/>
  <c r="Y25" i="2256"/>
  <c r="X25" i="2256"/>
  <c r="W25" i="2256"/>
  <c r="V25" i="2256"/>
  <c r="U25" i="2256"/>
  <c r="T25" i="2256"/>
  <c r="S25" i="2256"/>
  <c r="R25" i="2256"/>
  <c r="Q25" i="2256"/>
  <c r="P25" i="2256"/>
  <c r="O25" i="2256"/>
  <c r="N25" i="2256"/>
  <c r="M25" i="2256"/>
  <c r="L25" i="2256"/>
  <c r="K25" i="2256"/>
  <c r="J25" i="2256"/>
  <c r="I25" i="2256"/>
  <c r="H25" i="2256"/>
  <c r="G25" i="2256"/>
  <c r="F25" i="2256"/>
  <c r="E25" i="2256"/>
  <c r="D25" i="2256"/>
  <c r="AE19" i="2256"/>
  <c r="AD19" i="2256"/>
  <c r="AC19" i="2256"/>
  <c r="AB19" i="2256"/>
  <c r="AA19" i="2256"/>
  <c r="Z19" i="2256"/>
  <c r="Y19" i="2256"/>
  <c r="X19" i="2256"/>
  <c r="T33" i="2256" s="1"/>
  <c r="W19" i="2256"/>
  <c r="V19" i="2256"/>
  <c r="U19" i="2256"/>
  <c r="T19" i="2256"/>
  <c r="S19" i="2256"/>
  <c r="R19" i="2256"/>
  <c r="Q19" i="2256"/>
  <c r="P19" i="2256"/>
  <c r="O19" i="2256"/>
  <c r="N19" i="2256"/>
  <c r="G33" i="2256" s="1"/>
  <c r="M19" i="2256"/>
  <c r="H33" i="2256" s="1"/>
  <c r="L19" i="2256"/>
  <c r="P33" i="2256" s="1"/>
  <c r="K19" i="2256"/>
  <c r="L33" i="2256" s="1"/>
  <c r="J19" i="2256"/>
  <c r="I19" i="2256"/>
  <c r="AB33" i="2256" s="1"/>
  <c r="H19" i="2256"/>
  <c r="G19" i="2256"/>
  <c r="O33" i="2256" s="1"/>
  <c r="F19" i="2256"/>
  <c r="E19" i="2256"/>
  <c r="D19" i="2256"/>
  <c r="AE16" i="2256"/>
  <c r="AD16" i="2256"/>
  <c r="AC16" i="2256"/>
  <c r="AB16" i="2256"/>
  <c r="AA16" i="2256"/>
  <c r="Z16" i="2256"/>
  <c r="X16" i="2256"/>
  <c r="W16" i="2256"/>
  <c r="V16" i="2256"/>
  <c r="U16" i="2256"/>
  <c r="T16" i="2256"/>
  <c r="S16" i="2256"/>
  <c r="R16" i="2256"/>
  <c r="Q16" i="2256"/>
  <c r="P16" i="2256"/>
  <c r="O16" i="2256"/>
  <c r="N16" i="2256"/>
  <c r="M16" i="2256"/>
  <c r="L16" i="2256"/>
  <c r="K16" i="2256"/>
  <c r="J16" i="2256"/>
  <c r="I16" i="2256"/>
  <c r="H16" i="2256"/>
  <c r="G16" i="2256"/>
  <c r="F16" i="2256"/>
  <c r="E16" i="2256"/>
  <c r="D16" i="2256"/>
  <c r="AE10" i="2256"/>
  <c r="AD10" i="2256"/>
  <c r="AC10" i="2256"/>
  <c r="AB10" i="2256"/>
  <c r="AA10" i="2256"/>
  <c r="Z10" i="2256"/>
  <c r="Y10" i="2256"/>
  <c r="X10" i="2256"/>
  <c r="W10" i="2256"/>
  <c r="V10" i="2256"/>
  <c r="U10" i="2256"/>
  <c r="T10" i="2256"/>
  <c r="S10" i="2256"/>
  <c r="R10" i="2256"/>
  <c r="Q10" i="2256"/>
  <c r="P10" i="2256"/>
  <c r="O10" i="2256"/>
  <c r="N10" i="2256"/>
  <c r="Q33" i="2256" s="1"/>
  <c r="M10" i="2256"/>
  <c r="L10" i="2256"/>
  <c r="K10" i="2256"/>
  <c r="J10" i="2256"/>
  <c r="I10" i="2256"/>
  <c r="H10" i="2256"/>
  <c r="G10" i="2256"/>
  <c r="F10" i="2256"/>
  <c r="E10" i="2256"/>
  <c r="D10" i="2256"/>
  <c r="AE7" i="2256"/>
  <c r="AD7" i="2256"/>
  <c r="AC7" i="2256"/>
  <c r="AB7" i="2256"/>
  <c r="AA7" i="2256"/>
  <c r="Z7" i="2256"/>
  <c r="Y7" i="2256"/>
  <c r="X7" i="2256"/>
  <c r="W7" i="2256"/>
  <c r="V7" i="2256"/>
  <c r="U7" i="2256"/>
  <c r="T7" i="2256"/>
  <c r="S7" i="2256"/>
  <c r="R7" i="2256"/>
  <c r="Q7" i="2256"/>
  <c r="P7" i="2256"/>
  <c r="O7" i="2256"/>
  <c r="N7" i="2256"/>
  <c r="M7" i="2256"/>
  <c r="L7" i="2256"/>
  <c r="K7" i="2256"/>
  <c r="J7" i="2256"/>
  <c r="I7" i="2256"/>
  <c r="H7" i="2256"/>
  <c r="G7" i="2256"/>
  <c r="F7" i="2256"/>
  <c r="E7" i="2256"/>
  <c r="D7" i="2256"/>
  <c r="J33" i="2256" l="1"/>
  <c r="W33" i="2256"/>
  <c r="N33" i="2256"/>
  <c r="AC33" i="2256"/>
  <c r="Z33" i="2256"/>
  <c r="D33" i="2256"/>
  <c r="Y33" i="2256"/>
  <c r="E33" i="2256"/>
  <c r="K33" i="2256"/>
  <c r="M33" i="2256"/>
  <c r="V33" i="2256"/>
  <c r="AA33" i="2255"/>
  <c r="X33" i="2255"/>
  <c r="U33" i="2255"/>
  <c r="R33" i="2255"/>
  <c r="O33" i="2255"/>
  <c r="F33" i="2255"/>
  <c r="Y28" i="2255"/>
  <c r="X28" i="2255"/>
  <c r="S33" i="2255" s="1"/>
  <c r="W28" i="2255"/>
  <c r="V28" i="2255"/>
  <c r="U28" i="2255"/>
  <c r="T28" i="2255"/>
  <c r="S28" i="2255"/>
  <c r="R28" i="2255"/>
  <c r="Q28" i="2255"/>
  <c r="P28" i="2255"/>
  <c r="O28" i="2255"/>
  <c r="N28" i="2255"/>
  <c r="M28" i="2255"/>
  <c r="L28" i="2255"/>
  <c r="K28" i="2255"/>
  <c r="J28" i="2255"/>
  <c r="I28" i="2255"/>
  <c r="H28" i="2255"/>
  <c r="G28" i="2255"/>
  <c r="F28" i="2255"/>
  <c r="E28" i="2255"/>
  <c r="D28" i="2255"/>
  <c r="Y25" i="2255"/>
  <c r="X25" i="2255"/>
  <c r="W25" i="2255"/>
  <c r="V25" i="2255"/>
  <c r="U25" i="2255"/>
  <c r="T25" i="2255"/>
  <c r="S25" i="2255"/>
  <c r="R25" i="2255"/>
  <c r="Q25" i="2255"/>
  <c r="P25" i="2255"/>
  <c r="O25" i="2255"/>
  <c r="N25" i="2255"/>
  <c r="M25" i="2255"/>
  <c r="L25" i="2255"/>
  <c r="K25" i="2255"/>
  <c r="J25" i="2255"/>
  <c r="I25" i="2255"/>
  <c r="H25" i="2255"/>
  <c r="G25" i="2255"/>
  <c r="F25" i="2255"/>
  <c r="E25" i="2255"/>
  <c r="D25" i="2255"/>
  <c r="AE19" i="2255"/>
  <c r="AD19" i="2255"/>
  <c r="AC19" i="2255"/>
  <c r="AB19" i="2255"/>
  <c r="AA19" i="2255"/>
  <c r="Z19" i="2255"/>
  <c r="Y19" i="2255"/>
  <c r="X19" i="2255"/>
  <c r="T33" i="2255" s="1"/>
  <c r="W19" i="2255"/>
  <c r="V19" i="2255"/>
  <c r="U19" i="2255"/>
  <c r="T19" i="2255"/>
  <c r="S19" i="2255"/>
  <c r="R19" i="2255"/>
  <c r="Q19" i="2255"/>
  <c r="P19" i="2255"/>
  <c r="O19" i="2255"/>
  <c r="N19" i="2255"/>
  <c r="G33" i="2255" s="1"/>
  <c r="M19" i="2255"/>
  <c r="H33" i="2255" s="1"/>
  <c r="L19" i="2255"/>
  <c r="P33" i="2255" s="1"/>
  <c r="K19" i="2255"/>
  <c r="L33" i="2255" s="1"/>
  <c r="J19" i="2255"/>
  <c r="I19" i="2255"/>
  <c r="AB33" i="2255" s="1"/>
  <c r="H19" i="2255"/>
  <c r="G19" i="2255"/>
  <c r="F19" i="2255"/>
  <c r="E19" i="2255"/>
  <c r="D19" i="2255"/>
  <c r="AE16" i="2255"/>
  <c r="AD16" i="2255"/>
  <c r="AC16" i="2255"/>
  <c r="AB16" i="2255"/>
  <c r="AA16" i="2255"/>
  <c r="Z16" i="2255"/>
  <c r="X16" i="2255"/>
  <c r="W16" i="2255"/>
  <c r="V16" i="2255"/>
  <c r="U16" i="2255"/>
  <c r="T16" i="2255"/>
  <c r="S16" i="2255"/>
  <c r="R16" i="2255"/>
  <c r="Q16" i="2255"/>
  <c r="P16" i="2255"/>
  <c r="O16" i="2255"/>
  <c r="N16" i="2255"/>
  <c r="M16" i="2255"/>
  <c r="L16" i="2255"/>
  <c r="K16" i="2255"/>
  <c r="J16" i="2255"/>
  <c r="I16" i="2255"/>
  <c r="H16" i="2255"/>
  <c r="G16" i="2255"/>
  <c r="F16" i="2255"/>
  <c r="E16" i="2255"/>
  <c r="D16" i="2255"/>
  <c r="AE10" i="2255"/>
  <c r="AD10" i="2255"/>
  <c r="AC10" i="2255"/>
  <c r="AB10" i="2255"/>
  <c r="AA10" i="2255"/>
  <c r="Z10" i="2255"/>
  <c r="Y10" i="2255"/>
  <c r="X10" i="2255"/>
  <c r="W10" i="2255"/>
  <c r="V10" i="2255"/>
  <c r="U10" i="2255"/>
  <c r="T10" i="2255"/>
  <c r="S10" i="2255"/>
  <c r="R10" i="2255"/>
  <c r="Q10" i="2255"/>
  <c r="P10" i="2255"/>
  <c r="O10" i="2255"/>
  <c r="N10" i="2255"/>
  <c r="M10" i="2255"/>
  <c r="L10" i="2255"/>
  <c r="K10" i="2255"/>
  <c r="J10" i="2255"/>
  <c r="I10" i="2255"/>
  <c r="H10" i="2255"/>
  <c r="G10" i="2255"/>
  <c r="F10" i="2255"/>
  <c r="J33" i="2255" s="1"/>
  <c r="E10" i="2255"/>
  <c r="D10" i="2255"/>
  <c r="AE7" i="2255"/>
  <c r="AD7" i="2255"/>
  <c r="AC7" i="2255"/>
  <c r="AB7" i="2255"/>
  <c r="AA7" i="2255"/>
  <c r="Z7" i="2255"/>
  <c r="Y7" i="2255"/>
  <c r="X7" i="2255"/>
  <c r="W7" i="2255"/>
  <c r="V7" i="2255"/>
  <c r="U7" i="2255"/>
  <c r="T7" i="2255"/>
  <c r="S7" i="2255"/>
  <c r="R7" i="2255"/>
  <c r="Q7" i="2255"/>
  <c r="P7" i="2255"/>
  <c r="O7" i="2255"/>
  <c r="N7" i="2255"/>
  <c r="M7" i="2255"/>
  <c r="L7" i="2255"/>
  <c r="K7" i="2255"/>
  <c r="J7" i="2255"/>
  <c r="I7" i="2255"/>
  <c r="H7" i="2255"/>
  <c r="G7" i="2255"/>
  <c r="F7" i="2255"/>
  <c r="E7" i="2255"/>
  <c r="D7" i="2255"/>
  <c r="W33" i="2255" l="1"/>
  <c r="N33" i="2255"/>
  <c r="AC33" i="2255"/>
  <c r="Z33" i="2255"/>
  <c r="D33" i="2255"/>
  <c r="Y33" i="2255"/>
  <c r="Q33" i="2255"/>
  <c r="E33" i="2255"/>
  <c r="K33" i="2255"/>
  <c r="M33" i="2255"/>
  <c r="V33" i="2255"/>
  <c r="AA33" i="2254" l="1"/>
  <c r="X33" i="2254"/>
  <c r="U33" i="2254"/>
  <c r="R33" i="2254"/>
  <c r="F33" i="2254"/>
  <c r="Y28" i="2254"/>
  <c r="X28" i="2254"/>
  <c r="S33" i="2254" s="1"/>
  <c r="W28" i="2254"/>
  <c r="V28" i="2254"/>
  <c r="U28" i="2254"/>
  <c r="T28" i="2254"/>
  <c r="S28" i="2254"/>
  <c r="R28" i="2254"/>
  <c r="Q28" i="2254"/>
  <c r="P28" i="2254"/>
  <c r="O28" i="2254"/>
  <c r="N28" i="2254"/>
  <c r="M28" i="2254"/>
  <c r="L28" i="2254"/>
  <c r="K28" i="2254"/>
  <c r="J28" i="2254"/>
  <c r="I28" i="2254"/>
  <c r="H28" i="2254"/>
  <c r="G28" i="2254"/>
  <c r="F28" i="2254"/>
  <c r="E28" i="2254"/>
  <c r="D28" i="2254"/>
  <c r="Y25" i="2254"/>
  <c r="X25" i="2254"/>
  <c r="W25" i="2254"/>
  <c r="V25" i="2254"/>
  <c r="U25" i="2254"/>
  <c r="T25" i="2254"/>
  <c r="S25" i="2254"/>
  <c r="R25" i="2254"/>
  <c r="Q25" i="2254"/>
  <c r="P25" i="2254"/>
  <c r="O25" i="2254"/>
  <c r="N25" i="2254"/>
  <c r="M25" i="2254"/>
  <c r="L25" i="2254"/>
  <c r="K25" i="2254"/>
  <c r="J25" i="2254"/>
  <c r="I25" i="2254"/>
  <c r="H25" i="2254"/>
  <c r="G25" i="2254"/>
  <c r="F25" i="2254"/>
  <c r="E25" i="2254"/>
  <c r="D25" i="2254"/>
  <c r="AE19" i="2254"/>
  <c r="AD19" i="2254"/>
  <c r="AC19" i="2254"/>
  <c r="AB19" i="2254"/>
  <c r="AA19" i="2254"/>
  <c r="Z19" i="2254"/>
  <c r="Y19" i="2254"/>
  <c r="X19" i="2254"/>
  <c r="T33" i="2254" s="1"/>
  <c r="W19" i="2254"/>
  <c r="V19" i="2254"/>
  <c r="U19" i="2254"/>
  <c r="T19" i="2254"/>
  <c r="S19" i="2254"/>
  <c r="R19" i="2254"/>
  <c r="Q19" i="2254"/>
  <c r="P19" i="2254"/>
  <c r="O19" i="2254"/>
  <c r="N19" i="2254"/>
  <c r="G33" i="2254" s="1"/>
  <c r="M19" i="2254"/>
  <c r="H33" i="2254" s="1"/>
  <c r="L19" i="2254"/>
  <c r="P33" i="2254" s="1"/>
  <c r="K19" i="2254"/>
  <c r="L33" i="2254" s="1"/>
  <c r="J19" i="2254"/>
  <c r="I19" i="2254"/>
  <c r="AB33" i="2254" s="1"/>
  <c r="H19" i="2254"/>
  <c r="G19" i="2254"/>
  <c r="O33" i="2254" s="1"/>
  <c r="F19" i="2254"/>
  <c r="E19" i="2254"/>
  <c r="D19" i="2254"/>
  <c r="AE16" i="2254"/>
  <c r="AD16" i="2254"/>
  <c r="AC16" i="2254"/>
  <c r="AB16" i="2254"/>
  <c r="AA16" i="2254"/>
  <c r="Z16" i="2254"/>
  <c r="X16" i="2254"/>
  <c r="W16" i="2254"/>
  <c r="V16" i="2254"/>
  <c r="U16" i="2254"/>
  <c r="T16" i="2254"/>
  <c r="S16" i="2254"/>
  <c r="R16" i="2254"/>
  <c r="Q16" i="2254"/>
  <c r="P16" i="2254"/>
  <c r="O16" i="2254"/>
  <c r="N16" i="2254"/>
  <c r="M16" i="2254"/>
  <c r="L16" i="2254"/>
  <c r="K16" i="2254"/>
  <c r="J16" i="2254"/>
  <c r="I16" i="2254"/>
  <c r="H16" i="2254"/>
  <c r="G16" i="2254"/>
  <c r="F16" i="2254"/>
  <c r="E16" i="2254"/>
  <c r="D16" i="2254"/>
  <c r="AE10" i="2254"/>
  <c r="AD10" i="2254"/>
  <c r="AC33" i="2254" s="1"/>
  <c r="AC10" i="2254"/>
  <c r="AB10" i="2254"/>
  <c r="AA10" i="2254"/>
  <c r="Z10" i="2254"/>
  <c r="Y10" i="2254"/>
  <c r="X10" i="2254"/>
  <c r="W10" i="2254"/>
  <c r="V10" i="2254"/>
  <c r="U10" i="2254"/>
  <c r="T10" i="2254"/>
  <c r="S10" i="2254"/>
  <c r="R10" i="2254"/>
  <c r="Q10" i="2254"/>
  <c r="P10" i="2254"/>
  <c r="O10" i="2254"/>
  <c r="N10" i="2254"/>
  <c r="Q33" i="2254" s="1"/>
  <c r="M10" i="2254"/>
  <c r="L10" i="2254"/>
  <c r="K10" i="2254"/>
  <c r="J10" i="2254"/>
  <c r="I10" i="2254"/>
  <c r="E33" i="2254" s="1"/>
  <c r="H10" i="2254"/>
  <c r="G10" i="2254"/>
  <c r="F10" i="2254"/>
  <c r="E10" i="2254"/>
  <c r="D10" i="2254"/>
  <c r="AE7" i="2254"/>
  <c r="AD7" i="2254"/>
  <c r="AC7" i="2254"/>
  <c r="AB7" i="2254"/>
  <c r="AA7" i="2254"/>
  <c r="Z7" i="2254"/>
  <c r="Y7" i="2254"/>
  <c r="X7" i="2254"/>
  <c r="W7" i="2254"/>
  <c r="V7" i="2254"/>
  <c r="U7" i="2254"/>
  <c r="T7" i="2254"/>
  <c r="S7" i="2254"/>
  <c r="R7" i="2254"/>
  <c r="Q7" i="2254"/>
  <c r="P7" i="2254"/>
  <c r="O7" i="2254"/>
  <c r="N7" i="2254"/>
  <c r="M7" i="2254"/>
  <c r="L7" i="2254"/>
  <c r="K7" i="2254"/>
  <c r="J7" i="2254"/>
  <c r="I7" i="2254"/>
  <c r="H7" i="2254"/>
  <c r="G7" i="2254"/>
  <c r="F7" i="2254"/>
  <c r="E7" i="2254"/>
  <c r="D7" i="2254"/>
  <c r="J33" i="2254" l="1"/>
  <c r="W33" i="2254"/>
  <c r="K33" i="2254"/>
  <c r="D33" i="2254"/>
  <c r="Z33" i="2254"/>
  <c r="Y33" i="2254"/>
  <c r="N33" i="2254"/>
  <c r="M33" i="2254"/>
  <c r="V33" i="2254"/>
  <c r="AA33" i="2253"/>
  <c r="X33" i="2253"/>
  <c r="U33" i="2253"/>
  <c r="R33" i="2253"/>
  <c r="O33" i="2253"/>
  <c r="F33" i="2253"/>
  <c r="Y28" i="2253"/>
  <c r="X28" i="2253"/>
  <c r="S33" i="2253" s="1"/>
  <c r="W28" i="2253"/>
  <c r="V28" i="2253"/>
  <c r="U28" i="2253"/>
  <c r="T28" i="2253"/>
  <c r="S28" i="2253"/>
  <c r="R28" i="2253"/>
  <c r="Q28" i="2253"/>
  <c r="P28" i="2253"/>
  <c r="O28" i="2253"/>
  <c r="N28" i="2253"/>
  <c r="M28" i="2253"/>
  <c r="L28" i="2253"/>
  <c r="K28" i="2253"/>
  <c r="J28" i="2253"/>
  <c r="I28" i="2253"/>
  <c r="H28" i="2253"/>
  <c r="G28" i="2253"/>
  <c r="F28" i="2253"/>
  <c r="E28" i="2253"/>
  <c r="D28" i="2253"/>
  <c r="Y25" i="2253"/>
  <c r="X25" i="2253"/>
  <c r="W25" i="2253"/>
  <c r="V25" i="2253"/>
  <c r="U25" i="2253"/>
  <c r="T25" i="2253"/>
  <c r="S25" i="2253"/>
  <c r="R25" i="2253"/>
  <c r="Q25" i="2253"/>
  <c r="P25" i="2253"/>
  <c r="O25" i="2253"/>
  <c r="N25" i="2253"/>
  <c r="M25" i="2253"/>
  <c r="L25" i="2253"/>
  <c r="K25" i="2253"/>
  <c r="J25" i="2253"/>
  <c r="I25" i="2253"/>
  <c r="H25" i="2253"/>
  <c r="G25" i="2253"/>
  <c r="F25" i="2253"/>
  <c r="E25" i="2253"/>
  <c r="D25" i="2253"/>
  <c r="AE19" i="2253"/>
  <c r="AD19" i="2253"/>
  <c r="AC19" i="2253"/>
  <c r="AB19" i="2253"/>
  <c r="AA19" i="2253"/>
  <c r="Z19" i="2253"/>
  <c r="Y19" i="2253"/>
  <c r="X19" i="2253"/>
  <c r="T33" i="2253" s="1"/>
  <c r="W19" i="2253"/>
  <c r="V19" i="2253"/>
  <c r="U19" i="2253"/>
  <c r="T19" i="2253"/>
  <c r="S19" i="2253"/>
  <c r="R19" i="2253"/>
  <c r="Q19" i="2253"/>
  <c r="P19" i="2253"/>
  <c r="O19" i="2253"/>
  <c r="N19" i="2253"/>
  <c r="G33" i="2253" s="1"/>
  <c r="M19" i="2253"/>
  <c r="H33" i="2253" s="1"/>
  <c r="L19" i="2253"/>
  <c r="P33" i="2253" s="1"/>
  <c r="K19" i="2253"/>
  <c r="L33" i="2253" s="1"/>
  <c r="J19" i="2253"/>
  <c r="I19" i="2253"/>
  <c r="AB33" i="2253" s="1"/>
  <c r="H19" i="2253"/>
  <c r="G19" i="2253"/>
  <c r="F19" i="2253"/>
  <c r="E19" i="2253"/>
  <c r="D19" i="2253"/>
  <c r="AE16" i="2253"/>
  <c r="AD16" i="2253"/>
  <c r="AC16" i="2253"/>
  <c r="AB16" i="2253"/>
  <c r="AA16" i="2253"/>
  <c r="Z16" i="2253"/>
  <c r="X16" i="2253"/>
  <c r="W16" i="2253"/>
  <c r="V16" i="2253"/>
  <c r="U16" i="2253"/>
  <c r="T16" i="2253"/>
  <c r="S16" i="2253"/>
  <c r="R16" i="2253"/>
  <c r="Q16" i="2253"/>
  <c r="P16" i="2253"/>
  <c r="O16" i="2253"/>
  <c r="N16" i="2253"/>
  <c r="M16" i="2253"/>
  <c r="L16" i="2253"/>
  <c r="K16" i="2253"/>
  <c r="J16" i="2253"/>
  <c r="I16" i="2253"/>
  <c r="H16" i="2253"/>
  <c r="G16" i="2253"/>
  <c r="F16" i="2253"/>
  <c r="E16" i="2253"/>
  <c r="D16" i="2253"/>
  <c r="AE10" i="2253"/>
  <c r="AD10" i="2253"/>
  <c r="AC10" i="2253"/>
  <c r="AB10" i="2253"/>
  <c r="AA10" i="2253"/>
  <c r="Z10" i="2253"/>
  <c r="Y10" i="2253"/>
  <c r="X10" i="2253"/>
  <c r="W10" i="2253"/>
  <c r="V10" i="2253"/>
  <c r="U10" i="2253"/>
  <c r="T10" i="2253"/>
  <c r="S10" i="2253"/>
  <c r="R10" i="2253"/>
  <c r="Q10" i="2253"/>
  <c r="P10" i="2253"/>
  <c r="O10" i="2253"/>
  <c r="N10" i="2253"/>
  <c r="M10" i="2253"/>
  <c r="L10" i="2253"/>
  <c r="K10" i="2253"/>
  <c r="J10" i="2253"/>
  <c r="I10" i="2253"/>
  <c r="E33" i="2253" s="1"/>
  <c r="H10" i="2253"/>
  <c r="G10" i="2253"/>
  <c r="F10" i="2253"/>
  <c r="E10" i="2253"/>
  <c r="D10" i="2253"/>
  <c r="AE7" i="2253"/>
  <c r="AD7" i="2253"/>
  <c r="AC7" i="2253"/>
  <c r="AB7" i="2253"/>
  <c r="AA7" i="2253"/>
  <c r="Z7" i="2253"/>
  <c r="Y7" i="2253"/>
  <c r="X7" i="2253"/>
  <c r="W7" i="2253"/>
  <c r="V7" i="2253"/>
  <c r="U7" i="2253"/>
  <c r="T7" i="2253"/>
  <c r="S7" i="2253"/>
  <c r="R7" i="2253"/>
  <c r="Q7" i="2253"/>
  <c r="P7" i="2253"/>
  <c r="O7" i="2253"/>
  <c r="N7" i="2253"/>
  <c r="M7" i="2253"/>
  <c r="L7" i="2253"/>
  <c r="K7" i="2253"/>
  <c r="J7" i="2253"/>
  <c r="I7" i="2253"/>
  <c r="H7" i="2253"/>
  <c r="G7" i="2253"/>
  <c r="F7" i="2253"/>
  <c r="E7" i="2253"/>
  <c r="D7" i="2253"/>
  <c r="J33" i="2253" l="1"/>
  <c r="W33" i="2253"/>
  <c r="AC33" i="2253"/>
  <c r="D33" i="2253"/>
  <c r="Z33" i="2253"/>
  <c r="Y33" i="2253"/>
  <c r="N33" i="2253"/>
  <c r="K33" i="2253"/>
  <c r="Q33" i="2253"/>
  <c r="M33" i="2253"/>
  <c r="V33" i="2253"/>
  <c r="AA33" i="2252" l="1"/>
  <c r="X33" i="2252"/>
  <c r="U33" i="2252"/>
  <c r="R33" i="2252"/>
  <c r="F33" i="2252"/>
  <c r="Y28" i="2252"/>
  <c r="X28" i="2252"/>
  <c r="S33" i="2252" s="1"/>
  <c r="W28" i="2252"/>
  <c r="V28" i="2252"/>
  <c r="U28" i="2252"/>
  <c r="T28" i="2252"/>
  <c r="S28" i="2252"/>
  <c r="R28" i="2252"/>
  <c r="Q28" i="2252"/>
  <c r="P28" i="2252"/>
  <c r="O28" i="2252"/>
  <c r="N28" i="2252"/>
  <c r="M28" i="2252"/>
  <c r="L28" i="2252"/>
  <c r="K28" i="2252"/>
  <c r="J28" i="2252"/>
  <c r="I28" i="2252"/>
  <c r="H28" i="2252"/>
  <c r="G28" i="2252"/>
  <c r="F28" i="2252"/>
  <c r="E28" i="2252"/>
  <c r="D28" i="2252"/>
  <c r="Y25" i="2252"/>
  <c r="X25" i="2252"/>
  <c r="W25" i="2252"/>
  <c r="V25" i="2252"/>
  <c r="U25" i="2252"/>
  <c r="T25" i="2252"/>
  <c r="S25" i="2252"/>
  <c r="R25" i="2252"/>
  <c r="Q25" i="2252"/>
  <c r="P25" i="2252"/>
  <c r="O25" i="2252"/>
  <c r="N25" i="2252"/>
  <c r="M25" i="2252"/>
  <c r="L25" i="2252"/>
  <c r="K25" i="2252"/>
  <c r="J25" i="2252"/>
  <c r="I25" i="2252"/>
  <c r="H25" i="2252"/>
  <c r="G25" i="2252"/>
  <c r="F25" i="2252"/>
  <c r="E25" i="2252"/>
  <c r="D25" i="2252"/>
  <c r="AE19" i="2252"/>
  <c r="AD19" i="2252"/>
  <c r="AC19" i="2252"/>
  <c r="AB19" i="2252"/>
  <c r="AA19" i="2252"/>
  <c r="Z19" i="2252"/>
  <c r="Y19" i="2252"/>
  <c r="X19" i="2252"/>
  <c r="T33" i="2252" s="1"/>
  <c r="W19" i="2252"/>
  <c r="V19" i="2252"/>
  <c r="U19" i="2252"/>
  <c r="T19" i="2252"/>
  <c r="S19" i="2252"/>
  <c r="R19" i="2252"/>
  <c r="Q19" i="2252"/>
  <c r="P19" i="2252"/>
  <c r="O19" i="2252"/>
  <c r="N19" i="2252"/>
  <c r="G33" i="2252" s="1"/>
  <c r="M19" i="2252"/>
  <c r="H33" i="2252" s="1"/>
  <c r="L19" i="2252"/>
  <c r="P33" i="2252" s="1"/>
  <c r="K19" i="2252"/>
  <c r="L33" i="2252" s="1"/>
  <c r="J19" i="2252"/>
  <c r="I19" i="2252"/>
  <c r="AB33" i="2252" s="1"/>
  <c r="H19" i="2252"/>
  <c r="G19" i="2252"/>
  <c r="O33" i="2252" s="1"/>
  <c r="F19" i="2252"/>
  <c r="E19" i="2252"/>
  <c r="D19" i="2252"/>
  <c r="AE16" i="2252"/>
  <c r="AD16" i="2252"/>
  <c r="AC16" i="2252"/>
  <c r="AB16" i="2252"/>
  <c r="AA16" i="2252"/>
  <c r="Z16" i="2252"/>
  <c r="X16" i="2252"/>
  <c r="W16" i="2252"/>
  <c r="V16" i="2252"/>
  <c r="U16" i="2252"/>
  <c r="T16" i="2252"/>
  <c r="S16" i="2252"/>
  <c r="R16" i="2252"/>
  <c r="Q16" i="2252"/>
  <c r="P16" i="2252"/>
  <c r="O16" i="2252"/>
  <c r="N16" i="2252"/>
  <c r="M16" i="2252"/>
  <c r="L16" i="2252"/>
  <c r="K16" i="2252"/>
  <c r="J16" i="2252"/>
  <c r="I16" i="2252"/>
  <c r="H16" i="2252"/>
  <c r="G16" i="2252"/>
  <c r="F16" i="2252"/>
  <c r="E16" i="2252"/>
  <c r="D16" i="2252"/>
  <c r="AE10" i="2252"/>
  <c r="AD10" i="2252"/>
  <c r="AC10" i="2252"/>
  <c r="AB10" i="2252"/>
  <c r="AA10" i="2252"/>
  <c r="Z10" i="2252"/>
  <c r="Y10" i="2252"/>
  <c r="X10" i="2252"/>
  <c r="W10" i="2252"/>
  <c r="V10" i="2252"/>
  <c r="U10" i="2252"/>
  <c r="T10" i="2252"/>
  <c r="S10" i="2252"/>
  <c r="R10" i="2252"/>
  <c r="Q10" i="2252"/>
  <c r="P10" i="2252"/>
  <c r="O10" i="2252"/>
  <c r="N10" i="2252"/>
  <c r="M10" i="2252"/>
  <c r="L10" i="2252"/>
  <c r="K10" i="2252"/>
  <c r="J10" i="2252"/>
  <c r="Q33" i="2252" s="1"/>
  <c r="I10" i="2252"/>
  <c r="E33" i="2252" s="1"/>
  <c r="H10" i="2252"/>
  <c r="G10" i="2252"/>
  <c r="F10" i="2252"/>
  <c r="E10" i="2252"/>
  <c r="D10" i="2252"/>
  <c r="AE7" i="2252"/>
  <c r="AD7" i="2252"/>
  <c r="AC7" i="2252"/>
  <c r="AB7" i="2252"/>
  <c r="AA7" i="2252"/>
  <c r="Z7" i="2252"/>
  <c r="Y7" i="2252"/>
  <c r="X7" i="2252"/>
  <c r="W7" i="2252"/>
  <c r="V7" i="2252"/>
  <c r="U7" i="2252"/>
  <c r="T7" i="2252"/>
  <c r="S7" i="2252"/>
  <c r="R7" i="2252"/>
  <c r="Q7" i="2252"/>
  <c r="P7" i="2252"/>
  <c r="O7" i="2252"/>
  <c r="N7" i="2252"/>
  <c r="M7" i="2252"/>
  <c r="L7" i="2252"/>
  <c r="K7" i="2252"/>
  <c r="J7" i="2252"/>
  <c r="I7" i="2252"/>
  <c r="H7" i="2252"/>
  <c r="G7" i="2252"/>
  <c r="F7" i="2252"/>
  <c r="E7" i="2252"/>
  <c r="D7" i="2252"/>
  <c r="J33" i="2252" l="1"/>
  <c r="W33" i="2252"/>
  <c r="AC33" i="2252"/>
  <c r="D33" i="2252"/>
  <c r="Z33" i="2252"/>
  <c r="Y33" i="2252"/>
  <c r="N33" i="2252"/>
  <c r="K33" i="2252"/>
  <c r="M33" i="2252"/>
  <c r="V33" i="2252"/>
  <c r="AA33" i="2251"/>
  <c r="X33" i="2251"/>
  <c r="U33" i="2251"/>
  <c r="R33" i="2251"/>
  <c r="F33" i="2251"/>
  <c r="Y28" i="2251"/>
  <c r="X28" i="2251"/>
  <c r="S33" i="2251" s="1"/>
  <c r="W28" i="2251"/>
  <c r="V28" i="2251"/>
  <c r="U28" i="2251"/>
  <c r="T28" i="2251"/>
  <c r="S28" i="2251"/>
  <c r="R28" i="2251"/>
  <c r="Q28" i="2251"/>
  <c r="P28" i="2251"/>
  <c r="O28" i="2251"/>
  <c r="N28" i="2251"/>
  <c r="M28" i="2251"/>
  <c r="L28" i="2251"/>
  <c r="K28" i="2251"/>
  <c r="J28" i="2251"/>
  <c r="I28" i="2251"/>
  <c r="H28" i="2251"/>
  <c r="G28" i="2251"/>
  <c r="F28" i="2251"/>
  <c r="E28" i="2251"/>
  <c r="D28" i="2251"/>
  <c r="Y25" i="2251"/>
  <c r="X25" i="2251"/>
  <c r="W25" i="2251"/>
  <c r="V25" i="2251"/>
  <c r="U25" i="2251"/>
  <c r="T25" i="2251"/>
  <c r="S25" i="2251"/>
  <c r="R25" i="2251"/>
  <c r="Q25" i="2251"/>
  <c r="P25" i="2251"/>
  <c r="O25" i="2251"/>
  <c r="N25" i="2251"/>
  <c r="M25" i="2251"/>
  <c r="L25" i="2251"/>
  <c r="K25" i="2251"/>
  <c r="J25" i="2251"/>
  <c r="I25" i="2251"/>
  <c r="H25" i="2251"/>
  <c r="G25" i="2251"/>
  <c r="F25" i="2251"/>
  <c r="E25" i="2251"/>
  <c r="D25" i="2251"/>
  <c r="AE19" i="2251"/>
  <c r="AD19" i="2251"/>
  <c r="AC19" i="2251"/>
  <c r="AB19" i="2251"/>
  <c r="AC33" i="2251" s="1"/>
  <c r="AA19" i="2251"/>
  <c r="Z19" i="2251"/>
  <c r="Y19" i="2251"/>
  <c r="X19" i="2251"/>
  <c r="T33" i="2251" s="1"/>
  <c r="W19" i="2251"/>
  <c r="V19" i="2251"/>
  <c r="U19" i="2251"/>
  <c r="T19" i="2251"/>
  <c r="S19" i="2251"/>
  <c r="R19" i="2251"/>
  <c r="Q19" i="2251"/>
  <c r="P19" i="2251"/>
  <c r="O19" i="2251"/>
  <c r="N19" i="2251"/>
  <c r="G33" i="2251" s="1"/>
  <c r="M19" i="2251"/>
  <c r="H33" i="2251" s="1"/>
  <c r="L19" i="2251"/>
  <c r="P33" i="2251" s="1"/>
  <c r="K19" i="2251"/>
  <c r="L33" i="2251" s="1"/>
  <c r="J19" i="2251"/>
  <c r="I19" i="2251"/>
  <c r="AB33" i="2251" s="1"/>
  <c r="H19" i="2251"/>
  <c r="G19" i="2251"/>
  <c r="O33" i="2251" s="1"/>
  <c r="F19" i="2251"/>
  <c r="E19" i="2251"/>
  <c r="D19" i="2251"/>
  <c r="AE16" i="2251"/>
  <c r="AD16" i="2251"/>
  <c r="AC16" i="2251"/>
  <c r="AB16" i="2251"/>
  <c r="AA16" i="2251"/>
  <c r="Z16" i="2251"/>
  <c r="X16" i="2251"/>
  <c r="W16" i="2251"/>
  <c r="V16" i="2251"/>
  <c r="U16" i="2251"/>
  <c r="T16" i="2251"/>
  <c r="S16" i="2251"/>
  <c r="R16" i="2251"/>
  <c r="Q16" i="2251"/>
  <c r="P16" i="2251"/>
  <c r="O16" i="2251"/>
  <c r="N16" i="2251"/>
  <c r="M16" i="2251"/>
  <c r="L16" i="2251"/>
  <c r="K16" i="2251"/>
  <c r="J16" i="2251"/>
  <c r="I16" i="2251"/>
  <c r="H16" i="2251"/>
  <c r="G16" i="2251"/>
  <c r="F16" i="2251"/>
  <c r="E16" i="2251"/>
  <c r="D16" i="2251"/>
  <c r="AE10" i="2251"/>
  <c r="AD10" i="2251"/>
  <c r="AC10" i="2251"/>
  <c r="AB10" i="2251"/>
  <c r="AA10" i="2251"/>
  <c r="Z10" i="2251"/>
  <c r="Y10" i="2251"/>
  <c r="X10" i="2251"/>
  <c r="W10" i="2251"/>
  <c r="V10" i="2251"/>
  <c r="U10" i="2251"/>
  <c r="T10" i="2251"/>
  <c r="S10" i="2251"/>
  <c r="R10" i="2251"/>
  <c r="Q10" i="2251"/>
  <c r="P10" i="2251"/>
  <c r="O10" i="2251"/>
  <c r="N10" i="2251"/>
  <c r="M10" i="2251"/>
  <c r="L10" i="2251"/>
  <c r="K10" i="2251"/>
  <c r="J10" i="2251"/>
  <c r="Q33" i="2251" s="1"/>
  <c r="I10" i="2251"/>
  <c r="H10" i="2251"/>
  <c r="G10" i="2251"/>
  <c r="F10" i="2251"/>
  <c r="E10" i="2251"/>
  <c r="D10" i="2251"/>
  <c r="AE7" i="2251"/>
  <c r="AD7" i="2251"/>
  <c r="AC7" i="2251"/>
  <c r="AB7" i="2251"/>
  <c r="AA7" i="2251"/>
  <c r="Z7" i="2251"/>
  <c r="Y7" i="2251"/>
  <c r="X7" i="2251"/>
  <c r="W7" i="2251"/>
  <c r="V7" i="2251"/>
  <c r="U7" i="2251"/>
  <c r="T7" i="2251"/>
  <c r="S7" i="2251"/>
  <c r="R7" i="2251"/>
  <c r="Q7" i="2251"/>
  <c r="P7" i="2251"/>
  <c r="O7" i="2251"/>
  <c r="N7" i="2251"/>
  <c r="M7" i="2251"/>
  <c r="L7" i="2251"/>
  <c r="K7" i="2251"/>
  <c r="J7" i="2251"/>
  <c r="I7" i="2251"/>
  <c r="H7" i="2251"/>
  <c r="G7" i="2251"/>
  <c r="F7" i="2251"/>
  <c r="E7" i="2251"/>
  <c r="D7" i="2251"/>
  <c r="W33" i="2251" l="1"/>
  <c r="K33" i="2251"/>
  <c r="N33" i="2251"/>
  <c r="D33" i="2251"/>
  <c r="Z33" i="2251"/>
  <c r="Y33" i="2251"/>
  <c r="E33" i="2251"/>
  <c r="J33" i="2251"/>
  <c r="M33" i="2251"/>
  <c r="V33" i="2251"/>
  <c r="AA33" i="2250"/>
  <c r="X33" i="2250"/>
  <c r="U33" i="2250"/>
  <c r="R33" i="2250"/>
  <c r="O33" i="2250"/>
  <c r="F33" i="2250"/>
  <c r="Y28" i="2250"/>
  <c r="X28" i="2250"/>
  <c r="S33" i="2250" s="1"/>
  <c r="W28" i="2250"/>
  <c r="V28" i="2250"/>
  <c r="U28" i="2250"/>
  <c r="T28" i="2250"/>
  <c r="S28" i="2250"/>
  <c r="R28" i="2250"/>
  <c r="Q28" i="2250"/>
  <c r="P28" i="2250"/>
  <c r="O28" i="2250"/>
  <c r="N28" i="2250"/>
  <c r="M28" i="2250"/>
  <c r="L28" i="2250"/>
  <c r="K28" i="2250"/>
  <c r="J28" i="2250"/>
  <c r="I28" i="2250"/>
  <c r="H28" i="2250"/>
  <c r="G28" i="2250"/>
  <c r="F28" i="2250"/>
  <c r="E28" i="2250"/>
  <c r="D28" i="2250"/>
  <c r="Y25" i="2250"/>
  <c r="X25" i="2250"/>
  <c r="W25" i="2250"/>
  <c r="V25" i="2250"/>
  <c r="U25" i="2250"/>
  <c r="T25" i="2250"/>
  <c r="S25" i="2250"/>
  <c r="R25" i="2250"/>
  <c r="Q25" i="2250"/>
  <c r="P25" i="2250"/>
  <c r="O25" i="2250"/>
  <c r="N25" i="2250"/>
  <c r="M25" i="2250"/>
  <c r="L25" i="2250"/>
  <c r="K25" i="2250"/>
  <c r="J25" i="2250"/>
  <c r="I25" i="2250"/>
  <c r="H25" i="2250"/>
  <c r="G25" i="2250"/>
  <c r="F25" i="2250"/>
  <c r="E25" i="2250"/>
  <c r="D25" i="2250"/>
  <c r="AE19" i="2250"/>
  <c r="AD19" i="2250"/>
  <c r="AC19" i="2250"/>
  <c r="AB19" i="2250"/>
  <c r="AA19" i="2250"/>
  <c r="Z19" i="2250"/>
  <c r="Y19" i="2250"/>
  <c r="X19" i="2250"/>
  <c r="T33" i="2250" s="1"/>
  <c r="W19" i="2250"/>
  <c r="V19" i="2250"/>
  <c r="U19" i="2250"/>
  <c r="T19" i="2250"/>
  <c r="S19" i="2250"/>
  <c r="R19" i="2250"/>
  <c r="Q19" i="2250"/>
  <c r="P19" i="2250"/>
  <c r="O19" i="2250"/>
  <c r="N19" i="2250"/>
  <c r="G33" i="2250" s="1"/>
  <c r="M19" i="2250"/>
  <c r="H33" i="2250" s="1"/>
  <c r="L19" i="2250"/>
  <c r="P33" i="2250" s="1"/>
  <c r="K19" i="2250"/>
  <c r="L33" i="2250" s="1"/>
  <c r="J19" i="2250"/>
  <c r="I19" i="2250"/>
  <c r="AB33" i="2250" s="1"/>
  <c r="H19" i="2250"/>
  <c r="G19" i="2250"/>
  <c r="F19" i="2250"/>
  <c r="E19" i="2250"/>
  <c r="D19" i="2250"/>
  <c r="AE16" i="2250"/>
  <c r="AD16" i="2250"/>
  <c r="AC16" i="2250"/>
  <c r="AB16" i="2250"/>
  <c r="AA16" i="2250"/>
  <c r="Z16" i="2250"/>
  <c r="X16" i="2250"/>
  <c r="W16" i="2250"/>
  <c r="V16" i="2250"/>
  <c r="U16" i="2250"/>
  <c r="T16" i="2250"/>
  <c r="S16" i="2250"/>
  <c r="R16" i="2250"/>
  <c r="Q16" i="2250"/>
  <c r="P16" i="2250"/>
  <c r="O16" i="2250"/>
  <c r="N16" i="2250"/>
  <c r="M16" i="2250"/>
  <c r="L16" i="2250"/>
  <c r="K16" i="2250"/>
  <c r="J16" i="2250"/>
  <c r="I16" i="2250"/>
  <c r="H16" i="2250"/>
  <c r="G16" i="2250"/>
  <c r="F16" i="2250"/>
  <c r="E16" i="2250"/>
  <c r="D16" i="2250"/>
  <c r="AE10" i="2250"/>
  <c r="AD10" i="2250"/>
  <c r="AC10" i="2250"/>
  <c r="AB10" i="2250"/>
  <c r="AA10" i="2250"/>
  <c r="Z10" i="2250"/>
  <c r="Y10" i="2250"/>
  <c r="X10" i="2250"/>
  <c r="W10" i="2250"/>
  <c r="V10" i="2250"/>
  <c r="U10" i="2250"/>
  <c r="T10" i="2250"/>
  <c r="S10" i="2250"/>
  <c r="R10" i="2250"/>
  <c r="Q10" i="2250"/>
  <c r="P10" i="2250"/>
  <c r="O10" i="2250"/>
  <c r="N10" i="2250"/>
  <c r="Q33" i="2250" s="1"/>
  <c r="M10" i="2250"/>
  <c r="E33" i="2250" s="1"/>
  <c r="L10" i="2250"/>
  <c r="K10" i="2250"/>
  <c r="J10" i="2250"/>
  <c r="I10" i="2250"/>
  <c r="H10" i="2250"/>
  <c r="G10" i="2250"/>
  <c r="F10" i="2250"/>
  <c r="J33" i="2250" s="1"/>
  <c r="E10" i="2250"/>
  <c r="D10" i="2250"/>
  <c r="AE7" i="2250"/>
  <c r="AD7" i="2250"/>
  <c r="AC7" i="2250"/>
  <c r="AB7" i="2250"/>
  <c r="AA7" i="2250"/>
  <c r="Z7" i="2250"/>
  <c r="Y7" i="2250"/>
  <c r="X7" i="2250"/>
  <c r="W7" i="2250"/>
  <c r="V7" i="2250"/>
  <c r="U7" i="2250"/>
  <c r="T7" i="2250"/>
  <c r="S7" i="2250"/>
  <c r="R7" i="2250"/>
  <c r="Q7" i="2250"/>
  <c r="P7" i="2250"/>
  <c r="O7" i="2250"/>
  <c r="N7" i="2250"/>
  <c r="M7" i="2250"/>
  <c r="L7" i="2250"/>
  <c r="K7" i="2250"/>
  <c r="J7" i="2250"/>
  <c r="I7" i="2250"/>
  <c r="H7" i="2250"/>
  <c r="G7" i="2250"/>
  <c r="F7" i="2250"/>
  <c r="E7" i="2250"/>
  <c r="D7" i="2250"/>
  <c r="W33" i="2250" l="1"/>
  <c r="N33" i="2250"/>
  <c r="AC33" i="2250"/>
  <c r="D33" i="2250"/>
  <c r="Z33" i="2250"/>
  <c r="Y33" i="2250"/>
  <c r="K33" i="2250"/>
  <c r="M33" i="2250"/>
  <c r="V33" i="2250"/>
  <c r="AA33" i="2249" l="1"/>
  <c r="X33" i="2249"/>
  <c r="U33" i="2249"/>
  <c r="R33" i="2249"/>
  <c r="F33" i="2249"/>
  <c r="Y28" i="2249"/>
  <c r="X28" i="2249"/>
  <c r="S33" i="2249" s="1"/>
  <c r="W28" i="2249"/>
  <c r="V28" i="2249"/>
  <c r="U28" i="2249"/>
  <c r="T28" i="2249"/>
  <c r="S28" i="2249"/>
  <c r="R28" i="2249"/>
  <c r="Q28" i="2249"/>
  <c r="P28" i="2249"/>
  <c r="O28" i="2249"/>
  <c r="N28" i="2249"/>
  <c r="M28" i="2249"/>
  <c r="L28" i="2249"/>
  <c r="K28" i="2249"/>
  <c r="J28" i="2249"/>
  <c r="I28" i="2249"/>
  <c r="H28" i="2249"/>
  <c r="G28" i="2249"/>
  <c r="F28" i="2249"/>
  <c r="E28" i="2249"/>
  <c r="D28" i="2249"/>
  <c r="Y25" i="2249"/>
  <c r="X25" i="2249"/>
  <c r="W25" i="2249"/>
  <c r="V25" i="2249"/>
  <c r="U25" i="2249"/>
  <c r="T25" i="2249"/>
  <c r="S25" i="2249"/>
  <c r="R25" i="2249"/>
  <c r="Q25" i="2249"/>
  <c r="P25" i="2249"/>
  <c r="O25" i="2249"/>
  <c r="N25" i="2249"/>
  <c r="M25" i="2249"/>
  <c r="L25" i="2249"/>
  <c r="K25" i="2249"/>
  <c r="J25" i="2249"/>
  <c r="I25" i="2249"/>
  <c r="H25" i="2249"/>
  <c r="G25" i="2249"/>
  <c r="F25" i="2249"/>
  <c r="E25" i="2249"/>
  <c r="D25" i="2249"/>
  <c r="AE19" i="2249"/>
  <c r="AD19" i="2249"/>
  <c r="AC19" i="2249"/>
  <c r="AB19" i="2249"/>
  <c r="AA19" i="2249"/>
  <c r="Z19" i="2249"/>
  <c r="Y19" i="2249"/>
  <c r="X19" i="2249"/>
  <c r="T33" i="2249" s="1"/>
  <c r="W19" i="2249"/>
  <c r="V19" i="2249"/>
  <c r="U19" i="2249"/>
  <c r="T19" i="2249"/>
  <c r="S19" i="2249"/>
  <c r="R19" i="2249"/>
  <c r="Q19" i="2249"/>
  <c r="P19" i="2249"/>
  <c r="O19" i="2249"/>
  <c r="N19" i="2249"/>
  <c r="G33" i="2249" s="1"/>
  <c r="M19" i="2249"/>
  <c r="H33" i="2249" s="1"/>
  <c r="L19" i="2249"/>
  <c r="P33" i="2249" s="1"/>
  <c r="K19" i="2249"/>
  <c r="L33" i="2249" s="1"/>
  <c r="J19" i="2249"/>
  <c r="I19" i="2249"/>
  <c r="AB33" i="2249" s="1"/>
  <c r="H19" i="2249"/>
  <c r="G19" i="2249"/>
  <c r="O33" i="2249" s="1"/>
  <c r="F19" i="2249"/>
  <c r="E19" i="2249"/>
  <c r="D19" i="2249"/>
  <c r="AE16" i="2249"/>
  <c r="AD16" i="2249"/>
  <c r="AC16" i="2249"/>
  <c r="AB16" i="2249"/>
  <c r="AA16" i="2249"/>
  <c r="Z16" i="2249"/>
  <c r="X16" i="2249"/>
  <c r="W16" i="2249"/>
  <c r="V16" i="2249"/>
  <c r="U16" i="2249"/>
  <c r="T16" i="2249"/>
  <c r="S16" i="2249"/>
  <c r="R16" i="2249"/>
  <c r="Q16" i="2249"/>
  <c r="P16" i="2249"/>
  <c r="O16" i="2249"/>
  <c r="N16" i="2249"/>
  <c r="M16" i="2249"/>
  <c r="L16" i="2249"/>
  <c r="K16" i="2249"/>
  <c r="J16" i="2249"/>
  <c r="I16" i="2249"/>
  <c r="H16" i="2249"/>
  <c r="G16" i="2249"/>
  <c r="F16" i="2249"/>
  <c r="E16" i="2249"/>
  <c r="D16" i="2249"/>
  <c r="AE10" i="2249"/>
  <c r="AD10" i="2249"/>
  <c r="AC10" i="2249"/>
  <c r="AB10" i="2249"/>
  <c r="AA10" i="2249"/>
  <c r="Z10" i="2249"/>
  <c r="Y10" i="2249"/>
  <c r="X10" i="2249"/>
  <c r="W10" i="2249"/>
  <c r="V10" i="2249"/>
  <c r="U10" i="2249"/>
  <c r="T10" i="2249"/>
  <c r="S10" i="2249"/>
  <c r="R10" i="2249"/>
  <c r="Q10" i="2249"/>
  <c r="P10" i="2249"/>
  <c r="O10" i="2249"/>
  <c r="N10" i="2249"/>
  <c r="M10" i="2249"/>
  <c r="L10" i="2249"/>
  <c r="K10" i="2249"/>
  <c r="J10" i="2249"/>
  <c r="I10" i="2249"/>
  <c r="H10" i="2249"/>
  <c r="G10" i="2249"/>
  <c r="F10" i="2249"/>
  <c r="E10" i="2249"/>
  <c r="D10" i="2249"/>
  <c r="AE7" i="2249"/>
  <c r="AD7" i="2249"/>
  <c r="AC7" i="2249"/>
  <c r="AB7" i="2249"/>
  <c r="AA7" i="2249"/>
  <c r="Z7" i="2249"/>
  <c r="Y7" i="2249"/>
  <c r="X7" i="2249"/>
  <c r="W7" i="2249"/>
  <c r="V7" i="2249"/>
  <c r="U7" i="2249"/>
  <c r="T7" i="2249"/>
  <c r="S7" i="2249"/>
  <c r="R7" i="2249"/>
  <c r="Q7" i="2249"/>
  <c r="P7" i="2249"/>
  <c r="O7" i="2249"/>
  <c r="N7" i="2249"/>
  <c r="M7" i="2249"/>
  <c r="L7" i="2249"/>
  <c r="K7" i="2249"/>
  <c r="J7" i="2249"/>
  <c r="I7" i="2249"/>
  <c r="H7" i="2249"/>
  <c r="G7" i="2249"/>
  <c r="F7" i="2249"/>
  <c r="E7" i="2249"/>
  <c r="D7" i="2249"/>
  <c r="J33" i="2249" l="1"/>
  <c r="Q33" i="2249"/>
  <c r="E33" i="2249"/>
  <c r="W33" i="2249"/>
  <c r="N33" i="2249"/>
  <c r="AC33" i="2249"/>
  <c r="D33" i="2249"/>
  <c r="Z33" i="2249"/>
  <c r="Y33" i="2249"/>
  <c r="K33" i="2249"/>
  <c r="M33" i="2249"/>
  <c r="V33" i="2249"/>
  <c r="AA33" i="2248" l="1"/>
  <c r="X33" i="2248"/>
  <c r="U33" i="2248"/>
  <c r="R33" i="2248"/>
  <c r="O33" i="2248"/>
  <c r="F33" i="2248"/>
  <c r="Y28" i="2248"/>
  <c r="X28" i="2248"/>
  <c r="S33" i="2248" s="1"/>
  <c r="W28" i="2248"/>
  <c r="V28" i="2248"/>
  <c r="U28" i="2248"/>
  <c r="T28" i="2248"/>
  <c r="S28" i="2248"/>
  <c r="R28" i="2248"/>
  <c r="Q28" i="2248"/>
  <c r="P28" i="2248"/>
  <c r="O28" i="2248"/>
  <c r="N28" i="2248"/>
  <c r="M28" i="2248"/>
  <c r="L28" i="2248"/>
  <c r="K28" i="2248"/>
  <c r="J28" i="2248"/>
  <c r="I28" i="2248"/>
  <c r="H28" i="2248"/>
  <c r="G28" i="2248"/>
  <c r="F28" i="2248"/>
  <c r="E28" i="2248"/>
  <c r="D28" i="2248"/>
  <c r="Y25" i="2248"/>
  <c r="X25" i="2248"/>
  <c r="W25" i="2248"/>
  <c r="V25" i="2248"/>
  <c r="U25" i="2248"/>
  <c r="T25" i="2248"/>
  <c r="S25" i="2248"/>
  <c r="R25" i="2248"/>
  <c r="Q25" i="2248"/>
  <c r="P25" i="2248"/>
  <c r="O25" i="2248"/>
  <c r="N25" i="2248"/>
  <c r="M25" i="2248"/>
  <c r="L25" i="2248"/>
  <c r="K25" i="2248"/>
  <c r="J25" i="2248"/>
  <c r="I25" i="2248"/>
  <c r="H25" i="2248"/>
  <c r="G25" i="2248"/>
  <c r="F25" i="2248"/>
  <c r="E25" i="2248"/>
  <c r="D25" i="2248"/>
  <c r="AE19" i="2248"/>
  <c r="AD19" i="2248"/>
  <c r="AC19" i="2248"/>
  <c r="AB19" i="2248"/>
  <c r="AA19" i="2248"/>
  <c r="Z19" i="2248"/>
  <c r="Y19" i="2248"/>
  <c r="X19" i="2248"/>
  <c r="T33" i="2248" s="1"/>
  <c r="W19" i="2248"/>
  <c r="V19" i="2248"/>
  <c r="U19" i="2248"/>
  <c r="T19" i="2248"/>
  <c r="S19" i="2248"/>
  <c r="R19" i="2248"/>
  <c r="Q19" i="2248"/>
  <c r="P19" i="2248"/>
  <c r="O19" i="2248"/>
  <c r="N19" i="2248"/>
  <c r="G33" i="2248" s="1"/>
  <c r="M19" i="2248"/>
  <c r="H33" i="2248" s="1"/>
  <c r="L19" i="2248"/>
  <c r="P33" i="2248" s="1"/>
  <c r="K19" i="2248"/>
  <c r="L33" i="2248" s="1"/>
  <c r="J19" i="2248"/>
  <c r="I19" i="2248"/>
  <c r="AB33" i="2248" s="1"/>
  <c r="H19" i="2248"/>
  <c r="G19" i="2248"/>
  <c r="F19" i="2248"/>
  <c r="E19" i="2248"/>
  <c r="D19" i="2248"/>
  <c r="AE16" i="2248"/>
  <c r="AD16" i="2248"/>
  <c r="AC16" i="2248"/>
  <c r="AB16" i="2248"/>
  <c r="AA16" i="2248"/>
  <c r="Z16" i="2248"/>
  <c r="X16" i="2248"/>
  <c r="W16" i="2248"/>
  <c r="V16" i="2248"/>
  <c r="U16" i="2248"/>
  <c r="T16" i="2248"/>
  <c r="S16" i="2248"/>
  <c r="R16" i="2248"/>
  <c r="Q16" i="2248"/>
  <c r="P16" i="2248"/>
  <c r="O16" i="2248"/>
  <c r="N16" i="2248"/>
  <c r="M16" i="2248"/>
  <c r="L16" i="2248"/>
  <c r="K16" i="2248"/>
  <c r="J16" i="2248"/>
  <c r="I16" i="2248"/>
  <c r="H16" i="2248"/>
  <c r="G16" i="2248"/>
  <c r="F16" i="2248"/>
  <c r="E16" i="2248"/>
  <c r="D16" i="2248"/>
  <c r="AE10" i="2248"/>
  <c r="AD10" i="2248"/>
  <c r="AC10" i="2248"/>
  <c r="AB10" i="2248"/>
  <c r="AA10" i="2248"/>
  <c r="Z10" i="2248"/>
  <c r="Y10" i="2248"/>
  <c r="X10" i="2248"/>
  <c r="W10" i="2248"/>
  <c r="V10" i="2248"/>
  <c r="U10" i="2248"/>
  <c r="T10" i="2248"/>
  <c r="S10" i="2248"/>
  <c r="R10" i="2248"/>
  <c r="Q10" i="2248"/>
  <c r="P10" i="2248"/>
  <c r="O10" i="2248"/>
  <c r="N10" i="2248"/>
  <c r="M10" i="2248"/>
  <c r="L10" i="2248"/>
  <c r="K10" i="2248"/>
  <c r="J10" i="2248"/>
  <c r="I10" i="2248"/>
  <c r="H10" i="2248"/>
  <c r="G10" i="2248"/>
  <c r="F10" i="2248"/>
  <c r="E10" i="2248"/>
  <c r="D10" i="2248"/>
  <c r="AE7" i="2248"/>
  <c r="AD7" i="2248"/>
  <c r="AC7" i="2248"/>
  <c r="AB7" i="2248"/>
  <c r="AA7" i="2248"/>
  <c r="Z7" i="2248"/>
  <c r="Y7" i="2248"/>
  <c r="X7" i="2248"/>
  <c r="W7" i="2248"/>
  <c r="V7" i="2248"/>
  <c r="U7" i="2248"/>
  <c r="T7" i="2248"/>
  <c r="S7" i="2248"/>
  <c r="R7" i="2248"/>
  <c r="Q7" i="2248"/>
  <c r="P7" i="2248"/>
  <c r="O7" i="2248"/>
  <c r="N7" i="2248"/>
  <c r="M7" i="2248"/>
  <c r="L7" i="2248"/>
  <c r="K7" i="2248"/>
  <c r="J7" i="2248"/>
  <c r="I7" i="2248"/>
  <c r="H7" i="2248"/>
  <c r="G7" i="2248"/>
  <c r="F7" i="2248"/>
  <c r="E7" i="2248"/>
  <c r="D7" i="2248"/>
  <c r="J33" i="2248" l="1"/>
  <c r="W33" i="2248"/>
  <c r="N33" i="2248"/>
  <c r="AC33" i="2248"/>
  <c r="D33" i="2248"/>
  <c r="Z33" i="2248"/>
  <c r="Y33" i="2248"/>
  <c r="K33" i="2248"/>
  <c r="Q33" i="2248"/>
  <c r="E33" i="2248"/>
  <c r="M33" i="2248"/>
  <c r="V33" i="2248"/>
  <c r="AA33" i="2247" l="1"/>
  <c r="X33" i="2247"/>
  <c r="U33" i="2247"/>
  <c r="R33" i="2247"/>
  <c r="F33" i="2247"/>
  <c r="Y28" i="2247"/>
  <c r="X28" i="2247"/>
  <c r="S33" i="2247" s="1"/>
  <c r="W28" i="2247"/>
  <c r="V28" i="2247"/>
  <c r="U28" i="2247"/>
  <c r="T28" i="2247"/>
  <c r="S28" i="2247"/>
  <c r="R28" i="2247"/>
  <c r="Q28" i="2247"/>
  <c r="P28" i="2247"/>
  <c r="O28" i="2247"/>
  <c r="N28" i="2247"/>
  <c r="M28" i="2247"/>
  <c r="L28" i="2247"/>
  <c r="K28" i="2247"/>
  <c r="J28" i="2247"/>
  <c r="I28" i="2247"/>
  <c r="H28" i="2247"/>
  <c r="G28" i="2247"/>
  <c r="F28" i="2247"/>
  <c r="E28" i="2247"/>
  <c r="D28" i="2247"/>
  <c r="Y25" i="2247"/>
  <c r="X25" i="2247"/>
  <c r="W25" i="2247"/>
  <c r="V25" i="2247"/>
  <c r="U25" i="2247"/>
  <c r="T25" i="2247"/>
  <c r="S25" i="2247"/>
  <c r="R25" i="2247"/>
  <c r="Q25" i="2247"/>
  <c r="P25" i="2247"/>
  <c r="O25" i="2247"/>
  <c r="N25" i="2247"/>
  <c r="M25" i="2247"/>
  <c r="L25" i="2247"/>
  <c r="K25" i="2247"/>
  <c r="J25" i="2247"/>
  <c r="I25" i="2247"/>
  <c r="H25" i="2247"/>
  <c r="G25" i="2247"/>
  <c r="F25" i="2247"/>
  <c r="E25" i="2247"/>
  <c r="D25" i="2247"/>
  <c r="AE19" i="2247"/>
  <c r="AD19" i="2247"/>
  <c r="AC19" i="2247"/>
  <c r="AB19" i="2247"/>
  <c r="AA19" i="2247"/>
  <c r="Z19" i="2247"/>
  <c r="Y19" i="2247"/>
  <c r="X19" i="2247"/>
  <c r="T33" i="2247" s="1"/>
  <c r="W19" i="2247"/>
  <c r="V19" i="2247"/>
  <c r="U19" i="2247"/>
  <c r="T19" i="2247"/>
  <c r="S19" i="2247"/>
  <c r="R19" i="2247"/>
  <c r="Q19" i="2247"/>
  <c r="P19" i="2247"/>
  <c r="O19" i="2247"/>
  <c r="N19" i="2247"/>
  <c r="G33" i="2247" s="1"/>
  <c r="M19" i="2247"/>
  <c r="H33" i="2247" s="1"/>
  <c r="L19" i="2247"/>
  <c r="P33" i="2247" s="1"/>
  <c r="K19" i="2247"/>
  <c r="L33" i="2247" s="1"/>
  <c r="J19" i="2247"/>
  <c r="I19" i="2247"/>
  <c r="AB33" i="2247" s="1"/>
  <c r="H19" i="2247"/>
  <c r="G19" i="2247"/>
  <c r="O33" i="2247" s="1"/>
  <c r="F19" i="2247"/>
  <c r="E19" i="2247"/>
  <c r="D19" i="2247"/>
  <c r="AE16" i="2247"/>
  <c r="AD16" i="2247"/>
  <c r="AC16" i="2247"/>
  <c r="AB16" i="2247"/>
  <c r="AA16" i="2247"/>
  <c r="Z16" i="2247"/>
  <c r="X16" i="2247"/>
  <c r="W16" i="2247"/>
  <c r="V16" i="2247"/>
  <c r="U16" i="2247"/>
  <c r="T16" i="2247"/>
  <c r="S16" i="2247"/>
  <c r="R16" i="2247"/>
  <c r="Q16" i="2247"/>
  <c r="P16" i="2247"/>
  <c r="O16" i="2247"/>
  <c r="N16" i="2247"/>
  <c r="M16" i="2247"/>
  <c r="L16" i="2247"/>
  <c r="K16" i="2247"/>
  <c r="J16" i="2247"/>
  <c r="I16" i="2247"/>
  <c r="H16" i="2247"/>
  <c r="G16" i="2247"/>
  <c r="F16" i="2247"/>
  <c r="E16" i="2247"/>
  <c r="D16" i="2247"/>
  <c r="AE10" i="2247"/>
  <c r="AD10" i="2247"/>
  <c r="AC10" i="2247"/>
  <c r="AB10" i="2247"/>
  <c r="AA10" i="2247"/>
  <c r="Z10" i="2247"/>
  <c r="Y10" i="2247"/>
  <c r="X10" i="2247"/>
  <c r="W10" i="2247"/>
  <c r="V10" i="2247"/>
  <c r="U10" i="2247"/>
  <c r="T10" i="2247"/>
  <c r="S10" i="2247"/>
  <c r="R10" i="2247"/>
  <c r="Q10" i="2247"/>
  <c r="P10" i="2247"/>
  <c r="O10" i="2247"/>
  <c r="N10" i="2247"/>
  <c r="M10" i="2247"/>
  <c r="L10" i="2247"/>
  <c r="K10" i="2247"/>
  <c r="J10" i="2247"/>
  <c r="I10" i="2247"/>
  <c r="H10" i="2247"/>
  <c r="G10" i="2247"/>
  <c r="F10" i="2247"/>
  <c r="E10" i="2247"/>
  <c r="D10" i="2247"/>
  <c r="AE7" i="2247"/>
  <c r="AD7" i="2247"/>
  <c r="AC7" i="2247"/>
  <c r="AB7" i="2247"/>
  <c r="AA7" i="2247"/>
  <c r="Z7" i="2247"/>
  <c r="Y7" i="2247"/>
  <c r="X7" i="2247"/>
  <c r="W7" i="2247"/>
  <c r="V7" i="2247"/>
  <c r="U7" i="2247"/>
  <c r="T7" i="2247"/>
  <c r="S7" i="2247"/>
  <c r="R7" i="2247"/>
  <c r="Q7" i="2247"/>
  <c r="P7" i="2247"/>
  <c r="O7" i="2247"/>
  <c r="N7" i="2247"/>
  <c r="M7" i="2247"/>
  <c r="L7" i="2247"/>
  <c r="K7" i="2247"/>
  <c r="J7" i="2247"/>
  <c r="I7" i="2247"/>
  <c r="H7" i="2247"/>
  <c r="G7" i="2247"/>
  <c r="F7" i="2247"/>
  <c r="E7" i="2247"/>
  <c r="D7" i="2247"/>
  <c r="J33" i="2247" l="1"/>
  <c r="W33" i="2247"/>
  <c r="N33" i="2247"/>
  <c r="Z33" i="2247"/>
  <c r="AC33" i="2247"/>
  <c r="D33" i="2247"/>
  <c r="Y33" i="2247"/>
  <c r="Q33" i="2247"/>
  <c r="E33" i="2247"/>
  <c r="K33" i="2247"/>
  <c r="M33" i="2247"/>
  <c r="V33" i="2247"/>
  <c r="S51" i="13" l="1"/>
  <c r="S50" i="13"/>
  <c r="S49" i="13"/>
  <c r="S48" i="13"/>
  <c r="S47" i="13"/>
  <c r="S46" i="13"/>
  <c r="S45" i="13"/>
  <c r="S44" i="13"/>
  <c r="S43" i="13"/>
  <c r="S42" i="13"/>
  <c r="S41" i="13"/>
  <c r="S40" i="13"/>
  <c r="S39" i="13"/>
  <c r="S38" i="13"/>
  <c r="S37" i="13"/>
  <c r="S36" i="13"/>
  <c r="S35" i="13"/>
</calcChain>
</file>

<file path=xl/connections.xml><?xml version="1.0" encoding="utf-8"?>
<connections xmlns="http://schemas.openxmlformats.org/spreadsheetml/2006/main">
  <connection id="1" sourceFile="Y:\儲槽作業日報\53GL\取樣回收每月庫存表 0620更新.xlsx" keepAlive="1" name="取樣回收每月庫存表 0620更新111111111111111111111111111111111111111111111111111111111111111111111111111111111111111111111111111111111111111111111111111111111111111111111111111111111111111111111111111111111111111111111111111111111111111111111111111111111" type="5" refreshedVersion="6" background="1" saveData="1">
    <dbPr connection="Provider=Microsoft.ACE.OLEDB.12.0;User ID=Admin;Data Source=Y:\儲槽作業日報\53GL\取樣回收每月庫存表 0620更新.xlsx;Mode=Share Deny Write;Extended Properties=&quot;HDR=YES;&quot;;Jet OLEDB:System database=&quot;&quot;;Jet OLEDB:Registry Path=&quot;&quot;;Jet OLEDB:Engine Type=37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;Jet OLEDB:Limited DB Caching=False;Jet OLEDB:Bypass ChoiceField Validation=False" command="'201706起(資材)$'" commandType="3"/>
  </connection>
  <connection id="2" sourceFile="Y:\儲槽作業日報\53GL\取樣回收每月庫存表 0620更新.xlsx" keepAlive="1" name="取樣回收每月庫存表 0620更新1111111111111111111111111111111111111111111111111111111111111111111111111111111111111111111111111111111111111111111111111111111111111111111111111111111111111111111111111111111111111111111111111111111111111111111111111111111110" type="5" refreshedVersion="6" background="1" saveData="1">
    <dbPr connection="Provider=Microsoft.ACE.OLEDB.12.0;User ID=Admin;Data Source=Y:\儲槽作業日報\53GL\取樣回收每月庫存表 0620更新.xlsx;Mode=Share Deny Write;Extended Properties=&quot;HDR=YES;&quot;;Jet OLEDB:System database=&quot;&quot;;Jet OLEDB:Registry Path=&quot;&quot;;Jet OLEDB:Engine Type=37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;Jet OLEDB:Limited DB Caching=False;Jet OLEDB:Bypass ChoiceField Validation=False" command="'201706起(資材)$'" commandType="3"/>
  </connection>
  <connection id="3" sourceFile="Y:\儲槽作業日報\53GL\取樣回收每月庫存表 0620更新.xlsx" keepAlive="1" name="取樣回收每月庫存表 0620更新1111111111111111111111111111111111111111111111111111111111111111111111111111111111111111111111111111111111111111111111111111111111111111111111111111111111111111111111111111111111111111111111111111111111111111111111111111111111" type="5" refreshedVersion="6" background="1" saveData="1">
    <dbPr connection="Provider=Microsoft.ACE.OLEDB.12.0;User ID=Admin;Data Source=Y:\儲槽作業日報\53GL\取樣回收每月庫存表 0620更新.xlsx;Mode=Share Deny Write;Extended Properties=&quot;HDR=YES;&quot;;Jet OLEDB:System database=&quot;&quot;;Jet OLEDB:Registry Path=&quot;&quot;;Jet OLEDB:Engine Type=37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;Jet OLEDB:Limited DB Caching=False;Jet OLEDB:Bypass ChoiceField Validation=False" command="'201706起(資材)$'" commandType="3"/>
  </connection>
  <connection id="4" sourceFile="Y:\儲槽作業日報\53GL\取樣回收每月庫存表 0620更新.xlsx" keepAlive="1" name="取樣回收每月庫存表 0620更新1111111111111111111111111111111111111111111111111111111111111111111111111111111111111111111111111111111111111111111111111111111111111111111111111111111111111111111111111111111111111111111111111111111111111111111111111111111112" type="5" refreshedVersion="6" background="1" saveData="1">
    <dbPr connection="Provider=Microsoft.ACE.OLEDB.12.0;User ID=Admin;Data Source=Y:\儲槽作業日報\53GL\取樣回收每月庫存表 0620更新.xlsx;Mode=Share Deny Write;Extended Properties=&quot;HDR=YES;&quot;;Jet OLEDB:System database=&quot;&quot;;Jet OLEDB:Registry Path=&quot;&quot;;Jet OLEDB:Engine Type=37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;Jet OLEDB:Limited DB Caching=False;Jet OLEDB:Bypass ChoiceField Validation=False" command="'201706起(資材)$'" commandType="3"/>
  </connection>
  <connection id="5" sourceFile="Y:\儲槽作業日報\53GL\取樣回收每月庫存表 0620更新.xlsx" keepAlive="1" name="取樣回收每月庫存表 0620更新1111111111111111111111111111111111111111111111111111111111111111111111111111111111111111111111111111111111111111111111111111111111111111111111111111111111111111111111111111111111111111111111111111111111111111111111111111111113" type="5" refreshedVersion="6" background="1" saveData="1">
    <dbPr connection="Provider=Microsoft.ACE.OLEDB.12.0;User ID=Admin;Data Source=Y:\儲槽作業日報\53GL\取樣回收每月庫存表 0620更新.xlsx;Mode=Share Deny Write;Extended Properties=&quot;HDR=YES;&quot;;Jet OLEDB:System database=&quot;&quot;;Jet OLEDB:Registry Path=&quot;&quot;;Jet OLEDB:Engine Type=37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;Jet OLEDB:Limited DB Caching=False;Jet OLEDB:Bypass ChoiceField Validation=False" command="'201706起(資材)$'" commandType="3"/>
  </connection>
  <connection id="6" sourceFile="Y:\儲槽作業日報\53GL\取樣回收每月庫存表 0620更新.xlsx" keepAlive="1" name="取樣回收每月庫存表 0620更新1111111111111111111111111111111111111111111111111111111111111111111111111111111111111111111111111111111111111111111111111111111111111111111111111111111111111111111111111111111111111111111111111111111111111111111111111111111114" type="5" refreshedVersion="6" background="1" saveData="1">
    <dbPr connection="Provider=Microsoft.ACE.OLEDB.12.0;User ID=Admin;Data Source=Y:\儲槽作業日報\53GL\取樣回收每月庫存表 0620更新.xlsx;Mode=Share Deny Write;Extended Properties=&quot;HDR=YES;&quot;;Jet OLEDB:System database=&quot;&quot;;Jet OLEDB:Registry Path=&quot;&quot;;Jet OLEDB:Engine Type=37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;Jet OLEDB:Limited DB Caching=False;Jet OLEDB:Bypass ChoiceField Validation=False" command="'201706起(資材)$'" commandType="3"/>
  </connection>
  <connection id="7" sourceFile="Y:\儲槽作業日報\53GL\取樣回收每月庫存表 0620更新.xlsx" keepAlive="1" name="取樣回收每月庫存表 0620更新1111111111111111111111111111111111111111111111111111111111111111111111111111111111111111111111111111111111111111111111111111111111111111111111111111111111111111111111111111111111111111111111111111111111111111111111111111111115" type="5" refreshedVersion="6" background="1" saveData="1">
    <dbPr connection="Provider=Microsoft.ACE.OLEDB.12.0;User ID=Admin;Data Source=Y:\儲槽作業日報\53GL\取樣回收每月庫存表 0620更新.xlsx;Mode=Share Deny Write;Extended Properties=&quot;HDR=YES;&quot;;Jet OLEDB:System database=&quot;&quot;;Jet OLEDB:Registry Path=&quot;&quot;;Jet OLEDB:Engine Type=37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;Jet OLEDB:Limited DB Caching=False;Jet OLEDB:Bypass ChoiceField Validation=False" command="'201706起(資材)$'" commandType="3"/>
  </connection>
  <connection id="8" sourceFile="Y:\儲槽作業日報\53GL\取樣回收每月庫存表 0620更新.xlsx" keepAlive="1" name="取樣回收每月庫存表 0620更新1111111111111111111111111111111111111111111111111111111111111111111111111111111111111111111111111111111111111111111111111111111111111111111111111111111111111111111111111111111111111111111111111111111111111111111111111111111116" type="5" refreshedVersion="6" background="1" saveData="1">
    <dbPr connection="Provider=Microsoft.ACE.OLEDB.12.0;User ID=Admin;Data Source=Y:\儲槽作業日報\53GL\取樣回收每月庫存表 0620更新.xlsx;Mode=Share Deny Write;Extended Properties=&quot;HDR=YES;&quot;;Jet OLEDB:System database=&quot;&quot;;Jet OLEDB:Registry Path=&quot;&quot;;Jet OLEDB:Engine Type=37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;Jet OLEDB:Limited DB Caching=False;Jet OLEDB:Bypass ChoiceField Validation=False" command="'201706起(資材)$'" commandType="3"/>
  </connection>
  <connection id="9" sourceFile="Y:\儲槽作業日報\53GL\取樣回收每月庫存表 0620更新.xlsx" keepAlive="1" name="取樣回收每月庫存表 0620更新1111111111111111111111111111111111111111111111111111111111111111111111111111111111111111111111111111111111111111111111111111111111111111111111111111111111111111111111111111111111111111111111111111111111111111111111111111111117" type="5" refreshedVersion="6" background="1" saveData="1">
    <dbPr connection="Provider=Microsoft.ACE.OLEDB.12.0;User ID=Admin;Data Source=Y:\儲槽作業日報\53GL\取樣回收每月庫存表 0620更新.xlsx;Mode=Share Deny Write;Extended Properties=&quot;HDR=YES;&quot;;Jet OLEDB:System database=&quot;&quot;;Jet OLEDB:Registry Path=&quot;&quot;;Jet OLEDB:Engine Type=37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;Jet OLEDB:Limited DB Caching=False;Jet OLEDB:Bypass ChoiceField Validation=False" command="'201706起(資材)$'" commandType="3"/>
  </connection>
  <connection id="10" sourceFile="Y:\儲槽作業日報\53GL\取樣回收每月庫存表 0620更新.xlsx" keepAlive="1" name="取樣回收每月庫存表 0620更新1111111111111111111111111111111111111111111111111111111111111111111111111111111111111111111111111111111111111111111111111111111111111111111111111111111111111111111111111111111111111111111111111111111111111111111111111111111118" type="5" refreshedVersion="6" background="1" saveData="1">
    <dbPr connection="Provider=Microsoft.ACE.OLEDB.12.0;User ID=Admin;Data Source=Y:\儲槽作業日報\53GL\取樣回收每月庫存表 0620更新.xlsx;Mode=Share Deny Write;Extended Properties=&quot;HDR=YES;&quot;;Jet OLEDB:System database=&quot;&quot;;Jet OLEDB:Registry Path=&quot;&quot;;Jet OLEDB:Engine Type=37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;Jet OLEDB:Limited DB Caching=False;Jet OLEDB:Bypass ChoiceField Validation=False" command="'201706起(資材)$'" commandType="3"/>
  </connection>
  <connection id="11" sourceFile="Y:\儲槽作業日報\53GL\取樣回收每月庫存表 0620更新.xlsx" keepAlive="1" name="取樣回收每月庫存表 0620更新1111111111111111111111111111111111111111111111111111111111111111111111111111111111111111111111111111111111111111111111111111111111111111111111111111111111111111111111111111111111111111111111111111111111111111111111111111111119" type="5" refreshedVersion="6" background="1" saveData="1">
    <dbPr connection="Provider=Microsoft.ACE.OLEDB.12.0;User ID=Admin;Data Source=Y:\儲槽作業日報\53GL\取樣回收每月庫存表 0620更新.xlsx;Mode=Share Deny Write;Extended Properties=&quot;HDR=YES;&quot;;Jet OLEDB:System database=&quot;&quot;;Jet OLEDB:Registry Path=&quot;&quot;;Jet OLEDB:Engine Type=37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;Jet OLEDB:Limited DB Caching=False;Jet OLEDB:Bypass ChoiceField Validation=False" command="'201706起(資材)$'" commandType="3"/>
  </connection>
  <connection id="12" sourceFile="Y:\儲槽作業日報\53GL\取樣回收每月庫存表 0620更新.xlsx" keepAlive="1" name="取樣回收每月庫存表 0620更新111111111111111111111111111111111111111111111111111111111111111111111111111111111111111111111111111111111111111111111111111111111111111111111111111111111111111111111111111111111111111111111111111111111111111111111111111111112" type="5" refreshedVersion="6" background="1" saveData="1">
    <dbPr connection="Provider=Microsoft.ACE.OLEDB.12.0;User ID=Admin;Data Source=Y:\儲槽作業日報\53GL\取樣回收每月庫存表 0620更新.xlsx;Mode=Share Deny Write;Extended Properties=&quot;HDR=YES;&quot;;Jet OLEDB:System database=&quot;&quot;;Jet OLEDB:Registry Path=&quot;&quot;;Jet OLEDB:Engine Type=37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;Jet OLEDB:Limited DB Caching=False;Jet OLEDB:Bypass ChoiceField Validation=False" command="'201706起(資材)$'" commandType="3"/>
  </connection>
  <connection id="13" sourceFile="Y:\儲槽作業日報\53GL\取樣回收每月庫存表 0620更新.xlsx" keepAlive="1" name="取樣回收每月庫存表 0620更新1111111111111111111111111111111111111111111111111111111111111111111111111111111111111111111111111111111111111111111111111111111111111111111111111111111111111111111111111111111111111111111111111111111111111111111111111111111120" type="5" refreshedVersion="6" background="1" saveData="1">
    <dbPr connection="Provider=Microsoft.ACE.OLEDB.12.0;User ID=Admin;Data Source=Y:\儲槽作業日報\53GL\取樣回收每月庫存表 0620更新.xlsx;Mode=Share Deny Write;Extended Properties=&quot;HDR=YES;&quot;;Jet OLEDB:System database=&quot;&quot;;Jet OLEDB:Registry Path=&quot;&quot;;Jet OLEDB:Engine Type=37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;Jet OLEDB:Limited DB Caching=False;Jet OLEDB:Bypass ChoiceField Validation=False" command="'201706起(資材)$'" commandType="3"/>
  </connection>
  <connection id="14" sourceFile="Y:\儲槽作業日報\53GL\取樣回收每月庫存表 0620更新.xlsx" keepAlive="1" name="取樣回收每月庫存表 0620更新1111111111111111111111111111111111111111111111111111111111111111111111111111111111111111111111111111111111111111111111111111111111111111111111111111111111111111111111111111111111111111111111111111111111111111111111111111111122" type="5" refreshedVersion="6" background="1" saveData="1">
    <dbPr connection="Provider=Microsoft.ACE.OLEDB.12.0;User ID=Admin;Data Source=Y:\儲槽作業日報\53GL\取樣回收每月庫存表 0620更新.xlsx;Mode=Share Deny Write;Extended Properties=&quot;HDR=YES;&quot;;Jet OLEDB:System database=&quot;&quot;;Jet OLEDB:Registry Path=&quot;&quot;;Jet OLEDB:Engine Type=37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;Jet OLEDB:Limited DB Caching=False;Jet OLEDB:Bypass ChoiceField Validation=False" command="'201706起(資材)$'" commandType="3"/>
  </connection>
  <connection id="15" sourceFile="Y:\儲槽作業日報\53GL\取樣回收每月庫存表 0620更新.xlsx" keepAlive="1" name="取樣回收每月庫存表 0620更新111111111111111111111111111111111111111111111111111111111111111111111111111111111111111111111111111111111111111111111111111111111111111111111111111111111111111111111111111111111111111111111111111111111111111111111111111111113" type="5" refreshedVersion="6" background="1" saveData="1">
    <dbPr connection="Provider=Microsoft.ACE.OLEDB.12.0;User ID=Admin;Data Source=Y:\儲槽作業日報\53GL\取樣回收每月庫存表 0620更新.xlsx;Mode=Share Deny Write;Extended Properties=&quot;HDR=YES;&quot;;Jet OLEDB:System database=&quot;&quot;;Jet OLEDB:Registry Path=&quot;&quot;;Jet OLEDB:Engine Type=37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;Jet OLEDB:Limited DB Caching=False;Jet OLEDB:Bypass ChoiceField Validation=False" command="'201706起(資材)$'" commandType="3"/>
  </connection>
  <connection id="16" sourceFile="Y:\儲槽作業日報\53GL\取樣回收每月庫存表 0620更新.xlsx" keepAlive="1" name="取樣回收每月庫存表 0620更新111111111111111111111111111111111111111111111111111111111111111111111111111111111111111111111111111111111111111111111111111111111111111111111111111111111111111111111111111111111111111111111111111111111111111111111111111111114" type="5" refreshedVersion="6" background="1" saveData="1">
    <dbPr connection="Provider=Microsoft.ACE.OLEDB.12.0;User ID=Admin;Data Source=Y:\儲槽作業日報\53GL\取樣回收每月庫存表 0620更新.xlsx;Mode=Share Deny Write;Extended Properties=&quot;HDR=YES;&quot;;Jet OLEDB:System database=&quot;&quot;;Jet OLEDB:Registry Path=&quot;&quot;;Jet OLEDB:Engine Type=37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;Jet OLEDB:Limited DB Caching=False;Jet OLEDB:Bypass ChoiceField Validation=False" command="'201706起(資材)$'" commandType="3"/>
  </connection>
  <connection id="17" sourceFile="Y:\儲槽作業日報\53GL\取樣回收每月庫存表 0620更新.xlsx" keepAlive="1" name="取樣回收每月庫存表 0620更新111111111111111111111111111111111111111111111111111111111111111111111111111111111111111111111111111111111111111111111111111111111111111111111111111111111111111111111111111111111111111111111111111111111111111111111111111111115" type="5" refreshedVersion="6" background="1" saveData="1">
    <dbPr connection="Provider=Microsoft.ACE.OLEDB.12.0;User ID=Admin;Data Source=Y:\儲槽作業日報\53GL\取樣回收每月庫存表 0620更新.xlsx;Mode=Share Deny Write;Extended Properties=&quot;HDR=YES;&quot;;Jet OLEDB:System database=&quot;&quot;;Jet OLEDB:Registry Path=&quot;&quot;;Jet OLEDB:Engine Type=37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;Jet OLEDB:Limited DB Caching=False;Jet OLEDB:Bypass ChoiceField Validation=False" command="'201706起(資材)$'" commandType="3"/>
  </connection>
  <connection id="18" sourceFile="Y:\儲槽作業日報\53GL\取樣回收每月庫存表 0620更新.xlsx" keepAlive="1" name="取樣回收每月庫存表 0620更新111111111111111111111111111111111111111111111111111111111111111111111111111111111111111111111111111111111111111111111111111111111111111111111111111111111111111111111111111111111111111111111111111111111111111111111111111111116" type="5" refreshedVersion="6" background="1" saveData="1">
    <dbPr connection="Provider=Microsoft.ACE.OLEDB.12.0;User ID=Admin;Data Source=Y:\儲槽作業日報\53GL\取樣回收每月庫存表 0620更新.xlsx;Mode=Share Deny Write;Extended Properties=&quot;HDR=YES;&quot;;Jet OLEDB:System database=&quot;&quot;;Jet OLEDB:Registry Path=&quot;&quot;;Jet OLEDB:Engine Type=37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;Jet OLEDB:Limited DB Caching=False;Jet OLEDB:Bypass ChoiceField Validation=False" command="'201706起(資材)$'" commandType="3"/>
  </connection>
  <connection id="19" sourceFile="Y:\儲槽作業日報\53GL\取樣回收每月庫存表 0620更新.xlsx" keepAlive="1" name="取樣回收每月庫存表 0620更新111111111111111111111111111111111111111111111111111111111111111111111111111111111111111111111111111111111111111111111111111111111111111111111111111111111111111111111111111111111111111111111111111111111111111111111111111111117" type="5" refreshedVersion="6" background="1" saveData="1">
    <dbPr connection="Provider=Microsoft.ACE.OLEDB.12.0;User ID=Admin;Data Source=Y:\儲槽作業日報\53GL\取樣回收每月庫存表 0620更新.xlsx;Mode=Share Deny Write;Extended Properties=&quot;HDR=YES;&quot;;Jet OLEDB:System database=&quot;&quot;;Jet OLEDB:Registry Path=&quot;&quot;;Jet OLEDB:Engine Type=37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;Jet OLEDB:Limited DB Caching=False;Jet OLEDB:Bypass ChoiceField Validation=False" command="'201706起(資材)$'" commandType="3"/>
  </connection>
  <connection id="20" sourceFile="Y:\儲槽作業日報\53GL\取樣回收每月庫存表 0620更新.xlsx" keepAlive="1" name="取樣回收每月庫存表 0620更新111111111111111111111111111111111111111111111111111111111111111111111111111111111111111111111111111111111111111111111111111111111111111111111111111111111111111111111111111111111111111111111111111111111111111111111111111111118" type="5" refreshedVersion="6" background="1" saveData="1">
    <dbPr connection="Provider=Microsoft.ACE.OLEDB.12.0;User ID=Admin;Data Source=Y:\儲槽作業日報\53GL\取樣回收每月庫存表 0620更新.xlsx;Mode=Share Deny Write;Extended Properties=&quot;HDR=YES;&quot;;Jet OLEDB:System database=&quot;&quot;;Jet OLEDB:Registry Path=&quot;&quot;;Jet OLEDB:Engine Type=37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;Jet OLEDB:Limited DB Caching=False;Jet OLEDB:Bypass ChoiceField Validation=False" command="'201706起(資材)$'" commandType="3"/>
  </connection>
  <connection id="21" sourceFile="Y:\儲槽作業日報\53GL\取樣回收每月庫存表 0620更新.xlsx" keepAlive="1" name="取樣回收每月庫存表 0620更新111111111111111111111111111111111111111111111111111111111111111111111111111111111111111111111111111111111111111111111111111111111111111111111111111111111111111111111111111111111111111111111111111111111111111111111111111111119" type="5" refreshedVersion="6" background="1" saveData="1">
    <dbPr connection="Provider=Microsoft.ACE.OLEDB.12.0;User ID=Admin;Data Source=Y:\儲槽作業日報\53GL\取樣回收每月庫存表 0620更新.xlsx;Mode=Share Deny Write;Extended Properties=&quot;HDR=YES;&quot;;Jet OLEDB:System database=&quot;&quot;;Jet OLEDB:Registry Path=&quot;&quot;;Jet OLEDB:Engine Type=37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;Jet OLEDB:Limited DB Caching=False;Jet OLEDB:Bypass ChoiceField Validation=False" command="'201706起(資材)$'" commandType="3"/>
  </connection>
</connections>
</file>

<file path=xl/sharedStrings.xml><?xml version="1.0" encoding="utf-8"?>
<sst xmlns="http://schemas.openxmlformats.org/spreadsheetml/2006/main" count="29240" uniqueCount="647">
  <si>
    <t>空</t>
    <phoneticPr fontId="3" type="noConversion"/>
  </si>
  <si>
    <t>EG</t>
    <phoneticPr fontId="3" type="noConversion"/>
  </si>
  <si>
    <t>GAA</t>
    <phoneticPr fontId="3" type="noConversion"/>
  </si>
  <si>
    <t>EBR</t>
    <phoneticPr fontId="3" type="noConversion"/>
  </si>
  <si>
    <t>原料</t>
    <phoneticPr fontId="3" type="noConversion"/>
  </si>
  <si>
    <t>成品</t>
    <phoneticPr fontId="3" type="noConversion"/>
  </si>
  <si>
    <r>
      <rPr>
        <sz val="12"/>
        <rFont val="細明體"/>
        <family val="3"/>
        <charset val="136"/>
      </rPr>
      <t>產</t>
    </r>
    <r>
      <rPr>
        <sz val="12"/>
        <rFont val="DotumChe"/>
        <family val="3"/>
        <charset val="129"/>
      </rPr>
      <t>品</t>
    </r>
    <r>
      <rPr>
        <sz val="12"/>
        <rFont val="細明體"/>
        <family val="3"/>
        <charset val="136"/>
      </rPr>
      <t xml:space="preserve">      </t>
    </r>
    <r>
      <rPr>
        <sz val="12"/>
        <rFont val="DotumChe"/>
        <family val="3"/>
        <charset val="129"/>
      </rPr>
      <t>比重</t>
    </r>
    <r>
      <rPr>
        <sz val="12"/>
        <rFont val="細明體"/>
        <family val="3"/>
        <charset val="136"/>
      </rPr>
      <t xml:space="preserve">    </t>
    </r>
    <r>
      <rPr>
        <sz val="12"/>
        <rFont val="DotumChe"/>
        <family val="3"/>
        <charset val="129"/>
      </rPr>
      <t>溫度</t>
    </r>
    <phoneticPr fontId="3" type="noConversion"/>
  </si>
  <si>
    <t>IPA</t>
    <phoneticPr fontId="3" type="noConversion"/>
  </si>
  <si>
    <t>EG</t>
    <phoneticPr fontId="3" type="noConversion"/>
  </si>
  <si>
    <t>NMP</t>
    <phoneticPr fontId="3" type="noConversion"/>
  </si>
  <si>
    <t>Acetone</t>
    <phoneticPr fontId="3" type="noConversion"/>
  </si>
  <si>
    <t>SEP05</t>
    <phoneticPr fontId="3" type="noConversion"/>
  </si>
  <si>
    <t>PMA</t>
    <phoneticPr fontId="3" type="noConversion"/>
  </si>
  <si>
    <t>PM</t>
    <phoneticPr fontId="3" type="noConversion"/>
  </si>
  <si>
    <t>GAA</t>
    <phoneticPr fontId="3" type="noConversion"/>
  </si>
  <si>
    <r>
      <t>BDG+MEA
澄</t>
    </r>
    <r>
      <rPr>
        <sz val="14"/>
        <rFont val="細明體"/>
        <family val="3"/>
        <charset val="136"/>
      </rPr>
      <t>清</t>
    </r>
    <r>
      <rPr>
        <sz val="14"/>
        <rFont val="DotumChe"/>
        <family val="3"/>
        <charset val="129"/>
      </rPr>
      <t>液</t>
    </r>
    <phoneticPr fontId="3" type="noConversion"/>
  </si>
  <si>
    <t>ANONE</t>
    <phoneticPr fontId="3" type="noConversion"/>
  </si>
  <si>
    <t>EBR</t>
    <phoneticPr fontId="3" type="noConversion"/>
  </si>
  <si>
    <t>NBAC</t>
    <phoneticPr fontId="3" type="noConversion"/>
  </si>
  <si>
    <t>EBRUPS</t>
    <phoneticPr fontId="3" type="noConversion"/>
  </si>
  <si>
    <t>2SEP73(EBR)</t>
    <phoneticPr fontId="3" type="noConversion"/>
  </si>
  <si>
    <t>SEP11</t>
    <phoneticPr fontId="3" type="noConversion"/>
  </si>
  <si>
    <t>ETOH</t>
    <phoneticPr fontId="3" type="noConversion"/>
  </si>
  <si>
    <t>PG2</t>
    <phoneticPr fontId="3" type="noConversion"/>
  </si>
  <si>
    <t>EEP</t>
    <phoneticPr fontId="3" type="noConversion"/>
  </si>
  <si>
    <t>HEA     DPM</t>
    <phoneticPr fontId="3" type="noConversion"/>
  </si>
  <si>
    <t>C02</t>
  </si>
  <si>
    <t>C03</t>
  </si>
  <si>
    <t>C04</t>
  </si>
  <si>
    <t>C05</t>
  </si>
  <si>
    <t>C06</t>
  </si>
  <si>
    <t>槽號</t>
    <phoneticPr fontId="3" type="noConversion"/>
  </si>
  <si>
    <t>液位</t>
    <phoneticPr fontId="3" type="noConversion"/>
  </si>
  <si>
    <t>溫度</t>
    <phoneticPr fontId="3" type="noConversion"/>
  </si>
  <si>
    <t>DPM</t>
    <phoneticPr fontId="3" type="noConversion"/>
  </si>
  <si>
    <t xml:space="preserve"> </t>
    <phoneticPr fontId="2" type="noConversion"/>
  </si>
  <si>
    <t>品名</t>
    <phoneticPr fontId="3" type="noConversion"/>
  </si>
  <si>
    <t>時間</t>
    <phoneticPr fontId="3" type="noConversion"/>
  </si>
  <si>
    <t>TPM</t>
    <phoneticPr fontId="3" type="noConversion"/>
  </si>
  <si>
    <t>TK-603</t>
    <phoneticPr fontId="4" type="noConversion"/>
  </si>
  <si>
    <t>TK-641</t>
    <phoneticPr fontId="4" type="noConversion"/>
  </si>
  <si>
    <t>ACETONE</t>
    <phoneticPr fontId="3" type="noConversion"/>
  </si>
  <si>
    <t>HEA</t>
    <phoneticPr fontId="3" type="noConversion"/>
  </si>
  <si>
    <t>待處理品</t>
    <phoneticPr fontId="3" type="noConversion"/>
  </si>
  <si>
    <t>TK-601</t>
    <phoneticPr fontId="4" type="noConversion"/>
  </si>
  <si>
    <t>TK-602</t>
    <phoneticPr fontId="4" type="noConversion"/>
  </si>
  <si>
    <t>TK-604A</t>
    <phoneticPr fontId="4" type="noConversion"/>
  </si>
  <si>
    <t>TK-604B</t>
    <phoneticPr fontId="4" type="noConversion"/>
  </si>
  <si>
    <t>TK-612</t>
    <phoneticPr fontId="4" type="noConversion"/>
  </si>
  <si>
    <t>TK-621</t>
    <phoneticPr fontId="4" type="noConversion"/>
  </si>
  <si>
    <t>TK-622</t>
    <phoneticPr fontId="4" type="noConversion"/>
  </si>
  <si>
    <t>TK-631</t>
    <phoneticPr fontId="4" type="noConversion"/>
  </si>
  <si>
    <t>TK-643</t>
    <phoneticPr fontId="3" type="noConversion"/>
  </si>
  <si>
    <t>TK-645</t>
    <phoneticPr fontId="3" type="noConversion"/>
  </si>
  <si>
    <t>NMP-2</t>
    <phoneticPr fontId="3" type="noConversion"/>
  </si>
  <si>
    <t>TK-656</t>
    <phoneticPr fontId="3" type="noConversion"/>
  </si>
  <si>
    <t>TK-660</t>
    <phoneticPr fontId="3" type="noConversion"/>
  </si>
  <si>
    <t>TK-651</t>
    <phoneticPr fontId="3" type="noConversion"/>
  </si>
  <si>
    <t>TK-652</t>
    <phoneticPr fontId="3" type="noConversion"/>
  </si>
  <si>
    <t>TK-654</t>
    <phoneticPr fontId="3" type="noConversion"/>
  </si>
  <si>
    <t>TK-657</t>
    <phoneticPr fontId="3" type="noConversion"/>
  </si>
  <si>
    <t>TK-658</t>
    <phoneticPr fontId="3" type="noConversion"/>
  </si>
  <si>
    <t>TK-661</t>
    <phoneticPr fontId="3" type="noConversion"/>
  </si>
  <si>
    <t>TK-662</t>
    <phoneticPr fontId="3" type="noConversion"/>
  </si>
  <si>
    <t>TK-663</t>
    <phoneticPr fontId="3" type="noConversion"/>
  </si>
  <si>
    <t>TK-664</t>
    <phoneticPr fontId="3" type="noConversion"/>
  </si>
  <si>
    <t>TK-665</t>
    <phoneticPr fontId="3" type="noConversion"/>
  </si>
  <si>
    <t>TK-666</t>
    <phoneticPr fontId="3" type="noConversion"/>
  </si>
  <si>
    <t>TK-670</t>
    <phoneticPr fontId="3" type="noConversion"/>
  </si>
  <si>
    <t>記事欄</t>
    <phoneticPr fontId="3" type="noConversion"/>
  </si>
  <si>
    <r>
      <t>CPN環戊</t>
    </r>
    <r>
      <rPr>
        <sz val="14"/>
        <rFont val="細明體"/>
        <family val="3"/>
        <charset val="136"/>
      </rPr>
      <t>酮</t>
    </r>
    <phoneticPr fontId="3" type="noConversion"/>
  </si>
  <si>
    <t>CPN</t>
    <phoneticPr fontId="3" type="noConversion"/>
  </si>
  <si>
    <t>DPM-B1</t>
    <phoneticPr fontId="3" type="noConversion"/>
  </si>
  <si>
    <t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t>
    <phoneticPr fontId="2" type="noConversion"/>
  </si>
  <si>
    <t>TK-671</t>
    <phoneticPr fontId="3" type="noConversion"/>
  </si>
  <si>
    <t>MIBC</t>
    <phoneticPr fontId="3" type="noConversion"/>
  </si>
  <si>
    <t>C08</t>
  </si>
  <si>
    <t>C09</t>
  </si>
  <si>
    <t>604A</t>
  </si>
  <si>
    <t>604B</t>
  </si>
  <si>
    <t>C01</t>
  </si>
  <si>
    <t>C07</t>
  </si>
  <si>
    <t>儲槽作業日報表</t>
    <phoneticPr fontId="3" type="noConversion"/>
  </si>
  <si>
    <t>待處理品</t>
    <phoneticPr fontId="2" type="noConversion"/>
  </si>
  <si>
    <t>成品</t>
    <phoneticPr fontId="2" type="noConversion"/>
  </si>
  <si>
    <t>原料</t>
    <phoneticPr fontId="2" type="noConversion"/>
  </si>
  <si>
    <t>TK-677</t>
  </si>
  <si>
    <t>TK-678</t>
  </si>
  <si>
    <t>TK-680</t>
  </si>
  <si>
    <t>TK-681</t>
  </si>
  <si>
    <t>TK-682</t>
  </si>
  <si>
    <t>TK-683</t>
  </si>
  <si>
    <t>TK-684</t>
  </si>
  <si>
    <t>TK-685</t>
  </si>
  <si>
    <t>TK-686</t>
  </si>
  <si>
    <t>TK-687</t>
  </si>
  <si>
    <t>TK-688</t>
  </si>
  <si>
    <t>TK-689</t>
  </si>
  <si>
    <t>TK-690</t>
  </si>
  <si>
    <t>TK-691</t>
  </si>
  <si>
    <t>TK-692</t>
  </si>
  <si>
    <t>TK-693</t>
  </si>
  <si>
    <t>TK-694</t>
  </si>
  <si>
    <t>TK-695</t>
  </si>
  <si>
    <t>TK-696</t>
  </si>
  <si>
    <t>TK-697</t>
  </si>
  <si>
    <t>TK-698</t>
  </si>
  <si>
    <t>EGE4</t>
    <phoneticPr fontId="2" type="noConversion"/>
  </si>
  <si>
    <t>TK-699</t>
  </si>
  <si>
    <t>CPNE4</t>
    <phoneticPr fontId="2" type="noConversion"/>
  </si>
  <si>
    <t>TK-611</t>
    <phoneticPr fontId="4" type="noConversion"/>
  </si>
  <si>
    <t>TK-613</t>
    <phoneticPr fontId="4" type="noConversion"/>
  </si>
  <si>
    <t>TK614</t>
    <phoneticPr fontId="4" type="noConversion"/>
  </si>
  <si>
    <t>TK-623</t>
    <phoneticPr fontId="4" type="noConversion"/>
  </si>
  <si>
    <t>TK-624</t>
    <phoneticPr fontId="4" type="noConversion"/>
  </si>
  <si>
    <t>TK-C01</t>
    <phoneticPr fontId="4" type="noConversion"/>
  </si>
  <si>
    <t>TK-C02</t>
    <phoneticPr fontId="4" type="noConversion"/>
  </si>
  <si>
    <t>TK-C03</t>
    <phoneticPr fontId="4" type="noConversion"/>
  </si>
  <si>
    <t>TK-C04</t>
    <phoneticPr fontId="4" type="noConversion"/>
  </si>
  <si>
    <t>TK-C05</t>
    <phoneticPr fontId="4" type="noConversion"/>
  </si>
  <si>
    <t>TK-C06</t>
    <phoneticPr fontId="4" type="noConversion"/>
  </si>
  <si>
    <t>TK-C07</t>
    <phoneticPr fontId="4" type="noConversion"/>
  </si>
  <si>
    <t>TK-C08</t>
    <phoneticPr fontId="4" type="noConversion"/>
  </si>
  <si>
    <t>TK-C09</t>
    <phoneticPr fontId="4" type="noConversion"/>
  </si>
  <si>
    <t>TK-632</t>
    <phoneticPr fontId="4" type="noConversion"/>
  </si>
  <si>
    <t>TK-633</t>
    <phoneticPr fontId="4" type="noConversion"/>
  </si>
  <si>
    <t>TK-634</t>
    <phoneticPr fontId="4" type="noConversion"/>
  </si>
  <si>
    <t>TK-642</t>
    <phoneticPr fontId="4" type="noConversion"/>
  </si>
  <si>
    <t>TK-653</t>
    <phoneticPr fontId="3" type="noConversion"/>
  </si>
  <si>
    <t>TK-655</t>
    <phoneticPr fontId="3" type="noConversion"/>
  </si>
  <si>
    <t>TK-659</t>
    <phoneticPr fontId="3" type="noConversion"/>
  </si>
  <si>
    <t>TK-667</t>
    <phoneticPr fontId="3" type="noConversion"/>
  </si>
  <si>
    <t>TK-668</t>
    <phoneticPr fontId="3" type="noConversion"/>
  </si>
  <si>
    <t>TK-669</t>
    <phoneticPr fontId="3" type="noConversion"/>
  </si>
  <si>
    <t>TK-672</t>
    <phoneticPr fontId="3" type="noConversion"/>
  </si>
  <si>
    <t xml:space="preserve"> TK-673</t>
    <phoneticPr fontId="3" type="noConversion"/>
  </si>
  <si>
    <t>TK-674</t>
    <phoneticPr fontId="3" type="noConversion"/>
  </si>
  <si>
    <t>TK-675</t>
    <phoneticPr fontId="3" type="noConversion"/>
  </si>
  <si>
    <t>TK-676</t>
    <phoneticPr fontId="3" type="noConversion"/>
  </si>
  <si>
    <t>底面積</t>
    <phoneticPr fontId="2" type="noConversion"/>
  </si>
  <si>
    <t>現為公升還要*密度=公斤KG</t>
    <phoneticPr fontId="2" type="noConversion"/>
  </si>
  <si>
    <t>最高液位</t>
    <phoneticPr fontId="2" type="noConversion"/>
  </si>
  <si>
    <t>675-678</t>
    <phoneticPr fontId="2" type="noConversion"/>
  </si>
  <si>
    <t>1mm</t>
    <phoneticPr fontId="2" type="noConversion"/>
  </si>
  <si>
    <t>4.6L</t>
    <phoneticPr fontId="2" type="noConversion"/>
  </si>
  <si>
    <t>桶底 1566L</t>
    <phoneticPr fontId="2" type="noConversion"/>
  </si>
  <si>
    <t>681-689,691</t>
    <phoneticPr fontId="2" type="noConversion"/>
  </si>
  <si>
    <t>18.322L</t>
    <phoneticPr fontId="2" type="noConversion"/>
  </si>
  <si>
    <t>桶底87L</t>
    <phoneticPr fontId="2" type="noConversion"/>
  </si>
  <si>
    <t>11.702L</t>
    <phoneticPr fontId="2" type="noConversion"/>
  </si>
  <si>
    <t>692-695</t>
    <phoneticPr fontId="2" type="noConversion"/>
  </si>
  <si>
    <t>35.891L</t>
    <phoneticPr fontId="2" type="noConversion"/>
  </si>
  <si>
    <t>696-699</t>
    <phoneticPr fontId="2" type="noConversion"/>
  </si>
  <si>
    <t>47.051L</t>
    <phoneticPr fontId="2" type="noConversion"/>
  </si>
  <si>
    <t>268.26L</t>
    <phoneticPr fontId="2" type="noConversion"/>
  </si>
  <si>
    <t>1026L</t>
    <phoneticPr fontId="2" type="noConversion"/>
  </si>
  <si>
    <t>514.88L</t>
    <phoneticPr fontId="2" type="noConversion"/>
  </si>
  <si>
    <t>2512.3L</t>
    <phoneticPr fontId="2" type="noConversion"/>
  </si>
  <si>
    <t>5453.1L</t>
    <phoneticPr fontId="2" type="noConversion"/>
  </si>
  <si>
    <t>液位</t>
    <phoneticPr fontId="2" type="noConversion"/>
  </si>
  <si>
    <t>CPNE3-R</t>
    <phoneticPr fontId="3" type="noConversion"/>
  </si>
  <si>
    <t xml:space="preserve">鴻勝化學科技股份有限公司                                    </t>
    <phoneticPr fontId="3" type="noConversion"/>
  </si>
  <si>
    <t xml:space="preserve">                                  </t>
    <phoneticPr fontId="2" type="noConversion"/>
  </si>
  <si>
    <t>500KL</t>
    <phoneticPr fontId="2" type="noConversion"/>
  </si>
  <si>
    <t>51.53L</t>
    <phoneticPr fontId="2" type="noConversion"/>
  </si>
  <si>
    <t>250KL</t>
    <phoneticPr fontId="2" type="noConversion"/>
  </si>
  <si>
    <t>33.183L</t>
    <phoneticPr fontId="2" type="noConversion"/>
  </si>
  <si>
    <t>125KL</t>
    <phoneticPr fontId="2" type="noConversion"/>
  </si>
  <si>
    <t>20.428L</t>
    <phoneticPr fontId="2" type="noConversion"/>
  </si>
  <si>
    <t>70KL</t>
    <phoneticPr fontId="2" type="noConversion"/>
  </si>
  <si>
    <t>50KL</t>
    <phoneticPr fontId="2" type="noConversion"/>
  </si>
  <si>
    <t>50KL
C01~C09
643,645</t>
    <phoneticPr fontId="2" type="noConversion"/>
  </si>
  <si>
    <t>上午:</t>
    <phoneticPr fontId="3" type="noConversion"/>
  </si>
  <si>
    <t>年       月       日</t>
    <phoneticPr fontId="3" type="noConversion"/>
  </si>
  <si>
    <t>備    註</t>
    <phoneticPr fontId="3" type="noConversion"/>
  </si>
  <si>
    <t>年         月         日</t>
    <phoneticPr fontId="3" type="noConversion"/>
  </si>
  <si>
    <t>槽　別</t>
    <phoneticPr fontId="3" type="noConversion"/>
  </si>
  <si>
    <t>液位(mm/%)</t>
    <phoneticPr fontId="3" type="noConversion"/>
  </si>
  <si>
    <t>數量(kg)</t>
    <phoneticPr fontId="4" type="noConversion"/>
  </si>
  <si>
    <t>溫度( ℃)</t>
    <phoneticPr fontId="3" type="noConversion"/>
  </si>
  <si>
    <r>
      <t>液位(</t>
    </r>
    <r>
      <rPr>
        <vertAlign val="superscript"/>
        <sz val="8"/>
        <rFont val="微軟正黑體"/>
        <family val="2"/>
        <charset val="136"/>
      </rPr>
      <t>mm</t>
    </r>
    <r>
      <rPr>
        <sz val="8"/>
        <rFont val="微軟正黑體"/>
        <family val="2"/>
        <charset val="136"/>
      </rPr>
      <t>/</t>
    </r>
    <r>
      <rPr>
        <vertAlign val="subscript"/>
        <sz val="8"/>
        <rFont val="微軟正黑體"/>
        <family val="2"/>
        <charset val="136"/>
      </rPr>
      <t>%</t>
    </r>
    <r>
      <rPr>
        <sz val="8"/>
        <rFont val="微軟正黑體"/>
        <family val="2"/>
        <charset val="136"/>
      </rPr>
      <t>)</t>
    </r>
    <phoneticPr fontId="4" type="noConversion"/>
  </si>
  <si>
    <t>總數量
(kg)</t>
    <phoneticPr fontId="3" type="noConversion"/>
  </si>
  <si>
    <t>經(副)理:</t>
    <phoneticPr fontId="4" type="noConversion"/>
  </si>
  <si>
    <t>課長:</t>
    <phoneticPr fontId="4" type="noConversion"/>
  </si>
  <si>
    <t>組(副)長:</t>
    <phoneticPr fontId="4" type="noConversion"/>
  </si>
  <si>
    <t>記錄員:</t>
    <phoneticPr fontId="4" type="noConversion"/>
  </si>
  <si>
    <t>EGHW</t>
    <phoneticPr fontId="3" type="noConversion"/>
  </si>
  <si>
    <t>GAA</t>
    <phoneticPr fontId="2" type="noConversion"/>
  </si>
  <si>
    <t>F2</t>
  </si>
  <si>
    <t>F3</t>
  </si>
  <si>
    <t>F4</t>
  </si>
  <si>
    <t>F5</t>
  </si>
  <si>
    <t>F6</t>
  </si>
  <si>
    <t>F7</t>
  </si>
  <si>
    <t>F8</t>
  </si>
  <si>
    <t>F9</t>
  </si>
  <si>
    <t>F10</t>
  </si>
  <si>
    <t>F11</t>
  </si>
  <si>
    <t>F12</t>
  </si>
  <si>
    <t>F13</t>
  </si>
  <si>
    <t>F14</t>
  </si>
  <si>
    <t>F15</t>
  </si>
  <si>
    <t>F16</t>
  </si>
  <si>
    <t>F17</t>
  </si>
  <si>
    <t>F18</t>
  </si>
  <si>
    <t>F20</t>
  </si>
  <si>
    <t>F21</t>
  </si>
  <si>
    <t>F23</t>
  </si>
  <si>
    <t>品名</t>
  </si>
  <si>
    <t>編號</t>
  </si>
  <si>
    <t>日期</t>
  </si>
  <si>
    <t>重量</t>
  </si>
  <si>
    <t>來源</t>
  </si>
  <si>
    <t>小計</t>
  </si>
  <si>
    <t>IPA-R1</t>
  </si>
  <si>
    <t>備註</t>
  </si>
  <si>
    <t>總量</t>
  </si>
  <si>
    <t xml:space="preserve"> </t>
  </si>
  <si>
    <t>20170627</t>
  </si>
  <si>
    <t>80</t>
  </si>
  <si>
    <t>320</t>
  </si>
  <si>
    <t>BDGE</t>
  </si>
  <si>
    <t>50</t>
  </si>
  <si>
    <t>170</t>
  </si>
  <si>
    <t>160</t>
  </si>
  <si>
    <t>30</t>
  </si>
  <si>
    <t>20161229</t>
  </si>
  <si>
    <t>90</t>
  </si>
  <si>
    <t>60</t>
  </si>
  <si>
    <t>150</t>
  </si>
  <si>
    <t>20170126</t>
  </si>
  <si>
    <t>40</t>
  </si>
  <si>
    <t>GAAHW</t>
  </si>
  <si>
    <t>TK-602</t>
  </si>
  <si>
    <t>420</t>
  </si>
  <si>
    <t>ANONEHW</t>
  </si>
  <si>
    <t>220</t>
  </si>
  <si>
    <t>100</t>
  </si>
  <si>
    <t>ACTHW</t>
  </si>
  <si>
    <t>110</t>
  </si>
  <si>
    <t>180</t>
  </si>
  <si>
    <t>GBLHW</t>
  </si>
  <si>
    <t>3/19</t>
  </si>
  <si>
    <t>E-12</t>
  </si>
  <si>
    <t>8/26</t>
  </si>
  <si>
    <t>6/26</t>
  </si>
  <si>
    <t>53GL(20150916送驗)</t>
  </si>
  <si>
    <t>2/10</t>
  </si>
  <si>
    <t>115</t>
  </si>
  <si>
    <t>GB8704</t>
  </si>
  <si>
    <t>9/15</t>
  </si>
  <si>
    <t>6/22</t>
  </si>
  <si>
    <t>11/18</t>
  </si>
  <si>
    <t>5/27</t>
  </si>
  <si>
    <t>10</t>
  </si>
  <si>
    <t>9/27</t>
  </si>
  <si>
    <t>470</t>
  </si>
  <si>
    <t>20160223</t>
  </si>
  <si>
    <t>161126</t>
  </si>
  <si>
    <t>E-39</t>
  </si>
  <si>
    <t>20131211破桶換桶 970(20150916送驗)</t>
  </si>
  <si>
    <t>GB8705</t>
  </si>
  <si>
    <t>5/6</t>
  </si>
  <si>
    <t>230</t>
  </si>
  <si>
    <t>6/9</t>
  </si>
  <si>
    <t>10/15</t>
  </si>
  <si>
    <t>11/15</t>
  </si>
  <si>
    <t>20140409</t>
  </si>
  <si>
    <t>20150304</t>
  </si>
  <si>
    <t>20150511</t>
  </si>
  <si>
    <t>20150709</t>
  </si>
  <si>
    <t>20151214</t>
  </si>
  <si>
    <t>70</t>
  </si>
  <si>
    <t>(20150916送驗)</t>
  </si>
  <si>
    <t>20140521</t>
  </si>
  <si>
    <t>20141030</t>
  </si>
  <si>
    <t>1GAL</t>
  </si>
  <si>
    <t>20141222</t>
  </si>
  <si>
    <t>20141231</t>
  </si>
  <si>
    <t>20160324</t>
  </si>
  <si>
    <t>20160530</t>
  </si>
  <si>
    <t>20160831</t>
  </si>
  <si>
    <t>130</t>
  </si>
  <si>
    <t>GB8706-1</t>
  </si>
  <si>
    <t>GB8706-2</t>
  </si>
  <si>
    <t>53GL*2(20150916送驗)</t>
  </si>
  <si>
    <t>GB8707</t>
  </si>
  <si>
    <t>E39</t>
  </si>
  <si>
    <t>20170223</t>
  </si>
  <si>
    <t>GB8708</t>
  </si>
  <si>
    <t>NMPHW</t>
  </si>
  <si>
    <t>1010</t>
  </si>
  <si>
    <t>670</t>
  </si>
  <si>
    <t>MEK</t>
  </si>
  <si>
    <t>20</t>
  </si>
  <si>
    <t>EGHW</t>
  </si>
  <si>
    <t>140</t>
  </si>
  <si>
    <t>EEP</t>
  </si>
  <si>
    <t>400</t>
  </si>
  <si>
    <t>190</t>
  </si>
  <si>
    <t>120</t>
  </si>
  <si>
    <t>PG</t>
  </si>
  <si>
    <t>-30</t>
  </si>
  <si>
    <t>-20</t>
  </si>
  <si>
    <t>270</t>
  </si>
  <si>
    <t>1DPM-1
(DPM HAV)</t>
  </si>
  <si>
    <t>總量統計</t>
  </si>
  <si>
    <t>IPA</t>
  </si>
  <si>
    <t>EBR</t>
  </si>
  <si>
    <t>SEP05(E2)</t>
  </si>
  <si>
    <t>GAA</t>
  </si>
  <si>
    <t>ANONE</t>
  </si>
  <si>
    <t>#REF!</t>
  </si>
  <si>
    <t>5,609.0</t>
  </si>
  <si>
    <t>50.0</t>
  </si>
  <si>
    <t>ACT</t>
  </si>
  <si>
    <t>GBL</t>
  </si>
  <si>
    <t>NMP</t>
  </si>
  <si>
    <t>EG</t>
  </si>
  <si>
    <t>DPM HAV</t>
  </si>
  <si>
    <t>Sulfolane</t>
  </si>
  <si>
    <t>83.0</t>
  </si>
  <si>
    <t>4,050.0</t>
  </si>
  <si>
    <t>897.0</t>
  </si>
  <si>
    <t>103.0</t>
  </si>
  <si>
    <t>請直接以10進位，謝謝</t>
  </si>
  <si>
    <t>F19</t>
  </si>
  <si>
    <t>F24</t>
  </si>
  <si>
    <t>F25</t>
  </si>
  <si>
    <t>F26</t>
  </si>
  <si>
    <t>F27</t>
  </si>
  <si>
    <t>F28</t>
  </si>
  <si>
    <t>水份</t>
  </si>
  <si>
    <t>I9101</t>
  </si>
  <si>
    <t>20240326</t>
  </si>
  <si>
    <t>TK-604</t>
  </si>
  <si>
    <t>20240424</t>
  </si>
  <si>
    <t>I9102</t>
  </si>
  <si>
    <t>I9103</t>
  </si>
  <si>
    <t>C41</t>
  </si>
  <si>
    <t>I9104</t>
  </si>
  <si>
    <t>I9105</t>
  </si>
  <si>
    <t xml:space="preserve">1EBRHW
</t>
  </si>
  <si>
    <t>I9106</t>
  </si>
  <si>
    <t>I9107</t>
  </si>
  <si>
    <t>I9108</t>
  </si>
  <si>
    <t>I9109</t>
  </si>
  <si>
    <t>I9110</t>
  </si>
  <si>
    <t>I9111</t>
  </si>
  <si>
    <t>I9112</t>
  </si>
  <si>
    <t>I9113</t>
  </si>
  <si>
    <t>I9114</t>
  </si>
  <si>
    <t>I9115</t>
  </si>
  <si>
    <t>CPNE3</t>
  </si>
  <si>
    <t>I9116</t>
  </si>
  <si>
    <t>I9117</t>
  </si>
  <si>
    <t>CPNHW
(OEM)</t>
  </si>
  <si>
    <t>I9118</t>
  </si>
  <si>
    <t>I9119</t>
  </si>
  <si>
    <t>I9120</t>
  </si>
  <si>
    <t>I9121</t>
  </si>
  <si>
    <t>M
I
B
C
H
W</t>
  </si>
  <si>
    <t>R9101</t>
  </si>
  <si>
    <t>TK-601</t>
  </si>
  <si>
    <t>R9102</t>
  </si>
  <si>
    <t>290</t>
  </si>
  <si>
    <t>R9103</t>
  </si>
  <si>
    <t>0</t>
  </si>
  <si>
    <t>R9104</t>
  </si>
  <si>
    <t>R9105</t>
  </si>
  <si>
    <t>R9106</t>
  </si>
  <si>
    <t>R9107</t>
  </si>
  <si>
    <t>R9108</t>
  </si>
  <si>
    <t>R9109</t>
  </si>
  <si>
    <t>R9110</t>
  </si>
  <si>
    <t>G9101</t>
  </si>
  <si>
    <t>G9102</t>
  </si>
  <si>
    <t>G9103</t>
  </si>
  <si>
    <t>G9104</t>
  </si>
  <si>
    <t>G9105</t>
  </si>
  <si>
    <t>G9106</t>
  </si>
  <si>
    <t>G9107</t>
  </si>
  <si>
    <t>G9108</t>
  </si>
  <si>
    <t>AN9101</t>
  </si>
  <si>
    <t>AN9102</t>
  </si>
  <si>
    <t>-</t>
  </si>
  <si>
    <t>A9101</t>
  </si>
  <si>
    <t>20240425</t>
  </si>
  <si>
    <t>690</t>
  </si>
  <si>
    <t>A9102</t>
  </si>
  <si>
    <t>A9103</t>
  </si>
  <si>
    <t>A9104</t>
  </si>
  <si>
    <t>A9105</t>
  </si>
  <si>
    <t>A9106</t>
  </si>
  <si>
    <t>A9107</t>
  </si>
  <si>
    <t>A9108</t>
  </si>
  <si>
    <t>S208</t>
  </si>
  <si>
    <t>GB9101</t>
  </si>
  <si>
    <t>20210315</t>
  </si>
  <si>
    <t>-50</t>
  </si>
  <si>
    <t>換桶</t>
  </si>
  <si>
    <t>910</t>
  </si>
  <si>
    <t>1140</t>
  </si>
  <si>
    <t>20200818</t>
  </si>
  <si>
    <t>1130</t>
  </si>
  <si>
    <t>20161126</t>
  </si>
  <si>
    <t>2020/7/16</t>
  </si>
  <si>
    <t>研發取用</t>
  </si>
  <si>
    <t>1110</t>
  </si>
  <si>
    <t>20170728</t>
  </si>
  <si>
    <t>20170829</t>
  </si>
  <si>
    <t>20170927</t>
  </si>
  <si>
    <t>20171030</t>
  </si>
  <si>
    <t>20171129</t>
  </si>
  <si>
    <t>20171228</t>
  </si>
  <si>
    <t>20180129</t>
  </si>
  <si>
    <t>20180205</t>
  </si>
  <si>
    <t>-40</t>
  </si>
  <si>
    <t>20180328</t>
  </si>
  <si>
    <t>20180426</t>
  </si>
  <si>
    <t>20180530</t>
  </si>
  <si>
    <t>20180628</t>
  </si>
  <si>
    <t>20181130</t>
  </si>
  <si>
    <t>1150</t>
  </si>
  <si>
    <t>20180730</t>
  </si>
  <si>
    <t>20180890</t>
  </si>
  <si>
    <t>20180927</t>
  </si>
  <si>
    <t>20181030</t>
  </si>
  <si>
    <t>20181227</t>
  </si>
  <si>
    <t>20190130</t>
  </si>
  <si>
    <t>20190226</t>
  </si>
  <si>
    <t>20190328</t>
  </si>
  <si>
    <t>20190429</t>
  </si>
  <si>
    <t>20190530</t>
  </si>
  <si>
    <t>20190628</t>
  </si>
  <si>
    <t>20190730</t>
  </si>
  <si>
    <t>20190816</t>
  </si>
  <si>
    <t>GB8709</t>
  </si>
  <si>
    <t>20190829</t>
  </si>
  <si>
    <t>20190927</t>
  </si>
  <si>
    <t>20191029</t>
  </si>
  <si>
    <t>20191128</t>
  </si>
  <si>
    <t>20191226</t>
  </si>
  <si>
    <t>20200130</t>
  </si>
  <si>
    <t>20200226</t>
  </si>
  <si>
    <t>20200326</t>
  </si>
  <si>
    <t>20200430</t>
  </si>
  <si>
    <t>20200529</t>
  </si>
  <si>
    <t>20200629</t>
  </si>
  <si>
    <t>20200730</t>
  </si>
  <si>
    <t>20200827</t>
  </si>
  <si>
    <t>20200928</t>
  </si>
  <si>
    <t>20201028</t>
  </si>
  <si>
    <t>20201127</t>
  </si>
  <si>
    <t>GB9110</t>
  </si>
  <si>
    <t>20201225</t>
  </si>
  <si>
    <t>20210129</t>
  </si>
  <si>
    <t>20210224</t>
  </si>
  <si>
    <t>20210326</t>
  </si>
  <si>
    <t>1090</t>
  </si>
  <si>
    <t>20210427</t>
  </si>
  <si>
    <t>20210527</t>
  </si>
  <si>
    <t>20210629</t>
  </si>
  <si>
    <t>20210728</t>
  </si>
  <si>
    <t>20210826</t>
  </si>
  <si>
    <t>20210928</t>
  </si>
  <si>
    <t>20211027</t>
  </si>
  <si>
    <t>20211130</t>
  </si>
  <si>
    <t>20211229</t>
  </si>
  <si>
    <t>20220117</t>
  </si>
  <si>
    <t>GB9111</t>
  </si>
  <si>
    <t>20220126</t>
  </si>
  <si>
    <t>20220223</t>
  </si>
  <si>
    <t>20220329</t>
  </si>
  <si>
    <t>20220427</t>
  </si>
  <si>
    <t>20220629</t>
  </si>
  <si>
    <t>1080</t>
  </si>
  <si>
    <t>20220725</t>
  </si>
  <si>
    <t>20220826</t>
  </si>
  <si>
    <t>20220928</t>
  </si>
  <si>
    <t>20221025</t>
  </si>
  <si>
    <t>20221229</t>
  </si>
  <si>
    <t>20230130</t>
  </si>
  <si>
    <t>20230222</t>
  </si>
  <si>
    <t>20230327</t>
  </si>
  <si>
    <t>20230425</t>
  </si>
  <si>
    <t>20230529</t>
  </si>
  <si>
    <t>20230628</t>
  </si>
  <si>
    <t>20230725</t>
  </si>
  <si>
    <t>20230828</t>
  </si>
  <si>
    <t>20230926</t>
  </si>
  <si>
    <t>20231025</t>
  </si>
  <si>
    <t>GB9112</t>
  </si>
  <si>
    <t>20231122</t>
  </si>
  <si>
    <t>20231226</t>
  </si>
  <si>
    <t>8,920</t>
  </si>
  <si>
    <t>E9101</t>
  </si>
  <si>
    <t>E9102</t>
  </si>
  <si>
    <t>20240226</t>
  </si>
  <si>
    <t>350</t>
  </si>
  <si>
    <t>TK603</t>
  </si>
  <si>
    <t>E9103</t>
  </si>
  <si>
    <t>E9104</t>
  </si>
  <si>
    <t>E9105</t>
  </si>
  <si>
    <t>990</t>
  </si>
  <si>
    <t>285</t>
  </si>
  <si>
    <t>20240124</t>
  </si>
  <si>
    <t>20240202</t>
  </si>
  <si>
    <t>E9107</t>
  </si>
  <si>
    <t>E9108</t>
  </si>
  <si>
    <t>E9109</t>
  </si>
  <si>
    <t>E9110</t>
  </si>
  <si>
    <t>E9111</t>
  </si>
  <si>
    <t>C9101</t>
  </si>
  <si>
    <t>C9102</t>
  </si>
  <si>
    <t>C9103</t>
  </si>
  <si>
    <t>C9104</t>
  </si>
  <si>
    <t>20240426</t>
  </si>
  <si>
    <t>870</t>
  </si>
  <si>
    <t>C9105</t>
  </si>
  <si>
    <t>C9106</t>
  </si>
  <si>
    <t>C9107</t>
  </si>
  <si>
    <t>C9108</t>
  </si>
  <si>
    <t>C9109</t>
  </si>
  <si>
    <t>C9110</t>
  </si>
  <si>
    <t>C9111</t>
  </si>
  <si>
    <t>C9112</t>
  </si>
  <si>
    <t>C9113</t>
  </si>
  <si>
    <t>C9114</t>
  </si>
  <si>
    <t>C9115</t>
  </si>
  <si>
    <t>N9101</t>
  </si>
  <si>
    <t>20240320</t>
  </si>
  <si>
    <t>930</t>
  </si>
  <si>
    <t>N9102</t>
  </si>
  <si>
    <t>N9103</t>
  </si>
  <si>
    <t>TK611</t>
  </si>
  <si>
    <t>20240401</t>
  </si>
  <si>
    <t>N9104</t>
  </si>
  <si>
    <t>940</t>
  </si>
  <si>
    <t>N9105</t>
  </si>
  <si>
    <t>N9106</t>
  </si>
  <si>
    <t>N9107</t>
  </si>
  <si>
    <t>N9108</t>
  </si>
  <si>
    <t>N9109</t>
  </si>
  <si>
    <t>N9110</t>
  </si>
  <si>
    <t>N9111</t>
  </si>
  <si>
    <t>N9112</t>
  </si>
  <si>
    <t>N9113</t>
  </si>
  <si>
    <t>N9114</t>
  </si>
  <si>
    <t>N9115</t>
  </si>
  <si>
    <t>N9116</t>
  </si>
  <si>
    <t>N
S
E
H
W</t>
  </si>
  <si>
    <t>NS9101</t>
  </si>
  <si>
    <t>NS9102</t>
  </si>
  <si>
    <t>M9101</t>
  </si>
  <si>
    <t>20220407</t>
  </si>
  <si>
    <t>20230428</t>
  </si>
  <si>
    <t>TK667</t>
  </si>
  <si>
    <t>M9102</t>
  </si>
  <si>
    <t>M9103</t>
  </si>
  <si>
    <t>M9104</t>
  </si>
  <si>
    <t>M9105</t>
  </si>
  <si>
    <t>2,030</t>
  </si>
  <si>
    <t>D9101</t>
  </si>
  <si>
    <t>D9102</t>
  </si>
  <si>
    <t>D9103</t>
  </si>
  <si>
    <t>D9104</t>
  </si>
  <si>
    <t>D9105</t>
  </si>
  <si>
    <t>c</t>
  </si>
  <si>
    <t xml:space="preserve"> </t>
    <phoneticPr fontId="3" type="noConversion"/>
  </si>
  <si>
    <t>20240528</t>
  </si>
  <si>
    <t>250</t>
  </si>
  <si>
    <t>20240516</t>
  </si>
  <si>
    <t>840</t>
  </si>
  <si>
    <t>(回收液)</t>
  </si>
  <si>
    <t>1,440</t>
  </si>
  <si>
    <t>310</t>
  </si>
  <si>
    <t>730</t>
  </si>
  <si>
    <t>200</t>
  </si>
  <si>
    <t>890</t>
  </si>
  <si>
    <t>1030</t>
  </si>
  <si>
    <t>E9106
(5/30重驗)</t>
  </si>
  <si>
    <t>360</t>
  </si>
  <si>
    <t>20240523</t>
  </si>
  <si>
    <t>850</t>
  </si>
  <si>
    <t>880</t>
  </si>
  <si>
    <t>630</t>
  </si>
  <si>
    <t>202406XX</t>
  </si>
  <si>
    <t>TK675等單</t>
  </si>
  <si>
    <t>20240619</t>
  </si>
  <si>
    <t>530</t>
  </si>
  <si>
    <t>2024/6/24 14:52</t>
  </si>
  <si>
    <t>標記1</t>
  </si>
  <si>
    <t>標記2</t>
  </si>
  <si>
    <t>960</t>
  </si>
  <si>
    <t>1020</t>
  </si>
  <si>
    <t>7,100</t>
  </si>
  <si>
    <t>20240624</t>
  </si>
  <si>
    <t>810</t>
  </si>
  <si>
    <t>860</t>
  </si>
  <si>
    <t>9310</t>
  </si>
  <si>
    <t>830</t>
  </si>
  <si>
    <t>3,880</t>
  </si>
  <si>
    <t>2,270.0</t>
  </si>
  <si>
    <t>CPNE4R</t>
    <phoneticPr fontId="2" type="noConversion"/>
  </si>
  <si>
    <t>PMUPS</t>
    <phoneticPr fontId="3" type="noConversion"/>
  </si>
  <si>
    <t>待處理廢水</t>
    <phoneticPr fontId="2" type="noConversion"/>
  </si>
  <si>
    <t>EBR-P1R</t>
  </si>
  <si>
    <t>NMPUPS</t>
    <phoneticPr fontId="3" type="noConversion"/>
  </si>
  <si>
    <t>ACTUPS</t>
    <phoneticPr fontId="3" type="noConversion"/>
  </si>
  <si>
    <t>EGUPS</t>
  </si>
  <si>
    <t>EGUPS</t>
    <phoneticPr fontId="3" type="noConversion"/>
  </si>
  <si>
    <t>IPAUPS</t>
  </si>
  <si>
    <t>IPAUPS</t>
    <phoneticPr fontId="3" type="noConversion"/>
  </si>
  <si>
    <t>EBR-P1</t>
    <phoneticPr fontId="3" type="noConversion"/>
  </si>
  <si>
    <t>CPN-P1</t>
    <phoneticPr fontId="3" type="noConversion"/>
  </si>
  <si>
    <t>CPN-P1R</t>
  </si>
  <si>
    <t>IPAHW</t>
    <phoneticPr fontId="3" type="noConversion"/>
  </si>
  <si>
    <t>HEAVY ENDS</t>
    <phoneticPr fontId="3" type="noConversion"/>
  </si>
  <si>
    <t>CPN-R</t>
    <phoneticPr fontId="3" type="noConversion"/>
  </si>
  <si>
    <t>NBAC-P1</t>
    <phoneticPr fontId="3" type="noConversion"/>
  </si>
  <si>
    <t>NBAC-P1R</t>
    <phoneticPr fontId="3" type="noConversion"/>
  </si>
  <si>
    <t>CPNE3</t>
    <phoneticPr fontId="3" type="noConversion"/>
  </si>
  <si>
    <t>CPN</t>
  </si>
  <si>
    <t>SEP73E3</t>
    <phoneticPr fontId="3" type="noConversion"/>
  </si>
  <si>
    <t>GAAUPS</t>
    <phoneticPr fontId="3" type="noConversion"/>
  </si>
  <si>
    <t>IPAHQ</t>
    <phoneticPr fontId="2" type="noConversion"/>
  </si>
  <si>
    <t>CPNE3(T)</t>
    <phoneticPr fontId="2" type="noConversion"/>
  </si>
  <si>
    <t>CPN</t>
    <phoneticPr fontId="2" type="noConversion"/>
  </si>
  <si>
    <t>IPA</t>
    <phoneticPr fontId="2" type="noConversion"/>
  </si>
  <si>
    <t>EBR-P1</t>
    <phoneticPr fontId="2" type="noConversion"/>
  </si>
  <si>
    <t>C50110-INV-01(01)</t>
    <phoneticPr fontId="3" type="noConversion"/>
  </si>
  <si>
    <t>DPM-1</t>
    <phoneticPr fontId="3" type="noConversion"/>
  </si>
  <si>
    <t>CPNE3</t>
    <phoneticPr fontId="2" type="noConversion"/>
  </si>
  <si>
    <t xml:space="preserve"> 液位</t>
  </si>
  <si>
    <t>待處理廢水</t>
    <phoneticPr fontId="3" type="noConversion"/>
  </si>
  <si>
    <t>EBR95</t>
    <phoneticPr fontId="3" type="noConversion"/>
  </si>
  <si>
    <t>PMA-C</t>
    <phoneticPr fontId="3" type="noConversion"/>
  </si>
  <si>
    <t>1.儲槽集水井是否關閉(雨天時打開)______
2.馬達pump是否關閉________________
3.現場是否有洩漏__________________
4.儲槽壓力是否正常________________ 
5.儲槽周邊是否異常________________ 
6.現場1T桶GHS標示是否脫落或模糊 ______ 
7.蒸氣是否開啟 ______   當天預報最低氣溫 27
蒸氣壓力 ______ (最低氣溫低於16度開啟)</t>
    <phoneticPr fontId="3" type="noConversion"/>
  </si>
  <si>
    <r>
      <t>EBR</t>
    </r>
    <r>
      <rPr>
        <sz val="7"/>
        <rFont val="微軟正黑體"/>
        <family val="2"/>
        <charset val="136"/>
      </rPr>
      <t>廢溶劑</t>
    </r>
    <phoneticPr fontId="3" type="noConversion"/>
  </si>
  <si>
    <t>黃振榮</t>
    <phoneticPr fontId="2" type="noConversion"/>
  </si>
  <si>
    <t>1.儲槽集水井是否關閉(雨天時打開)______
2.馬達pump是否關閉________________
3.現場是否有洩漏__________________
4.儲槽壓力是否正常________________ 
5.儲槽周邊是否異常________________ 
6.現場1T桶GHS標示是否脫落或模糊 ______ 
7.蒸氣是否開啟 ______   當天預報最低氣溫 26
蒸氣壓力 ______ (最低氣溫低於16度開啟)</t>
    <phoneticPr fontId="3" type="noConversion"/>
  </si>
  <si>
    <t>IPA-2</t>
    <phoneticPr fontId="3" type="noConversion"/>
  </si>
  <si>
    <t>IPA-NW</t>
    <phoneticPr fontId="2" type="noConversion"/>
  </si>
  <si>
    <t>1.儲槽集水井是否關閉(雨天時打開)______
2.馬達pump是否關閉________________
3.現場是否有洩漏__________________
4.儲槽壓力是否正常________________ 
5.儲槽周邊是否異常________________ 
6.現場1T桶GHS標示是否脫落或模糊 ______ 
7.蒸氣是否開啟 ______   當天預報最低氣溫 24
蒸氣壓力 ______ (最低氣溫低於16度開啟)</t>
    <phoneticPr fontId="3" type="noConversion"/>
  </si>
  <si>
    <t>EG</t>
    <phoneticPr fontId="2" type="noConversion"/>
  </si>
  <si>
    <t>1.儲槽集水井是否關閉(雨天時打開)______
2.馬達pump是否關閉________________
3.現場是否有洩漏__________________
4.儲槽壓力是否正常________________ 
5.儲槽周邊是否異常________________ 
6.現場1T桶GHS標示是否脫落或模糊 ______ 
7.蒸氣是否開啟 ______   當天預報最低氣溫 25
蒸氣壓力 ______ (最低氣溫低於16度開啟)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</si>
</sst>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9">
    <numFmt numFmtId="176" formatCode="_(&quot;$&quot;* #,##0.00_);_(&quot;$&quot;* \(#,##0.00\);_(&quot;$&quot;* &quot;-&quot;??_);_(@_)"/>
    <numFmt numFmtId="177" formatCode="_(* #,##0.00_);_(* \(#,##0.00\);_(* &quot;-&quot;??_);_(@_)"/>
    <numFmt numFmtId="178" formatCode="0_);[Red]\(0\)"/>
    <numFmt numFmtId="179" formatCode="0_ "/>
    <numFmt numFmtId="180" formatCode="#,##0.0000"/>
    <numFmt numFmtId="181" formatCode="0.0000_ "/>
    <numFmt numFmtId="182" formatCode="0.0000"/>
    <numFmt numFmtId="183" formatCode="[&lt;0]&quot;0&quot;;0"/>
    <numFmt numFmtId="184" formatCode="m&quot;月&quot;d&quot;日&quot;"/>
  </numFmts>
  <fonts count="34">
    <font>
      <sz val="12"/>
      <color theme="1"/>
      <name val="新細明體"/>
      <family val="2"/>
      <scheme val="minor"/>
    </font>
    <font>
      <sz val="12"/>
      <name val="新細明體"/>
      <family val="1"/>
      <charset val="136"/>
    </font>
    <font>
      <sz val="9"/>
      <name val="新細明體"/>
      <family val="3"/>
      <charset val="136"/>
      <scheme val="minor"/>
    </font>
    <font>
      <sz val="9"/>
      <name val="新細明體"/>
      <family val="1"/>
      <charset val="136"/>
    </font>
    <font>
      <sz val="9"/>
      <name val="細明體"/>
      <family val="3"/>
      <charset val="136"/>
    </font>
    <font>
      <sz val="12"/>
      <color theme="1"/>
      <name val="新細明體"/>
      <family val="1"/>
      <charset val="136"/>
      <scheme val="minor"/>
    </font>
    <font>
      <sz val="12"/>
      <name val="DotumChe"/>
      <family val="3"/>
      <charset val="129"/>
    </font>
    <font>
      <sz val="12"/>
      <name val="細明體"/>
      <family val="3"/>
      <charset val="136"/>
    </font>
    <font>
      <sz val="14"/>
      <name val="DotumChe"/>
      <family val="3"/>
      <charset val="129"/>
    </font>
    <font>
      <b/>
      <sz val="14"/>
      <color rgb="FF0000FF"/>
      <name val="DotumChe"/>
      <family val="3"/>
      <charset val="129"/>
    </font>
    <font>
      <sz val="14"/>
      <name val="細明體"/>
      <family val="3"/>
      <charset val="136"/>
    </font>
    <font>
      <sz val="18"/>
      <color rgb="FFFF0000"/>
      <name val="微軟正黑體"/>
      <family val="2"/>
      <charset val="136"/>
    </font>
    <font>
      <b/>
      <sz val="12"/>
      <name val="微軟正黑體"/>
      <family val="2"/>
      <charset val="136"/>
    </font>
    <font>
      <sz val="12"/>
      <name val="微軟正黑體"/>
      <family val="2"/>
      <charset val="136"/>
    </font>
    <font>
      <sz val="14"/>
      <name val="微軟正黑體"/>
      <family val="2"/>
      <charset val="136"/>
    </font>
    <font>
      <sz val="6"/>
      <name val="微軟正黑體"/>
      <family val="2"/>
      <charset val="136"/>
    </font>
    <font>
      <sz val="16"/>
      <name val="微軟正黑體"/>
      <family val="2"/>
      <charset val="136"/>
    </font>
    <font>
      <sz val="10"/>
      <name val="微軟正黑體"/>
      <family val="2"/>
      <charset val="136"/>
    </font>
    <font>
      <sz val="11"/>
      <name val="微軟正黑體"/>
      <family val="2"/>
      <charset val="136"/>
    </font>
    <font>
      <sz val="14"/>
      <color rgb="FFFF0000"/>
      <name val="微軟正黑體"/>
      <family val="2"/>
      <charset val="136"/>
    </font>
    <font>
      <sz val="8"/>
      <name val="微軟正黑體"/>
      <family val="2"/>
      <charset val="136"/>
    </font>
    <font>
      <u/>
      <sz val="16"/>
      <name val="微軟正黑體"/>
      <family val="2"/>
      <charset val="136"/>
    </font>
    <font>
      <sz val="9"/>
      <name val="微軟正黑體"/>
      <family val="2"/>
      <charset val="136"/>
    </font>
    <font>
      <vertAlign val="superscript"/>
      <sz val="8"/>
      <name val="微軟正黑體"/>
      <family val="2"/>
      <charset val="136"/>
    </font>
    <font>
      <vertAlign val="subscript"/>
      <sz val="8"/>
      <name val="微軟正黑體"/>
      <family val="2"/>
      <charset val="136"/>
    </font>
    <font>
      <u/>
      <sz val="9"/>
      <name val="微軟正黑體"/>
      <family val="2"/>
      <charset val="136"/>
    </font>
    <font>
      <sz val="7"/>
      <name val="微軟正黑體"/>
      <family val="2"/>
      <charset val="136"/>
    </font>
    <font>
      <sz val="9"/>
      <color theme="1"/>
      <name val="微軟正黑體"/>
      <family val="2"/>
      <charset val="136"/>
    </font>
    <font>
      <sz val="7.5"/>
      <name val="微軟正黑體"/>
      <family val="2"/>
      <charset val="136"/>
    </font>
    <font>
      <u/>
      <sz val="9"/>
      <color theme="7" tint="-0.499984740745262"/>
      <name val="微軟正黑體"/>
      <family val="2"/>
      <charset val="136"/>
    </font>
    <font>
      <sz val="9"/>
      <color theme="7" tint="-0.499984740745262"/>
      <name val="微軟正黑體"/>
      <family val="2"/>
      <charset val="136"/>
    </font>
    <font>
      <sz val="8.5"/>
      <name val="微軟正黑體"/>
      <family val="2"/>
      <charset val="136"/>
    </font>
    <font>
      <b/>
      <sz val="22"/>
      <name val="微軟正黑體"/>
      <family val="2"/>
      <charset val="136"/>
    </font>
    <font>
      <sz val="12"/>
      <color rgb="FF000000"/>
      <name val="新細明體"/>
      <family val="1"/>
      <charset val="136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5" tint="0.59999389629810485"/>
        <bgColor indexed="64"/>
      </patternFill>
    </fill>
  </fills>
  <borders count="65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/>
      <diagonal/>
    </border>
    <border>
      <left style="double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double">
        <color indexed="64"/>
      </right>
      <top/>
      <bottom style="thin">
        <color indexed="64"/>
      </bottom>
      <diagonal/>
    </border>
    <border>
      <left style="double">
        <color indexed="64"/>
      </left>
      <right style="thin">
        <color indexed="64"/>
      </right>
      <top/>
      <bottom style="thin">
        <color indexed="64"/>
      </bottom>
      <diagonal/>
    </border>
    <border>
      <left style="dashed">
        <color indexed="64"/>
      </left>
      <right style="dashed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dashed">
        <color indexed="64"/>
      </left>
      <right style="dashed">
        <color indexed="64"/>
      </right>
      <top/>
      <bottom/>
      <diagonal/>
    </border>
    <border>
      <left style="thin">
        <color indexed="64"/>
      </left>
      <right/>
      <top/>
      <bottom style="double">
        <color indexed="64"/>
      </bottom>
      <diagonal/>
    </border>
    <border>
      <left style="dashed">
        <color indexed="64"/>
      </left>
      <right style="dashed">
        <color indexed="64"/>
      </right>
      <top/>
      <bottom style="double">
        <color indexed="64"/>
      </bottom>
      <diagonal/>
    </border>
    <border>
      <left style="dashed">
        <color indexed="64"/>
      </left>
      <right style="dashed">
        <color indexed="64"/>
      </right>
      <top style="hair">
        <color indexed="64"/>
      </top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 style="dashed">
        <color indexed="64"/>
      </left>
      <right style="dashed">
        <color indexed="64"/>
      </right>
      <top/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dashed">
        <color indexed="64"/>
      </left>
      <right style="dashed">
        <color indexed="64"/>
      </right>
      <top style="hair">
        <color indexed="64"/>
      </top>
      <bottom style="hair">
        <color indexed="64"/>
      </bottom>
      <diagonal/>
    </border>
    <border>
      <left style="dashed">
        <color indexed="64"/>
      </left>
      <right style="dashed">
        <color indexed="64"/>
      </right>
      <top style="hair">
        <color indexed="64"/>
      </top>
      <bottom/>
      <diagonal/>
    </border>
    <border>
      <left style="thin">
        <color indexed="64"/>
      </left>
      <right/>
      <top style="hair">
        <color indexed="64"/>
      </top>
      <bottom style="dotted">
        <color indexed="64"/>
      </bottom>
      <diagonal/>
    </border>
    <border>
      <left style="dashed">
        <color indexed="64"/>
      </left>
      <right style="dashed">
        <color indexed="64"/>
      </right>
      <top style="hair">
        <color indexed="64"/>
      </top>
      <bottom style="dotted">
        <color indexed="64"/>
      </bottom>
      <diagonal/>
    </border>
    <border>
      <left style="thin">
        <color indexed="64"/>
      </left>
      <right/>
      <top style="hair">
        <color indexed="64"/>
      </top>
      <bottom/>
      <diagonal/>
    </border>
    <border>
      <left style="thin">
        <color indexed="64"/>
      </left>
      <right/>
      <top style="double">
        <color indexed="64"/>
      </top>
      <bottom style="hair">
        <color indexed="64"/>
      </bottom>
      <diagonal/>
    </border>
    <border>
      <left style="dashed">
        <color indexed="64"/>
      </left>
      <right style="dashed">
        <color indexed="64"/>
      </right>
      <top style="double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double">
        <color indexed="64"/>
      </bottom>
      <diagonal/>
    </border>
    <border>
      <left/>
      <right style="dashed">
        <color indexed="64"/>
      </right>
      <top/>
      <bottom style="double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 diagonalDown="1">
      <left style="thin">
        <color indexed="64"/>
      </left>
      <right/>
      <top style="thin">
        <color indexed="64"/>
      </top>
      <bottom/>
      <diagonal style="thin">
        <color indexed="64"/>
      </diagonal>
    </border>
    <border diagonalDown="1">
      <left/>
      <right style="thin">
        <color indexed="64"/>
      </right>
      <top style="thin">
        <color indexed="64"/>
      </top>
      <bottom/>
      <diagonal style="thin">
        <color indexed="64"/>
      </diagonal>
    </border>
    <border diagonalDown="1">
      <left style="thin">
        <color indexed="64"/>
      </left>
      <right/>
      <top/>
      <bottom style="thin">
        <color indexed="64"/>
      </bottom>
      <diagonal style="thin">
        <color indexed="64"/>
      </diagonal>
    </border>
    <border diagonalDown="1">
      <left/>
      <right style="thin">
        <color indexed="64"/>
      </right>
      <top/>
      <bottom style="thin">
        <color indexed="64"/>
      </bottom>
      <diagonal style="thin">
        <color indexed="64"/>
      </diagonal>
    </border>
    <border>
      <left style="double">
        <color indexed="64"/>
      </left>
      <right style="hair">
        <color indexed="64"/>
      </right>
      <top style="double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double">
        <color indexed="64"/>
      </top>
      <bottom style="hair">
        <color indexed="64"/>
      </bottom>
      <diagonal/>
    </border>
    <border>
      <left style="hair">
        <color indexed="64"/>
      </left>
      <right style="double">
        <color indexed="64"/>
      </right>
      <top style="double">
        <color indexed="64"/>
      </top>
      <bottom style="hair">
        <color indexed="64"/>
      </bottom>
      <diagonal/>
    </border>
    <border>
      <left style="hair">
        <color indexed="64"/>
      </left>
      <right/>
      <top style="double">
        <color indexed="64"/>
      </top>
      <bottom style="hair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double">
        <color indexed="64"/>
      </bottom>
      <diagonal/>
    </border>
    <border>
      <left style="double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double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/>
      <diagonal/>
    </border>
    <border>
      <left style="double">
        <color indexed="64"/>
      </left>
      <right style="double">
        <color indexed="64"/>
      </right>
      <top/>
      <bottom/>
      <diagonal/>
    </border>
    <border>
      <left style="double">
        <color indexed="64"/>
      </left>
      <right style="hair">
        <color indexed="64"/>
      </right>
      <top style="hair">
        <color indexed="64"/>
      </top>
      <bottom/>
      <diagonal/>
    </border>
    <border>
      <left style="double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double">
        <color indexed="64"/>
      </left>
      <right style="double">
        <color indexed="64"/>
      </right>
      <top/>
      <bottom style="double">
        <color indexed="64"/>
      </bottom>
      <diagonal/>
    </border>
    <border>
      <left/>
      <right style="double">
        <color indexed="64"/>
      </right>
      <top style="thin">
        <color indexed="64"/>
      </top>
      <bottom/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hair">
        <color indexed="64"/>
      </left>
      <right style="double">
        <color indexed="64"/>
      </right>
      <top style="hair">
        <color indexed="64"/>
      </top>
      <bottom style="double">
        <color indexed="64"/>
      </bottom>
      <diagonal/>
    </border>
    <border>
      <left style="double">
        <color indexed="64"/>
      </left>
      <right/>
      <top/>
      <bottom/>
      <diagonal/>
    </border>
  </borders>
  <cellStyleXfs count="23">
    <xf numFmtId="0" fontId="0" fillId="0" borderId="0"/>
    <xf numFmtId="0" fontId="1" fillId="0" borderId="0"/>
    <xf numFmtId="0" fontId="1" fillId="0" borderId="0"/>
    <xf numFmtId="177" fontId="1" fillId="0" borderId="0" applyFont="0" applyFill="0" applyBorder="0" applyAlignment="0" applyProtection="0"/>
    <xf numFmtId="176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5" fillId="0" borderId="0">
      <alignment vertical="center"/>
    </xf>
    <xf numFmtId="177" fontId="1" fillId="0" borderId="0" applyFont="0" applyFill="0" applyBorder="0" applyAlignment="0" applyProtection="0"/>
    <xf numFmtId="176" fontId="1" fillId="0" borderId="0" applyFont="0" applyFill="0" applyBorder="0" applyAlignment="0" applyProtection="0"/>
    <xf numFmtId="177" fontId="1" fillId="0" borderId="0" applyFont="0" applyFill="0" applyBorder="0" applyAlignment="0" applyProtection="0"/>
    <xf numFmtId="176" fontId="1" fillId="0" borderId="0" applyFont="0" applyFill="0" applyBorder="0" applyAlignment="0" applyProtection="0"/>
    <xf numFmtId="177" fontId="1" fillId="0" borderId="0" applyFont="0" applyFill="0" applyBorder="0" applyAlignment="0" applyProtection="0"/>
    <xf numFmtId="176" fontId="1" fillId="0" borderId="0" applyFont="0" applyFill="0" applyBorder="0" applyAlignment="0" applyProtection="0"/>
    <xf numFmtId="177" fontId="1" fillId="0" borderId="0" applyFont="0" applyFill="0" applyBorder="0" applyAlignment="0" applyProtection="0"/>
    <xf numFmtId="176" fontId="1" fillId="0" borderId="0" applyFont="0" applyFill="0" applyBorder="0" applyAlignment="0" applyProtection="0"/>
    <xf numFmtId="177" fontId="1" fillId="0" borderId="0" applyFont="0" applyFill="0" applyBorder="0" applyAlignment="0" applyProtection="0"/>
    <xf numFmtId="176" fontId="1" fillId="0" borderId="0" applyFont="0" applyFill="0" applyBorder="0" applyAlignment="0" applyProtection="0"/>
    <xf numFmtId="177" fontId="1" fillId="0" borderId="0" applyFont="0" applyFill="0" applyBorder="0" applyAlignment="0" applyProtection="0"/>
    <xf numFmtId="176" fontId="1" fillId="0" borderId="0" applyFont="0" applyFill="0" applyBorder="0" applyAlignment="0" applyProtection="0"/>
    <xf numFmtId="177" fontId="1" fillId="0" borderId="0" applyFont="0" applyFill="0" applyBorder="0" applyAlignment="0" applyProtection="0"/>
    <xf numFmtId="176" fontId="1" fillId="0" borderId="0" applyFont="0" applyFill="0" applyBorder="0" applyAlignment="0" applyProtection="0"/>
    <xf numFmtId="177" fontId="1" fillId="0" borderId="0" applyFont="0" applyFill="0" applyBorder="0" applyAlignment="0" applyProtection="0"/>
    <xf numFmtId="176" fontId="1" fillId="0" borderId="0" applyFont="0" applyFill="0" applyBorder="0" applyAlignment="0" applyProtection="0"/>
  </cellStyleXfs>
  <cellXfs count="241">
    <xf numFmtId="0" fontId="0" fillId="0" borderId="0" xfId="0"/>
    <xf numFmtId="0" fontId="6" fillId="3" borderId="5" xfId="1" applyFont="1" applyFill="1" applyBorder="1" applyAlignment="1">
      <alignment horizontal="left" vertical="center" wrapText="1"/>
    </xf>
    <xf numFmtId="0" fontId="8" fillId="3" borderId="17" xfId="1" applyFont="1" applyFill="1" applyBorder="1" applyAlignment="1">
      <alignment horizontal="center" vertical="center"/>
    </xf>
    <xf numFmtId="49" fontId="9" fillId="4" borderId="17" xfId="1" applyNumberFormat="1" applyFont="1" applyFill="1" applyBorder="1" applyAlignment="1">
      <alignment horizontal="center" vertical="center"/>
    </xf>
    <xf numFmtId="0" fontId="8" fillId="3" borderId="17" xfId="1" applyFont="1" applyFill="1" applyBorder="1" applyAlignment="1">
      <alignment horizontal="center" vertical="center" wrapText="1"/>
    </xf>
    <xf numFmtId="180" fontId="9" fillId="4" borderId="17" xfId="1" applyNumberFormat="1" applyFont="1" applyFill="1" applyBorder="1" applyAlignment="1">
      <alignment horizontal="center" vertical="center" wrapText="1"/>
    </xf>
    <xf numFmtId="0" fontId="8" fillId="0" borderId="0" xfId="1" applyFont="1" applyAlignment="1">
      <alignment vertical="center"/>
    </xf>
    <xf numFmtId="0" fontId="8" fillId="0" borderId="18" xfId="1" applyFont="1" applyFill="1" applyBorder="1" applyAlignment="1">
      <alignment horizontal="center" vertical="center" wrapText="1"/>
    </xf>
    <xf numFmtId="0" fontId="8" fillId="0" borderId="19" xfId="1" applyFont="1" applyFill="1" applyBorder="1" applyAlignment="1">
      <alignment horizontal="center" vertical="center"/>
    </xf>
    <xf numFmtId="0" fontId="8" fillId="4" borderId="19" xfId="1" applyFont="1" applyFill="1" applyBorder="1" applyAlignment="1">
      <alignment horizontal="center" vertical="center"/>
    </xf>
    <xf numFmtId="0" fontId="8" fillId="0" borderId="19" xfId="1" applyFont="1" applyFill="1" applyBorder="1" applyAlignment="1">
      <alignment horizontal="center" vertical="center" wrapText="1"/>
    </xf>
    <xf numFmtId="181" fontId="8" fillId="0" borderId="19" xfId="1" applyNumberFormat="1" applyFont="1" applyFill="1" applyBorder="1" applyAlignment="1">
      <alignment horizontal="center" vertical="center"/>
    </xf>
    <xf numFmtId="0" fontId="8" fillId="0" borderId="0" xfId="1" applyFont="1" applyFill="1" applyBorder="1" applyAlignment="1">
      <alignment horizontal="center" vertical="center"/>
    </xf>
    <xf numFmtId="0" fontId="8" fillId="0" borderId="0" xfId="1" applyFont="1" applyFill="1" applyAlignment="1">
      <alignment vertical="center"/>
    </xf>
    <xf numFmtId="0" fontId="8" fillId="0" borderId="19" xfId="1" applyNumberFormat="1" applyFont="1" applyFill="1" applyBorder="1" applyAlignment="1">
      <alignment horizontal="center" vertical="center"/>
    </xf>
    <xf numFmtId="0" fontId="8" fillId="0" borderId="20" xfId="1" applyFont="1" applyBorder="1" applyAlignment="1">
      <alignment horizontal="center" vertical="center"/>
    </xf>
    <xf numFmtId="180" fontId="8" fillId="0" borderId="21" xfId="1" applyNumberFormat="1" applyFont="1" applyBorder="1" applyAlignment="1">
      <alignment horizontal="center" vertical="center"/>
    </xf>
    <xf numFmtId="180" fontId="8" fillId="4" borderId="21" xfId="1" applyNumberFormat="1" applyFont="1" applyFill="1" applyBorder="1" applyAlignment="1">
      <alignment horizontal="center" vertical="center"/>
    </xf>
    <xf numFmtId="180" fontId="8" fillId="0" borderId="22" xfId="1" applyNumberFormat="1" applyFont="1" applyBorder="1" applyAlignment="1">
      <alignment horizontal="center" vertical="center"/>
    </xf>
    <xf numFmtId="180" fontId="8" fillId="4" borderId="22" xfId="1" applyNumberFormat="1" applyFont="1" applyFill="1" applyBorder="1" applyAlignment="1">
      <alignment horizontal="center" vertical="center"/>
    </xf>
    <xf numFmtId="180" fontId="8" fillId="0" borderId="23" xfId="1" applyNumberFormat="1" applyFont="1" applyBorder="1" applyAlignment="1">
      <alignment horizontal="center" vertical="center"/>
    </xf>
    <xf numFmtId="0" fontId="8" fillId="0" borderId="24" xfId="1" applyFont="1" applyBorder="1" applyAlignment="1">
      <alignment horizontal="center" vertical="center"/>
    </xf>
    <xf numFmtId="180" fontId="8" fillId="0" borderId="25" xfId="1" applyNumberFormat="1" applyFont="1" applyBorder="1" applyAlignment="1">
      <alignment horizontal="center" vertical="center"/>
    </xf>
    <xf numFmtId="180" fontId="8" fillId="0" borderId="19" xfId="1" applyNumberFormat="1" applyFont="1" applyBorder="1" applyAlignment="1">
      <alignment horizontal="center" vertical="center"/>
    </xf>
    <xf numFmtId="180" fontId="8" fillId="4" borderId="19" xfId="1" applyNumberFormat="1" applyFont="1" applyFill="1" applyBorder="1" applyAlignment="1">
      <alignment horizontal="center" vertical="center"/>
    </xf>
    <xf numFmtId="180" fontId="8" fillId="0" borderId="0" xfId="1" applyNumberFormat="1" applyFont="1" applyAlignment="1">
      <alignment horizontal="center" vertical="center"/>
    </xf>
    <xf numFmtId="0" fontId="8" fillId="0" borderId="26" xfId="1" applyFont="1" applyBorder="1" applyAlignment="1">
      <alignment horizontal="center" vertical="center"/>
    </xf>
    <xf numFmtId="180" fontId="8" fillId="0" borderId="27" xfId="1" applyNumberFormat="1" applyFont="1" applyBorder="1" applyAlignment="1">
      <alignment horizontal="center" vertical="center"/>
    </xf>
    <xf numFmtId="180" fontId="8" fillId="0" borderId="28" xfId="1" applyNumberFormat="1" applyFont="1" applyBorder="1" applyAlignment="1">
      <alignment horizontal="center" vertical="center"/>
    </xf>
    <xf numFmtId="180" fontId="8" fillId="4" borderId="28" xfId="1" applyNumberFormat="1" applyFont="1" applyFill="1" applyBorder="1" applyAlignment="1">
      <alignment horizontal="center" vertical="center"/>
    </xf>
    <xf numFmtId="180" fontId="8" fillId="4" borderId="27" xfId="1" applyNumberFormat="1" applyFont="1" applyFill="1" applyBorder="1" applyAlignment="1">
      <alignment horizontal="center" vertical="center"/>
    </xf>
    <xf numFmtId="180" fontId="8" fillId="0" borderId="25" xfId="1" applyNumberFormat="1" applyFont="1" applyFill="1" applyBorder="1" applyAlignment="1">
      <alignment horizontal="center" vertical="center"/>
    </xf>
    <xf numFmtId="0" fontId="8" fillId="0" borderId="29" xfId="1" applyFont="1" applyBorder="1" applyAlignment="1">
      <alignment horizontal="center" vertical="center"/>
    </xf>
    <xf numFmtId="180" fontId="8" fillId="0" borderId="30" xfId="1" applyNumberFormat="1" applyFont="1" applyBorder="1" applyAlignment="1">
      <alignment horizontal="center" vertical="center"/>
    </xf>
    <xf numFmtId="180" fontId="8" fillId="0" borderId="21" xfId="1" applyNumberFormat="1" applyFont="1" applyBorder="1" applyAlignment="1">
      <alignment horizontal="center" vertical="center" wrapText="1"/>
    </xf>
    <xf numFmtId="180" fontId="8" fillId="0" borderId="25" xfId="1" applyNumberFormat="1" applyFont="1" applyBorder="1" applyAlignment="1">
      <alignment horizontal="center" vertical="center" wrapText="1"/>
    </xf>
    <xf numFmtId="180" fontId="8" fillId="0" borderId="27" xfId="1" applyNumberFormat="1" applyFont="1" applyBorder="1" applyAlignment="1">
      <alignment horizontal="center" vertical="center" wrapText="1"/>
    </xf>
    <xf numFmtId="180" fontId="8" fillId="0" borderId="27" xfId="1" applyNumberFormat="1" applyFont="1" applyFill="1" applyBorder="1" applyAlignment="1">
      <alignment horizontal="center" vertical="center"/>
    </xf>
    <xf numFmtId="0" fontId="8" fillId="0" borderId="31" xfId="1" applyFont="1" applyBorder="1" applyAlignment="1">
      <alignment horizontal="center" vertical="center"/>
    </xf>
    <xf numFmtId="180" fontId="8" fillId="0" borderId="22" xfId="1" applyNumberFormat="1" applyFont="1" applyBorder="1" applyAlignment="1">
      <alignment horizontal="center" vertical="center" wrapText="1"/>
    </xf>
    <xf numFmtId="180" fontId="8" fillId="0" borderId="22" xfId="1" applyNumberFormat="1" applyFont="1" applyBorder="1" applyAlignment="1">
      <alignment horizontal="center" wrapText="1"/>
    </xf>
    <xf numFmtId="180" fontId="8" fillId="0" borderId="22" xfId="1" applyNumberFormat="1" applyFont="1" applyFill="1" applyBorder="1" applyAlignment="1">
      <alignment horizontal="center" vertical="center"/>
    </xf>
    <xf numFmtId="0" fontId="8" fillId="0" borderId="32" xfId="1" applyFont="1" applyBorder="1" applyAlignment="1">
      <alignment horizontal="center" vertical="center"/>
    </xf>
    <xf numFmtId="180" fontId="8" fillId="0" borderId="33" xfId="1" applyNumberFormat="1" applyFont="1" applyBorder="1" applyAlignment="1">
      <alignment horizontal="center" vertical="center"/>
    </xf>
    <xf numFmtId="180" fontId="8" fillId="0" borderId="25" xfId="1" applyNumberFormat="1" applyFont="1" applyBorder="1" applyAlignment="1">
      <alignment horizontal="center" wrapText="1"/>
    </xf>
    <xf numFmtId="180" fontId="8" fillId="0" borderId="27" xfId="1" applyNumberFormat="1" applyFont="1" applyBorder="1" applyAlignment="1">
      <alignment horizontal="center" wrapText="1"/>
    </xf>
    <xf numFmtId="0" fontId="8" fillId="0" borderId="34" xfId="1" applyFont="1" applyBorder="1" applyAlignment="1">
      <alignment horizontal="center" vertical="center"/>
    </xf>
    <xf numFmtId="0" fontId="8" fillId="0" borderId="0" xfId="1" applyFont="1" applyAlignment="1">
      <alignment horizontal="center" vertical="center"/>
    </xf>
    <xf numFmtId="0" fontId="8" fillId="0" borderId="35" xfId="1" applyFont="1" applyBorder="1" applyAlignment="1">
      <alignment horizontal="center" vertical="center"/>
    </xf>
    <xf numFmtId="181" fontId="8" fillId="0" borderId="0" xfId="1" applyNumberFormat="1" applyFont="1" applyAlignment="1">
      <alignment horizontal="center" vertical="center"/>
    </xf>
    <xf numFmtId="0" fontId="8" fillId="0" borderId="36" xfId="1" applyFont="1" applyBorder="1" applyAlignment="1">
      <alignment vertical="center"/>
    </xf>
    <xf numFmtId="180" fontId="8" fillId="0" borderId="0" xfId="1" applyNumberFormat="1" applyFont="1" applyAlignment="1">
      <alignment vertical="center"/>
    </xf>
    <xf numFmtId="182" fontId="8" fillId="0" borderId="19" xfId="1" applyNumberFormat="1" applyFont="1" applyFill="1" applyBorder="1" applyAlignment="1">
      <alignment horizontal="center" vertical="center"/>
    </xf>
    <xf numFmtId="0" fontId="13" fillId="0" borderId="0" xfId="1" applyFont="1" applyAlignment="1">
      <alignment vertical="center"/>
    </xf>
    <xf numFmtId="0" fontId="13" fillId="0" borderId="0" xfId="1" applyFont="1"/>
    <xf numFmtId="0" fontId="13" fillId="0" borderId="0" xfId="1" applyFont="1" applyAlignment="1">
      <alignment horizontal="center" vertical="center"/>
    </xf>
    <xf numFmtId="0" fontId="15" fillId="0" borderId="0" xfId="1" applyFont="1" applyAlignment="1">
      <alignment horizontal="center" vertical="center"/>
    </xf>
    <xf numFmtId="0" fontId="16" fillId="0" borderId="0" xfId="1" applyFont="1" applyAlignment="1">
      <alignment horizontal="center" vertical="center"/>
    </xf>
    <xf numFmtId="0" fontId="17" fillId="0" borderId="0" xfId="1" applyFont="1" applyAlignment="1">
      <alignment vertical="center" wrapText="1"/>
    </xf>
    <xf numFmtId="0" fontId="15" fillId="0" borderId="0" xfId="1" applyFont="1" applyAlignment="1">
      <alignment vertical="center"/>
    </xf>
    <xf numFmtId="0" fontId="18" fillId="0" borderId="0" xfId="1" applyFont="1" applyAlignment="1">
      <alignment horizontal="right" vertical="center"/>
    </xf>
    <xf numFmtId="0" fontId="19" fillId="0" borderId="0" xfId="1" applyFont="1" applyAlignment="1">
      <alignment vertical="center"/>
    </xf>
    <xf numFmtId="3" fontId="11" fillId="0" borderId="0" xfId="1" applyNumberFormat="1" applyFont="1" applyAlignment="1">
      <alignment horizontal="center" vertical="center"/>
    </xf>
    <xf numFmtId="0" fontId="13" fillId="0" borderId="0" xfId="1" applyFont="1" applyAlignment="1">
      <alignment horizontal="center"/>
    </xf>
    <xf numFmtId="0" fontId="13" fillId="2" borderId="0" xfId="1" applyFont="1" applyFill="1"/>
    <xf numFmtId="0" fontId="13" fillId="2" borderId="0" xfId="1" applyFont="1" applyFill="1" applyBorder="1"/>
    <xf numFmtId="0" fontId="14" fillId="2" borderId="0" xfId="1" applyFont="1" applyFill="1"/>
    <xf numFmtId="0" fontId="17" fillId="2" borderId="3" xfId="1" applyFont="1" applyFill="1" applyBorder="1" applyAlignment="1">
      <alignment horizontal="center" vertical="center"/>
    </xf>
    <xf numFmtId="0" fontId="22" fillId="2" borderId="3" xfId="1" applyFont="1" applyFill="1" applyBorder="1" applyAlignment="1">
      <alignment horizontal="center" vertical="center"/>
    </xf>
    <xf numFmtId="0" fontId="13" fillId="2" borderId="3" xfId="1" applyFont="1" applyFill="1" applyBorder="1"/>
    <xf numFmtId="0" fontId="20" fillId="2" borderId="3" xfId="1" applyFont="1" applyFill="1" applyBorder="1" applyAlignment="1">
      <alignment horizontal="center" vertical="top" wrapText="1"/>
    </xf>
    <xf numFmtId="183" fontId="22" fillId="2" borderId="3" xfId="2" applyNumberFormat="1" applyFont="1" applyFill="1" applyBorder="1" applyAlignment="1">
      <alignment horizontal="center" vertical="center"/>
    </xf>
    <xf numFmtId="0" fontId="20" fillId="2" borderId="0" xfId="1" applyFont="1" applyFill="1"/>
    <xf numFmtId="179" fontId="22" fillId="2" borderId="3" xfId="1" applyNumberFormat="1" applyFont="1" applyFill="1" applyBorder="1" applyAlignment="1">
      <alignment horizontal="center" vertical="center"/>
    </xf>
    <xf numFmtId="0" fontId="22" fillId="2" borderId="3" xfId="0" applyFont="1" applyFill="1" applyBorder="1" applyAlignment="1">
      <alignment horizontal="center" vertical="center"/>
    </xf>
    <xf numFmtId="178" fontId="13" fillId="2" borderId="0" xfId="1" applyNumberFormat="1" applyFont="1" applyFill="1"/>
    <xf numFmtId="0" fontId="25" fillId="2" borderId="3" xfId="1" applyFont="1" applyFill="1" applyBorder="1" applyAlignment="1">
      <alignment horizontal="center" vertical="center" wrapText="1"/>
    </xf>
    <xf numFmtId="0" fontId="20" fillId="2" borderId="3" xfId="1" applyFont="1" applyFill="1" applyBorder="1" applyAlignment="1">
      <alignment horizontal="center" vertical="top"/>
    </xf>
    <xf numFmtId="183" fontId="22" fillId="2" borderId="4" xfId="2" applyNumberFormat="1" applyFont="1" applyFill="1" applyBorder="1" applyAlignment="1">
      <alignment horizontal="center" vertical="center"/>
    </xf>
    <xf numFmtId="0" fontId="20" fillId="2" borderId="7" xfId="1" applyFont="1" applyFill="1" applyBorder="1" applyAlignment="1">
      <alignment horizontal="center" vertical="center"/>
    </xf>
    <xf numFmtId="0" fontId="20" fillId="2" borderId="39" xfId="1" applyFont="1" applyFill="1" applyBorder="1" applyAlignment="1">
      <alignment horizontal="center" vertical="center"/>
    </xf>
    <xf numFmtId="0" fontId="22" fillId="2" borderId="2" xfId="0" applyFont="1" applyFill="1" applyBorder="1" applyAlignment="1">
      <alignment horizontal="center" vertical="center"/>
    </xf>
    <xf numFmtId="20" fontId="17" fillId="2" borderId="8" xfId="1" applyNumberFormat="1" applyFont="1" applyFill="1" applyBorder="1" applyAlignment="1">
      <alignment horizontal="center" vertical="center"/>
    </xf>
    <xf numFmtId="0" fontId="20" fillId="2" borderId="8" xfId="1" applyFont="1" applyFill="1" applyBorder="1" applyAlignment="1">
      <alignment horizontal="center" vertical="center"/>
    </xf>
    <xf numFmtId="0" fontId="22" fillId="2" borderId="8" xfId="0" applyFont="1" applyFill="1" applyBorder="1" applyAlignment="1">
      <alignment horizontal="center" vertical="center"/>
    </xf>
    <xf numFmtId="0" fontId="17" fillId="2" borderId="4" xfId="1" applyFont="1" applyFill="1" applyBorder="1" applyAlignment="1">
      <alignment horizontal="center" vertical="center"/>
    </xf>
    <xf numFmtId="0" fontId="22" fillId="2" borderId="40" xfId="1" applyFont="1" applyFill="1" applyBorder="1" applyAlignment="1">
      <alignment horizontal="center" vertical="center"/>
    </xf>
    <xf numFmtId="0" fontId="27" fillId="2" borderId="40" xfId="1" applyFont="1" applyFill="1" applyBorder="1" applyAlignment="1">
      <alignment horizontal="center" vertical="center"/>
    </xf>
    <xf numFmtId="0" fontId="22" fillId="2" borderId="3" xfId="1" applyFont="1" applyFill="1" applyBorder="1" applyAlignment="1">
      <alignment horizontal="center" vertical="top"/>
    </xf>
    <xf numFmtId="0" fontId="27" fillId="2" borderId="3" xfId="1" applyFont="1" applyFill="1" applyBorder="1" applyAlignment="1">
      <alignment horizontal="center" vertical="top"/>
    </xf>
    <xf numFmtId="183" fontId="27" fillId="2" borderId="3" xfId="2" applyNumberFormat="1" applyFont="1" applyFill="1" applyBorder="1" applyAlignment="1">
      <alignment horizontal="center" vertical="center"/>
    </xf>
    <xf numFmtId="183" fontId="22" fillId="2" borderId="3" xfId="1" applyNumberFormat="1" applyFont="1" applyFill="1" applyBorder="1" applyAlignment="1">
      <alignment horizontal="center" vertical="center" wrapText="1"/>
    </xf>
    <xf numFmtId="183" fontId="27" fillId="2" borderId="3" xfId="1" applyNumberFormat="1" applyFont="1" applyFill="1" applyBorder="1" applyAlignment="1">
      <alignment horizontal="center" vertical="center" wrapText="1"/>
    </xf>
    <xf numFmtId="0" fontId="27" fillId="2" borderId="3" xfId="0" applyFont="1" applyFill="1" applyBorder="1" applyAlignment="1">
      <alignment horizontal="center" vertical="center"/>
    </xf>
    <xf numFmtId="0" fontId="28" fillId="2" borderId="1" xfId="1" applyFont="1" applyFill="1" applyBorder="1" applyAlignment="1">
      <alignment horizontal="center" vertical="center"/>
    </xf>
    <xf numFmtId="178" fontId="13" fillId="2" borderId="0" xfId="1" applyNumberFormat="1" applyFont="1" applyFill="1" applyAlignment="1">
      <alignment wrapText="1"/>
    </xf>
    <xf numFmtId="0" fontId="20" fillId="2" borderId="3" xfId="1" applyFont="1" applyFill="1" applyBorder="1" applyAlignment="1">
      <alignment horizontal="center" vertical="center" wrapText="1"/>
    </xf>
    <xf numFmtId="0" fontId="20" fillId="2" borderId="11" xfId="1" applyFont="1" applyFill="1" applyBorder="1" applyAlignment="1">
      <alignment horizontal="center" vertical="center" wrapText="1"/>
    </xf>
    <xf numFmtId="0" fontId="20" fillId="2" borderId="5" xfId="1" applyFont="1" applyFill="1" applyBorder="1" applyAlignment="1">
      <alignment horizontal="center" vertical="center"/>
    </xf>
    <xf numFmtId="0" fontId="15" fillId="2" borderId="12" xfId="1" applyFont="1" applyFill="1" applyBorder="1" applyAlignment="1">
      <alignment horizontal="center" vertical="center" wrapText="1"/>
    </xf>
    <xf numFmtId="178" fontId="20" fillId="2" borderId="11" xfId="1" applyNumberFormat="1" applyFont="1" applyFill="1" applyBorder="1" applyAlignment="1">
      <alignment horizontal="center" vertical="center" wrapText="1"/>
    </xf>
    <xf numFmtId="179" fontId="13" fillId="2" borderId="0" xfId="1" applyNumberFormat="1" applyFont="1" applyFill="1"/>
    <xf numFmtId="9" fontId="13" fillId="2" borderId="0" xfId="5" applyFont="1" applyFill="1"/>
    <xf numFmtId="0" fontId="13" fillId="2" borderId="0" xfId="1" applyFont="1" applyFill="1" applyAlignment="1">
      <alignment horizontal="left" vertical="center"/>
    </xf>
    <xf numFmtId="0" fontId="26" fillId="2" borderId="3" xfId="1" applyFont="1" applyFill="1" applyBorder="1" applyAlignment="1">
      <alignment horizontal="center" vertical="top"/>
    </xf>
    <xf numFmtId="0" fontId="29" fillId="2" borderId="3" xfId="1" applyFont="1" applyFill="1" applyBorder="1" applyAlignment="1">
      <alignment horizontal="center" vertical="center" wrapText="1"/>
    </xf>
    <xf numFmtId="183" fontId="30" fillId="2" borderId="4" xfId="2" applyNumberFormat="1" applyFont="1" applyFill="1" applyBorder="1" applyAlignment="1">
      <alignment horizontal="center" vertical="center"/>
    </xf>
    <xf numFmtId="179" fontId="30" fillId="2" borderId="3" xfId="1" applyNumberFormat="1" applyFont="1" applyFill="1" applyBorder="1" applyAlignment="1">
      <alignment horizontal="center" vertical="center"/>
    </xf>
    <xf numFmtId="0" fontId="30" fillId="2" borderId="3" xfId="0" applyFont="1" applyFill="1" applyBorder="1" applyAlignment="1">
      <alignment horizontal="center" vertical="center"/>
    </xf>
    <xf numFmtId="183" fontId="30" fillId="2" borderId="3" xfId="2" applyNumberFormat="1" applyFont="1" applyFill="1" applyBorder="1" applyAlignment="1">
      <alignment horizontal="center" vertical="center"/>
    </xf>
    <xf numFmtId="0" fontId="30" fillId="2" borderId="2" xfId="0" applyFont="1" applyFill="1" applyBorder="1" applyAlignment="1">
      <alignment horizontal="center" vertical="center"/>
    </xf>
    <xf numFmtId="0" fontId="13" fillId="0" borderId="0" xfId="1" applyFont="1" applyAlignment="1" applyProtection="1">
      <alignment vertical="center"/>
      <protection locked="0"/>
    </xf>
    <xf numFmtId="0" fontId="13" fillId="0" borderId="0" xfId="1" applyFont="1" applyProtection="1">
      <protection locked="0"/>
    </xf>
    <xf numFmtId="0" fontId="12" fillId="0" borderId="23" xfId="1" applyFont="1" applyBorder="1" applyAlignment="1" applyProtection="1">
      <alignment vertical="center"/>
      <protection locked="0"/>
    </xf>
    <xf numFmtId="0" fontId="13" fillId="0" borderId="46" xfId="1" applyFont="1" applyBorder="1" applyAlignment="1" applyProtection="1">
      <alignment horizontal="center" vertical="center"/>
      <protection locked="0"/>
    </xf>
    <xf numFmtId="0" fontId="13" fillId="0" borderId="47" xfId="1" applyFont="1" applyBorder="1" applyAlignment="1" applyProtection="1">
      <alignment horizontal="center" vertical="center"/>
      <protection locked="0"/>
    </xf>
    <xf numFmtId="0" fontId="13" fillId="0" borderId="48" xfId="1" applyFont="1" applyBorder="1" applyAlignment="1" applyProtection="1">
      <alignment horizontal="center" vertical="center"/>
      <protection locked="0"/>
    </xf>
    <xf numFmtId="0" fontId="13" fillId="0" borderId="49" xfId="1" applyFont="1" applyBorder="1" applyAlignment="1" applyProtection="1">
      <alignment horizontal="center" vertical="center"/>
      <protection locked="0"/>
    </xf>
    <xf numFmtId="0" fontId="14" fillId="0" borderId="50" xfId="1" applyFont="1" applyBorder="1" applyAlignment="1" applyProtection="1">
      <alignment horizontal="center" vertical="center"/>
      <protection locked="0"/>
    </xf>
    <xf numFmtId="0" fontId="18" fillId="0" borderId="51" xfId="1" applyFont="1" applyBorder="1" applyAlignment="1" applyProtection="1">
      <alignment horizontal="center" vertical="center"/>
      <protection locked="0"/>
    </xf>
    <xf numFmtId="0" fontId="18" fillId="0" borderId="52" xfId="1" applyFont="1" applyBorder="1" applyAlignment="1" applyProtection="1">
      <alignment vertical="center"/>
      <protection locked="0"/>
    </xf>
    <xf numFmtId="0" fontId="18" fillId="0" borderId="53" xfId="1" applyFont="1" applyBorder="1" applyAlignment="1" applyProtection="1">
      <alignment vertical="center"/>
      <protection locked="0"/>
    </xf>
    <xf numFmtId="0" fontId="18" fillId="0" borderId="51" xfId="1" applyFont="1" applyFill="1" applyBorder="1" applyAlignment="1" applyProtection="1">
      <alignment horizontal="center" vertical="center"/>
      <protection locked="0"/>
    </xf>
    <xf numFmtId="0" fontId="18" fillId="0" borderId="54" xfId="1" applyFont="1" applyBorder="1" applyAlignment="1" applyProtection="1">
      <alignment vertical="center"/>
      <protection locked="0"/>
    </xf>
    <xf numFmtId="0" fontId="18" fillId="2" borderId="54" xfId="1" applyFont="1" applyFill="1" applyBorder="1" applyAlignment="1" applyProtection="1">
      <alignment vertical="center"/>
      <protection locked="0"/>
    </xf>
    <xf numFmtId="0" fontId="18" fillId="2" borderId="52" xfId="1" applyFont="1" applyFill="1" applyBorder="1" applyAlignment="1" applyProtection="1">
      <alignment vertical="center"/>
      <protection locked="0"/>
    </xf>
    <xf numFmtId="0" fontId="18" fillId="2" borderId="53" xfId="1" applyFont="1" applyFill="1" applyBorder="1" applyAlignment="1" applyProtection="1">
      <alignment vertical="center"/>
      <protection locked="0"/>
    </xf>
    <xf numFmtId="0" fontId="18" fillId="2" borderId="51" xfId="1" applyFont="1" applyFill="1" applyBorder="1" applyAlignment="1" applyProtection="1">
      <alignment horizontal="center" vertical="center"/>
      <protection locked="0"/>
    </xf>
    <xf numFmtId="0" fontId="18" fillId="2" borderId="57" xfId="1" applyFont="1" applyFill="1" applyBorder="1" applyAlignment="1" applyProtection="1">
      <alignment horizontal="center" vertical="center"/>
      <protection locked="0"/>
    </xf>
    <xf numFmtId="0" fontId="18" fillId="0" borderId="58" xfId="1" applyFont="1" applyFill="1" applyBorder="1" applyAlignment="1" applyProtection="1">
      <alignment horizontal="center" vertical="center"/>
      <protection locked="0"/>
    </xf>
    <xf numFmtId="0" fontId="18" fillId="0" borderId="59" xfId="1" applyFont="1" applyBorder="1" applyAlignment="1" applyProtection="1">
      <alignment vertical="center"/>
      <protection locked="0"/>
    </xf>
    <xf numFmtId="0" fontId="18" fillId="0" borderId="58" xfId="1" applyFont="1" applyBorder="1" applyAlignment="1" applyProtection="1">
      <alignment horizontal="center" vertical="center"/>
      <protection locked="0"/>
    </xf>
    <xf numFmtId="0" fontId="18" fillId="0" borderId="63" xfId="1" applyFont="1" applyBorder="1" applyAlignment="1" applyProtection="1">
      <alignment vertical="center"/>
      <protection locked="0"/>
    </xf>
    <xf numFmtId="0" fontId="18" fillId="2" borderId="54" xfId="1" applyFont="1" applyFill="1" applyBorder="1" applyAlignment="1" applyProtection="1">
      <alignment vertical="center"/>
    </xf>
    <xf numFmtId="0" fontId="18" fillId="2" borderId="53" xfId="1" applyFont="1" applyFill="1" applyBorder="1" applyAlignment="1" applyProtection="1">
      <alignment vertical="center"/>
    </xf>
    <xf numFmtId="184" fontId="13" fillId="2" borderId="0" xfId="1" applyNumberFormat="1" applyFont="1" applyFill="1"/>
    <xf numFmtId="9" fontId="11" fillId="0" borderId="0" xfId="1" applyNumberFormat="1" applyFont="1" applyAlignment="1">
      <alignment horizontal="center" vertical="center"/>
    </xf>
    <xf numFmtId="0" fontId="11" fillId="0" borderId="0" xfId="1" applyFont="1" applyAlignment="1">
      <alignment horizontal="center" vertical="center"/>
    </xf>
    <xf numFmtId="0" fontId="15" fillId="2" borderId="3" xfId="1" applyFont="1" applyFill="1" applyBorder="1" applyAlignment="1">
      <alignment horizontal="center" vertical="top"/>
    </xf>
    <xf numFmtId="0" fontId="13" fillId="0" borderId="0" xfId="1" applyFont="1" applyAlignment="1">
      <alignment horizontal="right" vertical="center"/>
    </xf>
    <xf numFmtId="0" fontId="32" fillId="0" borderId="0" xfId="1" applyFont="1"/>
    <xf numFmtId="0" fontId="22" fillId="2" borderId="3" xfId="1" applyFont="1" applyFill="1" applyBorder="1" applyAlignment="1">
      <alignment horizontal="center" vertical="top" wrapText="1"/>
    </xf>
    <xf numFmtId="0" fontId="17" fillId="2" borderId="3" xfId="1" applyFont="1" applyFill="1" applyBorder="1" applyAlignment="1">
      <alignment horizontal="center" vertical="top" wrapText="1"/>
    </xf>
    <xf numFmtId="0" fontId="17" fillId="2" borderId="3" xfId="1" applyFont="1" applyFill="1" applyBorder="1" applyAlignment="1">
      <alignment horizontal="center" vertical="top"/>
    </xf>
    <xf numFmtId="0" fontId="20" fillId="2" borderId="3" xfId="1" applyFont="1" applyFill="1" applyBorder="1" applyAlignment="1">
      <alignment horizontal="center" vertical="center"/>
    </xf>
    <xf numFmtId="0" fontId="15" fillId="2" borderId="5" xfId="1" applyFont="1" applyFill="1" applyBorder="1" applyAlignment="1">
      <alignment horizontal="center" vertical="center" wrapText="1"/>
    </xf>
    <xf numFmtId="0" fontId="13" fillId="2" borderId="0" xfId="1" applyFont="1" applyFill="1" applyAlignment="1">
      <alignment horizontal="center" vertical="center"/>
    </xf>
    <xf numFmtId="0" fontId="20" fillId="2" borderId="3" xfId="1" applyFont="1" applyFill="1" applyBorder="1" applyAlignment="1">
      <alignment horizontal="center" vertical="center"/>
    </xf>
    <xf numFmtId="0" fontId="15" fillId="2" borderId="5" xfId="1" applyFont="1" applyFill="1" applyBorder="1" applyAlignment="1">
      <alignment horizontal="center" vertical="center" wrapText="1"/>
    </xf>
    <xf numFmtId="0" fontId="13" fillId="2" borderId="0" xfId="1" applyFont="1" applyFill="1" applyAlignment="1">
      <alignment horizontal="center" vertical="center"/>
    </xf>
    <xf numFmtId="0" fontId="20" fillId="2" borderId="3" xfId="1" applyFont="1" applyFill="1" applyBorder="1" applyAlignment="1">
      <alignment horizontal="center" vertical="center"/>
    </xf>
    <xf numFmtId="0" fontId="15" fillId="2" borderId="5" xfId="1" applyFont="1" applyFill="1" applyBorder="1" applyAlignment="1">
      <alignment horizontal="center" vertical="center" wrapText="1"/>
    </xf>
    <xf numFmtId="0" fontId="13" fillId="2" borderId="0" xfId="1" applyFont="1" applyFill="1" applyAlignment="1">
      <alignment horizontal="center" vertical="center"/>
    </xf>
    <xf numFmtId="0" fontId="13" fillId="2" borderId="0" xfId="1" applyFont="1" applyFill="1" applyAlignment="1">
      <alignment horizontal="center" vertical="center"/>
    </xf>
    <xf numFmtId="0" fontId="15" fillId="2" borderId="5" xfId="1" applyFont="1" applyFill="1" applyBorder="1" applyAlignment="1">
      <alignment horizontal="center" vertical="center" wrapText="1"/>
    </xf>
    <xf numFmtId="0" fontId="20" fillId="2" borderId="3" xfId="1" applyFont="1" applyFill="1" applyBorder="1" applyAlignment="1">
      <alignment horizontal="center" vertical="center"/>
    </xf>
    <xf numFmtId="0" fontId="13" fillId="2" borderId="0" xfId="1" applyFont="1" applyFill="1" applyAlignment="1">
      <alignment horizontal="center" vertical="center"/>
    </xf>
    <xf numFmtId="0" fontId="15" fillId="2" borderId="5" xfId="1" applyFont="1" applyFill="1" applyBorder="1" applyAlignment="1">
      <alignment horizontal="center" vertical="center" wrapText="1"/>
    </xf>
    <xf numFmtId="0" fontId="20" fillId="2" borderId="3" xfId="1" applyFont="1" applyFill="1" applyBorder="1" applyAlignment="1">
      <alignment horizontal="center" vertical="center"/>
    </xf>
    <xf numFmtId="0" fontId="20" fillId="2" borderId="3" xfId="1" applyFont="1" applyFill="1" applyBorder="1" applyAlignment="1">
      <alignment horizontal="center" vertical="center"/>
    </xf>
    <xf numFmtId="0" fontId="15" fillId="2" borderId="5" xfId="1" applyFont="1" applyFill="1" applyBorder="1" applyAlignment="1">
      <alignment horizontal="center" vertical="center" wrapText="1"/>
    </xf>
    <xf numFmtId="0" fontId="13" fillId="2" borderId="0" xfId="1" applyFont="1" applyFill="1" applyAlignment="1">
      <alignment horizontal="center" vertical="center"/>
    </xf>
    <xf numFmtId="0" fontId="19" fillId="0" borderId="0" xfId="1" applyFont="1" applyAlignment="1">
      <alignment horizontal="left" vertical="center"/>
    </xf>
    <xf numFmtId="0" fontId="13" fillId="0" borderId="0" xfId="1" applyFont="1" applyAlignment="1">
      <alignment horizontal="right" vertical="center"/>
    </xf>
    <xf numFmtId="0" fontId="12" fillId="0" borderId="0" xfId="1" applyFont="1" applyBorder="1" applyAlignment="1" applyProtection="1">
      <alignment horizontal="center" vertical="center"/>
      <protection locked="0"/>
    </xf>
    <xf numFmtId="0" fontId="20" fillId="0" borderId="55" xfId="1" applyFont="1" applyBorder="1" applyAlignment="1" applyProtection="1">
      <alignment horizontal="left" vertical="top" wrapText="1"/>
      <protection locked="0"/>
    </xf>
    <xf numFmtId="0" fontId="20" fillId="0" borderId="56" xfId="1" applyFont="1" applyBorder="1" applyAlignment="1" applyProtection="1">
      <alignment horizontal="left" vertical="top" wrapText="1"/>
      <protection locked="0"/>
    </xf>
    <xf numFmtId="0" fontId="20" fillId="0" borderId="60" xfId="1" applyFont="1" applyBorder="1" applyAlignment="1" applyProtection="1">
      <alignment horizontal="left" vertical="top" wrapText="1"/>
      <protection locked="0"/>
    </xf>
    <xf numFmtId="49" fontId="11" fillId="0" borderId="64" xfId="1" applyNumberFormat="1" applyFont="1" applyBorder="1" applyAlignment="1">
      <alignment horizontal="center" vertical="center" wrapText="1"/>
    </xf>
    <xf numFmtId="9" fontId="11" fillId="0" borderId="0" xfId="1" applyNumberFormat="1" applyFont="1" applyAlignment="1">
      <alignment horizontal="center" vertical="center"/>
    </xf>
    <xf numFmtId="0" fontId="11" fillId="0" borderId="0" xfId="1" applyFont="1" applyAlignment="1">
      <alignment horizontal="center" vertical="center"/>
    </xf>
    <xf numFmtId="0" fontId="13" fillId="2" borderId="0" xfId="1" applyFont="1" applyFill="1" applyAlignment="1">
      <alignment horizontal="center" vertical="center"/>
    </xf>
    <xf numFmtId="178" fontId="14" fillId="2" borderId="0" xfId="1" applyNumberFormat="1" applyFont="1" applyFill="1" applyAlignment="1">
      <alignment horizontal="center" vertical="center"/>
    </xf>
    <xf numFmtId="179" fontId="20" fillId="2" borderId="2" xfId="1" applyNumberFormat="1" applyFont="1" applyFill="1" applyBorder="1" applyAlignment="1">
      <alignment horizontal="center" vertical="center"/>
    </xf>
    <xf numFmtId="179" fontId="20" fillId="2" borderId="4" xfId="1" applyNumberFormat="1" applyFont="1" applyFill="1" applyBorder="1" applyAlignment="1">
      <alignment horizontal="center" vertical="center"/>
    </xf>
    <xf numFmtId="179" fontId="20" fillId="2" borderId="13" xfId="1" applyNumberFormat="1" applyFont="1" applyFill="1" applyBorder="1" applyAlignment="1">
      <alignment horizontal="center" vertical="center"/>
    </xf>
    <xf numFmtId="179" fontId="20" fillId="2" borderId="15" xfId="1" applyNumberFormat="1" applyFont="1" applyFill="1" applyBorder="1" applyAlignment="1">
      <alignment horizontal="center" vertical="center"/>
    </xf>
    <xf numFmtId="179" fontId="20" fillId="2" borderId="14" xfId="1" applyNumberFormat="1" applyFont="1" applyFill="1" applyBorder="1" applyAlignment="1">
      <alignment horizontal="center" vertical="center"/>
    </xf>
    <xf numFmtId="179" fontId="20" fillId="2" borderId="16" xfId="1" applyNumberFormat="1" applyFont="1" applyFill="1" applyBorder="1" applyAlignment="1">
      <alignment horizontal="center" vertical="center"/>
    </xf>
    <xf numFmtId="178" fontId="20" fillId="2" borderId="2" xfId="1" applyNumberFormat="1" applyFont="1" applyFill="1" applyBorder="1" applyAlignment="1">
      <alignment horizontal="center" vertical="center"/>
    </xf>
    <xf numFmtId="178" fontId="20" fillId="2" borderId="4" xfId="1" applyNumberFormat="1" applyFont="1" applyFill="1" applyBorder="1" applyAlignment="1">
      <alignment horizontal="center" vertical="center"/>
    </xf>
    <xf numFmtId="179" fontId="20" fillId="2" borderId="37" xfId="1" applyNumberFormat="1" applyFont="1" applyFill="1" applyBorder="1" applyAlignment="1">
      <alignment horizontal="center" vertical="center"/>
    </xf>
    <xf numFmtId="179" fontId="20" fillId="2" borderId="61" xfId="1" applyNumberFormat="1" applyFont="1" applyFill="1" applyBorder="1" applyAlignment="1">
      <alignment horizontal="center" vertical="center"/>
    </xf>
    <xf numFmtId="179" fontId="20" fillId="2" borderId="40" xfId="1" applyNumberFormat="1" applyFont="1" applyFill="1" applyBorder="1" applyAlignment="1">
      <alignment horizontal="center" vertical="center"/>
    </xf>
    <xf numFmtId="179" fontId="20" fillId="2" borderId="62" xfId="1" applyNumberFormat="1" applyFont="1" applyFill="1" applyBorder="1" applyAlignment="1">
      <alignment horizontal="center" vertical="center"/>
    </xf>
    <xf numFmtId="0" fontId="13" fillId="2" borderId="38" xfId="1" applyFont="1" applyFill="1" applyBorder="1" applyAlignment="1">
      <alignment horizontal="center"/>
    </xf>
    <xf numFmtId="179" fontId="20" fillId="2" borderId="2" xfId="1" applyNumberFormat="1" applyFont="1" applyFill="1" applyBorder="1" applyAlignment="1">
      <alignment horizontal="center" vertical="center" wrapText="1"/>
    </xf>
    <xf numFmtId="179" fontId="20" fillId="2" borderId="4" xfId="1" applyNumberFormat="1" applyFont="1" applyFill="1" applyBorder="1" applyAlignment="1">
      <alignment horizontal="center" vertical="center" wrapText="1"/>
    </xf>
    <xf numFmtId="178" fontId="20" fillId="2" borderId="2" xfId="1" applyNumberFormat="1" applyFont="1" applyFill="1" applyBorder="1" applyAlignment="1">
      <alignment horizontal="center" vertical="center" wrapText="1"/>
    </xf>
    <xf numFmtId="178" fontId="20" fillId="2" borderId="4" xfId="1" applyNumberFormat="1" applyFont="1" applyFill="1" applyBorder="1" applyAlignment="1">
      <alignment horizontal="center" vertical="center" wrapText="1"/>
    </xf>
    <xf numFmtId="179" fontId="20" fillId="2" borderId="13" xfId="1" applyNumberFormat="1" applyFont="1" applyFill="1" applyBorder="1" applyAlignment="1">
      <alignment horizontal="center" vertical="center" wrapText="1"/>
    </xf>
    <xf numFmtId="179" fontId="20" fillId="2" borderId="15" xfId="1" applyNumberFormat="1" applyFont="1" applyFill="1" applyBorder="1" applyAlignment="1">
      <alignment horizontal="center" vertical="center" wrapText="1"/>
    </xf>
    <xf numFmtId="178" fontId="20" fillId="2" borderId="14" xfId="1" applyNumberFormat="1" applyFont="1" applyFill="1" applyBorder="1" applyAlignment="1">
      <alignment horizontal="center" vertical="center"/>
    </xf>
    <xf numFmtId="178" fontId="20" fillId="2" borderId="16" xfId="1" applyNumberFormat="1" applyFont="1" applyFill="1" applyBorder="1" applyAlignment="1">
      <alignment horizontal="center" vertical="center"/>
    </xf>
    <xf numFmtId="179" fontId="20" fillId="2" borderId="14" xfId="1" applyNumberFormat="1" applyFont="1" applyFill="1" applyBorder="1" applyAlignment="1">
      <alignment horizontal="center" vertical="center" wrapText="1"/>
    </xf>
    <xf numFmtId="179" fontId="20" fillId="2" borderId="16" xfId="1" applyNumberFormat="1" applyFont="1" applyFill="1" applyBorder="1" applyAlignment="1">
      <alignment horizontal="center" vertical="center" wrapText="1"/>
    </xf>
    <xf numFmtId="179" fontId="20" fillId="2" borderId="13" xfId="4" applyNumberFormat="1" applyFont="1" applyFill="1" applyBorder="1" applyAlignment="1">
      <alignment horizontal="center" vertical="center" wrapText="1"/>
    </xf>
    <xf numFmtId="179" fontId="20" fillId="2" borderId="15" xfId="4" applyNumberFormat="1" applyFont="1" applyFill="1" applyBorder="1" applyAlignment="1">
      <alignment horizontal="center" vertical="center" wrapText="1"/>
    </xf>
    <xf numFmtId="0" fontId="14" fillId="2" borderId="10" xfId="1" applyFont="1" applyFill="1" applyBorder="1" applyAlignment="1">
      <alignment horizontal="center" vertical="center"/>
    </xf>
    <xf numFmtId="0" fontId="14" fillId="2" borderId="8" xfId="1" applyFont="1" applyFill="1" applyBorder="1" applyAlignment="1">
      <alignment horizontal="center" vertical="center"/>
    </xf>
    <xf numFmtId="0" fontId="14" fillId="2" borderId="9" xfId="1" applyFont="1" applyFill="1" applyBorder="1" applyAlignment="1">
      <alignment horizontal="center" vertical="center"/>
    </xf>
    <xf numFmtId="0" fontId="13" fillId="2" borderId="10" xfId="1" applyFont="1" applyFill="1" applyBorder="1" applyAlignment="1">
      <alignment horizontal="center"/>
    </xf>
    <xf numFmtId="0" fontId="13" fillId="2" borderId="8" xfId="1" applyFont="1" applyFill="1" applyBorder="1" applyAlignment="1">
      <alignment horizontal="center"/>
    </xf>
    <xf numFmtId="0" fontId="13" fillId="2" borderId="9" xfId="1" applyFont="1" applyFill="1" applyBorder="1" applyAlignment="1">
      <alignment horizontal="center"/>
    </xf>
    <xf numFmtId="0" fontId="15" fillId="2" borderId="5" xfId="1" applyFont="1" applyFill="1" applyBorder="1" applyAlignment="1">
      <alignment horizontal="center" vertical="center" wrapText="1"/>
    </xf>
    <xf numFmtId="0" fontId="15" fillId="2" borderId="9" xfId="1" applyFont="1" applyFill="1" applyBorder="1" applyAlignment="1">
      <alignment horizontal="center" vertical="center" wrapText="1"/>
    </xf>
    <xf numFmtId="0" fontId="14" fillId="2" borderId="37" xfId="1" applyFont="1" applyFill="1" applyBorder="1" applyAlignment="1">
      <alignment horizontal="center" vertical="center" wrapText="1"/>
    </xf>
    <xf numFmtId="0" fontId="14" fillId="2" borderId="39" xfId="1" applyFont="1" applyFill="1" applyBorder="1" applyAlignment="1">
      <alignment horizontal="center" vertical="center" wrapText="1"/>
    </xf>
    <xf numFmtId="0" fontId="14" fillId="2" borderId="40" xfId="1" applyFont="1" applyFill="1" applyBorder="1" applyAlignment="1">
      <alignment horizontal="center" vertical="center" wrapText="1"/>
    </xf>
    <xf numFmtId="0" fontId="14" fillId="2" borderId="41" xfId="1" applyFont="1" applyFill="1" applyBorder="1" applyAlignment="1">
      <alignment horizontal="center" vertical="center" wrapText="1"/>
    </xf>
    <xf numFmtId="178" fontId="20" fillId="2" borderId="13" xfId="3" applyNumberFormat="1" applyFont="1" applyFill="1" applyBorder="1" applyAlignment="1">
      <alignment horizontal="center" vertical="center"/>
    </xf>
    <xf numFmtId="178" fontId="20" fillId="2" borderId="15" xfId="3" applyNumberFormat="1" applyFont="1" applyFill="1" applyBorder="1" applyAlignment="1">
      <alignment horizontal="center" vertical="center"/>
    </xf>
    <xf numFmtId="178" fontId="20" fillId="2" borderId="14" xfId="3" applyNumberFormat="1" applyFont="1" applyFill="1" applyBorder="1" applyAlignment="1">
      <alignment horizontal="center" vertical="center"/>
    </xf>
    <xf numFmtId="178" fontId="20" fillId="2" borderId="16" xfId="3" applyNumberFormat="1" applyFont="1" applyFill="1" applyBorder="1" applyAlignment="1">
      <alignment horizontal="center" vertical="center"/>
    </xf>
    <xf numFmtId="0" fontId="20" fillId="2" borderId="2" xfId="1" applyFont="1" applyFill="1" applyBorder="1" applyAlignment="1">
      <alignment horizontal="center" vertical="center"/>
    </xf>
    <xf numFmtId="0" fontId="20" fillId="2" borderId="4" xfId="1" applyFont="1" applyFill="1" applyBorder="1" applyAlignment="1">
      <alignment horizontal="center" vertical="center"/>
    </xf>
    <xf numFmtId="20" fontId="17" fillId="2" borderId="2" xfId="1" applyNumberFormat="1" applyFont="1" applyFill="1" applyBorder="1" applyAlignment="1">
      <alignment horizontal="center" vertical="center"/>
    </xf>
    <xf numFmtId="20" fontId="17" fillId="2" borderId="6" xfId="1" applyNumberFormat="1" applyFont="1" applyFill="1" applyBorder="1" applyAlignment="1">
      <alignment horizontal="center" vertical="center"/>
    </xf>
    <xf numFmtId="20" fontId="17" fillId="2" borderId="4" xfId="1" applyNumberFormat="1" applyFont="1" applyFill="1" applyBorder="1" applyAlignment="1">
      <alignment horizontal="center" vertical="center"/>
    </xf>
    <xf numFmtId="0" fontId="20" fillId="2" borderId="3" xfId="1" applyFont="1" applyFill="1" applyBorder="1" applyAlignment="1">
      <alignment horizontal="center" vertical="center"/>
    </xf>
    <xf numFmtId="0" fontId="13" fillId="2" borderId="42" xfId="1" applyFont="1" applyFill="1" applyBorder="1" applyAlignment="1">
      <alignment horizontal="center"/>
    </xf>
    <xf numFmtId="0" fontId="13" fillId="2" borderId="43" xfId="1" applyFont="1" applyFill="1" applyBorder="1" applyAlignment="1">
      <alignment horizontal="center"/>
    </xf>
    <xf numFmtId="0" fontId="13" fillId="2" borderId="44" xfId="1" applyFont="1" applyFill="1" applyBorder="1" applyAlignment="1">
      <alignment horizontal="center"/>
    </xf>
    <xf numFmtId="0" fontId="13" fillId="2" borderId="45" xfId="1" applyFont="1" applyFill="1" applyBorder="1" applyAlignment="1">
      <alignment horizontal="center"/>
    </xf>
    <xf numFmtId="0" fontId="14" fillId="2" borderId="5" xfId="1" applyFont="1" applyFill="1" applyBorder="1" applyAlignment="1">
      <alignment horizontal="center" vertical="center"/>
    </xf>
    <xf numFmtId="0" fontId="17" fillId="2" borderId="40" xfId="1" applyFont="1" applyFill="1" applyBorder="1" applyAlignment="1">
      <alignment horizontal="center" vertical="center"/>
    </xf>
    <xf numFmtId="0" fontId="17" fillId="2" borderId="1" xfId="1" applyFont="1" applyFill="1" applyBorder="1" applyAlignment="1">
      <alignment horizontal="center" vertical="center"/>
    </xf>
    <xf numFmtId="0" fontId="17" fillId="2" borderId="41" xfId="1" applyFont="1" applyFill="1" applyBorder="1" applyAlignment="1">
      <alignment horizontal="center" vertical="center"/>
    </xf>
    <xf numFmtId="0" fontId="20" fillId="2" borderId="37" xfId="1" applyNumberFormat="1" applyFont="1" applyFill="1" applyBorder="1" applyAlignment="1">
      <alignment horizontal="left" vertical="top" wrapText="1"/>
    </xf>
    <xf numFmtId="0" fontId="31" fillId="2" borderId="38" xfId="1" applyNumberFormat="1" applyFont="1" applyFill="1" applyBorder="1" applyAlignment="1">
      <alignment horizontal="left" vertical="top" wrapText="1"/>
    </xf>
    <xf numFmtId="0" fontId="31" fillId="2" borderId="39" xfId="1" applyNumberFormat="1" applyFont="1" applyFill="1" applyBorder="1" applyAlignment="1">
      <alignment horizontal="left" vertical="top" wrapText="1"/>
    </xf>
    <xf numFmtId="0" fontId="31" fillId="2" borderId="18" xfId="1" applyNumberFormat="1" applyFont="1" applyFill="1" applyBorder="1" applyAlignment="1">
      <alignment horizontal="left" vertical="top" wrapText="1"/>
    </xf>
    <xf numFmtId="0" fontId="31" fillId="2" borderId="0" xfId="1" applyNumberFormat="1" applyFont="1" applyFill="1" applyBorder="1" applyAlignment="1">
      <alignment horizontal="left" vertical="top" wrapText="1"/>
    </xf>
    <xf numFmtId="0" fontId="31" fillId="2" borderId="36" xfId="1" applyNumberFormat="1" applyFont="1" applyFill="1" applyBorder="1" applyAlignment="1">
      <alignment horizontal="left" vertical="top" wrapText="1"/>
    </xf>
    <xf numFmtId="0" fontId="31" fillId="2" borderId="40" xfId="1" applyNumberFormat="1" applyFont="1" applyFill="1" applyBorder="1" applyAlignment="1">
      <alignment horizontal="left" vertical="top" wrapText="1"/>
    </xf>
    <xf numFmtId="0" fontId="31" fillId="2" borderId="1" xfId="1" applyNumberFormat="1" applyFont="1" applyFill="1" applyBorder="1" applyAlignment="1">
      <alignment horizontal="left" vertical="top" wrapText="1"/>
    </xf>
    <xf numFmtId="0" fontId="31" fillId="2" borderId="41" xfId="1" applyNumberFormat="1" applyFont="1" applyFill="1" applyBorder="1" applyAlignment="1">
      <alignment horizontal="left" vertical="top" wrapText="1"/>
    </xf>
    <xf numFmtId="20" fontId="17" fillId="2" borderId="3" xfId="1" applyNumberFormat="1" applyFont="1" applyFill="1" applyBorder="1" applyAlignment="1">
      <alignment horizontal="center" vertical="center"/>
    </xf>
    <xf numFmtId="0" fontId="16" fillId="2" borderId="0" xfId="1" applyFont="1" applyFill="1" applyAlignment="1">
      <alignment horizontal="center"/>
    </xf>
    <xf numFmtId="0" fontId="21" fillId="2" borderId="0" xfId="1" applyFont="1" applyFill="1" applyBorder="1" applyAlignment="1">
      <alignment horizontal="center"/>
    </xf>
    <xf numFmtId="31" fontId="13" fillId="2" borderId="1" xfId="1" applyNumberFormat="1" applyFont="1" applyFill="1" applyBorder="1" applyAlignment="1">
      <alignment horizontal="right"/>
    </xf>
  </cellXfs>
  <cellStyles count="23">
    <cellStyle name="一般" xfId="0" builtinId="0"/>
    <cellStyle name="一般 2" xfId="1"/>
    <cellStyle name="一般 2 2" xfId="6"/>
    <cellStyle name="一般 3" xfId="2"/>
    <cellStyle name="千分位 2" xfId="3"/>
    <cellStyle name="千分位 2 2" xfId="7"/>
    <cellStyle name="千分位 2 2 2" xfId="9"/>
    <cellStyle name="千分位 2 2 2 2" xfId="13"/>
    <cellStyle name="千分位 2 2 2 2 2" xfId="21"/>
    <cellStyle name="千分位 2 2 2 3" xfId="17"/>
    <cellStyle name="千分位 2 2 3" xfId="11"/>
    <cellStyle name="千分位 2 2 3 2" xfId="19"/>
    <cellStyle name="千分位 2 2 4" xfId="15"/>
    <cellStyle name="百分比 2" xfId="5"/>
    <cellStyle name="貨幣 2" xfId="4"/>
    <cellStyle name="貨幣 2 2" xfId="8"/>
    <cellStyle name="貨幣 2 2 2" xfId="10"/>
    <cellStyle name="貨幣 2 2 2 2" xfId="14"/>
    <cellStyle name="貨幣 2 2 2 2 2" xfId="22"/>
    <cellStyle name="貨幣 2 2 2 3" xfId="18"/>
    <cellStyle name="貨幣 2 2 3" xfId="12"/>
    <cellStyle name="貨幣 2 2 3 2" xfId="20"/>
    <cellStyle name="貨幣 2 2 4" xfId="16"/>
  </cellStyles>
  <dxfs count="2793"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rgb="FF000000"/>
          <bgColor rgb="FFFFFFFF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rgb="FF000000"/>
          <bgColor rgb="FFFFFFFF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rgb="FF000000"/>
          <bgColor rgb="FFFFFFFF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rgb="FF000000"/>
          <bgColor rgb="FFFFFFFF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rgb="FF000000"/>
          <bgColor rgb="FFFFFFFF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rgb="FF000000"/>
          <bgColor rgb="FFFFFFFF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rgb="FF000000"/>
          <bgColor rgb="FFFFFFFF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rgb="FF000000"/>
          <bgColor rgb="FFFFFFFF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rgb="FF000000"/>
          <bgColor rgb="FFFFFFFF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rgb="FF000000"/>
          <bgColor rgb="FFFFFFFF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rgb="FF000000"/>
          <bgColor rgb="FFFFFFFF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rgb="FF000000"/>
          <bgColor rgb="FFFFFFFF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rgb="FF000000"/>
          <bgColor rgb="FFFFFFFF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rgb="FF000000"/>
          <bgColor rgb="FFFFFFFF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rgb="FF000000"/>
          <bgColor rgb="FFFFFFFF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rgb="FF000000"/>
          <bgColor rgb="FFFFFFFF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rgb="FF000000"/>
          <bgColor rgb="FFFFFFFF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rgb="FF000000"/>
          <bgColor rgb="FFFFFFFF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rgb="FF000000"/>
          <bgColor rgb="FFFFFFFF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rgb="FF000000"/>
          <bgColor rgb="FFFFFFFF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rgb="FF000000"/>
          <bgColor rgb="FFFFFFFF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</dxfs>
  <tableStyles count="0" defaultTableStyle="TableStyleMedium2" defaultPivotStyle="PivotStyleMedium9"/>
  <colors>
    <mruColors>
      <color rgb="FFFFFF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onnections" Target="connection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30480</xdr:colOff>
          <xdr:row>15</xdr:row>
          <xdr:rowOff>198120</xdr:rowOff>
        </xdr:from>
        <xdr:to>
          <xdr:col>15</xdr:col>
          <xdr:colOff>495300</xdr:colOff>
          <xdr:row>22</xdr:row>
          <xdr:rowOff>388620</xdr:rowOff>
        </xdr:to>
        <xdr:sp macro="" textlink="">
          <xdr:nvSpPr>
            <xdr:cNvPr id="2247681" name="CommandButton1" hidden="1">
              <a:extLst>
                <a:ext uri="{63B3BB69-23CF-44E3-9099-C40C66FF867C}">
                  <a14:compatExt spid="_x0000_s22476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22860</xdr:colOff>
          <xdr:row>25</xdr:row>
          <xdr:rowOff>60960</xdr:rowOff>
        </xdr:from>
        <xdr:to>
          <xdr:col>15</xdr:col>
          <xdr:colOff>548640</xdr:colOff>
          <xdr:row>32</xdr:row>
          <xdr:rowOff>0</xdr:rowOff>
        </xdr:to>
        <xdr:sp macro="" textlink="">
          <xdr:nvSpPr>
            <xdr:cNvPr id="2247682" name="CommandButton2" hidden="1">
              <a:extLst>
                <a:ext uri="{63B3BB69-23CF-44E3-9099-C40C66FF867C}">
                  <a14:compatExt spid="_x0000_s22476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0</xdr:colOff>
          <xdr:row>0</xdr:row>
          <xdr:rowOff>342900</xdr:rowOff>
        </xdr:from>
        <xdr:to>
          <xdr:col>32</xdr:col>
          <xdr:colOff>411480</xdr:colOff>
          <xdr:row>3</xdr:row>
          <xdr:rowOff>30480</xdr:rowOff>
        </xdr:to>
        <xdr:sp macro="" textlink="">
          <xdr:nvSpPr>
            <xdr:cNvPr id="2951169" name="Button 1" hidden="1">
              <a:extLst>
                <a:ext uri="{63B3BB69-23CF-44E3-9099-C40C66FF867C}">
                  <a14:compatExt spid="_x0000_s29511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跳至新增頁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0</xdr:colOff>
          <xdr:row>0</xdr:row>
          <xdr:rowOff>342900</xdr:rowOff>
        </xdr:from>
        <xdr:to>
          <xdr:col>32</xdr:col>
          <xdr:colOff>411480</xdr:colOff>
          <xdr:row>3</xdr:row>
          <xdr:rowOff>30480</xdr:rowOff>
        </xdr:to>
        <xdr:sp macro="" textlink="">
          <xdr:nvSpPr>
            <xdr:cNvPr id="2953217" name="Button 1" hidden="1">
              <a:extLst>
                <a:ext uri="{63B3BB69-23CF-44E3-9099-C40C66FF867C}">
                  <a14:compatExt spid="_x0000_s29532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跳至新增頁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0</xdr:colOff>
          <xdr:row>0</xdr:row>
          <xdr:rowOff>342900</xdr:rowOff>
        </xdr:from>
        <xdr:to>
          <xdr:col>32</xdr:col>
          <xdr:colOff>411480</xdr:colOff>
          <xdr:row>3</xdr:row>
          <xdr:rowOff>30480</xdr:rowOff>
        </xdr:to>
        <xdr:sp macro="" textlink="">
          <xdr:nvSpPr>
            <xdr:cNvPr id="2955265" name="Button 1" hidden="1">
              <a:extLst>
                <a:ext uri="{63B3BB69-23CF-44E3-9099-C40C66FF867C}">
                  <a14:compatExt spid="_x0000_s29552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跳至新增頁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0</xdr:colOff>
          <xdr:row>0</xdr:row>
          <xdr:rowOff>342900</xdr:rowOff>
        </xdr:from>
        <xdr:to>
          <xdr:col>32</xdr:col>
          <xdr:colOff>411480</xdr:colOff>
          <xdr:row>3</xdr:row>
          <xdr:rowOff>30480</xdr:rowOff>
        </xdr:to>
        <xdr:sp macro="" textlink="">
          <xdr:nvSpPr>
            <xdr:cNvPr id="2956289" name="Button 1" hidden="1">
              <a:extLst>
                <a:ext uri="{63B3BB69-23CF-44E3-9099-C40C66FF867C}">
                  <a14:compatExt spid="_x0000_s29562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跳至新增頁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0</xdr:colOff>
          <xdr:row>0</xdr:row>
          <xdr:rowOff>342900</xdr:rowOff>
        </xdr:from>
        <xdr:to>
          <xdr:col>32</xdr:col>
          <xdr:colOff>411480</xdr:colOff>
          <xdr:row>3</xdr:row>
          <xdr:rowOff>30480</xdr:rowOff>
        </xdr:to>
        <xdr:sp macro="" textlink="">
          <xdr:nvSpPr>
            <xdr:cNvPr id="2957313" name="Button 1" hidden="1">
              <a:extLst>
                <a:ext uri="{63B3BB69-23CF-44E3-9099-C40C66FF867C}">
                  <a14:compatExt spid="_x0000_s29573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跳至新增頁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0</xdr:colOff>
          <xdr:row>0</xdr:row>
          <xdr:rowOff>342900</xdr:rowOff>
        </xdr:from>
        <xdr:to>
          <xdr:col>32</xdr:col>
          <xdr:colOff>411480</xdr:colOff>
          <xdr:row>3</xdr:row>
          <xdr:rowOff>30480</xdr:rowOff>
        </xdr:to>
        <xdr:sp macro="" textlink="">
          <xdr:nvSpPr>
            <xdr:cNvPr id="2958337" name="Button 1" hidden="1">
              <a:extLst>
                <a:ext uri="{63B3BB69-23CF-44E3-9099-C40C66FF867C}">
                  <a14:compatExt spid="_x0000_s29583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跳至新增頁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0</xdr:colOff>
          <xdr:row>0</xdr:row>
          <xdr:rowOff>342900</xdr:rowOff>
        </xdr:from>
        <xdr:to>
          <xdr:col>32</xdr:col>
          <xdr:colOff>411480</xdr:colOff>
          <xdr:row>3</xdr:row>
          <xdr:rowOff>30480</xdr:rowOff>
        </xdr:to>
        <xdr:sp macro="" textlink="">
          <xdr:nvSpPr>
            <xdr:cNvPr id="2960385" name="Button 1" hidden="1">
              <a:extLst>
                <a:ext uri="{63B3BB69-23CF-44E3-9099-C40C66FF867C}">
                  <a14:compatExt spid="_x0000_s29603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跳至新增頁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0</xdr:colOff>
          <xdr:row>0</xdr:row>
          <xdr:rowOff>342900</xdr:rowOff>
        </xdr:from>
        <xdr:to>
          <xdr:col>32</xdr:col>
          <xdr:colOff>411480</xdr:colOff>
          <xdr:row>3</xdr:row>
          <xdr:rowOff>30480</xdr:rowOff>
        </xdr:to>
        <xdr:sp macro="" textlink="">
          <xdr:nvSpPr>
            <xdr:cNvPr id="2961409" name="Button 1" hidden="1">
              <a:extLst>
                <a:ext uri="{63B3BB69-23CF-44E3-9099-C40C66FF867C}">
                  <a14:compatExt spid="_x0000_s29614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跳至新增頁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0</xdr:colOff>
          <xdr:row>0</xdr:row>
          <xdr:rowOff>342900</xdr:rowOff>
        </xdr:from>
        <xdr:to>
          <xdr:col>32</xdr:col>
          <xdr:colOff>411480</xdr:colOff>
          <xdr:row>3</xdr:row>
          <xdr:rowOff>30480</xdr:rowOff>
        </xdr:to>
        <xdr:sp macro="" textlink="">
          <xdr:nvSpPr>
            <xdr:cNvPr id="2962433" name="Button 1" hidden="1">
              <a:extLst>
                <a:ext uri="{63B3BB69-23CF-44E3-9099-C40C66FF867C}">
                  <a14:compatExt spid="_x0000_s29624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跳至新增頁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0</xdr:colOff>
          <xdr:row>0</xdr:row>
          <xdr:rowOff>342900</xdr:rowOff>
        </xdr:from>
        <xdr:to>
          <xdr:col>32</xdr:col>
          <xdr:colOff>411480</xdr:colOff>
          <xdr:row>3</xdr:row>
          <xdr:rowOff>30480</xdr:rowOff>
        </xdr:to>
        <xdr:sp macro="" textlink="">
          <xdr:nvSpPr>
            <xdr:cNvPr id="2963457" name="Button 1" hidden="1">
              <a:extLst>
                <a:ext uri="{63B3BB69-23CF-44E3-9099-C40C66FF867C}">
                  <a14:compatExt spid="_x0000_s29634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跳至新增頁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0</xdr:colOff>
          <xdr:row>0</xdr:row>
          <xdr:rowOff>342900</xdr:rowOff>
        </xdr:from>
        <xdr:to>
          <xdr:col>32</xdr:col>
          <xdr:colOff>411480</xdr:colOff>
          <xdr:row>3</xdr:row>
          <xdr:rowOff>30480</xdr:rowOff>
        </xdr:to>
        <xdr:sp macro="" textlink="">
          <xdr:nvSpPr>
            <xdr:cNvPr id="2964481" name="Button 1" hidden="1">
              <a:extLst>
                <a:ext uri="{63B3BB69-23CF-44E3-9099-C40C66FF867C}">
                  <a14:compatExt spid="_x0000_s29644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跳至新增頁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0</xdr:colOff>
          <xdr:row>0</xdr:row>
          <xdr:rowOff>342900</xdr:rowOff>
        </xdr:from>
        <xdr:to>
          <xdr:col>32</xdr:col>
          <xdr:colOff>411480</xdr:colOff>
          <xdr:row>3</xdr:row>
          <xdr:rowOff>30480</xdr:rowOff>
        </xdr:to>
        <xdr:sp macro="" textlink="">
          <xdr:nvSpPr>
            <xdr:cNvPr id="2965505" name="Button 1" hidden="1">
              <a:extLst>
                <a:ext uri="{63B3BB69-23CF-44E3-9099-C40C66FF867C}">
                  <a14:compatExt spid="_x0000_s29655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跳至新增頁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0</xdr:colOff>
          <xdr:row>0</xdr:row>
          <xdr:rowOff>342900</xdr:rowOff>
        </xdr:from>
        <xdr:to>
          <xdr:col>32</xdr:col>
          <xdr:colOff>411480</xdr:colOff>
          <xdr:row>3</xdr:row>
          <xdr:rowOff>30480</xdr:rowOff>
        </xdr:to>
        <xdr:sp macro="" textlink="">
          <xdr:nvSpPr>
            <xdr:cNvPr id="2966529" name="Button 1" hidden="1">
              <a:extLst>
                <a:ext uri="{63B3BB69-23CF-44E3-9099-C40C66FF867C}">
                  <a14:compatExt spid="_x0000_s29665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跳至新增頁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0</xdr:colOff>
          <xdr:row>0</xdr:row>
          <xdr:rowOff>342900</xdr:rowOff>
        </xdr:from>
        <xdr:to>
          <xdr:col>32</xdr:col>
          <xdr:colOff>411480</xdr:colOff>
          <xdr:row>3</xdr:row>
          <xdr:rowOff>30480</xdr:rowOff>
        </xdr:to>
        <xdr:sp macro="" textlink="">
          <xdr:nvSpPr>
            <xdr:cNvPr id="2967553" name="Button 1" hidden="1">
              <a:extLst>
                <a:ext uri="{63B3BB69-23CF-44E3-9099-C40C66FF867C}">
                  <a14:compatExt spid="_x0000_s29675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跳至新增頁</a:t>
              </a:r>
            </a:p>
          </xdr:txBody>
        </xdr:sp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0</xdr:colOff>
          <xdr:row>0</xdr:row>
          <xdr:rowOff>342900</xdr:rowOff>
        </xdr:from>
        <xdr:to>
          <xdr:col>32</xdr:col>
          <xdr:colOff>411480</xdr:colOff>
          <xdr:row>3</xdr:row>
          <xdr:rowOff>30480</xdr:rowOff>
        </xdr:to>
        <xdr:sp macro="" textlink="">
          <xdr:nvSpPr>
            <xdr:cNvPr id="2968577" name="Button 1" hidden="1">
              <a:extLst>
                <a:ext uri="{63B3BB69-23CF-44E3-9099-C40C66FF867C}">
                  <a14:compatExt spid="_x0000_s29685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跳至新增頁</a:t>
              </a:r>
            </a:p>
          </xdr:txBody>
        </xdr:sp>
        <xdr:clientData fPrintsWithSheet="0"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0</xdr:colOff>
          <xdr:row>0</xdr:row>
          <xdr:rowOff>342900</xdr:rowOff>
        </xdr:from>
        <xdr:to>
          <xdr:col>32</xdr:col>
          <xdr:colOff>411480</xdr:colOff>
          <xdr:row>3</xdr:row>
          <xdr:rowOff>30480</xdr:rowOff>
        </xdr:to>
        <xdr:sp macro="" textlink="">
          <xdr:nvSpPr>
            <xdr:cNvPr id="2969601" name="Button 1" hidden="1">
              <a:extLst>
                <a:ext uri="{63B3BB69-23CF-44E3-9099-C40C66FF867C}">
                  <a14:compatExt spid="_x0000_s29696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跳至新增頁</a:t>
              </a:r>
            </a:p>
          </xdr:txBody>
        </xdr:sp>
        <xdr:clientData fPrintsWithSheet="0"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0</xdr:colOff>
          <xdr:row>0</xdr:row>
          <xdr:rowOff>342900</xdr:rowOff>
        </xdr:from>
        <xdr:to>
          <xdr:col>32</xdr:col>
          <xdr:colOff>411480</xdr:colOff>
          <xdr:row>3</xdr:row>
          <xdr:rowOff>30480</xdr:rowOff>
        </xdr:to>
        <xdr:sp macro="" textlink="">
          <xdr:nvSpPr>
            <xdr:cNvPr id="2970625" name="Button 1" hidden="1">
              <a:extLst>
                <a:ext uri="{63B3BB69-23CF-44E3-9099-C40C66FF867C}">
                  <a14:compatExt spid="_x0000_s29706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跳至新增頁</a:t>
              </a:r>
            </a:p>
          </xdr:txBody>
        </xdr:sp>
        <xdr:clientData fPrintsWithSheet="0"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0</xdr:colOff>
          <xdr:row>0</xdr:row>
          <xdr:rowOff>342900</xdr:rowOff>
        </xdr:from>
        <xdr:to>
          <xdr:col>32</xdr:col>
          <xdr:colOff>411480</xdr:colOff>
          <xdr:row>3</xdr:row>
          <xdr:rowOff>30480</xdr:rowOff>
        </xdr:to>
        <xdr:sp macro="" textlink="">
          <xdr:nvSpPr>
            <xdr:cNvPr id="2972673" name="Button 1" hidden="1">
              <a:extLst>
                <a:ext uri="{63B3BB69-23CF-44E3-9099-C40C66FF867C}">
                  <a14:compatExt spid="_x0000_s29726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跳至新增頁</a:t>
              </a:r>
            </a:p>
          </xdr:txBody>
        </xdr:sp>
        <xdr:clientData fPrintsWithSheet="0"/>
      </xdr:twoCellAnchor>
    </mc:Choice>
    <mc:Fallback/>
  </mc:AlternateContent>
</xdr:wsDr>
</file>

<file path=xl/drawings/drawing2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0</xdr:colOff>
          <xdr:row>0</xdr:row>
          <xdr:rowOff>342900</xdr:rowOff>
        </xdr:from>
        <xdr:to>
          <xdr:col>32</xdr:col>
          <xdr:colOff>411480</xdr:colOff>
          <xdr:row>3</xdr:row>
          <xdr:rowOff>30480</xdr:rowOff>
        </xdr:to>
        <xdr:sp macro="" textlink="">
          <xdr:nvSpPr>
            <xdr:cNvPr id="2973697" name="Button 1" hidden="1">
              <a:extLst>
                <a:ext uri="{63B3BB69-23CF-44E3-9099-C40C66FF867C}">
                  <a14:compatExt spid="_x0000_s29736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跳至新增頁</a:t>
              </a:r>
            </a:p>
          </xdr:txBody>
        </xdr:sp>
        <xdr:clientData fPrintsWithSheet="0"/>
      </xdr:twoCellAnchor>
    </mc:Choice>
    <mc:Fallback/>
  </mc:AlternateContent>
</xdr:wsDr>
</file>

<file path=xl/drawings/drawing2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0</xdr:colOff>
          <xdr:row>0</xdr:row>
          <xdr:rowOff>342900</xdr:rowOff>
        </xdr:from>
        <xdr:to>
          <xdr:col>32</xdr:col>
          <xdr:colOff>411480</xdr:colOff>
          <xdr:row>3</xdr:row>
          <xdr:rowOff>30480</xdr:rowOff>
        </xdr:to>
        <xdr:sp macro="" textlink="">
          <xdr:nvSpPr>
            <xdr:cNvPr id="2974721" name="Button 1" hidden="1">
              <a:extLst>
                <a:ext uri="{63B3BB69-23CF-44E3-9099-C40C66FF867C}">
                  <a14:compatExt spid="_x0000_s29747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跳至新增頁</a:t>
              </a:r>
            </a:p>
          </xdr:txBody>
        </xdr:sp>
        <xdr:clientData fPrintsWithSheet="0"/>
      </xdr:twoCellAnchor>
    </mc:Choice>
    <mc:Fallback/>
  </mc:AlternateContent>
</xdr:wsDr>
</file>

<file path=xl/drawings/drawing2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0</xdr:colOff>
          <xdr:row>0</xdr:row>
          <xdr:rowOff>342900</xdr:rowOff>
        </xdr:from>
        <xdr:to>
          <xdr:col>32</xdr:col>
          <xdr:colOff>411480</xdr:colOff>
          <xdr:row>3</xdr:row>
          <xdr:rowOff>30480</xdr:rowOff>
        </xdr:to>
        <xdr:sp macro="" textlink="">
          <xdr:nvSpPr>
            <xdr:cNvPr id="2976769" name="Button 1" hidden="1">
              <a:extLst>
                <a:ext uri="{63B3BB69-23CF-44E3-9099-C40C66FF867C}">
                  <a14:compatExt spid="_x0000_s29767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跳至新增頁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name="取樣回收每月庫存表 0620更新" connectionId="14" autoFormatId="16" applyNumberFormats="0" applyBorderFormats="0" applyFontFormats="0" applyPatternFormats="0" applyAlignmentFormats="0" applyWidthHeightFormats="0">
  <queryTableRefresh nextId="29">
    <queryTableFields count="28">
      <queryTableField id="1" name="請直接以10進位，謝謝" tableColumnId="1"/>
      <queryTableField id="2" name="F2" tableColumnId="2"/>
      <queryTableField id="3" name="F3" tableColumnId="3"/>
      <queryTableField id="4" name="F4" tableColumnId="4"/>
      <queryTableField id="5" name="F5" tableColumnId="5"/>
      <queryTableField id="6" name="F6" tableColumnId="6"/>
      <queryTableField id="7" name="F7" tableColumnId="7"/>
      <queryTableField id="8" name="F8" tableColumnId="8"/>
      <queryTableField id="9" name="F9" tableColumnId="9"/>
      <queryTableField id="10" name="F10" tableColumnId="10"/>
      <queryTableField id="11" name="F11" tableColumnId="11"/>
      <queryTableField id="12" name="F12" tableColumnId="12"/>
      <queryTableField id="13" name="F13" tableColumnId="13"/>
      <queryTableField id="14" name="F14" tableColumnId="14"/>
      <queryTableField id="15" name="F15" tableColumnId="15"/>
      <queryTableField id="16" name="F16" tableColumnId="16"/>
      <queryTableField id="17" name="F17" tableColumnId="17"/>
      <queryTableField id="18" name="F18" tableColumnId="18"/>
      <queryTableField id="19" name="F19" tableColumnId="19"/>
      <queryTableField id="20" name="F20" tableColumnId="20"/>
      <queryTableField id="21" name="F21" tableColumnId="21"/>
      <queryTableField id="22" name="2024/6/24 14:52" tableColumnId="22"/>
      <queryTableField id="23" name="F23" tableColumnId="23"/>
      <queryTableField id="24" name="F24" tableColumnId="24"/>
      <queryTableField id="25" name="F25" tableColumnId="25"/>
      <queryTableField id="26" name="F26" tableColumnId="26"/>
      <queryTableField id="27" name="F27" tableColumnId="27"/>
      <queryTableField id="28" name="F28" tableColumnId="28"/>
    </queryTableFields>
  </queryTableRefresh>
</queryTable>
</file>

<file path=xl/queryTables/queryTable2.xml><?xml version="1.0" encoding="utf-8"?>
<queryTable xmlns="http://schemas.openxmlformats.org/spreadsheetml/2006/main" name="取樣回收每月庫存表 0620更新" connectionId="1" autoFormatId="16" applyNumberFormats="0" applyBorderFormats="0" applyFontFormats="0" applyPatternFormats="0" applyAlignmentFormats="0" applyWidthHeightFormats="0">
  <queryTableRefresh nextId="29">
    <queryTableFields count="28">
      <queryTableField id="1" name="請直接以10進位，謝謝" tableColumnId="1"/>
      <queryTableField id="2" name="F2" tableColumnId="2"/>
      <queryTableField id="3" name="F3" tableColumnId="3"/>
      <queryTableField id="4" name="F4" tableColumnId="4"/>
      <queryTableField id="5" name="F5" tableColumnId="5"/>
      <queryTableField id="6" name="F6" tableColumnId="6"/>
      <queryTableField id="7" name="F7" tableColumnId="7"/>
      <queryTableField id="8" name="F8" tableColumnId="8"/>
      <queryTableField id="9" name="F9" tableColumnId="9"/>
      <queryTableField id="10" name="F10" tableColumnId="10"/>
      <queryTableField id="11" name="F11" tableColumnId="11"/>
      <queryTableField id="12" name="F12" tableColumnId="12"/>
      <queryTableField id="13" name="F13" tableColumnId="13"/>
      <queryTableField id="14" name="F14" tableColumnId="14"/>
      <queryTableField id="15" name="F15" tableColumnId="15"/>
      <queryTableField id="16" name="F16" tableColumnId="16"/>
      <queryTableField id="17" name="F17" tableColumnId="17"/>
      <queryTableField id="18" name="F18" tableColumnId="18"/>
      <queryTableField id="19" name="F19" tableColumnId="19"/>
      <queryTableField id="20" name="F20" tableColumnId="20"/>
      <queryTableField id="21" name="F21" tableColumnId="21"/>
      <queryTableField id="22" name="2024/6/24 14:52" tableColumnId="22"/>
      <queryTableField id="23" name="F23" tableColumnId="23"/>
      <queryTableField id="24" name="F24" tableColumnId="24"/>
      <queryTableField id="25" name="F25" tableColumnId="25"/>
      <queryTableField id="26" name="F26" tableColumnId="26"/>
      <queryTableField id="27" name="F27" tableColumnId="27"/>
      <queryTableField id="28" name="F28" tableColumnId="28"/>
    </queryTableFields>
  </queryTableRefresh>
</queryTable>
</file>

<file path=xl/queryTables/queryTable3.xml><?xml version="1.0" encoding="utf-8"?>
<queryTable xmlns="http://schemas.openxmlformats.org/spreadsheetml/2006/main" name="取樣回收每月庫存表 0620更新" connectionId="12" autoFormatId="16" applyNumberFormats="0" applyBorderFormats="0" applyFontFormats="0" applyPatternFormats="0" applyAlignmentFormats="0" applyWidthHeightFormats="0">
  <queryTableRefresh nextId="29">
    <queryTableFields count="28">
      <queryTableField id="1" name="請直接以10進位，謝謝" tableColumnId="1"/>
      <queryTableField id="2" name="F2" tableColumnId="2"/>
      <queryTableField id="3" name="F3" tableColumnId="3"/>
      <queryTableField id="4" name="F4" tableColumnId="4"/>
      <queryTableField id="5" name="F5" tableColumnId="5"/>
      <queryTableField id="6" name="F6" tableColumnId="6"/>
      <queryTableField id="7" name="F7" tableColumnId="7"/>
      <queryTableField id="8" name="F8" tableColumnId="8"/>
      <queryTableField id="9" name="F9" tableColumnId="9"/>
      <queryTableField id="10" name="F10" tableColumnId="10"/>
      <queryTableField id="11" name="F11" tableColumnId="11"/>
      <queryTableField id="12" name="F12" tableColumnId="12"/>
      <queryTableField id="13" name="F13" tableColumnId="13"/>
      <queryTableField id="14" name="F14" tableColumnId="14"/>
      <queryTableField id="15" name="F15" tableColumnId="15"/>
      <queryTableField id="16" name="F16" tableColumnId="16"/>
      <queryTableField id="17" name="F17" tableColumnId="17"/>
      <queryTableField id="18" name="F18" tableColumnId="18"/>
      <queryTableField id="19" name="F19" tableColumnId="19"/>
      <queryTableField id="20" name="F20" tableColumnId="20"/>
      <queryTableField id="21" name="F21" tableColumnId="21"/>
      <queryTableField id="22" name="2024/6/24 14:52" tableColumnId="22"/>
      <queryTableField id="23" name="F23" tableColumnId="23"/>
      <queryTableField id="24" name="F24" tableColumnId="24"/>
      <queryTableField id="25" name="F25" tableColumnId="25"/>
      <queryTableField id="26" name="F26" tableColumnId="26"/>
      <queryTableField id="27" name="F27" tableColumnId="27"/>
      <queryTableField id="28" name="F28" tableColumnId="28"/>
    </queryTableFields>
  </queryTableRefresh>
</queryTable>
</file>

<file path=xl/queryTables/queryTable4.xml><?xml version="1.0" encoding="utf-8"?>
<queryTable xmlns="http://schemas.openxmlformats.org/spreadsheetml/2006/main" name="取樣回收每月庫存表 0620更新" connectionId="15" autoFormatId="16" applyNumberFormats="0" applyBorderFormats="0" applyFontFormats="0" applyPatternFormats="0" applyAlignmentFormats="0" applyWidthHeightFormats="0">
  <queryTableRefresh nextId="29">
    <queryTableFields count="28">
      <queryTableField id="1" name="請直接以10進位，謝謝" tableColumnId="1"/>
      <queryTableField id="2" name="F2" tableColumnId="2"/>
      <queryTableField id="3" name="F3" tableColumnId="3"/>
      <queryTableField id="4" name="F4" tableColumnId="4"/>
      <queryTableField id="5" name="F5" tableColumnId="5"/>
      <queryTableField id="6" name="F6" tableColumnId="6"/>
      <queryTableField id="7" name="F7" tableColumnId="7"/>
      <queryTableField id="8" name="F8" tableColumnId="8"/>
      <queryTableField id="9" name="F9" tableColumnId="9"/>
      <queryTableField id="10" name="F10" tableColumnId="10"/>
      <queryTableField id="11" name="F11" tableColumnId="11"/>
      <queryTableField id="12" name="F12" tableColumnId="12"/>
      <queryTableField id="13" name="F13" tableColumnId="13"/>
      <queryTableField id="14" name="F14" tableColumnId="14"/>
      <queryTableField id="15" name="F15" tableColumnId="15"/>
      <queryTableField id="16" name="F16" tableColumnId="16"/>
      <queryTableField id="17" name="F17" tableColumnId="17"/>
      <queryTableField id="18" name="F18" tableColumnId="18"/>
      <queryTableField id="19" name="F19" tableColumnId="19"/>
      <queryTableField id="20" name="F20" tableColumnId="20"/>
      <queryTableField id="21" name="F21" tableColumnId="21"/>
      <queryTableField id="22" name="2024/6/24 14:52" tableColumnId="22"/>
      <queryTableField id="23" name="F23" tableColumnId="23"/>
      <queryTableField id="24" name="F24" tableColumnId="24"/>
      <queryTableField id="25" name="F25" tableColumnId="25"/>
      <queryTableField id="26" name="F26" tableColumnId="26"/>
      <queryTableField id="27" name="F27" tableColumnId="27"/>
      <queryTableField id="28" name="F28" tableColumnId="28"/>
    </queryTableFields>
  </queryTableRefresh>
</queryTable>
</file>

<file path=xl/queryTables/queryTable5.xml><?xml version="1.0" encoding="utf-8"?>
<queryTable xmlns="http://schemas.openxmlformats.org/spreadsheetml/2006/main" name="取樣回收每月庫存表 0620更新" connectionId="16" autoFormatId="16" applyNumberFormats="0" applyBorderFormats="0" applyFontFormats="0" applyPatternFormats="0" applyAlignmentFormats="0" applyWidthHeightFormats="0">
  <queryTableRefresh nextId="29">
    <queryTableFields count="28">
      <queryTableField id="1" name="請直接以10進位，謝謝" tableColumnId="1"/>
      <queryTableField id="2" name="F2" tableColumnId="2"/>
      <queryTableField id="3" name="F3" tableColumnId="3"/>
      <queryTableField id="4" name="F4" tableColumnId="4"/>
      <queryTableField id="5" name="F5" tableColumnId="5"/>
      <queryTableField id="6" name="F6" tableColumnId="6"/>
      <queryTableField id="7" name="F7" tableColumnId="7"/>
      <queryTableField id="8" name="F8" tableColumnId="8"/>
      <queryTableField id="9" name="F9" tableColumnId="9"/>
      <queryTableField id="10" name="F10" tableColumnId="10"/>
      <queryTableField id="11" name="F11" tableColumnId="11"/>
      <queryTableField id="12" name="F12" tableColumnId="12"/>
      <queryTableField id="13" name="F13" tableColumnId="13"/>
      <queryTableField id="14" name="F14" tableColumnId="14"/>
      <queryTableField id="15" name="F15" tableColumnId="15"/>
      <queryTableField id="16" name="F16" tableColumnId="16"/>
      <queryTableField id="17" name="F17" tableColumnId="17"/>
      <queryTableField id="18" name="F18" tableColumnId="18"/>
      <queryTableField id="19" name="F19" tableColumnId="19"/>
      <queryTableField id="20" name="F20" tableColumnId="20"/>
      <queryTableField id="21" name="F21" tableColumnId="21"/>
      <queryTableField id="22" name="2024/6/24 14:52" tableColumnId="22"/>
      <queryTableField id="23" name="F23" tableColumnId="23"/>
      <queryTableField id="24" name="F24" tableColumnId="24"/>
      <queryTableField id="25" name="F25" tableColumnId="25"/>
      <queryTableField id="26" name="F26" tableColumnId="26"/>
      <queryTableField id="27" name="F27" tableColumnId="27"/>
      <queryTableField id="28" name="F28" tableColumnId="28"/>
    </queryTableFields>
  </queryTableRefresh>
</queryTable>
</file>

<file path=xl/queryTables/queryTable6.xml><?xml version="1.0" encoding="utf-8"?>
<queryTable xmlns="http://schemas.openxmlformats.org/spreadsheetml/2006/main" name="取樣回收每月庫存表 0620更新" connectionId="17" autoFormatId="16" applyNumberFormats="0" applyBorderFormats="0" applyFontFormats="0" applyPatternFormats="0" applyAlignmentFormats="0" applyWidthHeightFormats="0">
  <queryTableRefresh nextId="29">
    <queryTableFields count="28">
      <queryTableField id="1" name="請直接以10進位，謝謝" tableColumnId="1"/>
      <queryTableField id="2" name="F2" tableColumnId="2"/>
      <queryTableField id="3" name="F3" tableColumnId="3"/>
      <queryTableField id="4" name="F4" tableColumnId="4"/>
      <queryTableField id="5" name="F5" tableColumnId="5"/>
      <queryTableField id="6" name="F6" tableColumnId="6"/>
      <queryTableField id="7" name="F7" tableColumnId="7"/>
      <queryTableField id="8" name="F8" tableColumnId="8"/>
      <queryTableField id="9" name="F9" tableColumnId="9"/>
      <queryTableField id="10" name="F10" tableColumnId="10"/>
      <queryTableField id="11" name="F11" tableColumnId="11"/>
      <queryTableField id="12" name="F12" tableColumnId="12"/>
      <queryTableField id="13" name="F13" tableColumnId="13"/>
      <queryTableField id="14" name="F14" tableColumnId="14"/>
      <queryTableField id="15" name="F15" tableColumnId="15"/>
      <queryTableField id="16" name="F16" tableColumnId="16"/>
      <queryTableField id="17" name="F17" tableColumnId="17"/>
      <queryTableField id="18" name="F18" tableColumnId="18"/>
      <queryTableField id="19" name="F19" tableColumnId="19"/>
      <queryTableField id="20" name="F20" tableColumnId="20"/>
      <queryTableField id="21" name="F21" tableColumnId="21"/>
      <queryTableField id="22" name="2024/6/24 14:52" tableColumnId="22"/>
      <queryTableField id="23" name="F23" tableColumnId="23"/>
      <queryTableField id="24" name="F24" tableColumnId="24"/>
      <queryTableField id="25" name="F25" tableColumnId="25"/>
      <queryTableField id="26" name="F26" tableColumnId="26"/>
      <queryTableField id="27" name="F27" tableColumnId="27"/>
      <queryTableField id="28" name="F28" tableColumnId="28"/>
    </queryTableFields>
  </queryTableRefresh>
</queryTable>
</file>

<file path=xl/queryTables/queryTable7.xml><?xml version="1.0" encoding="utf-8"?>
<queryTable xmlns="http://schemas.openxmlformats.org/spreadsheetml/2006/main" name="取樣回收每月庫存表 0620更新" connectionId="18" autoFormatId="16" applyNumberFormats="0" applyBorderFormats="0" applyFontFormats="0" applyPatternFormats="0" applyAlignmentFormats="0" applyWidthHeightFormats="0">
  <queryTableRefresh nextId="29">
    <queryTableFields count="28">
      <queryTableField id="1" name="請直接以10進位，謝謝" tableColumnId="1"/>
      <queryTableField id="2" name="F2" tableColumnId="2"/>
      <queryTableField id="3" name="F3" tableColumnId="3"/>
      <queryTableField id="4" name="F4" tableColumnId="4"/>
      <queryTableField id="5" name="F5" tableColumnId="5"/>
      <queryTableField id="6" name="F6" tableColumnId="6"/>
      <queryTableField id="7" name="F7" tableColumnId="7"/>
      <queryTableField id="8" name="F8" tableColumnId="8"/>
      <queryTableField id="9" name="F9" tableColumnId="9"/>
      <queryTableField id="10" name="F10" tableColumnId="10"/>
      <queryTableField id="11" name="F11" tableColumnId="11"/>
      <queryTableField id="12" name="F12" tableColumnId="12"/>
      <queryTableField id="13" name="F13" tableColumnId="13"/>
      <queryTableField id="14" name="F14" tableColumnId="14"/>
      <queryTableField id="15" name="F15" tableColumnId="15"/>
      <queryTableField id="16" name="F16" tableColumnId="16"/>
      <queryTableField id="17" name="F17" tableColumnId="17"/>
      <queryTableField id="18" name="F18" tableColumnId="18"/>
      <queryTableField id="19" name="F19" tableColumnId="19"/>
      <queryTableField id="20" name="F20" tableColumnId="20"/>
      <queryTableField id="21" name="F21" tableColumnId="21"/>
      <queryTableField id="22" name="2024/6/24 14:52" tableColumnId="22"/>
      <queryTableField id="23" name="F23" tableColumnId="23"/>
      <queryTableField id="24" name="F24" tableColumnId="24"/>
      <queryTableField id="25" name="F25" tableColumnId="25"/>
      <queryTableField id="26" name="F26" tableColumnId="26"/>
      <queryTableField id="27" name="F27" tableColumnId="27"/>
      <queryTableField id="28" name="F28" tableColumnId="28"/>
    </queryTableFields>
  </queryTableRefresh>
</queryTable>
</file>

<file path=xl/queryTables/queryTable8.xml><?xml version="1.0" encoding="utf-8"?>
<queryTable xmlns="http://schemas.openxmlformats.org/spreadsheetml/2006/main" name="取樣回收每月庫存表 0620更新" connectionId="19" autoFormatId="16" applyNumberFormats="0" applyBorderFormats="0" applyFontFormats="0" applyPatternFormats="0" applyAlignmentFormats="0" applyWidthHeightFormats="0">
  <queryTableRefresh nextId="29">
    <queryTableFields count="28">
      <queryTableField id="1" name="請直接以10進位，謝謝" tableColumnId="1"/>
      <queryTableField id="2" name="F2" tableColumnId="2"/>
      <queryTableField id="3" name="F3" tableColumnId="3"/>
      <queryTableField id="4" name="F4" tableColumnId="4"/>
      <queryTableField id="5" name="F5" tableColumnId="5"/>
      <queryTableField id="6" name="F6" tableColumnId="6"/>
      <queryTableField id="7" name="F7" tableColumnId="7"/>
      <queryTableField id="8" name="F8" tableColumnId="8"/>
      <queryTableField id="9" name="F9" tableColumnId="9"/>
      <queryTableField id="10" name="F10" tableColumnId="10"/>
      <queryTableField id="11" name="F11" tableColumnId="11"/>
      <queryTableField id="12" name="F12" tableColumnId="12"/>
      <queryTableField id="13" name="F13" tableColumnId="13"/>
      <queryTableField id="14" name="F14" tableColumnId="14"/>
      <queryTableField id="15" name="F15" tableColumnId="15"/>
      <queryTableField id="16" name="F16" tableColumnId="16"/>
      <queryTableField id="17" name="F17" tableColumnId="17"/>
      <queryTableField id="18" name="F18" tableColumnId="18"/>
      <queryTableField id="19" name="F19" tableColumnId="19"/>
      <queryTableField id="20" name="F20" tableColumnId="20"/>
      <queryTableField id="21" name="F21" tableColumnId="21"/>
      <queryTableField id="22" name="2024/6/24 14:52" tableColumnId="22"/>
      <queryTableField id="23" name="F23" tableColumnId="23"/>
      <queryTableField id="24" name="F24" tableColumnId="24"/>
      <queryTableField id="25" name="F25" tableColumnId="25"/>
      <queryTableField id="26" name="F26" tableColumnId="26"/>
      <queryTableField id="27" name="F27" tableColumnId="27"/>
      <queryTableField id="28" name="F28" tableColumnId="28"/>
    </queryTableFields>
  </queryTableRefresh>
</queryTable>
</file>

<file path=xl/queryTables/queryTable9.xml><?xml version="1.0" encoding="utf-8"?>
<queryTable xmlns="http://schemas.openxmlformats.org/spreadsheetml/2006/main" name="取樣回收每月庫存表 0620更新" connectionId="20" autoFormatId="16" applyNumberFormats="0" applyBorderFormats="0" applyFontFormats="0" applyPatternFormats="0" applyAlignmentFormats="0" applyWidthHeightFormats="0">
  <queryTableRefresh nextId="29">
    <queryTableFields count="28">
      <queryTableField id="1" name="請直接以10進位，謝謝" tableColumnId="1"/>
      <queryTableField id="2" name="F2" tableColumnId="2"/>
      <queryTableField id="3" name="F3" tableColumnId="3"/>
      <queryTableField id="4" name="F4" tableColumnId="4"/>
      <queryTableField id="5" name="F5" tableColumnId="5"/>
      <queryTableField id="6" name="F6" tableColumnId="6"/>
      <queryTableField id="7" name="F7" tableColumnId="7"/>
      <queryTableField id="8" name="F8" tableColumnId="8"/>
      <queryTableField id="9" name="F9" tableColumnId="9"/>
      <queryTableField id="10" name="F10" tableColumnId="10"/>
      <queryTableField id="11" name="F11" tableColumnId="11"/>
      <queryTableField id="12" name="F12" tableColumnId="12"/>
      <queryTableField id="13" name="F13" tableColumnId="13"/>
      <queryTableField id="14" name="F14" tableColumnId="14"/>
      <queryTableField id="15" name="F15" tableColumnId="15"/>
      <queryTableField id="16" name="F16" tableColumnId="16"/>
      <queryTableField id="17" name="F17" tableColumnId="17"/>
      <queryTableField id="18" name="F18" tableColumnId="18"/>
      <queryTableField id="19" name="F19" tableColumnId="19"/>
      <queryTableField id="20" name="F20" tableColumnId="20"/>
      <queryTableField id="21" name="F21" tableColumnId="21"/>
      <queryTableField id="22" name="2024/6/24 14:52" tableColumnId="22"/>
      <queryTableField id="23" name="F23" tableColumnId="23"/>
      <queryTableField id="24" name="F24" tableColumnId="24"/>
      <queryTableField id="25" name="F25" tableColumnId="25"/>
      <queryTableField id="26" name="F26" tableColumnId="26"/>
      <queryTableField id="27" name="F27" tableColumnId="27"/>
      <queryTableField id="28" name="F28" tableColumnId="28"/>
    </queryTableFields>
  </queryTableRefresh>
</queryTable>
</file>

<file path=xl/queryTables/queryTable10.xml><?xml version="1.0" encoding="utf-8"?>
<queryTable xmlns="http://schemas.openxmlformats.org/spreadsheetml/2006/main" name="取樣回收每月庫存表 0620更新" connectionId="21" autoFormatId="16" applyNumberFormats="0" applyBorderFormats="0" applyFontFormats="0" applyPatternFormats="0" applyAlignmentFormats="0" applyWidthHeightFormats="0">
  <queryTableRefresh nextId="29">
    <queryTableFields count="28">
      <queryTableField id="1" name="請直接以10進位，謝謝" tableColumnId="1"/>
      <queryTableField id="2" name="F2" tableColumnId="2"/>
      <queryTableField id="3" name="F3" tableColumnId="3"/>
      <queryTableField id="4" name="F4" tableColumnId="4"/>
      <queryTableField id="5" name="F5" tableColumnId="5"/>
      <queryTableField id="6" name="F6" tableColumnId="6"/>
      <queryTableField id="7" name="F7" tableColumnId="7"/>
      <queryTableField id="8" name="F8" tableColumnId="8"/>
      <queryTableField id="9" name="F9" tableColumnId="9"/>
      <queryTableField id="10" name="F10" tableColumnId="10"/>
      <queryTableField id="11" name="F11" tableColumnId="11"/>
      <queryTableField id="12" name="F12" tableColumnId="12"/>
      <queryTableField id="13" name="F13" tableColumnId="13"/>
      <queryTableField id="14" name="F14" tableColumnId="14"/>
      <queryTableField id="15" name="F15" tableColumnId="15"/>
      <queryTableField id="16" name="F16" tableColumnId="16"/>
      <queryTableField id="17" name="F17" tableColumnId="17"/>
      <queryTableField id="18" name="F18" tableColumnId="18"/>
      <queryTableField id="19" name="F19" tableColumnId="19"/>
      <queryTableField id="20" name="F20" tableColumnId="20"/>
      <queryTableField id="21" name="F21" tableColumnId="21"/>
      <queryTableField id="22" name="2024/6/24 14:52" tableColumnId="22"/>
      <queryTableField id="23" name="F23" tableColumnId="23"/>
      <queryTableField id="24" name="F24" tableColumnId="24"/>
      <queryTableField id="25" name="F25" tableColumnId="25"/>
      <queryTableField id="26" name="F26" tableColumnId="26"/>
      <queryTableField id="27" name="F27" tableColumnId="27"/>
      <queryTableField id="28" name="F28" tableColumnId="28"/>
    </queryTableFields>
  </queryTableRefresh>
</queryTable>
</file>

<file path=xl/queryTables/queryTable11.xml><?xml version="1.0" encoding="utf-8"?>
<queryTable xmlns="http://schemas.openxmlformats.org/spreadsheetml/2006/main" name="取樣回收每月庫存表 0620更新" connectionId="2" autoFormatId="16" applyNumberFormats="0" applyBorderFormats="0" applyFontFormats="0" applyPatternFormats="0" applyAlignmentFormats="0" applyWidthHeightFormats="0">
  <queryTableRefresh nextId="29">
    <queryTableFields count="28">
      <queryTableField id="1" name="請直接以10進位，謝謝" tableColumnId="1"/>
      <queryTableField id="2" name="F2" tableColumnId="2"/>
      <queryTableField id="3" name="F3" tableColumnId="3"/>
      <queryTableField id="4" name="F4" tableColumnId="4"/>
      <queryTableField id="5" name="F5" tableColumnId="5"/>
      <queryTableField id="6" name="F6" tableColumnId="6"/>
      <queryTableField id="7" name="F7" tableColumnId="7"/>
      <queryTableField id="8" name="F8" tableColumnId="8"/>
      <queryTableField id="9" name="F9" tableColumnId="9"/>
      <queryTableField id="10" name="F10" tableColumnId="10"/>
      <queryTableField id="11" name="F11" tableColumnId="11"/>
      <queryTableField id="12" name="F12" tableColumnId="12"/>
      <queryTableField id="13" name="F13" tableColumnId="13"/>
      <queryTableField id="14" name="F14" tableColumnId="14"/>
      <queryTableField id="15" name="F15" tableColumnId="15"/>
      <queryTableField id="16" name="F16" tableColumnId="16"/>
      <queryTableField id="17" name="F17" tableColumnId="17"/>
      <queryTableField id="18" name="F18" tableColumnId="18"/>
      <queryTableField id="19" name="F19" tableColumnId="19"/>
      <queryTableField id="20" name="F20" tableColumnId="20"/>
      <queryTableField id="21" name="F21" tableColumnId="21"/>
      <queryTableField id="22" name="2024/6/24 14:52" tableColumnId="22"/>
      <queryTableField id="23" name="F23" tableColumnId="23"/>
      <queryTableField id="24" name="F24" tableColumnId="24"/>
      <queryTableField id="25" name="F25" tableColumnId="25"/>
      <queryTableField id="26" name="F26" tableColumnId="26"/>
      <queryTableField id="27" name="F27" tableColumnId="27"/>
      <queryTableField id="28" name="F28" tableColumnId="28"/>
    </queryTableFields>
  </queryTableRefresh>
</queryTable>
</file>

<file path=xl/queryTables/queryTable12.xml><?xml version="1.0" encoding="utf-8"?>
<queryTable xmlns="http://schemas.openxmlformats.org/spreadsheetml/2006/main" name="取樣回收每月庫存表 0620更新" connectionId="3" autoFormatId="16" applyNumberFormats="0" applyBorderFormats="0" applyFontFormats="0" applyPatternFormats="0" applyAlignmentFormats="0" applyWidthHeightFormats="0">
  <queryTableRefresh nextId="29">
    <queryTableFields count="28">
      <queryTableField id="1" name="請直接以10進位，謝謝" tableColumnId="1"/>
      <queryTableField id="2" name="F2" tableColumnId="2"/>
      <queryTableField id="3" name="F3" tableColumnId="3"/>
      <queryTableField id="4" name="F4" tableColumnId="4"/>
      <queryTableField id="5" name="F5" tableColumnId="5"/>
      <queryTableField id="6" name="F6" tableColumnId="6"/>
      <queryTableField id="7" name="F7" tableColumnId="7"/>
      <queryTableField id="8" name="F8" tableColumnId="8"/>
      <queryTableField id="9" name="F9" tableColumnId="9"/>
      <queryTableField id="10" name="F10" tableColumnId="10"/>
      <queryTableField id="11" name="F11" tableColumnId="11"/>
      <queryTableField id="12" name="F12" tableColumnId="12"/>
      <queryTableField id="13" name="F13" tableColumnId="13"/>
      <queryTableField id="14" name="F14" tableColumnId="14"/>
      <queryTableField id="15" name="F15" tableColumnId="15"/>
      <queryTableField id="16" name="F16" tableColumnId="16"/>
      <queryTableField id="17" name="F17" tableColumnId="17"/>
      <queryTableField id="18" name="F18" tableColumnId="18"/>
      <queryTableField id="19" name="F19" tableColumnId="19"/>
      <queryTableField id="20" name="F20" tableColumnId="20"/>
      <queryTableField id="21" name="F21" tableColumnId="21"/>
      <queryTableField id="22" name="2024/6/24 14:52" tableColumnId="22"/>
      <queryTableField id="23" name="F23" tableColumnId="23"/>
      <queryTableField id="24" name="F24" tableColumnId="24"/>
      <queryTableField id="25" name="F25" tableColumnId="25"/>
      <queryTableField id="26" name="F26" tableColumnId="26"/>
      <queryTableField id="27" name="F27" tableColumnId="27"/>
      <queryTableField id="28" name="F28" tableColumnId="28"/>
    </queryTableFields>
  </queryTableRefresh>
</queryTable>
</file>

<file path=xl/queryTables/queryTable13.xml><?xml version="1.0" encoding="utf-8"?>
<queryTable xmlns="http://schemas.openxmlformats.org/spreadsheetml/2006/main" name="取樣回收每月庫存表 0620更新" connectionId="4" autoFormatId="16" applyNumberFormats="0" applyBorderFormats="0" applyFontFormats="0" applyPatternFormats="0" applyAlignmentFormats="0" applyWidthHeightFormats="0">
  <queryTableRefresh nextId="29">
    <queryTableFields count="28">
      <queryTableField id="1" name="請直接以10進位，謝謝" tableColumnId="1"/>
      <queryTableField id="2" name="F2" tableColumnId="2"/>
      <queryTableField id="3" name="F3" tableColumnId="3"/>
      <queryTableField id="4" name="F4" tableColumnId="4"/>
      <queryTableField id="5" name="F5" tableColumnId="5"/>
      <queryTableField id="6" name="F6" tableColumnId="6"/>
      <queryTableField id="7" name="F7" tableColumnId="7"/>
      <queryTableField id="8" name="F8" tableColumnId="8"/>
      <queryTableField id="9" name="F9" tableColumnId="9"/>
      <queryTableField id="10" name="F10" tableColumnId="10"/>
      <queryTableField id="11" name="F11" tableColumnId="11"/>
      <queryTableField id="12" name="F12" tableColumnId="12"/>
      <queryTableField id="13" name="F13" tableColumnId="13"/>
      <queryTableField id="14" name="F14" tableColumnId="14"/>
      <queryTableField id="15" name="F15" tableColumnId="15"/>
      <queryTableField id="16" name="F16" tableColumnId="16"/>
      <queryTableField id="17" name="F17" tableColumnId="17"/>
      <queryTableField id="18" name="F18" tableColumnId="18"/>
      <queryTableField id="19" name="F19" tableColumnId="19"/>
      <queryTableField id="20" name="F20" tableColumnId="20"/>
      <queryTableField id="21" name="F21" tableColumnId="21"/>
      <queryTableField id="22" name="2024/6/24 14:52" tableColumnId="22"/>
      <queryTableField id="23" name="F23" tableColumnId="23"/>
      <queryTableField id="24" name="F24" tableColumnId="24"/>
      <queryTableField id="25" name="F25" tableColumnId="25"/>
      <queryTableField id="26" name="F26" tableColumnId="26"/>
      <queryTableField id="27" name="F27" tableColumnId="27"/>
      <queryTableField id="28" name="F28" tableColumnId="28"/>
    </queryTableFields>
  </queryTableRefresh>
</queryTable>
</file>

<file path=xl/queryTables/queryTable14.xml><?xml version="1.0" encoding="utf-8"?>
<queryTable xmlns="http://schemas.openxmlformats.org/spreadsheetml/2006/main" name="取樣回收每月庫存表 0620更新" connectionId="5" autoFormatId="16" applyNumberFormats="0" applyBorderFormats="0" applyFontFormats="0" applyPatternFormats="0" applyAlignmentFormats="0" applyWidthHeightFormats="0">
  <queryTableRefresh nextId="29">
    <queryTableFields count="28">
      <queryTableField id="1" name="請直接以10進位，謝謝" tableColumnId="1"/>
      <queryTableField id="2" name="F2" tableColumnId="2"/>
      <queryTableField id="3" name="F3" tableColumnId="3"/>
      <queryTableField id="4" name="F4" tableColumnId="4"/>
      <queryTableField id="5" name="F5" tableColumnId="5"/>
      <queryTableField id="6" name="F6" tableColumnId="6"/>
      <queryTableField id="7" name="F7" tableColumnId="7"/>
      <queryTableField id="8" name="F8" tableColumnId="8"/>
      <queryTableField id="9" name="F9" tableColumnId="9"/>
      <queryTableField id="10" name="F10" tableColumnId="10"/>
      <queryTableField id="11" name="F11" tableColumnId="11"/>
      <queryTableField id="12" name="F12" tableColumnId="12"/>
      <queryTableField id="13" name="F13" tableColumnId="13"/>
      <queryTableField id="14" name="F14" tableColumnId="14"/>
      <queryTableField id="15" name="F15" tableColumnId="15"/>
      <queryTableField id="16" name="F16" tableColumnId="16"/>
      <queryTableField id="17" name="F17" tableColumnId="17"/>
      <queryTableField id="18" name="F18" tableColumnId="18"/>
      <queryTableField id="19" name="F19" tableColumnId="19"/>
      <queryTableField id="20" name="F20" tableColumnId="20"/>
      <queryTableField id="21" name="F21" tableColumnId="21"/>
      <queryTableField id="22" name="2024/6/24 14:52" tableColumnId="22"/>
      <queryTableField id="23" name="F23" tableColumnId="23"/>
      <queryTableField id="24" name="F24" tableColumnId="24"/>
      <queryTableField id="25" name="F25" tableColumnId="25"/>
      <queryTableField id="26" name="F26" tableColumnId="26"/>
      <queryTableField id="27" name="F27" tableColumnId="27"/>
      <queryTableField id="28" name="F28" tableColumnId="28"/>
    </queryTableFields>
  </queryTableRefresh>
</queryTable>
</file>

<file path=xl/queryTables/queryTable15.xml><?xml version="1.0" encoding="utf-8"?>
<queryTable xmlns="http://schemas.openxmlformats.org/spreadsheetml/2006/main" name="取樣回收每月庫存表 0620更新" connectionId="6" autoFormatId="16" applyNumberFormats="0" applyBorderFormats="0" applyFontFormats="0" applyPatternFormats="0" applyAlignmentFormats="0" applyWidthHeightFormats="0">
  <queryTableRefresh nextId="29">
    <queryTableFields count="28">
      <queryTableField id="1" name="請直接以10進位，謝謝" tableColumnId="1"/>
      <queryTableField id="2" name="F2" tableColumnId="2"/>
      <queryTableField id="3" name="F3" tableColumnId="3"/>
      <queryTableField id="4" name="F4" tableColumnId="4"/>
      <queryTableField id="5" name="F5" tableColumnId="5"/>
      <queryTableField id="6" name="F6" tableColumnId="6"/>
      <queryTableField id="7" name="F7" tableColumnId="7"/>
      <queryTableField id="8" name="F8" tableColumnId="8"/>
      <queryTableField id="9" name="F9" tableColumnId="9"/>
      <queryTableField id="10" name="F10" tableColumnId="10"/>
      <queryTableField id="11" name="F11" tableColumnId="11"/>
      <queryTableField id="12" name="F12" tableColumnId="12"/>
      <queryTableField id="13" name="F13" tableColumnId="13"/>
      <queryTableField id="14" name="F14" tableColumnId="14"/>
      <queryTableField id="15" name="F15" tableColumnId="15"/>
      <queryTableField id="16" name="F16" tableColumnId="16"/>
      <queryTableField id="17" name="F17" tableColumnId="17"/>
      <queryTableField id="18" name="F18" tableColumnId="18"/>
      <queryTableField id="19" name="F19" tableColumnId="19"/>
      <queryTableField id="20" name="F20" tableColumnId="20"/>
      <queryTableField id="21" name="F21" tableColumnId="21"/>
      <queryTableField id="22" name="2024/6/24 14:52" tableColumnId="22"/>
      <queryTableField id="23" name="F23" tableColumnId="23"/>
      <queryTableField id="24" name="F24" tableColumnId="24"/>
      <queryTableField id="25" name="F25" tableColumnId="25"/>
      <queryTableField id="26" name="F26" tableColumnId="26"/>
      <queryTableField id="27" name="F27" tableColumnId="27"/>
      <queryTableField id="28" name="F28" tableColumnId="28"/>
    </queryTableFields>
  </queryTableRefresh>
</queryTable>
</file>

<file path=xl/queryTables/queryTable16.xml><?xml version="1.0" encoding="utf-8"?>
<queryTable xmlns="http://schemas.openxmlformats.org/spreadsheetml/2006/main" name="取樣回收每月庫存表 0620更新" connectionId="7" autoFormatId="16" applyNumberFormats="0" applyBorderFormats="0" applyFontFormats="0" applyPatternFormats="0" applyAlignmentFormats="0" applyWidthHeightFormats="0">
  <queryTableRefresh nextId="29">
    <queryTableFields count="28">
      <queryTableField id="1" name="請直接以10進位，謝謝" tableColumnId="1"/>
      <queryTableField id="2" name="F2" tableColumnId="2"/>
      <queryTableField id="3" name="F3" tableColumnId="3"/>
      <queryTableField id="4" name="F4" tableColumnId="4"/>
      <queryTableField id="5" name="F5" tableColumnId="5"/>
      <queryTableField id="6" name="F6" tableColumnId="6"/>
      <queryTableField id="7" name="F7" tableColumnId="7"/>
      <queryTableField id="8" name="F8" tableColumnId="8"/>
      <queryTableField id="9" name="F9" tableColumnId="9"/>
      <queryTableField id="10" name="F10" tableColumnId="10"/>
      <queryTableField id="11" name="F11" tableColumnId="11"/>
      <queryTableField id="12" name="F12" tableColumnId="12"/>
      <queryTableField id="13" name="F13" tableColumnId="13"/>
      <queryTableField id="14" name="F14" tableColumnId="14"/>
      <queryTableField id="15" name="F15" tableColumnId="15"/>
      <queryTableField id="16" name="F16" tableColumnId="16"/>
      <queryTableField id="17" name="F17" tableColumnId="17"/>
      <queryTableField id="18" name="F18" tableColumnId="18"/>
      <queryTableField id="19" name="F19" tableColumnId="19"/>
      <queryTableField id="20" name="F20" tableColumnId="20"/>
      <queryTableField id="21" name="F21" tableColumnId="21"/>
      <queryTableField id="22" name="2024/6/24 14:52" tableColumnId="22"/>
      <queryTableField id="23" name="F23" tableColumnId="23"/>
      <queryTableField id="24" name="F24" tableColumnId="24"/>
      <queryTableField id="25" name="F25" tableColumnId="25"/>
      <queryTableField id="26" name="F26" tableColumnId="26"/>
      <queryTableField id="27" name="F27" tableColumnId="27"/>
      <queryTableField id="28" name="F28" tableColumnId="28"/>
    </queryTableFields>
  </queryTableRefresh>
</queryTable>
</file>

<file path=xl/queryTables/queryTable17.xml><?xml version="1.0" encoding="utf-8"?>
<queryTable xmlns="http://schemas.openxmlformats.org/spreadsheetml/2006/main" name="取樣回收每月庫存表 0620更新" connectionId="8" autoFormatId="16" applyNumberFormats="0" applyBorderFormats="0" applyFontFormats="0" applyPatternFormats="0" applyAlignmentFormats="0" applyWidthHeightFormats="0">
  <queryTableRefresh nextId="29">
    <queryTableFields count="28">
      <queryTableField id="1" name="請直接以10進位，謝謝" tableColumnId="1"/>
      <queryTableField id="2" name="F2" tableColumnId="2"/>
      <queryTableField id="3" name="F3" tableColumnId="3"/>
      <queryTableField id="4" name="F4" tableColumnId="4"/>
      <queryTableField id="5" name="F5" tableColumnId="5"/>
      <queryTableField id="6" name="F6" tableColumnId="6"/>
      <queryTableField id="7" name="F7" tableColumnId="7"/>
      <queryTableField id="8" name="F8" tableColumnId="8"/>
      <queryTableField id="9" name="F9" tableColumnId="9"/>
      <queryTableField id="10" name="F10" tableColumnId="10"/>
      <queryTableField id="11" name="F11" tableColumnId="11"/>
      <queryTableField id="12" name="F12" tableColumnId="12"/>
      <queryTableField id="13" name="F13" tableColumnId="13"/>
      <queryTableField id="14" name="F14" tableColumnId="14"/>
      <queryTableField id="15" name="F15" tableColumnId="15"/>
      <queryTableField id="16" name="F16" tableColumnId="16"/>
      <queryTableField id="17" name="F17" tableColumnId="17"/>
      <queryTableField id="18" name="F18" tableColumnId="18"/>
      <queryTableField id="19" name="F19" tableColumnId="19"/>
      <queryTableField id="20" name="F20" tableColumnId="20"/>
      <queryTableField id="21" name="F21" tableColumnId="21"/>
      <queryTableField id="22" name="2024/6/24 14:52" tableColumnId="22"/>
      <queryTableField id="23" name="F23" tableColumnId="23"/>
      <queryTableField id="24" name="F24" tableColumnId="24"/>
      <queryTableField id="25" name="F25" tableColumnId="25"/>
      <queryTableField id="26" name="F26" tableColumnId="26"/>
      <queryTableField id="27" name="F27" tableColumnId="27"/>
      <queryTableField id="28" name="F28" tableColumnId="28"/>
    </queryTableFields>
  </queryTableRefresh>
</queryTable>
</file>

<file path=xl/queryTables/queryTable18.xml><?xml version="1.0" encoding="utf-8"?>
<queryTable xmlns="http://schemas.openxmlformats.org/spreadsheetml/2006/main" name="取樣回收每月庫存表 0620更新" connectionId="9" autoFormatId="16" applyNumberFormats="0" applyBorderFormats="0" applyFontFormats="0" applyPatternFormats="0" applyAlignmentFormats="0" applyWidthHeightFormats="0">
  <queryTableRefresh nextId="29">
    <queryTableFields count="28">
      <queryTableField id="1" name="請直接以10進位，謝謝" tableColumnId="1"/>
      <queryTableField id="2" name="F2" tableColumnId="2"/>
      <queryTableField id="3" name="F3" tableColumnId="3"/>
      <queryTableField id="4" name="F4" tableColumnId="4"/>
      <queryTableField id="5" name="F5" tableColumnId="5"/>
      <queryTableField id="6" name="F6" tableColumnId="6"/>
      <queryTableField id="7" name="F7" tableColumnId="7"/>
      <queryTableField id="8" name="F8" tableColumnId="8"/>
      <queryTableField id="9" name="F9" tableColumnId="9"/>
      <queryTableField id="10" name="F10" tableColumnId="10"/>
      <queryTableField id="11" name="F11" tableColumnId="11"/>
      <queryTableField id="12" name="F12" tableColumnId="12"/>
      <queryTableField id="13" name="F13" tableColumnId="13"/>
      <queryTableField id="14" name="F14" tableColumnId="14"/>
      <queryTableField id="15" name="F15" tableColumnId="15"/>
      <queryTableField id="16" name="F16" tableColumnId="16"/>
      <queryTableField id="17" name="F17" tableColumnId="17"/>
      <queryTableField id="18" name="F18" tableColumnId="18"/>
      <queryTableField id="19" name="F19" tableColumnId="19"/>
      <queryTableField id="20" name="F20" tableColumnId="20"/>
      <queryTableField id="21" name="F21" tableColumnId="21"/>
      <queryTableField id="22" name="2024/6/24 14:52" tableColumnId="22"/>
      <queryTableField id="23" name="F23" tableColumnId="23"/>
      <queryTableField id="24" name="F24" tableColumnId="24"/>
      <queryTableField id="25" name="F25" tableColumnId="25"/>
      <queryTableField id="26" name="F26" tableColumnId="26"/>
      <queryTableField id="27" name="F27" tableColumnId="27"/>
      <queryTableField id="28" name="F28" tableColumnId="28"/>
    </queryTableFields>
  </queryTableRefresh>
</queryTable>
</file>

<file path=xl/queryTables/queryTable19.xml><?xml version="1.0" encoding="utf-8"?>
<queryTable xmlns="http://schemas.openxmlformats.org/spreadsheetml/2006/main" name="取樣回收每月庫存表 0620更新" connectionId="10" autoFormatId="16" applyNumberFormats="0" applyBorderFormats="0" applyFontFormats="0" applyPatternFormats="0" applyAlignmentFormats="0" applyWidthHeightFormats="0">
  <queryTableRefresh nextId="29">
    <queryTableFields count="28">
      <queryTableField id="1" name="請直接以10進位，謝謝" tableColumnId="1"/>
      <queryTableField id="2" name="F2" tableColumnId="2"/>
      <queryTableField id="3" name="F3" tableColumnId="3"/>
      <queryTableField id="4" name="F4" tableColumnId="4"/>
      <queryTableField id="5" name="F5" tableColumnId="5"/>
      <queryTableField id="6" name="F6" tableColumnId="6"/>
      <queryTableField id="7" name="F7" tableColumnId="7"/>
      <queryTableField id="8" name="F8" tableColumnId="8"/>
      <queryTableField id="9" name="F9" tableColumnId="9"/>
      <queryTableField id="10" name="F10" tableColumnId="10"/>
      <queryTableField id="11" name="F11" tableColumnId="11"/>
      <queryTableField id="12" name="F12" tableColumnId="12"/>
      <queryTableField id="13" name="F13" tableColumnId="13"/>
      <queryTableField id="14" name="F14" tableColumnId="14"/>
      <queryTableField id="15" name="F15" tableColumnId="15"/>
      <queryTableField id="16" name="F16" tableColumnId="16"/>
      <queryTableField id="17" name="F17" tableColumnId="17"/>
      <queryTableField id="18" name="F18" tableColumnId="18"/>
      <queryTableField id="19" name="F19" tableColumnId="19"/>
      <queryTableField id="20" name="F20" tableColumnId="20"/>
      <queryTableField id="21" name="F21" tableColumnId="21"/>
      <queryTableField id="22" name="2024/6/24 14:52" tableColumnId="22"/>
      <queryTableField id="23" name="F23" tableColumnId="23"/>
      <queryTableField id="24" name="F24" tableColumnId="24"/>
      <queryTableField id="25" name="F25" tableColumnId="25"/>
      <queryTableField id="26" name="F26" tableColumnId="26"/>
      <queryTableField id="27" name="F27" tableColumnId="27"/>
      <queryTableField id="28" name="F28" tableColumnId="28"/>
    </queryTableFields>
  </queryTableRefresh>
</queryTable>
</file>

<file path=xl/queryTables/queryTable20.xml><?xml version="1.0" encoding="utf-8"?>
<queryTable xmlns="http://schemas.openxmlformats.org/spreadsheetml/2006/main" name="取樣回收每月庫存表 0620更新" connectionId="11" autoFormatId="16" applyNumberFormats="0" applyBorderFormats="0" applyFontFormats="0" applyPatternFormats="0" applyAlignmentFormats="0" applyWidthHeightFormats="0">
  <queryTableRefresh nextId="29">
    <queryTableFields count="28">
      <queryTableField id="1" name="請直接以10進位，謝謝" tableColumnId="1"/>
      <queryTableField id="2" name="F2" tableColumnId="2"/>
      <queryTableField id="3" name="F3" tableColumnId="3"/>
      <queryTableField id="4" name="F4" tableColumnId="4"/>
      <queryTableField id="5" name="F5" tableColumnId="5"/>
      <queryTableField id="6" name="F6" tableColumnId="6"/>
      <queryTableField id="7" name="F7" tableColumnId="7"/>
      <queryTableField id="8" name="F8" tableColumnId="8"/>
      <queryTableField id="9" name="F9" tableColumnId="9"/>
      <queryTableField id="10" name="F10" tableColumnId="10"/>
      <queryTableField id="11" name="F11" tableColumnId="11"/>
      <queryTableField id="12" name="F12" tableColumnId="12"/>
      <queryTableField id="13" name="F13" tableColumnId="13"/>
      <queryTableField id="14" name="F14" tableColumnId="14"/>
      <queryTableField id="15" name="F15" tableColumnId="15"/>
      <queryTableField id="16" name="F16" tableColumnId="16"/>
      <queryTableField id="17" name="F17" tableColumnId="17"/>
      <queryTableField id="18" name="F18" tableColumnId="18"/>
      <queryTableField id="19" name="F19" tableColumnId="19"/>
      <queryTableField id="20" name="F20" tableColumnId="20"/>
      <queryTableField id="21" name="F21" tableColumnId="21"/>
      <queryTableField id="22" name="2024/6/24 14:52" tableColumnId="22"/>
      <queryTableField id="23" name="F23" tableColumnId="23"/>
      <queryTableField id="24" name="F24" tableColumnId="24"/>
      <queryTableField id="25" name="F25" tableColumnId="25"/>
      <queryTableField id="26" name="F26" tableColumnId="26"/>
      <queryTableField id="27" name="F27" tableColumnId="27"/>
      <queryTableField id="28" name="F28" tableColumnId="28"/>
    </queryTableFields>
  </queryTableRefresh>
</queryTable>
</file>

<file path=xl/queryTables/queryTable21.xml><?xml version="1.0" encoding="utf-8"?>
<queryTable xmlns="http://schemas.openxmlformats.org/spreadsheetml/2006/main" name="取樣回收每月庫存表 0620更新" connectionId="13" autoFormatId="16" applyNumberFormats="0" applyBorderFormats="0" applyFontFormats="0" applyPatternFormats="0" applyAlignmentFormats="0" applyWidthHeightFormats="0">
  <queryTableRefresh nextId="29">
    <queryTableFields count="28">
      <queryTableField id="1" name="請直接以10進位，謝謝" tableColumnId="1"/>
      <queryTableField id="2" name="F2" tableColumnId="2"/>
      <queryTableField id="3" name="F3" tableColumnId="3"/>
      <queryTableField id="4" name="F4" tableColumnId="4"/>
      <queryTableField id="5" name="F5" tableColumnId="5"/>
      <queryTableField id="6" name="F6" tableColumnId="6"/>
      <queryTableField id="7" name="F7" tableColumnId="7"/>
      <queryTableField id="8" name="F8" tableColumnId="8"/>
      <queryTableField id="9" name="F9" tableColumnId="9"/>
      <queryTableField id="10" name="F10" tableColumnId="10"/>
      <queryTableField id="11" name="F11" tableColumnId="11"/>
      <queryTableField id="12" name="F12" tableColumnId="12"/>
      <queryTableField id="13" name="F13" tableColumnId="13"/>
      <queryTableField id="14" name="F14" tableColumnId="14"/>
      <queryTableField id="15" name="F15" tableColumnId="15"/>
      <queryTableField id="16" name="F16" tableColumnId="16"/>
      <queryTableField id="17" name="F17" tableColumnId="17"/>
      <queryTableField id="18" name="F18" tableColumnId="18"/>
      <queryTableField id="19" name="F19" tableColumnId="19"/>
      <queryTableField id="20" name="F20" tableColumnId="20"/>
      <queryTableField id="21" name="F21" tableColumnId="21"/>
      <queryTableField id="22" name="2024/6/24 14:52" tableColumnId="22"/>
      <queryTableField id="23" name="F23" tableColumnId="23"/>
      <queryTableField id="24" name="F24" tableColumnId="24"/>
      <queryTableField id="25" name="F25" tableColumnId="25"/>
      <queryTableField id="26" name="F26" tableColumnId="26"/>
      <queryTableField id="27" name="F27" tableColumnId="27"/>
      <queryTableField id="28" name="F28" tableColumnId="28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xml"/></Relationships>
</file>

<file path=xl/tables/_rels/table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9.xml"/></Relationships>
</file>

<file path=xl/tables/_rels/table1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0.xml"/></Relationships>
</file>

<file path=xl/tables/_rels/table1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1.xml"/></Relationships>
</file>

<file path=xl/tables/_rels/table1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2.xml"/></Relationships>
</file>

<file path=xl/tables/_rels/table1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3.xml"/></Relationships>
</file>

<file path=xl/tables/_rels/table1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4.xml"/></Relationships>
</file>

<file path=xl/tables/_rels/table1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5.xml"/></Relationships>
</file>

<file path=xl/tables/_rels/table1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6.xml"/></Relationships>
</file>

<file path=xl/tables/_rels/table1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7.xml"/></Relationships>
</file>

<file path=xl/tables/_rels/table1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8.xml"/></Relationships>
</file>

<file path=xl/tables/_rels/table1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9.xml"/></Relationships>
</file>

<file path=xl/tables/_rels/table2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0.xml"/></Relationships>
</file>

<file path=xl/tables/_rels/table2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1.xml"/></Relationships>
</file>

<file path=xl/tables/table1.xml><?xml version="1.0" encoding="utf-8"?>
<table xmlns="http://schemas.openxmlformats.org/spreadsheetml/2006/main" id="23" name="表格_取樣回收每月庫存表_0620更新1522252632456786910111213141516171819202123456789101112131415161718192022232424356789101112131415161718192021222345678910111213141516171819202345678910111213149101516171819222123234567891012131415161711181920212224252345678910111213124" displayName="表格_取樣回收每月庫存表_0620更新1522252632456786910111213141516171819202123456789101112131415161718192022232424356789101112131415161718192021222345678910111213141516171819202345678910111213149101516171819222123234567891012131415161711181920212224252345678910111213124" ref="AG13:BH189" tableType="queryTable" totalsRowShown="0" headerRowDxfId="2689" dataDxfId="2688" headerRowCellStyle="一般 2" dataCellStyle="一般 2">
  <autoFilter ref="AG13:BH189"/>
  <tableColumns count="28">
    <tableColumn id="1" uniqueName="1" name="請直接以10進位，謝謝" queryTableFieldId="1" dataDxfId="2687" dataCellStyle="一般 2"/>
    <tableColumn id="2" uniqueName="2" name="F2" queryTableFieldId="2" dataDxfId="2686" dataCellStyle="一般 2"/>
    <tableColumn id="3" uniqueName="3" name="F3" queryTableFieldId="3" dataDxfId="2685" dataCellStyle="一般 2"/>
    <tableColumn id="4" uniqueName="4" name="F4" queryTableFieldId="4" dataDxfId="2684" dataCellStyle="一般 2"/>
    <tableColumn id="5" uniqueName="5" name="F5" queryTableFieldId="5" dataDxfId="2683" dataCellStyle="一般 2"/>
    <tableColumn id="6" uniqueName="6" name="F6" queryTableFieldId="6" dataDxfId="2682" dataCellStyle="一般 2"/>
    <tableColumn id="7" uniqueName="7" name="F7" queryTableFieldId="7" dataDxfId="2681" dataCellStyle="一般 2"/>
    <tableColumn id="8" uniqueName="8" name="F8" queryTableFieldId="8" dataDxfId="2680" dataCellStyle="一般 2"/>
    <tableColumn id="9" uniqueName="9" name="F9" queryTableFieldId="9" dataDxfId="2679" dataCellStyle="一般 2"/>
    <tableColumn id="10" uniqueName="10" name="F10" queryTableFieldId="10" dataDxfId="2678" dataCellStyle="一般 2"/>
    <tableColumn id="11" uniqueName="11" name="F11" queryTableFieldId="11" dataDxfId="2677" dataCellStyle="一般 2"/>
    <tableColumn id="12" uniqueName="12" name="F12" queryTableFieldId="12" dataDxfId="2676" dataCellStyle="一般 2"/>
    <tableColumn id="13" uniqueName="13" name="F13" queryTableFieldId="13" dataDxfId="2675" dataCellStyle="一般 2"/>
    <tableColumn id="14" uniqueName="14" name="F14" queryTableFieldId="14" dataDxfId="2674" dataCellStyle="一般 2"/>
    <tableColumn id="15" uniqueName="15" name="F15" queryTableFieldId="15" dataDxfId="2673" dataCellStyle="一般 2"/>
    <tableColumn id="16" uniqueName="16" name="F16" queryTableFieldId="16" dataDxfId="2672" dataCellStyle="一般 2"/>
    <tableColumn id="17" uniqueName="17" name="F17" queryTableFieldId="17" dataDxfId="2671" dataCellStyle="一般 2"/>
    <tableColumn id="18" uniqueName="18" name="F18" queryTableFieldId="18" dataDxfId="2670" dataCellStyle="一般 2"/>
    <tableColumn id="19" uniqueName="19" name="F19" queryTableFieldId="19" dataDxfId="2669" dataCellStyle="一般 2"/>
    <tableColumn id="20" uniqueName="20" name="F20" queryTableFieldId="20" dataDxfId="2668" dataCellStyle="一般 2"/>
    <tableColumn id="21" uniqueName="21" name="F21" queryTableFieldId="21" dataDxfId="2667" dataCellStyle="一般 2"/>
    <tableColumn id="22" uniqueName="22" name="2024/6/24 14:52" queryTableFieldId="22" dataDxfId="2666" dataCellStyle="一般 2"/>
    <tableColumn id="23" uniqueName="23" name="F23" queryTableFieldId="23" dataDxfId="2665" dataCellStyle="一般 2"/>
    <tableColumn id="24" uniqueName="24" name="F24" queryTableFieldId="24" dataDxfId="2664" dataCellStyle="一般 2"/>
    <tableColumn id="25" uniqueName="25" name="F25" queryTableFieldId="25" dataDxfId="2663" dataCellStyle="一般 2"/>
    <tableColumn id="26" uniqueName="26" name="F26" queryTableFieldId="26" dataDxfId="2662" dataCellStyle="一般 2"/>
    <tableColumn id="27" uniqueName="27" name="F27" queryTableFieldId="27" dataDxfId="2661" dataCellStyle="一般 2"/>
    <tableColumn id="28" uniqueName="28" name="F28" queryTableFieldId="28" dataDxfId="2660" dataCellStyle="一般 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1" name="表格_取樣回收每月庫存表_0620更新1522252632456786910111213141516171819202123456789101112131415161718192022232424356789101112131415161718192021222345678910111213141516171819202345678910111213149101516171819222123234567891012131415161711181920212224252345678910111213122" displayName="表格_取樣回收每月庫存表_0620更新1522252632456786910111213141516171819202123456789101112131415161718192022232424356789101112131415161718192021222345678910111213141516171819202345678910111213149101516171819222123234567891012131415161711181920212224252345678910111213122" ref="AG13:BH189" tableType="queryTable" totalsRowShown="0" headerRowDxfId="2556" dataDxfId="2555" headerRowCellStyle="一般 2" dataCellStyle="一般 2">
  <autoFilter ref="AG13:BH189"/>
  <tableColumns count="28">
    <tableColumn id="1" uniqueName="1" name="請直接以10進位，謝謝" queryTableFieldId="1" dataDxfId="2554" dataCellStyle="一般 2"/>
    <tableColumn id="2" uniqueName="2" name="F2" queryTableFieldId="2" dataDxfId="2553" dataCellStyle="一般 2"/>
    <tableColumn id="3" uniqueName="3" name="F3" queryTableFieldId="3" dataDxfId="2552" dataCellStyle="一般 2"/>
    <tableColumn id="4" uniqueName="4" name="F4" queryTableFieldId="4" dataDxfId="2551" dataCellStyle="一般 2"/>
    <tableColumn id="5" uniqueName="5" name="F5" queryTableFieldId="5" dataDxfId="2550" dataCellStyle="一般 2"/>
    <tableColumn id="6" uniqueName="6" name="F6" queryTableFieldId="6" dataDxfId="2549" dataCellStyle="一般 2"/>
    <tableColumn id="7" uniqueName="7" name="F7" queryTableFieldId="7" dataDxfId="2548" dataCellStyle="一般 2"/>
    <tableColumn id="8" uniqueName="8" name="F8" queryTableFieldId="8" dataDxfId="2547" dataCellStyle="一般 2"/>
    <tableColumn id="9" uniqueName="9" name="F9" queryTableFieldId="9" dataDxfId="2546" dataCellStyle="一般 2"/>
    <tableColumn id="10" uniqueName="10" name="F10" queryTableFieldId="10" dataDxfId="2545" dataCellStyle="一般 2"/>
    <tableColumn id="11" uniqueName="11" name="F11" queryTableFieldId="11" dataDxfId="2544" dataCellStyle="一般 2"/>
    <tableColumn id="12" uniqueName="12" name="F12" queryTableFieldId="12" dataDxfId="2543" dataCellStyle="一般 2"/>
    <tableColumn id="13" uniqueName="13" name="F13" queryTableFieldId="13" dataDxfId="2542" dataCellStyle="一般 2"/>
    <tableColumn id="14" uniqueName="14" name="F14" queryTableFieldId="14" dataDxfId="2541" dataCellStyle="一般 2"/>
    <tableColumn id="15" uniqueName="15" name="F15" queryTableFieldId="15" dataDxfId="2540" dataCellStyle="一般 2"/>
    <tableColumn id="16" uniqueName="16" name="F16" queryTableFieldId="16" dataDxfId="2539" dataCellStyle="一般 2"/>
    <tableColumn id="17" uniqueName="17" name="F17" queryTableFieldId="17" dataDxfId="2538" dataCellStyle="一般 2"/>
    <tableColumn id="18" uniqueName="18" name="F18" queryTableFieldId="18" dataDxfId="2537" dataCellStyle="一般 2"/>
    <tableColumn id="19" uniqueName="19" name="F19" queryTableFieldId="19" dataDxfId="2536" dataCellStyle="一般 2"/>
    <tableColumn id="20" uniqueName="20" name="F20" queryTableFieldId="20" dataDxfId="2535" dataCellStyle="一般 2"/>
    <tableColumn id="21" uniqueName="21" name="F21" queryTableFieldId="21" dataDxfId="2534" dataCellStyle="一般 2"/>
    <tableColumn id="22" uniqueName="22" name="2024/6/24 14:52" queryTableFieldId="22" dataDxfId="2533" dataCellStyle="一般 2"/>
    <tableColumn id="23" uniqueName="23" name="F23" queryTableFieldId="23" dataDxfId="2532" dataCellStyle="一般 2"/>
    <tableColumn id="24" uniqueName="24" name="F24" queryTableFieldId="24" dataDxfId="2531" dataCellStyle="一般 2"/>
    <tableColumn id="25" uniqueName="25" name="F25" queryTableFieldId="25" dataDxfId="2530" dataCellStyle="一般 2"/>
    <tableColumn id="26" uniqueName="26" name="F26" queryTableFieldId="26" dataDxfId="2529" dataCellStyle="一般 2"/>
    <tableColumn id="27" uniqueName="27" name="F27" queryTableFieldId="27" dataDxfId="2528" dataCellStyle="一般 2"/>
    <tableColumn id="28" uniqueName="28" name="F28" queryTableFieldId="28" dataDxfId="2527" dataCellStyle="一般 2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2" name="表格_取樣回收每月庫存表_0620更新1522252632456786910111213141516171819202123456789101112131415161718192022232424356789101112131415161718192021222345678910111213141516171819202345678910111213149101516171819222123234567891012131415161711181920212224252345678910111213123" displayName="表格_取樣回收每月庫存表_0620更新1522252632456786910111213141516171819202123456789101112131415161718192022232424356789101112131415161718192021222345678910111213141516171819202345678910111213149101516171819222123234567891012131415161711181920212224252345678910111213123" ref="AG13:BH189" tableType="queryTable" totalsRowShown="0" headerRowDxfId="2423" dataDxfId="2422" headerRowCellStyle="一般 2" dataCellStyle="一般 2">
  <autoFilter ref="AG13:BH189"/>
  <tableColumns count="28">
    <tableColumn id="1" uniqueName="1" name="請直接以10進位，謝謝" queryTableFieldId="1" dataDxfId="2421" dataCellStyle="一般 2"/>
    <tableColumn id="2" uniqueName="2" name="F2" queryTableFieldId="2" dataDxfId="2420" dataCellStyle="一般 2"/>
    <tableColumn id="3" uniqueName="3" name="F3" queryTableFieldId="3" dataDxfId="2419" dataCellStyle="一般 2"/>
    <tableColumn id="4" uniqueName="4" name="F4" queryTableFieldId="4" dataDxfId="2418" dataCellStyle="一般 2"/>
    <tableColumn id="5" uniqueName="5" name="F5" queryTableFieldId="5" dataDxfId="2417" dataCellStyle="一般 2"/>
    <tableColumn id="6" uniqueName="6" name="F6" queryTableFieldId="6" dataDxfId="2416" dataCellStyle="一般 2"/>
    <tableColumn id="7" uniqueName="7" name="F7" queryTableFieldId="7" dataDxfId="2415" dataCellStyle="一般 2"/>
    <tableColumn id="8" uniqueName="8" name="F8" queryTableFieldId="8" dataDxfId="2414" dataCellStyle="一般 2"/>
    <tableColumn id="9" uniqueName="9" name="F9" queryTableFieldId="9" dataDxfId="2413" dataCellStyle="一般 2"/>
    <tableColumn id="10" uniqueName="10" name="F10" queryTableFieldId="10" dataDxfId="2412" dataCellStyle="一般 2"/>
    <tableColumn id="11" uniqueName="11" name="F11" queryTableFieldId="11" dataDxfId="2411" dataCellStyle="一般 2"/>
    <tableColumn id="12" uniqueName="12" name="F12" queryTableFieldId="12" dataDxfId="2410" dataCellStyle="一般 2"/>
    <tableColumn id="13" uniqueName="13" name="F13" queryTableFieldId="13" dataDxfId="2409" dataCellStyle="一般 2"/>
    <tableColumn id="14" uniqueName="14" name="F14" queryTableFieldId="14" dataDxfId="2408" dataCellStyle="一般 2"/>
    <tableColumn id="15" uniqueName="15" name="F15" queryTableFieldId="15" dataDxfId="2407" dataCellStyle="一般 2"/>
    <tableColumn id="16" uniqueName="16" name="F16" queryTableFieldId="16" dataDxfId="2406" dataCellStyle="一般 2"/>
    <tableColumn id="17" uniqueName="17" name="F17" queryTableFieldId="17" dataDxfId="2405" dataCellStyle="一般 2"/>
    <tableColumn id="18" uniqueName="18" name="F18" queryTableFieldId="18" dataDxfId="2404" dataCellStyle="一般 2"/>
    <tableColumn id="19" uniqueName="19" name="F19" queryTableFieldId="19" dataDxfId="2403" dataCellStyle="一般 2"/>
    <tableColumn id="20" uniqueName="20" name="F20" queryTableFieldId="20" dataDxfId="2402" dataCellStyle="一般 2"/>
    <tableColumn id="21" uniqueName="21" name="F21" queryTableFieldId="21" dataDxfId="2401" dataCellStyle="一般 2"/>
    <tableColumn id="22" uniqueName="22" name="2024/6/24 14:52" queryTableFieldId="22" dataDxfId="2400" dataCellStyle="一般 2"/>
    <tableColumn id="23" uniqueName="23" name="F23" queryTableFieldId="23" dataDxfId="2399" dataCellStyle="一般 2"/>
    <tableColumn id="24" uniqueName="24" name="F24" queryTableFieldId="24" dataDxfId="2398" dataCellStyle="一般 2"/>
    <tableColumn id="25" uniqueName="25" name="F25" queryTableFieldId="25" dataDxfId="2397" dataCellStyle="一般 2"/>
    <tableColumn id="26" uniqueName="26" name="F26" queryTableFieldId="26" dataDxfId="2396" dataCellStyle="一般 2"/>
    <tableColumn id="27" uniqueName="27" name="F27" queryTableFieldId="27" dataDxfId="2395" dataCellStyle="一般 2"/>
    <tableColumn id="28" uniqueName="28" name="F28" queryTableFieldId="28" dataDxfId="2394" dataCellStyle="一般 2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3" name="表格_取樣回收每月庫存表_0620更新1522252632456786910111213141516171819202123456789101112131415161718192022232424356789101112131415161718192021222345678910111213141516171819202345678910111213149101516171819222123234567891012131415161711181920212224252345678910111213125" displayName="表格_取樣回收每月庫存表_0620更新1522252632456786910111213141516171819202123456789101112131415161718192022232424356789101112131415161718192021222345678910111213141516171819202345678910111213149101516171819222123234567891012131415161711181920212224252345678910111213125" ref="AG13:BH189" tableType="queryTable" totalsRowShown="0" headerRowDxfId="2290" dataDxfId="2289" headerRowCellStyle="一般 2" dataCellStyle="一般 2">
  <autoFilter ref="AG13:BH189"/>
  <tableColumns count="28">
    <tableColumn id="1" uniqueName="1" name="請直接以10進位，謝謝" queryTableFieldId="1" dataDxfId="2288" dataCellStyle="一般 2"/>
    <tableColumn id="2" uniqueName="2" name="F2" queryTableFieldId="2" dataDxfId="2287" dataCellStyle="一般 2"/>
    <tableColumn id="3" uniqueName="3" name="F3" queryTableFieldId="3" dataDxfId="2286" dataCellStyle="一般 2"/>
    <tableColumn id="4" uniqueName="4" name="F4" queryTableFieldId="4" dataDxfId="2285" dataCellStyle="一般 2"/>
    <tableColumn id="5" uniqueName="5" name="F5" queryTableFieldId="5" dataDxfId="2284" dataCellStyle="一般 2"/>
    <tableColumn id="6" uniqueName="6" name="F6" queryTableFieldId="6" dataDxfId="2283" dataCellStyle="一般 2"/>
    <tableColumn id="7" uniqueName="7" name="F7" queryTableFieldId="7" dataDxfId="2282" dataCellStyle="一般 2"/>
    <tableColumn id="8" uniqueName="8" name="F8" queryTableFieldId="8" dataDxfId="2281" dataCellStyle="一般 2"/>
    <tableColumn id="9" uniqueName="9" name="F9" queryTableFieldId="9" dataDxfId="2280" dataCellStyle="一般 2"/>
    <tableColumn id="10" uniqueName="10" name="F10" queryTableFieldId="10" dataDxfId="2279" dataCellStyle="一般 2"/>
    <tableColumn id="11" uniqueName="11" name="F11" queryTableFieldId="11" dataDxfId="2278" dataCellStyle="一般 2"/>
    <tableColumn id="12" uniqueName="12" name="F12" queryTableFieldId="12" dataDxfId="2277" dataCellStyle="一般 2"/>
    <tableColumn id="13" uniqueName="13" name="F13" queryTableFieldId="13" dataDxfId="2276" dataCellStyle="一般 2"/>
    <tableColumn id="14" uniqueName="14" name="F14" queryTableFieldId="14" dataDxfId="2275" dataCellStyle="一般 2"/>
    <tableColumn id="15" uniqueName="15" name="F15" queryTableFieldId="15" dataDxfId="2274" dataCellStyle="一般 2"/>
    <tableColumn id="16" uniqueName="16" name="F16" queryTableFieldId="16" dataDxfId="2273" dataCellStyle="一般 2"/>
    <tableColumn id="17" uniqueName="17" name="F17" queryTableFieldId="17" dataDxfId="2272" dataCellStyle="一般 2"/>
    <tableColumn id="18" uniqueName="18" name="F18" queryTableFieldId="18" dataDxfId="2271" dataCellStyle="一般 2"/>
    <tableColumn id="19" uniqueName="19" name="F19" queryTableFieldId="19" dataDxfId="2270" dataCellStyle="一般 2"/>
    <tableColumn id="20" uniqueName="20" name="F20" queryTableFieldId="20" dataDxfId="2269" dataCellStyle="一般 2"/>
    <tableColumn id="21" uniqueName="21" name="F21" queryTableFieldId="21" dataDxfId="2268" dataCellStyle="一般 2"/>
    <tableColumn id="22" uniqueName="22" name="2024/6/24 14:52" queryTableFieldId="22" dataDxfId="2267" dataCellStyle="一般 2"/>
    <tableColumn id="23" uniqueName="23" name="F23" queryTableFieldId="23" dataDxfId="2266" dataCellStyle="一般 2"/>
    <tableColumn id="24" uniqueName="24" name="F24" queryTableFieldId="24" dataDxfId="2265" dataCellStyle="一般 2"/>
    <tableColumn id="25" uniqueName="25" name="F25" queryTableFieldId="25" dataDxfId="2264" dataCellStyle="一般 2"/>
    <tableColumn id="26" uniqueName="26" name="F26" queryTableFieldId="26" dataDxfId="2263" dataCellStyle="一般 2"/>
    <tableColumn id="27" uniqueName="27" name="F27" queryTableFieldId="27" dataDxfId="2262" dataCellStyle="一般 2"/>
    <tableColumn id="28" uniqueName="28" name="F28" queryTableFieldId="28" dataDxfId="2261" dataCellStyle="一般 2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4" name="表格_取樣回收每月庫存表_0620更新1522252632456786910111213141516171819202123456789101112131415161718192022232424356789101112131415161718192021222345678910111213141516171819202345678910111213149101516171819222123234567891012131415161711181920212224252345678910111213126" displayName="表格_取樣回收每月庫存表_0620更新1522252632456786910111213141516171819202123456789101112131415161718192022232424356789101112131415161718192021222345678910111213141516171819202345678910111213149101516171819222123234567891012131415161711181920212224252345678910111213126" ref="AG13:BH189" tableType="queryTable" totalsRowShown="0" headerRowDxfId="2157" dataDxfId="2156" headerRowCellStyle="一般 2" dataCellStyle="一般 2">
  <autoFilter ref="AG13:BH189"/>
  <tableColumns count="28">
    <tableColumn id="1" uniqueName="1" name="請直接以10進位，謝謝" queryTableFieldId="1" dataDxfId="2155" dataCellStyle="一般 2"/>
    <tableColumn id="2" uniqueName="2" name="F2" queryTableFieldId="2" dataDxfId="2154" dataCellStyle="一般 2"/>
    <tableColumn id="3" uniqueName="3" name="F3" queryTableFieldId="3" dataDxfId="2153" dataCellStyle="一般 2"/>
    <tableColumn id="4" uniqueName="4" name="F4" queryTableFieldId="4" dataDxfId="2152" dataCellStyle="一般 2"/>
    <tableColumn id="5" uniqueName="5" name="F5" queryTableFieldId="5" dataDxfId="2151" dataCellStyle="一般 2"/>
    <tableColumn id="6" uniqueName="6" name="F6" queryTableFieldId="6" dataDxfId="2150" dataCellStyle="一般 2"/>
    <tableColumn id="7" uniqueName="7" name="F7" queryTableFieldId="7" dataDxfId="2149" dataCellStyle="一般 2"/>
    <tableColumn id="8" uniqueName="8" name="F8" queryTableFieldId="8" dataDxfId="2148" dataCellStyle="一般 2"/>
    <tableColumn id="9" uniqueName="9" name="F9" queryTableFieldId="9" dataDxfId="2147" dataCellStyle="一般 2"/>
    <tableColumn id="10" uniqueName="10" name="F10" queryTableFieldId="10" dataDxfId="2146" dataCellStyle="一般 2"/>
    <tableColumn id="11" uniqueName="11" name="F11" queryTableFieldId="11" dataDxfId="2145" dataCellStyle="一般 2"/>
    <tableColumn id="12" uniqueName="12" name="F12" queryTableFieldId="12" dataDxfId="2144" dataCellStyle="一般 2"/>
    <tableColumn id="13" uniqueName="13" name="F13" queryTableFieldId="13" dataDxfId="2143" dataCellStyle="一般 2"/>
    <tableColumn id="14" uniqueName="14" name="F14" queryTableFieldId="14" dataDxfId="2142" dataCellStyle="一般 2"/>
    <tableColumn id="15" uniqueName="15" name="F15" queryTableFieldId="15" dataDxfId="2141" dataCellStyle="一般 2"/>
    <tableColumn id="16" uniqueName="16" name="F16" queryTableFieldId="16" dataDxfId="2140" dataCellStyle="一般 2"/>
    <tableColumn id="17" uniqueName="17" name="F17" queryTableFieldId="17" dataDxfId="2139" dataCellStyle="一般 2"/>
    <tableColumn id="18" uniqueName="18" name="F18" queryTableFieldId="18" dataDxfId="2138" dataCellStyle="一般 2"/>
    <tableColumn id="19" uniqueName="19" name="F19" queryTableFieldId="19" dataDxfId="2137" dataCellStyle="一般 2"/>
    <tableColumn id="20" uniqueName="20" name="F20" queryTableFieldId="20" dataDxfId="2136" dataCellStyle="一般 2"/>
    <tableColumn id="21" uniqueName="21" name="F21" queryTableFieldId="21" dataDxfId="2135" dataCellStyle="一般 2"/>
    <tableColumn id="22" uniqueName="22" name="2024/6/24 14:52" queryTableFieldId="22" dataDxfId="2134" dataCellStyle="一般 2"/>
    <tableColumn id="23" uniqueName="23" name="F23" queryTableFieldId="23" dataDxfId="2133" dataCellStyle="一般 2"/>
    <tableColumn id="24" uniqueName="24" name="F24" queryTableFieldId="24" dataDxfId="2132" dataCellStyle="一般 2"/>
    <tableColumn id="25" uniqueName="25" name="F25" queryTableFieldId="25" dataDxfId="2131" dataCellStyle="一般 2"/>
    <tableColumn id="26" uniqueName="26" name="F26" queryTableFieldId="26" dataDxfId="2130" dataCellStyle="一般 2"/>
    <tableColumn id="27" uniqueName="27" name="F27" queryTableFieldId="27" dataDxfId="2129" dataCellStyle="一般 2"/>
    <tableColumn id="28" uniqueName="28" name="F28" queryTableFieldId="28" dataDxfId="2128" dataCellStyle="一般 2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5" name="表格_取樣回收每月庫存表_0620更新1522252632456786910111213141516171819202123456789101112131415161718192022232424356789101112131415161718192021222345678910111213141516171819202345678910111213149101516171819222123234567891012131415161711181920212224252345678910111213127" displayName="表格_取樣回收每月庫存表_0620更新1522252632456786910111213141516171819202123456789101112131415161718192022232424356789101112131415161718192021222345678910111213141516171819202345678910111213149101516171819222123234567891012131415161711181920212224252345678910111213127" ref="AG13:BH189" tableType="queryTable" totalsRowShown="0" headerRowDxfId="2024" dataDxfId="2023" headerRowCellStyle="一般 2" dataCellStyle="一般 2">
  <autoFilter ref="AG13:BH189"/>
  <tableColumns count="28">
    <tableColumn id="1" uniqueName="1" name="請直接以10進位，謝謝" queryTableFieldId="1" dataDxfId="2022" dataCellStyle="一般 2"/>
    <tableColumn id="2" uniqueName="2" name="F2" queryTableFieldId="2" dataDxfId="2021" dataCellStyle="一般 2"/>
    <tableColumn id="3" uniqueName="3" name="F3" queryTableFieldId="3" dataDxfId="2020" dataCellStyle="一般 2"/>
    <tableColumn id="4" uniqueName="4" name="F4" queryTableFieldId="4" dataDxfId="2019" dataCellStyle="一般 2"/>
    <tableColumn id="5" uniqueName="5" name="F5" queryTableFieldId="5" dataDxfId="2018" dataCellStyle="一般 2"/>
    <tableColumn id="6" uniqueName="6" name="F6" queryTableFieldId="6" dataDxfId="2017" dataCellStyle="一般 2"/>
    <tableColumn id="7" uniqueName="7" name="F7" queryTableFieldId="7" dataDxfId="2016" dataCellStyle="一般 2"/>
    <tableColumn id="8" uniqueName="8" name="F8" queryTableFieldId="8" dataDxfId="2015" dataCellStyle="一般 2"/>
    <tableColumn id="9" uniqueName="9" name="F9" queryTableFieldId="9" dataDxfId="2014" dataCellStyle="一般 2"/>
    <tableColumn id="10" uniqueName="10" name="F10" queryTableFieldId="10" dataDxfId="2013" dataCellStyle="一般 2"/>
    <tableColumn id="11" uniqueName="11" name="F11" queryTableFieldId="11" dataDxfId="2012" dataCellStyle="一般 2"/>
    <tableColumn id="12" uniqueName="12" name="F12" queryTableFieldId="12" dataDxfId="2011" dataCellStyle="一般 2"/>
    <tableColumn id="13" uniqueName="13" name="F13" queryTableFieldId="13" dataDxfId="2010" dataCellStyle="一般 2"/>
    <tableColumn id="14" uniqueName="14" name="F14" queryTableFieldId="14" dataDxfId="2009" dataCellStyle="一般 2"/>
    <tableColumn id="15" uniqueName="15" name="F15" queryTableFieldId="15" dataDxfId="2008" dataCellStyle="一般 2"/>
    <tableColumn id="16" uniqueName="16" name="F16" queryTableFieldId="16" dataDxfId="2007" dataCellStyle="一般 2"/>
    <tableColumn id="17" uniqueName="17" name="F17" queryTableFieldId="17" dataDxfId="2006" dataCellStyle="一般 2"/>
    <tableColumn id="18" uniqueName="18" name="F18" queryTableFieldId="18" dataDxfId="2005" dataCellStyle="一般 2"/>
    <tableColumn id="19" uniqueName="19" name="F19" queryTableFieldId="19" dataDxfId="2004" dataCellStyle="一般 2"/>
    <tableColumn id="20" uniqueName="20" name="F20" queryTableFieldId="20" dataDxfId="2003" dataCellStyle="一般 2"/>
    <tableColumn id="21" uniqueName="21" name="F21" queryTableFieldId="21" dataDxfId="2002" dataCellStyle="一般 2"/>
    <tableColumn id="22" uniqueName="22" name="2024/6/24 14:52" queryTableFieldId="22" dataDxfId="2001" dataCellStyle="一般 2"/>
    <tableColumn id="23" uniqueName="23" name="F23" queryTableFieldId="23" dataDxfId="2000" dataCellStyle="一般 2"/>
    <tableColumn id="24" uniqueName="24" name="F24" queryTableFieldId="24" dataDxfId="1999" dataCellStyle="一般 2"/>
    <tableColumn id="25" uniqueName="25" name="F25" queryTableFieldId="25" dataDxfId="1998" dataCellStyle="一般 2"/>
    <tableColumn id="26" uniqueName="26" name="F26" queryTableFieldId="26" dataDxfId="1997" dataCellStyle="一般 2"/>
    <tableColumn id="27" uniqueName="27" name="F27" queryTableFieldId="27" dataDxfId="1996" dataCellStyle="一般 2"/>
    <tableColumn id="28" uniqueName="28" name="F28" queryTableFieldId="28" dataDxfId="1995" dataCellStyle="一般 2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6" name="表格_取樣回收每月庫存表_0620更新1522252632456786910111213141516171819202123456789101112131415161718192022232424356789101112131415161718192021222345678910111213141516171819202345678910111213149101516171819222123234567891012131415161711181920212224252345678910111213128" displayName="表格_取樣回收每月庫存表_0620更新1522252632456786910111213141516171819202123456789101112131415161718192022232424356789101112131415161718192021222345678910111213141516171819202345678910111213149101516171819222123234567891012131415161711181920212224252345678910111213128" ref="AG13:BH189" tableType="queryTable" totalsRowShown="0" headerRowDxfId="1891" dataDxfId="1890" headerRowCellStyle="一般 2" dataCellStyle="一般 2">
  <autoFilter ref="AG13:BH189"/>
  <tableColumns count="28">
    <tableColumn id="1" uniqueName="1" name="請直接以10進位，謝謝" queryTableFieldId="1" dataDxfId="1889" dataCellStyle="一般 2"/>
    <tableColumn id="2" uniqueName="2" name="F2" queryTableFieldId="2" dataDxfId="1888" dataCellStyle="一般 2"/>
    <tableColumn id="3" uniqueName="3" name="F3" queryTableFieldId="3" dataDxfId="1887" dataCellStyle="一般 2"/>
    <tableColumn id="4" uniqueName="4" name="F4" queryTableFieldId="4" dataDxfId="1886" dataCellStyle="一般 2"/>
    <tableColumn id="5" uniqueName="5" name="F5" queryTableFieldId="5" dataDxfId="1885" dataCellStyle="一般 2"/>
    <tableColumn id="6" uniqueName="6" name="F6" queryTableFieldId="6" dataDxfId="1884" dataCellStyle="一般 2"/>
    <tableColumn id="7" uniqueName="7" name="F7" queryTableFieldId="7" dataDxfId="1883" dataCellStyle="一般 2"/>
    <tableColumn id="8" uniqueName="8" name="F8" queryTableFieldId="8" dataDxfId="1882" dataCellStyle="一般 2"/>
    <tableColumn id="9" uniqueName="9" name="F9" queryTableFieldId="9" dataDxfId="1881" dataCellStyle="一般 2"/>
    <tableColumn id="10" uniqueName="10" name="F10" queryTableFieldId="10" dataDxfId="1880" dataCellStyle="一般 2"/>
    <tableColumn id="11" uniqueName="11" name="F11" queryTableFieldId="11" dataDxfId="1879" dataCellStyle="一般 2"/>
    <tableColumn id="12" uniqueName="12" name="F12" queryTableFieldId="12" dataDxfId="1878" dataCellStyle="一般 2"/>
    <tableColumn id="13" uniqueName="13" name="F13" queryTableFieldId="13" dataDxfId="1877" dataCellStyle="一般 2"/>
    <tableColumn id="14" uniqueName="14" name="F14" queryTableFieldId="14" dataDxfId="1876" dataCellStyle="一般 2"/>
    <tableColumn id="15" uniqueName="15" name="F15" queryTableFieldId="15" dataDxfId="1875" dataCellStyle="一般 2"/>
    <tableColumn id="16" uniqueName="16" name="F16" queryTableFieldId="16" dataDxfId="1874" dataCellStyle="一般 2"/>
    <tableColumn id="17" uniqueName="17" name="F17" queryTableFieldId="17" dataDxfId="1873" dataCellStyle="一般 2"/>
    <tableColumn id="18" uniqueName="18" name="F18" queryTableFieldId="18" dataDxfId="1872" dataCellStyle="一般 2"/>
    <tableColumn id="19" uniqueName="19" name="F19" queryTableFieldId="19" dataDxfId="1871" dataCellStyle="一般 2"/>
    <tableColumn id="20" uniqueName="20" name="F20" queryTableFieldId="20" dataDxfId="1870" dataCellStyle="一般 2"/>
    <tableColumn id="21" uniqueName="21" name="F21" queryTableFieldId="21" dataDxfId="1869" dataCellStyle="一般 2"/>
    <tableColumn id="22" uniqueName="22" name="2024/6/24 14:52" queryTableFieldId="22" dataDxfId="1868" dataCellStyle="一般 2"/>
    <tableColumn id="23" uniqueName="23" name="F23" queryTableFieldId="23" dataDxfId="1867" dataCellStyle="一般 2"/>
    <tableColumn id="24" uniqueName="24" name="F24" queryTableFieldId="24" dataDxfId="1866" dataCellStyle="一般 2"/>
    <tableColumn id="25" uniqueName="25" name="F25" queryTableFieldId="25" dataDxfId="1865" dataCellStyle="一般 2"/>
    <tableColumn id="26" uniqueName="26" name="F26" queryTableFieldId="26" dataDxfId="1864" dataCellStyle="一般 2"/>
    <tableColumn id="27" uniqueName="27" name="F27" queryTableFieldId="27" dataDxfId="1863" dataCellStyle="一般 2"/>
    <tableColumn id="28" uniqueName="28" name="F28" queryTableFieldId="28" dataDxfId="1862" dataCellStyle="一般 2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id="7" name="表格_取樣回收每月庫存表_0620更新1522252632456786910111213141516171819202123456789101112131415161718192022232424356789101112131415161718192021222345678910111213141516171819202345678910111213149101516171819222123234567891012131415161711181920212224252345678910111213129" displayName="表格_取樣回收每月庫存表_0620更新1522252632456786910111213141516171819202123456789101112131415161718192022232424356789101112131415161718192021222345678910111213141516171819202345678910111213149101516171819222123234567891012131415161711181920212224252345678910111213129" ref="AG13:BH189" tableType="queryTable" totalsRowShown="0" headerRowDxfId="1758" dataDxfId="1757" headerRowCellStyle="一般 2" dataCellStyle="一般 2">
  <autoFilter ref="AG13:BH189"/>
  <tableColumns count="28">
    <tableColumn id="1" uniqueName="1" name="請直接以10進位，謝謝" queryTableFieldId="1" dataDxfId="1756" dataCellStyle="一般 2"/>
    <tableColumn id="2" uniqueName="2" name="F2" queryTableFieldId="2" dataDxfId="1755" dataCellStyle="一般 2"/>
    <tableColumn id="3" uniqueName="3" name="F3" queryTableFieldId="3" dataDxfId="1754" dataCellStyle="一般 2"/>
    <tableColumn id="4" uniqueName="4" name="F4" queryTableFieldId="4" dataDxfId="1753" dataCellStyle="一般 2"/>
    <tableColumn id="5" uniqueName="5" name="F5" queryTableFieldId="5" dataDxfId="1752" dataCellStyle="一般 2"/>
    <tableColumn id="6" uniqueName="6" name="F6" queryTableFieldId="6" dataDxfId="1751" dataCellStyle="一般 2"/>
    <tableColumn id="7" uniqueName="7" name="F7" queryTableFieldId="7" dataDxfId="1750" dataCellStyle="一般 2"/>
    <tableColumn id="8" uniqueName="8" name="F8" queryTableFieldId="8" dataDxfId="1749" dataCellStyle="一般 2"/>
    <tableColumn id="9" uniqueName="9" name="F9" queryTableFieldId="9" dataDxfId="1748" dataCellStyle="一般 2"/>
    <tableColumn id="10" uniqueName="10" name="F10" queryTableFieldId="10" dataDxfId="1747" dataCellStyle="一般 2"/>
    <tableColumn id="11" uniqueName="11" name="F11" queryTableFieldId="11" dataDxfId="1746" dataCellStyle="一般 2"/>
    <tableColumn id="12" uniqueName="12" name="F12" queryTableFieldId="12" dataDxfId="1745" dataCellStyle="一般 2"/>
    <tableColumn id="13" uniqueName="13" name="F13" queryTableFieldId="13" dataDxfId="1744" dataCellStyle="一般 2"/>
    <tableColumn id="14" uniqueName="14" name="F14" queryTableFieldId="14" dataDxfId="1743" dataCellStyle="一般 2"/>
    <tableColumn id="15" uniqueName="15" name="F15" queryTableFieldId="15" dataDxfId="1742" dataCellStyle="一般 2"/>
    <tableColumn id="16" uniqueName="16" name="F16" queryTableFieldId="16" dataDxfId="1741" dataCellStyle="一般 2"/>
    <tableColumn id="17" uniqueName="17" name="F17" queryTableFieldId="17" dataDxfId="1740" dataCellStyle="一般 2"/>
    <tableColumn id="18" uniqueName="18" name="F18" queryTableFieldId="18" dataDxfId="1739" dataCellStyle="一般 2"/>
    <tableColumn id="19" uniqueName="19" name="F19" queryTableFieldId="19" dataDxfId="1738" dataCellStyle="一般 2"/>
    <tableColumn id="20" uniqueName="20" name="F20" queryTableFieldId="20" dataDxfId="1737" dataCellStyle="一般 2"/>
    <tableColumn id="21" uniqueName="21" name="F21" queryTableFieldId="21" dataDxfId="1736" dataCellStyle="一般 2"/>
    <tableColumn id="22" uniqueName="22" name="2024/6/24 14:52" queryTableFieldId="22" dataDxfId="1735" dataCellStyle="一般 2"/>
    <tableColumn id="23" uniqueName="23" name="F23" queryTableFieldId="23" dataDxfId="1734" dataCellStyle="一般 2"/>
    <tableColumn id="24" uniqueName="24" name="F24" queryTableFieldId="24" dataDxfId="1733" dataCellStyle="一般 2"/>
    <tableColumn id="25" uniqueName="25" name="F25" queryTableFieldId="25" dataDxfId="1732" dataCellStyle="一般 2"/>
    <tableColumn id="26" uniqueName="26" name="F26" queryTableFieldId="26" dataDxfId="1731" dataCellStyle="一般 2"/>
    <tableColumn id="27" uniqueName="27" name="F27" queryTableFieldId="27" dataDxfId="1730" dataCellStyle="一般 2"/>
    <tableColumn id="28" uniqueName="28" name="F28" queryTableFieldId="28" dataDxfId="1729" dataCellStyle="一般 2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id="8" name="表格_取樣回收每月庫存表_0620更新1522252632456786910111213141516171819202123456789101112131415161718192022232424356789101112131415161718192021222345678910111213141516171819202345678910111213149101516171819222123234567891012131415161711181920212224252345678910111213110" displayName="表格_取樣回收每月庫存表_0620更新1522252632456786910111213141516171819202123456789101112131415161718192022232424356789101112131415161718192021222345678910111213141516171819202345678910111213149101516171819222123234567891012131415161711181920212224252345678910111213110" ref="AG13:BH189" tableType="queryTable" totalsRowShown="0" headerRowDxfId="1625" dataDxfId="1624" headerRowCellStyle="一般 2" dataCellStyle="一般 2">
  <autoFilter ref="AG13:BH189"/>
  <tableColumns count="28">
    <tableColumn id="1" uniqueName="1" name="請直接以10進位，謝謝" queryTableFieldId="1" dataDxfId="1623" dataCellStyle="一般 2"/>
    <tableColumn id="2" uniqueName="2" name="F2" queryTableFieldId="2" dataDxfId="1622" dataCellStyle="一般 2"/>
    <tableColumn id="3" uniqueName="3" name="F3" queryTableFieldId="3" dataDxfId="1621" dataCellStyle="一般 2"/>
    <tableColumn id="4" uniqueName="4" name="F4" queryTableFieldId="4" dataDxfId="1620" dataCellStyle="一般 2"/>
    <tableColumn id="5" uniqueName="5" name="F5" queryTableFieldId="5" dataDxfId="1619" dataCellStyle="一般 2"/>
    <tableColumn id="6" uniqueName="6" name="F6" queryTableFieldId="6" dataDxfId="1618" dataCellStyle="一般 2"/>
    <tableColumn id="7" uniqueName="7" name="F7" queryTableFieldId="7" dataDxfId="1617" dataCellStyle="一般 2"/>
    <tableColumn id="8" uniqueName="8" name="F8" queryTableFieldId="8" dataDxfId="1616" dataCellStyle="一般 2"/>
    <tableColumn id="9" uniqueName="9" name="F9" queryTableFieldId="9" dataDxfId="1615" dataCellStyle="一般 2"/>
    <tableColumn id="10" uniqueName="10" name="F10" queryTableFieldId="10" dataDxfId="1614" dataCellStyle="一般 2"/>
    <tableColumn id="11" uniqueName="11" name="F11" queryTableFieldId="11" dataDxfId="1613" dataCellStyle="一般 2"/>
    <tableColumn id="12" uniqueName="12" name="F12" queryTableFieldId="12" dataDxfId="1612" dataCellStyle="一般 2"/>
    <tableColumn id="13" uniqueName="13" name="F13" queryTableFieldId="13" dataDxfId="1611" dataCellStyle="一般 2"/>
    <tableColumn id="14" uniqueName="14" name="F14" queryTableFieldId="14" dataDxfId="1610" dataCellStyle="一般 2"/>
    <tableColumn id="15" uniqueName="15" name="F15" queryTableFieldId="15" dataDxfId="1609" dataCellStyle="一般 2"/>
    <tableColumn id="16" uniqueName="16" name="F16" queryTableFieldId="16" dataDxfId="1608" dataCellStyle="一般 2"/>
    <tableColumn id="17" uniqueName="17" name="F17" queryTableFieldId="17" dataDxfId="1607" dataCellStyle="一般 2"/>
    <tableColumn id="18" uniqueName="18" name="F18" queryTableFieldId="18" dataDxfId="1606" dataCellStyle="一般 2"/>
    <tableColumn id="19" uniqueName="19" name="F19" queryTableFieldId="19" dataDxfId="1605" dataCellStyle="一般 2"/>
    <tableColumn id="20" uniqueName="20" name="F20" queryTableFieldId="20" dataDxfId="1604" dataCellStyle="一般 2"/>
    <tableColumn id="21" uniqueName="21" name="F21" queryTableFieldId="21" dataDxfId="1603" dataCellStyle="一般 2"/>
    <tableColumn id="22" uniqueName="22" name="2024/6/24 14:52" queryTableFieldId="22" dataDxfId="1602" dataCellStyle="一般 2"/>
    <tableColumn id="23" uniqueName="23" name="F23" queryTableFieldId="23" dataDxfId="1601" dataCellStyle="一般 2"/>
    <tableColumn id="24" uniqueName="24" name="F24" queryTableFieldId="24" dataDxfId="1600" dataCellStyle="一般 2"/>
    <tableColumn id="25" uniqueName="25" name="F25" queryTableFieldId="25" dataDxfId="1599" dataCellStyle="一般 2"/>
    <tableColumn id="26" uniqueName="26" name="F26" queryTableFieldId="26" dataDxfId="1598" dataCellStyle="一般 2"/>
    <tableColumn id="27" uniqueName="27" name="F27" queryTableFieldId="27" dataDxfId="1597" dataCellStyle="一般 2"/>
    <tableColumn id="28" uniqueName="28" name="F28" queryTableFieldId="28" dataDxfId="1596" dataCellStyle="一般 2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id="9" name="表格_取樣回收每月庫存表_0620更新1522252632456786910111213141516171819202123456789101112131415161718192022232424356789101112131415161718192021222345678910111213141516171819202345678910111213149101516171819222123234567891012131415161711181920212224252345678910111213111" displayName="表格_取樣回收每月庫存表_0620更新1522252632456786910111213141516171819202123456789101112131415161718192022232424356789101112131415161718192021222345678910111213141516171819202345678910111213149101516171819222123234567891012131415161711181920212224252345678910111213111" ref="AG13:BH189" tableType="queryTable" totalsRowShown="0" headerRowDxfId="1492" dataDxfId="1491" headerRowCellStyle="一般 2" dataCellStyle="一般 2">
  <autoFilter ref="AG13:BH189"/>
  <tableColumns count="28">
    <tableColumn id="1" uniqueName="1" name="請直接以10進位，謝謝" queryTableFieldId="1" dataDxfId="1490" dataCellStyle="一般 2"/>
    <tableColumn id="2" uniqueName="2" name="F2" queryTableFieldId="2" dataDxfId="1489" dataCellStyle="一般 2"/>
    <tableColumn id="3" uniqueName="3" name="F3" queryTableFieldId="3" dataDxfId="1488" dataCellStyle="一般 2"/>
    <tableColumn id="4" uniqueName="4" name="F4" queryTableFieldId="4" dataDxfId="1487" dataCellStyle="一般 2"/>
    <tableColumn id="5" uniqueName="5" name="F5" queryTableFieldId="5" dataDxfId="1486" dataCellStyle="一般 2"/>
    <tableColumn id="6" uniqueName="6" name="F6" queryTableFieldId="6" dataDxfId="1485" dataCellStyle="一般 2"/>
    <tableColumn id="7" uniqueName="7" name="F7" queryTableFieldId="7" dataDxfId="1484" dataCellStyle="一般 2"/>
    <tableColumn id="8" uniqueName="8" name="F8" queryTableFieldId="8" dataDxfId="1483" dataCellStyle="一般 2"/>
    <tableColumn id="9" uniqueName="9" name="F9" queryTableFieldId="9" dataDxfId="1482" dataCellStyle="一般 2"/>
    <tableColumn id="10" uniqueName="10" name="F10" queryTableFieldId="10" dataDxfId="1481" dataCellStyle="一般 2"/>
    <tableColumn id="11" uniqueName="11" name="F11" queryTableFieldId="11" dataDxfId="1480" dataCellStyle="一般 2"/>
    <tableColumn id="12" uniqueName="12" name="F12" queryTableFieldId="12" dataDxfId="1479" dataCellStyle="一般 2"/>
    <tableColumn id="13" uniqueName="13" name="F13" queryTableFieldId="13" dataDxfId="1478" dataCellStyle="一般 2"/>
    <tableColumn id="14" uniqueName="14" name="F14" queryTableFieldId="14" dataDxfId="1477" dataCellStyle="一般 2"/>
    <tableColumn id="15" uniqueName="15" name="F15" queryTableFieldId="15" dataDxfId="1476" dataCellStyle="一般 2"/>
    <tableColumn id="16" uniqueName="16" name="F16" queryTableFieldId="16" dataDxfId="1475" dataCellStyle="一般 2"/>
    <tableColumn id="17" uniqueName="17" name="F17" queryTableFieldId="17" dataDxfId="1474" dataCellStyle="一般 2"/>
    <tableColumn id="18" uniqueName="18" name="F18" queryTableFieldId="18" dataDxfId="1473" dataCellStyle="一般 2"/>
    <tableColumn id="19" uniqueName="19" name="F19" queryTableFieldId="19" dataDxfId="1472" dataCellStyle="一般 2"/>
    <tableColumn id="20" uniqueName="20" name="F20" queryTableFieldId="20" dataDxfId="1471" dataCellStyle="一般 2"/>
    <tableColumn id="21" uniqueName="21" name="F21" queryTableFieldId="21" dataDxfId="1470" dataCellStyle="一般 2"/>
    <tableColumn id="22" uniqueName="22" name="2024/6/24 14:52" queryTableFieldId="22" dataDxfId="1469" dataCellStyle="一般 2"/>
    <tableColumn id="23" uniqueName="23" name="F23" queryTableFieldId="23" dataDxfId="1468" dataCellStyle="一般 2"/>
    <tableColumn id="24" uniqueName="24" name="F24" queryTableFieldId="24" dataDxfId="1467" dataCellStyle="一般 2"/>
    <tableColumn id="25" uniqueName="25" name="F25" queryTableFieldId="25" dataDxfId="1466" dataCellStyle="一般 2"/>
    <tableColumn id="26" uniqueName="26" name="F26" queryTableFieldId="26" dataDxfId="1465" dataCellStyle="一般 2"/>
    <tableColumn id="27" uniqueName="27" name="F27" queryTableFieldId="27" dataDxfId="1464" dataCellStyle="一般 2"/>
    <tableColumn id="28" uniqueName="28" name="F28" queryTableFieldId="28" dataDxfId="1463" dataCellStyle="一般 2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id="10" name="表格_取樣回收每月庫存表_0620更新1522252632456786910111213141516171819202123456789101112131415161718192022232424356789101112131415161718192021222345678910111213141516171819202345678910111213149101516171819222123234567891012131415161711181920212224252345678910111213112" displayName="表格_取樣回收每月庫存表_0620更新1522252632456786910111213141516171819202123456789101112131415161718192022232424356789101112131415161718192021222345678910111213141516171819202345678910111213149101516171819222123234567891012131415161711181920212224252345678910111213112" ref="AG13:BH189" tableType="queryTable" totalsRowShown="0" headerRowDxfId="1359" dataDxfId="1358" headerRowCellStyle="一般 2" dataCellStyle="一般 2">
  <autoFilter ref="AG13:BH189"/>
  <tableColumns count="28">
    <tableColumn id="1" uniqueName="1" name="請直接以10進位，謝謝" queryTableFieldId="1" dataDxfId="1357" dataCellStyle="一般 2"/>
    <tableColumn id="2" uniqueName="2" name="F2" queryTableFieldId="2" dataDxfId="1356" dataCellStyle="一般 2"/>
    <tableColumn id="3" uniqueName="3" name="F3" queryTableFieldId="3" dataDxfId="1355" dataCellStyle="一般 2"/>
    <tableColumn id="4" uniqueName="4" name="F4" queryTableFieldId="4" dataDxfId="1354" dataCellStyle="一般 2"/>
    <tableColumn id="5" uniqueName="5" name="F5" queryTableFieldId="5" dataDxfId="1353" dataCellStyle="一般 2"/>
    <tableColumn id="6" uniqueName="6" name="F6" queryTableFieldId="6" dataDxfId="1352" dataCellStyle="一般 2"/>
    <tableColumn id="7" uniqueName="7" name="F7" queryTableFieldId="7" dataDxfId="1351" dataCellStyle="一般 2"/>
    <tableColumn id="8" uniqueName="8" name="F8" queryTableFieldId="8" dataDxfId="1350" dataCellStyle="一般 2"/>
    <tableColumn id="9" uniqueName="9" name="F9" queryTableFieldId="9" dataDxfId="1349" dataCellStyle="一般 2"/>
    <tableColumn id="10" uniqueName="10" name="F10" queryTableFieldId="10" dataDxfId="1348" dataCellStyle="一般 2"/>
    <tableColumn id="11" uniqueName="11" name="F11" queryTableFieldId="11" dataDxfId="1347" dataCellStyle="一般 2"/>
    <tableColumn id="12" uniqueName="12" name="F12" queryTableFieldId="12" dataDxfId="1346" dataCellStyle="一般 2"/>
    <tableColumn id="13" uniqueName="13" name="F13" queryTableFieldId="13" dataDxfId="1345" dataCellStyle="一般 2"/>
    <tableColumn id="14" uniqueName="14" name="F14" queryTableFieldId="14" dataDxfId="1344" dataCellStyle="一般 2"/>
    <tableColumn id="15" uniqueName="15" name="F15" queryTableFieldId="15" dataDxfId="1343" dataCellStyle="一般 2"/>
    <tableColumn id="16" uniqueName="16" name="F16" queryTableFieldId="16" dataDxfId="1342" dataCellStyle="一般 2"/>
    <tableColumn id="17" uniqueName="17" name="F17" queryTableFieldId="17" dataDxfId="1341" dataCellStyle="一般 2"/>
    <tableColumn id="18" uniqueName="18" name="F18" queryTableFieldId="18" dataDxfId="1340" dataCellStyle="一般 2"/>
    <tableColumn id="19" uniqueName="19" name="F19" queryTableFieldId="19" dataDxfId="1339" dataCellStyle="一般 2"/>
    <tableColumn id="20" uniqueName="20" name="F20" queryTableFieldId="20" dataDxfId="1338" dataCellStyle="一般 2"/>
    <tableColumn id="21" uniqueName="21" name="F21" queryTableFieldId="21" dataDxfId="1337" dataCellStyle="一般 2"/>
    <tableColumn id="22" uniqueName="22" name="2024/6/24 14:52" queryTableFieldId="22" dataDxfId="1336" dataCellStyle="一般 2"/>
    <tableColumn id="23" uniqueName="23" name="F23" queryTableFieldId="23" dataDxfId="1335" dataCellStyle="一般 2"/>
    <tableColumn id="24" uniqueName="24" name="F24" queryTableFieldId="24" dataDxfId="1334" dataCellStyle="一般 2"/>
    <tableColumn id="25" uniqueName="25" name="F25" queryTableFieldId="25" dataDxfId="1333" dataCellStyle="一般 2"/>
    <tableColumn id="26" uniqueName="26" name="F26" queryTableFieldId="26" dataDxfId="1332" dataCellStyle="一般 2"/>
    <tableColumn id="27" uniqueName="27" name="F27" queryTableFieldId="27" dataDxfId="1331" dataCellStyle="一般 2"/>
    <tableColumn id="28" uniqueName="28" name="F28" queryTableFieldId="28" dataDxfId="1330" dataCellStyle="一般 2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id="11" name="表格_取樣回收每月庫存表_0620更新1522252632456786910111213141516171819202123456789101112131415161718192022232424356789101112131415161718192021222345678910111213141516171819202345678910111213149101516171819222123234567891012131415161711181920212224252345678910111213113" displayName="表格_取樣回收每月庫存表_0620更新1522252632456786910111213141516171819202123456789101112131415161718192022232424356789101112131415161718192021222345678910111213141516171819202345678910111213149101516171819222123234567891012131415161711181920212224252345678910111213113" ref="AG13:BH189" tableType="queryTable" totalsRowShown="0" headerRowDxfId="1226" dataDxfId="1225" headerRowCellStyle="一般 2" dataCellStyle="一般 2">
  <autoFilter ref="AG13:BH189"/>
  <tableColumns count="28">
    <tableColumn id="1" uniqueName="1" name="請直接以10進位，謝謝" queryTableFieldId="1" dataDxfId="1224" dataCellStyle="一般 2"/>
    <tableColumn id="2" uniqueName="2" name="F2" queryTableFieldId="2" dataDxfId="1223" dataCellStyle="一般 2"/>
    <tableColumn id="3" uniqueName="3" name="F3" queryTableFieldId="3" dataDxfId="1222" dataCellStyle="一般 2"/>
    <tableColumn id="4" uniqueName="4" name="F4" queryTableFieldId="4" dataDxfId="1221" dataCellStyle="一般 2"/>
    <tableColumn id="5" uniqueName="5" name="F5" queryTableFieldId="5" dataDxfId="1220" dataCellStyle="一般 2"/>
    <tableColumn id="6" uniqueName="6" name="F6" queryTableFieldId="6" dataDxfId="1219" dataCellStyle="一般 2"/>
    <tableColumn id="7" uniqueName="7" name="F7" queryTableFieldId="7" dataDxfId="1218" dataCellStyle="一般 2"/>
    <tableColumn id="8" uniqueName="8" name="F8" queryTableFieldId="8" dataDxfId="1217" dataCellStyle="一般 2"/>
    <tableColumn id="9" uniqueName="9" name="F9" queryTableFieldId="9" dataDxfId="1216" dataCellStyle="一般 2"/>
    <tableColumn id="10" uniqueName="10" name="F10" queryTableFieldId="10" dataDxfId="1215" dataCellStyle="一般 2"/>
    <tableColumn id="11" uniqueName="11" name="F11" queryTableFieldId="11" dataDxfId="1214" dataCellStyle="一般 2"/>
    <tableColumn id="12" uniqueName="12" name="F12" queryTableFieldId="12" dataDxfId="1213" dataCellStyle="一般 2"/>
    <tableColumn id="13" uniqueName="13" name="F13" queryTableFieldId="13" dataDxfId="1212" dataCellStyle="一般 2"/>
    <tableColumn id="14" uniqueName="14" name="F14" queryTableFieldId="14" dataDxfId="1211" dataCellStyle="一般 2"/>
    <tableColumn id="15" uniqueName="15" name="F15" queryTableFieldId="15" dataDxfId="1210" dataCellStyle="一般 2"/>
    <tableColumn id="16" uniqueName="16" name="F16" queryTableFieldId="16" dataDxfId="1209" dataCellStyle="一般 2"/>
    <tableColumn id="17" uniqueName="17" name="F17" queryTableFieldId="17" dataDxfId="1208" dataCellStyle="一般 2"/>
    <tableColumn id="18" uniqueName="18" name="F18" queryTableFieldId="18" dataDxfId="1207" dataCellStyle="一般 2"/>
    <tableColumn id="19" uniqueName="19" name="F19" queryTableFieldId="19" dataDxfId="1206" dataCellStyle="一般 2"/>
    <tableColumn id="20" uniqueName="20" name="F20" queryTableFieldId="20" dataDxfId="1205" dataCellStyle="一般 2"/>
    <tableColumn id="21" uniqueName="21" name="F21" queryTableFieldId="21" dataDxfId="1204" dataCellStyle="一般 2"/>
    <tableColumn id="22" uniqueName="22" name="2024/6/24 14:52" queryTableFieldId="22" dataDxfId="1203" dataCellStyle="一般 2"/>
    <tableColumn id="23" uniqueName="23" name="F23" queryTableFieldId="23" dataDxfId="1202" dataCellStyle="一般 2"/>
    <tableColumn id="24" uniqueName="24" name="F24" queryTableFieldId="24" dataDxfId="1201" dataCellStyle="一般 2"/>
    <tableColumn id="25" uniqueName="25" name="F25" queryTableFieldId="25" dataDxfId="1200" dataCellStyle="一般 2"/>
    <tableColumn id="26" uniqueName="26" name="F26" queryTableFieldId="26" dataDxfId="1199" dataCellStyle="一般 2"/>
    <tableColumn id="27" uniqueName="27" name="F27" queryTableFieldId="27" dataDxfId="1198" dataCellStyle="一般 2"/>
    <tableColumn id="28" uniqueName="28" name="F28" queryTableFieldId="28" dataDxfId="1197" dataCellStyle="一般 2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id="12" name="表格_取樣回收每月庫存表_0620更新1522252632456786910111213141516171819202123456789101112131415161718192022232424356789101112131415161718192021222345678910111213141516171819202345678910111213149101516171819222123234567891012131415161711181920212224252345678910111213114" displayName="表格_取樣回收每月庫存表_0620更新1522252632456786910111213141516171819202123456789101112131415161718192022232424356789101112131415161718192021222345678910111213141516171819202345678910111213149101516171819222123234567891012131415161711181920212224252345678910111213114" ref="AG13:BH189" tableType="queryTable" totalsRowShown="0" headerRowDxfId="1093" dataDxfId="1092" headerRowCellStyle="一般 2" dataCellStyle="一般 2">
  <autoFilter ref="AG13:BH189"/>
  <tableColumns count="28">
    <tableColumn id="1" uniqueName="1" name="請直接以10進位，謝謝" queryTableFieldId="1" dataDxfId="1091" dataCellStyle="一般 2"/>
    <tableColumn id="2" uniqueName="2" name="F2" queryTableFieldId="2" dataDxfId="1090" dataCellStyle="一般 2"/>
    <tableColumn id="3" uniqueName="3" name="F3" queryTableFieldId="3" dataDxfId="1089" dataCellStyle="一般 2"/>
    <tableColumn id="4" uniqueName="4" name="F4" queryTableFieldId="4" dataDxfId="1088" dataCellStyle="一般 2"/>
    <tableColumn id="5" uniqueName="5" name="F5" queryTableFieldId="5" dataDxfId="1087" dataCellStyle="一般 2"/>
    <tableColumn id="6" uniqueName="6" name="F6" queryTableFieldId="6" dataDxfId="1086" dataCellStyle="一般 2"/>
    <tableColumn id="7" uniqueName="7" name="F7" queryTableFieldId="7" dataDxfId="1085" dataCellStyle="一般 2"/>
    <tableColumn id="8" uniqueName="8" name="F8" queryTableFieldId="8" dataDxfId="1084" dataCellStyle="一般 2"/>
    <tableColumn id="9" uniqueName="9" name="F9" queryTableFieldId="9" dataDxfId="1083" dataCellStyle="一般 2"/>
    <tableColumn id="10" uniqueName="10" name="F10" queryTableFieldId="10" dataDxfId="1082" dataCellStyle="一般 2"/>
    <tableColumn id="11" uniqueName="11" name="F11" queryTableFieldId="11" dataDxfId="1081" dataCellStyle="一般 2"/>
    <tableColumn id="12" uniqueName="12" name="F12" queryTableFieldId="12" dataDxfId="1080" dataCellStyle="一般 2"/>
    <tableColumn id="13" uniqueName="13" name="F13" queryTableFieldId="13" dataDxfId="1079" dataCellStyle="一般 2"/>
    <tableColumn id="14" uniqueName="14" name="F14" queryTableFieldId="14" dataDxfId="1078" dataCellStyle="一般 2"/>
    <tableColumn id="15" uniqueName="15" name="F15" queryTableFieldId="15" dataDxfId="1077" dataCellStyle="一般 2"/>
    <tableColumn id="16" uniqueName="16" name="F16" queryTableFieldId="16" dataDxfId="1076" dataCellStyle="一般 2"/>
    <tableColumn id="17" uniqueName="17" name="F17" queryTableFieldId="17" dataDxfId="1075" dataCellStyle="一般 2"/>
    <tableColumn id="18" uniqueName="18" name="F18" queryTableFieldId="18" dataDxfId="1074" dataCellStyle="一般 2"/>
    <tableColumn id="19" uniqueName="19" name="F19" queryTableFieldId="19" dataDxfId="1073" dataCellStyle="一般 2"/>
    <tableColumn id="20" uniqueName="20" name="F20" queryTableFieldId="20" dataDxfId="1072" dataCellStyle="一般 2"/>
    <tableColumn id="21" uniqueName="21" name="F21" queryTableFieldId="21" dataDxfId="1071" dataCellStyle="一般 2"/>
    <tableColumn id="22" uniqueName="22" name="2024/6/24 14:52" queryTableFieldId="22" dataDxfId="1070" dataCellStyle="一般 2"/>
    <tableColumn id="23" uniqueName="23" name="F23" queryTableFieldId="23" dataDxfId="1069" dataCellStyle="一般 2"/>
    <tableColumn id="24" uniqueName="24" name="F24" queryTableFieldId="24" dataDxfId="1068" dataCellStyle="一般 2"/>
    <tableColumn id="25" uniqueName="25" name="F25" queryTableFieldId="25" dataDxfId="1067" dataCellStyle="一般 2"/>
    <tableColumn id="26" uniqueName="26" name="F26" queryTableFieldId="26" dataDxfId="1066" dataCellStyle="一般 2"/>
    <tableColumn id="27" uniqueName="27" name="F27" queryTableFieldId="27" dataDxfId="1065" dataCellStyle="一般 2"/>
    <tableColumn id="28" uniqueName="28" name="F28" queryTableFieldId="28" dataDxfId="1064" dataCellStyle="一般 2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id="13" name="表格_取樣回收每月庫存表_0620更新1522252632456786910111213141516171819202123456789101112131415161718192022232424356789101112131415161718192021222345678910111213141516171819202345678910111213149101516171819222123234567891012131415161711181920212224252345678910111213115" displayName="表格_取樣回收每月庫存表_0620更新1522252632456786910111213141516171819202123456789101112131415161718192022232424356789101112131415161718192021222345678910111213141516171819202345678910111213149101516171819222123234567891012131415161711181920212224252345678910111213115" ref="AG13:BH189" tableType="queryTable" totalsRowShown="0" headerRowDxfId="960" dataDxfId="959" headerRowCellStyle="一般 2" dataCellStyle="一般 2">
  <autoFilter ref="AG13:BH189"/>
  <tableColumns count="28">
    <tableColumn id="1" uniqueName="1" name="請直接以10進位，謝謝" queryTableFieldId="1" dataDxfId="958" dataCellStyle="一般 2"/>
    <tableColumn id="2" uniqueName="2" name="F2" queryTableFieldId="2" dataDxfId="957" dataCellStyle="一般 2"/>
    <tableColumn id="3" uniqueName="3" name="F3" queryTableFieldId="3" dataDxfId="956" dataCellStyle="一般 2"/>
    <tableColumn id="4" uniqueName="4" name="F4" queryTableFieldId="4" dataDxfId="955" dataCellStyle="一般 2"/>
    <tableColumn id="5" uniqueName="5" name="F5" queryTableFieldId="5" dataDxfId="954" dataCellStyle="一般 2"/>
    <tableColumn id="6" uniqueName="6" name="F6" queryTableFieldId="6" dataDxfId="953" dataCellStyle="一般 2"/>
    <tableColumn id="7" uniqueName="7" name="F7" queryTableFieldId="7" dataDxfId="952" dataCellStyle="一般 2"/>
    <tableColumn id="8" uniqueName="8" name="F8" queryTableFieldId="8" dataDxfId="951" dataCellStyle="一般 2"/>
    <tableColumn id="9" uniqueName="9" name="F9" queryTableFieldId="9" dataDxfId="950" dataCellStyle="一般 2"/>
    <tableColumn id="10" uniqueName="10" name="F10" queryTableFieldId="10" dataDxfId="949" dataCellStyle="一般 2"/>
    <tableColumn id="11" uniqueName="11" name="F11" queryTableFieldId="11" dataDxfId="948" dataCellStyle="一般 2"/>
    <tableColumn id="12" uniqueName="12" name="F12" queryTableFieldId="12" dataDxfId="947" dataCellStyle="一般 2"/>
    <tableColumn id="13" uniqueName="13" name="F13" queryTableFieldId="13" dataDxfId="946" dataCellStyle="一般 2"/>
    <tableColumn id="14" uniqueName="14" name="F14" queryTableFieldId="14" dataDxfId="945" dataCellStyle="一般 2"/>
    <tableColumn id="15" uniqueName="15" name="F15" queryTableFieldId="15" dataDxfId="944" dataCellStyle="一般 2"/>
    <tableColumn id="16" uniqueName="16" name="F16" queryTableFieldId="16" dataDxfId="943" dataCellStyle="一般 2"/>
    <tableColumn id="17" uniqueName="17" name="F17" queryTableFieldId="17" dataDxfId="942" dataCellStyle="一般 2"/>
    <tableColumn id="18" uniqueName="18" name="F18" queryTableFieldId="18" dataDxfId="941" dataCellStyle="一般 2"/>
    <tableColumn id="19" uniqueName="19" name="F19" queryTableFieldId="19" dataDxfId="940" dataCellStyle="一般 2"/>
    <tableColumn id="20" uniqueName="20" name="F20" queryTableFieldId="20" dataDxfId="939" dataCellStyle="一般 2"/>
    <tableColumn id="21" uniqueName="21" name="F21" queryTableFieldId="21" dataDxfId="938" dataCellStyle="一般 2"/>
    <tableColumn id="22" uniqueName="22" name="2024/6/24 14:52" queryTableFieldId="22" dataDxfId="937" dataCellStyle="一般 2"/>
    <tableColumn id="23" uniqueName="23" name="F23" queryTableFieldId="23" dataDxfId="936" dataCellStyle="一般 2"/>
    <tableColumn id="24" uniqueName="24" name="F24" queryTableFieldId="24" dataDxfId="935" dataCellStyle="一般 2"/>
    <tableColumn id="25" uniqueName="25" name="F25" queryTableFieldId="25" dataDxfId="934" dataCellStyle="一般 2"/>
    <tableColumn id="26" uniqueName="26" name="F26" queryTableFieldId="26" dataDxfId="933" dataCellStyle="一般 2"/>
    <tableColumn id="27" uniqueName="27" name="F27" queryTableFieldId="27" dataDxfId="932" dataCellStyle="一般 2"/>
    <tableColumn id="28" uniqueName="28" name="F28" queryTableFieldId="28" dataDxfId="931" dataCellStyle="一般 2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id="14" name="表格_取樣回收每月庫存表_0620更新1522252632456786910111213141516171819202123456789101112131415161718192022232424356789101112131415161718192021222345678910111213141516171819202345678910111213149101516171819222123234567891012131415161711181920212224252345678910111213116" displayName="表格_取樣回收每月庫存表_0620更新1522252632456786910111213141516171819202123456789101112131415161718192022232424356789101112131415161718192021222345678910111213141516171819202345678910111213149101516171819222123234567891012131415161711181920212224252345678910111213116" ref="AG13:BH189" tableType="queryTable" totalsRowShown="0" headerRowDxfId="827" dataDxfId="826" headerRowCellStyle="一般 2" dataCellStyle="一般 2">
  <autoFilter ref="AG13:BH189"/>
  <tableColumns count="28">
    <tableColumn id="1" uniqueName="1" name="請直接以10進位，謝謝" queryTableFieldId="1" dataDxfId="825" dataCellStyle="一般 2"/>
    <tableColumn id="2" uniqueName="2" name="F2" queryTableFieldId="2" dataDxfId="824" dataCellStyle="一般 2"/>
    <tableColumn id="3" uniqueName="3" name="F3" queryTableFieldId="3" dataDxfId="823" dataCellStyle="一般 2"/>
    <tableColumn id="4" uniqueName="4" name="F4" queryTableFieldId="4" dataDxfId="822" dataCellStyle="一般 2"/>
    <tableColumn id="5" uniqueName="5" name="F5" queryTableFieldId="5" dataDxfId="821" dataCellStyle="一般 2"/>
    <tableColumn id="6" uniqueName="6" name="F6" queryTableFieldId="6" dataDxfId="820" dataCellStyle="一般 2"/>
    <tableColumn id="7" uniqueName="7" name="F7" queryTableFieldId="7" dataDxfId="819" dataCellStyle="一般 2"/>
    <tableColumn id="8" uniqueName="8" name="F8" queryTableFieldId="8" dataDxfId="818" dataCellStyle="一般 2"/>
    <tableColumn id="9" uniqueName="9" name="F9" queryTableFieldId="9" dataDxfId="817" dataCellStyle="一般 2"/>
    <tableColumn id="10" uniqueName="10" name="F10" queryTableFieldId="10" dataDxfId="816" dataCellStyle="一般 2"/>
    <tableColumn id="11" uniqueName="11" name="F11" queryTableFieldId="11" dataDxfId="815" dataCellStyle="一般 2"/>
    <tableColumn id="12" uniqueName="12" name="F12" queryTableFieldId="12" dataDxfId="814" dataCellStyle="一般 2"/>
    <tableColumn id="13" uniqueName="13" name="F13" queryTableFieldId="13" dataDxfId="813" dataCellStyle="一般 2"/>
    <tableColumn id="14" uniqueName="14" name="F14" queryTableFieldId="14" dataDxfId="812" dataCellStyle="一般 2"/>
    <tableColumn id="15" uniqueName="15" name="F15" queryTableFieldId="15" dataDxfId="811" dataCellStyle="一般 2"/>
    <tableColumn id="16" uniqueName="16" name="F16" queryTableFieldId="16" dataDxfId="810" dataCellStyle="一般 2"/>
    <tableColumn id="17" uniqueName="17" name="F17" queryTableFieldId="17" dataDxfId="809" dataCellStyle="一般 2"/>
    <tableColumn id="18" uniqueName="18" name="F18" queryTableFieldId="18" dataDxfId="808" dataCellStyle="一般 2"/>
    <tableColumn id="19" uniqueName="19" name="F19" queryTableFieldId="19" dataDxfId="807" dataCellStyle="一般 2"/>
    <tableColumn id="20" uniqueName="20" name="F20" queryTableFieldId="20" dataDxfId="806" dataCellStyle="一般 2"/>
    <tableColumn id="21" uniqueName="21" name="F21" queryTableFieldId="21" dataDxfId="805" dataCellStyle="一般 2"/>
    <tableColumn id="22" uniqueName="22" name="2024/6/24 14:52" queryTableFieldId="22" dataDxfId="804" dataCellStyle="一般 2"/>
    <tableColumn id="23" uniqueName="23" name="F23" queryTableFieldId="23" dataDxfId="803" dataCellStyle="一般 2"/>
    <tableColumn id="24" uniqueName="24" name="F24" queryTableFieldId="24" dataDxfId="802" dataCellStyle="一般 2"/>
    <tableColumn id="25" uniqueName="25" name="F25" queryTableFieldId="25" dataDxfId="801" dataCellStyle="一般 2"/>
    <tableColumn id="26" uniqueName="26" name="F26" queryTableFieldId="26" dataDxfId="800" dataCellStyle="一般 2"/>
    <tableColumn id="27" uniqueName="27" name="F27" queryTableFieldId="27" dataDxfId="799" dataCellStyle="一般 2"/>
    <tableColumn id="28" uniqueName="28" name="F28" queryTableFieldId="28" dataDxfId="798" dataCellStyle="一般 2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id="15" name="表格_取樣回收每月庫存表_0620更新1522252632456786910111213141516171819202123456789101112131415161718192022232424356789101112131415161718192021222345678910111213141516171819202345678910111213149101516171819222123234567891012131415161711181920212224252345678910111213117" displayName="表格_取樣回收每月庫存表_0620更新1522252632456786910111213141516171819202123456789101112131415161718192022232424356789101112131415161718192021222345678910111213141516171819202345678910111213149101516171819222123234567891012131415161711181920212224252345678910111213117" ref="AG13:BH189" tableType="queryTable" totalsRowShown="0" headerRowDxfId="694" dataDxfId="693" headerRowCellStyle="一般 2" dataCellStyle="一般 2">
  <autoFilter ref="AG13:BH189"/>
  <tableColumns count="28">
    <tableColumn id="1" uniqueName="1" name="請直接以10進位，謝謝" queryTableFieldId="1" dataDxfId="692" dataCellStyle="一般 2"/>
    <tableColumn id="2" uniqueName="2" name="F2" queryTableFieldId="2" dataDxfId="691" dataCellStyle="一般 2"/>
    <tableColumn id="3" uniqueName="3" name="F3" queryTableFieldId="3" dataDxfId="690" dataCellStyle="一般 2"/>
    <tableColumn id="4" uniqueName="4" name="F4" queryTableFieldId="4" dataDxfId="689" dataCellStyle="一般 2"/>
    <tableColumn id="5" uniqueName="5" name="F5" queryTableFieldId="5" dataDxfId="688" dataCellStyle="一般 2"/>
    <tableColumn id="6" uniqueName="6" name="F6" queryTableFieldId="6" dataDxfId="687" dataCellStyle="一般 2"/>
    <tableColumn id="7" uniqueName="7" name="F7" queryTableFieldId="7" dataDxfId="686" dataCellStyle="一般 2"/>
    <tableColumn id="8" uniqueName="8" name="F8" queryTableFieldId="8" dataDxfId="685" dataCellStyle="一般 2"/>
    <tableColumn id="9" uniqueName="9" name="F9" queryTableFieldId="9" dataDxfId="684" dataCellStyle="一般 2"/>
    <tableColumn id="10" uniqueName="10" name="F10" queryTableFieldId="10" dataDxfId="683" dataCellStyle="一般 2"/>
    <tableColumn id="11" uniqueName="11" name="F11" queryTableFieldId="11" dataDxfId="682" dataCellStyle="一般 2"/>
    <tableColumn id="12" uniqueName="12" name="F12" queryTableFieldId="12" dataDxfId="681" dataCellStyle="一般 2"/>
    <tableColumn id="13" uniqueName="13" name="F13" queryTableFieldId="13" dataDxfId="680" dataCellStyle="一般 2"/>
    <tableColumn id="14" uniqueName="14" name="F14" queryTableFieldId="14" dataDxfId="679" dataCellStyle="一般 2"/>
    <tableColumn id="15" uniqueName="15" name="F15" queryTableFieldId="15" dataDxfId="678" dataCellStyle="一般 2"/>
    <tableColumn id="16" uniqueName="16" name="F16" queryTableFieldId="16" dataDxfId="677" dataCellStyle="一般 2"/>
    <tableColumn id="17" uniqueName="17" name="F17" queryTableFieldId="17" dataDxfId="676" dataCellStyle="一般 2"/>
    <tableColumn id="18" uniqueName="18" name="F18" queryTableFieldId="18" dataDxfId="675" dataCellStyle="一般 2"/>
    <tableColumn id="19" uniqueName="19" name="F19" queryTableFieldId="19" dataDxfId="674" dataCellStyle="一般 2"/>
    <tableColumn id="20" uniqueName="20" name="F20" queryTableFieldId="20" dataDxfId="673" dataCellStyle="一般 2"/>
    <tableColumn id="21" uniqueName="21" name="F21" queryTableFieldId="21" dataDxfId="672" dataCellStyle="一般 2"/>
    <tableColumn id="22" uniqueName="22" name="2024/6/24 14:52" queryTableFieldId="22" dataDxfId="671" dataCellStyle="一般 2"/>
    <tableColumn id="23" uniqueName="23" name="F23" queryTableFieldId="23" dataDxfId="670" dataCellStyle="一般 2"/>
    <tableColumn id="24" uniqueName="24" name="F24" queryTableFieldId="24" dataDxfId="669" dataCellStyle="一般 2"/>
    <tableColumn id="25" uniqueName="25" name="F25" queryTableFieldId="25" dataDxfId="668" dataCellStyle="一般 2"/>
    <tableColumn id="26" uniqueName="26" name="F26" queryTableFieldId="26" dataDxfId="667" dataCellStyle="一般 2"/>
    <tableColumn id="27" uniqueName="27" name="F27" queryTableFieldId="27" dataDxfId="666" dataCellStyle="一般 2"/>
    <tableColumn id="28" uniqueName="28" name="F28" queryTableFieldId="28" dataDxfId="665" dataCellStyle="一般 2"/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id="16" name="表格_取樣回收每月庫存表_0620更新1522252632456786910111213141516171819202123456789101112131415161718192022232424356789101112131415161718192021222345678910111213141516171819202345678910111213149101516171819222123234567891012131415161711181920212224252345678910111213118" displayName="表格_取樣回收每月庫存表_0620更新1522252632456786910111213141516171819202123456789101112131415161718192022232424356789101112131415161718192021222345678910111213141516171819202345678910111213149101516171819222123234567891012131415161711181920212224252345678910111213118" ref="AG13:BH189" tableType="queryTable" totalsRowShown="0" headerRowDxfId="561" dataDxfId="560" headerRowCellStyle="一般 2" dataCellStyle="一般 2">
  <autoFilter ref="AG13:BH189"/>
  <tableColumns count="28">
    <tableColumn id="1" uniqueName="1" name="請直接以10進位，謝謝" queryTableFieldId="1" dataDxfId="559" dataCellStyle="一般 2"/>
    <tableColumn id="2" uniqueName="2" name="F2" queryTableFieldId="2" dataDxfId="558" dataCellStyle="一般 2"/>
    <tableColumn id="3" uniqueName="3" name="F3" queryTableFieldId="3" dataDxfId="557" dataCellStyle="一般 2"/>
    <tableColumn id="4" uniqueName="4" name="F4" queryTableFieldId="4" dataDxfId="556" dataCellStyle="一般 2"/>
    <tableColumn id="5" uniqueName="5" name="F5" queryTableFieldId="5" dataDxfId="555" dataCellStyle="一般 2"/>
    <tableColumn id="6" uniqueName="6" name="F6" queryTableFieldId="6" dataDxfId="554" dataCellStyle="一般 2"/>
    <tableColumn id="7" uniqueName="7" name="F7" queryTableFieldId="7" dataDxfId="553" dataCellStyle="一般 2"/>
    <tableColumn id="8" uniqueName="8" name="F8" queryTableFieldId="8" dataDxfId="552" dataCellStyle="一般 2"/>
    <tableColumn id="9" uniqueName="9" name="F9" queryTableFieldId="9" dataDxfId="551" dataCellStyle="一般 2"/>
    <tableColumn id="10" uniqueName="10" name="F10" queryTableFieldId="10" dataDxfId="550" dataCellStyle="一般 2"/>
    <tableColumn id="11" uniqueName="11" name="F11" queryTableFieldId="11" dataDxfId="549" dataCellStyle="一般 2"/>
    <tableColumn id="12" uniqueName="12" name="F12" queryTableFieldId="12" dataDxfId="548" dataCellStyle="一般 2"/>
    <tableColumn id="13" uniqueName="13" name="F13" queryTableFieldId="13" dataDxfId="547" dataCellStyle="一般 2"/>
    <tableColumn id="14" uniqueName="14" name="F14" queryTableFieldId="14" dataDxfId="546" dataCellStyle="一般 2"/>
    <tableColumn id="15" uniqueName="15" name="F15" queryTableFieldId="15" dataDxfId="545" dataCellStyle="一般 2"/>
    <tableColumn id="16" uniqueName="16" name="F16" queryTableFieldId="16" dataDxfId="544" dataCellStyle="一般 2"/>
    <tableColumn id="17" uniqueName="17" name="F17" queryTableFieldId="17" dataDxfId="543" dataCellStyle="一般 2"/>
    <tableColumn id="18" uniqueName="18" name="F18" queryTableFieldId="18" dataDxfId="542" dataCellStyle="一般 2"/>
    <tableColumn id="19" uniqueName="19" name="F19" queryTableFieldId="19" dataDxfId="541" dataCellStyle="一般 2"/>
    <tableColumn id="20" uniqueName="20" name="F20" queryTableFieldId="20" dataDxfId="540" dataCellStyle="一般 2"/>
    <tableColumn id="21" uniqueName="21" name="F21" queryTableFieldId="21" dataDxfId="539" dataCellStyle="一般 2"/>
    <tableColumn id="22" uniqueName="22" name="2024/6/24 14:52" queryTableFieldId="22" dataDxfId="538" dataCellStyle="一般 2"/>
    <tableColumn id="23" uniqueName="23" name="F23" queryTableFieldId="23" dataDxfId="537" dataCellStyle="一般 2"/>
    <tableColumn id="24" uniqueName="24" name="F24" queryTableFieldId="24" dataDxfId="536" dataCellStyle="一般 2"/>
    <tableColumn id="25" uniqueName="25" name="F25" queryTableFieldId="25" dataDxfId="535" dataCellStyle="一般 2"/>
    <tableColumn id="26" uniqueName="26" name="F26" queryTableFieldId="26" dataDxfId="534" dataCellStyle="一般 2"/>
    <tableColumn id="27" uniqueName="27" name="F27" queryTableFieldId="27" dataDxfId="533" dataCellStyle="一般 2"/>
    <tableColumn id="28" uniqueName="28" name="F28" queryTableFieldId="28" dataDxfId="532" dataCellStyle="一般 2"/>
  </tableColumns>
  <tableStyleInfo name="TableStyleMedium2" showFirstColumn="0" showLastColumn="0" showRowStripes="1" showColumnStripes="0"/>
</table>
</file>

<file path=xl/tables/table18.xml><?xml version="1.0" encoding="utf-8"?>
<table xmlns="http://schemas.openxmlformats.org/spreadsheetml/2006/main" id="17" name="表格_取樣回收每月庫存表_0620更新1522252632456786910111213141516171819202123456789101112131415161718192022232424356789101112131415161718192021222345678910111213141516171819202345678910111213149101516171819222123234567891012131415161711181920212224252345678910111213119" displayName="表格_取樣回收每月庫存表_0620更新1522252632456786910111213141516171819202123456789101112131415161718192022232424356789101112131415161718192021222345678910111213141516171819202345678910111213149101516171819222123234567891012131415161711181920212224252345678910111213119" ref="AG13:BH189" tableType="queryTable" totalsRowShown="0" headerRowDxfId="428" dataDxfId="427" headerRowCellStyle="一般 2" dataCellStyle="一般 2">
  <autoFilter ref="AG13:BH189"/>
  <tableColumns count="28">
    <tableColumn id="1" uniqueName="1" name="請直接以10進位，謝謝" queryTableFieldId="1" dataDxfId="426" dataCellStyle="一般 2"/>
    <tableColumn id="2" uniqueName="2" name="F2" queryTableFieldId="2" dataDxfId="425" dataCellStyle="一般 2"/>
    <tableColumn id="3" uniqueName="3" name="F3" queryTableFieldId="3" dataDxfId="424" dataCellStyle="一般 2"/>
    <tableColumn id="4" uniqueName="4" name="F4" queryTableFieldId="4" dataDxfId="423" dataCellStyle="一般 2"/>
    <tableColumn id="5" uniqueName="5" name="F5" queryTableFieldId="5" dataDxfId="422" dataCellStyle="一般 2"/>
    <tableColumn id="6" uniqueName="6" name="F6" queryTableFieldId="6" dataDxfId="421" dataCellStyle="一般 2"/>
    <tableColumn id="7" uniqueName="7" name="F7" queryTableFieldId="7" dataDxfId="420" dataCellStyle="一般 2"/>
    <tableColumn id="8" uniqueName="8" name="F8" queryTableFieldId="8" dataDxfId="419" dataCellStyle="一般 2"/>
    <tableColumn id="9" uniqueName="9" name="F9" queryTableFieldId="9" dataDxfId="418" dataCellStyle="一般 2"/>
    <tableColumn id="10" uniqueName="10" name="F10" queryTableFieldId="10" dataDxfId="417" dataCellStyle="一般 2"/>
    <tableColumn id="11" uniqueName="11" name="F11" queryTableFieldId="11" dataDxfId="416" dataCellStyle="一般 2"/>
    <tableColumn id="12" uniqueName="12" name="F12" queryTableFieldId="12" dataDxfId="415" dataCellStyle="一般 2"/>
    <tableColumn id="13" uniqueName="13" name="F13" queryTableFieldId="13" dataDxfId="414" dataCellStyle="一般 2"/>
    <tableColumn id="14" uniqueName="14" name="F14" queryTableFieldId="14" dataDxfId="413" dataCellStyle="一般 2"/>
    <tableColumn id="15" uniqueName="15" name="F15" queryTableFieldId="15" dataDxfId="412" dataCellStyle="一般 2"/>
    <tableColumn id="16" uniqueName="16" name="F16" queryTableFieldId="16" dataDxfId="411" dataCellStyle="一般 2"/>
    <tableColumn id="17" uniqueName="17" name="F17" queryTableFieldId="17" dataDxfId="410" dataCellStyle="一般 2"/>
    <tableColumn id="18" uniqueName="18" name="F18" queryTableFieldId="18" dataDxfId="409" dataCellStyle="一般 2"/>
    <tableColumn id="19" uniqueName="19" name="F19" queryTableFieldId="19" dataDxfId="408" dataCellStyle="一般 2"/>
    <tableColumn id="20" uniqueName="20" name="F20" queryTableFieldId="20" dataDxfId="407" dataCellStyle="一般 2"/>
    <tableColumn id="21" uniqueName="21" name="F21" queryTableFieldId="21" dataDxfId="406" dataCellStyle="一般 2"/>
    <tableColumn id="22" uniqueName="22" name="2024/6/24 14:52" queryTableFieldId="22" dataDxfId="405" dataCellStyle="一般 2"/>
    <tableColumn id="23" uniqueName="23" name="F23" queryTableFieldId="23" dataDxfId="404" dataCellStyle="一般 2"/>
    <tableColumn id="24" uniqueName="24" name="F24" queryTableFieldId="24" dataDxfId="403" dataCellStyle="一般 2"/>
    <tableColumn id="25" uniqueName="25" name="F25" queryTableFieldId="25" dataDxfId="402" dataCellStyle="一般 2"/>
    <tableColumn id="26" uniqueName="26" name="F26" queryTableFieldId="26" dataDxfId="401" dataCellStyle="一般 2"/>
    <tableColumn id="27" uniqueName="27" name="F27" queryTableFieldId="27" dataDxfId="400" dataCellStyle="一般 2"/>
    <tableColumn id="28" uniqueName="28" name="F28" queryTableFieldId="28" dataDxfId="399" dataCellStyle="一般 2"/>
  </tableColumns>
  <tableStyleInfo name="TableStyleMedium2" showFirstColumn="0" showLastColumn="0" showRowStripes="1" showColumnStripes="0"/>
</table>
</file>

<file path=xl/tables/table19.xml><?xml version="1.0" encoding="utf-8"?>
<table xmlns="http://schemas.openxmlformats.org/spreadsheetml/2006/main" id="18" name="表格_取樣回收每月庫存表_0620更新1522252632456786910111213141516171819202123456789101112131415161718192022232424356789101112131415161718192021222345678910111213141516171819202345678910111213149101516171819222123234567891012131415161711181920212224252345678910111213120" displayName="表格_取樣回收每月庫存表_0620更新1522252632456786910111213141516171819202123456789101112131415161718192022232424356789101112131415161718192021222345678910111213141516171819202345678910111213149101516171819222123234567891012131415161711181920212224252345678910111213120" ref="AG13:BH189" tableType="queryTable" totalsRowShown="0" headerRowDxfId="295" dataDxfId="294" headerRowCellStyle="一般 2" dataCellStyle="一般 2">
  <autoFilter ref="AG13:BH189"/>
  <tableColumns count="28">
    <tableColumn id="1" uniqueName="1" name="請直接以10進位，謝謝" queryTableFieldId="1" dataDxfId="293" dataCellStyle="一般 2"/>
    <tableColumn id="2" uniqueName="2" name="F2" queryTableFieldId="2" dataDxfId="292" dataCellStyle="一般 2"/>
    <tableColumn id="3" uniqueName="3" name="F3" queryTableFieldId="3" dataDxfId="291" dataCellStyle="一般 2"/>
    <tableColumn id="4" uniqueName="4" name="F4" queryTableFieldId="4" dataDxfId="290" dataCellStyle="一般 2"/>
    <tableColumn id="5" uniqueName="5" name="F5" queryTableFieldId="5" dataDxfId="289" dataCellStyle="一般 2"/>
    <tableColumn id="6" uniqueName="6" name="F6" queryTableFieldId="6" dataDxfId="288" dataCellStyle="一般 2"/>
    <tableColumn id="7" uniqueName="7" name="F7" queryTableFieldId="7" dataDxfId="287" dataCellStyle="一般 2"/>
    <tableColumn id="8" uniqueName="8" name="F8" queryTableFieldId="8" dataDxfId="286" dataCellStyle="一般 2"/>
    <tableColumn id="9" uniqueName="9" name="F9" queryTableFieldId="9" dataDxfId="285" dataCellStyle="一般 2"/>
    <tableColumn id="10" uniqueName="10" name="F10" queryTableFieldId="10" dataDxfId="284" dataCellStyle="一般 2"/>
    <tableColumn id="11" uniqueName="11" name="F11" queryTableFieldId="11" dataDxfId="283" dataCellStyle="一般 2"/>
    <tableColumn id="12" uniqueName="12" name="F12" queryTableFieldId="12" dataDxfId="282" dataCellStyle="一般 2"/>
    <tableColumn id="13" uniqueName="13" name="F13" queryTableFieldId="13" dataDxfId="281" dataCellStyle="一般 2"/>
    <tableColumn id="14" uniqueName="14" name="F14" queryTableFieldId="14" dataDxfId="280" dataCellStyle="一般 2"/>
    <tableColumn id="15" uniqueName="15" name="F15" queryTableFieldId="15" dataDxfId="279" dataCellStyle="一般 2"/>
    <tableColumn id="16" uniqueName="16" name="F16" queryTableFieldId="16" dataDxfId="278" dataCellStyle="一般 2"/>
    <tableColumn id="17" uniqueName="17" name="F17" queryTableFieldId="17" dataDxfId="277" dataCellStyle="一般 2"/>
    <tableColumn id="18" uniqueName="18" name="F18" queryTableFieldId="18" dataDxfId="276" dataCellStyle="一般 2"/>
    <tableColumn id="19" uniqueName="19" name="F19" queryTableFieldId="19" dataDxfId="275" dataCellStyle="一般 2"/>
    <tableColumn id="20" uniqueName="20" name="F20" queryTableFieldId="20" dataDxfId="274" dataCellStyle="一般 2"/>
    <tableColumn id="21" uniqueName="21" name="F21" queryTableFieldId="21" dataDxfId="273" dataCellStyle="一般 2"/>
    <tableColumn id="22" uniqueName="22" name="2024/6/24 14:52" queryTableFieldId="22" dataDxfId="272" dataCellStyle="一般 2"/>
    <tableColumn id="23" uniqueName="23" name="F23" queryTableFieldId="23" dataDxfId="271" dataCellStyle="一般 2"/>
    <tableColumn id="24" uniqueName="24" name="F24" queryTableFieldId="24" dataDxfId="270" dataCellStyle="一般 2"/>
    <tableColumn id="25" uniqueName="25" name="F25" queryTableFieldId="25" dataDxfId="269" dataCellStyle="一般 2"/>
    <tableColumn id="26" uniqueName="26" name="F26" queryTableFieldId="26" dataDxfId="268" dataCellStyle="一般 2"/>
    <tableColumn id="27" uniqueName="27" name="F27" queryTableFieldId="27" dataDxfId="267" dataCellStyle="一般 2"/>
    <tableColumn id="28" uniqueName="28" name="F28" queryTableFieldId="28" dataDxfId="266" dataCellStyle="一般 2"/>
  </tableColumns>
  <tableStyleInfo name="TableStyleMedium2" showFirstColumn="0" showLastColumn="0" showRowStripes="1" showColumnStripes="0"/>
</table>
</file>

<file path=xl/tables/table20.xml><?xml version="1.0" encoding="utf-8"?>
<table xmlns="http://schemas.openxmlformats.org/spreadsheetml/2006/main" id="19" name="表格_取樣回收每月庫存表_0620更新1522252632456786910111213141516171819202123456789101112131415161718192022232424356789101112131415161718192021222345678910111213141516171819202345678910111213149101516171819222123234567891012131415161711181920212224252345678910111213121" displayName="表格_取樣回收每月庫存表_0620更新1522252632456786910111213141516171819202123456789101112131415161718192022232424356789101112131415161718192021222345678910111213141516171819202345678910111213149101516171819222123234567891012131415161711181920212224252345678910111213121" ref="AG13:BH189" tableType="queryTable" totalsRowShown="0" headerRowDxfId="162" dataDxfId="161" headerRowCellStyle="一般 2" dataCellStyle="一般 2">
  <autoFilter ref="AG13:BH189"/>
  <tableColumns count="28">
    <tableColumn id="1" uniqueName="1" name="請直接以10進位，謝謝" queryTableFieldId="1" dataDxfId="160" dataCellStyle="一般 2"/>
    <tableColumn id="2" uniqueName="2" name="F2" queryTableFieldId="2" dataDxfId="159" dataCellStyle="一般 2"/>
    <tableColumn id="3" uniqueName="3" name="F3" queryTableFieldId="3" dataDxfId="158" dataCellStyle="一般 2"/>
    <tableColumn id="4" uniqueName="4" name="F4" queryTableFieldId="4" dataDxfId="157" dataCellStyle="一般 2"/>
    <tableColumn id="5" uniqueName="5" name="F5" queryTableFieldId="5" dataDxfId="156" dataCellStyle="一般 2"/>
    <tableColumn id="6" uniqueName="6" name="F6" queryTableFieldId="6" dataDxfId="155" dataCellStyle="一般 2"/>
    <tableColumn id="7" uniqueName="7" name="F7" queryTableFieldId="7" dataDxfId="154" dataCellStyle="一般 2"/>
    <tableColumn id="8" uniqueName="8" name="F8" queryTableFieldId="8" dataDxfId="153" dataCellStyle="一般 2"/>
    <tableColumn id="9" uniqueName="9" name="F9" queryTableFieldId="9" dataDxfId="152" dataCellStyle="一般 2"/>
    <tableColumn id="10" uniqueName="10" name="F10" queryTableFieldId="10" dataDxfId="151" dataCellStyle="一般 2"/>
    <tableColumn id="11" uniqueName="11" name="F11" queryTableFieldId="11" dataDxfId="150" dataCellStyle="一般 2"/>
    <tableColumn id="12" uniqueName="12" name="F12" queryTableFieldId="12" dataDxfId="149" dataCellStyle="一般 2"/>
    <tableColumn id="13" uniqueName="13" name="F13" queryTableFieldId="13" dataDxfId="148" dataCellStyle="一般 2"/>
    <tableColumn id="14" uniqueName="14" name="F14" queryTableFieldId="14" dataDxfId="147" dataCellStyle="一般 2"/>
    <tableColumn id="15" uniqueName="15" name="F15" queryTableFieldId="15" dataDxfId="146" dataCellStyle="一般 2"/>
    <tableColumn id="16" uniqueName="16" name="F16" queryTableFieldId="16" dataDxfId="145" dataCellStyle="一般 2"/>
    <tableColumn id="17" uniqueName="17" name="F17" queryTableFieldId="17" dataDxfId="144" dataCellStyle="一般 2"/>
    <tableColumn id="18" uniqueName="18" name="F18" queryTableFieldId="18" dataDxfId="143" dataCellStyle="一般 2"/>
    <tableColumn id="19" uniqueName="19" name="F19" queryTableFieldId="19" dataDxfId="142" dataCellStyle="一般 2"/>
    <tableColumn id="20" uniqueName="20" name="F20" queryTableFieldId="20" dataDxfId="141" dataCellStyle="一般 2"/>
    <tableColumn id="21" uniqueName="21" name="F21" queryTableFieldId="21" dataDxfId="140" dataCellStyle="一般 2"/>
    <tableColumn id="22" uniqueName="22" name="2024/6/24 14:52" queryTableFieldId="22" dataDxfId="139" dataCellStyle="一般 2"/>
    <tableColumn id="23" uniqueName="23" name="F23" queryTableFieldId="23" dataDxfId="138" dataCellStyle="一般 2"/>
    <tableColumn id="24" uniqueName="24" name="F24" queryTableFieldId="24" dataDxfId="137" dataCellStyle="一般 2"/>
    <tableColumn id="25" uniqueName="25" name="F25" queryTableFieldId="25" dataDxfId="136" dataCellStyle="一般 2"/>
    <tableColumn id="26" uniqueName="26" name="F26" queryTableFieldId="26" dataDxfId="135" dataCellStyle="一般 2"/>
    <tableColumn id="27" uniqueName="27" name="F27" queryTableFieldId="27" dataDxfId="134" dataCellStyle="一般 2"/>
    <tableColumn id="28" uniqueName="28" name="F28" queryTableFieldId="28" dataDxfId="133" dataCellStyle="一般 2"/>
  </tableColumns>
  <tableStyleInfo name="TableStyleMedium2" showFirstColumn="0" showLastColumn="0" showRowStripes="1" showColumnStripes="0"/>
</table>
</file>

<file path=xl/tables/table21.xml><?xml version="1.0" encoding="utf-8"?>
<table xmlns="http://schemas.openxmlformats.org/spreadsheetml/2006/main" id="20" name="表格_取樣回收每月庫存表_0620更新1522252632456786910111213141516171819202123456789101112131415161718192022232424356789101112131415161718192021222345678910111213141516171819202345678910111213149101516171819222123234567891012131415161711181920212224252345678910111213130" displayName="表格_取樣回收每月庫存表_0620更新1522252632456786910111213141516171819202123456789101112131415161718192022232424356789101112131415161718192021222345678910111213141516171819202345678910111213149101516171819222123234567891012131415161711181920212224252345678910111213130" ref="AG13:BH189" tableType="queryTable" totalsRowShown="0" headerRowDxfId="29" dataDxfId="28" headerRowCellStyle="一般 2" dataCellStyle="一般 2">
  <autoFilter ref="AG13:BH189"/>
  <tableColumns count="28">
    <tableColumn id="1" uniqueName="1" name="請直接以10進位，謝謝" queryTableFieldId="1" dataDxfId="27" dataCellStyle="一般 2"/>
    <tableColumn id="2" uniqueName="2" name="F2" queryTableFieldId="2" dataDxfId="26" dataCellStyle="一般 2"/>
    <tableColumn id="3" uniqueName="3" name="F3" queryTableFieldId="3" dataDxfId="25" dataCellStyle="一般 2"/>
    <tableColumn id="4" uniqueName="4" name="F4" queryTableFieldId="4" dataDxfId="24" dataCellStyle="一般 2"/>
    <tableColumn id="5" uniqueName="5" name="F5" queryTableFieldId="5" dataDxfId="23" dataCellStyle="一般 2"/>
    <tableColumn id="6" uniqueName="6" name="F6" queryTableFieldId="6" dataDxfId="22" dataCellStyle="一般 2"/>
    <tableColumn id="7" uniqueName="7" name="F7" queryTableFieldId="7" dataDxfId="21" dataCellStyle="一般 2"/>
    <tableColumn id="8" uniqueName="8" name="F8" queryTableFieldId="8" dataDxfId="20" dataCellStyle="一般 2"/>
    <tableColumn id="9" uniqueName="9" name="F9" queryTableFieldId="9" dataDxfId="19" dataCellStyle="一般 2"/>
    <tableColumn id="10" uniqueName="10" name="F10" queryTableFieldId="10" dataDxfId="18" dataCellStyle="一般 2"/>
    <tableColumn id="11" uniqueName="11" name="F11" queryTableFieldId="11" dataDxfId="17" dataCellStyle="一般 2"/>
    <tableColumn id="12" uniqueName="12" name="F12" queryTableFieldId="12" dataDxfId="16" dataCellStyle="一般 2"/>
    <tableColumn id="13" uniqueName="13" name="F13" queryTableFieldId="13" dataDxfId="15" dataCellStyle="一般 2"/>
    <tableColumn id="14" uniqueName="14" name="F14" queryTableFieldId="14" dataDxfId="14" dataCellStyle="一般 2"/>
    <tableColumn id="15" uniqueName="15" name="F15" queryTableFieldId="15" dataDxfId="13" dataCellStyle="一般 2"/>
    <tableColumn id="16" uniqueName="16" name="F16" queryTableFieldId="16" dataDxfId="12" dataCellStyle="一般 2"/>
    <tableColumn id="17" uniqueName="17" name="F17" queryTableFieldId="17" dataDxfId="11" dataCellStyle="一般 2"/>
    <tableColumn id="18" uniqueName="18" name="F18" queryTableFieldId="18" dataDxfId="10" dataCellStyle="一般 2"/>
    <tableColumn id="19" uniqueName="19" name="F19" queryTableFieldId="19" dataDxfId="9" dataCellStyle="一般 2"/>
    <tableColumn id="20" uniqueName="20" name="F20" queryTableFieldId="20" dataDxfId="8" dataCellStyle="一般 2"/>
    <tableColumn id="21" uniqueName="21" name="F21" queryTableFieldId="21" dataDxfId="7" dataCellStyle="一般 2"/>
    <tableColumn id="22" uniqueName="22" name="2024/6/24 14:52" queryTableFieldId="22" dataDxfId="6" dataCellStyle="一般 2"/>
    <tableColumn id="23" uniqueName="23" name="F23" queryTableFieldId="23" dataDxfId="5" dataCellStyle="一般 2"/>
    <tableColumn id="24" uniqueName="24" name="F24" queryTableFieldId="24" dataDxfId="4" dataCellStyle="一般 2"/>
    <tableColumn id="25" uniqueName="25" name="F25" queryTableFieldId="25" dataDxfId="3" dataCellStyle="一般 2"/>
    <tableColumn id="26" uniqueName="26" name="F26" queryTableFieldId="26" dataDxfId="2" dataCellStyle="一般 2"/>
    <tableColumn id="27" uniqueName="27" name="F27" queryTableFieldId="27" dataDxfId="1" dataCellStyle="一般 2"/>
    <tableColumn id="28" uniqueName="28" name="F28" queryTableFieldId="28" dataDxfId="0" dataCellStyle="一般 2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1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C8357890-2BA6-4CC5-90A2-87AD6187BD32}">
  <we:reference id="wa104381026" version="1.2.0.0" store="zh-TW" storeType="OMEX"/>
  <we:alternateReferences>
    <we:reference id="WA104381026" version="1.2.0.0" store="WA104381026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5" Type="http://schemas.openxmlformats.org/officeDocument/2006/relationships/table" Target="../tables/table2.xml"/><Relationship Id="rId4" Type="http://schemas.openxmlformats.org/officeDocument/2006/relationships/ctrlProp" Target="../ctrlProps/ctrlProp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5" Type="http://schemas.openxmlformats.org/officeDocument/2006/relationships/table" Target="../tables/table3.xml"/><Relationship Id="rId4" Type="http://schemas.openxmlformats.org/officeDocument/2006/relationships/ctrlProp" Target="../ctrlProps/ctrlProp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5" Type="http://schemas.openxmlformats.org/officeDocument/2006/relationships/table" Target="../tables/table4.xml"/><Relationship Id="rId4" Type="http://schemas.openxmlformats.org/officeDocument/2006/relationships/ctrlProp" Target="../ctrlProps/ctrlProp4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Relationship Id="rId5" Type="http://schemas.openxmlformats.org/officeDocument/2006/relationships/table" Target="../tables/table5.xml"/><Relationship Id="rId4" Type="http://schemas.openxmlformats.org/officeDocument/2006/relationships/ctrlProp" Target="../ctrlProps/ctrlProp5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Relationship Id="rId5" Type="http://schemas.openxmlformats.org/officeDocument/2006/relationships/table" Target="../tables/table6.xml"/><Relationship Id="rId4" Type="http://schemas.openxmlformats.org/officeDocument/2006/relationships/ctrlProp" Target="../ctrlProps/ctrlProp6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Relationship Id="rId5" Type="http://schemas.openxmlformats.org/officeDocument/2006/relationships/table" Target="../tables/table7.xml"/><Relationship Id="rId4" Type="http://schemas.openxmlformats.org/officeDocument/2006/relationships/ctrlProp" Target="../ctrlProps/ctrlProp7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Relationship Id="rId5" Type="http://schemas.openxmlformats.org/officeDocument/2006/relationships/table" Target="../tables/table8.xml"/><Relationship Id="rId4" Type="http://schemas.openxmlformats.org/officeDocument/2006/relationships/ctrlProp" Target="../ctrlProps/ctrlProp8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1.bin"/><Relationship Id="rId5" Type="http://schemas.openxmlformats.org/officeDocument/2006/relationships/table" Target="../tables/table9.xml"/><Relationship Id="rId4" Type="http://schemas.openxmlformats.org/officeDocument/2006/relationships/ctrlProp" Target="../ctrlProps/ctrlProp9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2.bin"/><Relationship Id="rId5" Type="http://schemas.openxmlformats.org/officeDocument/2006/relationships/table" Target="../tables/table10.xml"/><Relationship Id="rId4" Type="http://schemas.openxmlformats.org/officeDocument/2006/relationships/ctrlProp" Target="../ctrlProps/ctrlProp10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3.bin"/><Relationship Id="rId5" Type="http://schemas.openxmlformats.org/officeDocument/2006/relationships/table" Target="../tables/table11.xml"/><Relationship Id="rId4" Type="http://schemas.openxmlformats.org/officeDocument/2006/relationships/ctrlProp" Target="../ctrlProps/ctrlProp11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3.v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4.bin"/><Relationship Id="rId5" Type="http://schemas.openxmlformats.org/officeDocument/2006/relationships/table" Target="../tables/table12.xml"/><Relationship Id="rId4" Type="http://schemas.openxmlformats.org/officeDocument/2006/relationships/ctrlProp" Target="../ctrlProps/ctrlProp12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5.bin"/><Relationship Id="rId5" Type="http://schemas.openxmlformats.org/officeDocument/2006/relationships/table" Target="../tables/table13.xml"/><Relationship Id="rId4" Type="http://schemas.openxmlformats.org/officeDocument/2006/relationships/ctrlProp" Target="../ctrlProps/ctrlProp13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5.v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6.bin"/><Relationship Id="rId5" Type="http://schemas.openxmlformats.org/officeDocument/2006/relationships/table" Target="../tables/table14.xml"/><Relationship Id="rId4" Type="http://schemas.openxmlformats.org/officeDocument/2006/relationships/ctrlProp" Target="../ctrlProps/ctrlProp14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6.v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7.bin"/><Relationship Id="rId5" Type="http://schemas.openxmlformats.org/officeDocument/2006/relationships/table" Target="../tables/table15.xml"/><Relationship Id="rId4" Type="http://schemas.openxmlformats.org/officeDocument/2006/relationships/ctrlProp" Target="../ctrlProps/ctrlProp15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7.v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8.bin"/><Relationship Id="rId5" Type="http://schemas.openxmlformats.org/officeDocument/2006/relationships/table" Target="../tables/table16.xml"/><Relationship Id="rId4" Type="http://schemas.openxmlformats.org/officeDocument/2006/relationships/ctrlProp" Target="../ctrlProps/ctrlProp16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8.v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9.bin"/><Relationship Id="rId5" Type="http://schemas.openxmlformats.org/officeDocument/2006/relationships/table" Target="../tables/table17.xml"/><Relationship Id="rId4" Type="http://schemas.openxmlformats.org/officeDocument/2006/relationships/ctrlProp" Target="../ctrlProps/ctrlProp17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9.v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20.bin"/><Relationship Id="rId5" Type="http://schemas.openxmlformats.org/officeDocument/2006/relationships/table" Target="../tables/table18.xml"/><Relationship Id="rId4" Type="http://schemas.openxmlformats.org/officeDocument/2006/relationships/ctrlProp" Target="../ctrlProps/ctrlProp18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0.v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1.bin"/><Relationship Id="rId5" Type="http://schemas.openxmlformats.org/officeDocument/2006/relationships/table" Target="../tables/table19.xml"/><Relationship Id="rId4" Type="http://schemas.openxmlformats.org/officeDocument/2006/relationships/ctrlProp" Target="../ctrlProps/ctrlProp19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1.v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2.bin"/><Relationship Id="rId5" Type="http://schemas.openxmlformats.org/officeDocument/2006/relationships/table" Target="../tables/table20.xml"/><Relationship Id="rId4" Type="http://schemas.openxmlformats.org/officeDocument/2006/relationships/ctrlProp" Target="../ctrlProps/ctrlProp20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2.vml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3.bin"/><Relationship Id="rId5" Type="http://schemas.openxmlformats.org/officeDocument/2006/relationships/table" Target="../tables/table21.xml"/><Relationship Id="rId4" Type="http://schemas.openxmlformats.org/officeDocument/2006/relationships/ctrlProp" Target="../ctrlProps/ctrlProp2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21">
    <pageSetUpPr fitToPage="1"/>
  </sheetPr>
  <dimension ref="A1:X100"/>
  <sheetViews>
    <sheetView view="pageBreakPreview" topLeftCell="A25" zoomScale="85" zoomScaleNormal="100" zoomScaleSheetLayoutView="85" workbookViewId="0">
      <selection activeCell="L39" sqref="L39"/>
    </sheetView>
  </sheetViews>
  <sheetFormatPr defaultColWidth="9" defaultRowHeight="15.6"/>
  <cols>
    <col min="1" max="1" width="7.33203125" style="54" customWidth="1"/>
    <col min="2" max="2" width="8.6640625" style="54" customWidth="1"/>
    <col min="3" max="3" width="6.6640625" style="54" customWidth="1"/>
    <col min="4" max="4" width="7.33203125" style="54" customWidth="1"/>
    <col min="5" max="5" width="8.6640625" style="54" customWidth="1"/>
    <col min="6" max="6" width="6.6640625" style="54" customWidth="1"/>
    <col min="7" max="7" width="7.33203125" style="54" customWidth="1"/>
    <col min="8" max="8" width="8.6640625" style="54" customWidth="1"/>
    <col min="9" max="9" width="6.6640625" style="54" customWidth="1"/>
    <col min="10" max="10" width="7.33203125" style="54" customWidth="1"/>
    <col min="11" max="11" width="8.6640625" style="54" customWidth="1"/>
    <col min="12" max="12" width="6.6640625" style="54" customWidth="1"/>
    <col min="13" max="13" width="23.88671875" style="54" customWidth="1"/>
    <col min="14" max="14" width="17.6640625" style="54" customWidth="1"/>
    <col min="15" max="16" width="11.88671875" style="54" customWidth="1"/>
    <col min="17" max="17" width="17.44140625" style="63" customWidth="1"/>
    <col min="18" max="18" width="13.6640625" style="63" customWidth="1"/>
    <col min="19" max="19" width="14.33203125" style="63" customWidth="1"/>
    <col min="20" max="20" width="9" style="54"/>
    <col min="21" max="21" width="20.77734375" style="54" bestFit="1" customWidth="1"/>
    <col min="22" max="22" width="9" style="54"/>
    <col min="23" max="23" width="13.77734375" style="54" bestFit="1" customWidth="1"/>
    <col min="24" max="16384" width="9" style="54"/>
  </cols>
  <sheetData>
    <row r="1" spans="1:24" s="53" customFormat="1" ht="21" customHeight="1" thickBot="1">
      <c r="A1" s="164" t="s">
        <v>172</v>
      </c>
      <c r="B1" s="164"/>
      <c r="C1" s="111"/>
      <c r="D1" s="111"/>
      <c r="E1" s="112"/>
      <c r="F1" s="111"/>
      <c r="G1" s="113"/>
      <c r="H1" s="113"/>
      <c r="I1" s="113"/>
      <c r="J1" s="113"/>
      <c r="K1" s="113"/>
      <c r="L1" s="113"/>
      <c r="M1" s="113" t="s">
        <v>173</v>
      </c>
      <c r="Q1" s="55"/>
      <c r="R1" s="55"/>
      <c r="S1" s="55"/>
    </row>
    <row r="2" spans="1:24" s="59" customFormat="1" ht="25.65" customHeight="1" thickTop="1" thickBot="1">
      <c r="A2" s="114" t="s">
        <v>31</v>
      </c>
      <c r="B2" s="115" t="s">
        <v>159</v>
      </c>
      <c r="C2" s="116" t="s">
        <v>33</v>
      </c>
      <c r="D2" s="114" t="s">
        <v>31</v>
      </c>
      <c r="E2" s="115" t="s">
        <v>159</v>
      </c>
      <c r="F2" s="117" t="s">
        <v>33</v>
      </c>
      <c r="G2" s="114" t="s">
        <v>31</v>
      </c>
      <c r="H2" s="115" t="s">
        <v>32</v>
      </c>
      <c r="I2" s="117" t="s">
        <v>33</v>
      </c>
      <c r="J2" s="114" t="s">
        <v>31</v>
      </c>
      <c r="K2" s="115" t="s">
        <v>32</v>
      </c>
      <c r="L2" s="117" t="s">
        <v>33</v>
      </c>
      <c r="M2" s="118" t="s">
        <v>174</v>
      </c>
      <c r="N2" s="56"/>
      <c r="O2" s="56"/>
      <c r="P2" s="57" t="s">
        <v>139</v>
      </c>
      <c r="Q2" s="58" t="s">
        <v>140</v>
      </c>
      <c r="S2" s="60" t="s">
        <v>141</v>
      </c>
      <c r="U2" s="137" t="s">
        <v>142</v>
      </c>
      <c r="V2" s="136">
        <v>0.01</v>
      </c>
      <c r="W2" s="137" t="s">
        <v>154</v>
      </c>
      <c r="X2" s="61" t="s">
        <v>145</v>
      </c>
    </row>
    <row r="3" spans="1:24" s="53" customFormat="1" ht="22.2" customHeight="1" thickTop="1">
      <c r="A3" s="119">
        <v>601</v>
      </c>
      <c r="B3" s="120">
        <v>3704</v>
      </c>
      <c r="C3" s="121">
        <v>35</v>
      </c>
      <c r="D3" s="122" t="s">
        <v>76</v>
      </c>
      <c r="E3" s="120">
        <v>2983</v>
      </c>
      <c r="F3" s="121">
        <v>18</v>
      </c>
      <c r="G3" s="119">
        <v>661</v>
      </c>
      <c r="H3" s="120">
        <v>2164</v>
      </c>
      <c r="I3" s="123">
        <v>29</v>
      </c>
      <c r="J3" s="119">
        <v>681</v>
      </c>
      <c r="K3" s="120">
        <v>3883</v>
      </c>
      <c r="L3" s="124">
        <v>26</v>
      </c>
      <c r="M3" s="165" t="s">
        <v>569</v>
      </c>
      <c r="N3" s="137" t="s">
        <v>142</v>
      </c>
      <c r="O3" s="137" t="s">
        <v>143</v>
      </c>
      <c r="P3" s="137" t="s">
        <v>144</v>
      </c>
      <c r="Q3" s="61" t="s">
        <v>145</v>
      </c>
      <c r="S3" s="53">
        <v>5900</v>
      </c>
      <c r="U3" s="137" t="s">
        <v>146</v>
      </c>
      <c r="V3" s="136">
        <v>0.01</v>
      </c>
      <c r="W3" s="137" t="s">
        <v>155</v>
      </c>
      <c r="X3" s="61" t="s">
        <v>148</v>
      </c>
    </row>
    <row r="4" spans="1:24" s="53" customFormat="1" ht="22.2" customHeight="1">
      <c r="A4" s="119">
        <v>602</v>
      </c>
      <c r="B4" s="120">
        <v>3448</v>
      </c>
      <c r="C4" s="121">
        <v>27</v>
      </c>
      <c r="D4" s="122" t="s">
        <v>77</v>
      </c>
      <c r="E4" s="120">
        <v>0</v>
      </c>
      <c r="F4" s="121">
        <v>27</v>
      </c>
      <c r="G4" s="119">
        <v>662</v>
      </c>
      <c r="H4" s="120">
        <v>0</v>
      </c>
      <c r="I4" s="123">
        <v>27</v>
      </c>
      <c r="J4" s="119">
        <v>682</v>
      </c>
      <c r="K4" s="120">
        <v>2231</v>
      </c>
      <c r="L4" s="133">
        <v>24</v>
      </c>
      <c r="M4" s="166"/>
      <c r="N4" s="137" t="s">
        <v>146</v>
      </c>
      <c r="O4" s="137" t="s">
        <v>143</v>
      </c>
      <c r="P4" s="137" t="s">
        <v>147</v>
      </c>
      <c r="Q4" s="61" t="s">
        <v>148</v>
      </c>
      <c r="S4" s="53">
        <v>5600</v>
      </c>
      <c r="U4" s="62">
        <v>680690</v>
      </c>
      <c r="V4" s="136">
        <v>0.01</v>
      </c>
      <c r="W4" s="137" t="s">
        <v>156</v>
      </c>
      <c r="X4" s="61" t="s">
        <v>148</v>
      </c>
    </row>
    <row r="5" spans="1:24" s="53" customFormat="1" ht="22.2" customHeight="1">
      <c r="A5" s="119">
        <v>603</v>
      </c>
      <c r="B5" s="120">
        <v>3187</v>
      </c>
      <c r="C5" s="121">
        <v>27</v>
      </c>
      <c r="D5" s="122">
        <v>631</v>
      </c>
      <c r="E5" s="120">
        <v>4308</v>
      </c>
      <c r="F5" s="121">
        <v>24</v>
      </c>
      <c r="G5" s="119">
        <v>663</v>
      </c>
      <c r="H5" s="120">
        <v>0</v>
      </c>
      <c r="I5" s="123">
        <v>28</v>
      </c>
      <c r="J5" s="119">
        <v>683</v>
      </c>
      <c r="K5" s="120">
        <v>2058</v>
      </c>
      <c r="L5" s="133">
        <v>25</v>
      </c>
      <c r="M5" s="166"/>
      <c r="N5" s="62">
        <v>680690</v>
      </c>
      <c r="O5" s="137" t="s">
        <v>143</v>
      </c>
      <c r="P5" s="137" t="s">
        <v>149</v>
      </c>
      <c r="Q5" s="61" t="s">
        <v>148</v>
      </c>
      <c r="S5" s="53">
        <v>4100</v>
      </c>
      <c r="U5" s="137" t="s">
        <v>150</v>
      </c>
      <c r="V5" s="136">
        <v>0.01</v>
      </c>
      <c r="W5" s="137" t="s">
        <v>157</v>
      </c>
      <c r="X5" s="61" t="s">
        <v>148</v>
      </c>
    </row>
    <row r="6" spans="1:24" s="53" customFormat="1" ht="22.2" customHeight="1">
      <c r="A6" s="119" t="s">
        <v>78</v>
      </c>
      <c r="B6" s="125">
        <v>3543</v>
      </c>
      <c r="C6" s="126">
        <v>27</v>
      </c>
      <c r="D6" s="127">
        <v>632</v>
      </c>
      <c r="E6" s="125">
        <v>1122</v>
      </c>
      <c r="F6" s="126">
        <v>27</v>
      </c>
      <c r="G6" s="127">
        <v>664</v>
      </c>
      <c r="H6" s="120">
        <v>0</v>
      </c>
      <c r="I6" s="124">
        <v>27</v>
      </c>
      <c r="J6" s="127">
        <v>684</v>
      </c>
      <c r="K6" s="125">
        <v>318</v>
      </c>
      <c r="L6" s="133">
        <v>26</v>
      </c>
      <c r="M6" s="166"/>
      <c r="N6" s="137" t="s">
        <v>150</v>
      </c>
      <c r="O6" s="137" t="s">
        <v>143</v>
      </c>
      <c r="P6" s="137" t="s">
        <v>151</v>
      </c>
      <c r="Q6" s="61" t="s">
        <v>148</v>
      </c>
      <c r="S6" s="53">
        <v>7000</v>
      </c>
      <c r="U6" s="137" t="s">
        <v>152</v>
      </c>
      <c r="V6" s="136">
        <v>0.01</v>
      </c>
      <c r="W6" s="137" t="s">
        <v>158</v>
      </c>
      <c r="X6" s="61" t="s">
        <v>148</v>
      </c>
    </row>
    <row r="7" spans="1:24" s="53" customFormat="1" ht="22.2" customHeight="1">
      <c r="A7" s="119" t="s">
        <v>79</v>
      </c>
      <c r="B7" s="125">
        <v>0</v>
      </c>
      <c r="C7" s="126">
        <v>25</v>
      </c>
      <c r="D7" s="127">
        <v>633</v>
      </c>
      <c r="E7" s="125">
        <v>494</v>
      </c>
      <c r="F7" s="126">
        <v>21</v>
      </c>
      <c r="G7" s="127">
        <v>665</v>
      </c>
      <c r="H7" s="125">
        <v>1679</v>
      </c>
      <c r="I7" s="124">
        <v>28</v>
      </c>
      <c r="J7" s="127">
        <v>685</v>
      </c>
      <c r="K7" s="125">
        <v>328</v>
      </c>
      <c r="L7" s="133">
        <v>25</v>
      </c>
      <c r="M7" s="166"/>
      <c r="N7" s="137" t="s">
        <v>152</v>
      </c>
      <c r="O7" s="137" t="s">
        <v>143</v>
      </c>
      <c r="P7" s="137" t="s">
        <v>153</v>
      </c>
      <c r="Q7" s="61" t="s">
        <v>148</v>
      </c>
      <c r="S7" s="53">
        <v>11590</v>
      </c>
      <c r="X7" s="55"/>
    </row>
    <row r="8" spans="1:24" s="53" customFormat="1" ht="22.2" customHeight="1">
      <c r="A8" s="119">
        <v>611</v>
      </c>
      <c r="B8" s="125">
        <v>4.5</v>
      </c>
      <c r="C8" s="134">
        <v>25</v>
      </c>
      <c r="D8" s="127">
        <v>634</v>
      </c>
      <c r="E8" s="125">
        <v>8623</v>
      </c>
      <c r="F8" s="126">
        <v>27</v>
      </c>
      <c r="G8" s="127">
        <v>666</v>
      </c>
      <c r="H8" s="125">
        <v>5494</v>
      </c>
      <c r="I8" s="124">
        <v>26</v>
      </c>
      <c r="J8" s="127">
        <v>686</v>
      </c>
      <c r="K8" s="125">
        <v>301</v>
      </c>
      <c r="L8" s="133">
        <v>25</v>
      </c>
      <c r="M8" s="166"/>
      <c r="N8" s="137" t="s">
        <v>163</v>
      </c>
      <c r="O8" s="137" t="s">
        <v>143</v>
      </c>
      <c r="P8" s="137" t="s">
        <v>164</v>
      </c>
      <c r="Q8" s="61" t="s">
        <v>148</v>
      </c>
      <c r="S8" s="53">
        <v>9200</v>
      </c>
    </row>
    <row r="9" spans="1:24" s="53" customFormat="1" ht="22.2" customHeight="1">
      <c r="A9" s="119">
        <v>612</v>
      </c>
      <c r="B9" s="125">
        <v>6.64</v>
      </c>
      <c r="C9" s="134">
        <v>25</v>
      </c>
      <c r="D9" s="127">
        <v>641</v>
      </c>
      <c r="E9" s="125">
        <v>4726</v>
      </c>
      <c r="F9" s="126">
        <v>27</v>
      </c>
      <c r="G9" s="127">
        <v>667</v>
      </c>
      <c r="H9" s="125">
        <v>-817</v>
      </c>
      <c r="I9" s="124">
        <v>27</v>
      </c>
      <c r="J9" s="127">
        <v>687</v>
      </c>
      <c r="K9" s="125">
        <v>2767</v>
      </c>
      <c r="L9" s="133">
        <v>26</v>
      </c>
      <c r="M9" s="166"/>
      <c r="N9" s="137" t="s">
        <v>165</v>
      </c>
      <c r="O9" s="137" t="s">
        <v>143</v>
      </c>
      <c r="P9" s="137" t="s">
        <v>166</v>
      </c>
      <c r="Q9" s="61" t="s">
        <v>148</v>
      </c>
      <c r="S9" s="53">
        <v>6800</v>
      </c>
    </row>
    <row r="10" spans="1:24" s="53" customFormat="1" ht="22.2" customHeight="1">
      <c r="A10" s="119">
        <v>613</v>
      </c>
      <c r="B10" s="125">
        <v>63.81</v>
      </c>
      <c r="C10" s="134">
        <v>25</v>
      </c>
      <c r="D10" s="127">
        <v>642</v>
      </c>
      <c r="E10" s="125">
        <v>5170</v>
      </c>
      <c r="F10" s="126">
        <v>28</v>
      </c>
      <c r="G10" s="127">
        <v>668</v>
      </c>
      <c r="H10" s="125">
        <v>-817</v>
      </c>
      <c r="I10" s="124">
        <v>30</v>
      </c>
      <c r="J10" s="127">
        <v>688</v>
      </c>
      <c r="K10" s="125">
        <v>324</v>
      </c>
      <c r="L10" s="133">
        <v>25</v>
      </c>
      <c r="M10" s="166"/>
      <c r="N10" s="137" t="s">
        <v>167</v>
      </c>
      <c r="O10" s="136" t="s">
        <v>143</v>
      </c>
      <c r="P10" s="137" t="s">
        <v>168</v>
      </c>
      <c r="Q10" s="61" t="s">
        <v>148</v>
      </c>
      <c r="S10" s="53">
        <v>5500</v>
      </c>
    </row>
    <row r="11" spans="1:24" s="53" customFormat="1" ht="22.2" customHeight="1">
      <c r="A11" s="119">
        <v>614</v>
      </c>
      <c r="B11" s="125">
        <v>7.23</v>
      </c>
      <c r="C11" s="134">
        <v>25</v>
      </c>
      <c r="D11" s="127">
        <v>643</v>
      </c>
      <c r="E11" s="125">
        <v>1971</v>
      </c>
      <c r="F11" s="126">
        <v>27</v>
      </c>
      <c r="G11" s="127">
        <v>669</v>
      </c>
      <c r="H11" s="125">
        <v>818</v>
      </c>
      <c r="I11" s="124">
        <v>29</v>
      </c>
      <c r="J11" s="127">
        <v>689</v>
      </c>
      <c r="K11" s="125">
        <v>5392</v>
      </c>
      <c r="L11" s="133">
        <v>24</v>
      </c>
      <c r="M11" s="166"/>
      <c r="N11" s="137" t="s">
        <v>169</v>
      </c>
      <c r="O11" s="136" t="s">
        <v>143</v>
      </c>
      <c r="P11" s="137">
        <v>9.0746000000000002</v>
      </c>
      <c r="Q11" s="61" t="s">
        <v>148</v>
      </c>
      <c r="S11" s="53">
        <v>7100</v>
      </c>
    </row>
    <row r="12" spans="1:24" s="53" customFormat="1" ht="22.2" customHeight="1">
      <c r="A12" s="119">
        <v>621</v>
      </c>
      <c r="B12" s="125">
        <v>3235</v>
      </c>
      <c r="C12" s="126">
        <v>29</v>
      </c>
      <c r="D12" s="127">
        <v>645</v>
      </c>
      <c r="E12" s="125">
        <v>5125</v>
      </c>
      <c r="F12" s="126">
        <v>27</v>
      </c>
      <c r="G12" s="127">
        <v>670</v>
      </c>
      <c r="H12" s="125">
        <v>-2367</v>
      </c>
      <c r="I12" s="124">
        <v>29</v>
      </c>
      <c r="J12" s="127">
        <v>690</v>
      </c>
      <c r="K12" s="125">
        <v>2041</v>
      </c>
      <c r="L12" s="124">
        <v>27</v>
      </c>
      <c r="M12" s="166"/>
      <c r="N12" s="62" t="s">
        <v>170</v>
      </c>
      <c r="O12" s="136" t="s">
        <v>143</v>
      </c>
      <c r="P12" s="137">
        <v>9.0746000000000002</v>
      </c>
      <c r="Q12" s="61" t="s">
        <v>148</v>
      </c>
      <c r="S12" s="53">
        <v>5500</v>
      </c>
    </row>
    <row r="13" spans="1:24" s="53" customFormat="1" ht="22.2" customHeight="1">
      <c r="A13" s="119">
        <v>622</v>
      </c>
      <c r="B13" s="125">
        <v>798</v>
      </c>
      <c r="C13" s="126">
        <v>27</v>
      </c>
      <c r="D13" s="127">
        <v>651</v>
      </c>
      <c r="E13" s="125">
        <v>782</v>
      </c>
      <c r="F13" s="126">
        <v>29</v>
      </c>
      <c r="G13" s="127">
        <v>671</v>
      </c>
      <c r="H13" s="125">
        <v>0</v>
      </c>
      <c r="I13" s="124">
        <v>27</v>
      </c>
      <c r="J13" s="127">
        <v>691</v>
      </c>
      <c r="K13" s="125">
        <v>1842</v>
      </c>
      <c r="L13" s="133">
        <v>27</v>
      </c>
      <c r="M13" s="166"/>
      <c r="N13" s="168" t="s">
        <v>171</v>
      </c>
      <c r="O13" s="169" t="s">
        <v>143</v>
      </c>
      <c r="P13" s="170">
        <v>7.0686</v>
      </c>
      <c r="Q13" s="162" t="s">
        <v>148</v>
      </c>
      <c r="S13" s="163">
        <v>7000</v>
      </c>
    </row>
    <row r="14" spans="1:24" s="53" customFormat="1" ht="22.2" customHeight="1">
      <c r="A14" s="119">
        <v>623</v>
      </c>
      <c r="B14" s="125">
        <v>5306</v>
      </c>
      <c r="C14" s="126">
        <v>32</v>
      </c>
      <c r="D14" s="127">
        <v>652</v>
      </c>
      <c r="E14" s="125">
        <v>3504</v>
      </c>
      <c r="F14" s="126">
        <v>27</v>
      </c>
      <c r="G14" s="127">
        <v>672</v>
      </c>
      <c r="H14" s="125">
        <v>2451</v>
      </c>
      <c r="I14" s="124">
        <v>26</v>
      </c>
      <c r="J14" s="127">
        <v>692</v>
      </c>
      <c r="K14" s="125">
        <v>6229</v>
      </c>
      <c r="L14" s="133">
        <v>26</v>
      </c>
      <c r="M14" s="166"/>
      <c r="N14" s="168"/>
      <c r="O14" s="169"/>
      <c r="P14" s="170"/>
      <c r="Q14" s="162"/>
      <c r="S14" s="163"/>
    </row>
    <row r="15" spans="1:24" s="53" customFormat="1" ht="22.2" customHeight="1">
      <c r="A15" s="122">
        <v>624</v>
      </c>
      <c r="B15" s="125">
        <v>7962</v>
      </c>
      <c r="C15" s="126">
        <v>27</v>
      </c>
      <c r="D15" s="128">
        <v>653</v>
      </c>
      <c r="E15" s="125">
        <v>3457</v>
      </c>
      <c r="F15" s="126">
        <v>26</v>
      </c>
      <c r="G15" s="127">
        <v>673</v>
      </c>
      <c r="H15" s="125">
        <v>0</v>
      </c>
      <c r="I15" s="124">
        <v>27</v>
      </c>
      <c r="J15" s="127">
        <v>693</v>
      </c>
      <c r="K15" s="125">
        <v>3438</v>
      </c>
      <c r="L15" s="133">
        <v>26</v>
      </c>
      <c r="M15" s="166"/>
      <c r="N15" s="168"/>
      <c r="O15" s="169"/>
      <c r="P15" s="170"/>
      <c r="Q15" s="162"/>
      <c r="R15" s="55"/>
      <c r="S15" s="139">
        <v>6000</v>
      </c>
    </row>
    <row r="16" spans="1:24" s="53" customFormat="1" ht="22.2" customHeight="1">
      <c r="A16" s="122" t="s">
        <v>80</v>
      </c>
      <c r="B16" s="125">
        <v>7152</v>
      </c>
      <c r="C16" s="126">
        <v>32</v>
      </c>
      <c r="D16" s="127">
        <v>654</v>
      </c>
      <c r="E16" s="125">
        <v>5188</v>
      </c>
      <c r="F16" s="126">
        <v>27</v>
      </c>
      <c r="G16" s="127">
        <v>674</v>
      </c>
      <c r="H16" s="125">
        <v>0</v>
      </c>
      <c r="I16" s="124">
        <v>25</v>
      </c>
      <c r="J16" s="127">
        <v>694</v>
      </c>
      <c r="K16" s="125">
        <v>615</v>
      </c>
      <c r="L16" s="133">
        <v>27</v>
      </c>
      <c r="M16" s="166"/>
      <c r="Q16" s="55"/>
      <c r="R16" s="55"/>
      <c r="S16" s="55"/>
    </row>
    <row r="17" spans="1:19" s="53" customFormat="1" ht="22.2" customHeight="1">
      <c r="A17" s="122" t="s">
        <v>26</v>
      </c>
      <c r="B17" s="125">
        <v>7296</v>
      </c>
      <c r="C17" s="126">
        <v>35</v>
      </c>
      <c r="D17" s="128">
        <v>655</v>
      </c>
      <c r="E17" s="125">
        <v>295</v>
      </c>
      <c r="F17" s="126">
        <v>27</v>
      </c>
      <c r="G17" s="127">
        <v>675</v>
      </c>
      <c r="H17" s="125">
        <v>0</v>
      </c>
      <c r="I17" s="133">
        <v>25</v>
      </c>
      <c r="J17" s="127">
        <v>695</v>
      </c>
      <c r="K17" s="125">
        <v>6282</v>
      </c>
      <c r="L17" s="133">
        <v>26</v>
      </c>
      <c r="M17" s="166"/>
      <c r="Q17" s="55"/>
      <c r="R17" s="55"/>
      <c r="S17" s="55"/>
    </row>
    <row r="18" spans="1:19" s="53" customFormat="1" ht="22.2" customHeight="1">
      <c r="A18" s="122" t="s">
        <v>27</v>
      </c>
      <c r="B18" s="125">
        <v>5494</v>
      </c>
      <c r="C18" s="126">
        <v>26</v>
      </c>
      <c r="D18" s="127">
        <v>656</v>
      </c>
      <c r="E18" s="125">
        <v>671</v>
      </c>
      <c r="F18" s="126">
        <v>26</v>
      </c>
      <c r="G18" s="127">
        <v>676</v>
      </c>
      <c r="H18" s="125">
        <v>49.7</v>
      </c>
      <c r="I18" s="133">
        <v>25</v>
      </c>
      <c r="J18" s="127">
        <v>696</v>
      </c>
      <c r="K18" s="125">
        <v>736</v>
      </c>
      <c r="L18" s="133">
        <v>25</v>
      </c>
      <c r="M18" s="166"/>
      <c r="Q18" s="55"/>
      <c r="R18" s="55"/>
      <c r="S18" s="55"/>
    </row>
    <row r="19" spans="1:19" s="53" customFormat="1" ht="22.2" customHeight="1">
      <c r="A19" s="122" t="s">
        <v>28</v>
      </c>
      <c r="B19" s="125">
        <v>7140</v>
      </c>
      <c r="C19" s="126">
        <v>24</v>
      </c>
      <c r="D19" s="127">
        <v>657</v>
      </c>
      <c r="E19" s="125">
        <v>4342</v>
      </c>
      <c r="F19" s="126">
        <v>29</v>
      </c>
      <c r="G19" s="127">
        <v>677</v>
      </c>
      <c r="H19" s="125">
        <v>3.68</v>
      </c>
      <c r="I19" s="133">
        <v>25</v>
      </c>
      <c r="J19" s="127">
        <v>697</v>
      </c>
      <c r="K19" s="125">
        <v>431</v>
      </c>
      <c r="L19" s="133">
        <v>27</v>
      </c>
      <c r="M19" s="166"/>
      <c r="Q19" s="55"/>
      <c r="R19" s="55"/>
      <c r="S19" s="55"/>
    </row>
    <row r="20" spans="1:19" s="53" customFormat="1" ht="22.2" customHeight="1">
      <c r="A20" s="122" t="s">
        <v>29</v>
      </c>
      <c r="B20" s="125">
        <v>7119</v>
      </c>
      <c r="C20" s="126">
        <v>27</v>
      </c>
      <c r="D20" s="128">
        <v>658</v>
      </c>
      <c r="E20" s="125">
        <v>6936</v>
      </c>
      <c r="F20" s="126">
        <v>30</v>
      </c>
      <c r="G20" s="127">
        <v>678</v>
      </c>
      <c r="H20" s="125">
        <v>68.319999999999993</v>
      </c>
      <c r="I20" s="133">
        <v>25</v>
      </c>
      <c r="J20" s="127">
        <v>698</v>
      </c>
      <c r="K20" s="125">
        <v>3376</v>
      </c>
      <c r="L20" s="133">
        <v>29</v>
      </c>
      <c r="M20" s="166"/>
      <c r="Q20" s="55"/>
      <c r="R20" s="55"/>
      <c r="S20" s="55"/>
    </row>
    <row r="21" spans="1:19" s="53" customFormat="1" ht="22.2" customHeight="1">
      <c r="A21" s="122" t="s">
        <v>30</v>
      </c>
      <c r="B21" s="125">
        <v>6183</v>
      </c>
      <c r="C21" s="126">
        <v>27</v>
      </c>
      <c r="D21" s="127">
        <v>659</v>
      </c>
      <c r="E21" s="125">
        <v>1867</v>
      </c>
      <c r="F21" s="126">
        <v>26</v>
      </c>
      <c r="G21" s="127">
        <v>680</v>
      </c>
      <c r="H21" s="125">
        <v>3543</v>
      </c>
      <c r="I21" s="133">
        <v>27</v>
      </c>
      <c r="J21" s="127">
        <v>699</v>
      </c>
      <c r="K21" s="125">
        <v>5377</v>
      </c>
      <c r="L21" s="133">
        <v>28</v>
      </c>
      <c r="M21" s="166"/>
      <c r="Q21" s="55"/>
      <c r="R21" s="55"/>
      <c r="S21" s="55"/>
    </row>
    <row r="22" spans="1:19" s="53" customFormat="1" ht="22.2" customHeight="1" thickBot="1">
      <c r="A22" s="129" t="s">
        <v>81</v>
      </c>
      <c r="B22" s="130">
        <v>0</v>
      </c>
      <c r="C22" s="130">
        <v>26</v>
      </c>
      <c r="D22" s="131">
        <v>660</v>
      </c>
      <c r="E22" s="130">
        <v>1612</v>
      </c>
      <c r="F22" s="132">
        <v>29</v>
      </c>
      <c r="G22" s="131"/>
      <c r="H22" s="130"/>
      <c r="I22" s="132"/>
      <c r="J22" s="131"/>
      <c r="K22" s="130"/>
      <c r="L22" s="132"/>
      <c r="M22" s="167"/>
      <c r="Q22" s="55"/>
      <c r="R22" s="55"/>
      <c r="S22" s="55"/>
    </row>
    <row r="23" spans="1:19" ht="36.6" customHeight="1" thickTop="1">
      <c r="A23" s="112"/>
      <c r="B23" s="112"/>
      <c r="C23" s="112"/>
      <c r="D23" s="112"/>
      <c r="E23" s="112"/>
      <c r="F23" s="112"/>
      <c r="G23" s="112"/>
      <c r="H23" s="112"/>
      <c r="I23" s="112"/>
      <c r="J23" s="112"/>
      <c r="K23" s="112"/>
      <c r="L23" s="112"/>
      <c r="M23" s="112"/>
    </row>
    <row r="24" spans="1:19" ht="21" customHeight="1" thickBot="1">
      <c r="A24" s="164"/>
      <c r="B24" s="164"/>
      <c r="C24" s="111"/>
      <c r="D24" s="111"/>
      <c r="E24" s="111"/>
      <c r="F24" s="111"/>
      <c r="G24" s="111"/>
      <c r="H24" s="111"/>
      <c r="I24" s="113"/>
      <c r="J24" s="111"/>
      <c r="K24" s="111"/>
      <c r="L24" s="113"/>
      <c r="M24" s="113" t="s">
        <v>175</v>
      </c>
    </row>
    <row r="25" spans="1:19" ht="20.100000000000001" customHeight="1" thickTop="1" thickBot="1">
      <c r="A25" s="114" t="s">
        <v>31</v>
      </c>
      <c r="B25" s="115" t="s">
        <v>159</v>
      </c>
      <c r="C25" s="116" t="s">
        <v>33</v>
      </c>
      <c r="D25" s="114" t="s">
        <v>31</v>
      </c>
      <c r="E25" s="115" t="s">
        <v>159</v>
      </c>
      <c r="F25" s="117" t="s">
        <v>33</v>
      </c>
      <c r="G25" s="114" t="s">
        <v>31</v>
      </c>
      <c r="H25" s="115" t="s">
        <v>32</v>
      </c>
      <c r="I25" s="117" t="s">
        <v>33</v>
      </c>
      <c r="J25" s="114" t="s">
        <v>31</v>
      </c>
      <c r="K25" s="115" t="s">
        <v>32</v>
      </c>
      <c r="L25" s="117" t="s">
        <v>33</v>
      </c>
      <c r="M25" s="118" t="s">
        <v>174</v>
      </c>
    </row>
    <row r="26" spans="1:19" ht="21.75" customHeight="1" thickTop="1">
      <c r="A26" s="119">
        <v>601</v>
      </c>
      <c r="B26" s="120">
        <v>4051</v>
      </c>
      <c r="C26" s="121">
        <v>36</v>
      </c>
      <c r="D26" s="122" t="s">
        <v>76</v>
      </c>
      <c r="E26" s="120">
        <v>6138</v>
      </c>
      <c r="F26" s="121">
        <v>20</v>
      </c>
      <c r="G26" s="119">
        <v>661</v>
      </c>
      <c r="H26" s="120">
        <v>456</v>
      </c>
      <c r="I26" s="123">
        <v>45</v>
      </c>
      <c r="J26" s="119">
        <v>681</v>
      </c>
      <c r="K26" s="120">
        <v>3783</v>
      </c>
      <c r="L26" s="124">
        <v>31</v>
      </c>
      <c r="M26" s="165"/>
    </row>
    <row r="27" spans="1:19" ht="21.75" customHeight="1">
      <c r="A27" s="119">
        <v>602</v>
      </c>
      <c r="B27" s="120">
        <v>3444</v>
      </c>
      <c r="C27" s="121">
        <v>30</v>
      </c>
      <c r="D27" s="122" t="s">
        <v>77</v>
      </c>
      <c r="E27" s="120">
        <v>1889</v>
      </c>
      <c r="F27" s="121">
        <v>27</v>
      </c>
      <c r="G27" s="119">
        <v>662</v>
      </c>
      <c r="H27" s="120">
        <v>0</v>
      </c>
      <c r="I27" s="123">
        <v>43</v>
      </c>
      <c r="J27" s="119">
        <v>682</v>
      </c>
      <c r="K27" s="120">
        <v>1974</v>
      </c>
      <c r="L27" s="133">
        <v>29</v>
      </c>
      <c r="M27" s="166"/>
    </row>
    <row r="28" spans="1:19" ht="21.75" customHeight="1">
      <c r="A28" s="119">
        <v>603</v>
      </c>
      <c r="B28" s="120">
        <v>3187</v>
      </c>
      <c r="C28" s="121">
        <v>28</v>
      </c>
      <c r="D28" s="122">
        <v>631</v>
      </c>
      <c r="E28" s="120">
        <v>1251</v>
      </c>
      <c r="F28" s="121">
        <v>26</v>
      </c>
      <c r="G28" s="119">
        <v>663</v>
      </c>
      <c r="H28" s="120">
        <v>0</v>
      </c>
      <c r="I28" s="123">
        <v>46</v>
      </c>
      <c r="J28" s="119">
        <v>683</v>
      </c>
      <c r="K28" s="120">
        <v>1647</v>
      </c>
      <c r="L28" s="133">
        <v>30</v>
      </c>
      <c r="M28" s="166"/>
    </row>
    <row r="29" spans="1:19" ht="21.75" customHeight="1">
      <c r="A29" s="119" t="s">
        <v>78</v>
      </c>
      <c r="B29" s="125">
        <v>3541</v>
      </c>
      <c r="C29" s="126">
        <v>30</v>
      </c>
      <c r="D29" s="127">
        <v>632</v>
      </c>
      <c r="E29" s="125">
        <v>1122</v>
      </c>
      <c r="F29" s="126">
        <v>34</v>
      </c>
      <c r="G29" s="127">
        <v>664</v>
      </c>
      <c r="H29" s="120">
        <v>0</v>
      </c>
      <c r="I29" s="124">
        <v>40</v>
      </c>
      <c r="J29" s="127">
        <v>684</v>
      </c>
      <c r="K29" s="125">
        <v>311</v>
      </c>
      <c r="L29" s="133">
        <v>34</v>
      </c>
      <c r="M29" s="166"/>
    </row>
    <row r="30" spans="1:19" ht="21.75" customHeight="1">
      <c r="A30" s="119" t="s">
        <v>79</v>
      </c>
      <c r="B30" s="125">
        <v>896</v>
      </c>
      <c r="C30" s="126">
        <v>33</v>
      </c>
      <c r="D30" s="127">
        <v>633</v>
      </c>
      <c r="E30" s="125">
        <v>421</v>
      </c>
      <c r="F30" s="126">
        <v>30</v>
      </c>
      <c r="G30" s="127">
        <v>665</v>
      </c>
      <c r="H30" s="125">
        <v>1213</v>
      </c>
      <c r="I30" s="124">
        <v>47</v>
      </c>
      <c r="J30" s="127">
        <v>685</v>
      </c>
      <c r="K30" s="125">
        <v>325</v>
      </c>
      <c r="L30" s="133">
        <v>31</v>
      </c>
      <c r="M30" s="166"/>
    </row>
    <row r="31" spans="1:19" ht="21.75" customHeight="1">
      <c r="A31" s="119">
        <v>611</v>
      </c>
      <c r="B31" s="125">
        <v>4.51</v>
      </c>
      <c r="C31" s="134">
        <v>25</v>
      </c>
      <c r="D31" s="127">
        <v>634</v>
      </c>
      <c r="E31" s="125">
        <v>8543</v>
      </c>
      <c r="F31" s="126">
        <v>31</v>
      </c>
      <c r="G31" s="127">
        <v>666</v>
      </c>
      <c r="H31" s="125">
        <v>5492</v>
      </c>
      <c r="I31" s="124">
        <v>30</v>
      </c>
      <c r="J31" s="127">
        <v>686</v>
      </c>
      <c r="K31" s="125">
        <v>1452</v>
      </c>
      <c r="L31" s="133">
        <v>30</v>
      </c>
      <c r="M31" s="166"/>
    </row>
    <row r="32" spans="1:19" ht="21.75" customHeight="1">
      <c r="A32" s="119">
        <v>612</v>
      </c>
      <c r="B32" s="125">
        <v>6.71</v>
      </c>
      <c r="C32" s="134">
        <v>25</v>
      </c>
      <c r="D32" s="127">
        <v>641</v>
      </c>
      <c r="E32" s="125">
        <v>4730</v>
      </c>
      <c r="F32" s="126">
        <v>30</v>
      </c>
      <c r="G32" s="127">
        <v>667</v>
      </c>
      <c r="H32" s="125">
        <v>-817</v>
      </c>
      <c r="I32" s="124">
        <v>34</v>
      </c>
      <c r="J32" s="127">
        <v>687</v>
      </c>
      <c r="K32" s="125">
        <v>2180</v>
      </c>
      <c r="L32" s="133">
        <v>36</v>
      </c>
      <c r="M32" s="166"/>
    </row>
    <row r="33" spans="1:13" ht="21.75" customHeight="1">
      <c r="A33" s="119">
        <v>613</v>
      </c>
      <c r="B33" s="125">
        <v>64.23</v>
      </c>
      <c r="C33" s="134">
        <v>25</v>
      </c>
      <c r="D33" s="127">
        <v>642</v>
      </c>
      <c r="E33" s="125">
        <v>5168</v>
      </c>
      <c r="F33" s="126">
        <v>31</v>
      </c>
      <c r="G33" s="127">
        <v>668</v>
      </c>
      <c r="H33" s="125">
        <v>-817</v>
      </c>
      <c r="I33" s="124">
        <v>34</v>
      </c>
      <c r="J33" s="127">
        <v>688</v>
      </c>
      <c r="K33" s="125">
        <v>319</v>
      </c>
      <c r="L33" s="133">
        <v>31</v>
      </c>
      <c r="M33" s="166"/>
    </row>
    <row r="34" spans="1:13" ht="21.75" customHeight="1">
      <c r="A34" s="119">
        <v>614</v>
      </c>
      <c r="B34" s="125">
        <v>44.69</v>
      </c>
      <c r="C34" s="134">
        <v>25</v>
      </c>
      <c r="D34" s="127">
        <v>643</v>
      </c>
      <c r="E34" s="125">
        <v>3271</v>
      </c>
      <c r="F34" s="126">
        <v>43</v>
      </c>
      <c r="G34" s="127">
        <v>669</v>
      </c>
      <c r="H34" s="125">
        <v>816</v>
      </c>
      <c r="I34" s="124">
        <v>32</v>
      </c>
      <c r="J34" s="127">
        <v>689</v>
      </c>
      <c r="K34" s="125">
        <v>5388</v>
      </c>
      <c r="L34" s="133">
        <v>30</v>
      </c>
      <c r="M34" s="166"/>
    </row>
    <row r="35" spans="1:13" ht="21.75" customHeight="1">
      <c r="A35" s="119">
        <v>621</v>
      </c>
      <c r="B35" s="125">
        <v>2918</v>
      </c>
      <c r="C35" s="126">
        <v>33</v>
      </c>
      <c r="D35" s="127">
        <v>645</v>
      </c>
      <c r="E35" s="125">
        <v>2909</v>
      </c>
      <c r="F35" s="126">
        <v>43</v>
      </c>
      <c r="G35" s="127">
        <v>670</v>
      </c>
      <c r="H35" s="125">
        <v>-9908</v>
      </c>
      <c r="I35" s="124">
        <v>32</v>
      </c>
      <c r="J35" s="127">
        <v>690</v>
      </c>
      <c r="K35" s="125">
        <v>2039</v>
      </c>
      <c r="L35" s="124">
        <v>32</v>
      </c>
      <c r="M35" s="166"/>
    </row>
    <row r="36" spans="1:13" ht="21.75" customHeight="1">
      <c r="A36" s="119">
        <v>622</v>
      </c>
      <c r="B36" s="125">
        <v>800</v>
      </c>
      <c r="C36" s="126">
        <v>34</v>
      </c>
      <c r="D36" s="127">
        <v>651</v>
      </c>
      <c r="E36" s="125">
        <v>854</v>
      </c>
      <c r="F36" s="126">
        <v>36</v>
      </c>
      <c r="G36" s="127">
        <v>671</v>
      </c>
      <c r="H36" s="125">
        <v>0</v>
      </c>
      <c r="I36" s="124">
        <v>45</v>
      </c>
      <c r="J36" s="127">
        <v>691</v>
      </c>
      <c r="K36" s="125">
        <v>2361</v>
      </c>
      <c r="L36" s="133">
        <v>31</v>
      </c>
      <c r="M36" s="166"/>
    </row>
    <row r="37" spans="1:13" ht="21.75" customHeight="1">
      <c r="A37" s="119">
        <v>623</v>
      </c>
      <c r="B37" s="125">
        <v>5307</v>
      </c>
      <c r="C37" s="126">
        <v>36</v>
      </c>
      <c r="D37" s="127">
        <v>652</v>
      </c>
      <c r="E37" s="125">
        <v>3662</v>
      </c>
      <c r="F37" s="126">
        <v>29</v>
      </c>
      <c r="G37" s="127">
        <v>672</v>
      </c>
      <c r="H37" s="125">
        <v>2452</v>
      </c>
      <c r="I37" s="124">
        <v>29</v>
      </c>
      <c r="J37" s="127">
        <v>692</v>
      </c>
      <c r="K37" s="125">
        <v>6226</v>
      </c>
      <c r="L37" s="133">
        <v>33</v>
      </c>
      <c r="M37" s="166"/>
    </row>
    <row r="38" spans="1:13" ht="21.75" customHeight="1">
      <c r="A38" s="122">
        <v>624</v>
      </c>
      <c r="B38" s="125">
        <v>7847</v>
      </c>
      <c r="C38" s="126">
        <v>36</v>
      </c>
      <c r="D38" s="128">
        <v>653</v>
      </c>
      <c r="E38" s="125">
        <v>3458</v>
      </c>
      <c r="F38" s="126">
        <v>26</v>
      </c>
      <c r="G38" s="127">
        <v>673</v>
      </c>
      <c r="H38" s="125">
        <v>0</v>
      </c>
      <c r="I38" s="124">
        <v>41</v>
      </c>
      <c r="J38" s="127">
        <v>693</v>
      </c>
      <c r="K38" s="125">
        <v>3063</v>
      </c>
      <c r="L38" s="133">
        <v>31</v>
      </c>
      <c r="M38" s="166"/>
    </row>
    <row r="39" spans="1:13" ht="21.75" customHeight="1">
      <c r="A39" s="122" t="s">
        <v>80</v>
      </c>
      <c r="B39" s="125">
        <v>7152</v>
      </c>
      <c r="C39" s="126">
        <v>35</v>
      </c>
      <c r="D39" s="127">
        <v>654</v>
      </c>
      <c r="E39" s="125">
        <v>5192</v>
      </c>
      <c r="F39" s="126">
        <v>34</v>
      </c>
      <c r="G39" s="127">
        <v>674</v>
      </c>
      <c r="H39" s="125">
        <v>0</v>
      </c>
      <c r="I39" s="124">
        <v>39</v>
      </c>
      <c r="J39" s="127">
        <v>694</v>
      </c>
      <c r="K39" s="125">
        <v>616</v>
      </c>
      <c r="L39" s="133">
        <v>33</v>
      </c>
      <c r="M39" s="166"/>
    </row>
    <row r="40" spans="1:13" ht="21.75" customHeight="1">
      <c r="A40" s="122" t="s">
        <v>26</v>
      </c>
      <c r="B40" s="125">
        <v>7303</v>
      </c>
      <c r="C40" s="126">
        <v>36</v>
      </c>
      <c r="D40" s="128">
        <v>655</v>
      </c>
      <c r="E40" s="125">
        <v>313</v>
      </c>
      <c r="F40" s="126">
        <v>34</v>
      </c>
      <c r="G40" s="127">
        <v>675</v>
      </c>
      <c r="H40" s="125">
        <v>4.08</v>
      </c>
      <c r="I40" s="133">
        <v>25</v>
      </c>
      <c r="J40" s="127">
        <v>695</v>
      </c>
      <c r="K40" s="125">
        <v>6041</v>
      </c>
      <c r="L40" s="133">
        <v>34</v>
      </c>
      <c r="M40" s="166"/>
    </row>
    <row r="41" spans="1:13" ht="21.75" customHeight="1">
      <c r="A41" s="122" t="s">
        <v>27</v>
      </c>
      <c r="B41" s="125">
        <v>5501</v>
      </c>
      <c r="C41" s="126">
        <v>28</v>
      </c>
      <c r="D41" s="127">
        <v>656</v>
      </c>
      <c r="E41" s="125">
        <v>670</v>
      </c>
      <c r="F41" s="126">
        <v>30</v>
      </c>
      <c r="G41" s="127">
        <v>676</v>
      </c>
      <c r="H41" s="125">
        <v>84.47</v>
      </c>
      <c r="I41" s="133">
        <v>25</v>
      </c>
      <c r="J41" s="127">
        <v>696</v>
      </c>
      <c r="K41" s="125">
        <v>730</v>
      </c>
      <c r="L41" s="133">
        <v>34</v>
      </c>
      <c r="M41" s="166"/>
    </row>
    <row r="42" spans="1:13" ht="21.75" customHeight="1">
      <c r="A42" s="122" t="s">
        <v>28</v>
      </c>
      <c r="B42" s="125">
        <v>7148</v>
      </c>
      <c r="C42" s="126">
        <v>26</v>
      </c>
      <c r="D42" s="127">
        <v>657</v>
      </c>
      <c r="E42" s="125">
        <v>4353</v>
      </c>
      <c r="F42" s="126">
        <v>30</v>
      </c>
      <c r="G42" s="127">
        <v>677</v>
      </c>
      <c r="H42" s="125">
        <v>3.68</v>
      </c>
      <c r="I42" s="133">
        <v>25</v>
      </c>
      <c r="J42" s="127">
        <v>697</v>
      </c>
      <c r="K42" s="125">
        <v>429</v>
      </c>
      <c r="L42" s="133">
        <v>33</v>
      </c>
      <c r="M42" s="166"/>
    </row>
    <row r="43" spans="1:13" ht="21.75" customHeight="1">
      <c r="A43" s="122" t="s">
        <v>29</v>
      </c>
      <c r="B43" s="125">
        <v>7127</v>
      </c>
      <c r="C43" s="126">
        <v>27</v>
      </c>
      <c r="D43" s="128">
        <v>658</v>
      </c>
      <c r="E43" s="125">
        <v>4004</v>
      </c>
      <c r="F43" s="126">
        <v>34</v>
      </c>
      <c r="G43" s="127">
        <v>678</v>
      </c>
      <c r="H43" s="125">
        <v>68.16</v>
      </c>
      <c r="I43" s="133">
        <v>25</v>
      </c>
      <c r="J43" s="127">
        <v>698</v>
      </c>
      <c r="K43" s="125">
        <v>3375</v>
      </c>
      <c r="L43" s="133">
        <v>36</v>
      </c>
      <c r="M43" s="166"/>
    </row>
    <row r="44" spans="1:13" ht="21.75" customHeight="1">
      <c r="A44" s="122" t="s">
        <v>30</v>
      </c>
      <c r="B44" s="125">
        <v>6194</v>
      </c>
      <c r="C44" s="126">
        <v>28</v>
      </c>
      <c r="D44" s="127">
        <v>659</v>
      </c>
      <c r="E44" s="125">
        <v>3313</v>
      </c>
      <c r="F44" s="126">
        <v>29</v>
      </c>
      <c r="G44" s="127">
        <v>680</v>
      </c>
      <c r="H44" s="125">
        <v>3546</v>
      </c>
      <c r="I44" s="133">
        <v>31</v>
      </c>
      <c r="J44" s="127">
        <v>699</v>
      </c>
      <c r="K44" s="125">
        <v>5372</v>
      </c>
      <c r="L44" s="133">
        <v>33</v>
      </c>
      <c r="M44" s="166"/>
    </row>
    <row r="45" spans="1:13" ht="21.75" customHeight="1" thickBot="1">
      <c r="A45" s="129" t="s">
        <v>81</v>
      </c>
      <c r="B45" s="130">
        <v>2390</v>
      </c>
      <c r="C45" s="130">
        <v>28</v>
      </c>
      <c r="D45" s="131">
        <v>660</v>
      </c>
      <c r="E45" s="130">
        <v>1845</v>
      </c>
      <c r="F45" s="132">
        <v>30</v>
      </c>
      <c r="G45" s="131"/>
      <c r="H45" s="130"/>
      <c r="I45" s="132"/>
      <c r="J45" s="131"/>
      <c r="K45" s="130"/>
      <c r="L45" s="132"/>
      <c r="M45" s="167"/>
    </row>
    <row r="46" spans="1:13" ht="16.2" thickTop="1"/>
    <row r="100" spans="1:1" ht="25.5" customHeight="1">
      <c r="A100" s="140" t="s">
        <v>634</v>
      </c>
    </row>
  </sheetData>
  <sheetProtection selectLockedCells="1"/>
  <mergeCells count="9">
    <mergeCell ref="Q13:Q15"/>
    <mergeCell ref="S13:S14"/>
    <mergeCell ref="A24:B24"/>
    <mergeCell ref="M26:M45"/>
    <mergeCell ref="A1:B1"/>
    <mergeCell ref="M3:M22"/>
    <mergeCell ref="N13:N15"/>
    <mergeCell ref="O13:O15"/>
    <mergeCell ref="P13:P15"/>
  </mergeCells>
  <phoneticPr fontId="2" type="noConversion"/>
  <dataValidations count="11">
    <dataValidation type="custom" errorStyle="warning" allowBlank="1" showInputMessage="1" showErrorMessage="1" error="***你在睡喔,醒醒好嗎" sqref="E8 B6:B7 B4 B15 B38 B29:B30 B27 E31">
      <formula1>B4&lt;=9100</formula1>
    </dataValidation>
    <dataValidation type="custom" errorStyle="warning" allowBlank="1" showInputMessage="1" showErrorMessage="1" error="***你在睡喔,醒醒好嗎" sqref="B8:B11 H17:H20 B31:B34 H40:H43">
      <formula1>B8&lt;=100</formula1>
    </dataValidation>
    <dataValidation type="custom" errorStyle="warning" allowBlank="1" showInputMessage="1" showErrorMessage="1" error="***你在睡喔,醒醒好嗎" sqref="E3:E4 B16:B22 H3:H16 E19:E22 B39:B45 E42:E45 E26:E27 H26:H39">
      <formula1>B3&lt;=7400</formula1>
    </dataValidation>
    <dataValidation type="custom" errorStyle="warning" allowBlank="1" showInputMessage="1" showErrorMessage="1" error="***你在睡喔,醒醒好嗎" sqref="E14:E18 E37:E41">
      <formula1>E14&lt;=5500</formula1>
    </dataValidation>
    <dataValidation type="custom" errorStyle="warning" allowBlank="1" showInputMessage="1" showErrorMessage="1" error="***你在睡喔,醒醒好嗎" sqref="H21 K12 H44 K35">
      <formula1>H12&lt;=4100</formula1>
    </dataValidation>
    <dataValidation type="custom" errorStyle="warning" allowBlank="1" showInputMessage="1" showErrorMessage="1" error="***你在睡喔,醒醒好嗎" sqref="E5:E6 B5 K14:K17 B12:B13 B3 B26 E28:E29 B28 B35:B36 K37:K40">
      <formula1>B3&lt;=7000</formula1>
    </dataValidation>
    <dataValidation type="custom" errorStyle="warning" allowBlank="1" showInputMessage="1" showErrorMessage="1" error="***你在睡喔,醒醒好嗎" sqref="K18:K21 K41:K44">
      <formula1>K18&lt;=12000</formula1>
    </dataValidation>
    <dataValidation type="custom" errorStyle="warning" allowBlank="1" showInputMessage="1" showErrorMessage="1" error="***你在睡喔,醒醒好嗎" sqref="B14 E7 K13 E9:E10 E13 K3:K7 K9:K10 E30 E32:E33 B37 E36 K36 K26:K30 K32:K33">
      <formula1>B3&lt;=5600</formula1>
    </dataValidation>
    <dataValidation type="custom" errorStyle="warning" allowBlank="1" showInputMessage="1" showErrorMessage="1" error="***你在睡喔,醒醒好嗎" sqref="K11 K8 K34 K31">
      <formula1>K8&lt;=5700</formula1>
    </dataValidation>
    <dataValidation type="custom" errorStyle="warning" allowBlank="1" showInputMessage="1" showErrorMessage="1" error="***你在睡喔,醒醒好嗎" sqref="E12 E35">
      <formula1>E12&lt;=6000</formula1>
    </dataValidation>
    <dataValidation type="custom" errorStyle="warning" allowBlank="1" showInputMessage="1" showErrorMessage="1" error="***你在睡喔,醒醒好嗎" sqref="E11 E34">
      <formula1>E11&lt;=6000</formula1>
    </dataValidation>
  </dataValidations>
  <printOptions horizontalCentered="1"/>
  <pageMargins left="0.39370078740157483" right="0.19685039370078741" top="0.19685039370078741" bottom="0" header="0" footer="0"/>
  <pageSetup paperSize="9" scale="84" pageOrder="overThenDown" orientation="portrait" horizontalDpi="180" verticalDpi="18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2247682" r:id="rId4" name="CommandButton2">
          <controlPr autoLine="0" r:id="rId5">
            <anchor moveWithCells="1">
              <from>
                <xdr:col>13</xdr:col>
                <xdr:colOff>22860</xdr:colOff>
                <xdr:row>25</xdr:row>
                <xdr:rowOff>60960</xdr:rowOff>
              </from>
              <to>
                <xdr:col>15</xdr:col>
                <xdr:colOff>548640</xdr:colOff>
                <xdr:row>32</xdr:row>
                <xdr:rowOff>0</xdr:rowOff>
              </to>
            </anchor>
          </controlPr>
        </control>
      </mc:Choice>
      <mc:Fallback>
        <control shapeId="2247682" r:id="rId4" name="CommandButton2"/>
      </mc:Fallback>
    </mc:AlternateContent>
    <mc:AlternateContent xmlns:mc="http://schemas.openxmlformats.org/markup-compatibility/2006">
      <mc:Choice Requires="x14">
        <control shapeId="2247681" r:id="rId6" name="CommandButton1">
          <controlPr autoLine="0" r:id="rId7">
            <anchor moveWithCells="1">
              <from>
                <xdr:col>13</xdr:col>
                <xdr:colOff>30480</xdr:colOff>
                <xdr:row>15</xdr:row>
                <xdr:rowOff>198120</xdr:rowOff>
              </from>
              <to>
                <xdr:col>15</xdr:col>
                <xdr:colOff>495300</xdr:colOff>
                <xdr:row>22</xdr:row>
                <xdr:rowOff>388620</xdr:rowOff>
              </to>
            </anchor>
          </controlPr>
        </control>
      </mc:Choice>
      <mc:Fallback>
        <control shapeId="2247681" r:id="rId6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>
    <pageSetUpPr fitToPage="1"/>
  </sheetPr>
  <dimension ref="A1:X93"/>
  <sheetViews>
    <sheetView showRuler="0" view="pageBreakPreview" zoomScale="60" zoomScaleNormal="60" workbookViewId="0">
      <pane ySplit="1" topLeftCell="A14" activePane="bottomLeft" state="frozen"/>
      <selection activeCell="AA15" sqref="AA15"/>
      <selection pane="bottomLeft" activeCell="AA15" sqref="AA15"/>
    </sheetView>
  </sheetViews>
  <sheetFormatPr defaultColWidth="9" defaultRowHeight="16.2"/>
  <cols>
    <col min="1" max="1" width="9.44140625" style="47" customWidth="1"/>
    <col min="2" max="10" width="10.6640625" style="47" customWidth="1"/>
    <col min="11" max="12" width="10.6640625" style="6" customWidth="1"/>
    <col min="13" max="13" width="10.6640625" style="50" customWidth="1"/>
    <col min="14" max="16" width="10.6640625" style="6" customWidth="1"/>
    <col min="17" max="17" width="12.88671875" style="47" customWidth="1"/>
    <col min="18" max="18" width="10.6640625" style="6" customWidth="1"/>
    <col min="19" max="19" width="10.6640625" style="47" customWidth="1"/>
    <col min="20" max="20" width="10.6640625" style="6" customWidth="1"/>
    <col min="21" max="21" width="10.6640625" style="51" customWidth="1"/>
    <col min="22" max="23" width="9.88671875" style="6" bestFit="1" customWidth="1"/>
    <col min="24" max="24" width="15.44140625" style="6" bestFit="1" customWidth="1"/>
    <col min="25" max="16384" width="9" style="6"/>
  </cols>
  <sheetData>
    <row r="1" spans="1:24" ht="49.2" customHeight="1">
      <c r="A1" s="1" t="s">
        <v>6</v>
      </c>
      <c r="B1" s="2" t="s">
        <v>7</v>
      </c>
      <c r="C1" s="2" t="s">
        <v>8</v>
      </c>
      <c r="D1" s="2" t="s">
        <v>9</v>
      </c>
      <c r="E1" s="2" t="s">
        <v>10</v>
      </c>
      <c r="F1" s="3" t="s">
        <v>11</v>
      </c>
      <c r="G1" s="2" t="s">
        <v>12</v>
      </c>
      <c r="H1" s="2" t="s">
        <v>13</v>
      </c>
      <c r="I1" s="2" t="s">
        <v>14</v>
      </c>
      <c r="J1" s="4" t="s">
        <v>15</v>
      </c>
      <c r="K1" s="2" t="s">
        <v>16</v>
      </c>
      <c r="L1" s="2" t="s">
        <v>17</v>
      </c>
      <c r="M1" s="2" t="s">
        <v>18</v>
      </c>
      <c r="N1" s="2" t="s">
        <v>19</v>
      </c>
      <c r="O1" s="4" t="s">
        <v>20</v>
      </c>
      <c r="P1" s="3" t="s">
        <v>21</v>
      </c>
      <c r="Q1" s="2" t="s">
        <v>70</v>
      </c>
      <c r="R1" s="2" t="s">
        <v>22</v>
      </c>
      <c r="S1" s="2" t="s">
        <v>23</v>
      </c>
      <c r="T1" s="2" t="s">
        <v>24</v>
      </c>
      <c r="U1" s="5" t="s">
        <v>25</v>
      </c>
      <c r="V1" s="5" t="s">
        <v>34</v>
      </c>
      <c r="W1" s="5" t="s">
        <v>38</v>
      </c>
      <c r="X1" s="5" t="s">
        <v>75</v>
      </c>
    </row>
    <row r="2" spans="1:24" s="13" customFormat="1" ht="26.4" customHeight="1" thickBot="1">
      <c r="A2" s="7">
        <v>1</v>
      </c>
      <c r="B2" s="8">
        <v>0.80020000000000002</v>
      </c>
      <c r="C2" s="8">
        <v>1.1264000000000001</v>
      </c>
      <c r="D2" s="8">
        <v>1.0450999999999999</v>
      </c>
      <c r="E2" s="8">
        <v>0.81089999999999995</v>
      </c>
      <c r="F2" s="9"/>
      <c r="G2" s="8">
        <v>0.80520000000000003</v>
      </c>
      <c r="H2" s="8">
        <v>0.93820000000000003</v>
      </c>
      <c r="I2" s="8">
        <v>1.0691999999999999</v>
      </c>
      <c r="J2" s="10">
        <v>0.98939999999999995</v>
      </c>
      <c r="K2" s="8">
        <v>0.96160000000000001</v>
      </c>
      <c r="L2" s="11">
        <v>0.95099999999999996</v>
      </c>
      <c r="M2" s="8"/>
      <c r="N2" s="11">
        <v>0.94899999999999995</v>
      </c>
      <c r="O2" s="11">
        <v>0.93500000000000005</v>
      </c>
      <c r="P2" s="9"/>
      <c r="Q2" s="27">
        <v>0.95454000000000006</v>
      </c>
      <c r="R2" s="8">
        <v>0.82220000000000004</v>
      </c>
      <c r="S2" s="12">
        <v>1.0519000000000001</v>
      </c>
      <c r="T2" s="8">
        <v>0.96960000000000002</v>
      </c>
      <c r="U2" s="8">
        <v>1.028</v>
      </c>
      <c r="V2" s="16">
        <v>0.96399999999999997</v>
      </c>
      <c r="W2" s="16">
        <v>0.97658999999999996</v>
      </c>
      <c r="X2" s="16">
        <v>0.81481000000000003</v>
      </c>
    </row>
    <row r="3" spans="1:24" s="13" customFormat="1" ht="26.4" customHeight="1" thickTop="1" thickBot="1">
      <c r="A3" s="7">
        <v>2</v>
      </c>
      <c r="B3" s="8">
        <v>0.79930000000000001</v>
      </c>
      <c r="C3" s="8">
        <v>1.1257999999999999</v>
      </c>
      <c r="D3" s="8">
        <v>1.0471999999999999</v>
      </c>
      <c r="E3" s="14">
        <v>0.81</v>
      </c>
      <c r="F3" s="9"/>
      <c r="G3" s="8">
        <v>0.80420000000000003</v>
      </c>
      <c r="H3" s="8">
        <v>0.93730000000000002</v>
      </c>
      <c r="I3" s="8">
        <v>1.0681</v>
      </c>
      <c r="J3" s="10">
        <v>0.98939999999999995</v>
      </c>
      <c r="K3" s="8">
        <v>0.9607</v>
      </c>
      <c r="L3" s="11">
        <v>0.96</v>
      </c>
      <c r="M3" s="8"/>
      <c r="N3" s="11">
        <v>0.94899999999999995</v>
      </c>
      <c r="O3" s="11">
        <v>0.93500000000000005</v>
      </c>
      <c r="P3" s="9"/>
      <c r="Q3" s="27">
        <v>0.95454000000000006</v>
      </c>
      <c r="R3" s="8">
        <v>0.82120000000000004</v>
      </c>
      <c r="S3" s="12">
        <v>1.0511999999999999</v>
      </c>
      <c r="T3" s="8">
        <v>0.96870000000000001</v>
      </c>
      <c r="U3" s="8">
        <v>1.028</v>
      </c>
      <c r="V3" s="16">
        <v>0.96399999999999997</v>
      </c>
      <c r="W3" s="16">
        <v>0.97658999999999996</v>
      </c>
      <c r="X3" s="16">
        <v>0.81481000000000003</v>
      </c>
    </row>
    <row r="4" spans="1:24" s="13" customFormat="1" ht="26.4" customHeight="1" thickTop="1" thickBot="1">
      <c r="A4" s="7">
        <v>3</v>
      </c>
      <c r="B4" s="8">
        <v>0.7984</v>
      </c>
      <c r="C4" s="8">
        <v>1.1251</v>
      </c>
      <c r="D4" s="8">
        <v>1.0463</v>
      </c>
      <c r="E4" s="8">
        <v>0.80910000000000004</v>
      </c>
      <c r="F4" s="9"/>
      <c r="G4" s="8">
        <v>0.80320000000000003</v>
      </c>
      <c r="H4" s="8">
        <v>0.93630000000000002</v>
      </c>
      <c r="I4" s="14">
        <v>1.0669999999999999</v>
      </c>
      <c r="J4" s="10">
        <v>0.98939999999999995</v>
      </c>
      <c r="K4" s="8">
        <v>0.95989999999999998</v>
      </c>
      <c r="L4" s="11">
        <v>0.95899999999999996</v>
      </c>
      <c r="M4" s="8"/>
      <c r="N4" s="11">
        <v>0.94899999999999995</v>
      </c>
      <c r="O4" s="11">
        <v>0.93500000000000005</v>
      </c>
      <c r="P4" s="9"/>
      <c r="Q4" s="27">
        <v>0.95454000000000006</v>
      </c>
      <c r="R4" s="8">
        <v>0.82020000000000004</v>
      </c>
      <c r="S4" s="12">
        <v>1.0504</v>
      </c>
      <c r="T4" s="8">
        <v>0.96789999999999998</v>
      </c>
      <c r="U4" s="8">
        <v>1.028</v>
      </c>
      <c r="V4" s="16">
        <v>0.96399999999999997</v>
      </c>
      <c r="W4" s="16">
        <v>0.97658999999999996</v>
      </c>
      <c r="X4" s="16">
        <v>0.81481000000000003</v>
      </c>
    </row>
    <row r="5" spans="1:24" s="13" customFormat="1" ht="24" customHeight="1" thickTop="1" thickBot="1">
      <c r="A5" s="7">
        <v>4</v>
      </c>
      <c r="B5" s="8">
        <v>0.79749999999999999</v>
      </c>
      <c r="C5" s="8">
        <v>1.1245000000000001</v>
      </c>
      <c r="D5" s="8">
        <v>1.0454000000000001</v>
      </c>
      <c r="E5" s="8">
        <v>0.80820000000000003</v>
      </c>
      <c r="F5" s="9"/>
      <c r="G5" s="8">
        <v>0.80220000000000002</v>
      </c>
      <c r="H5" s="8">
        <v>0.93530000000000002</v>
      </c>
      <c r="I5" s="8">
        <v>1.0658000000000001</v>
      </c>
      <c r="J5" s="10">
        <v>0.98939999999999995</v>
      </c>
      <c r="K5" s="8">
        <v>0.95899999999999996</v>
      </c>
      <c r="L5" s="11">
        <v>0.95799999999999996</v>
      </c>
      <c r="M5" s="8"/>
      <c r="N5" s="11">
        <v>0.94899999999999995</v>
      </c>
      <c r="O5" s="11">
        <v>0.93500000000000005</v>
      </c>
      <c r="P5" s="9"/>
      <c r="Q5" s="27">
        <v>0.95454000000000006</v>
      </c>
      <c r="R5" s="8">
        <v>0.81920000000000004</v>
      </c>
      <c r="S5" s="12">
        <v>1.0497000000000001</v>
      </c>
      <c r="T5" s="8">
        <v>0.96699999999999997</v>
      </c>
      <c r="U5" s="8">
        <v>1.028</v>
      </c>
      <c r="V5" s="16">
        <v>0.96399999999999997</v>
      </c>
      <c r="W5" s="16">
        <v>0.97658999999999996</v>
      </c>
      <c r="X5" s="16">
        <v>0.81481000000000003</v>
      </c>
    </row>
    <row r="6" spans="1:24" ht="22.5" customHeight="1" thickTop="1" thickBot="1">
      <c r="A6" s="15">
        <v>5</v>
      </c>
      <c r="B6" s="16">
        <v>0.79659999999999997</v>
      </c>
      <c r="C6" s="16">
        <v>1.1237999999999999</v>
      </c>
      <c r="D6" s="16">
        <v>1.0445</v>
      </c>
      <c r="E6" s="16">
        <v>0.80730000000000002</v>
      </c>
      <c r="F6" s="17"/>
      <c r="G6" s="16">
        <v>0.80120000000000002</v>
      </c>
      <c r="H6" s="16">
        <v>0.93440000000000001</v>
      </c>
      <c r="I6" s="16">
        <v>1.0647</v>
      </c>
      <c r="J6" s="16">
        <v>0.98939999999999995</v>
      </c>
      <c r="K6" s="16">
        <v>0.95820000000000005</v>
      </c>
      <c r="L6" s="16">
        <v>0.95699999999999996</v>
      </c>
      <c r="M6" s="18"/>
      <c r="N6" s="18">
        <v>0.94899999999999995</v>
      </c>
      <c r="O6" s="18">
        <v>0.93500000000000005</v>
      </c>
      <c r="P6" s="19"/>
      <c r="Q6" s="27">
        <v>0.95454000000000006</v>
      </c>
      <c r="R6" s="18">
        <v>0.81820000000000004</v>
      </c>
      <c r="S6" s="20">
        <v>1.0488</v>
      </c>
      <c r="T6" s="16">
        <v>0.96609999999999996</v>
      </c>
      <c r="U6" s="16">
        <v>1.028</v>
      </c>
      <c r="V6" s="16">
        <v>0.96399999999999997</v>
      </c>
      <c r="W6" s="16">
        <v>0.97658999999999996</v>
      </c>
      <c r="X6" s="16">
        <v>0.81481000000000003</v>
      </c>
    </row>
    <row r="7" spans="1:24" ht="22.5" customHeight="1" thickTop="1" thickBot="1">
      <c r="A7" s="21">
        <v>6</v>
      </c>
      <c r="B7" s="22">
        <v>0.79569999999999996</v>
      </c>
      <c r="C7" s="22">
        <v>1.123</v>
      </c>
      <c r="D7" s="22">
        <v>1.0436000000000001</v>
      </c>
      <c r="E7" s="22">
        <v>0.80620000000000003</v>
      </c>
      <c r="F7" s="22"/>
      <c r="G7" s="22">
        <v>0.80020000000000002</v>
      </c>
      <c r="H7" s="22">
        <v>0.93340000000000001</v>
      </c>
      <c r="I7" s="22">
        <v>1.0636000000000001</v>
      </c>
      <c r="J7" s="22">
        <v>0.98939999999999995</v>
      </c>
      <c r="K7" s="22">
        <v>0.95730000000000004</v>
      </c>
      <c r="L7" s="22">
        <v>0.95599999999999996</v>
      </c>
      <c r="M7" s="16">
        <v>0.88029999999999997</v>
      </c>
      <c r="N7" s="23">
        <v>0.94799999999999995</v>
      </c>
      <c r="O7" s="23">
        <v>0.93500000000000005</v>
      </c>
      <c r="P7" s="24"/>
      <c r="Q7" s="27">
        <v>0.95454000000000006</v>
      </c>
      <c r="R7" s="23">
        <v>0.81720000000000004</v>
      </c>
      <c r="S7" s="25">
        <v>1.0481</v>
      </c>
      <c r="T7" s="22">
        <v>0.96509999999999996</v>
      </c>
      <c r="U7" s="8">
        <v>1.028</v>
      </c>
      <c r="V7" s="16">
        <v>0.96399999999999997</v>
      </c>
      <c r="W7" s="16">
        <v>0.9758</v>
      </c>
      <c r="X7" s="16">
        <v>0.81481000000000003</v>
      </c>
    </row>
    <row r="8" spans="1:24" ht="22.5" customHeight="1" thickTop="1" thickBot="1">
      <c r="A8" s="26">
        <v>7</v>
      </c>
      <c r="B8" s="27">
        <v>0.79479999999999995</v>
      </c>
      <c r="C8" s="27">
        <v>1.1222000000000001</v>
      </c>
      <c r="D8" s="27">
        <v>1.0427</v>
      </c>
      <c r="E8" s="27">
        <v>0.80510000000000004</v>
      </c>
      <c r="F8" s="27"/>
      <c r="G8" s="28">
        <v>0.79920000000000002</v>
      </c>
      <c r="H8" s="28">
        <v>0.9325</v>
      </c>
      <c r="I8" s="28">
        <v>1.0625</v>
      </c>
      <c r="J8" s="28">
        <v>0.98939999999999995</v>
      </c>
      <c r="K8" s="28">
        <v>0.95640000000000003</v>
      </c>
      <c r="L8" s="28">
        <v>0.95499999999999996</v>
      </c>
      <c r="M8" s="22">
        <v>0.88029999999999997</v>
      </c>
      <c r="N8" s="28">
        <v>0.94799999999999995</v>
      </c>
      <c r="O8" s="28">
        <v>0.93500000000000005</v>
      </c>
      <c r="P8" s="29"/>
      <c r="Q8" s="27">
        <v>0.95454000000000006</v>
      </c>
      <c r="R8" s="28">
        <v>0.81620000000000004</v>
      </c>
      <c r="S8" s="25">
        <v>1.0472999999999999</v>
      </c>
      <c r="T8" s="22">
        <v>0.96430000000000005</v>
      </c>
      <c r="U8" s="8">
        <v>1.028</v>
      </c>
      <c r="V8" s="16">
        <v>0.96399999999999997</v>
      </c>
      <c r="W8" s="16">
        <v>0.97501000000000004</v>
      </c>
      <c r="X8" s="16">
        <v>0.81481000000000003</v>
      </c>
    </row>
    <row r="9" spans="1:24" ht="22.5" customHeight="1" thickTop="1" thickBot="1">
      <c r="A9" s="26">
        <v>8</v>
      </c>
      <c r="B9" s="27">
        <v>0.79400000000000004</v>
      </c>
      <c r="C9" s="27">
        <v>1.1214</v>
      </c>
      <c r="D9" s="27">
        <v>1.0418000000000001</v>
      </c>
      <c r="E9" s="27">
        <v>0.80389999999999995</v>
      </c>
      <c r="F9" s="27"/>
      <c r="G9" s="27">
        <v>0.79820000000000002</v>
      </c>
      <c r="H9" s="27">
        <v>0.93149999999999999</v>
      </c>
      <c r="I9" s="27">
        <v>1.0613999999999999</v>
      </c>
      <c r="J9" s="27">
        <v>0.98939999999999995</v>
      </c>
      <c r="K9" s="27">
        <v>0.9556</v>
      </c>
      <c r="L9" s="27">
        <v>0.95399999999999996</v>
      </c>
      <c r="M9" s="27">
        <v>0.88029999999999997</v>
      </c>
      <c r="N9" s="28">
        <v>0.94799999999999995</v>
      </c>
      <c r="O9" s="28">
        <v>0.93500000000000005</v>
      </c>
      <c r="P9" s="29"/>
      <c r="Q9" s="27">
        <v>0.95454000000000006</v>
      </c>
      <c r="R9" s="28">
        <v>0.81520000000000004</v>
      </c>
      <c r="S9" s="27">
        <v>1.0465</v>
      </c>
      <c r="T9" s="22">
        <v>0.96330000000000005</v>
      </c>
      <c r="U9" s="8">
        <v>1.028</v>
      </c>
      <c r="V9" s="16">
        <v>0.96399999999999997</v>
      </c>
      <c r="W9" s="16">
        <v>0.97422000000000009</v>
      </c>
      <c r="X9" s="16">
        <v>0.81481000000000003</v>
      </c>
    </row>
    <row r="10" spans="1:24" ht="22.5" customHeight="1" thickTop="1" thickBot="1">
      <c r="A10" s="26">
        <v>9</v>
      </c>
      <c r="B10" s="27">
        <v>0.79310000000000003</v>
      </c>
      <c r="C10" s="27">
        <v>1.1206</v>
      </c>
      <c r="D10" s="27">
        <v>1.0408999999999999</v>
      </c>
      <c r="E10" s="27">
        <v>0.80269999999999997</v>
      </c>
      <c r="F10" s="27"/>
      <c r="G10" s="27">
        <v>0.79720000000000002</v>
      </c>
      <c r="H10" s="27">
        <v>0.93059999999999998</v>
      </c>
      <c r="I10" s="27">
        <v>1.0602</v>
      </c>
      <c r="J10" s="27">
        <v>0.98939999999999995</v>
      </c>
      <c r="K10" s="27">
        <v>0.95469999999999999</v>
      </c>
      <c r="L10" s="27">
        <v>0.95299999999999996</v>
      </c>
      <c r="M10" s="27">
        <v>0.88029999999999997</v>
      </c>
      <c r="N10" s="27">
        <v>0.94799999999999995</v>
      </c>
      <c r="O10" s="27">
        <v>0.93400000000000005</v>
      </c>
      <c r="P10" s="30"/>
      <c r="Q10" s="27">
        <v>0.95454000000000006</v>
      </c>
      <c r="R10" s="27">
        <v>0.81420000000000003</v>
      </c>
      <c r="S10" s="27">
        <v>1.0458000000000001</v>
      </c>
      <c r="T10" s="27">
        <v>0.96230000000000004</v>
      </c>
      <c r="U10" s="8">
        <v>1.028</v>
      </c>
      <c r="V10" s="16">
        <v>0.96399999999999997</v>
      </c>
      <c r="W10" s="16">
        <v>0.97343000000000013</v>
      </c>
      <c r="X10" s="16">
        <v>0.81481000000000003</v>
      </c>
    </row>
    <row r="11" spans="1:24" ht="22.5" customHeight="1" thickTop="1" thickBot="1">
      <c r="A11" s="15">
        <v>10</v>
      </c>
      <c r="B11" s="16">
        <v>0.7923</v>
      </c>
      <c r="C11" s="16">
        <v>1.1197999999999999</v>
      </c>
      <c r="D11" s="16">
        <v>1.04</v>
      </c>
      <c r="E11" s="16">
        <v>0.80159999999999998</v>
      </c>
      <c r="F11" s="16">
        <v>0.94240000000000002</v>
      </c>
      <c r="G11" s="16">
        <v>0.97619999999999996</v>
      </c>
      <c r="H11" s="16">
        <v>0.92969999999999997</v>
      </c>
      <c r="I11" s="16">
        <v>1.0590999999999999</v>
      </c>
      <c r="J11" s="16">
        <v>0.98850000000000005</v>
      </c>
      <c r="K11" s="16">
        <v>0.95379999999999998</v>
      </c>
      <c r="L11" s="16">
        <v>0.95199999999999996</v>
      </c>
      <c r="M11" s="16">
        <v>0.88029999999999997</v>
      </c>
      <c r="N11" s="16">
        <v>0.94799999999999995</v>
      </c>
      <c r="O11" s="16">
        <v>0.93400000000000005</v>
      </c>
      <c r="P11" s="16">
        <v>0.94511999999999996</v>
      </c>
      <c r="Q11" s="27">
        <v>0.95454000000000006</v>
      </c>
      <c r="R11" s="16">
        <v>0.81320000000000003</v>
      </c>
      <c r="S11" s="16">
        <v>1.0449999999999999</v>
      </c>
      <c r="T11" s="16">
        <v>0.96140000000000003</v>
      </c>
      <c r="U11" s="16">
        <v>1.028</v>
      </c>
      <c r="V11" s="16">
        <v>0.96399999999999997</v>
      </c>
      <c r="W11" s="16">
        <v>0.97264000000000017</v>
      </c>
      <c r="X11" s="16">
        <v>0.81481000000000003</v>
      </c>
    </row>
    <row r="12" spans="1:24" ht="22.5" customHeight="1" thickTop="1" thickBot="1">
      <c r="A12" s="21">
        <v>11</v>
      </c>
      <c r="B12" s="22">
        <v>0.79139999999999999</v>
      </c>
      <c r="C12" s="22">
        <v>1.119</v>
      </c>
      <c r="D12" s="22">
        <v>1.0390999999999999</v>
      </c>
      <c r="E12" s="22">
        <v>0.8004</v>
      </c>
      <c r="F12" s="22">
        <v>0.94155</v>
      </c>
      <c r="G12" s="22">
        <v>0.97519999999999996</v>
      </c>
      <c r="H12" s="22">
        <v>0.92869999999999997</v>
      </c>
      <c r="I12" s="22">
        <v>1.0580000000000001</v>
      </c>
      <c r="J12" s="22">
        <v>0.98770000000000002</v>
      </c>
      <c r="K12" s="22">
        <v>0.95299999999999996</v>
      </c>
      <c r="L12" s="22">
        <v>0.95099999999999996</v>
      </c>
      <c r="M12" s="22">
        <v>0.88029999999999997</v>
      </c>
      <c r="N12" s="22">
        <v>0.94</v>
      </c>
      <c r="O12" s="22">
        <v>0.93400000000000005</v>
      </c>
      <c r="P12" s="22">
        <v>0.94420000000000004</v>
      </c>
      <c r="Q12" s="27">
        <v>0.95454000000000006</v>
      </c>
      <c r="R12" s="31">
        <v>0.81220000000000003</v>
      </c>
      <c r="S12" s="22">
        <v>1.0442</v>
      </c>
      <c r="T12" s="22">
        <v>0.96040000000000003</v>
      </c>
      <c r="U12" s="8">
        <v>1.028</v>
      </c>
      <c r="V12" s="16">
        <v>0.96399999999999997</v>
      </c>
      <c r="W12" s="16">
        <v>0.97192000000000012</v>
      </c>
      <c r="X12" s="16">
        <v>0.8145</v>
      </c>
    </row>
    <row r="13" spans="1:24" ht="22.5" customHeight="1" thickTop="1" thickBot="1">
      <c r="A13" s="26">
        <v>12</v>
      </c>
      <c r="B13" s="27">
        <v>0.79059999999999997</v>
      </c>
      <c r="C13" s="27">
        <v>1.1182000000000001</v>
      </c>
      <c r="D13" s="27">
        <v>1.0383</v>
      </c>
      <c r="E13" s="27">
        <v>0.79930000000000001</v>
      </c>
      <c r="F13" s="27">
        <v>0.94059999999999999</v>
      </c>
      <c r="G13" s="27">
        <v>0.97419999999999995</v>
      </c>
      <c r="H13" s="27">
        <v>0.92769999999999997</v>
      </c>
      <c r="I13" s="27">
        <v>1.0569</v>
      </c>
      <c r="J13" s="27">
        <v>0.9869</v>
      </c>
      <c r="K13" s="27">
        <v>0.95209999999999995</v>
      </c>
      <c r="L13" s="27">
        <v>0.95</v>
      </c>
      <c r="M13" s="27">
        <v>0.88029999999999997</v>
      </c>
      <c r="N13" s="27">
        <v>0.94</v>
      </c>
      <c r="O13" s="27">
        <v>0.93400000000000005</v>
      </c>
      <c r="P13" s="27">
        <v>0.94320999999999999</v>
      </c>
      <c r="Q13" s="27">
        <v>0.95454000000000006</v>
      </c>
      <c r="R13" s="27">
        <v>0.81120000000000003</v>
      </c>
      <c r="S13" s="27">
        <v>1.0434000000000001</v>
      </c>
      <c r="T13" s="22">
        <v>0.96050000000000002</v>
      </c>
      <c r="U13" s="8">
        <v>1.028</v>
      </c>
      <c r="V13" s="16">
        <v>0.96399999999999997</v>
      </c>
      <c r="W13" s="16">
        <v>0.97120000000000006</v>
      </c>
      <c r="X13" s="16">
        <v>0.81410000000000005</v>
      </c>
    </row>
    <row r="14" spans="1:24" ht="22.5" customHeight="1" thickTop="1" thickBot="1">
      <c r="A14" s="26">
        <v>13</v>
      </c>
      <c r="B14" s="27">
        <v>0.78969999999999996</v>
      </c>
      <c r="C14" s="27">
        <v>1.1173999999999999</v>
      </c>
      <c r="D14" s="27">
        <v>1.0374000000000001</v>
      </c>
      <c r="E14" s="27">
        <v>0.79810000000000003</v>
      </c>
      <c r="F14" s="27">
        <v>0.93964999999999999</v>
      </c>
      <c r="G14" s="27">
        <v>0.97319999999999995</v>
      </c>
      <c r="H14" s="27">
        <v>0.92669999999999997</v>
      </c>
      <c r="I14" s="27">
        <v>1.0558000000000001</v>
      </c>
      <c r="J14" s="27">
        <v>0.98609999999999998</v>
      </c>
      <c r="K14" s="27">
        <v>0.95130000000000003</v>
      </c>
      <c r="L14" s="27">
        <v>0.94899999999999995</v>
      </c>
      <c r="M14" s="27">
        <v>0.88029999999999997</v>
      </c>
      <c r="N14" s="27">
        <v>0.94</v>
      </c>
      <c r="O14" s="27">
        <v>0.93400000000000005</v>
      </c>
      <c r="P14" s="27">
        <v>0.94220999999999999</v>
      </c>
      <c r="Q14" s="27">
        <v>0.95454000000000006</v>
      </c>
      <c r="R14" s="27">
        <v>0.81020000000000003</v>
      </c>
      <c r="S14" s="27">
        <v>1.0427</v>
      </c>
      <c r="T14" s="22">
        <v>0.95950000000000002</v>
      </c>
      <c r="U14" s="8">
        <v>1.028</v>
      </c>
      <c r="V14" s="16">
        <v>0.96399999999999997</v>
      </c>
      <c r="W14" s="16">
        <v>0.97048000000000001</v>
      </c>
      <c r="X14" s="16">
        <v>0.81369999999999998</v>
      </c>
    </row>
    <row r="15" spans="1:24" ht="22.5" customHeight="1" thickTop="1" thickBot="1">
      <c r="A15" s="32">
        <v>14</v>
      </c>
      <c r="B15" s="33">
        <v>0.78890000000000005</v>
      </c>
      <c r="C15" s="33">
        <v>1.1166</v>
      </c>
      <c r="D15" s="33">
        <v>1.0365</v>
      </c>
      <c r="E15" s="27">
        <v>0.79700000000000004</v>
      </c>
      <c r="F15" s="27">
        <v>0.93937999999999999</v>
      </c>
      <c r="G15" s="27">
        <v>0.97219999999999995</v>
      </c>
      <c r="H15" s="27">
        <v>0.92569999999999997</v>
      </c>
      <c r="I15" s="27">
        <v>1.0546</v>
      </c>
      <c r="J15" s="27">
        <v>0.98529999999999995</v>
      </c>
      <c r="K15" s="27">
        <v>0.95040000000000002</v>
      </c>
      <c r="L15" s="27">
        <v>0.94799999999999995</v>
      </c>
      <c r="M15" s="27">
        <v>0.88029999999999997</v>
      </c>
      <c r="N15" s="27">
        <v>0.94</v>
      </c>
      <c r="O15" s="27">
        <v>0.93400000000000005</v>
      </c>
      <c r="P15" s="27">
        <v>0.94116999999999995</v>
      </c>
      <c r="Q15" s="27">
        <v>0.95454000000000006</v>
      </c>
      <c r="R15" s="27">
        <v>0.80920000000000003</v>
      </c>
      <c r="S15" s="27">
        <v>1.0419</v>
      </c>
      <c r="T15" s="27">
        <v>0.95850000000000002</v>
      </c>
      <c r="U15" s="8">
        <v>1.028</v>
      </c>
      <c r="V15" s="16">
        <v>0.96399999999999997</v>
      </c>
      <c r="W15" s="16">
        <v>0.96975999999999996</v>
      </c>
      <c r="X15" s="16">
        <v>0.81330000000000002</v>
      </c>
    </row>
    <row r="16" spans="1:24" ht="22.5" customHeight="1" thickTop="1" thickBot="1">
      <c r="A16" s="15">
        <v>15</v>
      </c>
      <c r="B16" s="16">
        <v>0.78800000000000003</v>
      </c>
      <c r="C16" s="16">
        <v>1.1157999999999999</v>
      </c>
      <c r="D16" s="16">
        <v>1.0356000000000001</v>
      </c>
      <c r="E16" s="16">
        <v>0.79469999999999996</v>
      </c>
      <c r="F16" s="16">
        <v>0.93791999999999998</v>
      </c>
      <c r="G16" s="16">
        <v>0.97119999999999995</v>
      </c>
      <c r="H16" s="16">
        <v>0.92469999999999997</v>
      </c>
      <c r="I16" s="16">
        <v>1.0535000000000001</v>
      </c>
      <c r="J16" s="16">
        <v>0.98450000000000004</v>
      </c>
      <c r="K16" s="34">
        <v>0.94950000000000001</v>
      </c>
      <c r="L16" s="16">
        <v>0.94699999999999995</v>
      </c>
      <c r="M16" s="16">
        <v>0.88029999999999997</v>
      </c>
      <c r="N16" s="16">
        <v>0.94</v>
      </c>
      <c r="O16" s="16">
        <v>0.93400000000000005</v>
      </c>
      <c r="P16" s="16">
        <v>0.94037000000000004</v>
      </c>
      <c r="Q16" s="27">
        <v>0.95454000000000006</v>
      </c>
      <c r="R16" s="16">
        <v>0.80830000000000002</v>
      </c>
      <c r="S16" s="16">
        <v>1.0411999999999999</v>
      </c>
      <c r="T16" s="16">
        <v>0.95750000000000002</v>
      </c>
      <c r="U16" s="16">
        <v>1.028</v>
      </c>
      <c r="V16" s="16">
        <v>0.96399999999999997</v>
      </c>
      <c r="W16" s="16">
        <v>0.9690399999999999</v>
      </c>
      <c r="X16" s="16">
        <v>0.81293000000000004</v>
      </c>
    </row>
    <row r="17" spans="1:24" ht="22.5" customHeight="1" thickTop="1" thickBot="1">
      <c r="A17" s="21">
        <v>16</v>
      </c>
      <c r="B17" s="22">
        <v>0.78720000000000001</v>
      </c>
      <c r="C17" s="22">
        <v>1.1152</v>
      </c>
      <c r="D17" s="22">
        <v>1.0347999999999999</v>
      </c>
      <c r="E17" s="22">
        <v>0.79359999999999997</v>
      </c>
      <c r="F17" s="22">
        <v>0.93676999999999999</v>
      </c>
      <c r="G17" s="22">
        <v>0.97</v>
      </c>
      <c r="H17" s="22">
        <v>0.92369999999999997</v>
      </c>
      <c r="I17" s="22">
        <v>1.0524</v>
      </c>
      <c r="J17" s="22">
        <v>0.98370000000000002</v>
      </c>
      <c r="K17" s="35">
        <v>0.9486</v>
      </c>
      <c r="L17" s="22">
        <v>0.94599999999999995</v>
      </c>
      <c r="M17" s="22">
        <v>0.88029999999999997</v>
      </c>
      <c r="N17" s="22">
        <v>0.94</v>
      </c>
      <c r="O17" s="22">
        <v>0.93400000000000005</v>
      </c>
      <c r="P17" s="22">
        <v>0.93915999999999999</v>
      </c>
      <c r="Q17" s="27">
        <v>0.9536</v>
      </c>
      <c r="R17" s="22">
        <v>0.80740000000000001</v>
      </c>
      <c r="S17" s="22">
        <v>1.0404</v>
      </c>
      <c r="T17" s="22">
        <v>0.95650000000000002</v>
      </c>
      <c r="U17" s="8">
        <v>1.028</v>
      </c>
      <c r="V17" s="16">
        <v>0.96399999999999997</v>
      </c>
      <c r="W17" s="16">
        <v>0.96829999999999994</v>
      </c>
      <c r="X17" s="16">
        <v>0.81200000000000006</v>
      </c>
    </row>
    <row r="18" spans="1:24" ht="22.5" customHeight="1" thickTop="1" thickBot="1">
      <c r="A18" s="26">
        <v>17</v>
      </c>
      <c r="B18" s="27">
        <v>0.78639999999999999</v>
      </c>
      <c r="C18" s="27">
        <v>1.1145</v>
      </c>
      <c r="D18" s="27">
        <v>1.0339</v>
      </c>
      <c r="E18" s="27">
        <v>0.79249999999999998</v>
      </c>
      <c r="F18" s="27">
        <v>0.93696999999999997</v>
      </c>
      <c r="G18" s="27">
        <v>0.96899999999999997</v>
      </c>
      <c r="H18" s="27">
        <v>0.92269999999999996</v>
      </c>
      <c r="I18" s="27">
        <v>1.0512999999999999</v>
      </c>
      <c r="J18" s="27">
        <v>0.98260000000000003</v>
      </c>
      <c r="K18" s="36">
        <v>0.94779999999999998</v>
      </c>
      <c r="L18" s="27">
        <v>0.94499999999999995</v>
      </c>
      <c r="M18" s="27">
        <v>0.88029999999999997</v>
      </c>
      <c r="N18" s="27">
        <v>0.94</v>
      </c>
      <c r="O18" s="27">
        <v>0.93400000000000005</v>
      </c>
      <c r="P18" s="27">
        <v>0.93815000000000004</v>
      </c>
      <c r="Q18" s="27">
        <v>0.95279999999999998</v>
      </c>
      <c r="R18" s="27">
        <v>0.80649999999999999</v>
      </c>
      <c r="S18" s="27">
        <v>1.0397000000000001</v>
      </c>
      <c r="T18" s="22">
        <v>0.95489999999999997</v>
      </c>
      <c r="U18" s="8">
        <v>1.028</v>
      </c>
      <c r="V18" s="16">
        <v>0.96399999999999997</v>
      </c>
      <c r="W18" s="16">
        <v>0.96755999999999998</v>
      </c>
      <c r="X18" s="16">
        <v>0.81110000000000004</v>
      </c>
    </row>
    <row r="19" spans="1:24" ht="22.5" customHeight="1" thickTop="1" thickBot="1">
      <c r="A19" s="26">
        <v>18</v>
      </c>
      <c r="B19" s="27">
        <v>0.78569999999999995</v>
      </c>
      <c r="C19" s="27">
        <v>1.1138999999999999</v>
      </c>
      <c r="D19" s="27">
        <v>1.0330999999999999</v>
      </c>
      <c r="E19" s="27">
        <v>0.79139999999999999</v>
      </c>
      <c r="F19" s="27">
        <v>0.93486000000000002</v>
      </c>
      <c r="G19" s="27">
        <v>0.96799999999999997</v>
      </c>
      <c r="H19" s="27">
        <v>0.92169999999999996</v>
      </c>
      <c r="I19" s="27">
        <v>1.0502</v>
      </c>
      <c r="J19" s="27">
        <v>0.98209999999999997</v>
      </c>
      <c r="K19" s="36">
        <v>0.94689999999999996</v>
      </c>
      <c r="L19" s="27">
        <v>0.94399999999999995</v>
      </c>
      <c r="M19" s="27">
        <v>0.88029999999999997</v>
      </c>
      <c r="N19" s="27">
        <v>0.94</v>
      </c>
      <c r="O19" s="27">
        <v>0.93400000000000005</v>
      </c>
      <c r="P19" s="27">
        <v>0.93713999999999997</v>
      </c>
      <c r="Q19" s="27">
        <v>0.95201000000000002</v>
      </c>
      <c r="R19" s="37">
        <v>0.80569999999999997</v>
      </c>
      <c r="S19" s="27">
        <v>1.0389999999999999</v>
      </c>
      <c r="T19" s="22">
        <v>0.95320000000000005</v>
      </c>
      <c r="U19" s="8">
        <v>1.028</v>
      </c>
      <c r="V19" s="16">
        <v>0.96399999999999997</v>
      </c>
      <c r="W19" s="16">
        <v>0.96682000000000001</v>
      </c>
      <c r="X19" s="16">
        <v>0.81020000000000003</v>
      </c>
    </row>
    <row r="20" spans="1:24" ht="22.5" customHeight="1" thickTop="1" thickBot="1">
      <c r="A20" s="26">
        <v>19</v>
      </c>
      <c r="B20" s="27">
        <v>0.78490000000000004</v>
      </c>
      <c r="C20" s="27">
        <v>1.1132</v>
      </c>
      <c r="D20" s="27">
        <v>1.0322</v>
      </c>
      <c r="E20" s="27">
        <v>0.7903</v>
      </c>
      <c r="F20" s="27">
        <v>0.93391000000000002</v>
      </c>
      <c r="G20" s="27">
        <v>0.96699999999999997</v>
      </c>
      <c r="H20" s="27">
        <v>0.92069999999999996</v>
      </c>
      <c r="I20" s="27">
        <v>1.0489999999999999</v>
      </c>
      <c r="J20" s="27">
        <v>0.98129999999999995</v>
      </c>
      <c r="K20" s="36">
        <v>0.94599999999999995</v>
      </c>
      <c r="L20" s="27">
        <v>0.94299999999999995</v>
      </c>
      <c r="M20" s="27">
        <v>0.88029999999999997</v>
      </c>
      <c r="N20" s="27">
        <v>0.94</v>
      </c>
      <c r="O20" s="27">
        <v>0.93400000000000005</v>
      </c>
      <c r="P20" s="27">
        <v>0.93613000000000002</v>
      </c>
      <c r="Q20" s="27">
        <v>0.95123000000000002</v>
      </c>
      <c r="R20" s="37">
        <v>0.80479999999999996</v>
      </c>
      <c r="S20" s="27">
        <v>1.0371999999999999</v>
      </c>
      <c r="T20" s="22">
        <v>0.9516</v>
      </c>
      <c r="U20" s="8">
        <v>1.028</v>
      </c>
      <c r="V20" s="16">
        <v>0.96399999999999997</v>
      </c>
      <c r="W20" s="16">
        <v>0.96608000000000005</v>
      </c>
      <c r="X20" s="16">
        <v>0.80920000000000003</v>
      </c>
    </row>
    <row r="21" spans="1:24" ht="22.5" customHeight="1" thickTop="1" thickBot="1">
      <c r="A21" s="38">
        <v>20</v>
      </c>
      <c r="B21" s="28">
        <v>0.78410000000000002</v>
      </c>
      <c r="C21" s="28">
        <v>1.1126</v>
      </c>
      <c r="D21" s="28">
        <v>1.0314000000000001</v>
      </c>
      <c r="E21" s="18">
        <v>0.78920000000000001</v>
      </c>
      <c r="F21" s="16">
        <v>0.93288000000000004</v>
      </c>
      <c r="G21" s="18">
        <v>0.96589999999999998</v>
      </c>
      <c r="H21" s="18">
        <v>0.91969999999999996</v>
      </c>
      <c r="I21" s="18">
        <v>1.0479000000000001</v>
      </c>
      <c r="J21" s="18">
        <v>0.98050000000000004</v>
      </c>
      <c r="K21" s="39">
        <v>0.94520000000000004</v>
      </c>
      <c r="L21" s="18">
        <v>0.94199999999999995</v>
      </c>
      <c r="M21" s="40">
        <v>0.88029999999999997</v>
      </c>
      <c r="N21" s="18">
        <v>0.94</v>
      </c>
      <c r="O21" s="18">
        <v>0.93</v>
      </c>
      <c r="P21" s="16">
        <v>0.93506</v>
      </c>
      <c r="Q21" s="27">
        <v>0.95038</v>
      </c>
      <c r="R21" s="41">
        <v>0.80369999999999997</v>
      </c>
      <c r="S21" s="18">
        <v>1.0363899999999999</v>
      </c>
      <c r="T21" s="16">
        <v>0.95</v>
      </c>
      <c r="U21" s="16">
        <v>1.028</v>
      </c>
      <c r="V21" s="16">
        <v>0.96399999999999997</v>
      </c>
      <c r="W21" s="16">
        <v>0.96534000000000009</v>
      </c>
      <c r="X21" s="16">
        <v>0.80813999999999997</v>
      </c>
    </row>
    <row r="22" spans="1:24" ht="22.5" customHeight="1" thickTop="1" thickBot="1">
      <c r="A22" s="42">
        <v>21</v>
      </c>
      <c r="B22" s="43">
        <v>0.78320000000000001</v>
      </c>
      <c r="C22" s="43">
        <v>1.1119000000000001</v>
      </c>
      <c r="D22" s="43">
        <v>1.0305</v>
      </c>
      <c r="E22" s="22">
        <v>0.78800000000000003</v>
      </c>
      <c r="F22" s="22">
        <v>0.93198000000000003</v>
      </c>
      <c r="G22" s="22">
        <v>0.96489999999999998</v>
      </c>
      <c r="H22" s="22">
        <v>0.91879999999999995</v>
      </c>
      <c r="I22" s="22">
        <v>1.0468</v>
      </c>
      <c r="J22" s="22">
        <v>0.97960000000000003</v>
      </c>
      <c r="K22" s="35">
        <v>0.94430000000000003</v>
      </c>
      <c r="L22" s="22">
        <v>0.94099999999999995</v>
      </c>
      <c r="M22" s="44">
        <v>0.87909999999999999</v>
      </c>
      <c r="N22" s="22">
        <v>0.94</v>
      </c>
      <c r="O22" s="22">
        <v>0.93</v>
      </c>
      <c r="P22" s="16">
        <v>0.93506</v>
      </c>
      <c r="Q22" s="27">
        <v>0.94969000000000003</v>
      </c>
      <c r="R22" s="31">
        <v>0.80289999999999995</v>
      </c>
      <c r="S22" s="22">
        <v>1.03566</v>
      </c>
      <c r="T22" s="22">
        <v>0.94889999999999997</v>
      </c>
      <c r="U22" s="8">
        <v>1.028</v>
      </c>
      <c r="V22" s="8">
        <v>0.96079999999999999</v>
      </c>
      <c r="W22" s="52">
        <v>0.96470000000000011</v>
      </c>
      <c r="X22" s="52">
        <v>0.80730000000000002</v>
      </c>
    </row>
    <row r="23" spans="1:24" ht="22.5" customHeight="1" thickTop="1">
      <c r="A23" s="26">
        <v>22</v>
      </c>
      <c r="B23" s="27">
        <v>0.7823</v>
      </c>
      <c r="C23" s="27">
        <v>1.1111</v>
      </c>
      <c r="D23" s="27">
        <v>1.0295000000000001</v>
      </c>
      <c r="E23" s="27">
        <v>0.78680000000000005</v>
      </c>
      <c r="F23" s="27">
        <v>0.93115999999999999</v>
      </c>
      <c r="G23" s="27">
        <v>0.96379999999999999</v>
      </c>
      <c r="H23" s="27">
        <v>0.91779999999999995</v>
      </c>
      <c r="I23" s="27">
        <v>1.0457000000000001</v>
      </c>
      <c r="J23" s="27">
        <v>0.9788</v>
      </c>
      <c r="K23" s="36">
        <v>0.94330000000000003</v>
      </c>
      <c r="L23" s="27">
        <v>0.94</v>
      </c>
      <c r="M23" s="45">
        <v>0.878</v>
      </c>
      <c r="N23" s="27">
        <v>0.93200000000000005</v>
      </c>
      <c r="O23" s="27">
        <v>0.93</v>
      </c>
      <c r="P23" s="27">
        <v>0.93327000000000004</v>
      </c>
      <c r="Q23" s="27">
        <v>0.94908999999999999</v>
      </c>
      <c r="R23" s="37">
        <v>0.80179999999999996</v>
      </c>
      <c r="S23" s="27">
        <v>1.0349299999999999</v>
      </c>
      <c r="T23" s="22">
        <v>0.94730000000000003</v>
      </c>
      <c r="U23" s="8">
        <v>1.028</v>
      </c>
      <c r="V23" s="8">
        <v>0.96079999999999999</v>
      </c>
      <c r="W23" s="52">
        <v>0.96406000000000014</v>
      </c>
      <c r="X23" s="52">
        <v>0.80669999999999997</v>
      </c>
    </row>
    <row r="24" spans="1:24" ht="22.5" customHeight="1">
      <c r="A24" s="26">
        <v>23</v>
      </c>
      <c r="B24" s="27">
        <v>0.78139999999999998</v>
      </c>
      <c r="C24" s="27">
        <v>1.1104000000000001</v>
      </c>
      <c r="D24" s="27">
        <v>1.0286</v>
      </c>
      <c r="E24" s="27">
        <v>0.78559999999999997</v>
      </c>
      <c r="F24" s="27">
        <v>0.93006999999999995</v>
      </c>
      <c r="G24" s="27">
        <v>0.96220000000000006</v>
      </c>
      <c r="H24" s="27">
        <v>0.91669999999999996</v>
      </c>
      <c r="I24" s="27">
        <v>1.0446</v>
      </c>
      <c r="J24" s="27">
        <v>0.97799999999999998</v>
      </c>
      <c r="K24" s="36">
        <v>0.94240000000000002</v>
      </c>
      <c r="L24" s="27">
        <v>0.93899999999999995</v>
      </c>
      <c r="M24" s="45">
        <v>0.877</v>
      </c>
      <c r="N24" s="27">
        <v>0.93200000000000005</v>
      </c>
      <c r="O24" s="27">
        <v>0.93</v>
      </c>
      <c r="P24" s="27">
        <v>0.93208999999999997</v>
      </c>
      <c r="Q24" s="27">
        <v>0.94820000000000004</v>
      </c>
      <c r="R24" s="37">
        <v>0.80089999999999995</v>
      </c>
      <c r="S24" s="27">
        <v>1.0341899999999999</v>
      </c>
      <c r="T24" s="22">
        <v>0.94599999999999995</v>
      </c>
      <c r="U24" s="8">
        <v>1.0269999999999999</v>
      </c>
      <c r="V24" s="8">
        <v>0.96079999999999999</v>
      </c>
      <c r="W24" s="52">
        <v>0.96342000000000017</v>
      </c>
      <c r="X24" s="52">
        <v>0.80610000000000004</v>
      </c>
    </row>
    <row r="25" spans="1:24" ht="22.5" customHeight="1">
      <c r="A25" s="26">
        <v>24</v>
      </c>
      <c r="B25" s="27">
        <v>0.78049999999999997</v>
      </c>
      <c r="C25" s="27">
        <v>1.1095999999999999</v>
      </c>
      <c r="D25" s="27">
        <v>1.0276000000000001</v>
      </c>
      <c r="E25" s="27">
        <v>0.78439999999999999</v>
      </c>
      <c r="F25" s="27">
        <v>0.92910000000000004</v>
      </c>
      <c r="G25" s="27">
        <v>0.96120000000000005</v>
      </c>
      <c r="H25" s="27">
        <v>0.91569999999999996</v>
      </c>
      <c r="I25" s="27">
        <v>1.0434000000000001</v>
      </c>
      <c r="J25" s="27">
        <v>0.97719999999999996</v>
      </c>
      <c r="K25" s="36">
        <v>0.9415</v>
      </c>
      <c r="L25" s="27">
        <v>0.93799999999999994</v>
      </c>
      <c r="M25" s="45">
        <v>0.87590000000000001</v>
      </c>
      <c r="N25" s="27">
        <v>0.93200000000000005</v>
      </c>
      <c r="O25" s="27">
        <v>0.93</v>
      </c>
      <c r="P25" s="27">
        <v>0.93159999999999998</v>
      </c>
      <c r="Q25" s="27">
        <v>0.94747000000000003</v>
      </c>
      <c r="R25" s="37">
        <v>0.8</v>
      </c>
      <c r="S25" s="27">
        <v>1.03346</v>
      </c>
      <c r="T25" s="22">
        <v>0.9446</v>
      </c>
      <c r="U25" s="8">
        <v>1.026</v>
      </c>
      <c r="V25" s="8">
        <v>0.96079999999999999</v>
      </c>
      <c r="W25" s="52">
        <v>0.96278000000000019</v>
      </c>
      <c r="X25" s="52">
        <v>0.80549999999999999</v>
      </c>
    </row>
    <row r="26" spans="1:24" ht="22.5" customHeight="1" thickBot="1">
      <c r="A26" s="46">
        <v>25</v>
      </c>
      <c r="B26" s="18">
        <v>0.77959999999999996</v>
      </c>
      <c r="C26" s="18">
        <v>1.1089</v>
      </c>
      <c r="D26" s="18">
        <v>1.0266999999999999</v>
      </c>
      <c r="E26" s="18">
        <v>0.78320000000000001</v>
      </c>
      <c r="F26" s="16">
        <v>0.92813000000000001</v>
      </c>
      <c r="G26" s="18">
        <v>0.96020000000000005</v>
      </c>
      <c r="H26" s="18">
        <v>0.91469999999999996</v>
      </c>
      <c r="I26" s="18">
        <v>1.0423</v>
      </c>
      <c r="J26" s="18">
        <v>0.97640000000000005</v>
      </c>
      <c r="K26" s="39">
        <v>0.9405</v>
      </c>
      <c r="L26" s="18">
        <v>0.93700000000000006</v>
      </c>
      <c r="M26" s="40">
        <v>0.87509999999999999</v>
      </c>
      <c r="N26" s="18">
        <v>0.93</v>
      </c>
      <c r="O26" s="18">
        <v>0.92600000000000005</v>
      </c>
      <c r="P26" s="16">
        <v>0.93084</v>
      </c>
      <c r="Q26" s="27">
        <v>0.94674000000000003</v>
      </c>
      <c r="R26" s="41">
        <v>0.79910000000000003</v>
      </c>
      <c r="S26" s="18">
        <v>1.0327299999999999</v>
      </c>
      <c r="T26" s="16">
        <v>0.94330000000000003</v>
      </c>
      <c r="U26" s="16">
        <v>1.0249999999999999</v>
      </c>
      <c r="V26" s="8">
        <v>0.96079999999999999</v>
      </c>
      <c r="W26" s="52">
        <v>0.96214000000000022</v>
      </c>
      <c r="X26" s="52">
        <v>0.80493999999999999</v>
      </c>
    </row>
    <row r="27" spans="1:24" ht="22.5" customHeight="1" thickTop="1" thickBot="1">
      <c r="A27" s="21">
        <v>26</v>
      </c>
      <c r="B27" s="22">
        <v>0.77869999999999995</v>
      </c>
      <c r="C27" s="22">
        <v>1.1081000000000001</v>
      </c>
      <c r="D27" s="22">
        <v>1.0258</v>
      </c>
      <c r="E27" s="22">
        <v>0.78210000000000002</v>
      </c>
      <c r="F27" s="22">
        <v>0.92717000000000005</v>
      </c>
      <c r="G27" s="22">
        <v>0.95899999999999996</v>
      </c>
      <c r="H27" s="22">
        <v>0.91390000000000005</v>
      </c>
      <c r="I27" s="22">
        <v>1.0411999999999999</v>
      </c>
      <c r="J27" s="22">
        <v>0.97550000000000003</v>
      </c>
      <c r="K27" s="35">
        <v>0.93959999999999999</v>
      </c>
      <c r="L27" s="22">
        <v>0.93600000000000005</v>
      </c>
      <c r="M27" s="44">
        <v>0.87409999999999999</v>
      </c>
      <c r="N27" s="22">
        <v>0.93</v>
      </c>
      <c r="O27" s="22">
        <v>0.92600000000000005</v>
      </c>
      <c r="P27" s="22">
        <v>0.92906</v>
      </c>
      <c r="Q27" s="27">
        <v>0.94603000000000004</v>
      </c>
      <c r="R27" s="31">
        <v>0.79820000000000002</v>
      </c>
      <c r="S27" s="22">
        <v>1.031998</v>
      </c>
      <c r="T27" s="22">
        <v>0.94220000000000004</v>
      </c>
      <c r="U27" s="8">
        <v>1.024</v>
      </c>
      <c r="V27" s="16">
        <v>0.95760000000000001</v>
      </c>
      <c r="W27" s="52">
        <v>0.96155000000000024</v>
      </c>
      <c r="X27" s="52">
        <v>0.80459999999999998</v>
      </c>
    </row>
    <row r="28" spans="1:24" ht="22.5" customHeight="1" thickTop="1" thickBot="1">
      <c r="A28" s="26">
        <v>27</v>
      </c>
      <c r="B28" s="27">
        <v>0.77790000000000004</v>
      </c>
      <c r="C28" s="27">
        <v>1.1073999999999999</v>
      </c>
      <c r="D28" s="27">
        <v>1.0247999999999999</v>
      </c>
      <c r="E28" s="27">
        <v>0.78100000000000003</v>
      </c>
      <c r="F28" s="27">
        <v>0.92620999999999998</v>
      </c>
      <c r="G28" s="27">
        <v>0.95799999999999996</v>
      </c>
      <c r="H28" s="27">
        <v>0.91290000000000004</v>
      </c>
      <c r="I28" s="27">
        <v>1.0401</v>
      </c>
      <c r="J28" s="27">
        <v>0.97470000000000001</v>
      </c>
      <c r="K28" s="36">
        <v>0.93869999999999998</v>
      </c>
      <c r="L28" s="27">
        <v>0.93500000000000005</v>
      </c>
      <c r="M28" s="45">
        <v>0.87309999999999999</v>
      </c>
      <c r="N28" s="27">
        <v>0.93</v>
      </c>
      <c r="O28" s="27">
        <v>0.92600000000000005</v>
      </c>
      <c r="P28" s="27">
        <v>0.92805000000000004</v>
      </c>
      <c r="Q28" s="27">
        <v>0.94532000000000005</v>
      </c>
      <c r="R28" s="37">
        <v>0.79720000000000002</v>
      </c>
      <c r="S28" s="27">
        <v>1.031266</v>
      </c>
      <c r="T28" s="22">
        <v>0.94120000000000004</v>
      </c>
      <c r="U28" s="8">
        <v>1.0229999999999999</v>
      </c>
      <c r="V28" s="16">
        <v>0.95760000000000001</v>
      </c>
      <c r="W28" s="52">
        <v>0.96096000000000026</v>
      </c>
      <c r="X28" s="52">
        <v>0.80430000000000001</v>
      </c>
    </row>
    <row r="29" spans="1:24" ht="22.5" customHeight="1" thickTop="1" thickBot="1">
      <c r="A29" s="26">
        <v>28</v>
      </c>
      <c r="B29" s="27">
        <v>0.77700000000000002</v>
      </c>
      <c r="C29" s="27">
        <v>1.1066</v>
      </c>
      <c r="D29" s="27">
        <v>1.0239</v>
      </c>
      <c r="E29" s="27">
        <v>0.77980000000000005</v>
      </c>
      <c r="F29" s="27">
        <v>0.92527000000000004</v>
      </c>
      <c r="G29" s="27">
        <v>0.95699999999999996</v>
      </c>
      <c r="H29" s="27">
        <v>0.91200000000000003</v>
      </c>
      <c r="I29" s="27">
        <v>1.0389999999999999</v>
      </c>
      <c r="J29" s="27">
        <v>0.97389999999999999</v>
      </c>
      <c r="K29" s="36">
        <v>0.93779999999999997</v>
      </c>
      <c r="L29" s="27">
        <v>0.93400000000000005</v>
      </c>
      <c r="M29" s="45">
        <v>0.872</v>
      </c>
      <c r="N29" s="27">
        <v>0.93</v>
      </c>
      <c r="O29" s="27">
        <v>0.92600000000000005</v>
      </c>
      <c r="P29" s="27">
        <v>0.92706</v>
      </c>
      <c r="Q29" s="27">
        <v>0.94462000000000002</v>
      </c>
      <c r="R29" s="37">
        <v>0.79630000000000001</v>
      </c>
      <c r="S29" s="27">
        <v>1.0305340000000001</v>
      </c>
      <c r="T29" s="22">
        <v>0.94010000000000005</v>
      </c>
      <c r="U29" s="8">
        <v>1.022</v>
      </c>
      <c r="V29" s="16">
        <v>0.95760000000000001</v>
      </c>
      <c r="W29" s="52">
        <v>0.96037000000000028</v>
      </c>
      <c r="X29" s="52">
        <v>0.80400000000000005</v>
      </c>
    </row>
    <row r="30" spans="1:24" ht="22.5" customHeight="1" thickTop="1" thickBot="1">
      <c r="A30" s="26">
        <v>29</v>
      </c>
      <c r="B30" s="27">
        <v>0.7762</v>
      </c>
      <c r="C30" s="27">
        <v>1.1059000000000001</v>
      </c>
      <c r="D30" s="27">
        <v>1.0228999999999999</v>
      </c>
      <c r="E30" s="27">
        <v>0.77869999999999995</v>
      </c>
      <c r="F30" s="27">
        <v>0.92430000000000001</v>
      </c>
      <c r="G30" s="27">
        <v>0.95589999999999997</v>
      </c>
      <c r="H30" s="27">
        <v>0.91100000000000003</v>
      </c>
      <c r="I30" s="27">
        <v>1.0378000000000001</v>
      </c>
      <c r="J30" s="27">
        <v>0.97309999999999997</v>
      </c>
      <c r="K30" s="36">
        <v>0.93689999999999996</v>
      </c>
      <c r="L30" s="27">
        <v>0.93300000000000005</v>
      </c>
      <c r="M30" s="45">
        <v>0.871</v>
      </c>
      <c r="N30" s="27">
        <v>0.93</v>
      </c>
      <c r="O30" s="27">
        <v>0.92600000000000005</v>
      </c>
      <c r="P30" s="27">
        <v>0.92603000000000002</v>
      </c>
      <c r="Q30" s="27">
        <v>0.94393000000000005</v>
      </c>
      <c r="R30" s="37">
        <v>0.79549999999999998</v>
      </c>
      <c r="S30" s="27">
        <v>1.0298020000000001</v>
      </c>
      <c r="T30" s="22">
        <v>0.93910000000000005</v>
      </c>
      <c r="U30" s="8">
        <v>1.0209999999999999</v>
      </c>
      <c r="V30" s="16">
        <v>0.95760000000000001</v>
      </c>
      <c r="W30" s="52">
        <v>0.9597800000000003</v>
      </c>
      <c r="X30" s="52">
        <v>0.80369999999999997</v>
      </c>
    </row>
    <row r="31" spans="1:24" ht="22.5" customHeight="1" thickTop="1" thickBot="1">
      <c r="A31" s="38">
        <v>30</v>
      </c>
      <c r="B31" s="28">
        <v>0.77529999999999999</v>
      </c>
      <c r="C31" s="28">
        <v>1.1051</v>
      </c>
      <c r="D31" s="28">
        <v>1.022</v>
      </c>
      <c r="E31" s="18">
        <v>0.77759999999999996</v>
      </c>
      <c r="F31" s="16">
        <v>0.92340999999999995</v>
      </c>
      <c r="G31" s="18">
        <v>0.95469999999999999</v>
      </c>
      <c r="H31" s="18">
        <v>0.91</v>
      </c>
      <c r="I31" s="18">
        <v>1.0367</v>
      </c>
      <c r="J31" s="18">
        <v>0.97230000000000005</v>
      </c>
      <c r="K31" s="39">
        <v>0.93600000000000005</v>
      </c>
      <c r="L31" s="18">
        <v>0.93200000000000005</v>
      </c>
      <c r="M31" s="40">
        <v>0.86990000000000001</v>
      </c>
      <c r="N31" s="18">
        <v>0.93</v>
      </c>
      <c r="O31" s="18">
        <v>0.92200000000000004</v>
      </c>
      <c r="P31" s="16">
        <v>0.92508999999999997</v>
      </c>
      <c r="Q31" s="27">
        <v>0.94333</v>
      </c>
      <c r="R31" s="41">
        <v>0.79459999999999997</v>
      </c>
      <c r="S31" s="18">
        <v>1.0289999999999999</v>
      </c>
      <c r="T31" s="16">
        <v>0.93810000000000004</v>
      </c>
      <c r="U31" s="16">
        <v>1.02</v>
      </c>
      <c r="V31" s="16">
        <v>0.95760000000000001</v>
      </c>
      <c r="W31" s="52">
        <v>0.95919000000000032</v>
      </c>
      <c r="X31" s="52">
        <v>0.80335999999999996</v>
      </c>
    </row>
    <row r="32" spans="1:24" ht="22.5" customHeight="1" thickTop="1" thickBot="1">
      <c r="A32" s="42">
        <v>31</v>
      </c>
      <c r="B32" s="43">
        <v>0.77439999999999998</v>
      </c>
      <c r="C32" s="43">
        <v>1.1041000000000001</v>
      </c>
      <c r="D32" s="43">
        <v>1.0210999999999999</v>
      </c>
      <c r="E32" s="22">
        <v>0.77644999999999997</v>
      </c>
      <c r="F32" s="22">
        <v>0.92235</v>
      </c>
      <c r="G32" s="22">
        <v>0.95370999999999995</v>
      </c>
      <c r="H32" s="22">
        <v>0.90905000000000002</v>
      </c>
      <c r="I32" s="22">
        <v>1.0356000000000001</v>
      </c>
      <c r="J32" s="22">
        <v>0.97140000000000004</v>
      </c>
      <c r="K32" s="35">
        <v>0.93510000000000004</v>
      </c>
      <c r="L32" s="22">
        <v>0.93100000000000005</v>
      </c>
      <c r="M32" s="44">
        <v>0.86887000000000003</v>
      </c>
      <c r="N32" s="22">
        <v>0.93</v>
      </c>
      <c r="O32" s="22">
        <v>0.92279999999999995</v>
      </c>
      <c r="P32" s="22">
        <v>0.92406999999999995</v>
      </c>
      <c r="Q32" s="27">
        <v>0.94257999999999997</v>
      </c>
      <c r="R32" s="31">
        <v>0.79379999999999995</v>
      </c>
      <c r="S32" s="22">
        <v>1.028268</v>
      </c>
      <c r="T32" s="22">
        <v>0.93710000000000004</v>
      </c>
      <c r="U32" s="8">
        <v>1.0189999999999999</v>
      </c>
      <c r="V32" s="16">
        <v>0.95760000000000001</v>
      </c>
      <c r="W32" s="52">
        <v>0.95860000000000034</v>
      </c>
      <c r="X32" s="52">
        <v>0.80249999999999999</v>
      </c>
    </row>
    <row r="33" spans="1:24" ht="22.5" customHeight="1" thickTop="1" thickBot="1">
      <c r="A33" s="26">
        <v>32</v>
      </c>
      <c r="B33" s="27">
        <v>0.77349999999999997</v>
      </c>
      <c r="C33" s="27">
        <v>1.103</v>
      </c>
      <c r="D33" s="27">
        <v>1.0202</v>
      </c>
      <c r="E33" s="27">
        <v>0.77532000000000001</v>
      </c>
      <c r="F33" s="27">
        <v>0.9214</v>
      </c>
      <c r="G33" s="27">
        <v>0.95264000000000004</v>
      </c>
      <c r="H33" s="27">
        <v>0.90808</v>
      </c>
      <c r="I33" s="27">
        <v>1.0345</v>
      </c>
      <c r="J33" s="27">
        <v>0.97060000000000002</v>
      </c>
      <c r="K33" s="36">
        <v>0.93420000000000003</v>
      </c>
      <c r="L33" s="27">
        <v>0.93</v>
      </c>
      <c r="M33" s="45">
        <v>0.86782000000000004</v>
      </c>
      <c r="N33" s="27">
        <v>0.93</v>
      </c>
      <c r="O33" s="27">
        <v>0.92200000000000004</v>
      </c>
      <c r="P33" s="27">
        <v>0.92298000000000002</v>
      </c>
      <c r="Q33" s="27">
        <v>0.94189999999999996</v>
      </c>
      <c r="R33" s="37">
        <v>0.79300000000000004</v>
      </c>
      <c r="S33" s="27">
        <v>1.027536</v>
      </c>
      <c r="T33" s="22">
        <v>0.93600000000000005</v>
      </c>
      <c r="U33" s="8">
        <v>1.018</v>
      </c>
      <c r="V33" s="16">
        <v>0.95760000000000001</v>
      </c>
      <c r="W33" s="52">
        <v>0.95801000000000036</v>
      </c>
      <c r="X33" s="52">
        <v>0.80159999999999998</v>
      </c>
    </row>
    <row r="34" spans="1:24" ht="22.5" customHeight="1" thickTop="1" thickBot="1">
      <c r="A34" s="26">
        <v>33</v>
      </c>
      <c r="B34" s="27">
        <v>0.77270000000000005</v>
      </c>
      <c r="C34" s="27">
        <v>1.1020000000000001</v>
      </c>
      <c r="D34" s="27">
        <v>1.0194000000000001</v>
      </c>
      <c r="E34" s="27">
        <v>0.77419000000000004</v>
      </c>
      <c r="F34" s="27">
        <v>0.92042999999999997</v>
      </c>
      <c r="G34" s="27">
        <v>0.95157000000000003</v>
      </c>
      <c r="H34" s="27">
        <v>0.90710999999999997</v>
      </c>
      <c r="I34" s="27">
        <v>1.0334000000000001</v>
      </c>
      <c r="J34" s="27">
        <v>0.9698</v>
      </c>
      <c r="K34" s="36">
        <v>0.93330000000000002</v>
      </c>
      <c r="L34" s="27">
        <v>0.92900000000000005</v>
      </c>
      <c r="M34" s="45">
        <v>0.86677000000000004</v>
      </c>
      <c r="N34" s="27">
        <v>0.93</v>
      </c>
      <c r="O34" s="27">
        <v>0.92120000000000002</v>
      </c>
      <c r="P34" s="27">
        <v>0.92198999999999998</v>
      </c>
      <c r="Q34" s="27">
        <v>0.94125000000000003</v>
      </c>
      <c r="R34" s="37">
        <v>0.7923</v>
      </c>
      <c r="S34" s="27">
        <v>1.0268040000000001</v>
      </c>
      <c r="T34" s="22">
        <v>0.93500000000000005</v>
      </c>
      <c r="U34" s="8">
        <v>1.0169999999999999</v>
      </c>
      <c r="V34" s="16">
        <v>0.95760000000000001</v>
      </c>
      <c r="W34" s="52">
        <v>0.95742000000000038</v>
      </c>
      <c r="X34" s="52">
        <v>0.80069999999999997</v>
      </c>
    </row>
    <row r="35" spans="1:24" ht="22.5" customHeight="1" thickTop="1" thickBot="1">
      <c r="A35" s="26">
        <v>34</v>
      </c>
      <c r="B35" s="27">
        <v>0.77180000000000004</v>
      </c>
      <c r="C35" s="27">
        <v>1.1009</v>
      </c>
      <c r="D35" s="27">
        <v>1.0185</v>
      </c>
      <c r="E35" s="27">
        <v>0.77305999999999997</v>
      </c>
      <c r="F35" s="27">
        <v>0.91946000000000006</v>
      </c>
      <c r="G35" s="27">
        <v>0.95050000000000001</v>
      </c>
      <c r="H35" s="27">
        <v>0.90613999999999995</v>
      </c>
      <c r="I35" s="27">
        <v>1.0322</v>
      </c>
      <c r="J35" s="27">
        <v>0.96899999999999997</v>
      </c>
      <c r="K35" s="36">
        <v>0.93240000000000001</v>
      </c>
      <c r="L35" s="27">
        <v>0.92800000000000005</v>
      </c>
      <c r="M35" s="45">
        <v>0.86572000000000005</v>
      </c>
      <c r="N35" s="27">
        <v>0.93</v>
      </c>
      <c r="O35" s="27">
        <v>0.9204</v>
      </c>
      <c r="P35" s="27">
        <v>0.92093999999999998</v>
      </c>
      <c r="Q35" s="27">
        <v>0.94059000000000004</v>
      </c>
      <c r="R35" s="37">
        <v>0.79159999999999997</v>
      </c>
      <c r="S35" s="27">
        <f>S34-0.000732</f>
        <v>1.0260720000000001</v>
      </c>
      <c r="T35" s="22">
        <v>0.93400000000000005</v>
      </c>
      <c r="U35" s="8">
        <v>1.016</v>
      </c>
      <c r="V35" s="16">
        <v>0.95760000000000001</v>
      </c>
      <c r="W35" s="52">
        <v>0.9568300000000004</v>
      </c>
      <c r="X35" s="52">
        <v>0.79979999999999996</v>
      </c>
    </row>
    <row r="36" spans="1:24" ht="22.5" customHeight="1" thickTop="1" thickBot="1">
      <c r="A36" s="46">
        <v>35</v>
      </c>
      <c r="B36" s="18">
        <v>0.77090000000000003</v>
      </c>
      <c r="C36" s="18">
        <v>1.0999000000000001</v>
      </c>
      <c r="D36" s="18">
        <v>1.0176000000000001</v>
      </c>
      <c r="E36" s="18">
        <v>0.77193000000000001</v>
      </c>
      <c r="F36" s="16">
        <v>0.91851000000000005</v>
      </c>
      <c r="G36" s="18">
        <v>0.94943</v>
      </c>
      <c r="H36" s="18">
        <v>0.90517000000000003</v>
      </c>
      <c r="I36" s="18">
        <v>1.0310999999999999</v>
      </c>
      <c r="J36" s="18">
        <v>0.96819999999999995</v>
      </c>
      <c r="K36" s="39">
        <v>0.93149999999999999</v>
      </c>
      <c r="L36" s="18">
        <v>0.92700000000000005</v>
      </c>
      <c r="M36" s="40">
        <v>0.86467000000000005</v>
      </c>
      <c r="N36" s="18">
        <v>0.93</v>
      </c>
      <c r="O36" s="18">
        <v>0.91959999999999997</v>
      </c>
      <c r="P36" s="16">
        <v>0.91995000000000005</v>
      </c>
      <c r="Q36" s="27">
        <v>0.93994</v>
      </c>
      <c r="R36" s="41">
        <v>0.79079999999999995</v>
      </c>
      <c r="S36" s="18">
        <f>S35-0.000732</f>
        <v>1.0253400000000001</v>
      </c>
      <c r="T36" s="16">
        <v>0.93300000000000005</v>
      </c>
      <c r="U36" s="16">
        <v>1.0149999999999999</v>
      </c>
      <c r="V36" s="16">
        <v>0.95760000000000001</v>
      </c>
      <c r="W36" s="52">
        <v>0.95624000000000042</v>
      </c>
      <c r="X36" s="52">
        <v>0.79900000000000004</v>
      </c>
    </row>
    <row r="37" spans="1:24" ht="22.5" customHeight="1" thickTop="1" thickBot="1">
      <c r="A37" s="21">
        <v>36</v>
      </c>
      <c r="B37" s="22">
        <v>0.77</v>
      </c>
      <c r="C37" s="22">
        <v>1.0988</v>
      </c>
      <c r="D37" s="22">
        <v>1.0166999999999999</v>
      </c>
      <c r="E37" s="22">
        <v>0.77080000000000004</v>
      </c>
      <c r="F37" s="22">
        <v>0.91754999999999998</v>
      </c>
      <c r="G37" s="22">
        <v>0.94835999999999998</v>
      </c>
      <c r="H37" s="22">
        <v>0.9042</v>
      </c>
      <c r="I37" s="22">
        <v>1.03</v>
      </c>
      <c r="J37" s="22">
        <v>0.96730000000000005</v>
      </c>
      <c r="K37" s="35">
        <v>0.93059999999999998</v>
      </c>
      <c r="L37" s="22">
        <v>0.92600000000000005</v>
      </c>
      <c r="M37" s="44">
        <v>0.86362000000000005</v>
      </c>
      <c r="N37" s="22">
        <v>0.93</v>
      </c>
      <c r="O37" s="22">
        <v>0.91879999999999995</v>
      </c>
      <c r="P37" s="22">
        <v>0.91888999999999998</v>
      </c>
      <c r="Q37" s="27">
        <v>0.93930000000000002</v>
      </c>
      <c r="R37" s="31">
        <v>0.79008</v>
      </c>
      <c r="S37" s="22">
        <f t="shared" ref="S37:S51" si="0">S36-0.000732</f>
        <v>1.0246080000000002</v>
      </c>
      <c r="T37" s="22">
        <v>0.93194666666666703</v>
      </c>
      <c r="U37" s="8">
        <v>1.0142</v>
      </c>
      <c r="V37" s="16">
        <v>0.95760000000000001</v>
      </c>
      <c r="W37" s="52">
        <v>0.95565000000000044</v>
      </c>
      <c r="X37" s="52">
        <v>0.7984</v>
      </c>
    </row>
    <row r="38" spans="1:24" ht="22.5" customHeight="1" thickTop="1" thickBot="1">
      <c r="A38" s="26">
        <v>37</v>
      </c>
      <c r="B38" s="27">
        <v>0.76910000000000001</v>
      </c>
      <c r="C38" s="27">
        <v>1.0978000000000001</v>
      </c>
      <c r="D38" s="27">
        <v>1.0158</v>
      </c>
      <c r="E38" s="27">
        <v>0.76929999999999998</v>
      </c>
      <c r="F38" s="27">
        <v>0.91654000000000002</v>
      </c>
      <c r="G38" s="27">
        <v>0.94699999999999995</v>
      </c>
      <c r="H38" s="27">
        <v>0.90310000000000001</v>
      </c>
      <c r="I38" s="27">
        <v>1.0288999999999999</v>
      </c>
      <c r="J38" s="27">
        <v>0.96650000000000003</v>
      </c>
      <c r="K38" s="36">
        <v>0.92979999999999996</v>
      </c>
      <c r="L38" s="27">
        <v>0.92500000000000004</v>
      </c>
      <c r="M38" s="45">
        <v>0.86270000000000002</v>
      </c>
      <c r="N38" s="27">
        <v>0.92600000000000005</v>
      </c>
      <c r="O38" s="27">
        <v>0.92200000000000004</v>
      </c>
      <c r="P38" s="27">
        <v>0.91785000000000005</v>
      </c>
      <c r="Q38" s="27">
        <v>0.93864999999999998</v>
      </c>
      <c r="R38" s="37">
        <v>0.78934000000000004</v>
      </c>
      <c r="S38" s="27">
        <f t="shared" si="0"/>
        <v>1.0238760000000002</v>
      </c>
      <c r="T38" s="22">
        <v>0.930922424242424</v>
      </c>
      <c r="U38" s="8">
        <v>1.0134000000000001</v>
      </c>
      <c r="V38" s="16">
        <v>0.95760000000000001</v>
      </c>
      <c r="W38" s="52">
        <v>0.95506000000000046</v>
      </c>
      <c r="X38" s="52">
        <v>0.79779999999999995</v>
      </c>
    </row>
    <row r="39" spans="1:24" ht="22.5" customHeight="1" thickTop="1" thickBot="1">
      <c r="A39" s="26">
        <v>38</v>
      </c>
      <c r="B39" s="27">
        <v>0.76829999999999998</v>
      </c>
      <c r="C39" s="27">
        <v>1.0967</v>
      </c>
      <c r="D39" s="27">
        <v>1.0149999999999999</v>
      </c>
      <c r="E39" s="27">
        <v>0.7681</v>
      </c>
      <c r="F39" s="27">
        <v>0.91556999999999999</v>
      </c>
      <c r="G39" s="27">
        <v>0.94589999999999996</v>
      </c>
      <c r="H39" s="27">
        <v>0.90210000000000001</v>
      </c>
      <c r="I39" s="27">
        <v>1.0278</v>
      </c>
      <c r="J39" s="27">
        <v>0.9657</v>
      </c>
      <c r="K39" s="36">
        <v>0.92889999999999995</v>
      </c>
      <c r="L39" s="27">
        <v>0.92400000000000004</v>
      </c>
      <c r="M39" s="45">
        <v>0.86170000000000002</v>
      </c>
      <c r="N39" s="27">
        <v>0.92600000000000005</v>
      </c>
      <c r="O39" s="27">
        <v>0.92200000000000004</v>
      </c>
      <c r="P39" s="27">
        <v>0.91686000000000001</v>
      </c>
      <c r="Q39" s="27">
        <v>0.93801999999999996</v>
      </c>
      <c r="R39" s="37">
        <v>0.78859999999999997</v>
      </c>
      <c r="S39" s="27">
        <f t="shared" si="0"/>
        <v>1.0231440000000003</v>
      </c>
      <c r="T39" s="22">
        <v>0.92989818181818196</v>
      </c>
      <c r="U39" s="8">
        <v>1.0125999999999999</v>
      </c>
      <c r="V39" s="16">
        <v>0.95760000000000001</v>
      </c>
      <c r="W39" s="52">
        <v>0.95447000000000048</v>
      </c>
      <c r="X39" s="52">
        <v>0.79720000000000002</v>
      </c>
    </row>
    <row r="40" spans="1:24" ht="22.5" customHeight="1" thickTop="1" thickBot="1">
      <c r="A40" s="26">
        <v>39</v>
      </c>
      <c r="B40" s="27">
        <v>0.76739999999999997</v>
      </c>
      <c r="C40" s="27">
        <v>1.0956999999999999</v>
      </c>
      <c r="D40" s="27">
        <v>1.0141</v>
      </c>
      <c r="E40" s="27">
        <v>0.76700000000000002</v>
      </c>
      <c r="F40" s="27">
        <v>0.91459999999999997</v>
      </c>
      <c r="G40" s="27">
        <v>0.94489999999999996</v>
      </c>
      <c r="H40" s="27">
        <v>0.90110000000000001</v>
      </c>
      <c r="I40" s="27">
        <v>1.0266</v>
      </c>
      <c r="J40" s="27">
        <v>0.96489999999999998</v>
      </c>
      <c r="K40" s="36">
        <v>0.92810000000000004</v>
      </c>
      <c r="L40" s="27">
        <v>0.92300000000000004</v>
      </c>
      <c r="M40" s="45">
        <v>0.86070000000000002</v>
      </c>
      <c r="N40" s="27">
        <v>0.92600000000000005</v>
      </c>
      <c r="O40" s="27">
        <v>0.92200000000000004</v>
      </c>
      <c r="P40" s="27">
        <v>0.91579999999999995</v>
      </c>
      <c r="Q40" s="27">
        <v>0.93740000000000001</v>
      </c>
      <c r="R40" s="37">
        <v>0.78786</v>
      </c>
      <c r="S40" s="27">
        <f t="shared" si="0"/>
        <v>1.0224120000000003</v>
      </c>
      <c r="T40" s="22">
        <v>0.92887393939393903</v>
      </c>
      <c r="U40" s="8">
        <v>1.0118</v>
      </c>
      <c r="V40" s="16">
        <v>0.95760000000000001</v>
      </c>
      <c r="W40" s="52">
        <v>0.95388000000000051</v>
      </c>
      <c r="X40" s="52">
        <v>0.79659999999999997</v>
      </c>
    </row>
    <row r="41" spans="1:24" ht="22.5" customHeight="1" thickTop="1" thickBot="1">
      <c r="A41" s="46">
        <v>40</v>
      </c>
      <c r="B41" s="18">
        <v>0.76649999999999996</v>
      </c>
      <c r="C41" s="18">
        <v>1.0946</v>
      </c>
      <c r="D41" s="18">
        <v>1.0132000000000001</v>
      </c>
      <c r="E41" s="18">
        <v>0.76580000000000004</v>
      </c>
      <c r="F41" s="16">
        <v>0.91366000000000003</v>
      </c>
      <c r="G41" s="18">
        <v>0.94389999999999996</v>
      </c>
      <c r="H41" s="18">
        <v>0.9002</v>
      </c>
      <c r="I41" s="18">
        <v>1.0255000000000001</v>
      </c>
      <c r="J41" s="18">
        <v>0.96409999999999996</v>
      </c>
      <c r="K41" s="39">
        <v>0.92720000000000002</v>
      </c>
      <c r="L41" s="18">
        <v>0.92200000000000004</v>
      </c>
      <c r="M41" s="40">
        <v>0.85970000000000002</v>
      </c>
      <c r="N41" s="18">
        <v>0.92600000000000005</v>
      </c>
      <c r="O41" s="18">
        <v>0.92200000000000004</v>
      </c>
      <c r="P41" s="16">
        <v>0.91478000000000004</v>
      </c>
      <c r="Q41" s="27">
        <v>0.93681999999999999</v>
      </c>
      <c r="R41" s="41">
        <v>0.78712000000000004</v>
      </c>
      <c r="S41" s="18">
        <f t="shared" si="0"/>
        <v>1.0216800000000004</v>
      </c>
      <c r="T41" s="16">
        <v>0.92784969696969699</v>
      </c>
      <c r="U41" s="16">
        <v>1.0109999999999999</v>
      </c>
      <c r="V41" s="16">
        <v>0.95760000000000001</v>
      </c>
      <c r="W41" s="52">
        <v>0.95329000000000053</v>
      </c>
      <c r="X41" s="52">
        <v>0.79620000000000002</v>
      </c>
    </row>
    <row r="42" spans="1:24" ht="22.5" customHeight="1" thickTop="1" thickBot="1">
      <c r="A42" s="21">
        <v>41</v>
      </c>
      <c r="B42" s="22">
        <v>0.76559999999999995</v>
      </c>
      <c r="C42" s="22">
        <v>1.0935999999999999</v>
      </c>
      <c r="D42" s="22">
        <v>1.0123</v>
      </c>
      <c r="E42" s="22">
        <v>0.76459999999999995</v>
      </c>
      <c r="F42" s="22">
        <v>0.91269</v>
      </c>
      <c r="G42" s="22">
        <v>0.94289999999999996</v>
      </c>
      <c r="H42" s="22">
        <v>0.8992</v>
      </c>
      <c r="I42" s="22">
        <v>1.0244</v>
      </c>
      <c r="J42" s="22">
        <v>0.96330000000000005</v>
      </c>
      <c r="K42" s="22">
        <v>0.9264</v>
      </c>
      <c r="L42" s="22">
        <v>0.92100000000000004</v>
      </c>
      <c r="M42" s="44">
        <v>0.85870000000000002</v>
      </c>
      <c r="N42" s="22">
        <v>0.92600000000000005</v>
      </c>
      <c r="O42" s="22">
        <v>0.92200000000000004</v>
      </c>
      <c r="P42" s="22">
        <v>0.91374999999999995</v>
      </c>
      <c r="Q42" s="27">
        <v>0.93681999999999999</v>
      </c>
      <c r="R42" s="31">
        <v>0.78637999999999997</v>
      </c>
      <c r="S42" s="22">
        <f t="shared" si="0"/>
        <v>1.0209480000000004</v>
      </c>
      <c r="T42" s="22">
        <v>0.92682545454545395</v>
      </c>
      <c r="U42" s="8">
        <v>1.0098</v>
      </c>
      <c r="V42" s="16">
        <v>0.95760000000000001</v>
      </c>
      <c r="W42" s="52">
        <v>0.95329000000000053</v>
      </c>
      <c r="X42" s="52">
        <v>0.79620000000000002</v>
      </c>
    </row>
    <row r="43" spans="1:24" ht="22.5" customHeight="1" thickTop="1" thickBot="1">
      <c r="A43" s="26">
        <v>42</v>
      </c>
      <c r="B43" s="27">
        <v>0.76470000000000005</v>
      </c>
      <c r="C43" s="27">
        <v>1.0925</v>
      </c>
      <c r="D43" s="27">
        <v>1.0114000000000001</v>
      </c>
      <c r="E43" s="27">
        <v>0.76349999999999996</v>
      </c>
      <c r="F43" s="27">
        <v>0.91171999999999997</v>
      </c>
      <c r="G43" s="22">
        <v>0.94189999999999996</v>
      </c>
      <c r="H43" s="22">
        <v>0.8982</v>
      </c>
      <c r="I43" s="22">
        <v>1.0233000000000001</v>
      </c>
      <c r="J43" s="27">
        <v>0.96250000000000002</v>
      </c>
      <c r="K43" s="22">
        <v>0.92549999999999999</v>
      </c>
      <c r="L43" s="22">
        <v>0.92</v>
      </c>
      <c r="M43" s="45">
        <v>0.85770000000000002</v>
      </c>
      <c r="N43" s="22">
        <v>0.92600000000000005</v>
      </c>
      <c r="O43" s="27">
        <v>0.92200000000000004</v>
      </c>
      <c r="P43" s="27">
        <v>0.91273000000000004</v>
      </c>
      <c r="Q43" s="27">
        <v>0.93681999999999999</v>
      </c>
      <c r="R43" s="37">
        <v>0.78564000000000001</v>
      </c>
      <c r="S43" s="27">
        <f t="shared" si="0"/>
        <v>1.0202160000000005</v>
      </c>
      <c r="T43" s="22">
        <v>0.92580121212121202</v>
      </c>
      <c r="U43" s="8">
        <v>1.0085999999999999</v>
      </c>
      <c r="V43" s="16">
        <v>0.95760000000000001</v>
      </c>
      <c r="W43" s="52">
        <v>0.95329000000000053</v>
      </c>
      <c r="X43" s="52">
        <v>0.79620000000000002</v>
      </c>
    </row>
    <row r="44" spans="1:24" ht="22.5" customHeight="1" thickTop="1" thickBot="1">
      <c r="A44" s="26">
        <v>43</v>
      </c>
      <c r="B44" s="27">
        <v>0.76390000000000002</v>
      </c>
      <c r="C44" s="27">
        <v>1.0914999999999999</v>
      </c>
      <c r="D44" s="27">
        <v>1.0105999999999999</v>
      </c>
      <c r="E44" s="27">
        <v>0.76229999999999998</v>
      </c>
      <c r="F44" s="27">
        <v>0.91073000000000004</v>
      </c>
      <c r="G44" s="27">
        <v>0.94089999999999996</v>
      </c>
      <c r="H44" s="27">
        <v>0.8972</v>
      </c>
      <c r="I44" s="27">
        <v>1.0222</v>
      </c>
      <c r="J44" s="27">
        <v>0.9617</v>
      </c>
      <c r="K44" s="27">
        <v>0.92459999999999998</v>
      </c>
      <c r="L44" s="27">
        <v>0.91900000000000004</v>
      </c>
      <c r="M44" s="45">
        <v>0.85670000000000002</v>
      </c>
      <c r="N44" s="22">
        <v>0.92600000000000005</v>
      </c>
      <c r="O44" s="27">
        <v>0.92200000000000004</v>
      </c>
      <c r="P44" s="27">
        <v>0.91168000000000005</v>
      </c>
      <c r="Q44" s="27">
        <v>0.93681999999999999</v>
      </c>
      <c r="R44" s="37">
        <v>0.78490000000000004</v>
      </c>
      <c r="S44" s="27">
        <f t="shared" si="0"/>
        <v>1.0194840000000005</v>
      </c>
      <c r="T44" s="22">
        <v>0.92477696969696899</v>
      </c>
      <c r="U44" s="8">
        <v>1.0074000000000001</v>
      </c>
      <c r="V44" s="16">
        <v>0.95760000000000001</v>
      </c>
      <c r="W44" s="52">
        <v>0.95329000000000053</v>
      </c>
      <c r="X44" s="52">
        <v>0.79620000000000002</v>
      </c>
    </row>
    <row r="45" spans="1:24" ht="22.5" customHeight="1" thickTop="1" thickBot="1">
      <c r="A45" s="26">
        <v>44</v>
      </c>
      <c r="B45" s="27">
        <v>0.76300000000000001</v>
      </c>
      <c r="C45" s="27">
        <v>1.0904</v>
      </c>
      <c r="D45" s="27">
        <v>1.0097</v>
      </c>
      <c r="E45" s="27">
        <v>0.76119999999999999</v>
      </c>
      <c r="F45" s="27">
        <v>0.90983999999999998</v>
      </c>
      <c r="G45" s="27">
        <v>0.93389999999999995</v>
      </c>
      <c r="H45" s="22">
        <v>0.8962</v>
      </c>
      <c r="I45" s="22">
        <v>1.0209999999999999</v>
      </c>
      <c r="J45" s="27">
        <v>0.96089999999999998</v>
      </c>
      <c r="K45" s="27">
        <v>0.92369999999999997</v>
      </c>
      <c r="L45" s="27">
        <v>0.91800000000000004</v>
      </c>
      <c r="M45" s="45">
        <v>0.85570000000000002</v>
      </c>
      <c r="N45" s="22">
        <v>0.92600000000000005</v>
      </c>
      <c r="O45" s="27">
        <v>0.92200000000000004</v>
      </c>
      <c r="P45" s="27">
        <v>0.91064999999999996</v>
      </c>
      <c r="Q45" s="27">
        <v>0.93681999999999999</v>
      </c>
      <c r="R45" s="37">
        <v>0.78415999999999997</v>
      </c>
      <c r="S45" s="27">
        <f t="shared" si="0"/>
        <v>1.0187520000000005</v>
      </c>
      <c r="T45" s="22">
        <v>0.92375272727272695</v>
      </c>
      <c r="U45" s="8">
        <v>1.0062</v>
      </c>
      <c r="V45" s="16">
        <v>0.95760000000000001</v>
      </c>
      <c r="W45" s="52">
        <v>0.95329000000000053</v>
      </c>
      <c r="X45" s="52">
        <v>0.79620000000000002</v>
      </c>
    </row>
    <row r="46" spans="1:24" ht="22.5" customHeight="1" thickTop="1" thickBot="1">
      <c r="A46" s="46">
        <v>45</v>
      </c>
      <c r="B46" s="18">
        <v>0.7621</v>
      </c>
      <c r="C46" s="18">
        <v>1.0893999999999999</v>
      </c>
      <c r="D46" s="18">
        <v>1.0087999999999999</v>
      </c>
      <c r="E46" s="18">
        <v>0.76</v>
      </c>
      <c r="F46" s="16">
        <v>0.90878000000000003</v>
      </c>
      <c r="G46" s="18">
        <v>0.93889999999999996</v>
      </c>
      <c r="H46" s="18">
        <v>0.8952</v>
      </c>
      <c r="I46" s="18">
        <v>1.0199</v>
      </c>
      <c r="J46" s="18">
        <v>0.96009999999999995</v>
      </c>
      <c r="K46" s="18">
        <v>0.92279999999999995</v>
      </c>
      <c r="L46" s="18">
        <v>0.91700000000000004</v>
      </c>
      <c r="M46" s="40">
        <v>0.85470000000000002</v>
      </c>
      <c r="N46" s="16">
        <v>0.92600000000000005</v>
      </c>
      <c r="O46" s="18">
        <v>0.92200000000000004</v>
      </c>
      <c r="P46" s="16">
        <v>0.90963000000000005</v>
      </c>
      <c r="Q46" s="27">
        <v>0.93681999999999999</v>
      </c>
      <c r="R46" s="41">
        <v>0.78342000000000001</v>
      </c>
      <c r="S46" s="18">
        <f t="shared" si="0"/>
        <v>1.0180200000000006</v>
      </c>
      <c r="T46" s="16">
        <v>0.92272848484848502</v>
      </c>
      <c r="U46" s="16">
        <v>1.0049999999999999</v>
      </c>
      <c r="V46" s="16">
        <v>0.95760000000000001</v>
      </c>
      <c r="W46" s="52">
        <v>0.95329000000000053</v>
      </c>
      <c r="X46" s="52">
        <v>0.79620000000000002</v>
      </c>
    </row>
    <row r="47" spans="1:24" ht="17.399999999999999" thickTop="1" thickBot="1">
      <c r="A47" s="47">
        <v>46</v>
      </c>
      <c r="B47" s="22">
        <v>0.76124999999999998</v>
      </c>
      <c r="C47" s="22">
        <v>1.08833</v>
      </c>
      <c r="D47" s="22">
        <v>1.0079499999999999</v>
      </c>
      <c r="E47" s="22">
        <v>0.75887000000000004</v>
      </c>
      <c r="F47" s="22">
        <v>0.90781999999999996</v>
      </c>
      <c r="G47" s="22">
        <v>0.93489999999999995</v>
      </c>
      <c r="H47" s="22">
        <v>0.89419999999999999</v>
      </c>
      <c r="I47" s="22">
        <v>1.0187999999999999</v>
      </c>
      <c r="J47" s="22">
        <v>0.95930000000000004</v>
      </c>
      <c r="K47" s="22">
        <v>0.92190000000000005</v>
      </c>
      <c r="L47" s="22">
        <v>0.91600000000000004</v>
      </c>
      <c r="M47" s="44">
        <v>0.85370000000000001</v>
      </c>
      <c r="N47" s="22">
        <v>0.92600000000000005</v>
      </c>
      <c r="O47" s="22">
        <v>0.92200000000000004</v>
      </c>
      <c r="P47" s="22">
        <v>0.90856000000000003</v>
      </c>
      <c r="Q47" s="27">
        <v>0.93681999999999999</v>
      </c>
      <c r="R47" s="31">
        <v>0.78268000000000004</v>
      </c>
      <c r="S47" s="22">
        <f t="shared" si="0"/>
        <v>1.0172880000000006</v>
      </c>
      <c r="T47" s="22">
        <v>0.92170424242424398</v>
      </c>
      <c r="U47" s="8">
        <v>1.0038</v>
      </c>
      <c r="V47" s="16">
        <v>0.95760000000000001</v>
      </c>
      <c r="W47" s="52">
        <v>0.95329000000000053</v>
      </c>
      <c r="X47" s="52">
        <v>0.79620000000000002</v>
      </c>
    </row>
    <row r="48" spans="1:24" ht="17.399999999999999" thickTop="1" thickBot="1">
      <c r="A48" s="47">
        <v>47</v>
      </c>
      <c r="B48" s="27">
        <v>0.76037999999999994</v>
      </c>
      <c r="C48" s="27">
        <v>1.08728</v>
      </c>
      <c r="D48" s="27">
        <v>1.00708</v>
      </c>
      <c r="E48" s="27">
        <v>0.75771999999999995</v>
      </c>
      <c r="F48" s="27">
        <v>0.90683000000000002</v>
      </c>
      <c r="G48" s="22">
        <v>0.93330000000000002</v>
      </c>
      <c r="H48" s="22">
        <v>0.89319999999999999</v>
      </c>
      <c r="I48" s="22">
        <v>1.0177</v>
      </c>
      <c r="J48" s="27">
        <v>0.95850000000000002</v>
      </c>
      <c r="K48" s="22">
        <v>0.92100000000000004</v>
      </c>
      <c r="L48" s="22">
        <v>0.91500000000000004</v>
      </c>
      <c r="M48" s="45">
        <v>0.85270000000000001</v>
      </c>
      <c r="N48" s="22">
        <v>0.92600000000000005</v>
      </c>
      <c r="O48" s="27">
        <v>0.92200000000000004</v>
      </c>
      <c r="P48" s="27">
        <v>0.90751999999999999</v>
      </c>
      <c r="Q48" s="27">
        <v>0.93681999999999999</v>
      </c>
      <c r="R48" s="37">
        <v>0.78193999999999997</v>
      </c>
      <c r="S48" s="27">
        <f t="shared" si="0"/>
        <v>1.0165560000000007</v>
      </c>
      <c r="T48" s="22">
        <v>0.92068000000000205</v>
      </c>
      <c r="U48" s="8">
        <v>1.0025999999999999</v>
      </c>
      <c r="V48" s="16">
        <v>0.95760000000000001</v>
      </c>
      <c r="W48" s="52">
        <v>0.95329000000000053</v>
      </c>
      <c r="X48" s="52">
        <v>0.79620000000000002</v>
      </c>
    </row>
    <row r="49" spans="1:24" ht="17.399999999999999" thickTop="1" thickBot="1">
      <c r="A49" s="47">
        <v>48</v>
      </c>
      <c r="B49" s="27">
        <v>0.75951000000000002</v>
      </c>
      <c r="C49" s="27">
        <v>1.08623</v>
      </c>
      <c r="D49" s="27">
        <v>1.00621</v>
      </c>
      <c r="E49" s="27">
        <v>0.75656999999999996</v>
      </c>
      <c r="F49" s="27">
        <v>0.90585000000000004</v>
      </c>
      <c r="G49" s="27">
        <v>0.93169999999999997</v>
      </c>
      <c r="H49" s="27">
        <v>0.89219999999999999</v>
      </c>
      <c r="I49" s="27">
        <v>1.0165999999999999</v>
      </c>
      <c r="J49" s="27">
        <v>0.9577</v>
      </c>
      <c r="K49" s="27">
        <v>0.92010000000000003</v>
      </c>
      <c r="L49" s="27">
        <v>0.91400000000000003</v>
      </c>
      <c r="M49" s="45">
        <v>0.85170000000000001</v>
      </c>
      <c r="N49" s="22">
        <v>0.92600000000000005</v>
      </c>
      <c r="O49" s="27">
        <v>0.92200000000000004</v>
      </c>
      <c r="P49" s="27">
        <v>0.90647999999999995</v>
      </c>
      <c r="Q49" s="27">
        <v>0.93681999999999999</v>
      </c>
      <c r="R49" s="37">
        <v>0.78120000000000001</v>
      </c>
      <c r="S49" s="27">
        <f t="shared" si="0"/>
        <v>1.0158240000000007</v>
      </c>
      <c r="T49" s="22">
        <v>0.91965575757576001</v>
      </c>
      <c r="U49" s="8">
        <v>1.0014000000000001</v>
      </c>
      <c r="V49" s="16">
        <v>0.95760000000000001</v>
      </c>
      <c r="W49" s="52">
        <v>0.95329000000000053</v>
      </c>
      <c r="X49" s="52">
        <v>0.79620000000000002</v>
      </c>
    </row>
    <row r="50" spans="1:24" ht="17.399999999999999" thickTop="1" thickBot="1">
      <c r="A50" s="47">
        <v>49</v>
      </c>
      <c r="B50" s="27">
        <v>0.75863999999999998</v>
      </c>
      <c r="C50" s="27">
        <v>1.08518</v>
      </c>
      <c r="D50" s="27">
        <v>1.0053399999999999</v>
      </c>
      <c r="E50" s="27">
        <v>0.75541999999999998</v>
      </c>
      <c r="F50" s="27">
        <v>0.90488000000000002</v>
      </c>
      <c r="G50" s="27">
        <v>0.93010000000000004</v>
      </c>
      <c r="H50" s="22">
        <v>0.89119999999999999</v>
      </c>
      <c r="I50" s="22">
        <v>1.0154000000000001</v>
      </c>
      <c r="J50" s="27">
        <v>0.95689999999999997</v>
      </c>
      <c r="K50" s="27">
        <v>0.91920000000000002</v>
      </c>
      <c r="L50" s="27">
        <v>0.91300000000000003</v>
      </c>
      <c r="M50" s="45">
        <v>0.85070000000000001</v>
      </c>
      <c r="N50" s="22">
        <v>0.92600000000000005</v>
      </c>
      <c r="O50" s="27">
        <v>0.92200000000000004</v>
      </c>
      <c r="P50" s="27">
        <v>0.90542999999999996</v>
      </c>
      <c r="Q50" s="27">
        <v>0.93681999999999999</v>
      </c>
      <c r="R50" s="37">
        <v>0.78046000000000004</v>
      </c>
      <c r="S50" s="27">
        <f t="shared" si="0"/>
        <v>1.0150920000000008</v>
      </c>
      <c r="T50" s="22">
        <v>0.91863151515151897</v>
      </c>
      <c r="U50" s="8">
        <v>1.0002</v>
      </c>
      <c r="V50" s="16">
        <v>0.95760000000000001</v>
      </c>
      <c r="W50" s="52">
        <v>0.95329000000000053</v>
      </c>
      <c r="X50" s="52">
        <v>0.79620000000000002</v>
      </c>
    </row>
    <row r="51" spans="1:24" ht="17.399999999999999" thickTop="1" thickBot="1">
      <c r="A51" s="48">
        <v>50</v>
      </c>
      <c r="B51" s="18">
        <v>0.75777000000000005</v>
      </c>
      <c r="C51" s="18">
        <v>1.08413</v>
      </c>
      <c r="D51" s="18">
        <v>1.00447</v>
      </c>
      <c r="E51" s="18">
        <v>0.75427</v>
      </c>
      <c r="F51" s="16">
        <v>0.90390999999999999</v>
      </c>
      <c r="G51" s="18">
        <v>0.92849999999999999</v>
      </c>
      <c r="H51" s="18">
        <v>0.89019999999999999</v>
      </c>
      <c r="I51" s="18">
        <v>1.0143</v>
      </c>
      <c r="J51" s="18">
        <v>0.95609999999999995</v>
      </c>
      <c r="K51" s="18">
        <v>0.91830000000000001</v>
      </c>
      <c r="L51" s="18">
        <v>0.91200000000000003</v>
      </c>
      <c r="M51" s="40">
        <v>0.84970000000000001</v>
      </c>
      <c r="N51" s="16">
        <v>0.92600000000000005</v>
      </c>
      <c r="O51" s="18">
        <v>0.92200000000000004</v>
      </c>
      <c r="P51" s="16">
        <v>0.90439000000000003</v>
      </c>
      <c r="Q51" s="27">
        <v>0.93681999999999999</v>
      </c>
      <c r="R51" s="41">
        <v>0.77971999999999997</v>
      </c>
      <c r="S51" s="18">
        <f t="shared" si="0"/>
        <v>1.0143600000000008</v>
      </c>
      <c r="T51" s="16">
        <v>0.91760727272727705</v>
      </c>
      <c r="U51" s="16">
        <v>0.999</v>
      </c>
      <c r="V51" s="16">
        <v>0.95760000000000001</v>
      </c>
      <c r="W51" s="52">
        <v>0.95329000000000053</v>
      </c>
      <c r="X51" s="52">
        <v>0.79620000000000002</v>
      </c>
    </row>
    <row r="52" spans="1:24" ht="17.399999999999999" thickTop="1" thickBot="1">
      <c r="A52" s="48">
        <v>51</v>
      </c>
      <c r="B52" s="49"/>
      <c r="C52" s="49"/>
      <c r="D52" s="49"/>
      <c r="E52" s="49"/>
      <c r="F52" s="49"/>
      <c r="G52" s="49"/>
      <c r="H52" s="49"/>
      <c r="I52" s="49">
        <v>1.0132000000000001</v>
      </c>
      <c r="J52" s="49"/>
      <c r="U52" s="8"/>
    </row>
    <row r="53" spans="1:24" ht="17.399999999999999" thickTop="1" thickBot="1">
      <c r="A53" s="48">
        <v>52</v>
      </c>
      <c r="I53" s="47">
        <v>1.0121</v>
      </c>
      <c r="U53" s="8"/>
    </row>
    <row r="54" spans="1:24" ht="17.399999999999999" thickTop="1" thickBot="1">
      <c r="A54" s="48">
        <v>53</v>
      </c>
      <c r="I54" s="47">
        <v>1.0109999999999999</v>
      </c>
      <c r="U54" s="8"/>
    </row>
    <row r="55" spans="1:24" ht="17.399999999999999" thickTop="1" thickBot="1">
      <c r="A55" s="48">
        <v>54</v>
      </c>
      <c r="I55" s="47">
        <v>1.0098</v>
      </c>
      <c r="U55" s="8"/>
    </row>
    <row r="56" spans="1:24" ht="17.399999999999999" thickTop="1" thickBot="1">
      <c r="A56" s="48">
        <v>55</v>
      </c>
      <c r="I56" s="47">
        <v>1.0086999999999999</v>
      </c>
      <c r="U56" s="8"/>
    </row>
    <row r="57" spans="1:24" ht="17.399999999999999" thickTop="1" thickBot="1">
      <c r="A57" s="48">
        <v>56</v>
      </c>
      <c r="I57" s="47">
        <v>1.0076000000000001</v>
      </c>
      <c r="U57" s="8"/>
    </row>
    <row r="58" spans="1:24" ht="17.399999999999999" thickTop="1" thickBot="1">
      <c r="A58" s="48">
        <v>57</v>
      </c>
      <c r="I58" s="47">
        <v>1.0065</v>
      </c>
      <c r="U58" s="8"/>
    </row>
    <row r="59" spans="1:24" ht="17.399999999999999" thickTop="1" thickBot="1">
      <c r="A59" s="48">
        <v>58</v>
      </c>
      <c r="I59" s="47">
        <v>1.0054000000000001</v>
      </c>
      <c r="U59" s="8"/>
    </row>
    <row r="60" spans="1:24" ht="17.399999999999999" thickTop="1" thickBot="1">
      <c r="A60" s="48">
        <v>59</v>
      </c>
      <c r="I60" s="47">
        <v>1.0042</v>
      </c>
      <c r="U60" s="8"/>
    </row>
    <row r="61" spans="1:24" ht="17.399999999999999" thickTop="1" thickBot="1">
      <c r="A61" s="48">
        <v>60</v>
      </c>
      <c r="I61" s="47">
        <v>1.0031000000000001</v>
      </c>
      <c r="U61" s="8"/>
    </row>
    <row r="62" spans="1:24" ht="16.8" thickTop="1">
      <c r="U62" s="8"/>
    </row>
    <row r="63" spans="1:24">
      <c r="U63" s="8"/>
    </row>
    <row r="64" spans="1:24">
      <c r="U64" s="8"/>
    </row>
    <row r="65" spans="21:21">
      <c r="U65" s="8"/>
    </row>
    <row r="66" spans="21:21">
      <c r="U66" s="8"/>
    </row>
    <row r="67" spans="21:21">
      <c r="U67" s="8"/>
    </row>
    <row r="68" spans="21:21">
      <c r="U68" s="8"/>
    </row>
    <row r="69" spans="21:21">
      <c r="U69" s="8"/>
    </row>
    <row r="70" spans="21:21">
      <c r="U70" s="8"/>
    </row>
    <row r="71" spans="21:21">
      <c r="U71" s="8"/>
    </row>
    <row r="72" spans="21:21">
      <c r="U72" s="8"/>
    </row>
    <row r="73" spans="21:21">
      <c r="U73" s="8"/>
    </row>
    <row r="74" spans="21:21">
      <c r="U74" s="8"/>
    </row>
    <row r="75" spans="21:21">
      <c r="U75" s="8"/>
    </row>
    <row r="76" spans="21:21">
      <c r="U76" s="8"/>
    </row>
    <row r="77" spans="21:21">
      <c r="U77" s="8"/>
    </row>
    <row r="78" spans="21:21">
      <c r="U78" s="8"/>
    </row>
    <row r="79" spans="21:21">
      <c r="U79" s="8"/>
    </row>
    <row r="80" spans="21:21">
      <c r="U80" s="8"/>
    </row>
    <row r="81" spans="21:21">
      <c r="U81" s="8"/>
    </row>
    <row r="82" spans="21:21">
      <c r="U82" s="8"/>
    </row>
    <row r="83" spans="21:21">
      <c r="U83" s="8"/>
    </row>
    <row r="84" spans="21:21">
      <c r="U84" s="8"/>
    </row>
    <row r="85" spans="21:21">
      <c r="U85" s="8"/>
    </row>
    <row r="86" spans="21:21">
      <c r="U86" s="8"/>
    </row>
    <row r="87" spans="21:21">
      <c r="U87" s="8"/>
    </row>
    <row r="88" spans="21:21">
      <c r="U88" s="8"/>
    </row>
    <row r="89" spans="21:21">
      <c r="U89" s="8"/>
    </row>
    <row r="90" spans="21:21">
      <c r="U90" s="8"/>
    </row>
    <row r="91" spans="21:21">
      <c r="U91" s="8"/>
    </row>
    <row r="92" spans="21:21">
      <c r="U92" s="8"/>
    </row>
    <row r="93" spans="21:21">
      <c r="U93" s="8"/>
    </row>
  </sheetData>
  <phoneticPr fontId="2" type="noConversion"/>
  <pageMargins left="0.42" right="0.2" top="0.36" bottom="0.43" header="0.5" footer="0.5"/>
  <pageSetup paperSize="9" scale="41" orientation="landscape" verticalDpi="180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965">
    <pageSetUpPr fitToPage="1"/>
  </sheetPr>
  <dimension ref="A1:CU223"/>
  <sheetViews>
    <sheetView view="pageBreakPreview" topLeftCell="B19" zoomScale="85" zoomScaleNormal="100" zoomScaleSheetLayoutView="85" workbookViewId="0">
      <selection activeCell="O23" sqref="O23"/>
    </sheetView>
  </sheetViews>
  <sheetFormatPr defaultColWidth="8.109375" defaultRowHeight="25.8"/>
  <cols>
    <col min="1" max="1" width="11.6640625" style="64" customWidth="1" phonetic="1"/>
    <col min="2" max="2" width="7.6640625" style="64" customWidth="1" phonetic="1"/>
    <col min="3" max="3" width="8" style="64" customWidth="1" phonetic="1"/>
    <col min="4" max="8" width="7.6640625" style="64" customWidth="1" phonetic="1"/>
    <col min="9" max="9" width="8" style="64" customWidth="1" phonetic="1"/>
    <col min="10" max="12" width="7.6640625" style="64" customWidth="1" phonetic="1"/>
    <col min="13" max="13" width="7.77734375" style="64" bestFit="1" customWidth="1" phonetic="1"/>
    <col min="14" max="30" width="7.6640625" style="64" customWidth="1" phonetic="1"/>
    <col min="31" max="31" width="7.6640625" style="75" customWidth="1" phonetic="1"/>
    <col min="32" max="32" width="11.6640625" style="64" bestFit="1" customWidth="1" phonetic="1"/>
    <col min="33" max="33" width="22.109375" style="64" customWidth="1" phonetic="1"/>
    <col min="34" max="34" width="5.6640625" style="64" customWidth="1" phonetic="1"/>
    <col min="35" max="35" width="18.21875" style="64" customWidth="1" phonetic="1"/>
    <col min="36" max="36" width="12" style="64" bestFit="1" customWidth="1" phonetic="1"/>
    <col min="37" max="37" width="11.6640625" style="64" bestFit="1" customWidth="1" phonetic="1"/>
    <col min="38" max="38" width="5.6640625" style="64" customWidth="1" phonetic="1"/>
    <col min="39" max="39" width="11.44140625" style="64" bestFit="1" customWidth="1" phonetic="1"/>
    <col min="40" max="40" width="6.21875" style="64" customWidth="1" phonetic="1"/>
    <col min="41" max="41" width="8.6640625" style="64" customWidth="1" phonetic="1"/>
    <col min="42" max="42" width="11.21875" style="64" customWidth="1" phonetic="1"/>
    <col min="43" max="43" width="11.77734375" style="64" customWidth="1" phonetic="1"/>
    <col min="44" max="44" width="11.21875" style="64" customWidth="1" phonetic="1"/>
    <col min="45" max="45" width="11.21875" style="64" bestFit="1" customWidth="1" phonetic="1"/>
    <col min="46" max="46" width="41.77734375" style="64" customWidth="1" phonetic="1"/>
    <col min="47" max="47" width="7.77734375" style="64" customWidth="1" phonetic="1"/>
    <col min="48" max="48" width="17.109375" style="64" customWidth="1" phonetic="1"/>
    <col min="49" max="49" width="6.21875" style="64" customWidth="1" phonetic="1"/>
    <col min="50" max="50" width="10" style="64" customWidth="1" phonetic="1"/>
    <col min="51" max="51" width="6.21875" style="64" customWidth="1" phonetic="1"/>
    <col min="52" max="52" width="6.88671875" style="64" customWidth="1" phonetic="1"/>
    <col min="53" max="53" width="6.44140625" style="64" customWidth="1" phonetic="1"/>
    <col min="54" max="54" width="15.44140625" style="64" customWidth="1" phonetic="1"/>
    <col min="55" max="55" width="6.21875" style="64" customWidth="1" phonetic="1"/>
    <col min="56" max="56" width="22.109375" style="64" bestFit="1" customWidth="1" phonetic="1"/>
    <col min="57" max="57" width="6.44140625" style="64" customWidth="1" phonetic="1"/>
    <col min="58" max="60" width="6.21875" style="64" customWidth="1" phonetic="1"/>
    <col min="61" max="16384" width="8.109375" style="64" phonetic="1"/>
  </cols>
  <sheetData>
    <row r="1" spans="1:99" ht="31.2" ph="1">
      <c r="A1" s="64"/>
      <c r="B1" s="238" t="s" ph="1">
        <v>161</v>
      </c>
      <c r="C1" s="238" ph="1"/>
      <c r="D1" s="238" ph="1"/>
      <c r="E1" s="238" ph="1"/>
      <c r="F1" s="238" ph="1"/>
      <c r="G1" s="238" ph="1"/>
      <c r="H1" s="238" ph="1"/>
      <c r="I1" s="238" ph="1"/>
      <c r="J1" s="238" ph="1"/>
      <c r="K1" s="238" ph="1"/>
      <c r="L1" s="238" ph="1"/>
      <c r="M1" s="238" ph="1"/>
      <c r="N1" s="238" ph="1"/>
      <c r="O1" s="238" ph="1"/>
      <c r="P1" s="238" ph="1"/>
      <c r="Q1" s="238" ph="1"/>
      <c r="R1" s="238" ph="1"/>
      <c r="S1" s="238" ph="1"/>
      <c r="T1" s="238" ph="1"/>
      <c r="U1" s="238" ph="1"/>
      <c r="V1" s="238" ph="1"/>
      <c r="W1" s="238" ph="1"/>
      <c r="X1" s="238" ph="1"/>
      <c r="Y1" s="238" ph="1"/>
      <c r="Z1" s="238" ph="1"/>
      <c r="AA1" s="238" ph="1"/>
      <c r="AB1" s="238" ph="1"/>
      <c r="AC1" s="238" ph="1"/>
      <c r="AD1" s="238" ph="1"/>
      <c r="AE1" s="238" ph="1"/>
    </row>
    <row r="2" spans="1:99" s="66" customFormat="1" ht="24" customHeight="1" ph="1">
      <c r="B2" s="239" t="s" ph="1">
        <v>82</v>
      </c>
      <c r="C2" s="239" ph="1"/>
      <c r="D2" s="239" ph="1"/>
      <c r="E2" s="239" ph="1"/>
      <c r="F2" s="239" ph="1"/>
      <c r="G2" s="239" ph="1"/>
      <c r="H2" s="239" ph="1"/>
      <c r="I2" s="239" ph="1"/>
      <c r="J2" s="239" ph="1"/>
      <c r="K2" s="239" ph="1"/>
      <c r="L2" s="239" ph="1"/>
      <c r="M2" s="239" ph="1"/>
      <c r="N2" s="239" ph="1"/>
      <c r="O2" s="239" ph="1"/>
      <c r="P2" s="239" ph="1"/>
      <c r="Q2" s="239" ph="1"/>
      <c r="R2" s="239" ph="1"/>
      <c r="S2" s="239" ph="1"/>
      <c r="T2" s="239" ph="1"/>
      <c r="U2" s="239" ph="1"/>
      <c r="V2" s="239" ph="1"/>
      <c r="W2" s="239" ph="1"/>
      <c r="X2" s="239" ph="1"/>
      <c r="Y2" s="239" ph="1"/>
      <c r="Z2" s="239" ph="1"/>
      <c r="AA2" s="239" ph="1"/>
      <c r="AB2" s="239" ph="1"/>
      <c r="AC2" s="239" ph="1"/>
      <c r="AD2" s="239" ph="1"/>
      <c r="AE2" s="239" ph="1"/>
    </row>
    <row r="3" spans="1:99" ht="21" customHeight="1" ph="1">
      <c r="B3" s="240" ph="1">
        <v>46265</v>
      </c>
      <c r="C3" s="240"/>
      <c r="D3" s="240"/>
      <c r="E3" s="240"/>
      <c r="F3" s="240"/>
      <c r="G3" s="240"/>
      <c r="H3" s="240"/>
      <c r="I3" s="240"/>
      <c r="J3" s="240"/>
      <c r="K3" s="240"/>
      <c r="L3" s="240"/>
      <c r="M3" s="240"/>
      <c r="N3" s="240"/>
      <c r="O3" s="240"/>
      <c r="P3" s="240"/>
      <c r="Q3" s="240"/>
      <c r="R3" s="240"/>
      <c r="S3" s="240"/>
      <c r="T3" s="240"/>
      <c r="U3" s="240"/>
      <c r="V3" s="240"/>
      <c r="W3" s="240"/>
      <c r="X3" s="240"/>
      <c r="Y3" s="240"/>
      <c r="Z3" s="240"/>
      <c r="AA3" s="240"/>
      <c r="AB3" s="240"/>
      <c r="AC3" s="240"/>
      <c r="AD3" s="240"/>
      <c r="AE3" s="240"/>
    </row>
    <row r="4" spans="1:99" s="69" customFormat="1" ph="1">
      <c r="A4" s="65" ph="1"/>
      <c r="B4" s="219" t="s" ph="1">
        <v>37</v>
      </c>
      <c r="C4" s="67" t="s" ph="1">
        <v>176</v>
      </c>
      <c r="D4" s="68" t="s" ph="1">
        <v>44</v>
      </c>
      <c r="E4" s="68" t="s" ph="1">
        <v>45</v>
      </c>
      <c r="F4" s="68" t="s" ph="1">
        <v>39</v>
      </c>
      <c r="G4" s="68" t="s" ph="1">
        <v>46</v>
      </c>
      <c r="H4" s="68" t="s" ph="1">
        <v>47</v>
      </c>
      <c r="I4" s="68" t="s" ph="1">
        <v>110</v>
      </c>
      <c r="J4" s="68" t="s" ph="1">
        <v>48</v>
      </c>
      <c r="K4" s="68" t="s" ph="1">
        <v>111</v>
      </c>
      <c r="L4" s="68" t="s" ph="1">
        <v>112</v>
      </c>
      <c r="M4" s="68" t="s" ph="1">
        <v>49</v>
      </c>
      <c r="N4" s="68" t="s" ph="1">
        <v>50</v>
      </c>
      <c r="O4" s="68" t="s" ph="1">
        <v>113</v>
      </c>
      <c r="P4" s="68" t="s" ph="1">
        <v>114</v>
      </c>
      <c r="Q4" s="68" t="s" ph="1">
        <v>115</v>
      </c>
      <c r="R4" s="68" t="s" ph="1">
        <v>116</v>
      </c>
      <c r="S4" s="68" t="s" ph="1">
        <v>117</v>
      </c>
      <c r="T4" s="68" t="s" ph="1">
        <v>118</v>
      </c>
      <c r="U4" s="68" t="s" ph="1">
        <v>119</v>
      </c>
      <c r="V4" s="68" t="s" ph="1">
        <v>120</v>
      </c>
      <c r="W4" s="68" t="s" ph="1">
        <v>121</v>
      </c>
      <c r="X4" s="68" t="s" ph="1">
        <v>122</v>
      </c>
      <c r="Y4" s="68" t="s" ph="1">
        <v>123</v>
      </c>
      <c r="Z4" s="68" t="s" ph="1">
        <v>51</v>
      </c>
      <c r="AA4" s="68" t="s" ph="1">
        <v>124</v>
      </c>
      <c r="AB4" s="68" t="s" ph="1">
        <v>125</v>
      </c>
      <c r="AC4" s="68" t="s" ph="1">
        <v>126</v>
      </c>
      <c r="AD4" s="68" t="s" ph="1">
        <v>40</v>
      </c>
      <c r="AE4" s="68" t="s" ph="1">
        <v>127</v>
      </c>
      <c r="AF4" s="65" ph="1"/>
      <c r="AG4" s="65" ph="1"/>
      <c r="AH4" s="65" ph="1"/>
      <c r="AI4" s="65" ph="1"/>
      <c r="AJ4" s="65" ph="1"/>
      <c r="AK4" s="65" ph="1"/>
      <c r="AL4" s="65" ph="1"/>
      <c r="AM4" s="65" ph="1"/>
      <c r="AN4" s="65" ph="1"/>
      <c r="AO4" s="65" ph="1"/>
      <c r="AP4" s="65" ph="1"/>
      <c r="AQ4" s="65" ph="1"/>
      <c r="AR4" s="65" ph="1"/>
      <c r="AS4" s="65" ph="1"/>
      <c r="AT4" s="65" ph="1"/>
      <c r="AU4" s="65" ph="1"/>
      <c r="AV4" s="65" ph="1"/>
      <c r="AW4" s="65" ph="1"/>
      <c r="AX4" s="65" ph="1"/>
      <c r="AY4" s="65" ph="1"/>
      <c r="AZ4" s="65" ph="1"/>
      <c r="BA4" s="65" ph="1"/>
      <c r="BB4" s="65" ph="1"/>
      <c r="BC4" s="65" ph="1"/>
      <c r="BD4" s="65" ph="1"/>
      <c r="BE4" s="65" ph="1"/>
      <c r="BF4" s="65" ph="1"/>
      <c r="BG4" s="65" ph="1"/>
      <c r="BH4" s="65" ph="1"/>
      <c r="BI4" s="65" ph="1"/>
      <c r="BJ4" s="65" ph="1"/>
      <c r="BK4" s="65" ph="1"/>
      <c r="BL4" s="65" ph="1"/>
      <c r="BM4" s="65" ph="1"/>
      <c r="BN4" s="65" ph="1"/>
      <c r="BO4" s="65" ph="1"/>
      <c r="BP4" s="65" ph="1"/>
      <c r="BQ4" s="65" ph="1"/>
      <c r="BR4" s="65" ph="1"/>
      <c r="BS4" s="65" ph="1"/>
      <c r="BT4" s="65" ph="1"/>
      <c r="BU4" s="65" ph="1"/>
      <c r="BV4" s="65" ph="1"/>
      <c r="BW4" s="65" ph="1"/>
      <c r="BX4" s="65" ph="1"/>
      <c r="BY4" s="65" ph="1"/>
      <c r="BZ4" s="65" ph="1"/>
      <c r="CA4" s="65" ph="1"/>
      <c r="CB4" s="65" ph="1"/>
      <c r="CC4" s="65" ph="1"/>
      <c r="CD4" s="65" ph="1"/>
      <c r="CE4" s="65" ph="1"/>
      <c r="CF4" s="65" ph="1"/>
      <c r="CG4" s="65" ph="1"/>
      <c r="CH4" s="65" ph="1"/>
      <c r="CI4" s="65" ph="1"/>
      <c r="CJ4" s="65" ph="1"/>
      <c r="CK4" s="65" ph="1"/>
      <c r="CL4" s="65" ph="1"/>
      <c r="CM4" s="65" ph="1"/>
      <c r="CN4" s="65" ph="1"/>
      <c r="CO4" s="65" ph="1"/>
      <c r="CP4" s="65" ph="1"/>
      <c r="CQ4" s="65" ph="1"/>
      <c r="CR4" s="65" ph="1"/>
      <c r="CS4" s="65" ph="1"/>
      <c r="CT4" s="65" ph="1"/>
      <c r="CU4" s="65" ph="1"/>
    </row>
    <row r="5" spans="1:99" s="69" customFormat="1" ht="29.25" customHeight="1" ph="1">
      <c r="A5" s="65" ph="1"/>
      <c r="B5" s="219" ph="1"/>
      <c r="C5" s="67" t="s" ph="1">
        <v>36</v>
      </c>
      <c r="D5" s="70" t="s" ph="1">
        <v>160</v>
      </c>
      <c r="E5" s="142" t="s" ph="1">
        <v>617</v>
      </c>
      <c r="F5" s="142" t="s" ph="1">
        <v>1</v>
      </c>
      <c r="G5" s="142" t="s" ph="1">
        <v>7</v>
      </c>
      <c r="H5" s="142" t="s" ph="1">
        <v>7</v>
      </c>
      <c r="I5" s="141" t="s" ph="1">
        <v>608</v>
      </c>
      <c r="J5" s="141" t="s" ph="1">
        <v>609</v>
      </c>
      <c r="K5" s="141" t="s" ph="1">
        <v>611</v>
      </c>
      <c r="L5" s="141" t="s" ph="1">
        <v>613</v>
      </c>
      <c r="M5" s="141" t="s" ph="1">
        <v>608</v>
      </c>
      <c r="N5" s="70" t="s" ph="1">
        <v>609</v>
      </c>
      <c r="O5" s="70" t="s" ph="1">
        <v>611</v>
      </c>
      <c r="P5" s="70" t="s" ph="1">
        <v>613</v>
      </c>
      <c r="Q5" s="70" t="s" ph="1">
        <v>607</v>
      </c>
      <c r="R5" s="70" t="s" ph="1">
        <v>607</v>
      </c>
      <c r="S5" s="70" t="s" ph="1">
        <v>607</v>
      </c>
      <c r="T5" s="70" t="s" ph="1">
        <v>607</v>
      </c>
      <c r="U5" s="70" t="s" ph="1">
        <v>607</v>
      </c>
      <c r="V5" s="70" t="s" ph="1">
        <v>607</v>
      </c>
      <c r="W5" s="70" t="s" ph="1">
        <v>607</v>
      </c>
      <c r="X5" s="70" t="s" ph="1">
        <v>607</v>
      </c>
      <c r="Y5" s="70" t="s" ph="1">
        <v>607</v>
      </c>
      <c r="Z5" s="70" t="s" ph="1">
        <v>614</v>
      </c>
      <c r="AA5" s="70" t="s" ph="1">
        <v>54</v>
      </c>
      <c r="AB5" s="70" t="s" ph="1">
        <v>54</v>
      </c>
      <c r="AC5" s="70" t="s" ph="1">
        <v>615</v>
      </c>
      <c r="AD5" s="71" t="s">
        <v>72</v>
      </c>
      <c r="AE5" s="71" t="s">
        <v>635</v>
      </c>
      <c r="AF5" s="65" ph="1"/>
      <c r="AG5" s="65" ph="1"/>
      <c r="AH5" s="65" ph="1"/>
      <c r="AI5" s="65" ph="1"/>
      <c r="AJ5" s="65" ph="1"/>
      <c r="AK5" s="65" ph="1"/>
      <c r="AL5" s="65" ph="1"/>
      <c r="AM5" s="65" ph="1"/>
      <c r="AN5" s="65" ph="1"/>
      <c r="AO5" s="65" ph="1"/>
      <c r="AP5" s="65" ph="1"/>
      <c r="AQ5" s="65" ph="1"/>
      <c r="AR5" s="65" ph="1"/>
      <c r="AS5" s="65" ph="1"/>
      <c r="AT5" s="65" ph="1"/>
      <c r="AU5" s="65" ph="1"/>
      <c r="AV5" s="65" ph="1"/>
      <c r="AW5" s="65" ph="1"/>
      <c r="AX5" s="65" ph="1"/>
      <c r="AY5" s="65" ph="1"/>
      <c r="AZ5" s="65" ph="1"/>
      <c r="BA5" s="65" ph="1"/>
      <c r="BB5" s="65" ph="1"/>
      <c r="BC5" s="65" ph="1"/>
      <c r="BD5" s="65" ph="1"/>
      <c r="BE5" s="65" ph="1"/>
      <c r="BF5" s="65" ph="1"/>
      <c r="BG5" s="65" ph="1"/>
      <c r="BH5" s="65" ph="1"/>
      <c r="BI5" s="65" ph="1"/>
      <c r="BJ5" s="65" ph="1"/>
      <c r="BK5" s="65" ph="1"/>
      <c r="BL5" s="65" ph="1"/>
      <c r="BM5" s="65" ph="1"/>
      <c r="BN5" s="65" ph="1"/>
      <c r="BO5" s="65" ph="1"/>
      <c r="BP5" s="65" ph="1"/>
      <c r="BQ5" s="65" ph="1"/>
      <c r="BR5" s="65" ph="1"/>
      <c r="BS5" s="65" ph="1"/>
      <c r="BT5" s="65" ph="1"/>
      <c r="BU5" s="65" ph="1"/>
      <c r="BV5" s="65" ph="1"/>
      <c r="BW5" s="65" ph="1"/>
      <c r="BX5" s="65" ph="1"/>
      <c r="BY5" s="65" ph="1"/>
      <c r="BZ5" s="65" ph="1"/>
      <c r="CA5" s="65" ph="1"/>
      <c r="CB5" s="65" ph="1"/>
      <c r="CC5" s="65" ph="1"/>
      <c r="CD5" s="65" ph="1"/>
      <c r="CE5" s="65" ph="1"/>
      <c r="CF5" s="65" ph="1"/>
      <c r="CG5" s="65" ph="1"/>
      <c r="CH5" s="65" ph="1"/>
      <c r="CI5" s="65" ph="1"/>
      <c r="CJ5" s="65" ph="1"/>
      <c r="CK5" s="65" ph="1"/>
      <c r="CL5" s="65" ph="1"/>
      <c r="CM5" s="65" ph="1"/>
      <c r="CN5" s="65" ph="1"/>
      <c r="CO5" s="65" ph="1"/>
      <c r="CP5" s="65" ph="1"/>
      <c r="CQ5" s="65" ph="1"/>
      <c r="CR5" s="65" ph="1"/>
      <c r="CS5" s="65" ph="1"/>
      <c r="CT5" s="65" ph="1"/>
      <c r="CU5" s="65" ph="1"/>
    </row>
    <row r="6" spans="1:99" ph="1">
      <c r="B6" s="237" ph="1">
        <v>0.33333333333333331</v>
      </c>
      <c r="C6" s="144" t="s" ph="1">
        <v>177</v>
      </c>
      <c r="D6" s="71">
        <v>4563</v>
      </c>
      <c r="E6" s="71">
        <v>3573</v>
      </c>
      <c r="F6" s="71">
        <v>4662</v>
      </c>
      <c r="G6" s="71">
        <v>44</v>
      </c>
      <c r="H6" s="71">
        <v>5395</v>
      </c>
      <c r="I6" s="71">
        <v>17.54</v>
      </c>
      <c r="J6" s="71">
        <v>76.739999999999995</v>
      </c>
      <c r="K6" s="71">
        <v>78.39</v>
      </c>
      <c r="L6" s="71">
        <v>6.69</v>
      </c>
      <c r="M6" s="71">
        <v>3650</v>
      </c>
      <c r="N6" s="71">
        <v>2191</v>
      </c>
      <c r="O6" s="71">
        <v>5422</v>
      </c>
      <c r="P6" s="71">
        <v>1177</v>
      </c>
      <c r="Q6" s="71">
        <v>7185</v>
      </c>
      <c r="R6" s="71">
        <v>7083</v>
      </c>
      <c r="S6" s="71">
        <v>5373</v>
      </c>
      <c r="T6" s="71">
        <v>7033</v>
      </c>
      <c r="U6" s="71">
        <v>3332</v>
      </c>
      <c r="V6" s="71">
        <v>3674</v>
      </c>
      <c r="W6" s="71">
        <v>0</v>
      </c>
      <c r="X6" s="71">
        <v>0</v>
      </c>
      <c r="Y6" s="71">
        <v>0</v>
      </c>
      <c r="Z6" s="71">
        <v>4708</v>
      </c>
      <c r="AA6" s="71">
        <v>1302</v>
      </c>
      <c r="AB6" s="71">
        <v>2044</v>
      </c>
      <c r="AC6" s="71">
        <v>5858</v>
      </c>
      <c r="AD6" s="71">
        <v>3108</v>
      </c>
      <c r="AE6" s="71">
        <v>5610</v>
      </c>
    </row>
    <row r="7" spans="1:99" s="72" customFormat="1" ht="22.2" ph="1">
      <c r="B7" s="237" ph="1"/>
      <c r="C7" s="68" t="s" ph="1">
        <v>178</v>
      </c>
      <c r="D7" s="73" ph="1">
        <f>D6*33.183*LOOKUP(D8,密度!$A$2:$A$50,密度!$Q$2:$Q$50)</f>
        <v>143028.72007398002</v>
      </c>
      <c r="E7" s="73" ph="1">
        <f>E6*51.53*LOOKUP(E8,密度!$A$2:$A$50,密度!$B$2:$B$50)</f>
        <v>143224.37315100001</v>
      </c>
      <c r="F7" s="73" ph="1">
        <f>F6*33.183*LOOKUP(F8,密度!$A$2:$A$50,密度!$C$2:$C$50)</f>
        <v>171545.8829994</v>
      </c>
      <c r="G7" s="73" ph="1">
        <f xml:space="preserve"> (G6+2)*51.53*LOOKUP(G8,密度!$A$2:$A$50,密度!$B$2:$B$50)</f>
        <v>1845.8149060000001</v>
      </c>
      <c r="H7" s="73" ph="1">
        <f>(H6)*51.53*LOOKUP(H8,密度!$A$2:$A$50,密度!$B$2:$B$50)</f>
        <v>216481.987345</v>
      </c>
      <c r="I7" s="73" ph="1">
        <f>I6*290.8*1.0267</f>
        <v>5236.818874399999</v>
      </c>
      <c r="J7" s="73" ph="1">
        <f>J6*290.8*0.7892</f>
        <v>17611.7808864</v>
      </c>
      <c r="K7" s="73" ph="1">
        <f>K6*290.8*1.1126</f>
        <v>25362.620431200001</v>
      </c>
      <c r="L7" s="73" ph="1">
        <f>L6*290.8*0.777</f>
        <v>1511.6162040000002</v>
      </c>
      <c r="M7" s="73" ph="1">
        <f>M6*33.183*LOOKUP(M8,密度!$A$2:$A$50,密度!$D$2:$D$50)</f>
        <v>124242.79311</v>
      </c>
      <c r="N7" s="73" ph="1">
        <f>N6*33.183*LOOKUP(N8,密度!$A$2:$A$50,密度!$E$2:$E$50)</f>
        <v>56694.542549400001</v>
      </c>
      <c r="O7" s="73" ph="1">
        <f>O6*20.428*LOOKUP(O8,密度!$A$2:$A$50,密度!$C$2:$C$50)</f>
        <v>122290.79612560001</v>
      </c>
      <c r="P7" s="73" ph="1">
        <f>P6*51.53*LOOKUP(P8,密度!$A$2:$A$50,密度!$B$2:$B$50)</f>
        <v>47228.785747000002</v>
      </c>
      <c r="Q7" s="73" ph="1">
        <f>Q6*1.5*1.5*3.1416*LOOKUP(W8,密度!$A$2:$A$50,密度!$L$2:$L$50)</f>
        <v>47486.678085</v>
      </c>
      <c r="R7" s="73" ph="1">
        <f>R6*1.5*1.5*3.1416*LOOKUP(R8,密度!$A$2:$A$50,密度!$L$2:$L$50)</f>
        <v>46562.211234000002</v>
      </c>
      <c r="S7" s="73" ph="1">
        <f>S6*1.5*1.5*3.1416*LOOKUP(S8,密度!$A$2:$A$50,密度!$L$2:$L$50)</f>
        <v>35586.873768600002</v>
      </c>
      <c r="T7" s="73" ph="1">
        <f>T6*1.5*1.5*3.1416*LOOKUP(T8,密度!$A$2:$A$50,密度!$L$2:$L$50)</f>
        <v>46531.802116799998</v>
      </c>
      <c r="U7" s="73" ph="1">
        <f>U6*1.5*1.5*3.1416*LOOKUP(U8,密度!$A$2:$A$50,密度!$L$2:$L$50)</f>
        <v>22045.210387200001</v>
      </c>
      <c r="V7" s="73" ph="1">
        <f>V6*1.5*1.5*3.1416*LOOKUP(V8,密度!$A$2:$A$50,密度!$L$2:$L$50)</f>
        <v>24281.984034000001</v>
      </c>
      <c r="W7" s="73" ph="1">
        <f>W6*1.5*1.5*3.1416*LOOKUP(W8,密度!$A$2:$A$50,密度!$L$2:$L$50)</f>
        <v>0</v>
      </c>
      <c r="X7" s="73" ph="1">
        <f>X6*1.5*1.5*3.1416*LOOKUP(X8,密度!$A$2:$A$50,密度!$L$2:$L$50)</f>
        <v>0</v>
      </c>
      <c r="Y7" s="73" ph="1">
        <f>Y6*1.5*1.5*3.1416*LOOKUP(Y8,密度!$A$2:$A$50,密度!$L$2:$L$50)</f>
        <v>0</v>
      </c>
      <c r="Z7" s="73" ph="1">
        <f>Z6*33.183*LOOKUP(Z8,密度!$A$2:$A$50,密度!$L$2:$L$50)</f>
        <v>146539.57903200001</v>
      </c>
      <c r="AA7" s="73" ph="1">
        <f>AA6*33.183*LOOKUP(AA8,密度!$A$2:$A$50,密度!$D$2:$D$50)</f>
        <v>44318.936062800007</v>
      </c>
      <c r="AB7" s="73" ph="1">
        <f>AB6*20.428*LOOKUP(AB8,密度!$A$2:$A$50,密度!$D$2:$D$50)</f>
        <v>42949.020195199999</v>
      </c>
      <c r="AC7" s="73" ph="1">
        <f>AC6*51.53*LOOKUP(AC8,密度!$A$2:$A$50,密度!$Q$2:$Q$50)</f>
        <v>285571.20792219997</v>
      </c>
      <c r="AD7" s="73" ph="1">
        <f>AD6*20.428*LOOKUP(AD8,密度!$A$2:$A$50,密度!$V$2:$V$50)</f>
        <v>60798.238502400003</v>
      </c>
      <c r="AE7" s="73" ph="1">
        <f>AE6*20.428</f>
        <v>114601.08</v>
      </c>
    </row>
    <row r="8" spans="1:99" ph="1">
      <c r="B8" s="237" ph="1"/>
      <c r="C8" s="68" t="s" ph="1">
        <v>179</v>
      </c>
      <c r="D8" s="74">
        <v>28</v>
      </c>
      <c r="E8" s="74">
        <v>27</v>
      </c>
      <c r="F8" s="74">
        <v>25</v>
      </c>
      <c r="G8" s="74">
        <v>26</v>
      </c>
      <c r="H8" s="74">
        <v>26</v>
      </c>
      <c r="I8" s="74">
        <v>25</v>
      </c>
      <c r="J8" s="74">
        <v>25</v>
      </c>
      <c r="K8" s="74">
        <v>25</v>
      </c>
      <c r="L8" s="74">
        <v>25</v>
      </c>
      <c r="M8" s="74">
        <v>26</v>
      </c>
      <c r="N8" s="74">
        <v>28</v>
      </c>
      <c r="O8" s="74">
        <v>31</v>
      </c>
      <c r="P8" s="74">
        <v>26</v>
      </c>
      <c r="Q8" s="74">
        <v>28</v>
      </c>
      <c r="R8" s="74">
        <v>32</v>
      </c>
      <c r="S8" s="74">
        <v>25</v>
      </c>
      <c r="T8" s="74">
        <v>26</v>
      </c>
      <c r="U8" s="74">
        <v>26</v>
      </c>
      <c r="V8" s="74">
        <v>27</v>
      </c>
      <c r="W8" s="74">
        <v>27</v>
      </c>
      <c r="X8" s="74">
        <v>20</v>
      </c>
      <c r="Y8" s="74">
        <v>27</v>
      </c>
      <c r="Z8" s="74">
        <v>24</v>
      </c>
      <c r="AA8" s="74">
        <v>26</v>
      </c>
      <c r="AB8" s="74">
        <v>23</v>
      </c>
      <c r="AC8" s="74">
        <v>26</v>
      </c>
      <c r="AD8" s="74">
        <v>28</v>
      </c>
      <c r="AE8" s="74">
        <v>28</v>
      </c>
    </row>
    <row r="9" spans="1:99" ht="26.4" ph="1">
      <c r="B9" s="237" ph="1">
        <v>0.66666666666666663</v>
      </c>
      <c r="C9" s="144" t="s" ph="1">
        <v>180</v>
      </c>
      <c r="D9" s="71">
        <v>4016</v>
      </c>
      <c r="E9" s="71">
        <v>3573</v>
      </c>
      <c r="F9" s="71">
        <v>4663</v>
      </c>
      <c r="G9" s="71">
        <v>465</v>
      </c>
      <c r="H9" s="71">
        <v>5140</v>
      </c>
      <c r="I9" s="71">
        <v>17.57</v>
      </c>
      <c r="J9" s="71">
        <v>76.819999999999993</v>
      </c>
      <c r="K9" s="71">
        <v>87.84</v>
      </c>
      <c r="L9" s="71">
        <v>65.06</v>
      </c>
      <c r="M9" s="71">
        <v>3650</v>
      </c>
      <c r="N9" s="71">
        <v>2194</v>
      </c>
      <c r="O9" s="71">
        <v>3915</v>
      </c>
      <c r="P9" s="71">
        <v>1079</v>
      </c>
      <c r="Q9" s="71">
        <v>7187</v>
      </c>
      <c r="R9" s="71">
        <v>7086</v>
      </c>
      <c r="S9" s="71">
        <v>5375</v>
      </c>
      <c r="T9" s="71">
        <v>7036</v>
      </c>
      <c r="U9" s="71">
        <v>5950</v>
      </c>
      <c r="V9" s="71">
        <v>5963</v>
      </c>
      <c r="W9" s="71">
        <v>2978</v>
      </c>
      <c r="X9" s="71">
        <v>2567</v>
      </c>
      <c r="Y9" s="71">
        <v>0</v>
      </c>
      <c r="Z9" s="71">
        <v>6706</v>
      </c>
      <c r="AA9" s="71">
        <v>1304</v>
      </c>
      <c r="AB9" s="71">
        <v>1915</v>
      </c>
      <c r="AC9" s="71">
        <v>5860</v>
      </c>
      <c r="AD9" s="71">
        <v>3108</v>
      </c>
      <c r="AE9" s="71">
        <v>5685</v>
      </c>
    </row>
    <row r="10" spans="1:99" s="72" customFormat="1" ht="22.2" ph="1">
      <c r="B10" s="237" ph="1"/>
      <c r="C10" s="144" t="s" ph="1">
        <v>178</v>
      </c>
      <c r="D10" s="73" ph="1">
        <f>D9*33.183*LOOKUP(D11,密度!$A$2:$A$50,密度!$Q$2:$Q$50)</f>
        <v>125976.11109696</v>
      </c>
      <c r="E10" s="73" ph="1">
        <f>E9*51.53*LOOKUP(E11,密度!$A$2:$A$50,密度!$B$2:$B$50)</f>
        <v>143703.07654499999</v>
      </c>
      <c r="F10" s="73" ph="1">
        <f>F9*33.183*LOOKUP(F11,密度!$A$2:$A$50,密度!$C$2:$C$50)</f>
        <v>171582.67962809998</v>
      </c>
      <c r="G10" s="73" ph="1">
        <f xml:space="preserve"> (G9+2)*51.53*LOOKUP(G11,密度!$A$2:$A$50,密度!$B$2:$B$50)</f>
        <v>18719.782329000001</v>
      </c>
      <c r="H10" s="73" ph="1">
        <f>(H9)*51.53*LOOKUP(H11,密度!$A$2:$A$50,密度!$B$2:$B$50)</f>
        <v>206249.75253999999</v>
      </c>
      <c r="I10" s="73" ph="1">
        <f>I9*290.8*1.0267</f>
        <v>5245.7758052000008</v>
      </c>
      <c r="J10" s="73" ph="1">
        <f>J9*290.8*0.7892</f>
        <v>17630.1408352</v>
      </c>
      <c r="K10" s="73" ph="1">
        <f>K9*290.8*1.1126</f>
        <v>28420.111987200005</v>
      </c>
      <c r="L10" s="73" ph="1">
        <f>L9*290.8*0.777</f>
        <v>14700.411096</v>
      </c>
      <c r="M10" s="73" ph="1">
        <f>M9*33.183*LOOKUP(M11,密度!$A$2:$A$50,密度!$D$2:$D$50)</f>
        <v>124121.67515999998</v>
      </c>
      <c r="N10" s="73" ph="1">
        <f>N9*33.183*LOOKUP(N11,密度!$A$2:$A$50,密度!$E$2:$E$50)</f>
        <v>56692.08700739999</v>
      </c>
      <c r="O10" s="73" ph="1">
        <f>O9*20.428*LOOKUP(O11,密度!$A$2:$A$50,密度!$C$2:$C$50)</f>
        <v>88133.133240000025</v>
      </c>
      <c r="P10" s="73" ph="1">
        <f>P9*51.53*LOOKUP(P11,密度!$A$2:$A$50,密度!$B$2:$B$50)</f>
        <v>43251.916773000004</v>
      </c>
      <c r="Q10" s="73" ph="1">
        <f>Q9*1.5*1.5*3.1416*LOOKUP(W11,密度!$A$2:$A$50,密度!$L$2:$L$50)</f>
        <v>47601.500423400001</v>
      </c>
      <c r="R10" s="73" ph="1">
        <f>R9*1.5*1.5*3.1416*LOOKUP(R11,密度!$A$2:$A$50,密度!$L$2:$L$50)</f>
        <v>46431.668329200002</v>
      </c>
      <c r="S10" s="73" ph="1">
        <f>S9*1.5*1.5*3.1416*LOOKUP(S11,密度!$A$2:$A$50,密度!$L$2:$L$50)</f>
        <v>35486.139150000003</v>
      </c>
      <c r="T10" s="73" ph="1">
        <f>T9*1.5*1.5*3.1416*LOOKUP(T11,密度!$A$2:$A$50,密度!$L$2:$L$50)</f>
        <v>46651.120084800001</v>
      </c>
      <c r="U10" s="73" ph="1">
        <f>U9*1.5*1.5*3.1416*LOOKUP(U11,密度!$A$2:$A$50,密度!$L$2:$L$50)</f>
        <v>39408.505290000001</v>
      </c>
      <c r="V10" s="73" ph="1">
        <f>V9*1.5*1.5*3.1416*LOOKUP(V11,密度!$A$2:$A$50,密度!$L$2:$L$50)</f>
        <v>39368.157721199997</v>
      </c>
      <c r="W10" s="73" ph="1">
        <f>W9*1.5*1.5*3.1416*LOOKUP(W11,密度!$A$2:$A$50,密度!$L$2:$L$50)</f>
        <v>19724.122479599999</v>
      </c>
      <c r="X10" s="73" ph="1">
        <f>X9*1.5*1.5*3.1416*LOOKUP(X11,密度!$A$2:$A$50,密度!$L$2:$L$50)</f>
        <v>17128.970812799998</v>
      </c>
      <c r="Y10" s="73" ph="1">
        <f>Y9*1.5*1.5*3.1416*LOOKUP(Y11,密度!$A$2:$A$50,密度!$L$2:$L$50)</f>
        <v>0</v>
      </c>
      <c r="Z10" s="73" ph="1">
        <f>Z9*33.183*LOOKUP(Z11,密度!$A$2:$A$50,密度!$L$2:$L$50)</f>
        <v>208728.63572399999</v>
      </c>
      <c r="AA10" s="73" ph="1">
        <f>AA9*33.183*LOOKUP(AA11,密度!$A$2:$A$50,密度!$D$2:$D$50)</f>
        <v>44464.901443200004</v>
      </c>
      <c r="AB10" s="73" ph="1">
        <f>AB9*20.428*LOOKUP(AB11,密度!$A$2:$A$50,密度!$D$2:$D$50)</f>
        <v>40238.441132</v>
      </c>
      <c r="AC10" s="73" ph="1">
        <f>AC9*51.53*LOOKUP(AC11,密度!$A$2:$A$50,密度!$Q$2:$Q$50)</f>
        <v>285242.93399599998</v>
      </c>
      <c r="AD10" s="73" ph="1">
        <f>AD9*20.428*LOOKUP(AD11,密度!$A$2:$A$50,密度!$V$2:$V$50)</f>
        <v>60798.238502400003</v>
      </c>
      <c r="AE10" s="73" ph="1">
        <f>AE9*20.428</f>
        <v>116133.18000000001</v>
      </c>
    </row>
    <row r="11" spans="1:99" ph="1">
      <c r="A11" s="64" t="s" ph="1">
        <v>162</v>
      </c>
      <c r="B11" s="237" ph="1"/>
      <c r="C11" s="144" t="s" ph="1">
        <v>179</v>
      </c>
      <c r="D11" s="74">
        <v>27</v>
      </c>
      <c r="E11" s="74">
        <v>24</v>
      </c>
      <c r="F11" s="74">
        <v>25</v>
      </c>
      <c r="G11" s="74">
        <v>27</v>
      </c>
      <c r="H11" s="74">
        <v>26</v>
      </c>
      <c r="I11" s="74">
        <v>25</v>
      </c>
      <c r="J11" s="74">
        <v>25</v>
      </c>
      <c r="K11" s="74">
        <v>25</v>
      </c>
      <c r="L11" s="74">
        <v>25</v>
      </c>
      <c r="M11" s="74">
        <v>27</v>
      </c>
      <c r="N11" s="74">
        <v>29</v>
      </c>
      <c r="O11" s="74">
        <v>33</v>
      </c>
      <c r="P11" s="74">
        <v>27</v>
      </c>
      <c r="Q11" s="74">
        <v>32</v>
      </c>
      <c r="R11" s="74">
        <v>35</v>
      </c>
      <c r="S11" s="74">
        <v>28</v>
      </c>
      <c r="T11" s="74">
        <v>24</v>
      </c>
      <c r="U11" s="74">
        <v>25</v>
      </c>
      <c r="V11" s="74">
        <v>28</v>
      </c>
      <c r="W11" s="74">
        <v>25</v>
      </c>
      <c r="X11" s="74">
        <v>18</v>
      </c>
      <c r="Y11" s="74">
        <v>29</v>
      </c>
      <c r="Z11" s="74">
        <v>24</v>
      </c>
      <c r="AA11" s="74">
        <v>24</v>
      </c>
      <c r="AB11" s="74">
        <v>23</v>
      </c>
      <c r="AC11" s="74">
        <v>28</v>
      </c>
      <c r="AD11" s="74">
        <v>30</v>
      </c>
      <c r="AE11" s="74">
        <v>28</v>
      </c>
    </row>
    <row r="12" spans="1:99" ht="9.9" customHeight="1" ph="1"/>
    <row r="13" spans="1:99" s="72" customFormat="1" ht="29.25" customHeight="1" ph="1">
      <c r="B13" s="214" t="s" ph="1">
        <v>37</v>
      </c>
      <c r="C13" s="144" t="s" ph="1">
        <v>176</v>
      </c>
      <c r="D13" s="76" t="s" ph="1">
        <v>52</v>
      </c>
      <c r="E13" s="76" t="s" ph="1">
        <v>53</v>
      </c>
      <c r="F13" s="76" t="s" ph="1">
        <v>57</v>
      </c>
      <c r="G13" s="76" t="s" ph="1">
        <v>58</v>
      </c>
      <c r="H13" s="76" t="s" ph="1">
        <v>128</v>
      </c>
      <c r="I13" s="76" t="s" ph="1">
        <v>59</v>
      </c>
      <c r="J13" s="76" t="s" ph="1">
        <v>129</v>
      </c>
      <c r="K13" s="76" t="s" ph="1">
        <v>55</v>
      </c>
      <c r="L13" s="76" t="s" ph="1">
        <v>60</v>
      </c>
      <c r="M13" s="76" t="s" ph="1">
        <v>61</v>
      </c>
      <c r="N13" s="76" t="s" ph="1">
        <v>130</v>
      </c>
      <c r="O13" s="76" t="s" ph="1">
        <v>56</v>
      </c>
      <c r="P13" s="76" t="s" ph="1">
        <v>62</v>
      </c>
      <c r="Q13" s="76" t="s" ph="1">
        <v>63</v>
      </c>
      <c r="R13" s="76" t="s" ph="1">
        <v>64</v>
      </c>
      <c r="S13" s="76" t="s" ph="1">
        <v>65</v>
      </c>
      <c r="T13" s="76" t="s" ph="1">
        <v>66</v>
      </c>
      <c r="U13" s="76" t="s" ph="1">
        <v>67</v>
      </c>
      <c r="V13" s="76" t="s" ph="1">
        <v>131</v>
      </c>
      <c r="W13" s="76" t="s" ph="1">
        <v>132</v>
      </c>
      <c r="X13" s="76" t="s" ph="1">
        <v>133</v>
      </c>
      <c r="Y13" s="105" t="s" ph="1">
        <v>68</v>
      </c>
      <c r="Z13" s="76" t="s" ph="1">
        <v>74</v>
      </c>
      <c r="AA13" s="76" t="s" ph="1">
        <v>134</v>
      </c>
      <c r="AB13" s="76" t="s" ph="1">
        <v>135</v>
      </c>
      <c r="AC13" s="76" t="s" ph="1">
        <v>136</v>
      </c>
      <c r="AD13" s="76" t="s" ph="1">
        <v>137</v>
      </c>
      <c r="AE13" s="76" t="s" ph="1">
        <v>138</v>
      </c>
      <c r="AG13" s="72" t="s" ph="1">
        <v>325</v>
      </c>
      <c r="AH13" s="72" t="s" ph="1">
        <v>188</v>
      </c>
      <c r="AI13" s="72" t="s" ph="1">
        <v>189</v>
      </c>
      <c r="AJ13" s="72" t="s" ph="1">
        <v>190</v>
      </c>
      <c r="AK13" s="72" t="s" ph="1">
        <v>191</v>
      </c>
      <c r="AL13" s="72" t="s" ph="1">
        <v>192</v>
      </c>
      <c r="AM13" s="72" t="s" ph="1">
        <v>193</v>
      </c>
      <c r="AN13" s="72" t="s" ph="1">
        <v>194</v>
      </c>
      <c r="AO13" s="72" t="s" ph="1">
        <v>195</v>
      </c>
      <c r="AP13" s="72" t="s" ph="1">
        <v>196</v>
      </c>
      <c r="AQ13" s="72" t="s" ph="1">
        <v>197</v>
      </c>
      <c r="AR13" s="72" t="s" ph="1">
        <v>198</v>
      </c>
      <c r="AS13" s="72" t="s" ph="1">
        <v>199</v>
      </c>
      <c r="AT13" s="72" t="s" ph="1">
        <v>200</v>
      </c>
      <c r="AU13" s="72" t="s" ph="1">
        <v>201</v>
      </c>
      <c r="AV13" s="72" t="s" ph="1">
        <v>202</v>
      </c>
      <c r="AW13" s="72" t="s" ph="1">
        <v>203</v>
      </c>
      <c r="AX13" s="72" t="s" ph="1">
        <v>204</v>
      </c>
      <c r="AY13" s="72" t="s" ph="1">
        <v>326</v>
      </c>
      <c r="AZ13" s="72" t="s" ph="1">
        <v>205</v>
      </c>
      <c r="BA13" s="72" t="s" ph="1">
        <v>206</v>
      </c>
      <c r="BB13" s="72" t="s" ph="1">
        <v>591</v>
      </c>
      <c r="BC13" s="72" t="s" ph="1">
        <v>207</v>
      </c>
      <c r="BD13" s="72" t="s" ph="1">
        <v>327</v>
      </c>
      <c r="BE13" s="72" t="s" ph="1">
        <v>328</v>
      </c>
      <c r="BF13" s="72" t="s" ph="1">
        <v>329</v>
      </c>
      <c r="BG13" s="72" t="s" ph="1">
        <v>330</v>
      </c>
      <c r="BH13" s="72" t="s" ph="1">
        <v>331</v>
      </c>
    </row>
    <row r="14" spans="1:99" s="72" customFormat="1" ht="24" ph="1">
      <c r="B14" s="215" ph="1"/>
      <c r="C14" s="67" t="s" ph="1">
        <v>36</v>
      </c>
      <c r="D14" s="77" t="s" ph="1">
        <v>616</v>
      </c>
      <c r="E14" s="77" t="s" ph="1">
        <v>616</v>
      </c>
      <c r="F14" s="77" t="s" ph="1">
        <v>639</v>
      </c>
      <c r="G14" s="77" t="s" ph="1">
        <v>617</v>
      </c>
      <c r="H14" s="77" t="s" ph="1">
        <v>636</v>
      </c>
      <c r="I14" s="138" t="s" ph="1">
        <v>618</v>
      </c>
      <c r="J14" s="77" t="s" ph="1">
        <v>619</v>
      </c>
      <c r="K14" s="77" t="s" ph="1">
        <v>186</v>
      </c>
      <c r="L14" s="77" t="s" ph="1">
        <v>41</v>
      </c>
      <c r="M14" s="104" t="s" ph="1">
        <v>620</v>
      </c>
      <c r="N14" s="104" t="s" ph="1">
        <v>621</v>
      </c>
      <c r="O14" s="104" t="s" ph="1">
        <v>637</v>
      </c>
      <c r="P14" s="77" t="s" ph="1">
        <v>622</v>
      </c>
      <c r="Q14" s="77" t="s" ph="1">
        <v>622</v>
      </c>
      <c r="R14" s="77" t="s" ph="1">
        <v>622</v>
      </c>
      <c r="S14" s="77" t="s" ph="1">
        <v>622</v>
      </c>
      <c r="T14" s="77" t="s" ph="1">
        <v>624</v>
      </c>
      <c r="U14" s="77" t="s" ph="1">
        <v>605</v>
      </c>
      <c r="V14" s="77" t="s" ph="1">
        <v>633</v>
      </c>
      <c r="W14" s="77" t="s" ph="1">
        <v>622</v>
      </c>
      <c r="X14" s="77" t="s" ph="1">
        <v>625</v>
      </c>
      <c r="Y14" s="143" t="s" ph="1">
        <v>0</v>
      </c>
      <c r="Z14" s="77" t="s" ph="1">
        <v>54</v>
      </c>
      <c r="AA14" s="77" t="s" ph="1">
        <v>613</v>
      </c>
      <c r="AB14" s="77" t="s" ph="1">
        <v>632</v>
      </c>
      <c r="AC14" s="77" t="s" ph="1">
        <v>632</v>
      </c>
      <c r="AD14" s="77" t="s" ph="1">
        <v>612</v>
      </c>
      <c r="AE14" s="77" t="s" ph="1">
        <v>612</v>
      </c>
      <c r="AG14" s="72" t="s" ph="1">
        <v>208</v>
      </c>
      <c r="AI14" s="72" t="s" ph="1">
        <v>209</v>
      </c>
      <c r="AJ14" s="72" t="s" ph="1">
        <v>332</v>
      </c>
      <c r="AK14" s="72" t="s" ph="1">
        <v>210</v>
      </c>
      <c r="AM14" s="72" t="s" ph="1">
        <v>212</v>
      </c>
      <c r="AN14" s="72" t="s" ph="1">
        <v>210</v>
      </c>
      <c r="AO14" s="72" t="s" ph="1">
        <v>211</v>
      </c>
      <c r="AP14" s="72" t="s" ph="1">
        <v>212</v>
      </c>
      <c r="AQ14" s="72" t="s" ph="1">
        <v>210</v>
      </c>
      <c r="AR14" s="72" t="s" ph="1">
        <v>211</v>
      </c>
      <c r="AS14" s="72" t="s" ph="1">
        <v>212</v>
      </c>
      <c r="AT14" s="72" t="s" ph="1">
        <v>210</v>
      </c>
      <c r="AU14" s="72" t="s" ph="1">
        <v>211</v>
      </c>
      <c r="AV14" s="72" t="s" ph="1">
        <v>212</v>
      </c>
      <c r="AW14" s="72" t="s" ph="1">
        <v>210</v>
      </c>
      <c r="AX14" s="72" t="s" ph="1">
        <v>211</v>
      </c>
      <c r="AY14" s="72" t="s" ph="1">
        <v>212</v>
      </c>
      <c r="AZ14" s="72" t="s" ph="1">
        <v>211</v>
      </c>
    </row>
    <row r="15" spans="1:99" ph="1">
      <c r="B15" s="216" ph="1">
        <v>0.33333333333333331</v>
      </c>
      <c r="C15" s="144" t="s" ph="1">
        <v>177</v>
      </c>
      <c r="D15" s="78">
        <v>0</v>
      </c>
      <c r="E15" s="78">
        <v>4391</v>
      </c>
      <c r="F15" s="78">
        <v>2510</v>
      </c>
      <c r="G15" s="78">
        <v>3018</v>
      </c>
      <c r="H15" s="78">
        <v>2185</v>
      </c>
      <c r="I15" s="78">
        <v>213</v>
      </c>
      <c r="J15" s="78">
        <v>4134</v>
      </c>
      <c r="K15" s="78">
        <v>3654</v>
      </c>
      <c r="L15" s="78">
        <v>7216</v>
      </c>
      <c r="M15" s="78">
        <v>213</v>
      </c>
      <c r="N15" s="78">
        <v>2644</v>
      </c>
      <c r="O15" s="78">
        <v>1907</v>
      </c>
      <c r="P15" s="78">
        <v>5008</v>
      </c>
      <c r="Q15" s="78">
        <v>551</v>
      </c>
      <c r="R15" s="78">
        <v>0</v>
      </c>
      <c r="S15" s="78">
        <v>189</v>
      </c>
      <c r="T15" s="78">
        <v>1687</v>
      </c>
      <c r="U15" s="78">
        <v>3888</v>
      </c>
      <c r="V15" s="78">
        <v>1548</v>
      </c>
      <c r="W15" s="71">
        <v>-151</v>
      </c>
      <c r="X15" s="78">
        <v>857</v>
      </c>
      <c r="Y15" s="106">
        <v>-9907</v>
      </c>
      <c r="Z15" s="78">
        <v>0</v>
      </c>
      <c r="AA15" s="78">
        <v>2473</v>
      </c>
      <c r="AB15" s="78" ph="1">
        <v>8</v>
      </c>
      <c r="AC15" s="78" ph="1">
        <v>0</v>
      </c>
      <c r="AD15" s="78">
        <v>5.44</v>
      </c>
      <c r="AE15" s="78">
        <v>47.34</v>
      </c>
      <c r="AG15" s="64" t="s" ph="1">
        <v>214</v>
      </c>
      <c r="AH15" s="64" ph="1">
        <v>1</v>
      </c>
      <c r="AI15" s="64" t="s" ph="1">
        <v>333</v>
      </c>
      <c r="AK15" s="64" t="s" ph="1">
        <v>587</v>
      </c>
      <c r="AM15" s="64" t="s" ph="1">
        <v>335</v>
      </c>
      <c r="AZ15" s="64" t="s" ph="1">
        <v>216</v>
      </c>
      <c r="BA15" s="64" ph="1">
        <v>0</v>
      </c>
    </row>
    <row r="16" spans="1:99" s="72" customFormat="1" ht="22.2" ph="1">
      <c r="B16" s="217" ph="1"/>
      <c r="C16" s="144" t="s" ph="1">
        <v>178</v>
      </c>
      <c r="D16" s="73" ph="1">
        <f>D15*7.0686*LOOKUP(D17,密度!$A$2:$A$50,密度!$L$2:$L$50)</f>
        <v>0</v>
      </c>
      <c r="E16" s="73" ph="1">
        <f>E15*7.0686*LOOKUP(E17,密度!$A$2:$A$50,密度!$L$2:$L$50)</f>
        <v>29082.814576200002</v>
      </c>
      <c r="F16" s="73" ph="1">
        <f>F15*9.0746*LOOKUP(F17,密度!$A$2:$A$50,密度!$L$2:$L$50)</f>
        <v>21273.947764</v>
      </c>
      <c r="G16" s="73" ph="1">
        <f>G15*9.0746*LOOKUP(G17,密度!$A$2:$A$50,密度!$B$2:$B$50)</f>
        <v>21351.016526880001</v>
      </c>
      <c r="H16" s="73" ph="1">
        <f>H15*9.0746*LOOKUP(H17,密度!$A$2:$A$50,密度!$L$2:$L$50)</f>
        <v>18638.320939999998</v>
      </c>
      <c r="I16" s="73" ph="1">
        <f>I15*9.0746*LOOKUP(I17,密度!$A$2:$A$50,密度!$U$2:$U$50)</f>
        <v>1983.1449348000001</v>
      </c>
      <c r="J16" s="73" ph="1">
        <f>J15*9.0746*LOOKUP(J17,密度!$A$2:$A$50,密度!$L$2:$L$50)</f>
        <v>35113.475030399997</v>
      </c>
      <c r="K16" s="73" ph="1">
        <f>K15*9.0746*LOOKUP(K17,密度!$A$2:$A$50,密度!$C$2:$C$50)</f>
        <v>36743.031806040002</v>
      </c>
      <c r="L16" s="73" ph="1">
        <f>L15*9.0746*LOOKUP(L17,密度!$A$2:$A$50,密度!$E$2:$E$50)</f>
        <v>51063.108145280006</v>
      </c>
      <c r="M16" s="73" ph="1">
        <f>M15*9.0746*LOOKUP(M17,密度!$A$2:$A$50,密度!$M$2:$M$50)</f>
        <v>1685.4799056000002</v>
      </c>
      <c r="N16" s="73" ph="1">
        <f>N15*9.0746*LOOKUP(N17,密度!$A$2:$A$50,密度!$M$2:$M$50)</f>
        <v>20996.48642424</v>
      </c>
      <c r="O16" s="73" ph="1">
        <f>O15*9.0746*LOOKUP(O17,密度!$A$2:$A$50,密度!$G$2:$G$50)</f>
        <v>16561.135925400002</v>
      </c>
      <c r="P16" s="73" ph="1">
        <f ca="1">P15*9.0746*LOOKUP(P17,密度!$A$2:$A$51,密度!$Q$2:$Q$50)</f>
        <v>42928.819649215999</v>
      </c>
      <c r="Q16" s="73" ph="1">
        <f>Q15*9.0746*LOOKUP(Q17,密度!$A$2:$A$50,密度!$Q$2:$Q$50)</f>
        <v>4733.7990290040007</v>
      </c>
      <c r="R16" s="73" ph="1">
        <f>MAX(R15*9.0746*LOOKUP(R17,密度!$A$2:$A$50,密度!$Q$2:$Q$50),0)</f>
        <v>0</v>
      </c>
      <c r="S16" s="73" ph="1">
        <f>S15*9.0746*LOOKUP(S17,密度!$A$2:$A$50,密度!$Q$2:$Q$50)</f>
        <v>1623.7532059560001</v>
      </c>
      <c r="T16" s="73" ph="1">
        <f>T15*9.0746*LOOKUP(T17,密度!$A$2:$A$50,密度!$O$2:$O$50)</f>
        <v>14175.995285200001</v>
      </c>
      <c r="U16" s="73" ph="1">
        <f>U15*9.0746*LOOKUP(U17,密度!$A$2:$A$50,密度!$H$2:$H$50)</f>
        <v>32244.260742720006</v>
      </c>
      <c r="V16" s="73" ph="1">
        <f>MAX(5600*LOOKUP(V17,密度!$A$2:$A$50,密度!$Q$2:$Q$50)+V15*9.0476*LOOKUP(V17,密度!$A$2:$A$50,密度!$Q$2:$Q$50),0)</f>
        <v>18547.565991343999</v>
      </c>
      <c r="W16" s="73" ph="1">
        <f>MAX(5600*LOOKUP(W17,密度!$A$2:$A$50,密度!$Q$2:$Q$50)+W15*9.0476*LOOKUP(W17,密度!$A$2:$A$50,密度!$Q$2:$Q$50),0)</f>
        <v>3999.3438692880004</v>
      </c>
      <c r="X16" s="73" ph="1">
        <f>MAX(5600*LOOKUP(X17,密度!$A$2:$A$50,密度!$I$2:$I$50)+X15*9.0476*LOOKUP(X17,密度!$A$2:$A$50,密度!$I$2:$I$50),0)</f>
        <v>13874.591134799997</v>
      </c>
      <c r="Y16" s="107" ph="1">
        <v>0</v>
      </c>
      <c r="Z16" s="73" ph="1">
        <f>Z15*9.0746*LOOKUP(Z17,密度!$A$2:$A$50,密度!$D$2:$D$50)</f>
        <v>0</v>
      </c>
      <c r="AA16" s="73" ph="1">
        <f>AA15*9.0746*LOOKUP(AA17,密度!$A$2:$A$50,密度!$B$2:$B$50)</f>
        <v>17495.38232968</v>
      </c>
      <c r="AB16" s="73" ph="1">
        <f>AB15*9.0746*LOOKUP(AB17,密度!$A$2:$A$50,密度!$L$2:$L$50)</f>
        <v>67.950604800000008</v>
      </c>
      <c r="AC16" s="73" ph="1">
        <f>AC15*9.0746*LOOKUP(AC17,密度!$A$2:$A$50,密度!$L$2:$L$50)</f>
        <v>0</v>
      </c>
      <c r="AD16" s="73" ph="1">
        <f>AD15*268.68*LOOKUP(AD17,密度!$A$2:$A$50,密度!B2:B50)+IF(AD15&lt;=0,0,1566*LOOKUP(AD17,密度!$A$2:$A$50,密度!B2:B50))</f>
        <v>2360.3319283199999</v>
      </c>
      <c r="AE16" s="73" ph="1">
        <f>AE15*268.68*LOOKUP(AE17,密度!$A$2:$A$50,密度!B2:B50)+IF(AE15&lt;=0,0,1566*LOOKUP(AE17,密度!$A$2:$A$50,密度!B2:B50))</f>
        <v>11136.828611520001</v>
      </c>
      <c r="AH16" s="72" ph="1">
        <v>2</v>
      </c>
      <c r="AI16" s="72" t="s" ph="1">
        <v>337</v>
      </c>
      <c r="AZ16" s="72" t="s" ph="1">
        <v>216</v>
      </c>
      <c r="BA16" s="72" ph="1">
        <v>0</v>
      </c>
    </row>
    <row r="17" spans="1:57" ph="1">
      <c r="A17" s="64" t="s" ph="1">
        <v>73</v>
      </c>
      <c r="B17" s="218" ph="1"/>
      <c r="C17" s="79" t="s" ph="1">
        <v>179</v>
      </c>
      <c r="D17" s="74">
        <v>25</v>
      </c>
      <c r="E17" s="74">
        <v>25</v>
      </c>
      <c r="F17" s="74">
        <v>28</v>
      </c>
      <c r="G17" s="74">
        <v>25</v>
      </c>
      <c r="H17" s="74">
        <v>22</v>
      </c>
      <c r="I17" s="74">
        <v>24</v>
      </c>
      <c r="J17" s="74">
        <v>26</v>
      </c>
      <c r="K17" s="74">
        <v>26</v>
      </c>
      <c r="L17" s="74">
        <v>28</v>
      </c>
      <c r="M17" s="74">
        <v>28</v>
      </c>
      <c r="N17" s="74">
        <v>25</v>
      </c>
      <c r="O17" s="74">
        <v>28</v>
      </c>
      <c r="P17" s="74">
        <v>28</v>
      </c>
      <c r="Q17" s="74">
        <v>25</v>
      </c>
      <c r="R17" s="74">
        <v>28</v>
      </c>
      <c r="S17" s="74">
        <v>25</v>
      </c>
      <c r="T17" s="74">
        <v>28</v>
      </c>
      <c r="U17" s="74">
        <v>26</v>
      </c>
      <c r="V17" s="74">
        <v>26</v>
      </c>
      <c r="W17" s="74">
        <v>28</v>
      </c>
      <c r="X17" s="74">
        <v>28</v>
      </c>
      <c r="Y17" s="108">
        <v>28</v>
      </c>
      <c r="Z17" s="74">
        <v>28</v>
      </c>
      <c r="AA17" s="74">
        <v>25</v>
      </c>
      <c r="AB17" s="74">
        <v>26</v>
      </c>
      <c r="AC17" s="74">
        <v>27</v>
      </c>
      <c r="AD17" s="74">
        <v>25</v>
      </c>
      <c r="AE17" s="74">
        <v>25</v>
      </c>
      <c r="AH17" s="64" ph="1">
        <v>3</v>
      </c>
      <c r="AI17" s="64" t="s" ph="1">
        <v>338</v>
      </c>
      <c r="AK17" s="64" t="s" ph="1">
        <v>570</v>
      </c>
      <c r="AL17" s="64" ph="1">
        <v>80</v>
      </c>
      <c r="AM17" s="64" t="s" ph="1">
        <v>335</v>
      </c>
      <c r="AZ17" s="64" t="s" ph="1">
        <v>216</v>
      </c>
      <c r="BA17" s="64" ph="1">
        <v>80</v>
      </c>
      <c r="BD17" s="64" t="s" ph="1">
        <v>214</v>
      </c>
      <c r="BE17" s="64" ph="1">
        <v>2270</v>
      </c>
    </row>
    <row r="18" spans="1:57" ht="26.4" ph="1">
      <c r="B18" s="216" ph="1">
        <v>0.66666666666666663</v>
      </c>
      <c r="C18" s="79" t="s" ph="1">
        <v>180</v>
      </c>
      <c r="D18" s="71">
        <v>0</v>
      </c>
      <c r="E18" s="71">
        <v>5523</v>
      </c>
      <c r="F18" s="71">
        <v>3180</v>
      </c>
      <c r="G18" s="71">
        <v>3165</v>
      </c>
      <c r="H18" s="71">
        <v>2185</v>
      </c>
      <c r="I18" s="71">
        <v>213</v>
      </c>
      <c r="J18" s="71">
        <v>4634</v>
      </c>
      <c r="K18" s="71">
        <v>3654</v>
      </c>
      <c r="L18" s="71">
        <v>7220</v>
      </c>
      <c r="M18" s="71">
        <v>2344</v>
      </c>
      <c r="N18" s="71">
        <v>558</v>
      </c>
      <c r="O18" s="71">
        <v>1907</v>
      </c>
      <c r="P18" s="71">
        <v>6017</v>
      </c>
      <c r="Q18" s="71">
        <v>551</v>
      </c>
      <c r="R18" s="71">
        <v>0</v>
      </c>
      <c r="S18" s="71">
        <v>188</v>
      </c>
      <c r="T18" s="71">
        <v>1675</v>
      </c>
      <c r="U18" s="71">
        <v>3885</v>
      </c>
      <c r="V18" s="71">
        <v>2004</v>
      </c>
      <c r="W18" s="71">
        <v>-152</v>
      </c>
      <c r="X18" s="71">
        <v>858</v>
      </c>
      <c r="Y18" s="109">
        <v>-9907</v>
      </c>
      <c r="Z18" s="71">
        <v>0</v>
      </c>
      <c r="AA18" s="71">
        <v>2474</v>
      </c>
      <c r="AB18" s="71">
        <v>0</v>
      </c>
      <c r="AC18" s="71">
        <v>0</v>
      </c>
      <c r="AD18" s="71">
        <v>13.57</v>
      </c>
      <c r="AE18" s="71">
        <v>84.56</v>
      </c>
      <c r="AH18" s="64" ph="1">
        <v>4</v>
      </c>
      <c r="AI18" s="64" t="s" ph="1">
        <v>340</v>
      </c>
      <c r="AJ18" s="64" t="s" ph="1">
        <v>588</v>
      </c>
      <c r="AK18" s="64" t="s" ph="1">
        <v>587</v>
      </c>
      <c r="AL18" s="64" ph="1">
        <v>740</v>
      </c>
      <c r="AM18" s="64" t="s" ph="1">
        <v>339</v>
      </c>
      <c r="AZ18" s="64" t="s" ph="1">
        <v>216</v>
      </c>
      <c r="BA18" s="64" ph="1">
        <v>740</v>
      </c>
    </row>
    <row r="19" spans="1:57" s="72" customFormat="1" ht="22.2" ph="1">
      <c r="B19" s="217" ph="1"/>
      <c r="C19" s="144" t="s" ph="1">
        <v>178</v>
      </c>
      <c r="D19" s="73" ph="1">
        <f>D18*7.0686*LOOKUP(D20,密度!$A$2:$A$50,密度!$L$2:$L$50)</f>
        <v>0</v>
      </c>
      <c r="E19" s="73" ph="1">
        <f>E18*7.0686*LOOKUP(E20,密度!$A$2:$A$50,密度!$L$2:$L$50)</f>
        <v>36424.205987400004</v>
      </c>
      <c r="F19" s="73" ph="1">
        <f>F18*9.0746*LOOKUP(F20,密度!$A$2:$A$50,密度!$L$2:$L$50)</f>
        <v>26866.079268000001</v>
      </c>
      <c r="G19" s="73" ph="1">
        <f>G18*9.0746*LOOKUP(G20,密度!$A$2:$A$50,密度!$B$2:$B$50)</f>
        <v>22342.1506911</v>
      </c>
      <c r="H19" s="73" ph="1">
        <f>H18*9.0746*LOOKUP(H20,密度!$A$2:$A$50,密度!$L$2:$L$50)</f>
        <v>18559.008936000002</v>
      </c>
      <c r="I19" s="73" ph="1">
        <f>I18*9.0746*LOOKUP(I20,密度!$A$2:$A$50,密度!$U$2:$U$50)</f>
        <v>1973.4804858</v>
      </c>
      <c r="J19" s="73" ph="1">
        <f>J18*9.0746*LOOKUP(J20,密度!$A$2:$A$50,密度!$L$2:$L$50)</f>
        <v>39023.974259200004</v>
      </c>
      <c r="K19" s="73" ph="1">
        <f>K18*9.0746*LOOKUP(K20,密度!$A$2:$A$50,密度!$C$2:$C$50)</f>
        <v>36670.082911560006</v>
      </c>
      <c r="L19" s="73" ph="1">
        <f>L18*9.0746*LOOKUP(L20,密度!$A$2:$A$50,密度!$E$2:$E$50)</f>
        <v>51019.343164399994</v>
      </c>
      <c r="M19" s="73" ph="1">
        <f>M18*9.0746*LOOKUP(M20,密度!$A$2:$A$50,密度!$M$2:$M$50)</f>
        <v>18503.523201760003</v>
      </c>
      <c r="N19" s="73" ph="1">
        <f>N18*9.0746*LOOKUP(N20,密度!$A$2:$A$50,密度!$M$2:$M$50)</f>
        <v>4426.1161858799996</v>
      </c>
      <c r="O19" s="73" ph="1">
        <f>O18*9.0746*LOOKUP(O20,密度!$A$2:$A$50,密度!$G$2:$G$50)</f>
        <v>16542.10013698</v>
      </c>
      <c r="P19" s="73" ph="1">
        <f ca="1">P18*9.0746*LOOKUP(P20,密度!$A$2:$A$51,密度!$Q$2:$Q$50)</f>
        <v>51540.341450026004</v>
      </c>
      <c r="Q19" s="73" ph="1">
        <f>Q18*9.0746*LOOKUP(Q20,密度!$A$2:$A$50,密度!$Q$2:$Q$50)</f>
        <v>4719.7487350780011</v>
      </c>
      <c r="R19" s="73" ph="1">
        <f>MAX(R18*9.0746*LOOKUP(R20,密度!$A$2:$A$50,密度!$Q$2:$Q$50),0)</f>
        <v>0</v>
      </c>
      <c r="S19" s="73" ph="1">
        <f>S18*9.0746*LOOKUP(S20,密度!$A$2:$A$50,密度!$Q$2:$Q$50)</f>
        <v>1609.3443745840002</v>
      </c>
      <c r="T19" s="73" ph="1">
        <f>T18*9.0746*LOOKUP(T20,密度!$A$2:$A$50,密度!$O$2:$O$50)</f>
        <v>14075.15833</v>
      </c>
      <c r="U19" s="73" ph="1">
        <f>U18*9.0746*LOOKUP(U20,密度!$A$2:$A$50,密度!$H$2:$H$50)</f>
        <v>32184.126090900005</v>
      </c>
      <c r="V19" s="73" ph="1">
        <f>MAX(5600*LOOKUP(V20,密度!$A$2:$A$50,密度!$Q$2:$Q$50)+V18*9.0476*LOOKUP(V20,密度!$A$2:$A$50,密度!$Q$2:$Q$50),0)</f>
        <v>22400.771340271996</v>
      </c>
      <c r="W19" s="73" ph="1">
        <f>MAX(5600*LOOKUP(W20,密度!$A$2:$A$50,密度!$Q$2:$Q$50)+W18*9.0476*LOOKUP(W20,密度!$A$2:$A$50,密度!$Q$2:$Q$50),0)</f>
        <v>3985.3473787840003</v>
      </c>
      <c r="X19" s="73" ph="1">
        <f>MAX(5600*LOOKUP(X20,密度!$A$2:$A$50,密度!$I$2:$I$50)+X18*9.0476*LOOKUP(X20,密度!$A$2:$A$50,密度!$I$2:$I$50),0)</f>
        <v>13853.257057359999</v>
      </c>
      <c r="Y19" s="73" ph="1">
        <f>MAX(5600*LOOKUP(Y20,密度!$A$2:$A$50,密度!$I$2:$I$50)+Y18*9.0476*LOOKUP(Y20,密度!$A$2:$A$50,密度!$I$2:$I$50),0)</f>
        <v>0</v>
      </c>
      <c r="Z19" s="73" ph="1">
        <f>Z18*9.0746*LOOKUP(Z20,密度!$A$2:$A$50,密度!$D$2:$D$50)</f>
        <v>0</v>
      </c>
      <c r="AA19" s="73" ph="1">
        <f>AA18*9.0746*LOOKUP(AA20,密度!$A$2:$A$50,密度!$B$2:$B$50)</f>
        <v>17482.251383480001</v>
      </c>
      <c r="AB19" s="73" ph="1">
        <f>AB18*9.0746*LOOKUP(AB20,密度!$A$2:$A$50,密度!$L$2:$L$50)</f>
        <v>0</v>
      </c>
      <c r="AC19" s="73" ph="1">
        <f>AC18*9.0746*LOOKUP(AC20,密度!$A$2:$A$50,密度!$L$2:$L$50)</f>
        <v>0</v>
      </c>
      <c r="AD19" s="73" ph="1">
        <f>AD18*268.68*LOOKUP(AD20,密度!$A$2:$A$50,密度!B5:B53)+IF(AD18&lt;=0,0,1566*LOOKUP(AD20,密度!$A$2:$A$50,密度!B5:B53))</f>
        <v>4049.7143652000004</v>
      </c>
      <c r="AE19" s="73" ph="1">
        <f>AE18*268.68*LOOKUP(AE20,密度!$A$2:$A$50,密度!B5:B53)+IF(AE18&lt;=0,0,1566*LOOKUP(AE20,密度!$A$2:$A$50,密度!B5:B53))</f>
        <v>18869.896281599998</v>
      </c>
      <c r="AH19" s="72" ph="1">
        <v>5</v>
      </c>
      <c r="AI19" s="72" t="s" ph="1">
        <v>341</v>
      </c>
      <c r="AZ19" s="72" t="s" ph="1">
        <v>216</v>
      </c>
      <c r="BA19" s="72" ph="1">
        <v>0</v>
      </c>
      <c r="BD19" s="72" t="s" ph="1">
        <v>342</v>
      </c>
      <c r="BE19" s="72" ph="1">
        <v>1440</v>
      </c>
    </row>
    <row r="20" spans="1:57" ph="1">
      <c r="A20" s="72" ph="1"/>
      <c r="B20" s="217" ph="1"/>
      <c r="C20" s="80" t="s" ph="1">
        <v>179</v>
      </c>
      <c r="D20" s="81">
        <v>29</v>
      </c>
      <c r="E20" s="81">
        <v>29</v>
      </c>
      <c r="F20" s="81">
        <v>31</v>
      </c>
      <c r="G20" s="81">
        <v>27</v>
      </c>
      <c r="H20" s="81">
        <v>26</v>
      </c>
      <c r="I20" s="81">
        <v>29</v>
      </c>
      <c r="J20" s="81">
        <v>34</v>
      </c>
      <c r="K20" s="81">
        <v>29</v>
      </c>
      <c r="L20" s="81">
        <v>29</v>
      </c>
      <c r="M20" s="81">
        <v>30</v>
      </c>
      <c r="N20" s="81">
        <v>26</v>
      </c>
      <c r="O20" s="81">
        <v>29</v>
      </c>
      <c r="P20" s="81">
        <v>29</v>
      </c>
      <c r="Q20" s="81">
        <v>29</v>
      </c>
      <c r="R20" s="81">
        <v>30</v>
      </c>
      <c r="S20" s="81">
        <v>30</v>
      </c>
      <c r="T20" s="81">
        <v>28</v>
      </c>
      <c r="U20" s="81">
        <v>27</v>
      </c>
      <c r="V20" s="81">
        <v>29</v>
      </c>
      <c r="W20" s="81">
        <v>30</v>
      </c>
      <c r="X20" s="81">
        <v>30</v>
      </c>
      <c r="Y20" s="110">
        <v>30</v>
      </c>
      <c r="Z20" s="81">
        <v>28</v>
      </c>
      <c r="AA20" s="81">
        <v>26</v>
      </c>
      <c r="AB20" s="81">
        <v>27</v>
      </c>
      <c r="AC20" s="81">
        <v>27</v>
      </c>
      <c r="AD20" s="81">
        <v>25</v>
      </c>
      <c r="AE20" s="81">
        <v>25</v>
      </c>
      <c r="AF20" s="64" t="s" ph="1">
        <v>35</v>
      </c>
      <c r="AH20" s="64" ph="1">
        <v>6</v>
      </c>
      <c r="AI20" s="64" t="s" ph="1">
        <v>343</v>
      </c>
      <c r="AZ20" s="64" t="s" ph="1">
        <v>216</v>
      </c>
      <c r="BA20" s="64" ph="1">
        <v>0</v>
      </c>
    </row>
    <row r="21" spans="1:57" ph="1">
      <c r="A21" s="72" ph="1"/>
      <c r="B21" s="82" ph="1"/>
      <c r="C21" s="83" ph="1"/>
      <c r="D21" s="84"/>
      <c r="E21" s="84"/>
      <c r="F21" s="84"/>
      <c r="G21" s="84"/>
      <c r="H21" s="84"/>
      <c r="I21" s="84"/>
      <c r="J21" s="84"/>
      <c r="K21" s="84"/>
      <c r="L21" s="84"/>
      <c r="M21" s="84"/>
      <c r="N21" s="84"/>
      <c r="O21" s="84"/>
      <c r="P21" s="84"/>
      <c r="Q21" s="84"/>
      <c r="R21" s="84"/>
      <c r="S21" s="84"/>
      <c r="T21" s="84"/>
      <c r="U21" s="84"/>
      <c r="V21" s="84"/>
      <c r="W21" s="84"/>
      <c r="X21" s="84"/>
      <c r="Y21" s="84"/>
      <c r="Z21" s="84"/>
      <c r="AA21" s="84"/>
      <c r="AB21" s="84"/>
      <c r="AC21" s="84"/>
      <c r="AD21" s="84"/>
      <c r="AE21" s="84"/>
      <c r="AH21" s="64" ph="1">
        <v>7</v>
      </c>
      <c r="AI21" s="64" t="s" ph="1">
        <v>344</v>
      </c>
      <c r="AZ21" s="64" t="s" ph="1">
        <v>216</v>
      </c>
      <c r="BA21" s="64" ph="1">
        <v>0</v>
      </c>
      <c r="BD21" s="64" t="s" ph="1">
        <v>232</v>
      </c>
      <c r="BE21" s="64" ph="1">
        <v>730</v>
      </c>
    </row>
    <row r="22" spans="1:57" ph="1">
      <c r="A22" s="72" ph="1"/>
      <c r="B22" s="215" t="s" ph="1">
        <v>37</v>
      </c>
      <c r="C22" s="85" t="s" ph="1">
        <v>176</v>
      </c>
      <c r="D22" s="86" t="s" ph="1">
        <v>86</v>
      </c>
      <c r="E22" s="86" t="s" ph="1">
        <v>87</v>
      </c>
      <c r="F22" s="86" t="s" ph="1">
        <v>88</v>
      </c>
      <c r="G22" s="86" t="s" ph="1">
        <v>89</v>
      </c>
      <c r="H22" s="86" t="s" ph="1">
        <v>90</v>
      </c>
      <c r="I22" s="86" t="s" ph="1">
        <v>91</v>
      </c>
      <c r="J22" s="86" t="s" ph="1">
        <v>92</v>
      </c>
      <c r="K22" s="86" t="s" ph="1">
        <v>93</v>
      </c>
      <c r="L22" s="86" t="s" ph="1">
        <v>94</v>
      </c>
      <c r="M22" s="86" t="s" ph="1">
        <v>95</v>
      </c>
      <c r="N22" s="86" t="s" ph="1">
        <v>96</v>
      </c>
      <c r="O22" s="86" t="s" ph="1">
        <v>97</v>
      </c>
      <c r="P22" s="86" t="s" ph="1">
        <v>98</v>
      </c>
      <c r="Q22" s="87" t="s" ph="1">
        <v>99</v>
      </c>
      <c r="R22" s="86" t="s" ph="1">
        <v>100</v>
      </c>
      <c r="S22" s="86" t="s" ph="1">
        <v>101</v>
      </c>
      <c r="T22" s="86" t="s" ph="1">
        <v>102</v>
      </c>
      <c r="U22" s="86" t="s" ph="1">
        <v>103</v>
      </c>
      <c r="V22" s="86" t="s" ph="1">
        <v>104</v>
      </c>
      <c r="W22" s="86" t="s" ph="1">
        <v>105</v>
      </c>
      <c r="X22" s="86" t="s" ph="1">
        <v>106</v>
      </c>
      <c r="Y22" s="86" t="s" ph="1">
        <v>108</v>
      </c>
      <c r="Z22" s="225" t="s" ph="1">
        <v>69</v>
      </c>
      <c r="AA22" s="226"/>
      <c r="AB22" s="226"/>
      <c r="AC22" s="226"/>
      <c r="AD22" s="226"/>
      <c r="AE22" s="227"/>
      <c r="AH22" s="64" ph="1">
        <v>8</v>
      </c>
      <c r="AI22" s="64" t="s" ph="1">
        <v>345</v>
      </c>
      <c r="AZ22" s="64" t="s" ph="1">
        <v>216</v>
      </c>
      <c r="BA22" s="64" ph="1">
        <v>0</v>
      </c>
    </row>
    <row r="23" spans="1:57" ph="1">
      <c r="A23" s="72" ph="1"/>
      <c r="B23" s="219" ph="1"/>
      <c r="C23" s="67" t="s" ph="1">
        <v>36</v>
      </c>
      <c r="D23" s="88" t="s" ph="1">
        <v>109</v>
      </c>
      <c r="E23" s="88" t="s" ph="1">
        <v>107</v>
      </c>
      <c r="F23" s="88" t="s" ph="1">
        <v>109</v>
      </c>
      <c r="G23" s="88" t="s" ph="1">
        <v>626</v>
      </c>
      <c r="H23" s="88" t="s" ph="1">
        <v>626</v>
      </c>
      <c r="I23" s="88" t="s" ph="1">
        <v>627</v>
      </c>
      <c r="J23" s="88" t="s" ph="1">
        <v>628</v>
      </c>
      <c r="K23" s="88" t="s" ph="1">
        <v>628</v>
      </c>
      <c r="L23" s="88" t="s" ph="1">
        <v>628</v>
      </c>
      <c r="M23" s="88" t="s" ph="1">
        <v>623</v>
      </c>
      <c r="N23" s="88" t="s" ph="1">
        <v>623</v>
      </c>
      <c r="O23" s="88" t="s" ph="1">
        <v>645</v>
      </c>
      <c r="P23" s="88" t="s" ph="1">
        <v>629</v>
      </c>
      <c r="Q23" s="89" t="s" ph="1">
        <v>629</v>
      </c>
      <c r="R23" s="88" t="s" ph="1">
        <v>610</v>
      </c>
      <c r="S23" s="88" t="s" ph="1">
        <v>629</v>
      </c>
      <c r="T23" s="88" t="s" ph="1">
        <v>604</v>
      </c>
      <c r="U23" s="104" t="s" ph="1">
        <v>606</v>
      </c>
      <c r="V23" s="88" t="s" ph="1">
        <v>629</v>
      </c>
      <c r="W23" s="88" t="s" ph="1">
        <v>629</v>
      </c>
      <c r="X23" s="88" t="s" ph="1">
        <v>187</v>
      </c>
      <c r="Y23" s="88" t="s" ph="1">
        <v>630</v>
      </c>
      <c r="Z23" s="228" t="s" ph="1">
        <v>638</v>
      </c>
      <c r="AA23" s="229"/>
      <c r="AB23" s="229"/>
      <c r="AC23" s="229"/>
      <c r="AD23" s="229"/>
      <c r="AE23" s="230"/>
      <c r="AH23" s="64" ph="1">
        <v>9</v>
      </c>
      <c r="AI23" s="64" t="s" ph="1">
        <v>346</v>
      </c>
      <c r="AZ23" s="64" t="s" ph="1">
        <v>216</v>
      </c>
      <c r="BA23" s="64" ph="1">
        <v>0</v>
      </c>
      <c r="BD23" s="64" t="s" ph="1">
        <v>238</v>
      </c>
      <c r="BE23" s="64" ph="1">
        <v>890</v>
      </c>
    </row>
    <row r="24" spans="1:57" ph="1">
      <c r="A24" s="72" ph="1"/>
      <c r="B24" s="237" ph="1">
        <v>0.33333333333333331</v>
      </c>
      <c r="C24" s="144" t="s" ph="1">
        <v>177</v>
      </c>
      <c r="D24" s="71">
        <v>3.35</v>
      </c>
      <c r="E24" s="71">
        <v>5.18</v>
      </c>
      <c r="F24" s="71">
        <v>2570</v>
      </c>
      <c r="G24" s="71">
        <v>3117</v>
      </c>
      <c r="H24" s="71">
        <v>3075</v>
      </c>
      <c r="I24" s="71">
        <v>1042</v>
      </c>
      <c r="J24" s="71">
        <v>297</v>
      </c>
      <c r="K24" s="71">
        <v>209</v>
      </c>
      <c r="L24" s="71">
        <v>301</v>
      </c>
      <c r="M24" s="71">
        <v>325</v>
      </c>
      <c r="N24" s="71">
        <v>319</v>
      </c>
      <c r="O24" s="71">
        <v>617</v>
      </c>
      <c r="P24" s="71">
        <v>377</v>
      </c>
      <c r="Q24" s="90">
        <v>2900</v>
      </c>
      <c r="R24" s="71">
        <v>289</v>
      </c>
      <c r="S24" s="71">
        <v>433</v>
      </c>
      <c r="T24" s="71">
        <v>10</v>
      </c>
      <c r="U24" s="71">
        <v>5104</v>
      </c>
      <c r="V24" s="71">
        <v>737</v>
      </c>
      <c r="W24" s="71">
        <v>432</v>
      </c>
      <c r="X24" s="71">
        <v>4413</v>
      </c>
      <c r="Y24" s="71">
        <v>5016</v>
      </c>
      <c r="Z24" s="231"/>
      <c r="AA24" s="232"/>
      <c r="AB24" s="232"/>
      <c r="AC24" s="232"/>
      <c r="AD24" s="232"/>
      <c r="AE24" s="233"/>
      <c r="AH24" s="64" ph="1">
        <v>10</v>
      </c>
      <c r="AI24" s="64" t="s" ph="1">
        <v>347</v>
      </c>
      <c r="AZ24" s="64" t="s" ph="1">
        <v>216</v>
      </c>
      <c r="BA24" s="64" ph="1">
        <v>0</v>
      </c>
    </row>
    <row r="25" spans="1:57" ph="1">
      <c r="A25" s="72" ph="1"/>
      <c r="B25" s="237" ph="1"/>
      <c r="C25" s="68" t="s" ph="1">
        <v>178</v>
      </c>
      <c r="D25" s="91" ph="1">
        <f>D24*268.68*LOOKUP(D26,密度!$A$2:$A$50,密度!$Q$2:$Q$50)+IF(D24&lt;=0,0,1566*LOOKUP(D26,密度!$A$2:$A$50,密度!$Q$2:$Q$50))</f>
        <v>2334.73468572</v>
      </c>
      <c r="E25" s="91" ph="1">
        <f>E24*268.68*LOOKUP(E26,密度!$A$2:$A$50,密度!$C$2:$C$50)+IF(E24&lt;=0,0,1566*LOOKUP(E26,密度!$A$2:$A$50,密度!$C$2:$C$50))</f>
        <v>3279.8627253599998</v>
      </c>
      <c r="F25" s="91" ph="1">
        <f>F24*11.702*LOOKUP(F26,密度!$A$2:$A$50,密度!$Q$2:$Q$50)</f>
        <v>28429.686024800001</v>
      </c>
      <c r="G25" s="91" ph="1">
        <f>G24*18.322*LOOKUP(G26,密度!$A$2:$A$50,密度!$B$2:$B$50)</f>
        <v>44425.615404600001</v>
      </c>
      <c r="H25" s="91" ph="1">
        <f>H24*18.322*LOOKUP(H26,密度!$A$2:$A$50,密度!$B$2:$B$50)</f>
        <v>43776.296549999999</v>
      </c>
      <c r="I25" s="91" ph="1">
        <f>I24*18.322*LOOKUP(I26,密度!$A$2:$A$50,密度!$Q$2:$Q$50)</f>
        <v>18047.59946768</v>
      </c>
      <c r="J25" s="91" ph="1">
        <f>J24*18.322*LOOKUP(J26,密度!$A$2:$A$50,密度!$Q$2:$Q$50)</f>
        <v>5147.9490130200002</v>
      </c>
      <c r="K25" s="91" ph="1">
        <f>K24*18.322*LOOKUP(K26,密度!$A$2:$A$50,密度!$Q$2:$Q$50)</f>
        <v>3622.6307869399998</v>
      </c>
      <c r="L25" s="91" ph="1">
        <f>L24*18.322*LOOKUP(L26,密度!$A$2:$A$50,密度!$Q$2:$Q$50)</f>
        <v>5213.3660650399997</v>
      </c>
      <c r="M25" s="91" ph="1">
        <f>M24*18.322*LOOKUP(M26,密度!$A$2:$A$50,密度!$Q$2:$Q$50)</f>
        <v>5637.505341</v>
      </c>
      <c r="N25" s="91" ph="1">
        <f>N24*18.322*LOOKUP(N26,密度!$A$2:$A$50,密度!$Q$2:$Q$50)</f>
        <v>5525.1288197599997</v>
      </c>
      <c r="O25" s="91" ph="1">
        <f>O24*18.322*LOOKUP(O26,密度!$A$2:$A$50,密度!$C$2:$C$50)</f>
        <v>12526.709259400001</v>
      </c>
      <c r="P25" s="91" ph="1">
        <f>P24*11.702*LOOKUP(P26,密度!$A$2:$A$50,密度!$B$2:$B$50)</f>
        <v>3435.3549697999993</v>
      </c>
      <c r="Q25" s="92" ph="1">
        <f>Q24*18.322*LOOKUP(Q26,密度!$A$2:$A$50,密度!$B$2:$B$50)</f>
        <v>41375.290059999992</v>
      </c>
      <c r="R25" s="91" ph="1">
        <f>R24*35.891*LOOKUP(R26,密度!$A$2:$A$50,密度!$C$2:$C$50)</f>
        <v>11502.0641411</v>
      </c>
      <c r="S25" s="91" ph="1">
        <f>S24*35.891*LOOKUP(S26,密度!$A$2:$A$50,密度!$B$2:$B$50)</f>
        <v>12115.6100188</v>
      </c>
      <c r="T25" s="91" ph="1">
        <f>T24*35.891*LOOKUP(T26,密度!$A$2:$A$50,密度!$Q$2:$Q$50)</f>
        <v>339.2848012</v>
      </c>
      <c r="U25" s="91" ph="1">
        <f>U24*35.891</f>
        <v>183187.66399999999</v>
      </c>
      <c r="V25" s="91" ph="1">
        <f>V24*47.051*LOOKUP(V26,密度!$A$2:$A$50,密度!$B$2:$B$50)</f>
        <v>26943.708098999999</v>
      </c>
      <c r="W25" s="91" ph="1">
        <f>W24*47.051*LOOKUP(W26,密度!$A$2:$A$50,密度!$B$2:$B$50)</f>
        <v>15827.881118399999</v>
      </c>
      <c r="X25" s="91" ph="1">
        <f>X24*47.051*LOOKUP(X26,密度!$A$2:$A$61,密度!$I$2:$I$61)</f>
        <v>215962.2691263</v>
      </c>
      <c r="Y25" s="91" ph="1">
        <f>Y24*47.051*LOOKUP(Y26,密度!$A$2:$A$50,密度!$L$2:$L$50)</f>
        <v>220667.30796000003</v>
      </c>
      <c r="Z25" s="231"/>
      <c r="AA25" s="232"/>
      <c r="AB25" s="232"/>
      <c r="AC25" s="232"/>
      <c r="AD25" s="232"/>
      <c r="AE25" s="233"/>
      <c r="AH25" s="64" ph="1">
        <v>11</v>
      </c>
      <c r="AI25" s="64" t="s" ph="1">
        <v>348</v>
      </c>
      <c r="AZ25" s="64" t="s" ph="1">
        <v>216</v>
      </c>
      <c r="BA25" s="64" ph="1">
        <v>0</v>
      </c>
      <c r="BD25" s="64" t="s" ph="1">
        <v>241</v>
      </c>
      <c r="BE25" s="64" ph="1">
        <v>8920</v>
      </c>
    </row>
    <row r="26" spans="1:57" ph="1">
      <c r="A26" s="72" ph="1"/>
      <c r="B26" s="237" ph="1"/>
      <c r="C26" s="68" t="s" ph="1">
        <v>179</v>
      </c>
      <c r="D26" s="74">
        <v>25</v>
      </c>
      <c r="E26" s="74">
        <v>25</v>
      </c>
      <c r="F26" s="74">
        <v>27</v>
      </c>
      <c r="G26" s="74">
        <v>27</v>
      </c>
      <c r="H26" s="74">
        <v>28</v>
      </c>
      <c r="I26" s="74">
        <v>27</v>
      </c>
      <c r="J26" s="74">
        <v>26</v>
      </c>
      <c r="K26" s="74">
        <v>26</v>
      </c>
      <c r="L26" s="74">
        <v>27</v>
      </c>
      <c r="M26" s="74">
        <v>25</v>
      </c>
      <c r="N26" s="74">
        <v>27</v>
      </c>
      <c r="O26" s="74">
        <v>26</v>
      </c>
      <c r="P26" s="74">
        <v>26</v>
      </c>
      <c r="Q26" s="93">
        <v>26</v>
      </c>
      <c r="R26" s="74">
        <v>25</v>
      </c>
      <c r="S26" s="74">
        <v>25</v>
      </c>
      <c r="T26" s="74">
        <v>27</v>
      </c>
      <c r="U26" s="74">
        <v>28</v>
      </c>
      <c r="V26" s="74">
        <v>28</v>
      </c>
      <c r="W26" s="74">
        <v>26</v>
      </c>
      <c r="X26" s="74">
        <v>27</v>
      </c>
      <c r="Y26" s="74">
        <v>27</v>
      </c>
      <c r="Z26" s="231"/>
      <c r="AA26" s="232"/>
      <c r="AB26" s="232"/>
      <c r="AC26" s="232"/>
      <c r="AD26" s="232"/>
      <c r="AE26" s="233"/>
      <c r="AH26" s="64" ph="1">
        <v>12</v>
      </c>
      <c r="AI26" s="64" t="s" ph="1">
        <v>349</v>
      </c>
      <c r="AZ26" s="64" t="s" ph="1">
        <v>216</v>
      </c>
      <c r="BA26" s="64" ph="1">
        <v>0</v>
      </c>
    </row>
    <row r="27" spans="1:57" ht="26.4" ph="1">
      <c r="A27" s="72" ph="1"/>
      <c r="B27" s="237" ph="1">
        <v>0.66666666666666663</v>
      </c>
      <c r="C27" s="144" t="s" ph="1">
        <v>180</v>
      </c>
      <c r="D27" s="71">
        <v>3.18</v>
      </c>
      <c r="E27" s="71">
        <v>24.92</v>
      </c>
      <c r="F27" s="71">
        <v>2582</v>
      </c>
      <c r="G27" s="71">
        <v>2676</v>
      </c>
      <c r="H27" s="71">
        <v>2664</v>
      </c>
      <c r="I27" s="71">
        <v>165</v>
      </c>
      <c r="J27" s="71">
        <v>296</v>
      </c>
      <c r="K27" s="71">
        <v>209</v>
      </c>
      <c r="L27" s="71">
        <v>300</v>
      </c>
      <c r="M27" s="71">
        <v>325</v>
      </c>
      <c r="N27" s="71">
        <v>319</v>
      </c>
      <c r="O27" s="71">
        <v>3081</v>
      </c>
      <c r="P27" s="71">
        <v>377</v>
      </c>
      <c r="Q27" s="90">
        <v>3090</v>
      </c>
      <c r="R27" s="71">
        <v>288</v>
      </c>
      <c r="S27" s="71">
        <v>432</v>
      </c>
      <c r="T27" s="71">
        <v>11</v>
      </c>
      <c r="U27" s="71">
        <v>5061</v>
      </c>
      <c r="V27" s="71">
        <v>737</v>
      </c>
      <c r="W27" s="71">
        <v>431</v>
      </c>
      <c r="X27" s="71">
        <v>4288</v>
      </c>
      <c r="Y27" s="71">
        <v>2859</v>
      </c>
      <c r="Z27" s="231"/>
      <c r="AA27" s="232"/>
      <c r="AB27" s="232"/>
      <c r="AC27" s="232"/>
      <c r="AD27" s="232"/>
      <c r="AE27" s="233"/>
      <c r="AH27" s="64" ph="1">
        <v>13</v>
      </c>
      <c r="AI27" s="64" t="s" ph="1">
        <v>350</v>
      </c>
      <c r="AZ27" s="64" t="s" ph="1">
        <v>216</v>
      </c>
      <c r="BA27" s="64" ph="1">
        <v>0</v>
      </c>
      <c r="BD27" s="64" t="s" ph="1">
        <v>295</v>
      </c>
      <c r="BE27" s="64" ph="1">
        <v>7100</v>
      </c>
    </row>
    <row r="28" spans="1:57" ph="1">
      <c r="A28" s="72" ph="1"/>
      <c r="B28" s="237" ph="1"/>
      <c r="C28" s="144" t="s" ph="1">
        <v>178</v>
      </c>
      <c r="D28" s="91" ph="1">
        <f>D27*268.68*LOOKUP(D29,密度!$A$2:$A$50,密度!$Q$2:$Q$50)+IF(D27&lt;=0,0,1566*LOOKUP(D29,密度!$A$2:$A$50,密度!$Q$2:$Q$50))</f>
        <v>2291.4917681759998</v>
      </c>
      <c r="E28" s="91" ph="1">
        <f>E27*268.68*LOOKUP(E29,密度!$A$2:$A$50,密度!$C$2:$C$50)+IF(E27&lt;=0,0,1566*LOOKUP(E29,密度!$A$2:$A$50,密度!$C$2:$C$50))</f>
        <v>9161.1835598399994</v>
      </c>
      <c r="F28" s="91" ph="1">
        <f>F27*11.702*LOOKUP(F29,密度!$A$2:$A$50,密度!$Q$2:$Q$50)</f>
        <v>28562.431640480001</v>
      </c>
      <c r="G28" s="91" ph="1">
        <f>G27*18.322*LOOKUP(G29,密度!$A$2:$A$50,密度!$B$2:$B$50)</f>
        <v>38096.055143999998</v>
      </c>
      <c r="H28" s="91" ph="1">
        <f>H27*18.322*LOOKUP(H29,密度!$A$2:$A$50,密度!$B$2:$B$50)</f>
        <v>37886.172969599997</v>
      </c>
      <c r="I28" s="91" ph="1">
        <f>I27*18.322*LOOKUP(I29,密度!$A$2:$A$50,密度!$Q$2:$Q$50)</f>
        <v>2853.6231008999998</v>
      </c>
      <c r="J28" s="91" ph="1">
        <f>J27*18.322*LOOKUP(J29,密度!$A$2:$A$50,密度!$Q$2:$Q$50)</f>
        <v>5122.9689814399999</v>
      </c>
      <c r="K28" s="91" ph="1">
        <f>K27*18.322*LOOKUP(K29,密度!$A$2:$A$50,密度!$Q$2:$Q$50)</f>
        <v>3619.91198536</v>
      </c>
      <c r="L28" s="91" ph="1">
        <f>L27*18.322*LOOKUP(L29,密度!$A$2:$A$50,密度!$Q$2:$Q$50)</f>
        <v>5185.1076779999994</v>
      </c>
      <c r="M28" s="91" ph="1">
        <f>M27*18.322*LOOKUP(M29,密度!$A$2:$A$50,密度!$Q$2:$Q$50)</f>
        <v>5617.1999845</v>
      </c>
      <c r="N28" s="91" ph="1">
        <f>N27*18.322*LOOKUP(N29,密度!$A$2:$A$50,密度!$Q$2:$Q$50)</f>
        <v>5521.0375171599999</v>
      </c>
      <c r="O28" s="91" ph="1">
        <f>O27*18.322*LOOKUP(O29,密度!$A$2:$A$50,密度!$C$2:$C$50)</f>
        <v>62467.660741199994</v>
      </c>
      <c r="P28" s="91" ph="1">
        <f>P27*11.702*LOOKUP(P29,密度!$A$2:$A$50,密度!$B$2:$B$50)</f>
        <v>3420.3553461999995</v>
      </c>
      <c r="Q28" s="92" ph="1">
        <f>Q27*18.322*LOOKUP(Q29,密度!$A$2:$A$50,密度!$B$2:$B$50)</f>
        <v>43893.593993999995</v>
      </c>
      <c r="R28" s="91" ph="1">
        <f>R27*35.891*LOOKUP(R29,密度!$A$2:$A$50,密度!$C$2:$C$50)</f>
        <v>11438.4904128</v>
      </c>
      <c r="S28" s="91" ph="1">
        <f>S27*35.891*LOOKUP(S29,密度!$A$2:$A$50,密度!$B$2:$B$50)</f>
        <v>12047.316623999999</v>
      </c>
      <c r="T28" s="91" ph="1">
        <f>T27*35.891*LOOKUP(T29,密度!$A$2:$A$50,密度!$Q$2:$Q$50)</f>
        <v>372.66450793000001</v>
      </c>
      <c r="U28" s="91" ph="1">
        <f>U27*35.891</f>
        <v>181644.351</v>
      </c>
      <c r="V28" s="91" ph="1">
        <f>V27*47.051*LOOKUP(V29,密度!$A$2:$A$50,密度!$B$2:$B$50)</f>
        <v>26915.9668294</v>
      </c>
      <c r="W28" s="91" ph="1">
        <f>W27*47.051*LOOKUP(W29,密度!$A$2:$A$50,密度!$B$2:$B$50)</f>
        <v>15775.0193199</v>
      </c>
      <c r="X28" s="91" ph="1">
        <f>X27*47.051*LOOKUP(X29,密度!$A$2:$A$61,密度!$I$2:$I$61)</f>
        <v>209845.05098880001</v>
      </c>
      <c r="Y28" s="91" ph="1">
        <f>Y27*47.051*LOOKUP(Y29,密度!$A$2:$A$50,密度!$L$2:$L$50)</f>
        <v>125909.60522400001</v>
      </c>
      <c r="Z28" s="231"/>
      <c r="AA28" s="232"/>
      <c r="AB28" s="232"/>
      <c r="AC28" s="232"/>
      <c r="AD28" s="232"/>
      <c r="AE28" s="233"/>
      <c r="AH28" s="64" ph="1">
        <v>14</v>
      </c>
      <c r="AI28" s="64" t="s" ph="1">
        <v>351</v>
      </c>
      <c r="AZ28" s="64" t="s" ph="1">
        <v>216</v>
      </c>
      <c r="BA28" s="64" ph="1">
        <v>0</v>
      </c>
    </row>
    <row r="29" spans="1:57" ph="1">
      <c r="A29" s="72" ph="1"/>
      <c r="B29" s="237" ph="1"/>
      <c r="C29" s="144" t="s" ph="1">
        <v>179</v>
      </c>
      <c r="D29" s="74">
        <v>25</v>
      </c>
      <c r="E29" s="74">
        <v>25</v>
      </c>
      <c r="F29" s="74">
        <v>27</v>
      </c>
      <c r="G29" s="74">
        <v>28</v>
      </c>
      <c r="H29" s="74">
        <v>29</v>
      </c>
      <c r="I29" s="74">
        <v>29</v>
      </c>
      <c r="J29" s="74">
        <v>28</v>
      </c>
      <c r="K29" s="74">
        <v>27</v>
      </c>
      <c r="L29" s="74">
        <v>30</v>
      </c>
      <c r="M29" s="74">
        <v>30</v>
      </c>
      <c r="N29" s="74">
        <v>28</v>
      </c>
      <c r="O29" s="74">
        <v>28</v>
      </c>
      <c r="P29" s="74">
        <v>30</v>
      </c>
      <c r="Q29" s="93">
        <v>30</v>
      </c>
      <c r="R29" s="74">
        <v>28</v>
      </c>
      <c r="S29" s="74">
        <v>28</v>
      </c>
      <c r="T29" s="74">
        <v>29</v>
      </c>
      <c r="U29" s="74">
        <v>29</v>
      </c>
      <c r="V29" s="74">
        <v>29</v>
      </c>
      <c r="W29" s="74">
        <v>27</v>
      </c>
      <c r="X29" s="74">
        <v>27</v>
      </c>
      <c r="Y29" s="74">
        <v>26</v>
      </c>
      <c r="Z29" s="234"/>
      <c r="AA29" s="235"/>
      <c r="AB29" s="235"/>
      <c r="AC29" s="235"/>
      <c r="AD29" s="235"/>
      <c r="AE29" s="236"/>
      <c r="AH29" s="64" ph="1">
        <v>15</v>
      </c>
      <c r="AI29" s="64" t="s" ph="1">
        <v>352</v>
      </c>
      <c r="AZ29" s="64" t="s" ph="1">
        <v>216</v>
      </c>
      <c r="BA29" s="64" ph="1">
        <v>0</v>
      </c>
      <c r="BD29" s="64" t="s" ph="1">
        <v>353</v>
      </c>
      <c r="BE29" s="64" ph="1">
        <v>890</v>
      </c>
    </row>
    <row r="30" spans="1:57" ph="1">
      <c r="D30" s="94" ph="1"/>
      <c r="Z30" s="64" t="s" ph="1">
        <v>35</v>
      </c>
      <c r="AE30" s="95" ph="1"/>
      <c r="AH30" s="64" ph="1">
        <v>16</v>
      </c>
      <c r="AI30" s="64" t="s" ph="1">
        <v>354</v>
      </c>
      <c r="AZ30" s="64" t="s" ph="1">
        <v>216</v>
      </c>
      <c r="BA30" s="64" ph="1">
        <v>0</v>
      </c>
    </row>
    <row r="31" spans="1:57" ht="28.2" ph="1">
      <c r="A31" s="64"/>
      <c r="B31" s="220" t="s" ph="1">
        <v>35</v>
      </c>
      <c r="C31" s="221" ph="1"/>
      <c r="D31" s="224" t="s" ph="1">
        <v>9</v>
      </c>
      <c r="E31" s="199" ph="1"/>
      <c r="F31" s="200" ph="1"/>
      <c r="G31" s="224" t="s" ph="1">
        <v>18</v>
      </c>
      <c r="H31" s="199" ph="1"/>
      <c r="I31" s="200" ph="1"/>
      <c r="J31" s="198" t="s" ph="1">
        <v>1</v>
      </c>
      <c r="K31" s="199" ph="1"/>
      <c r="L31" s="200" ph="1"/>
      <c r="M31" s="198" t="s" ph="1">
        <v>7</v>
      </c>
      <c r="N31" s="199" ph="1"/>
      <c r="O31" s="200" ph="1"/>
      <c r="P31" s="198" t="s" ph="1">
        <v>41</v>
      </c>
      <c r="Q31" s="199"/>
      <c r="R31" s="200"/>
      <c r="S31" s="198" t="s" ph="1">
        <v>2</v>
      </c>
      <c r="T31" s="199"/>
      <c r="U31" s="200"/>
      <c r="V31" s="198" t="s" ph="1">
        <v>71</v>
      </c>
      <c r="W31" s="199" ph="1"/>
      <c r="X31" s="200" ph="1"/>
      <c r="Y31" s="198" t="s" ph="1">
        <v>3</v>
      </c>
      <c r="Z31" s="199" ph="1"/>
      <c r="AA31" s="200" ph="1"/>
      <c r="AB31" s="201" t="s">
        <v>42</v>
      </c>
      <c r="AC31" s="202"/>
      <c r="AD31" s="202"/>
      <c r="AE31" s="203"/>
      <c r="AH31" s="64" ph="1">
        <v>17</v>
      </c>
      <c r="AI31" s="64" t="s" ph="1">
        <v>355</v>
      </c>
      <c r="AZ31" s="64" t="s" ph="1">
        <v>216</v>
      </c>
      <c r="BA31" s="64" ph="1">
        <v>0</v>
      </c>
      <c r="BD31" s="64" t="s" ph="1">
        <v>356</v>
      </c>
      <c r="BE31" s="64" ph="1">
        <v>9310</v>
      </c>
    </row>
    <row r="32" spans="1:57" ph="1">
      <c r="A32" s="64"/>
      <c r="B32" s="222" ph="1"/>
      <c r="C32" s="223" ph="1"/>
      <c r="D32" s="96" t="s" ph="1">
        <v>4</v>
      </c>
      <c r="E32" s="144" t="s" ph="1">
        <v>5</v>
      </c>
      <c r="F32" s="145" t="s" ph="1">
        <v>43</v>
      </c>
      <c r="G32" s="97" t="s" ph="1">
        <v>4</v>
      </c>
      <c r="H32" s="144" t="s" ph="1">
        <v>5</v>
      </c>
      <c r="I32" s="145" t="s" ph="1">
        <v>43</v>
      </c>
      <c r="J32" s="97" t="s" ph="1">
        <v>4</v>
      </c>
      <c r="K32" s="144" t="s" ph="1">
        <v>5</v>
      </c>
      <c r="L32" s="145" t="s" ph="1">
        <v>43</v>
      </c>
      <c r="M32" s="97" t="s" ph="1">
        <v>4</v>
      </c>
      <c r="N32" s="144" t="s" ph="1">
        <v>5</v>
      </c>
      <c r="O32" s="145" t="s" ph="1">
        <v>43</v>
      </c>
      <c r="P32" s="97" t="s" ph="1">
        <v>4</v>
      </c>
      <c r="Q32" s="98" t="s" ph="1">
        <v>5</v>
      </c>
      <c r="R32" s="99" t="s" ph="1">
        <v>43</v>
      </c>
      <c r="S32" s="97" t="s" ph="1">
        <v>4</v>
      </c>
      <c r="T32" s="144" t="s" ph="1">
        <v>5</v>
      </c>
      <c r="U32" s="99" t="s" ph="1">
        <v>43</v>
      </c>
      <c r="V32" s="97" t="s" ph="1">
        <v>4</v>
      </c>
      <c r="W32" s="144" t="s" ph="1">
        <v>5</v>
      </c>
      <c r="X32" s="99" t="s" ph="1">
        <v>43</v>
      </c>
      <c r="Y32" s="100" t="s" ph="1">
        <v>4</v>
      </c>
      <c r="Z32" s="144" t="s" ph="1">
        <v>5</v>
      </c>
      <c r="AA32" s="145" t="s" ph="1">
        <v>43</v>
      </c>
      <c r="AB32" s="97" t="s" ph="1">
        <v>85</v>
      </c>
      <c r="AC32" s="144" t="s" ph="1">
        <v>84</v>
      </c>
      <c r="AD32" s="204" t="s" ph="1">
        <v>83</v>
      </c>
      <c r="AE32" s="205"/>
      <c r="AH32" s="64" ph="1">
        <v>18</v>
      </c>
      <c r="AI32" s="64" t="s" ph="1">
        <v>357</v>
      </c>
      <c r="AZ32" s="64" t="s" ph="1">
        <v>216</v>
      </c>
      <c r="BA32" s="64" ph="1">
        <v>0</v>
      </c>
    </row>
    <row r="33" spans="1:57" ph="1">
      <c r="A33" s="64"/>
      <c r="B33" s="206" t="s" ph="1">
        <v>181</v>
      </c>
      <c r="C33" s="207" ph="1"/>
      <c r="D33" s="186" ph="1">
        <f>AA10+AB10+Z19</f>
        <v>84703.342575200004</v>
      </c>
      <c r="E33" s="186" ph="1">
        <f>M10+I10</f>
        <v>129367.45096519998</v>
      </c>
      <c r="F33" s="210" ph="1">
        <f>表格_取樣回收每月庫存表_0620更新1522252632456786910111213141516171819202123456789101112131415161718192022232424356789101112131415161718192021222345678910111213141516171819202345678910111213149101516171819222123234567891012131415161711181920212224252345678910111213124[[#This Row],[F25]]</f>
        <v>3880</v>
      </c>
      <c r="G33" s="212" ph="1">
        <f>N19</f>
        <v>4426.1161858799996</v>
      </c>
      <c r="H33" s="186" ph="1">
        <f>M19</f>
        <v>18503.523201760003</v>
      </c>
      <c r="I33" s="190" ph="1">
        <v>0</v>
      </c>
      <c r="J33" s="194" ph="1">
        <f>F10+O28</f>
        <v>234050.34036929999</v>
      </c>
      <c r="K33" s="186" ph="1">
        <f>O10+K10+E28+R28</f>
        <v>137152.91919984002</v>
      </c>
      <c r="L33" s="196" ph="1">
        <f>K19</f>
        <v>36670.082911560006</v>
      </c>
      <c r="M33" s="194" ph="1">
        <f>G10+H10+W28+S28+V28+E10+R19+P28+Q28</f>
        <v>470724.86352750001</v>
      </c>
      <c r="N33" s="186" ph="1">
        <f>L10+P10++G28+H28+AD19+AE19</f>
        <v>156854.16662939999</v>
      </c>
      <c r="O33" s="190" ph="1">
        <f>G19</f>
        <v>22342.1506911</v>
      </c>
      <c r="P33" s="194" ph="1">
        <f>L19</f>
        <v>51019.343164399994</v>
      </c>
      <c r="Q33" s="186" ph="1">
        <f>J10+N10</f>
        <v>74322.227842599998</v>
      </c>
      <c r="R33" s="190" ph="1">
        <f>BE23</f>
        <v>890</v>
      </c>
      <c r="S33" s="194" ph="1">
        <f>X28</f>
        <v>209845.05098880001</v>
      </c>
      <c r="T33" s="186" ph="1">
        <f>X19</f>
        <v>13853.257057359999</v>
      </c>
      <c r="U33" s="175" ph="1">
        <f>BE21</f>
        <v>730</v>
      </c>
      <c r="V33" s="188" ph="1">
        <f ca="1">P19+Q19+S19+M28+N28+J28+D10+AC10+D19+E19+H19+J19+O19+V19+W19+K28+L28</f>
        <v>631090.11383774399</v>
      </c>
      <c r="W33" s="188" ph="1">
        <f>D28+F28+T28+I28</f>
        <v>34080.211017485999</v>
      </c>
      <c r="X33" s="190" ph="1">
        <f>BE29+BE31</f>
        <v>10200</v>
      </c>
      <c r="Y33" s="192" ph="1">
        <f>+Q10+R10+S10+T10+U10+V10+W10+X10+Y10</f>
        <v>291800.18429100001</v>
      </c>
      <c r="Z33" s="173" ph="1">
        <f>T19+U19+Y28+Z10</f>
        <v>380897.52536890004</v>
      </c>
      <c r="AA33" s="175" ph="1">
        <f>BE19</f>
        <v>1440</v>
      </c>
      <c r="AB33" s="177" ph="1">
        <f>I19</f>
        <v>1973.4804858</v>
      </c>
      <c r="AC33" s="179" ph="1">
        <f>AD10+AB19</f>
        <v>60798.238502400003</v>
      </c>
      <c r="AD33" s="181" ph="1">
        <v>0</v>
      </c>
      <c r="AE33" s="182"/>
      <c r="AH33" s="64" ph="1">
        <v>19</v>
      </c>
      <c r="AI33" s="64" t="s" ph="1">
        <v>358</v>
      </c>
      <c r="AJ33" s="64" t="s" ph="1">
        <v>592</v>
      </c>
      <c r="AK33" s="64" t="s" ph="1">
        <v>589</v>
      </c>
      <c r="AL33" s="64" ph="1">
        <v>730</v>
      </c>
      <c r="AM33" s="64" t="s" ph="1">
        <v>339</v>
      </c>
      <c r="AZ33" s="64" t="s" ph="1">
        <v>216</v>
      </c>
      <c r="BA33" s="64" ph="1">
        <v>730</v>
      </c>
      <c r="BD33" s="64" t="s" ph="1">
        <v>290</v>
      </c>
      <c r="BE33" s="64" ph="1">
        <v>3880</v>
      </c>
    </row>
    <row r="34" spans="1:57" ph="1">
      <c r="A34" s="64"/>
      <c r="B34" s="208" ph="1"/>
      <c r="C34" s="209" ph="1"/>
      <c r="D34" s="187" ph="1"/>
      <c r="E34" s="187" ph="1"/>
      <c r="F34" s="211" ph="1"/>
      <c r="G34" s="213" ph="1"/>
      <c r="H34" s="187" ph="1"/>
      <c r="I34" s="191" ph="1"/>
      <c r="J34" s="195" ph="1"/>
      <c r="K34" s="187" ph="1"/>
      <c r="L34" s="197" ph="1"/>
      <c r="M34" s="195" ph="1"/>
      <c r="N34" s="187" ph="1"/>
      <c r="O34" s="191" ph="1"/>
      <c r="P34" s="195" ph="1"/>
      <c r="Q34" s="187" ph="1"/>
      <c r="R34" s="191" ph="1"/>
      <c r="S34" s="195" ph="1"/>
      <c r="T34" s="187"/>
      <c r="U34" s="176"/>
      <c r="V34" s="189" ph="1"/>
      <c r="W34" s="189" ph="1"/>
      <c r="X34" s="191" ph="1"/>
      <c r="Y34" s="193" ph="1"/>
      <c r="Z34" s="174" ph="1"/>
      <c r="AA34" s="176" ph="1"/>
      <c r="AB34" s="178"/>
      <c r="AC34" s="180"/>
      <c r="AD34" s="183"/>
      <c r="AE34" s="184"/>
      <c r="AH34" s="64" ph="1">
        <v>20</v>
      </c>
      <c r="AI34" s="64" t="s" ph="1">
        <v>359</v>
      </c>
      <c r="AJ34" s="64" t="s" ph="1">
        <v>593</v>
      </c>
      <c r="AK34" s="64" t="s" ph="1">
        <v>589</v>
      </c>
      <c r="AL34" s="64" ph="1">
        <v>720</v>
      </c>
      <c r="AM34" s="64" t="s" ph="1">
        <v>339</v>
      </c>
      <c r="AZ34" s="64" t="s" ph="1">
        <v>216</v>
      </c>
      <c r="BA34" s="64" ph="1">
        <v>720</v>
      </c>
    </row>
    <row r="35" spans="1:57" ph="1">
      <c r="A35" s="64"/>
      <c r="AC35" s="185" t="s" ph="1">
        <v>631</v>
      </c>
      <c r="AD35" s="185"/>
      <c r="AE35" s="185"/>
      <c r="AH35" s="64" ph="1">
        <v>21</v>
      </c>
      <c r="AI35" s="64" t="s" ph="1">
        <v>360</v>
      </c>
      <c r="AZ35" s="64" t="s" ph="1">
        <v>216</v>
      </c>
      <c r="BA35" s="64" ph="1">
        <v>0</v>
      </c>
      <c r="BD35" s="64" t="s" ph="1">
        <v>361</v>
      </c>
      <c r="BE35" s="64" ph="1">
        <v>2030</v>
      </c>
    </row>
    <row r="36" spans="1:57" ht="28.2" ph="1">
      <c r="A36" s="64"/>
      <c r="B36" s="103" t="s" ph="1">
        <v>182</v>
      </c>
      <c r="I36" s="171" t="s" ph="1">
        <v>183</v>
      </c>
      <c r="J36" s="171" ph="1"/>
      <c r="K36" s="101" ph="1"/>
      <c r="P36" s="101" ph="1"/>
      <c r="R36" s="171" t="s" ph="1">
        <v>184</v>
      </c>
      <c r="S36" s="171" ph="1"/>
      <c r="Y36" s="102" ph="1"/>
      <c r="Z36" s="146" t="s" ph="1">
        <v>185</v>
      </c>
      <c r="AA36" s="146" ph="1"/>
      <c r="AB36" s="172" t="s" ph="1">
        <v>640</v>
      </c>
      <c r="AC36" s="172" ph="1"/>
      <c r="AD36" s="172" ph="1"/>
      <c r="AE36" s="172" ph="1"/>
      <c r="BA36" s="64" ph="1">
        <v>2270</v>
      </c>
    </row>
    <row r="37" spans="1:57" s="146" customFormat="1" ph="1">
      <c r="A37" s="64" ph="1"/>
      <c r="B37" s="64" ph="1"/>
      <c r="C37" s="64" ph="1"/>
      <c r="D37" s="64" ph="1"/>
      <c r="E37" s="64" ph="1"/>
      <c r="F37" s="64" ph="1"/>
      <c r="G37" s="64" ph="1"/>
      <c r="H37" s="64" ph="1"/>
      <c r="I37" s="64" ph="1"/>
      <c r="J37" s="64" ph="1"/>
      <c r="K37" s="64" ph="1"/>
      <c r="L37" s="64" ph="1"/>
      <c r="M37" s="64" ph="1"/>
      <c r="N37" s="64" ph="1"/>
      <c r="O37" s="64" ph="1"/>
      <c r="P37" s="64" ph="1"/>
      <c r="Q37" s="64" ph="1"/>
      <c r="R37" s="64" ph="1"/>
      <c r="S37" s="64" ph="1"/>
      <c r="T37" s="64" ph="1"/>
      <c r="U37" s="64" ph="1"/>
      <c r="V37" s="64" ph="1"/>
      <c r="W37" s="64" ph="1"/>
      <c r="X37" s="64" ph="1"/>
      <c r="Y37" s="64" ph="1"/>
      <c r="Z37" s="64" ph="1"/>
      <c r="AA37" s="64" ph="1"/>
      <c r="AB37" s="64" ph="1"/>
      <c r="AC37" s="64" ph="1"/>
      <c r="AD37" s="64" ph="1"/>
      <c r="AE37" s="64" ph="1"/>
      <c r="AG37" s="146" t="s" ph="1">
        <v>342</v>
      </c>
      <c r="AI37" s="146" t="s" ph="1">
        <v>209</v>
      </c>
      <c r="AJ37" s="146" t="s" ph="1">
        <v>210</v>
      </c>
      <c r="AK37" s="146" t="s" ph="1">
        <v>211</v>
      </c>
      <c r="AM37" s="146" t="s" ph="1">
        <v>210</v>
      </c>
      <c r="AN37" s="146" t="s" ph="1">
        <v>211</v>
      </c>
      <c r="AO37" s="146" t="s" ph="1">
        <v>212</v>
      </c>
      <c r="AP37" s="146" t="s" ph="1">
        <v>210</v>
      </c>
      <c r="AQ37" s="146" t="s" ph="1">
        <v>211</v>
      </c>
      <c r="AR37" s="146" t="s" ph="1">
        <v>212</v>
      </c>
      <c r="AS37" s="146" t="s" ph="1">
        <v>210</v>
      </c>
      <c r="AT37" s="146" t="s" ph="1">
        <v>211</v>
      </c>
      <c r="AU37" s="146" t="s" ph="1">
        <v>212</v>
      </c>
      <c r="AV37" s="146" t="s" ph="1">
        <v>210</v>
      </c>
      <c r="AW37" s="146" t="s" ph="1">
        <v>211</v>
      </c>
      <c r="AX37" s="146" t="s" ph="1">
        <v>212</v>
      </c>
      <c r="AY37" s="146" t="s" ph="1">
        <v>211</v>
      </c>
      <c r="AZ37" s="146" t="s" ph="1">
        <v>213</v>
      </c>
      <c r="BD37" s="146" t="s" ph="1">
        <v>305</v>
      </c>
      <c r="BE37" s="146" ph="1">
        <v>0</v>
      </c>
    </row>
    <row r="38" spans="1:57" ph="1">
      <c r="AE38" s="64" ph="1"/>
      <c r="AH38" s="64" ph="1">
        <v>1</v>
      </c>
      <c r="AI38" s="64" t="s" ph="1">
        <v>362</v>
      </c>
      <c r="AY38" s="64" t="s" ph="1">
        <v>216</v>
      </c>
      <c r="AZ38" s="64" t="s" ph="1">
        <v>367</v>
      </c>
    </row>
    <row r="39" spans="1:57" ph="1">
      <c r="AH39" s="64" ph="1">
        <v>2</v>
      </c>
      <c r="AI39" s="64" t="s" ph="1">
        <v>364</v>
      </c>
      <c r="AJ39" s="64" t="s" ph="1">
        <v>336</v>
      </c>
      <c r="AK39" s="64" t="s" ph="1">
        <v>365</v>
      </c>
      <c r="AM39" s="64" t="s" ph="1">
        <v>570</v>
      </c>
      <c r="AN39" s="64" t="s" ph="1">
        <v>228</v>
      </c>
      <c r="AO39" s="64" t="s" ph="1">
        <v>363</v>
      </c>
      <c r="AY39" s="64" t="s" ph="1">
        <v>216</v>
      </c>
      <c r="AZ39" s="64" t="s" ph="1">
        <v>499</v>
      </c>
    </row>
    <row r="40" spans="1:57" ph="1">
      <c r="AH40" s="64" ph="1">
        <v>3</v>
      </c>
      <c r="AI40" s="64" t="s" ph="1">
        <v>366</v>
      </c>
      <c r="AJ40" s="64" t="s" ph="1">
        <v>570</v>
      </c>
      <c r="AK40" s="64" t="s" ph="1">
        <v>571</v>
      </c>
      <c r="AY40" s="64" t="s" ph="1">
        <v>216</v>
      </c>
      <c r="AZ40" s="64" t="s" ph="1">
        <v>571</v>
      </c>
    </row>
    <row r="41" spans="1:57" ph="1">
      <c r="AH41" s="64" ph="1">
        <v>4</v>
      </c>
      <c r="AI41" s="64" t="s" ph="1">
        <v>368</v>
      </c>
      <c r="AJ41" s="64" t="s" ph="1">
        <v>572</v>
      </c>
      <c r="AK41" s="64" t="s" ph="1">
        <v>573</v>
      </c>
      <c r="AM41" s="64" t="s" ph="1">
        <v>574</v>
      </c>
      <c r="AY41" s="64" t="s" ph="1">
        <v>216</v>
      </c>
      <c r="AZ41" s="64" t="s" ph="1">
        <v>573</v>
      </c>
    </row>
    <row r="42" spans="1:57" ph="1">
      <c r="P42" s="64"/>
      <c r="Q42" s="64"/>
      <c r="R42" s="64"/>
      <c r="S42" s="64"/>
      <c r="T42" s="64"/>
      <c r="U42" s="64"/>
      <c r="V42" s="64"/>
      <c r="W42" s="64"/>
      <c r="X42" s="64"/>
      <c r="Y42" s="64"/>
      <c r="Z42" s="64"/>
      <c r="AA42" s="64"/>
      <c r="AB42" s="64"/>
      <c r="AC42" s="64"/>
      <c r="AD42" s="64"/>
      <c r="AE42" s="75"/>
      <c r="AH42" s="64" ph="1">
        <v>5</v>
      </c>
      <c r="AI42" s="64" t="s" ph="1">
        <v>369</v>
      </c>
      <c r="AY42" s="64" t="s" ph="1">
        <v>216</v>
      </c>
      <c r="AZ42" s="64" t="s" ph="1">
        <v>367</v>
      </c>
    </row>
    <row r="43" spans="1:57" ph="1">
      <c r="C43" s="64"/>
      <c r="D43" s="64"/>
      <c r="E43" s="64"/>
      <c r="F43" s="64"/>
      <c r="G43" s="64"/>
      <c r="H43" s="64"/>
      <c r="I43" s="64"/>
      <c r="J43" s="64"/>
      <c r="K43" s="64"/>
      <c r="L43" s="64"/>
      <c r="M43" s="64"/>
      <c r="N43" s="64"/>
      <c r="O43" s="64"/>
      <c r="P43" s="64"/>
      <c r="R43" s="64"/>
      <c r="S43" s="64"/>
      <c r="T43" s="64"/>
      <c r="U43" s="64"/>
      <c r="V43" s="64"/>
      <c r="W43" s="64"/>
      <c r="X43" s="64"/>
      <c r="Y43" s="64"/>
      <c r="Z43" s="64"/>
      <c r="AA43" s="64"/>
      <c r="AB43" s="64"/>
      <c r="AC43" s="64"/>
      <c r="AD43" s="64"/>
      <c r="AE43" s="75"/>
      <c r="AH43" s="64" ph="1">
        <v>6</v>
      </c>
      <c r="AI43" s="64" t="s" ph="1">
        <v>370</v>
      </c>
      <c r="AY43" s="64" t="s" ph="1">
        <v>216</v>
      </c>
      <c r="AZ43" s="64" t="s" ph="1">
        <v>367</v>
      </c>
    </row>
    <row r="44" spans="1:57" ph="1">
      <c r="R44" s="64"/>
      <c r="S44" s="64"/>
      <c r="T44" s="64"/>
      <c r="U44" s="64"/>
      <c r="V44" s="64"/>
      <c r="W44" s="64"/>
      <c r="X44" s="64"/>
      <c r="Y44" s="64"/>
      <c r="Z44" s="64"/>
      <c r="AA44" s="64"/>
      <c r="AB44" s="64"/>
      <c r="AC44" s="64"/>
      <c r="AD44" s="64"/>
      <c r="AE44" s="75"/>
      <c r="AH44" s="64" ph="1">
        <v>7</v>
      </c>
      <c r="AI44" s="64" t="s" ph="1">
        <v>371</v>
      </c>
      <c r="AV44" s="64" t="s" ph="1">
        <v>217</v>
      </c>
      <c r="AY44" s="64" t="s" ph="1">
        <v>216</v>
      </c>
      <c r="AZ44" s="64" t="s" ph="1">
        <v>367</v>
      </c>
    </row>
    <row r="45" spans="1:57" ph="1">
      <c r="R45" s="64"/>
      <c r="S45" s="64"/>
      <c r="T45" s="64"/>
      <c r="U45" s="64"/>
      <c r="V45" s="64"/>
      <c r="W45" s="64"/>
      <c r="X45" s="64"/>
      <c r="Y45" s="64"/>
      <c r="Z45" s="64"/>
      <c r="AA45" s="64"/>
      <c r="AB45" s="64"/>
      <c r="AC45" s="64"/>
      <c r="AD45" s="64"/>
      <c r="AE45" s="75"/>
      <c r="AH45" s="64" ph="1">
        <v>8</v>
      </c>
      <c r="AI45" s="64" t="s" ph="1">
        <v>372</v>
      </c>
      <c r="AV45" s="64" t="s" ph="1">
        <v>217</v>
      </c>
      <c r="AY45" s="64" t="s" ph="1">
        <v>216</v>
      </c>
      <c r="AZ45" s="64" t="s" ph="1">
        <v>367</v>
      </c>
    </row>
    <row r="46" spans="1:57" ph="1">
      <c r="R46" s="64"/>
      <c r="S46" s="64"/>
      <c r="T46" s="64"/>
      <c r="U46" s="64"/>
      <c r="V46" s="64"/>
      <c r="W46" s="64"/>
      <c r="X46" s="64"/>
      <c r="Y46" s="64"/>
      <c r="Z46" s="64"/>
      <c r="AA46" s="64"/>
      <c r="AB46" s="64"/>
      <c r="AC46" s="64"/>
      <c r="AD46" s="64"/>
      <c r="AE46" s="75"/>
      <c r="AH46" s="64" ph="1">
        <v>9</v>
      </c>
      <c r="AI46" s="64" t="s" ph="1">
        <v>373</v>
      </c>
      <c r="AV46" s="64" t="s" ph="1">
        <v>217</v>
      </c>
      <c r="AY46" s="64" t="s" ph="1">
        <v>216</v>
      </c>
      <c r="AZ46" s="64" t="s" ph="1">
        <v>367</v>
      </c>
    </row>
    <row r="47" spans="1:57" ph="1">
      <c r="R47" s="64"/>
      <c r="S47" s="64"/>
      <c r="T47" s="64"/>
      <c r="U47" s="64"/>
      <c r="V47" s="64"/>
      <c r="W47" s="64"/>
      <c r="X47" s="64"/>
      <c r="Y47" s="64"/>
      <c r="Z47" s="64"/>
      <c r="AA47" s="64"/>
      <c r="AB47" s="64"/>
      <c r="AC47" s="64"/>
      <c r="AD47" s="64"/>
      <c r="AE47" s="75"/>
      <c r="AH47" s="64" ph="1">
        <v>10</v>
      </c>
      <c r="AI47" s="64" t="s" ph="1">
        <v>374</v>
      </c>
      <c r="AV47" s="64" t="s" ph="1">
        <v>217</v>
      </c>
      <c r="AY47" s="64" t="s" ph="1">
        <v>216</v>
      </c>
      <c r="AZ47" s="64" t="s" ph="1">
        <v>367</v>
      </c>
    </row>
    <row r="48" spans="1:57" ph="1">
      <c r="R48" s="64"/>
      <c r="S48" s="64"/>
      <c r="T48" s="64"/>
      <c r="U48" s="64"/>
      <c r="V48" s="64"/>
      <c r="W48" s="64"/>
      <c r="X48" s="64"/>
      <c r="Y48" s="64"/>
      <c r="Z48" s="64"/>
      <c r="AA48" s="64"/>
      <c r="AB48" s="64"/>
      <c r="AC48" s="64"/>
      <c r="AD48" s="64"/>
      <c r="AE48" s="75"/>
      <c r="AZ48" s="64" t="s" ph="1">
        <v>575</v>
      </c>
    </row>
    <row r="49" spans="16:52" ph="1">
      <c r="R49" s="64"/>
      <c r="S49" s="64"/>
      <c r="T49" s="64"/>
      <c r="U49" s="64"/>
      <c r="V49" s="64"/>
      <c r="W49" s="64"/>
      <c r="X49" s="64"/>
      <c r="Y49" s="64"/>
      <c r="Z49" s="64"/>
      <c r="AA49" s="64"/>
      <c r="AB49" s="64"/>
      <c r="AC49" s="64"/>
      <c r="AD49" s="64"/>
      <c r="AE49" s="75"/>
      <c r="AG49" s="64" t="s" ph="1">
        <v>232</v>
      </c>
      <c r="AI49" s="64" t="s" ph="1">
        <v>209</v>
      </c>
      <c r="AJ49" s="64" t="s" ph="1">
        <v>210</v>
      </c>
      <c r="AK49" s="64" t="s" ph="1">
        <v>211</v>
      </c>
      <c r="AM49" s="64" t="s" ph="1">
        <v>210</v>
      </c>
      <c r="AN49" s="64" t="s" ph="1">
        <v>211</v>
      </c>
      <c r="AO49" s="64" t="s" ph="1">
        <v>212</v>
      </c>
      <c r="AP49" s="64" t="s" ph="1">
        <v>210</v>
      </c>
      <c r="AQ49" s="64" t="s" ph="1">
        <v>211</v>
      </c>
      <c r="AR49" s="64" t="s" ph="1">
        <v>212</v>
      </c>
      <c r="AS49" s="64" t="s" ph="1">
        <v>210</v>
      </c>
      <c r="AT49" s="64" t="s" ph="1">
        <v>211</v>
      </c>
      <c r="AU49" s="64" t="s" ph="1">
        <v>212</v>
      </c>
      <c r="AV49" s="64" t="s" ph="1">
        <v>210</v>
      </c>
      <c r="AW49" s="64" t="s" ph="1">
        <v>211</v>
      </c>
      <c r="AX49" s="64" t="s" ph="1">
        <v>212</v>
      </c>
      <c r="AY49" s="64" t="s" ph="1">
        <v>211</v>
      </c>
      <c r="AZ49" s="64" t="s" ph="1">
        <v>213</v>
      </c>
    </row>
    <row r="50" spans="16:52" ph="1">
      <c r="R50" s="64"/>
      <c r="S50" s="64"/>
      <c r="T50" s="64"/>
      <c r="U50" s="64"/>
      <c r="V50" s="64"/>
      <c r="W50" s="64"/>
      <c r="X50" s="64"/>
      <c r="Y50" s="64"/>
      <c r="Z50" s="64"/>
      <c r="AA50" s="64"/>
      <c r="AB50" s="64"/>
      <c r="AC50" s="64"/>
      <c r="AD50" s="64"/>
      <c r="AE50" s="75"/>
      <c r="AH50" s="64" ph="1">
        <v>1</v>
      </c>
      <c r="AI50" s="64" t="s" ph="1">
        <v>375</v>
      </c>
      <c r="AY50" s="64" t="s" ph="1">
        <v>216</v>
      </c>
      <c r="AZ50" s="64" t="s" ph="1">
        <v>367</v>
      </c>
    </row>
    <row r="51" spans="16:52" ph="1">
      <c r="R51" s="64"/>
      <c r="S51" s="64"/>
      <c r="T51" s="64"/>
      <c r="U51" s="64"/>
      <c r="V51" s="64"/>
      <c r="W51" s="64"/>
      <c r="X51" s="64"/>
      <c r="Y51" s="64"/>
      <c r="Z51" s="64"/>
      <c r="AA51" s="64"/>
      <c r="AB51" s="64"/>
      <c r="AC51" s="64"/>
      <c r="AD51" s="64"/>
      <c r="AE51" s="75"/>
      <c r="AH51" s="64" ph="1">
        <v>2</v>
      </c>
      <c r="AI51" s="64" t="s" ph="1">
        <v>376</v>
      </c>
      <c r="AY51" s="64" t="s" ph="1">
        <v>216</v>
      </c>
      <c r="AZ51" s="64" t="s" ph="1">
        <v>367</v>
      </c>
    </row>
    <row r="52" spans="16:52" ph="1">
      <c r="R52" s="64"/>
      <c r="S52" s="64"/>
      <c r="T52" s="64"/>
      <c r="U52" s="64"/>
      <c r="V52" s="64"/>
      <c r="W52" s="64"/>
      <c r="X52" s="64"/>
      <c r="Y52" s="64"/>
      <c r="Z52" s="64"/>
      <c r="AA52" s="64"/>
      <c r="AB52" s="64"/>
      <c r="AC52" s="64"/>
      <c r="AD52" s="64"/>
      <c r="AE52" s="75"/>
      <c r="AH52" s="64" ph="1">
        <v>3</v>
      </c>
      <c r="AI52" s="64" t="s" ph="1">
        <v>377</v>
      </c>
      <c r="AJ52" s="64" t="s" ph="1">
        <v>334</v>
      </c>
      <c r="AK52" s="64" t="s" ph="1">
        <v>228</v>
      </c>
      <c r="AM52" s="64" t="s" ph="1">
        <v>336</v>
      </c>
      <c r="AN52" s="64" t="s" ph="1">
        <v>300</v>
      </c>
      <c r="AO52" s="64" t="s" ph="1">
        <v>233</v>
      </c>
      <c r="AP52" s="64" t="s" ph="1">
        <v>570</v>
      </c>
      <c r="AQ52" s="64" t="s" ph="1">
        <v>282</v>
      </c>
      <c r="AR52" s="64" t="s" ph="1">
        <v>233</v>
      </c>
      <c r="AY52" s="64" t="s" ph="1">
        <v>216</v>
      </c>
      <c r="AZ52" s="64" t="s" ph="1">
        <v>576</v>
      </c>
    </row>
    <row r="53" spans="16:52" ph="1">
      <c r="R53" s="64"/>
      <c r="S53" s="64"/>
      <c r="T53" s="64"/>
      <c r="U53" s="64"/>
      <c r="W53" s="64"/>
      <c r="X53" s="64"/>
      <c r="Y53" s="64"/>
      <c r="Z53" s="64"/>
      <c r="AA53" s="64"/>
      <c r="AB53" s="64"/>
      <c r="AC53" s="64"/>
      <c r="AD53" s="64"/>
      <c r="AH53" s="64" ph="1">
        <v>4</v>
      </c>
      <c r="AI53" s="64" t="s" ph="1">
        <v>378</v>
      </c>
      <c r="AY53" s="64" t="s" ph="1">
        <v>216</v>
      </c>
      <c r="AZ53" s="64" t="s" ph="1">
        <v>367</v>
      </c>
    </row>
    <row r="54" spans="16:52" ph="1">
      <c r="R54" s="64"/>
      <c r="S54" s="64"/>
      <c r="T54" s="64"/>
      <c r="U54" s="64"/>
      <c r="W54" s="64"/>
      <c r="X54" s="64"/>
      <c r="Y54" s="64"/>
      <c r="Z54" s="64"/>
      <c r="AA54" s="64"/>
      <c r="AC54" s="64"/>
      <c r="AD54" s="64"/>
      <c r="AH54" s="64" ph="1">
        <v>5</v>
      </c>
      <c r="AI54" s="64" t="s" ph="1">
        <v>379</v>
      </c>
      <c r="AJ54" s="64" t="s" ph="1">
        <v>334</v>
      </c>
      <c r="AK54" s="64" t="s" ph="1">
        <v>219</v>
      </c>
      <c r="AM54" s="64" t="s" ph="1">
        <v>336</v>
      </c>
      <c r="AN54" s="64" t="s" ph="1">
        <v>224</v>
      </c>
      <c r="AO54" s="64" t="s" ph="1">
        <v>233</v>
      </c>
      <c r="AP54" s="64" t="s" ph="1">
        <v>570</v>
      </c>
      <c r="AQ54" s="64" t="s" ph="1">
        <v>240</v>
      </c>
      <c r="AR54" s="64" t="s" ph="1">
        <v>233</v>
      </c>
      <c r="AY54" s="64" t="s" ph="1">
        <v>216</v>
      </c>
      <c r="AZ54" s="64" t="s" ph="1">
        <v>234</v>
      </c>
    </row>
    <row r="55" spans="16:52" ph="1">
      <c r="R55" s="64"/>
      <c r="S55" s="64"/>
      <c r="T55" s="64"/>
      <c r="U55" s="64"/>
      <c r="V55" s="64"/>
      <c r="W55" s="64"/>
      <c r="X55" s="64"/>
      <c r="Z55" s="64"/>
      <c r="AC55" s="64"/>
      <c r="AD55" s="64"/>
      <c r="AE55" s="75"/>
      <c r="AH55" s="64" ph="1">
        <v>6</v>
      </c>
      <c r="AI55" s="64" t="s" ph="1">
        <v>380</v>
      </c>
      <c r="AY55" s="64" t="s" ph="1">
        <v>216</v>
      </c>
      <c r="AZ55" s="64" t="s" ph="1">
        <v>367</v>
      </c>
    </row>
    <row r="56" spans="16:52" ph="1">
      <c r="P56" s="64" ph="1">
        <v>20260804</v>
      </c>
      <c r="R56" s="64"/>
      <c r="S56" s="64"/>
      <c r="T56" s="64"/>
      <c r="U56" s="64"/>
      <c r="V56" s="64"/>
      <c r="W56" s="64"/>
      <c r="X56" s="64"/>
      <c r="Z56" s="64"/>
      <c r="AA56" s="64"/>
      <c r="AB56" s="64"/>
      <c r="AC56" s="64"/>
      <c r="AD56" s="64"/>
      <c r="AE56" s="75"/>
      <c r="AH56" s="64" ph="1">
        <v>7</v>
      </c>
      <c r="AI56" s="64" t="s" ph="1">
        <v>381</v>
      </c>
      <c r="AY56" s="64" t="s" ph="1">
        <v>216</v>
      </c>
      <c r="AZ56" s="64" t="s" ph="1">
        <v>367</v>
      </c>
    </row>
    <row r="57" spans="16:52" ph="1">
      <c r="R57" s="64"/>
      <c r="S57" s="64"/>
      <c r="T57" s="64"/>
      <c r="U57" s="64"/>
      <c r="V57" s="64"/>
      <c r="W57" s="64"/>
      <c r="AA57" s="64"/>
      <c r="AB57" s="64"/>
      <c r="AC57" s="64"/>
      <c r="AD57" s="64"/>
      <c r="AE57" s="75"/>
      <c r="AH57" s="64" ph="1">
        <v>8</v>
      </c>
      <c r="AI57" s="64" t="s" ph="1">
        <v>382</v>
      </c>
      <c r="AY57" s="64" t="s" ph="1">
        <v>216</v>
      </c>
      <c r="AZ57" s="64" t="s" ph="1">
        <v>367</v>
      </c>
    </row>
    <row r="58" spans="16:52" ph="1">
      <c r="P58" s="64"/>
      <c r="AN58" s="64" t="s" ph="1">
        <v>217</v>
      </c>
      <c r="AZ58" s="64" t="s" ph="1">
        <v>577</v>
      </c>
    </row>
    <row r="59" spans="16:52" ph="1">
      <c r="V59" s="64"/>
      <c r="AG59" s="64" t="s" ph="1">
        <v>235</v>
      </c>
      <c r="AI59" s="64" t="s" ph="1">
        <v>209</v>
      </c>
      <c r="AJ59" s="64" t="s" ph="1">
        <v>210</v>
      </c>
      <c r="AK59" s="64" t="s" ph="1">
        <v>211</v>
      </c>
      <c r="AM59" s="64" t="s" ph="1">
        <v>210</v>
      </c>
      <c r="AN59" s="64" t="s" ph="1">
        <v>211</v>
      </c>
      <c r="AO59" s="64" t="s" ph="1">
        <v>212</v>
      </c>
      <c r="AP59" s="64" t="s" ph="1">
        <v>210</v>
      </c>
      <c r="AQ59" s="64" t="s" ph="1">
        <v>211</v>
      </c>
      <c r="AR59" s="64" t="s" ph="1">
        <v>212</v>
      </c>
      <c r="AS59" s="64" t="s" ph="1">
        <v>210</v>
      </c>
      <c r="AT59" s="64" t="s" ph="1">
        <v>211</v>
      </c>
      <c r="AU59" s="64" t="s" ph="1">
        <v>212</v>
      </c>
      <c r="AV59" s="64" t="s" ph="1">
        <v>210</v>
      </c>
      <c r="AW59" s="64" t="s" ph="1">
        <v>211</v>
      </c>
      <c r="AX59" s="64" t="s" ph="1">
        <v>212</v>
      </c>
      <c r="AY59" s="64" t="s" ph="1">
        <v>211</v>
      </c>
      <c r="AZ59" s="64" t="s" ph="1">
        <v>213</v>
      </c>
    </row>
    <row r="60" spans="16:52" ph="1">
      <c r="R60" s="64"/>
      <c r="S60" s="64"/>
      <c r="T60" s="64"/>
      <c r="AH60" s="64" ph="1">
        <v>1</v>
      </c>
      <c r="AI60" s="64" t="s" ph="1">
        <v>383</v>
      </c>
      <c r="AY60" s="64" t="s" ph="1">
        <v>216</v>
      </c>
      <c r="AZ60" s="64" t="s" ph="1">
        <v>367</v>
      </c>
    </row>
    <row r="61" spans="16:52" ph="1">
      <c r="AH61" s="64" ph="1">
        <v>2</v>
      </c>
      <c r="AI61" s="64" t="s" ph="1">
        <v>384</v>
      </c>
      <c r="AS61" s="64" t="s" ph="1">
        <v>217</v>
      </c>
      <c r="AY61" s="64" t="s" ph="1">
        <v>216</v>
      </c>
      <c r="AZ61" s="64" t="s" ph="1">
        <v>367</v>
      </c>
    </row>
    <row r="62" spans="16:52" ph="1">
      <c r="AZ62" s="64" t="s" ph="1">
        <v>385</v>
      </c>
    </row>
    <row r="63" spans="16:52" ph="1">
      <c r="AG63" s="64" t="s" ph="1">
        <v>238</v>
      </c>
      <c r="AI63" s="64" t="s" ph="1">
        <v>209</v>
      </c>
      <c r="AJ63" s="64" t="s" ph="1">
        <v>210</v>
      </c>
      <c r="AK63" s="64" t="s" ph="1">
        <v>211</v>
      </c>
      <c r="AM63" s="64" t="s" ph="1">
        <v>210</v>
      </c>
      <c r="AN63" s="64" t="s" ph="1">
        <v>211</v>
      </c>
      <c r="AO63" s="64" t="s" ph="1">
        <v>212</v>
      </c>
      <c r="AP63" s="64" t="s" ph="1">
        <v>210</v>
      </c>
      <c r="AQ63" s="64" t="s" ph="1">
        <v>211</v>
      </c>
      <c r="AR63" s="64" t="s" ph="1">
        <v>212</v>
      </c>
      <c r="AS63" s="64" t="s" ph="1">
        <v>210</v>
      </c>
      <c r="AT63" s="64" t="s" ph="1">
        <v>211</v>
      </c>
      <c r="AU63" s="64" t="s" ph="1">
        <v>212</v>
      </c>
      <c r="AV63" s="64" t="s" ph="1">
        <v>210</v>
      </c>
      <c r="AW63" s="64" t="s" ph="1">
        <v>211</v>
      </c>
      <c r="AX63" s="64" t="s" ph="1">
        <v>212</v>
      </c>
      <c r="AY63" s="64" t="s" ph="1">
        <v>211</v>
      </c>
      <c r="AZ63" s="64" t="s" ph="1">
        <v>213</v>
      </c>
    </row>
    <row r="64" spans="16:52" ph="1">
      <c r="AH64" s="64" ph="1">
        <v>1</v>
      </c>
      <c r="AI64" s="64" t="s" ph="1">
        <v>386</v>
      </c>
      <c r="AJ64" s="64" t="s" ph="1">
        <v>387</v>
      </c>
      <c r="AK64" s="64" t="s" ph="1">
        <v>388</v>
      </c>
      <c r="AY64" s="64" t="s" ph="1">
        <v>216</v>
      </c>
      <c r="AZ64" s="64" t="s" ph="1">
        <v>388</v>
      </c>
    </row>
    <row r="65" spans="33:52" ph="1">
      <c r="AH65" s="64" ph="1">
        <v>2</v>
      </c>
      <c r="AI65" s="64" t="s" ph="1">
        <v>389</v>
      </c>
      <c r="AY65" s="64" t="s" ph="1">
        <v>216</v>
      </c>
      <c r="AZ65" s="64" t="s" ph="1">
        <v>367</v>
      </c>
    </row>
    <row r="66" spans="33:52" ph="1">
      <c r="AH66" s="64" ph="1">
        <v>3</v>
      </c>
      <c r="AI66" s="64" t="s" ph="1">
        <v>390</v>
      </c>
      <c r="AY66" s="64" t="s" ph="1">
        <v>216</v>
      </c>
      <c r="AZ66" s="64" t="s" ph="1">
        <v>367</v>
      </c>
    </row>
    <row r="67" spans="33:52" ph="1">
      <c r="AH67" s="64" ph="1">
        <v>4</v>
      </c>
      <c r="AI67" s="64" t="s" ph="1">
        <v>391</v>
      </c>
      <c r="AY67" s="64" t="s" ph="1">
        <v>216</v>
      </c>
      <c r="AZ67" s="64" t="s" ph="1">
        <v>367</v>
      </c>
    </row>
    <row r="68" spans="33:52" ph="1">
      <c r="AH68" s="64" ph="1">
        <v>5</v>
      </c>
      <c r="AI68" s="64" t="s" ph="1">
        <v>392</v>
      </c>
      <c r="AY68" s="64" t="s" ph="1">
        <v>216</v>
      </c>
      <c r="AZ68" s="64" t="s" ph="1">
        <v>367</v>
      </c>
    </row>
    <row r="69" spans="33:52" ph="1">
      <c r="AH69" s="64" ph="1">
        <v>6</v>
      </c>
      <c r="AI69" s="64" t="s" ph="1">
        <v>393</v>
      </c>
      <c r="AY69" s="64" t="s" ph="1">
        <v>216</v>
      </c>
      <c r="AZ69" s="64" t="s" ph="1">
        <v>367</v>
      </c>
    </row>
    <row r="70" spans="33:52" ph="1">
      <c r="AI70" s="64" t="s" ph="1">
        <v>394</v>
      </c>
      <c r="AY70" s="64" t="s" ph="1">
        <v>216</v>
      </c>
      <c r="AZ70" s="64" t="s" ph="1">
        <v>367</v>
      </c>
    </row>
    <row r="71" spans="33:52" ph="1">
      <c r="AH71" s="64" ph="1">
        <v>7</v>
      </c>
      <c r="AI71" s="64" t="s" ph="1">
        <v>395</v>
      </c>
      <c r="AJ71" s="64" t="s" ph="1">
        <v>334</v>
      </c>
      <c r="AK71" s="64" t="s" ph="1">
        <v>228</v>
      </c>
      <c r="AM71" s="64" t="s" ph="1">
        <v>336</v>
      </c>
      <c r="AN71" s="64" t="s" ph="1">
        <v>228</v>
      </c>
      <c r="AO71" s="64" t="s" ph="1">
        <v>396</v>
      </c>
      <c r="AP71" s="64" t="s" ph="1">
        <v>570</v>
      </c>
      <c r="AQ71" s="64" t="s" ph="1">
        <v>219</v>
      </c>
      <c r="AR71" s="64" t="s" ph="1">
        <v>396</v>
      </c>
      <c r="AY71" s="64" t="s" ph="1">
        <v>216</v>
      </c>
      <c r="AZ71" s="64" t="s" ph="1">
        <v>578</v>
      </c>
    </row>
    <row r="72" spans="33:52" ph="1">
      <c r="AZ72" s="64" t="s" ph="1">
        <v>579</v>
      </c>
    </row>
    <row r="73" spans="33:52" ph="1">
      <c r="AG73" s="64" t="s" ph="1">
        <v>241</v>
      </c>
      <c r="AI73" s="64" t="s" ph="1">
        <v>209</v>
      </c>
      <c r="AJ73" s="64" t="s" ph="1">
        <v>210</v>
      </c>
      <c r="AK73" s="64" t="s" ph="1">
        <v>211</v>
      </c>
      <c r="AM73" s="64" t="s" ph="1">
        <v>210</v>
      </c>
      <c r="AN73" s="64" t="s" ph="1">
        <v>211</v>
      </c>
      <c r="AO73" s="64" t="s" ph="1">
        <v>212</v>
      </c>
      <c r="AP73" s="64" t="s" ph="1">
        <v>210</v>
      </c>
      <c r="AQ73" s="64" t="s" ph="1">
        <v>211</v>
      </c>
      <c r="AR73" s="64" t="s" ph="1">
        <v>212</v>
      </c>
      <c r="AS73" s="64" t="s" ph="1">
        <v>210</v>
      </c>
      <c r="AT73" s="64" t="s" ph="1">
        <v>211</v>
      </c>
      <c r="AU73" s="64" t="s" ph="1">
        <v>212</v>
      </c>
      <c r="AV73" s="64" t="s" ph="1">
        <v>210</v>
      </c>
      <c r="AW73" s="64" t="s" ph="1">
        <v>211</v>
      </c>
      <c r="AX73" s="64" t="s" ph="1">
        <v>212</v>
      </c>
      <c r="AY73" s="64" t="s" ph="1">
        <v>211</v>
      </c>
      <c r="AZ73" s="64" t="s" ph="1">
        <v>213</v>
      </c>
    </row>
    <row r="74" spans="33:52" ph="1">
      <c r="AH74" s="64" ph="1">
        <v>1</v>
      </c>
      <c r="AI74" s="64" t="s" ph="1">
        <v>397</v>
      </c>
      <c r="AJ74" s="64" t="s" ph="1">
        <v>242</v>
      </c>
      <c r="AK74" s="64" t="s" ph="1">
        <v>224</v>
      </c>
      <c r="AM74" s="64" t="s" ph="1">
        <v>244</v>
      </c>
      <c r="AN74" s="64" t="s" ph="1">
        <v>254</v>
      </c>
      <c r="AO74" s="64" t="s" ph="1">
        <v>243</v>
      </c>
      <c r="AP74" s="64" t="s" ph="1">
        <v>245</v>
      </c>
      <c r="AQ74" s="64" t="s" ph="1">
        <v>222</v>
      </c>
      <c r="AR74" s="64" t="s" ph="1">
        <v>243</v>
      </c>
      <c r="AS74" s="64" t="s" ph="1">
        <v>215</v>
      </c>
      <c r="AT74" s="64" t="s" ph="1">
        <v>217</v>
      </c>
      <c r="AV74" s="64" t="s" ph="1">
        <v>398</v>
      </c>
      <c r="AW74" s="64" t="s" ph="1">
        <v>399</v>
      </c>
      <c r="AX74" s="64" t="s" ph="1">
        <v>400</v>
      </c>
      <c r="AY74" s="64" t="s" ph="1">
        <v>216</v>
      </c>
      <c r="AZ74" s="64" t="s" ph="1">
        <v>401</v>
      </c>
    </row>
    <row r="75" spans="33:52" ph="1">
      <c r="AJ75" s="64" t="s" ph="1">
        <v>247</v>
      </c>
      <c r="AK75" s="64" t="s" ph="1">
        <v>300</v>
      </c>
      <c r="AM75" s="64" t="s" ph="1">
        <v>245</v>
      </c>
      <c r="AN75" s="64" t="s" ph="1">
        <v>225</v>
      </c>
      <c r="AO75" s="64" t="s" ph="1">
        <v>243</v>
      </c>
      <c r="AS75" s="64" t="s" ph="1">
        <v>215</v>
      </c>
      <c r="AT75" s="64" t="s" ph="1">
        <v>246</v>
      </c>
    </row>
    <row r="76" spans="33:52" ph="1">
      <c r="AJ76" s="64" t="s" ph="1">
        <v>247</v>
      </c>
      <c r="AK76" s="64" t="s" ph="1">
        <v>240</v>
      </c>
      <c r="AM76" s="64" t="s" ph="1">
        <v>245</v>
      </c>
      <c r="AN76" s="64" t="s" ph="1">
        <v>228</v>
      </c>
      <c r="AO76" s="64" t="s" ph="1">
        <v>243</v>
      </c>
      <c r="AS76" s="64" t="s" ph="1">
        <v>215</v>
      </c>
      <c r="AT76" s="64" t="s" ph="1">
        <v>246</v>
      </c>
    </row>
    <row r="77" spans="33:52" ph="1">
      <c r="AJ77" s="64" t="s" ph="1">
        <v>283</v>
      </c>
      <c r="AK77" s="64" t="s" ph="1">
        <v>240</v>
      </c>
      <c r="AM77" s="64" t="s" ph="1">
        <v>284</v>
      </c>
      <c r="AN77" s="64" t="s" ph="1">
        <v>223</v>
      </c>
      <c r="AO77" s="64" t="s" ph="1">
        <v>243</v>
      </c>
      <c r="AS77" s="64" t="s" ph="1">
        <v>215</v>
      </c>
      <c r="AT77" s="64" t="s" ph="1">
        <v>285</v>
      </c>
    </row>
    <row r="78" spans="33:52" ph="1">
      <c r="AH78" s="64" ph="1">
        <v>2</v>
      </c>
      <c r="AI78" s="64" t="s" ph="1">
        <v>249</v>
      </c>
      <c r="AJ78" s="64" t="s" ph="1">
        <v>250</v>
      </c>
      <c r="AK78" s="64" t="s" ph="1">
        <v>219</v>
      </c>
      <c r="AM78" s="64" t="s" ph="1">
        <v>251</v>
      </c>
      <c r="AN78" s="64" t="s" ph="1">
        <v>254</v>
      </c>
      <c r="AO78" s="64" t="s" ph="1">
        <v>243</v>
      </c>
      <c r="AP78" s="64" t="s" ph="1">
        <v>252</v>
      </c>
      <c r="AQ78" s="64" t="s" ph="1">
        <v>298</v>
      </c>
      <c r="AR78" s="64" t="s" ph="1">
        <v>243</v>
      </c>
      <c r="AS78" s="64" t="s" ph="1">
        <v>253</v>
      </c>
      <c r="AT78" s="64" t="s" ph="1">
        <v>254</v>
      </c>
      <c r="AU78" s="64" t="s" ph="1">
        <v>243</v>
      </c>
      <c r="AV78" s="64" t="s" ph="1">
        <v>255</v>
      </c>
      <c r="AW78" s="64" t="s" ph="1">
        <v>243</v>
      </c>
      <c r="AY78" s="64" t="s" ph="1">
        <v>216</v>
      </c>
      <c r="AZ78" s="64" t="s" ph="1">
        <v>402</v>
      </c>
    </row>
    <row r="79" spans="33:52" ph="1">
      <c r="AJ79" s="64" t="s" ph="1">
        <v>245</v>
      </c>
      <c r="AK79" s="64" t="s" ph="1">
        <v>256</v>
      </c>
      <c r="AM79" s="64" t="s" ph="1">
        <v>257</v>
      </c>
      <c r="AN79" s="64" t="s" ph="1">
        <v>225</v>
      </c>
      <c r="AO79" s="64" t="s" ph="1">
        <v>243</v>
      </c>
      <c r="AP79" s="64" t="s" ph="1">
        <v>258</v>
      </c>
      <c r="AQ79" s="64" t="s" ph="1">
        <v>223</v>
      </c>
      <c r="AR79" s="64" t="s" ph="1">
        <v>259</v>
      </c>
      <c r="AS79" s="64" t="s" ph="1">
        <v>215</v>
      </c>
      <c r="AT79" s="64" t="s" ph="1">
        <v>260</v>
      </c>
      <c r="AV79" s="64" t="s" ph="1">
        <v>403</v>
      </c>
      <c r="AW79" s="64" t="s" ph="1">
        <v>302</v>
      </c>
      <c r="AX79" s="64" t="s" ph="1">
        <v>400</v>
      </c>
    </row>
    <row r="80" spans="33:52" ph="1">
      <c r="AH80" s="64" ph="1">
        <v>3</v>
      </c>
      <c r="AI80" s="64" t="s" ph="1">
        <v>261</v>
      </c>
      <c r="AJ80" s="64" t="s" ph="1">
        <v>262</v>
      </c>
      <c r="AK80" s="64" t="s" ph="1">
        <v>263</v>
      </c>
      <c r="AM80" s="64" t="s" ph="1">
        <v>264</v>
      </c>
      <c r="AN80" s="64" t="s" ph="1">
        <v>254</v>
      </c>
      <c r="AO80" s="64" t="s" ph="1">
        <v>243</v>
      </c>
      <c r="AP80" s="64" t="s" ph="1">
        <v>265</v>
      </c>
      <c r="AQ80" s="64" t="s" ph="1">
        <v>228</v>
      </c>
      <c r="AR80" s="64" t="s" ph="1">
        <v>243</v>
      </c>
      <c r="AS80" s="64" t="s" ph="1">
        <v>266</v>
      </c>
      <c r="AT80" s="64" t="s" ph="1">
        <v>227</v>
      </c>
      <c r="AU80" s="64" t="s" ph="1">
        <v>243</v>
      </c>
      <c r="AV80" s="64" t="s" ph="1">
        <v>267</v>
      </c>
      <c r="AW80" s="64" t="s" ph="1">
        <v>243</v>
      </c>
      <c r="AY80" s="64" t="s" ph="1">
        <v>216</v>
      </c>
      <c r="AZ80" s="64" t="s" ph="1">
        <v>404</v>
      </c>
    </row>
    <row r="81" spans="34:52" ph="1">
      <c r="AJ81" s="64" t="s" ph="1">
        <v>268</v>
      </c>
      <c r="AK81" s="64" t="s" ph="1">
        <v>222</v>
      </c>
      <c r="AM81" s="64" t="s" ph="1">
        <v>269</v>
      </c>
      <c r="AN81" s="64" t="s" ph="1">
        <v>225</v>
      </c>
      <c r="AO81" s="64" t="s" ph="1">
        <v>243</v>
      </c>
      <c r="AP81" s="64" t="s" ph="1">
        <v>270</v>
      </c>
      <c r="AQ81" s="64" t="s" ph="1">
        <v>254</v>
      </c>
      <c r="AR81" s="64" t="s" ph="1">
        <v>243</v>
      </c>
      <c r="AS81" s="64" t="s" ph="1">
        <v>271</v>
      </c>
      <c r="AT81" s="64" t="s" ph="1">
        <v>272</v>
      </c>
      <c r="AU81" s="64" t="s" ph="1">
        <v>243</v>
      </c>
      <c r="AV81" s="64" t="s" ph="1">
        <v>273</v>
      </c>
    </row>
    <row r="82" spans="34:52" ph="1">
      <c r="AJ82" s="64" t="s" ph="1">
        <v>274</v>
      </c>
      <c r="AK82" s="64" t="s" ph="1">
        <v>222</v>
      </c>
      <c r="AM82" s="64" t="s" ph="1">
        <v>275</v>
      </c>
      <c r="AN82" s="64" t="s" ph="1">
        <v>272</v>
      </c>
      <c r="AO82" s="64" t="s" ph="1">
        <v>276</v>
      </c>
      <c r="AP82" s="64" t="s" ph="1">
        <v>277</v>
      </c>
      <c r="AQ82" s="64" t="s" ph="1">
        <v>254</v>
      </c>
      <c r="AR82" s="64" t="s" ph="1">
        <v>243</v>
      </c>
      <c r="AS82" s="64" t="s" ph="1">
        <v>278</v>
      </c>
      <c r="AT82" s="64" t="s" ph="1">
        <v>229</v>
      </c>
      <c r="AU82" s="64" t="s" ph="1">
        <v>243</v>
      </c>
      <c r="AV82" s="64" t="s" ph="1">
        <v>403</v>
      </c>
      <c r="AW82" s="64" t="s" ph="1">
        <v>303</v>
      </c>
      <c r="AX82" s="64" t="s" ph="1">
        <v>400</v>
      </c>
    </row>
    <row r="83" spans="34:52" ph="1">
      <c r="AJ83" s="64" t="s" ph="1">
        <v>279</v>
      </c>
      <c r="AK83" s="64" t="s" ph="1">
        <v>296</v>
      </c>
      <c r="AM83" s="64" t="s" ph="1">
        <v>280</v>
      </c>
      <c r="AN83" s="64" t="s" ph="1">
        <v>228</v>
      </c>
      <c r="AO83" s="64" t="s" ph="1">
        <v>259</v>
      </c>
      <c r="AP83" s="64" t="s" ph="1">
        <v>281</v>
      </c>
      <c r="AQ83" s="64" t="s" ph="1">
        <v>282</v>
      </c>
      <c r="AR83" s="64" t="s" ph="1">
        <v>259</v>
      </c>
      <c r="AS83" s="64" t="s" ph="1">
        <v>405</v>
      </c>
      <c r="AT83" s="64" t="s" ph="1">
        <v>254</v>
      </c>
      <c r="AU83" s="64" t="s" ph="1">
        <v>259</v>
      </c>
      <c r="AV83" s="64" t="s" ph="1">
        <v>406</v>
      </c>
      <c r="AW83" s="64" t="s" ph="1">
        <v>303</v>
      </c>
      <c r="AX83" s="64" t="s" ph="1">
        <v>407</v>
      </c>
    </row>
    <row r="84" spans="34:52" ph="1">
      <c r="AH84" s="64" ph="1">
        <v>4</v>
      </c>
      <c r="AI84" s="64" t="s" ph="1">
        <v>286</v>
      </c>
      <c r="AJ84" s="64" t="s" ph="1">
        <v>226</v>
      </c>
      <c r="AK84" s="64" t="s" ph="1">
        <v>229</v>
      </c>
      <c r="AM84" s="64" t="s" ph="1">
        <v>230</v>
      </c>
      <c r="AN84" s="64" t="s" ph="1">
        <v>223</v>
      </c>
      <c r="AO84" s="64" t="s" ph="1">
        <v>259</v>
      </c>
      <c r="AP84" s="64" t="s" ph="1">
        <v>288</v>
      </c>
      <c r="AQ84" s="64" t="s" ph="1">
        <v>222</v>
      </c>
      <c r="AR84" s="64" t="s" ph="1">
        <v>259</v>
      </c>
      <c r="AS84" s="64" t="s" ph="1">
        <v>288</v>
      </c>
      <c r="AT84" s="64" t="s" ph="1">
        <v>224</v>
      </c>
      <c r="AU84" s="64" t="s" ph="1">
        <v>259</v>
      </c>
      <c r="AY84" s="64" t="s" ph="1">
        <v>216</v>
      </c>
      <c r="AZ84" s="64" t="s" ph="1">
        <v>408</v>
      </c>
    </row>
    <row r="85" spans="34:52" ph="1">
      <c r="AJ85" s="64" t="s" ph="1">
        <v>218</v>
      </c>
      <c r="AK85" s="64" t="s" ph="1">
        <v>222</v>
      </c>
      <c r="AM85" s="64" t="s" ph="1">
        <v>409</v>
      </c>
      <c r="AN85" s="64" t="s" ph="1">
        <v>229</v>
      </c>
      <c r="AO85" s="64" t="s" ph="1">
        <v>259</v>
      </c>
      <c r="AP85" s="64" t="s" ph="1">
        <v>410</v>
      </c>
      <c r="AQ85" s="64" t="s" ph="1">
        <v>225</v>
      </c>
      <c r="AR85" s="64" t="s" ph="1">
        <v>259</v>
      </c>
      <c r="AS85" s="64" t="s" ph="1">
        <v>411</v>
      </c>
      <c r="AT85" s="64" t="s" ph="1">
        <v>225</v>
      </c>
      <c r="AU85" s="64" t="s" ph="1">
        <v>259</v>
      </c>
    </row>
    <row r="86" spans="34:52" ph="1">
      <c r="AJ86" s="64" t="s" ph="1">
        <v>412</v>
      </c>
      <c r="AK86" s="64" t="s" ph="1">
        <v>231</v>
      </c>
      <c r="AM86" s="64" t="s" ph="1">
        <v>413</v>
      </c>
      <c r="AN86" s="64" t="s" ph="1">
        <v>272</v>
      </c>
      <c r="AO86" s="64" t="s" ph="1">
        <v>259</v>
      </c>
      <c r="AP86" s="64" t="s" ph="1">
        <v>414</v>
      </c>
      <c r="AQ86" s="64" t="s" ph="1">
        <v>219</v>
      </c>
      <c r="AR86" s="64" t="s" ph="1">
        <v>259</v>
      </c>
      <c r="AS86" s="64" t="s" ph="1">
        <v>415</v>
      </c>
      <c r="AT86" s="64" t="s" ph="1">
        <v>237</v>
      </c>
      <c r="AU86" s="64" t="s" ph="1">
        <v>259</v>
      </c>
    </row>
    <row r="87" spans="34:52" ph="1">
      <c r="AJ87" s="64" t="s" ph="1">
        <v>416</v>
      </c>
      <c r="AK87" s="64" t="s" ph="1">
        <v>272</v>
      </c>
      <c r="AM87" s="64" t="s" ph="1">
        <v>403</v>
      </c>
      <c r="AN87" s="64" t="s" ph="1">
        <v>417</v>
      </c>
      <c r="AO87" s="64" t="s" ph="1">
        <v>400</v>
      </c>
    </row>
    <row r="88" spans="34:52" ph="1">
      <c r="AH88" s="64" ph="1">
        <v>5</v>
      </c>
      <c r="AI88" s="64" t="s" ph="1">
        <v>289</v>
      </c>
      <c r="AJ88" s="64" t="s" ph="1">
        <v>418</v>
      </c>
      <c r="AK88" s="64" t="s" ph="1">
        <v>272</v>
      </c>
      <c r="AM88" s="64" t="s" ph="1">
        <v>419</v>
      </c>
      <c r="AN88" s="64" t="s" ph="1">
        <v>272</v>
      </c>
      <c r="AO88" s="64" t="s" ph="1">
        <v>259</v>
      </c>
      <c r="AP88" s="64" t="s" ph="1">
        <v>420</v>
      </c>
      <c r="AQ88" s="64" t="s" ph="1">
        <v>222</v>
      </c>
      <c r="AR88" s="64" t="s" ph="1">
        <v>259</v>
      </c>
      <c r="AS88" s="64" t="s" ph="1">
        <v>421</v>
      </c>
      <c r="AT88" s="64" t="s" ph="1">
        <v>272</v>
      </c>
      <c r="AU88" s="64" t="s" ph="1">
        <v>259</v>
      </c>
      <c r="AV88" s="64" t="s" ph="1">
        <v>422</v>
      </c>
      <c r="AW88" s="64" t="s" ph="1">
        <v>227</v>
      </c>
      <c r="AX88" s="64" t="s" ph="1">
        <v>259</v>
      </c>
      <c r="AY88" s="64" t="s" ph="1">
        <v>216</v>
      </c>
      <c r="AZ88" s="64" t="s" ph="1">
        <v>423</v>
      </c>
    </row>
    <row r="89" spans="34:52" ph="1">
      <c r="AJ89" s="64" t="s" ph="1">
        <v>424</v>
      </c>
      <c r="AK89" s="64" t="s" ph="1">
        <v>225</v>
      </c>
      <c r="AM89" s="64" t="s" ph="1">
        <v>425</v>
      </c>
      <c r="AN89" s="64" t="s" ph="1">
        <v>228</v>
      </c>
      <c r="AO89" s="64" t="s" ph="1">
        <v>259</v>
      </c>
      <c r="AP89" s="64" t="s" ph="1">
        <v>426</v>
      </c>
      <c r="AQ89" s="64" t="s" ph="1">
        <v>237</v>
      </c>
      <c r="AR89" s="64" t="s" ph="1">
        <v>259</v>
      </c>
      <c r="AS89" s="64" t="s" ph="1">
        <v>427</v>
      </c>
      <c r="AT89" s="64" t="s" ph="1">
        <v>272</v>
      </c>
      <c r="AU89" s="64" t="s" ph="1">
        <v>259</v>
      </c>
      <c r="AV89" s="64" t="s" ph="1">
        <v>428</v>
      </c>
      <c r="AW89" s="64" t="s" ph="1">
        <v>254</v>
      </c>
      <c r="AX89" s="64" t="s" ph="1">
        <v>287</v>
      </c>
    </row>
    <row r="90" spans="34:52" ph="1">
      <c r="AJ90" s="64" t="s" ph="1">
        <v>429</v>
      </c>
      <c r="AK90" s="64" t="s" ph="1">
        <v>228</v>
      </c>
      <c r="AM90" s="64" t="s" ph="1">
        <v>430</v>
      </c>
      <c r="AN90" s="64" t="s" ph="1">
        <v>225</v>
      </c>
      <c r="AO90" s="64" t="s" ph="1">
        <v>259</v>
      </c>
      <c r="AP90" s="64" t="s" ph="1">
        <v>431</v>
      </c>
      <c r="AQ90" s="64" t="s" ph="1">
        <v>294</v>
      </c>
      <c r="AR90" s="64" t="s" ph="1">
        <v>259</v>
      </c>
      <c r="AS90" s="64" t="s" ph="1">
        <v>432</v>
      </c>
      <c r="AT90" s="64" t="s" ph="1">
        <v>282</v>
      </c>
      <c r="AU90" s="64" t="s" ph="1">
        <v>259</v>
      </c>
      <c r="AV90" s="64" t="s" ph="1">
        <v>433</v>
      </c>
      <c r="AW90" s="64" t="s" ph="1">
        <v>219</v>
      </c>
      <c r="AX90" s="64" t="s" ph="1">
        <v>259</v>
      </c>
    </row>
    <row r="91" spans="34:52" ph="1">
      <c r="AJ91" s="64" t="s" ph="1">
        <v>434</v>
      </c>
      <c r="AK91" s="64" t="s" ph="1">
        <v>272</v>
      </c>
      <c r="AM91" s="64" t="s" ph="1">
        <v>435</v>
      </c>
      <c r="AN91" s="64" t="s" ph="1">
        <v>239</v>
      </c>
      <c r="AO91" s="64" t="s" ph="1">
        <v>259</v>
      </c>
      <c r="AP91" s="64" t="s" ph="1">
        <v>436</v>
      </c>
      <c r="AQ91" s="64" t="s" ph="1">
        <v>219</v>
      </c>
      <c r="AS91" s="64" t="s" ph="1">
        <v>403</v>
      </c>
      <c r="AT91" s="64" t="s" ph="1">
        <v>399</v>
      </c>
      <c r="AU91" s="64" t="s" ph="1">
        <v>400</v>
      </c>
    </row>
    <row r="92" spans="34:52" ph="1">
      <c r="AH92" s="64" ph="1">
        <v>6</v>
      </c>
      <c r="AI92" s="64" t="s" ph="1">
        <v>437</v>
      </c>
      <c r="AJ92" s="64" t="s" ph="1">
        <v>438</v>
      </c>
      <c r="AK92" s="64" t="s" ph="1">
        <v>367</v>
      </c>
      <c r="AM92" s="64" t="s" ph="1">
        <v>439</v>
      </c>
      <c r="AN92" s="64" t="s" ph="1">
        <v>227</v>
      </c>
      <c r="AO92" s="64" t="s" ph="1">
        <v>259</v>
      </c>
      <c r="AP92" s="64" t="s" ph="1">
        <v>440</v>
      </c>
      <c r="AQ92" s="64" t="s" ph="1">
        <v>299</v>
      </c>
      <c r="AR92" s="64" t="s" ph="1">
        <v>259</v>
      </c>
      <c r="AS92" s="64" t="s" ph="1">
        <v>441</v>
      </c>
      <c r="AT92" s="64" t="s" ph="1">
        <v>272</v>
      </c>
      <c r="AU92" s="64" t="s" ph="1">
        <v>259</v>
      </c>
      <c r="AV92" s="64" t="s" ph="1">
        <v>442</v>
      </c>
      <c r="AW92" s="64" t="s" ph="1">
        <v>228</v>
      </c>
      <c r="AX92" s="64" t="s" ph="1">
        <v>259</v>
      </c>
      <c r="AY92" s="64" t="s" ph="1">
        <v>216</v>
      </c>
      <c r="AZ92" s="64" t="s" ph="1">
        <v>423</v>
      </c>
    </row>
    <row r="93" spans="34:52" ph="1">
      <c r="AJ93" s="64" t="s" ph="1">
        <v>443</v>
      </c>
      <c r="AK93" s="64" t="s" ph="1">
        <v>222</v>
      </c>
      <c r="AM93" s="64" t="s" ph="1">
        <v>444</v>
      </c>
      <c r="AN93" s="64" t="s" ph="1">
        <v>227</v>
      </c>
      <c r="AO93" s="64" t="s" ph="1">
        <v>259</v>
      </c>
      <c r="AP93" s="64" t="s" ph="1">
        <v>445</v>
      </c>
      <c r="AQ93" s="64" t="s" ph="1">
        <v>231</v>
      </c>
      <c r="AR93" s="64" t="s" ph="1">
        <v>259</v>
      </c>
      <c r="AS93" s="64" t="s" ph="1">
        <v>446</v>
      </c>
      <c r="AT93" s="64" t="s" ph="1">
        <v>237</v>
      </c>
      <c r="AU93" s="64" t="s" ph="1">
        <v>259</v>
      </c>
      <c r="AV93" s="64" t="s" ph="1">
        <v>447</v>
      </c>
      <c r="AW93" s="64" t="s" ph="1">
        <v>231</v>
      </c>
      <c r="AX93" s="64" t="s" ph="1">
        <v>259</v>
      </c>
    </row>
    <row r="94" spans="34:52" ph="1">
      <c r="AJ94" s="64" t="s" ph="1">
        <v>448</v>
      </c>
      <c r="AK94" s="64" t="s" ph="1">
        <v>294</v>
      </c>
      <c r="AM94" s="64" t="s" ph="1">
        <v>449</v>
      </c>
      <c r="AN94" s="64" t="s" ph="1">
        <v>231</v>
      </c>
      <c r="AO94" s="64" t="s" ph="1">
        <v>259</v>
      </c>
      <c r="AP94" s="64" t="s" ph="1">
        <v>450</v>
      </c>
      <c r="AQ94" s="64" t="s" ph="1">
        <v>239</v>
      </c>
      <c r="AR94" s="64" t="s" ph="1">
        <v>259</v>
      </c>
      <c r="AS94" s="64" t="s" ph="1">
        <v>451</v>
      </c>
      <c r="AT94" s="64" t="s" ph="1">
        <v>225</v>
      </c>
      <c r="AU94" s="64" t="s" ph="1">
        <v>259</v>
      </c>
      <c r="AV94" s="64" t="s" ph="1">
        <v>452</v>
      </c>
      <c r="AW94" s="64" t="s" ph="1">
        <v>225</v>
      </c>
      <c r="AX94" s="64" t="s" ph="1">
        <v>259</v>
      </c>
    </row>
    <row r="95" spans="34:52" ph="1">
      <c r="AJ95" s="64" t="s" ph="1">
        <v>453</v>
      </c>
      <c r="AK95" s="64" t="s" ph="1">
        <v>299</v>
      </c>
    </row>
    <row r="96" spans="34:52" ph="1">
      <c r="AH96" s="64" ph="1">
        <v>7</v>
      </c>
      <c r="AI96" s="64" t="s" ph="1">
        <v>454</v>
      </c>
      <c r="AJ96" s="64" t="s" ph="1">
        <v>453</v>
      </c>
      <c r="AK96" s="64" t="s" ph="1">
        <v>254</v>
      </c>
      <c r="AM96" s="64" t="s" ph="1">
        <v>455</v>
      </c>
      <c r="AN96" s="64" t="s" ph="1">
        <v>228</v>
      </c>
      <c r="AO96" s="64" t="s" ph="1">
        <v>259</v>
      </c>
      <c r="AP96" s="64" t="s" ph="1">
        <v>456</v>
      </c>
      <c r="AQ96" s="64" t="s" ph="1">
        <v>272</v>
      </c>
      <c r="AR96" s="64" t="s" ph="1">
        <v>287</v>
      </c>
      <c r="AS96" s="64" t="s" ph="1">
        <v>457</v>
      </c>
      <c r="AT96" s="64" t="s" ph="1">
        <v>231</v>
      </c>
      <c r="AU96" s="64" t="s" ph="1">
        <v>287</v>
      </c>
      <c r="AV96" s="64" t="s" ph="1">
        <v>458</v>
      </c>
      <c r="AW96" s="64" t="s" ph="1">
        <v>227</v>
      </c>
      <c r="AX96" s="64" t="s" ph="1">
        <v>287</v>
      </c>
      <c r="AY96" s="64" t="s" ph="1">
        <v>216</v>
      </c>
      <c r="AZ96" s="64" t="s" ph="1">
        <v>459</v>
      </c>
    </row>
    <row r="97" spans="33:52" ph="1">
      <c r="AJ97" s="64" t="s" ph="1">
        <v>460</v>
      </c>
      <c r="AK97" s="64" t="s" ph="1">
        <v>282</v>
      </c>
      <c r="AM97" s="64" t="s" ph="1">
        <v>461</v>
      </c>
      <c r="AN97" s="64" t="s" ph="1">
        <v>225</v>
      </c>
      <c r="AO97" s="64" t="s" ph="1">
        <v>259</v>
      </c>
      <c r="AP97" s="64" t="s" ph="1">
        <v>462</v>
      </c>
      <c r="AQ97" s="64" t="s" ph="1">
        <v>219</v>
      </c>
      <c r="AR97" s="64" t="s" ph="1">
        <v>287</v>
      </c>
      <c r="AS97" s="64" t="s" ph="1">
        <v>463</v>
      </c>
      <c r="AT97" s="64" t="s" ph="1">
        <v>222</v>
      </c>
      <c r="AU97" s="64" t="s" ph="1">
        <v>287</v>
      </c>
      <c r="AV97" s="64" t="s" ph="1">
        <v>464</v>
      </c>
      <c r="AW97" s="64" t="s" ph="1">
        <v>228</v>
      </c>
      <c r="AX97" s="64" t="s" ph="1">
        <v>287</v>
      </c>
    </row>
    <row r="98" spans="33:52" ph="1">
      <c r="AJ98" s="64" t="s" ph="1">
        <v>465</v>
      </c>
      <c r="AK98" s="64" t="s" ph="1">
        <v>231</v>
      </c>
      <c r="AM98" s="64" t="s" ph="1">
        <v>466</v>
      </c>
      <c r="AN98" s="64" t="s" ph="1">
        <v>239</v>
      </c>
      <c r="AO98" s="64" t="s" ph="1">
        <v>259</v>
      </c>
      <c r="AP98" s="64" t="s" ph="1">
        <v>467</v>
      </c>
      <c r="AQ98" s="64" t="s" ph="1">
        <v>219</v>
      </c>
      <c r="AR98" s="64" t="s" ph="1">
        <v>287</v>
      </c>
      <c r="AS98" s="64" t="s" ph="1">
        <v>468</v>
      </c>
      <c r="AT98" s="64" t="s" ph="1">
        <v>299</v>
      </c>
      <c r="AU98" s="64" t="s" ph="1">
        <v>287</v>
      </c>
      <c r="AV98" s="64" t="s" ph="1">
        <v>469</v>
      </c>
      <c r="AW98" s="64" t="s" ph="1">
        <v>222</v>
      </c>
      <c r="AX98" s="64" t="s" ph="1">
        <v>287</v>
      </c>
    </row>
    <row r="99" spans="33:52" ph="1">
      <c r="AH99" s="64" ph="1">
        <v>8</v>
      </c>
      <c r="AI99" s="64" t="s" ph="1">
        <v>470</v>
      </c>
      <c r="AJ99" s="64" t="s" ph="1">
        <v>471</v>
      </c>
      <c r="AK99" s="64" t="s" ph="1">
        <v>367</v>
      </c>
      <c r="AM99" s="64" t="s" ph="1">
        <v>472</v>
      </c>
      <c r="AN99" s="64" t="s" ph="1">
        <v>254</v>
      </c>
      <c r="AO99" s="64" t="s" ph="1">
        <v>259</v>
      </c>
      <c r="AP99" s="64" t="s" ph="1">
        <v>473</v>
      </c>
      <c r="AQ99" s="64" t="s" ph="1">
        <v>224</v>
      </c>
      <c r="AR99" s="64" t="s" ph="1">
        <v>287</v>
      </c>
      <c r="AS99" s="64" t="s" ph="1">
        <v>474</v>
      </c>
      <c r="AT99" s="64" t="s" ph="1">
        <v>239</v>
      </c>
      <c r="AU99" s="64" t="s" ph="1">
        <v>287</v>
      </c>
      <c r="AV99" s="64" t="s" ph="1">
        <v>475</v>
      </c>
      <c r="AW99" s="64" t="s" ph="1">
        <v>224</v>
      </c>
      <c r="AX99" s="64" t="s" ph="1">
        <v>287</v>
      </c>
      <c r="AY99" s="64" t="s" ph="1">
        <v>216</v>
      </c>
      <c r="AZ99" s="64" t="s" ph="1">
        <v>476</v>
      </c>
    </row>
    <row r="100" spans="33:52" ph="1">
      <c r="AJ100" s="64" t="s" ph="1">
        <v>477</v>
      </c>
      <c r="AK100" s="64" t="s" ph="1">
        <v>222</v>
      </c>
      <c r="AM100" s="64" t="s" ph="1">
        <v>478</v>
      </c>
      <c r="AN100" s="64" t="s" ph="1">
        <v>294</v>
      </c>
      <c r="AO100" s="64" t="s" ph="1">
        <v>259</v>
      </c>
      <c r="AP100" s="64" t="s" ph="1">
        <v>479</v>
      </c>
      <c r="AQ100" s="64" t="s" ph="1">
        <v>300</v>
      </c>
      <c r="AR100" s="64" t="s" ph="1">
        <v>287</v>
      </c>
      <c r="AS100" s="64" t="s" ph="1">
        <v>480</v>
      </c>
      <c r="AT100" s="64" t="s" ph="1">
        <v>367</v>
      </c>
      <c r="AU100" s="64" t="s" ph="1">
        <v>259</v>
      </c>
      <c r="AV100" s="64" t="s" ph="1">
        <v>481</v>
      </c>
      <c r="AW100" s="64" t="s" ph="1">
        <v>367</v>
      </c>
      <c r="AX100" s="64" t="s" ph="1">
        <v>259</v>
      </c>
    </row>
    <row r="101" spans="33:52" ph="1">
      <c r="AJ101" s="64" t="s" ph="1">
        <v>482</v>
      </c>
      <c r="AK101" s="64" t="s" ph="1">
        <v>367</v>
      </c>
      <c r="AM101" s="64" t="s" ph="1">
        <v>483</v>
      </c>
      <c r="AN101" s="64" t="s" ph="1">
        <v>225</v>
      </c>
      <c r="AO101" s="64" t="s" ph="1">
        <v>259</v>
      </c>
      <c r="AP101" s="64" t="s" ph="1">
        <v>484</v>
      </c>
      <c r="AQ101" s="64" t="s" ph="1">
        <v>237</v>
      </c>
      <c r="AR101" s="64" t="s" ph="1">
        <v>287</v>
      </c>
      <c r="AS101" s="64" t="s" ph="1">
        <v>485</v>
      </c>
      <c r="AT101" s="64" t="s" ph="1">
        <v>294</v>
      </c>
      <c r="AU101" s="64" t="s" ph="1">
        <v>287</v>
      </c>
      <c r="AV101" s="64" t="s" ph="1">
        <v>486</v>
      </c>
      <c r="AW101" s="64" t="s" ph="1">
        <v>225</v>
      </c>
      <c r="AX101" s="64" t="s" ph="1">
        <v>259</v>
      </c>
    </row>
    <row r="102" spans="33:52" ph="1">
      <c r="AJ102" s="64" t="s" ph="1">
        <v>487</v>
      </c>
      <c r="AK102" s="64" t="s" ph="1">
        <v>222</v>
      </c>
      <c r="AM102" s="64" t="s" ph="1">
        <v>488</v>
      </c>
      <c r="AN102" s="64" t="s" ph="1">
        <v>231</v>
      </c>
      <c r="AO102" s="64" t="s" ph="1">
        <v>259</v>
      </c>
      <c r="AP102" s="64" t="s" ph="1">
        <v>489</v>
      </c>
      <c r="AQ102" s="64" t="s" ph="1">
        <v>237</v>
      </c>
      <c r="AR102" s="64" t="s" ph="1">
        <v>259</v>
      </c>
      <c r="AS102" s="64" t="s" ph="1">
        <v>490</v>
      </c>
      <c r="AT102" s="64" t="s" ph="1">
        <v>254</v>
      </c>
      <c r="AU102" s="64" t="s" ph="1">
        <v>259</v>
      </c>
      <c r="AV102" s="64" t="s" ph="1">
        <v>491</v>
      </c>
      <c r="AW102" s="64" t="s" ph="1">
        <v>272</v>
      </c>
      <c r="AX102" s="64" t="s" ph="1">
        <v>259</v>
      </c>
    </row>
    <row r="103" spans="33:52" ph="1">
      <c r="AH103" s="64" ph="1">
        <v>9</v>
      </c>
      <c r="AI103" s="64" t="s" ph="1">
        <v>492</v>
      </c>
      <c r="AJ103" s="64" t="s" ph="1">
        <v>493</v>
      </c>
      <c r="AK103" s="64" t="s" ph="1">
        <v>367</v>
      </c>
      <c r="AM103" s="64" t="s" ph="1">
        <v>494</v>
      </c>
      <c r="AN103" s="64" t="s" ph="1">
        <v>282</v>
      </c>
      <c r="AO103" s="64" t="s" ph="1">
        <v>259</v>
      </c>
      <c r="AP103" s="64" t="s" ph="1">
        <v>336</v>
      </c>
      <c r="AQ103" s="64" t="s" ph="1">
        <v>225</v>
      </c>
      <c r="AR103" s="64" t="s" ph="1">
        <v>259</v>
      </c>
      <c r="AS103" s="64" t="s" ph="1">
        <v>570</v>
      </c>
      <c r="AT103" s="64" t="s" ph="1">
        <v>367</v>
      </c>
      <c r="AU103" s="64" t="s" ph="1">
        <v>259</v>
      </c>
      <c r="AY103" s="64" t="s" ph="1">
        <v>216</v>
      </c>
      <c r="AZ103" s="64" t="s" ph="1">
        <v>224</v>
      </c>
    </row>
    <row r="104" spans="33:52" ph="1">
      <c r="AZ104" s="64" t="s" ph="1">
        <v>495</v>
      </c>
    </row>
    <row r="105" spans="33:52" ph="1">
      <c r="AG105" s="64" t="s" ph="1">
        <v>295</v>
      </c>
      <c r="AI105" s="64" t="s" ph="1">
        <v>209</v>
      </c>
      <c r="AJ105" s="64" t="s" ph="1">
        <v>210</v>
      </c>
      <c r="AK105" s="64" t="s" ph="1">
        <v>211</v>
      </c>
      <c r="AM105" s="64" t="s" ph="1">
        <v>210</v>
      </c>
      <c r="AN105" s="64" t="s" ph="1">
        <v>211</v>
      </c>
      <c r="AO105" s="64" t="s" ph="1">
        <v>212</v>
      </c>
      <c r="AP105" s="64" t="s" ph="1">
        <v>210</v>
      </c>
      <c r="AQ105" s="64" t="s" ph="1">
        <v>211</v>
      </c>
      <c r="AR105" s="64" t="s" ph="1">
        <v>212</v>
      </c>
      <c r="AS105" s="64" t="s" ph="1">
        <v>210</v>
      </c>
      <c r="AT105" s="64" t="s" ph="1">
        <v>211</v>
      </c>
      <c r="AU105" s="64" t="s" ph="1">
        <v>212</v>
      </c>
      <c r="AV105" s="64" t="s" ph="1">
        <v>210</v>
      </c>
      <c r="AW105" s="64" t="s" ph="1">
        <v>211</v>
      </c>
      <c r="AX105" s="64" t="s" ph="1">
        <v>212</v>
      </c>
      <c r="AZ105" s="64" t="s" ph="1">
        <v>213</v>
      </c>
    </row>
    <row r="106" spans="33:52" ph="1">
      <c r="AH106" s="64" ph="1">
        <v>1</v>
      </c>
      <c r="AI106" s="64" t="s" ph="1">
        <v>496</v>
      </c>
      <c r="AJ106" s="64" t="s" ph="1">
        <v>570</v>
      </c>
      <c r="AK106" s="64" t="s" ph="1">
        <v>231</v>
      </c>
      <c r="AZ106" s="64" t="s" ph="1">
        <v>231</v>
      </c>
    </row>
    <row r="107" spans="33:52" ph="1">
      <c r="AH107" s="64" ph="1">
        <v>2</v>
      </c>
      <c r="AI107" s="64" t="s" ph="1">
        <v>497</v>
      </c>
      <c r="AJ107" s="64" t="s" ph="1">
        <v>498</v>
      </c>
      <c r="AK107" s="64" t="s" ph="1">
        <v>228</v>
      </c>
      <c r="AM107" s="64" t="s" ph="1">
        <v>334</v>
      </c>
      <c r="AN107" s="64" t="s" ph="1">
        <v>499</v>
      </c>
      <c r="AO107" s="64" t="s" ph="1">
        <v>500</v>
      </c>
      <c r="AP107" s="64" t="s" ph="1">
        <v>336</v>
      </c>
      <c r="AQ107" s="64" t="s" ph="1">
        <v>304</v>
      </c>
      <c r="AR107" s="64" t="s" ph="1">
        <v>500</v>
      </c>
      <c r="AS107" s="64" t="s" ph="1">
        <v>570</v>
      </c>
      <c r="AT107" s="64" t="s" ph="1">
        <v>499</v>
      </c>
      <c r="AU107" s="64" t="s" ph="1">
        <v>500</v>
      </c>
      <c r="AY107" s="64" t="s" ph="1">
        <v>216</v>
      </c>
      <c r="AZ107" s="64" t="s" ph="1">
        <v>580</v>
      </c>
    </row>
    <row r="108" spans="33:52" ph="1">
      <c r="AH108" s="64" ph="1">
        <v>3</v>
      </c>
      <c r="AI108" s="64" t="s" ph="1">
        <v>501</v>
      </c>
      <c r="AY108" s="64" t="s" ph="1">
        <v>216</v>
      </c>
      <c r="AZ108" s="64" t="s" ph="1">
        <v>367</v>
      </c>
    </row>
    <row r="109" spans="33:52" ph="1">
      <c r="AH109" s="64" ph="1">
        <v>4</v>
      </c>
      <c r="AI109" s="64" t="s" ph="1">
        <v>502</v>
      </c>
      <c r="AY109" s="64" t="s" ph="1">
        <v>216</v>
      </c>
      <c r="AZ109" s="64" t="s" ph="1">
        <v>367</v>
      </c>
    </row>
    <row r="110" spans="33:52" ph="1">
      <c r="AH110" s="64" ph="1">
        <v>5</v>
      </c>
      <c r="AI110" s="64" t="s" ph="1">
        <v>503</v>
      </c>
      <c r="AY110" s="64" t="s" ph="1">
        <v>216</v>
      </c>
      <c r="AZ110" s="64" t="s" ph="1">
        <v>367</v>
      </c>
    </row>
    <row r="111" spans="33:52" ph="1">
      <c r="AH111" s="64" ph="1">
        <v>6</v>
      </c>
      <c r="AI111" s="64" t="s" ph="1">
        <v>581</v>
      </c>
      <c r="AJ111" s="64" t="s" ph="1">
        <v>486</v>
      </c>
      <c r="AK111" s="64" t="s" ph="1">
        <v>225</v>
      </c>
      <c r="AM111" s="64" t="s" ph="1">
        <v>487</v>
      </c>
      <c r="AN111" s="64" t="s" ph="1">
        <v>219</v>
      </c>
      <c r="AO111" s="64" t="s" ph="1">
        <v>500</v>
      </c>
      <c r="AP111" s="64" t="s" ph="1">
        <v>488</v>
      </c>
      <c r="AQ111" s="64" t="s" ph="1">
        <v>228</v>
      </c>
      <c r="AR111" s="64" t="s" ph="1">
        <v>500</v>
      </c>
      <c r="AS111" s="64" t="s" ph="1">
        <v>489</v>
      </c>
      <c r="AT111" s="64" t="s" ph="1">
        <v>237</v>
      </c>
      <c r="AU111" s="64" t="s" ph="1">
        <v>500</v>
      </c>
      <c r="AV111" s="64" t="s" ph="1">
        <v>490</v>
      </c>
      <c r="AW111" s="64" t="s" ph="1">
        <v>227</v>
      </c>
      <c r="AX111" s="64" t="s" ph="1">
        <v>500</v>
      </c>
      <c r="AY111" s="64" t="s" ph="1">
        <v>216</v>
      </c>
      <c r="AZ111" s="64" t="s" ph="1">
        <v>504</v>
      </c>
    </row>
    <row r="112" spans="33:52" ph="1">
      <c r="AJ112" s="64" t="s" ph="1">
        <v>491</v>
      </c>
      <c r="AK112" s="64" t="s" ph="1">
        <v>272</v>
      </c>
      <c r="AM112" s="64" t="s" ph="1">
        <v>493</v>
      </c>
      <c r="AN112" s="64" t="s" ph="1">
        <v>296</v>
      </c>
      <c r="AO112" s="64" t="s" ph="1">
        <v>500</v>
      </c>
      <c r="AP112" s="64" t="s" ph="1">
        <v>494</v>
      </c>
      <c r="AQ112" s="64" t="s" ph="1">
        <v>505</v>
      </c>
      <c r="AR112" s="64" t="s" ph="1">
        <v>500</v>
      </c>
      <c r="AS112" s="64" t="s" ph="1">
        <v>506</v>
      </c>
      <c r="AT112" s="64" t="s" ph="1">
        <v>248</v>
      </c>
      <c r="AU112" s="64" t="s" ph="1">
        <v>500</v>
      </c>
      <c r="AV112" s="64" t="s" ph="1">
        <v>507</v>
      </c>
      <c r="AW112" s="64" t="s" ph="1">
        <v>294</v>
      </c>
      <c r="AX112" s="64" t="s" ph="1">
        <v>500</v>
      </c>
    </row>
    <row r="113" spans="33:52" ph="1">
      <c r="AH113" s="64" ph="1">
        <v>7</v>
      </c>
      <c r="AI113" s="64" t="s" ph="1">
        <v>508</v>
      </c>
      <c r="AJ113" s="64" t="s" ph="1">
        <v>589</v>
      </c>
      <c r="AK113" s="64" t="s" ph="1">
        <v>594</v>
      </c>
      <c r="AY113" s="64" t="s" ph="1">
        <v>216</v>
      </c>
      <c r="AZ113" s="64" t="s" ph="1">
        <v>594</v>
      </c>
    </row>
    <row r="114" spans="33:52" ph="1">
      <c r="AH114" s="64" ph="1">
        <v>8</v>
      </c>
      <c r="AI114" s="64" t="s" ph="1">
        <v>509</v>
      </c>
      <c r="AJ114" s="64" t="s" ph="1">
        <v>589</v>
      </c>
      <c r="AK114" s="64" t="s" ph="1">
        <v>595</v>
      </c>
      <c r="AY114" s="64" t="s" ph="1">
        <v>216</v>
      </c>
      <c r="AZ114" s="64" t="s" ph="1">
        <v>595</v>
      </c>
    </row>
    <row r="115" spans="33:52" ph="1">
      <c r="AH115" s="64" ph="1">
        <v>9</v>
      </c>
      <c r="AI115" s="64" t="s" ph="1">
        <v>510</v>
      </c>
      <c r="AJ115" s="64" t="s" ph="1">
        <v>589</v>
      </c>
      <c r="AK115" s="64" t="s" ph="1">
        <v>595</v>
      </c>
      <c r="AY115" s="64" t="s" ph="1">
        <v>216</v>
      </c>
      <c r="AZ115" s="64" t="s" ph="1">
        <v>595</v>
      </c>
    </row>
    <row r="116" spans="33:52" ph="1">
      <c r="AH116" s="64" ph="1">
        <v>10</v>
      </c>
      <c r="AI116" s="64" t="s" ph="1">
        <v>511</v>
      </c>
      <c r="AJ116" s="64" t="s" ph="1">
        <v>589</v>
      </c>
      <c r="AK116" s="64" t="s" ph="1">
        <v>595</v>
      </c>
      <c r="AY116" s="64" t="s" ph="1">
        <v>216</v>
      </c>
      <c r="AZ116" s="64" t="s" ph="1">
        <v>595</v>
      </c>
    </row>
    <row r="117" spans="33:52" ph="1">
      <c r="AH117" s="64" ph="1">
        <v>11</v>
      </c>
      <c r="AI117" s="64" t="s" ph="1">
        <v>512</v>
      </c>
      <c r="AJ117" s="64" t="s" ph="1">
        <v>589</v>
      </c>
      <c r="AK117" s="64" t="s" ph="1">
        <v>595</v>
      </c>
      <c r="AY117" s="64" t="s" ph="1">
        <v>216</v>
      </c>
      <c r="AZ117" s="64" t="s" ph="1">
        <v>595</v>
      </c>
    </row>
    <row r="118" spans="33:52" ph="1">
      <c r="AZ118" s="64" t="s" ph="1">
        <v>596</v>
      </c>
    </row>
    <row r="119" spans="33:52" ph="1">
      <c r="AI119" s="64" t="s" ph="1">
        <v>209</v>
      </c>
      <c r="AJ119" s="64" t="s" ph="1">
        <v>210</v>
      </c>
      <c r="AK119" s="64" t="s" ph="1">
        <v>211</v>
      </c>
      <c r="AM119" s="64" t="s" ph="1">
        <v>210</v>
      </c>
      <c r="AN119" s="64" t="s" ph="1">
        <v>211</v>
      </c>
      <c r="AO119" s="64" t="s" ph="1">
        <v>212</v>
      </c>
      <c r="AP119" s="64" t="s" ph="1">
        <v>210</v>
      </c>
      <c r="AQ119" s="64" t="s" ph="1">
        <v>211</v>
      </c>
      <c r="AR119" s="64" t="s" ph="1">
        <v>212</v>
      </c>
      <c r="AS119" s="64" t="s" ph="1">
        <v>210</v>
      </c>
      <c r="AT119" s="64" t="s" ph="1">
        <v>211</v>
      </c>
      <c r="AU119" s="64" t="s" ph="1">
        <v>212</v>
      </c>
      <c r="AV119" s="64" t="s" ph="1">
        <v>210</v>
      </c>
      <c r="AW119" s="64" t="s" ph="1">
        <v>211</v>
      </c>
      <c r="AX119" s="64" t="s" ph="1">
        <v>212</v>
      </c>
      <c r="AY119" s="64" t="s" ph="1">
        <v>211</v>
      </c>
      <c r="AZ119" s="64" t="s" ph="1">
        <v>213</v>
      </c>
    </row>
    <row r="120" spans="33:52" ph="1">
      <c r="AG120" s="64" t="s" ph="1">
        <v>353</v>
      </c>
      <c r="AH120" s="64" ph="1">
        <v>1</v>
      </c>
      <c r="AI120" s="64" t="s" ph="1">
        <v>513</v>
      </c>
      <c r="AJ120" s="64" t="s" ph="1">
        <v>587</v>
      </c>
      <c r="AK120" s="64" t="s" ph="1">
        <v>367</v>
      </c>
      <c r="AY120" s="64" t="s" ph="1">
        <v>216</v>
      </c>
      <c r="AZ120" s="64" t="s" ph="1">
        <v>367</v>
      </c>
    </row>
    <row r="121" spans="33:52" ph="1">
      <c r="AH121" s="64" ph="1">
        <v>2</v>
      </c>
      <c r="AI121" s="64" t="s" ph="1">
        <v>514</v>
      </c>
      <c r="AY121" s="64" t="s" ph="1">
        <v>216</v>
      </c>
      <c r="AZ121" s="64" t="s" ph="1">
        <v>367</v>
      </c>
    </row>
    <row r="122" spans="33:52" ph="1">
      <c r="AH122" s="64" ph="1">
        <v>3</v>
      </c>
      <c r="AI122" s="64" t="s" ph="1">
        <v>515</v>
      </c>
      <c r="AJ122" s="64" t="s" ph="1">
        <v>570</v>
      </c>
      <c r="AK122" s="64" t="s" ph="1">
        <v>582</v>
      </c>
      <c r="AM122" s="64" t="s" ph="1">
        <v>597</v>
      </c>
      <c r="AN122" s="64" t="s" ph="1">
        <v>590</v>
      </c>
      <c r="AO122" s="64" t="s" ph="1">
        <v>91</v>
      </c>
      <c r="AY122" s="64" t="s" ph="1">
        <v>216</v>
      </c>
      <c r="AZ122" s="64" t="s" ph="1">
        <v>579</v>
      </c>
    </row>
    <row r="123" spans="33:52" ph="1">
      <c r="AY123" s="64" t="s" ph="1">
        <v>216</v>
      </c>
      <c r="AZ123" s="64" t="s" ph="1">
        <v>579</v>
      </c>
    </row>
    <row r="124" spans="33:52" ph="1">
      <c r="AG124" s="64" t="s" ph="1">
        <v>356</v>
      </c>
      <c r="AH124" s="64" ph="1">
        <v>4</v>
      </c>
      <c r="AI124" s="64" t="s" ph="1">
        <v>516</v>
      </c>
      <c r="AJ124" s="64" t="s" ph="1">
        <v>517</v>
      </c>
      <c r="AK124" s="64" t="s" ph="1">
        <v>518</v>
      </c>
      <c r="AY124" s="64" t="s" ph="1">
        <v>216</v>
      </c>
      <c r="AZ124" s="64" t="s" ph="1">
        <v>518</v>
      </c>
    </row>
    <row r="125" spans="33:52" ph="1">
      <c r="AH125" s="64" ph="1">
        <v>5</v>
      </c>
      <c r="AI125" s="64" t="s" ph="1">
        <v>519</v>
      </c>
      <c r="AJ125" s="64" t="s" ph="1">
        <v>517</v>
      </c>
      <c r="AK125" s="64" t="s" ph="1">
        <v>518</v>
      </c>
      <c r="AY125" s="64" t="s" ph="1">
        <v>216</v>
      </c>
      <c r="AZ125" s="64" t="s" ph="1">
        <v>518</v>
      </c>
    </row>
    <row r="126" spans="33:52" ph="1">
      <c r="AH126" s="64" ph="1">
        <v>6</v>
      </c>
      <c r="AI126" s="64" t="s" ph="1">
        <v>520</v>
      </c>
      <c r="AJ126" s="64" t="s" ph="1">
        <v>589</v>
      </c>
      <c r="AK126" s="64" t="s" ph="1">
        <v>598</v>
      </c>
      <c r="AY126" s="64" t="s" ph="1">
        <v>216</v>
      </c>
      <c r="AZ126" s="64" t="s" ph="1">
        <v>598</v>
      </c>
    </row>
    <row r="127" spans="33:52" ph="1">
      <c r="AH127" s="64" ph="1">
        <v>7</v>
      </c>
      <c r="AI127" s="64" t="s" ph="1">
        <v>521</v>
      </c>
      <c r="AJ127" s="64" t="s" ph="1">
        <v>589</v>
      </c>
      <c r="AK127" s="64" t="s" ph="1">
        <v>599</v>
      </c>
      <c r="AY127" s="64" t="s" ph="1">
        <v>216</v>
      </c>
      <c r="AZ127" s="64" t="s" ph="1">
        <v>599</v>
      </c>
    </row>
    <row r="128" spans="33:52" ph="1">
      <c r="AH128" s="64" ph="1">
        <v>8</v>
      </c>
      <c r="AI128" s="64" t="s" ph="1">
        <v>522</v>
      </c>
      <c r="AY128" s="64" t="s" ph="1">
        <v>216</v>
      </c>
      <c r="AZ128" s="64" t="s" ph="1">
        <v>367</v>
      </c>
    </row>
    <row r="129" spans="33:52" ph="1">
      <c r="AH129" s="64" ph="1">
        <v>9</v>
      </c>
      <c r="AI129" s="64" t="s" ph="1">
        <v>523</v>
      </c>
      <c r="AY129" s="64" t="s" ph="1">
        <v>216</v>
      </c>
      <c r="AZ129" s="64" t="s" ph="1">
        <v>367</v>
      </c>
    </row>
    <row r="130" spans="33:52" ph="1">
      <c r="AH130" s="64" ph="1">
        <v>10</v>
      </c>
      <c r="AI130" s="64" t="s" ph="1">
        <v>524</v>
      </c>
      <c r="AY130" s="64" t="s" ph="1">
        <v>216</v>
      </c>
      <c r="AZ130" s="64" t="s" ph="1">
        <v>367</v>
      </c>
    </row>
    <row r="131" spans="33:52" ph="1">
      <c r="AH131" s="64" ph="1">
        <v>11</v>
      </c>
      <c r="AI131" s="64" t="s" ph="1">
        <v>525</v>
      </c>
      <c r="AJ131" s="64" t="s" ph="1">
        <v>583</v>
      </c>
      <c r="AK131" s="64" t="s" ph="1">
        <v>579</v>
      </c>
      <c r="AY131" s="64" t="s" ph="1">
        <v>216</v>
      </c>
      <c r="AZ131" s="64" t="s" ph="1">
        <v>579</v>
      </c>
    </row>
    <row r="132" spans="33:52" ph="1">
      <c r="AH132" s="64" ph="1">
        <v>12</v>
      </c>
      <c r="AI132" s="64" t="s" ph="1">
        <v>526</v>
      </c>
      <c r="AJ132" s="64" t="s" ph="1">
        <v>583</v>
      </c>
      <c r="AK132" s="64" t="s" ph="1">
        <v>518</v>
      </c>
      <c r="AY132" s="64" t="s" ph="1">
        <v>216</v>
      </c>
      <c r="AZ132" s="64" t="s" ph="1">
        <v>518</v>
      </c>
    </row>
    <row r="133" spans="33:52" ph="1">
      <c r="AH133" s="64" ph="1">
        <v>13</v>
      </c>
      <c r="AI133" s="64" t="s" ph="1">
        <v>527</v>
      </c>
      <c r="AJ133" s="64" t="s" ph="1">
        <v>583</v>
      </c>
      <c r="AK133" s="64" t="s" ph="1">
        <v>584</v>
      </c>
      <c r="AY133" s="64" t="s" ph="1">
        <v>216</v>
      </c>
      <c r="AZ133" s="64" t="s" ph="1">
        <v>584</v>
      </c>
    </row>
    <row r="134" spans="33:52" ph="1">
      <c r="AH134" s="64" ph="1">
        <v>14</v>
      </c>
      <c r="AI134" s="64" t="s" ph="1">
        <v>528</v>
      </c>
      <c r="AJ134" s="64" t="s" ph="1">
        <v>583</v>
      </c>
      <c r="AK134" s="64" t="s" ph="1">
        <v>585</v>
      </c>
      <c r="AY134" s="64" t="s" ph="1">
        <v>216</v>
      </c>
      <c r="AZ134" s="64" t="s" ph="1">
        <v>585</v>
      </c>
    </row>
    <row r="135" spans="33:52" ph="1">
      <c r="AH135" s="64" ph="1">
        <v>15</v>
      </c>
      <c r="AI135" s="64" t="s" ph="1">
        <v>529</v>
      </c>
      <c r="AJ135" s="64" t="s" ph="1">
        <v>583</v>
      </c>
      <c r="AK135" s="64" t="s" ph="1">
        <v>586</v>
      </c>
      <c r="AY135" s="64" t="s" ph="1">
        <v>216</v>
      </c>
      <c r="AZ135" s="64" t="s" ph="1">
        <v>586</v>
      </c>
    </row>
    <row r="136" spans="33:52" ph="1">
      <c r="AZ136" s="64" t="s" ph="1">
        <v>600</v>
      </c>
    </row>
    <row r="137" spans="33:52" ph="1">
      <c r="AG137" s="64" t="s" ph="1">
        <v>290</v>
      </c>
      <c r="AI137" s="64" t="s" ph="1">
        <v>209</v>
      </c>
      <c r="AJ137" s="64" t="s" ph="1">
        <v>210</v>
      </c>
      <c r="AK137" s="64" t="s" ph="1">
        <v>211</v>
      </c>
      <c r="AM137" s="64" t="s" ph="1">
        <v>210</v>
      </c>
      <c r="AN137" s="64" t="s" ph="1">
        <v>211</v>
      </c>
      <c r="AO137" s="64" t="s" ph="1">
        <v>212</v>
      </c>
      <c r="AP137" s="64" t="s" ph="1">
        <v>210</v>
      </c>
      <c r="AQ137" s="64" t="s" ph="1">
        <v>211</v>
      </c>
      <c r="AR137" s="64" t="s" ph="1">
        <v>212</v>
      </c>
      <c r="AS137" s="64" t="s" ph="1">
        <v>210</v>
      </c>
      <c r="AT137" s="64" t="s" ph="1">
        <v>211</v>
      </c>
      <c r="AU137" s="64" t="s" ph="1">
        <v>212</v>
      </c>
      <c r="AV137" s="64" t="s" ph="1">
        <v>210</v>
      </c>
      <c r="AW137" s="64" t="s" ph="1">
        <v>211</v>
      </c>
      <c r="AX137" s="64" t="s" ph="1">
        <v>212</v>
      </c>
      <c r="AY137" s="64" t="s" ph="1">
        <v>211</v>
      </c>
      <c r="AZ137" s="64" t="s" ph="1">
        <v>213</v>
      </c>
    </row>
    <row r="138" spans="33:52" ph="1">
      <c r="AH138" s="64" ph="1">
        <v>1</v>
      </c>
      <c r="AI138" s="64" t="s" ph="1">
        <v>530</v>
      </c>
      <c r="AJ138" s="64" t="s" ph="1">
        <v>531</v>
      </c>
      <c r="AK138" s="64" t="s" ph="1">
        <v>532</v>
      </c>
      <c r="AY138" s="64" t="s" ph="1">
        <v>216</v>
      </c>
      <c r="AZ138" s="64" t="s" ph="1">
        <v>532</v>
      </c>
    </row>
    <row r="139" spans="33:52" ph="1">
      <c r="AH139" s="64" ph="1">
        <v>2</v>
      </c>
      <c r="AI139" s="64" t="s" ph="1">
        <v>533</v>
      </c>
      <c r="AJ139" s="64" t="s" ph="1">
        <v>589</v>
      </c>
      <c r="AK139" s="64" t="s" ph="1">
        <v>601</v>
      </c>
      <c r="AY139" s="64" t="s" ph="1">
        <v>216</v>
      </c>
      <c r="AZ139" s="64" t="s" ph="1">
        <v>601</v>
      </c>
    </row>
    <row r="140" spans="33:52" ph="1">
      <c r="AH140" s="64" ph="1">
        <v>3</v>
      </c>
      <c r="AI140" s="64" t="s" ph="1">
        <v>534</v>
      </c>
      <c r="AJ140" s="64" t="s" ph="1">
        <v>487</v>
      </c>
      <c r="AK140" s="64" t="s" ph="1">
        <v>299</v>
      </c>
      <c r="AM140" s="64" t="s" ph="1">
        <v>488</v>
      </c>
      <c r="AN140" s="64" t="s" ph="1">
        <v>219</v>
      </c>
      <c r="AO140" s="64" t="s" ph="1">
        <v>535</v>
      </c>
      <c r="AP140" s="64" t="s" ph="1">
        <v>489</v>
      </c>
      <c r="AQ140" s="64" t="s" ph="1">
        <v>236</v>
      </c>
      <c r="AR140" s="64" t="s" ph="1">
        <v>535</v>
      </c>
      <c r="AS140" s="64" t="s" ph="1">
        <v>490</v>
      </c>
      <c r="AT140" s="64" t="s" ph="1">
        <v>229</v>
      </c>
      <c r="AU140" s="64" t="s" ph="1">
        <v>535</v>
      </c>
      <c r="AV140" s="64" t="s" ph="1">
        <v>491</v>
      </c>
      <c r="AW140" s="64" t="s" ph="1">
        <v>222</v>
      </c>
      <c r="AX140" s="64" t="s" ph="1">
        <v>535</v>
      </c>
      <c r="AY140" s="64" t="s" ph="1">
        <v>216</v>
      </c>
      <c r="AZ140" s="64" t="s" ph="1">
        <v>291</v>
      </c>
    </row>
    <row r="141" spans="33:52" ph="1">
      <c r="AJ141" s="64" t="s" ph="1">
        <v>493</v>
      </c>
      <c r="AK141" s="64" t="s" ph="1">
        <v>222</v>
      </c>
      <c r="AM141" s="64" t="s" ph="1">
        <v>494</v>
      </c>
      <c r="AN141" s="64" t="s" ph="1">
        <v>225</v>
      </c>
      <c r="AO141" s="64" t="s" ph="1">
        <v>535</v>
      </c>
      <c r="AP141" s="64" t="s" ph="1">
        <v>506</v>
      </c>
      <c r="AQ141" s="64" t="s" ph="1">
        <v>294</v>
      </c>
      <c r="AR141" s="64" t="s" ph="1">
        <v>535</v>
      </c>
      <c r="AS141" s="64" t="s" ph="1">
        <v>498</v>
      </c>
      <c r="AT141" s="64" t="s" ph="1">
        <v>222</v>
      </c>
      <c r="AU141" s="64" t="s" ph="1">
        <v>535</v>
      </c>
      <c r="AV141" s="64" t="s" ph="1">
        <v>334</v>
      </c>
      <c r="AW141" s="64" t="s" ph="1">
        <v>228</v>
      </c>
      <c r="AX141" s="64" t="s" ph="1">
        <v>535</v>
      </c>
    </row>
    <row r="142" spans="33:52" ph="1">
      <c r="AJ142" s="64" t="s" ph="1">
        <v>536</v>
      </c>
      <c r="AK142" s="64" t="s" ph="1">
        <v>239</v>
      </c>
    </row>
    <row r="143" spans="33:52" ph="1">
      <c r="AH143" s="64" ph="1">
        <v>4</v>
      </c>
      <c r="AI143" s="64" t="s" ph="1">
        <v>537</v>
      </c>
      <c r="AJ143" s="64" t="s" ph="1">
        <v>517</v>
      </c>
      <c r="AK143" s="64" t="s" ph="1">
        <v>538</v>
      </c>
      <c r="AY143" s="64" t="s" ph="1">
        <v>216</v>
      </c>
      <c r="AZ143" s="64" t="s" ph="1">
        <v>538</v>
      </c>
    </row>
    <row r="144" spans="33:52" ph="1">
      <c r="AH144" s="64" ph="1">
        <v>5</v>
      </c>
      <c r="AI144" s="64" t="s" ph="1">
        <v>539</v>
      </c>
      <c r="AY144" s="64" t="s" ph="1">
        <v>216</v>
      </c>
      <c r="AZ144" s="64" t="s" ph="1">
        <v>367</v>
      </c>
    </row>
    <row r="145" spans="33:52" ph="1">
      <c r="AH145" s="64" ph="1">
        <v>6</v>
      </c>
      <c r="AI145" s="64" t="s" ph="1">
        <v>540</v>
      </c>
      <c r="AY145" s="64" t="s" ph="1">
        <v>216</v>
      </c>
      <c r="AZ145" s="64" t="s" ph="1">
        <v>367</v>
      </c>
    </row>
    <row r="146" spans="33:52" ph="1">
      <c r="AH146" s="64" ph="1">
        <v>7</v>
      </c>
      <c r="AI146" s="64" t="s" ph="1">
        <v>541</v>
      </c>
      <c r="AY146" s="64" t="s" ph="1">
        <v>216</v>
      </c>
      <c r="AZ146" s="64" t="s" ph="1">
        <v>367</v>
      </c>
    </row>
    <row r="147" spans="33:52" ph="1">
      <c r="AH147" s="64" ph="1">
        <v>8</v>
      </c>
      <c r="AI147" s="64" t="s" ph="1">
        <v>542</v>
      </c>
      <c r="AY147" s="64" t="s" ph="1">
        <v>216</v>
      </c>
      <c r="AZ147" s="64" t="s" ph="1">
        <v>367</v>
      </c>
    </row>
    <row r="148" spans="33:52" ph="1">
      <c r="AH148" s="64" ph="1">
        <v>9</v>
      </c>
      <c r="AI148" s="64" t="s" ph="1">
        <v>543</v>
      </c>
      <c r="AY148" s="64" t="s" ph="1">
        <v>216</v>
      </c>
      <c r="AZ148" s="64" t="s" ph="1">
        <v>367</v>
      </c>
    </row>
    <row r="149" spans="33:52" ph="1">
      <c r="AH149" s="64" ph="1">
        <v>10</v>
      </c>
      <c r="AI149" s="64" t="s" ph="1">
        <v>544</v>
      </c>
      <c r="AY149" s="64" t="s" ph="1">
        <v>216</v>
      </c>
      <c r="AZ149" s="64" t="s" ph="1">
        <v>367</v>
      </c>
    </row>
    <row r="150" spans="33:52" ph="1">
      <c r="AH150" s="64" ph="1">
        <v>11</v>
      </c>
      <c r="AI150" s="64" t="s" ph="1">
        <v>545</v>
      </c>
      <c r="AY150" s="64" t="s" ph="1">
        <v>216</v>
      </c>
      <c r="AZ150" s="64" t="s" ph="1">
        <v>367</v>
      </c>
    </row>
    <row r="151" spans="33:52" ph="1">
      <c r="AH151" s="64" ph="1">
        <v>12</v>
      </c>
      <c r="AI151" s="64" t="s" ph="1">
        <v>546</v>
      </c>
      <c r="AY151" s="64" t="s" ph="1">
        <v>216</v>
      </c>
      <c r="AZ151" s="64" t="s" ph="1">
        <v>367</v>
      </c>
    </row>
    <row r="152" spans="33:52" ph="1">
      <c r="AH152" s="64" ph="1">
        <v>13</v>
      </c>
      <c r="AI152" s="64" t="s" ph="1">
        <v>547</v>
      </c>
      <c r="AY152" s="64" t="s" ph="1">
        <v>216</v>
      </c>
      <c r="AZ152" s="64" t="s" ph="1">
        <v>367</v>
      </c>
    </row>
    <row r="153" spans="33:52" ph="1">
      <c r="AH153" s="64" ph="1">
        <v>14</v>
      </c>
      <c r="AI153" s="64" t="s" ph="1">
        <v>548</v>
      </c>
      <c r="AY153" s="64" t="s" ph="1">
        <v>216</v>
      </c>
      <c r="AZ153" s="64" t="s" ph="1">
        <v>367</v>
      </c>
    </row>
    <row r="154" spans="33:52" ph="1">
      <c r="AH154" s="64" ph="1">
        <v>15</v>
      </c>
      <c r="AI154" s="64" t="s" ph="1">
        <v>549</v>
      </c>
      <c r="AY154" s="64" t="s" ph="1">
        <v>216</v>
      </c>
      <c r="AZ154" s="64" t="s" ph="1">
        <v>367</v>
      </c>
    </row>
    <row r="155" spans="33:52" ph="1">
      <c r="AH155" s="64" ph="1">
        <v>16</v>
      </c>
      <c r="AI155" s="64" t="s" ph="1">
        <v>550</v>
      </c>
      <c r="AJ155" s="64" t="s" ph="1">
        <v>336</v>
      </c>
      <c r="AK155" s="64" t="s" ph="1">
        <v>231</v>
      </c>
      <c r="AM155" s="64" t="s" ph="1">
        <v>570</v>
      </c>
      <c r="AN155" s="64" t="s" ph="1">
        <v>282</v>
      </c>
      <c r="AO155" s="64" t="s" ph="1">
        <v>535</v>
      </c>
      <c r="AY155" s="64" t="s" ph="1">
        <v>216</v>
      </c>
      <c r="AZ155" s="64" t="s" ph="1">
        <v>223</v>
      </c>
    </row>
    <row r="156" spans="33:52" ph="1">
      <c r="AZ156" s="64" t="s" ph="1">
        <v>602</v>
      </c>
    </row>
    <row r="157" spans="33:52" ph="1">
      <c r="AG157" s="64" t="s" ph="1">
        <v>551</v>
      </c>
      <c r="AI157" s="64" t="s" ph="1">
        <v>209</v>
      </c>
      <c r="AJ157" s="64" t="s" ph="1">
        <v>210</v>
      </c>
      <c r="AK157" s="64" t="s" ph="1">
        <v>211</v>
      </c>
      <c r="AM157" s="64" t="s" ph="1">
        <v>210</v>
      </c>
      <c r="AN157" s="64" t="s" ph="1">
        <v>211</v>
      </c>
      <c r="AO157" s="64" t="s" ph="1">
        <v>212</v>
      </c>
      <c r="AP157" s="64" t="s" ph="1">
        <v>210</v>
      </c>
      <c r="AQ157" s="64" t="s" ph="1">
        <v>211</v>
      </c>
      <c r="AR157" s="64" t="s" ph="1">
        <v>212</v>
      </c>
      <c r="AS157" s="64" t="s" ph="1">
        <v>210</v>
      </c>
      <c r="AT157" s="64" t="s" ph="1">
        <v>211</v>
      </c>
      <c r="AU157" s="64" t="s" ph="1">
        <v>212</v>
      </c>
      <c r="AV157" s="64" t="s" ph="1">
        <v>210</v>
      </c>
      <c r="AW157" s="64" t="s" ph="1">
        <v>211</v>
      </c>
      <c r="AX157" s="64" t="s" ph="1">
        <v>212</v>
      </c>
      <c r="AY157" s="64" t="s" ph="1">
        <v>211</v>
      </c>
      <c r="AZ157" s="64" t="s" ph="1">
        <v>213</v>
      </c>
    </row>
    <row r="158" spans="33:52" ph="1">
      <c r="AH158" s="64" ph="1">
        <v>1</v>
      </c>
      <c r="AI158" s="64" t="s" ph="1">
        <v>552</v>
      </c>
      <c r="AY158" s="64" t="s" ph="1">
        <v>216</v>
      </c>
      <c r="AZ158" s="64" t="s" ph="1">
        <v>367</v>
      </c>
    </row>
    <row r="159" spans="33:52" ph="1">
      <c r="AH159" s="64" ph="1">
        <v>2</v>
      </c>
      <c r="AI159" s="64" t="s" ph="1">
        <v>553</v>
      </c>
      <c r="AY159" s="64" t="s" ph="1">
        <v>216</v>
      </c>
      <c r="AZ159" s="64" t="s" ph="1">
        <v>367</v>
      </c>
    </row>
    <row r="160" spans="33:52" ph="1">
      <c r="AZ160" s="64" t="s" ph="1">
        <v>385</v>
      </c>
    </row>
    <row r="161" spans="33:52" ph="1">
      <c r="AG161" s="64" t="s" ph="1">
        <v>361</v>
      </c>
      <c r="AI161" s="64" t="s" ph="1">
        <v>209</v>
      </c>
      <c r="AJ161" s="64" t="s" ph="1">
        <v>210</v>
      </c>
      <c r="AK161" s="64" t="s" ph="1">
        <v>211</v>
      </c>
      <c r="AM161" s="64" t="s" ph="1">
        <v>210</v>
      </c>
      <c r="AN161" s="64" t="s" ph="1">
        <v>211</v>
      </c>
      <c r="AO161" s="64" t="s" ph="1">
        <v>212</v>
      </c>
      <c r="AP161" s="64" t="s" ph="1">
        <v>210</v>
      </c>
      <c r="AQ161" s="64" t="s" ph="1">
        <v>211</v>
      </c>
      <c r="AR161" s="64" t="s" ph="1">
        <v>212</v>
      </c>
      <c r="AS161" s="64" t="s" ph="1">
        <v>210</v>
      </c>
      <c r="AT161" s="64" t="s" ph="1">
        <v>211</v>
      </c>
      <c r="AU161" s="64" t="s" ph="1">
        <v>212</v>
      </c>
      <c r="AV161" s="64" t="s" ph="1">
        <v>210</v>
      </c>
      <c r="AW161" s="64" t="s" ph="1">
        <v>211</v>
      </c>
      <c r="AX161" s="64" t="s" ph="1">
        <v>212</v>
      </c>
      <c r="AY161" s="64" t="s" ph="1">
        <v>211</v>
      </c>
      <c r="AZ161" s="64" t="s" ph="1">
        <v>213</v>
      </c>
    </row>
    <row r="162" spans="33:52" ph="1">
      <c r="AH162" s="64" ph="1">
        <v>1</v>
      </c>
      <c r="AI162" s="64" t="s" ph="1">
        <v>554</v>
      </c>
      <c r="AJ162" s="64" t="s" ph="1">
        <v>555</v>
      </c>
      <c r="AK162" s="64" t="s" ph="1">
        <v>499</v>
      </c>
      <c r="AM162" s="64" t="s" ph="1">
        <v>556</v>
      </c>
      <c r="AN162" s="64" t="s" ph="1">
        <v>220</v>
      </c>
      <c r="AO162" s="64" t="s" ph="1">
        <v>557</v>
      </c>
      <c r="AY162" s="64" t="s" ph="1">
        <v>216</v>
      </c>
      <c r="AZ162" s="64" t="s" ph="1">
        <v>292</v>
      </c>
    </row>
    <row r="163" spans="33:52" ph="1">
      <c r="AH163" s="64" ph="1">
        <v>2</v>
      </c>
      <c r="AI163" s="64" t="s" ph="1">
        <v>558</v>
      </c>
      <c r="AJ163" s="64" t="s" ph="1">
        <v>555</v>
      </c>
      <c r="AK163" s="64" t="s" ph="1">
        <v>388</v>
      </c>
      <c r="AY163" s="64" t="s" ph="1">
        <v>216</v>
      </c>
      <c r="AZ163" s="64" t="s" ph="1">
        <v>388</v>
      </c>
    </row>
    <row r="164" spans="33:52" ph="1">
      <c r="AH164" s="64" ph="1">
        <v>3</v>
      </c>
      <c r="AI164" s="64" t="s" ph="1">
        <v>559</v>
      </c>
      <c r="AJ164" s="64" t="s" ph="1">
        <v>555</v>
      </c>
      <c r="AK164" s="64" t="s" ph="1">
        <v>292</v>
      </c>
      <c r="AY164" s="64" t="s" ph="1">
        <v>216</v>
      </c>
      <c r="AZ164" s="64" t="s" ph="1">
        <v>292</v>
      </c>
    </row>
    <row r="165" spans="33:52" ph="1">
      <c r="AH165" s="64" ph="1">
        <v>4</v>
      </c>
      <c r="AI165" s="64" t="s" ph="1">
        <v>560</v>
      </c>
      <c r="AY165" s="64" t="s" ph="1">
        <v>216</v>
      </c>
      <c r="AZ165" s="64" t="s" ph="1">
        <v>367</v>
      </c>
    </row>
    <row r="166" spans="33:52" ph="1">
      <c r="AH166" s="64" ph="1">
        <v>5</v>
      </c>
      <c r="AI166" s="64" t="s" ph="1">
        <v>561</v>
      </c>
      <c r="AY166" s="64" t="s" ph="1">
        <v>216</v>
      </c>
      <c r="AZ166" s="64" t="s" ph="1">
        <v>367</v>
      </c>
    </row>
    <row r="167" spans="33:52" ph="1">
      <c r="AZ167" s="64" t="s" ph="1">
        <v>562</v>
      </c>
    </row>
    <row r="168" spans="33:52" ph="1">
      <c r="AG168" s="64" t="s" ph="1">
        <v>305</v>
      </c>
      <c r="AI168" s="64" t="s" ph="1">
        <v>209</v>
      </c>
      <c r="AJ168" s="64" t="s" ph="1">
        <v>210</v>
      </c>
      <c r="AK168" s="64" t="s" ph="1">
        <v>211</v>
      </c>
      <c r="AM168" s="64" t="s" ph="1">
        <v>210</v>
      </c>
      <c r="AN168" s="64" t="s" ph="1">
        <v>211</v>
      </c>
      <c r="AO168" s="64" t="s" ph="1">
        <v>212</v>
      </c>
      <c r="AP168" s="64" t="s" ph="1">
        <v>210</v>
      </c>
      <c r="AQ168" s="64" t="s" ph="1">
        <v>211</v>
      </c>
      <c r="AR168" s="64" t="s" ph="1">
        <v>212</v>
      </c>
      <c r="AS168" s="64" t="s" ph="1">
        <v>210</v>
      </c>
      <c r="AT168" s="64" t="s" ph="1">
        <v>211</v>
      </c>
      <c r="AU168" s="64" t="s" ph="1">
        <v>212</v>
      </c>
      <c r="AV168" s="64" t="s" ph="1">
        <v>210</v>
      </c>
      <c r="AW168" s="64" t="s" ph="1">
        <v>211</v>
      </c>
      <c r="AX168" s="64" t="s" ph="1">
        <v>212</v>
      </c>
      <c r="AY168" s="64" t="s" ph="1">
        <v>211</v>
      </c>
      <c r="AZ168" s="64" t="s" ph="1">
        <v>213</v>
      </c>
    </row>
    <row r="169" spans="33:52" ph="1">
      <c r="AH169" s="64" ph="1">
        <v>1</v>
      </c>
      <c r="AI169" s="64" t="s" ph="1">
        <v>563</v>
      </c>
      <c r="AY169" s="64" t="s" ph="1">
        <v>216</v>
      </c>
      <c r="AZ169" s="64" t="s" ph="1">
        <v>367</v>
      </c>
    </row>
    <row r="170" spans="33:52" ph="1">
      <c r="AH170" s="64" ph="1">
        <v>2</v>
      </c>
      <c r="AI170" s="64" t="s" ph="1">
        <v>564</v>
      </c>
      <c r="AY170" s="64" t="s" ph="1">
        <v>216</v>
      </c>
      <c r="AZ170" s="64" t="s" ph="1">
        <v>367</v>
      </c>
    </row>
    <row r="171" spans="33:52" ph="1">
      <c r="AH171" s="64" ph="1">
        <v>3</v>
      </c>
      <c r="AI171" s="64" t="s" ph="1">
        <v>565</v>
      </c>
      <c r="AY171" s="64" t="s" ph="1">
        <v>216</v>
      </c>
      <c r="AZ171" s="64" t="s" ph="1">
        <v>367</v>
      </c>
    </row>
    <row r="172" spans="33:52" ph="1">
      <c r="AH172" s="64" ph="1">
        <v>4</v>
      </c>
      <c r="AI172" s="64" t="s" ph="1">
        <v>566</v>
      </c>
      <c r="AY172" s="64" t="s" ph="1">
        <v>216</v>
      </c>
      <c r="AZ172" s="64" t="s" ph="1">
        <v>367</v>
      </c>
    </row>
    <row r="173" spans="33:52" ph="1">
      <c r="AH173" s="64" ph="1">
        <v>5</v>
      </c>
      <c r="AI173" s="64" t="s" ph="1">
        <v>567</v>
      </c>
      <c r="AY173" s="64" t="s" ph="1">
        <v>216</v>
      </c>
      <c r="AZ173" s="64" t="s" ph="1">
        <v>367</v>
      </c>
    </row>
    <row r="174" spans="33:52" ph="1">
      <c r="AZ174" s="64" t="s" ph="1">
        <v>385</v>
      </c>
    </row>
    <row r="175" spans="33:52" ph="1">
      <c r="AJ175" s="64" t="s" ph="1">
        <v>306</v>
      </c>
    </row>
    <row r="176" spans="33:52" ph="1">
      <c r="AJ176" s="64" t="s" ph="1">
        <v>307</v>
      </c>
      <c r="AK176" s="64" t="s" ph="1">
        <v>308</v>
      </c>
      <c r="AM176" s="64" t="s" ph="1">
        <v>309</v>
      </c>
      <c r="AO176" s="64" t="s" ph="1">
        <v>310</v>
      </c>
      <c r="AP176" s="64" t="s" ph="1">
        <v>311</v>
      </c>
      <c r="AQ176" s="64" t="s" ph="1">
        <v>301</v>
      </c>
      <c r="AR176" s="64" t="s" ph="1">
        <v>221</v>
      </c>
    </row>
    <row r="177" spans="36:56" ph="1">
      <c r="AJ177" s="64" t="s" ph="1">
        <v>603</v>
      </c>
      <c r="AK177" s="64" t="s" ph="1">
        <v>312</v>
      </c>
      <c r="AO177" s="64" t="s" ph="1">
        <v>312</v>
      </c>
      <c r="AP177" s="64" t="s" ph="1">
        <v>312</v>
      </c>
      <c r="AQ177" s="64" t="s" ph="1">
        <v>313</v>
      </c>
      <c r="AR177" s="64" t="s" ph="1">
        <v>314</v>
      </c>
    </row>
    <row r="179" spans="36:56" ph="1">
      <c r="AJ179" s="64" t="s" ph="1">
        <v>315</v>
      </c>
      <c r="AK179" s="64" t="s" ph="1">
        <v>316</v>
      </c>
      <c r="AM179" s="64" t="s" ph="1">
        <v>317</v>
      </c>
      <c r="AN179" s="64" t="s" ph="1">
        <v>293</v>
      </c>
      <c r="AO179" s="64" t="s" ph="1">
        <v>318</v>
      </c>
      <c r="AP179" s="64" t="s" ph="1">
        <v>297</v>
      </c>
      <c r="AQ179" s="64" t="s" ph="1">
        <v>319</v>
      </c>
      <c r="AR179" s="64" t="s" ph="1">
        <v>320</v>
      </c>
    </row>
    <row r="180" spans="36:56" ph="1">
      <c r="AJ180" s="64" t="s" ph="1">
        <v>312</v>
      </c>
      <c r="AK180" s="64" t="s" ph="1">
        <v>312</v>
      </c>
      <c r="AL180" s="64" ph="1">
        <v>116</v>
      </c>
      <c r="AM180" s="64" t="s" ph="1">
        <v>312</v>
      </c>
      <c r="AN180" s="64" t="s" ph="1">
        <v>321</v>
      </c>
      <c r="AO180" s="64" t="s" ph="1">
        <v>312</v>
      </c>
      <c r="AP180" s="64" t="s" ph="1">
        <v>322</v>
      </c>
      <c r="AQ180" s="64" t="s" ph="1">
        <v>323</v>
      </c>
      <c r="AR180" s="64" t="s" ph="1">
        <v>324</v>
      </c>
    </row>
    <row r="189" spans="36:56" ph="1">
      <c r="BD189" s="64" t="s" ph="1">
        <v>568</v>
      </c>
    </row>
    <row r="223" spans="18:18" ph="1">
      <c r="R223" s="135" ph="1">
        <v>45496</v>
      </c>
    </row>
  </sheetData>
  <mergeCells count="58">
    <mergeCell ref="Z22:AE22"/>
    <mergeCell ref="Z23:AE29"/>
    <mergeCell ref="B24:B26"/>
    <mergeCell ref="B27:B29"/>
    <mergeCell ref="B1:AE1"/>
    <mergeCell ref="B2:AE2"/>
    <mergeCell ref="B3:AE3"/>
    <mergeCell ref="B4:B5"/>
    <mergeCell ref="B6:B8"/>
    <mergeCell ref="B9:B11"/>
    <mergeCell ref="P31:R31"/>
    <mergeCell ref="B13:B14"/>
    <mergeCell ref="B15:B17"/>
    <mergeCell ref="B18:B20"/>
    <mergeCell ref="B22:B23"/>
    <mergeCell ref="B31:C32"/>
    <mergeCell ref="D31:F31"/>
    <mergeCell ref="G31:I31"/>
    <mergeCell ref="J31:L31"/>
    <mergeCell ref="M31:O31"/>
    <mergeCell ref="B33:C34"/>
    <mergeCell ref="D33:D34"/>
    <mergeCell ref="E33:E34"/>
    <mergeCell ref="F33:F34"/>
    <mergeCell ref="G33:G34"/>
    <mergeCell ref="S31:U31"/>
    <mergeCell ref="V31:X31"/>
    <mergeCell ref="Y31:AA31"/>
    <mergeCell ref="AB31:AE31"/>
    <mergeCell ref="AD32:AE32"/>
    <mergeCell ref="S33:S34"/>
    <mergeCell ref="H33:H34"/>
    <mergeCell ref="I33:I34"/>
    <mergeCell ref="J33:J34"/>
    <mergeCell ref="K33:K34"/>
    <mergeCell ref="L33:L34"/>
    <mergeCell ref="M33:M34"/>
    <mergeCell ref="N33:N34"/>
    <mergeCell ref="O33:O34"/>
    <mergeCell ref="P33:P34"/>
    <mergeCell ref="Q33:Q34"/>
    <mergeCell ref="R33:R34"/>
    <mergeCell ref="I36:J36"/>
    <mergeCell ref="R36:S36"/>
    <mergeCell ref="AB36:AC36"/>
    <mergeCell ref="AD36:AE36"/>
    <mergeCell ref="Z33:Z34"/>
    <mergeCell ref="AA33:AA34"/>
    <mergeCell ref="AB33:AB34"/>
    <mergeCell ref="AC33:AC34"/>
    <mergeCell ref="AD33:AE34"/>
    <mergeCell ref="AC35:AE35"/>
    <mergeCell ref="T33:T34"/>
    <mergeCell ref="U33:U34"/>
    <mergeCell ref="V33:V34"/>
    <mergeCell ref="W33:W34"/>
    <mergeCell ref="X33:X34"/>
    <mergeCell ref="Y33:Y34"/>
  </mergeCells>
  <phoneticPr fontId="2" type="noConversion"/>
  <conditionalFormatting sqref="D4:D11">
    <cfRule type="expression" dxfId="2792" priority="103">
      <formula>ABS(D$7-D$10)&gt;=1000</formula>
    </cfRule>
  </conditionalFormatting>
  <conditionalFormatting sqref="E4 E6:E11">
    <cfRule type="expression" dxfId="2791" priority="102">
      <formula>ABS(E$7-E$10)&gt;=1000</formula>
    </cfRule>
  </conditionalFormatting>
  <conditionalFormatting sqref="F4:F11">
    <cfRule type="expression" dxfId="2790" priority="101">
      <formula>ABS(F$7-F$10)&gt;=1000</formula>
    </cfRule>
  </conditionalFormatting>
  <conditionalFormatting sqref="G4:G11">
    <cfRule type="expression" dxfId="2789" priority="100">
      <formula>ABS(G$7-G$10)&gt;=1000</formula>
    </cfRule>
  </conditionalFormatting>
  <conditionalFormatting sqref="H4:H11">
    <cfRule type="expression" dxfId="2788" priority="99">
      <formula>ABS(H$7-H$10)&gt;=1000</formula>
    </cfRule>
  </conditionalFormatting>
  <conditionalFormatting sqref="I4:I11">
    <cfRule type="expression" dxfId="2787" priority="98">
      <formula>ABS(I$7-I$10)&gt;=1000</formula>
    </cfRule>
  </conditionalFormatting>
  <conditionalFormatting sqref="J4:J11">
    <cfRule type="expression" dxfId="2786" priority="97">
      <formula>ABS(J$7-J$10)&gt;=1000</formula>
    </cfRule>
  </conditionalFormatting>
  <conditionalFormatting sqref="K4:K11">
    <cfRule type="expression" dxfId="2785" priority="96">
      <formula>ABS(K$7-K$10)&gt;=1000</formula>
    </cfRule>
  </conditionalFormatting>
  <conditionalFormatting sqref="L4:L11">
    <cfRule type="expression" dxfId="2784" priority="95">
      <formula>ABS(L$7-L$10)&gt;=1000</formula>
    </cfRule>
  </conditionalFormatting>
  <conditionalFormatting sqref="M4 M6:M11">
    <cfRule type="expression" dxfId="2783" priority="94">
      <formula>ABS(M$7-M$10)&gt;=1000</formula>
    </cfRule>
  </conditionalFormatting>
  <conditionalFormatting sqref="N4 N6:N11">
    <cfRule type="expression" dxfId="2782" priority="93">
      <formula>ABS(N$7-N$10)&gt;=1000</formula>
    </cfRule>
  </conditionalFormatting>
  <conditionalFormatting sqref="O4 O6:O11">
    <cfRule type="expression" dxfId="2781" priority="92">
      <formula>ABS(O$7-O$10)&gt;=1000</formula>
    </cfRule>
  </conditionalFormatting>
  <conditionalFormatting sqref="P4 P6:P11">
    <cfRule type="expression" dxfId="2780" priority="91">
      <formula>ABS(P$7-P$10)&gt;=1000</formula>
    </cfRule>
  </conditionalFormatting>
  <conditionalFormatting sqref="Q4:Q11">
    <cfRule type="expression" dxfId="2779" priority="90">
      <formula>ABS(Q$7-Q$10)&gt;=1000</formula>
    </cfRule>
  </conditionalFormatting>
  <conditionalFormatting sqref="R4:R11">
    <cfRule type="expression" dxfId="2778" priority="89">
      <formula>ABS(R$7-R$10)&gt;=1000</formula>
    </cfRule>
  </conditionalFormatting>
  <conditionalFormatting sqref="S4:S11">
    <cfRule type="expression" dxfId="2777" priority="88">
      <formula>ABS(S$7-S$10)&gt;=1000</formula>
    </cfRule>
  </conditionalFormatting>
  <conditionalFormatting sqref="T4:T9 T11">
    <cfRule type="expression" dxfId="2776" priority="87">
      <formula>ABS(T$7-T$10)&gt;=1000</formula>
    </cfRule>
  </conditionalFormatting>
  <conditionalFormatting sqref="U4:U9 U11">
    <cfRule type="expression" dxfId="2775" priority="86">
      <formula>ABS(U$7-U$10)&gt;=1000</formula>
    </cfRule>
  </conditionalFormatting>
  <conditionalFormatting sqref="V4:V9 V11">
    <cfRule type="expression" dxfId="2774" priority="85">
      <formula>ABS(V$7-V$10)&gt;=1000</formula>
    </cfRule>
  </conditionalFormatting>
  <conditionalFormatting sqref="W4:W9 W11">
    <cfRule type="expression" dxfId="2773" priority="84">
      <formula>ABS(W$7-W$10)&gt;=1000</formula>
    </cfRule>
  </conditionalFormatting>
  <conditionalFormatting sqref="X4:X9 X11">
    <cfRule type="expression" dxfId="2772" priority="83">
      <formula>ABS(X$7-X$10)&gt;=1000</formula>
    </cfRule>
  </conditionalFormatting>
  <conditionalFormatting sqref="Y4:Y9 Y11">
    <cfRule type="expression" dxfId="2771" priority="82">
      <formula>ABS(Y$7-Y$10)&gt;=1000</formula>
    </cfRule>
  </conditionalFormatting>
  <conditionalFormatting sqref="Z4:Z11">
    <cfRule type="expression" dxfId="2770" priority="81">
      <formula>ABS(Z$7-Z$10)&gt;=1000</formula>
    </cfRule>
  </conditionalFormatting>
  <conditionalFormatting sqref="AA4:AA11">
    <cfRule type="expression" dxfId="2769" priority="80">
      <formula>ABS(AA$7-AA$10)&gt;=1000</formula>
    </cfRule>
  </conditionalFormatting>
  <conditionalFormatting sqref="AB4:AB11">
    <cfRule type="expression" dxfId="2768" priority="79">
      <formula>ABS(AB$7-AB$10)&gt;=1000</formula>
    </cfRule>
  </conditionalFormatting>
  <conditionalFormatting sqref="AC4 AC6:AC11">
    <cfRule type="expression" dxfId="2767" priority="78">
      <formula>ABS(AC$7-AC$10)&gt;=1000</formula>
    </cfRule>
  </conditionalFormatting>
  <conditionalFormatting sqref="AD4 AD6:AD11">
    <cfRule type="expression" dxfId="2766" priority="77">
      <formula>ABS(AD$7-AD$10)&gt;=1000</formula>
    </cfRule>
  </conditionalFormatting>
  <conditionalFormatting sqref="AE4 AE6:AE11">
    <cfRule type="expression" dxfId="2765" priority="76">
      <formula>ABS(AE$7-AE$10)&gt;=1000</formula>
    </cfRule>
  </conditionalFormatting>
  <conditionalFormatting sqref="D13:D20">
    <cfRule type="expression" dxfId="2764" priority="75">
      <formula>ABS(D$16-D$19)&gt;=1000</formula>
    </cfRule>
  </conditionalFormatting>
  <conditionalFormatting sqref="E13:E20">
    <cfRule type="expression" dxfId="2763" priority="74">
      <formula>ABS(E$16-E$19)&gt;=1000</formula>
    </cfRule>
  </conditionalFormatting>
  <conditionalFormatting sqref="F13 F15:F20">
    <cfRule type="expression" dxfId="2762" priority="73">
      <formula>ABS(F$16-F$19)&gt;=1000</formula>
    </cfRule>
  </conditionalFormatting>
  <conditionalFormatting sqref="G13:G20">
    <cfRule type="expression" dxfId="2761" priority="72">
      <formula>ABS(G$16-G$19)&gt;=1000</formula>
    </cfRule>
  </conditionalFormatting>
  <conditionalFormatting sqref="H13 H15:H20">
    <cfRule type="expression" dxfId="2760" priority="71">
      <formula>ABS(H$16-H$19)&gt;=1000</formula>
    </cfRule>
  </conditionalFormatting>
  <conditionalFormatting sqref="I13:I20">
    <cfRule type="expression" dxfId="2759" priority="70">
      <formula>ABS(I$16-I$19)&gt;=1000</formula>
    </cfRule>
  </conditionalFormatting>
  <conditionalFormatting sqref="J13:J20">
    <cfRule type="expression" dxfId="2758" priority="69">
      <formula>ABS(J$16-J$19)&gt;=1000</formula>
    </cfRule>
  </conditionalFormatting>
  <conditionalFormatting sqref="L13:L20">
    <cfRule type="expression" dxfId="2757" priority="68">
      <formula>ABS(L$16-L$19)&gt;=1000</formula>
    </cfRule>
  </conditionalFormatting>
  <conditionalFormatting sqref="M13 M15 M17:M18 M20">
    <cfRule type="expression" dxfId="2756" priority="67">
      <formula>ABS(M$16-M$19)&gt;=1000</formula>
    </cfRule>
  </conditionalFormatting>
  <conditionalFormatting sqref="N13:N20">
    <cfRule type="expression" dxfId="2755" priority="66">
      <formula>ABS(N$16-N$19)&gt;=1000</formula>
    </cfRule>
  </conditionalFormatting>
  <conditionalFormatting sqref="O13:O20">
    <cfRule type="expression" dxfId="2754" priority="65">
      <formula>ABS(O$16-O$19)&gt;=1000</formula>
    </cfRule>
  </conditionalFormatting>
  <conditionalFormatting sqref="P13:P20">
    <cfRule type="expression" dxfId="2753" priority="64">
      <formula>ABS(P$16-P$19)&gt;=1000</formula>
    </cfRule>
  </conditionalFormatting>
  <conditionalFormatting sqref="Q13 Q15:Q20">
    <cfRule type="expression" dxfId="2752" priority="63">
      <formula>ABS(Q$16-Q$19)&gt;=1000</formula>
    </cfRule>
  </conditionalFormatting>
  <conditionalFormatting sqref="R13 R15:R20">
    <cfRule type="expression" dxfId="2751" priority="62">
      <formula>ABS(R$16-R$19)&gt;=1000</formula>
    </cfRule>
  </conditionalFormatting>
  <conditionalFormatting sqref="S13:S20">
    <cfRule type="expression" dxfId="2750" priority="61">
      <formula>ABS(S$16-S$19)&gt;=1000</formula>
    </cfRule>
  </conditionalFormatting>
  <conditionalFormatting sqref="T13:T15 T17:T20">
    <cfRule type="expression" dxfId="2749" priority="60">
      <formula>ABS(T$16-T$19)&gt;=1000</formula>
    </cfRule>
  </conditionalFormatting>
  <conditionalFormatting sqref="U13:U20">
    <cfRule type="expression" dxfId="2748" priority="59">
      <formula>ABS(U$16-U$19)&gt;=1000</formula>
    </cfRule>
  </conditionalFormatting>
  <conditionalFormatting sqref="V13:V20">
    <cfRule type="expression" dxfId="2747" priority="58">
      <formula>ABS(V$16-V$19)&gt;=1000</formula>
    </cfRule>
  </conditionalFormatting>
  <conditionalFormatting sqref="W13 W20 W15:W18">
    <cfRule type="expression" dxfId="2746" priority="57">
      <formula>ABS(W$16-W$19)&gt;=1000</formula>
    </cfRule>
  </conditionalFormatting>
  <conditionalFormatting sqref="X13 X15:X20 Y19">
    <cfRule type="expression" dxfId="2745" priority="56">
      <formula>ABS(X$16-X$19)&gt;=1000</formula>
    </cfRule>
  </conditionalFormatting>
  <conditionalFormatting sqref="Y13 Y15:Y18 Y20">
    <cfRule type="expression" dxfId="2744" priority="55">
      <formula>ABS(Y$16-Y$19)&gt;=1000</formula>
    </cfRule>
  </conditionalFormatting>
  <conditionalFormatting sqref="Z13:Z20">
    <cfRule type="expression" dxfId="2743" priority="54">
      <formula>ABS(Z$16-Z$19)&gt;=1000</formula>
    </cfRule>
  </conditionalFormatting>
  <conditionalFormatting sqref="AA13:AA20">
    <cfRule type="expression" dxfId="2742" priority="53">
      <formula>ABS(AA$16-AA$19)&gt;=1000</formula>
    </cfRule>
  </conditionalFormatting>
  <conditionalFormatting sqref="AB13 AB15:AB20">
    <cfRule type="expression" dxfId="2741" priority="52">
      <formula>ABS(AB$16-AB$19)&gt;=1000</formula>
    </cfRule>
  </conditionalFormatting>
  <conditionalFormatting sqref="AC13 AC15:AC20">
    <cfRule type="expression" dxfId="2740" priority="51">
      <formula>ABS(AC$16-AC$19)&gt;=1000</formula>
    </cfRule>
  </conditionalFormatting>
  <conditionalFormatting sqref="AD13:AD20">
    <cfRule type="expression" dxfId="2739" priority="50">
      <formula>ABS(AD$16-AD$19)&gt;=1000</formula>
    </cfRule>
  </conditionalFormatting>
  <conditionalFormatting sqref="AE13:AE20">
    <cfRule type="expression" dxfId="2738" priority="49">
      <formula>ABS(AE$16-AE$19)&gt;=1000</formula>
    </cfRule>
  </conditionalFormatting>
  <conditionalFormatting sqref="D22:D29">
    <cfRule type="expression" dxfId="2737" priority="48">
      <formula>ABS(D$25-D$28)&gt;=1000</formula>
    </cfRule>
  </conditionalFormatting>
  <conditionalFormatting sqref="E22:E29">
    <cfRule type="expression" dxfId="2736" priority="47">
      <formula>ABS(E$25-E$28)&gt;=1000</formula>
    </cfRule>
  </conditionalFormatting>
  <conditionalFormatting sqref="F22:F29">
    <cfRule type="expression" dxfId="2735" priority="46">
      <formula>ABS(F$25-F$28)&gt;=1000</formula>
    </cfRule>
  </conditionalFormatting>
  <conditionalFormatting sqref="G22:G29">
    <cfRule type="expression" dxfId="2734" priority="45">
      <formula>ABS(G$25-G$28)&gt;=1000</formula>
    </cfRule>
  </conditionalFormatting>
  <conditionalFormatting sqref="H22:H29">
    <cfRule type="expression" dxfId="2733" priority="44">
      <formula>ABS(H$25-H$28)&gt;=1000</formula>
    </cfRule>
  </conditionalFormatting>
  <conditionalFormatting sqref="I22 I24:I29">
    <cfRule type="expression" dxfId="2732" priority="43">
      <formula>ABS(I$25-I$28)&gt;=1000</formula>
    </cfRule>
  </conditionalFormatting>
  <conditionalFormatting sqref="J22:J29 K22">
    <cfRule type="expression" dxfId="2731" priority="42">
      <formula>ABS(J$25-J$28)&gt;=1000</formula>
    </cfRule>
  </conditionalFormatting>
  <conditionalFormatting sqref="K23:K29 L25 L28">
    <cfRule type="expression" dxfId="2730" priority="41">
      <formula>ABS(K$25-K$28)&gt;=1000</formula>
    </cfRule>
  </conditionalFormatting>
  <conditionalFormatting sqref="L22 L26:L27 L29 L24">
    <cfRule type="expression" dxfId="2729" priority="40">
      <formula>ABS(L$25-L$28)&gt;=1000</formula>
    </cfRule>
  </conditionalFormatting>
  <conditionalFormatting sqref="M22:M29">
    <cfRule type="expression" dxfId="2728" priority="39">
      <formula>ABS(M$25-M$28)&gt;=1000</formula>
    </cfRule>
  </conditionalFormatting>
  <conditionalFormatting sqref="N22:N29">
    <cfRule type="expression" dxfId="2727" priority="38">
      <formula>ABS(N$25-N$28)&gt;=1000</formula>
    </cfRule>
  </conditionalFormatting>
  <conditionalFormatting sqref="O22 O24:O29">
    <cfRule type="expression" dxfId="2726" priority="37">
      <formula>ABS(O$25-O$28)&gt;=1000</formula>
    </cfRule>
  </conditionalFormatting>
  <conditionalFormatting sqref="P22:P29">
    <cfRule type="expression" dxfId="2725" priority="36">
      <formula>ABS(P$25-P$28)&gt;=1000</formula>
    </cfRule>
  </conditionalFormatting>
  <conditionalFormatting sqref="Q22:Q29">
    <cfRule type="expression" dxfId="2724" priority="35">
      <formula>ABS(Q$25-Q$28)&gt;=1000</formula>
    </cfRule>
  </conditionalFormatting>
  <conditionalFormatting sqref="R22:R29">
    <cfRule type="expression" dxfId="2723" priority="34">
      <formula>ABS(R$25-R$28)&gt;=1000</formula>
    </cfRule>
  </conditionalFormatting>
  <conditionalFormatting sqref="S22:S29">
    <cfRule type="expression" dxfId="2722" priority="33">
      <formula>ABS(S$25-S$28)&gt;=1000</formula>
    </cfRule>
  </conditionalFormatting>
  <conditionalFormatting sqref="T22:T29">
    <cfRule type="expression" dxfId="2721" priority="32">
      <formula>ABS(T$25-T$28)&gt;=1000</formula>
    </cfRule>
  </conditionalFormatting>
  <conditionalFormatting sqref="U22:U29">
    <cfRule type="expression" dxfId="2720" priority="31">
      <formula>ABS(U$25-U$28)&gt;=1000</formula>
    </cfRule>
  </conditionalFormatting>
  <conditionalFormatting sqref="V22:V29">
    <cfRule type="expression" dxfId="2719" priority="30">
      <formula>ABS(V$25-V$28)&gt;=1000</formula>
    </cfRule>
  </conditionalFormatting>
  <conditionalFormatting sqref="W22:W29">
    <cfRule type="expression" dxfId="2718" priority="29">
      <formula>ABS(W$25-W$28)&gt;=1000</formula>
    </cfRule>
  </conditionalFormatting>
  <conditionalFormatting sqref="X22:X29">
    <cfRule type="expression" dxfId="2717" priority="28">
      <formula>ABS(X$25-X$28)&gt;=1000</formula>
    </cfRule>
  </conditionalFormatting>
  <conditionalFormatting sqref="Y22:Y29">
    <cfRule type="expression" dxfId="2716" priority="27">
      <formula>ABS(Y$25-Y$28)&gt;=1000</formula>
    </cfRule>
  </conditionalFormatting>
  <conditionalFormatting sqref="I23">
    <cfRule type="expression" dxfId="2715" priority="26">
      <formula>ABS(I$25-I$28)&gt;=1000</formula>
    </cfRule>
  </conditionalFormatting>
  <conditionalFormatting sqref="Q14">
    <cfRule type="expression" dxfId="2714" priority="25">
      <formula>ABS(Q$16-Q$19)&gt;=1000</formula>
    </cfRule>
  </conditionalFormatting>
  <conditionalFormatting sqref="W14">
    <cfRule type="expression" dxfId="2713" priority="24">
      <formula>ABS(W$16-W$19)&gt;=1000</formula>
    </cfRule>
  </conditionalFormatting>
  <conditionalFormatting sqref="X14">
    <cfRule type="expression" dxfId="2712" priority="23">
      <formula>ABS(X$16-X$19)&gt;=1000</formula>
    </cfRule>
  </conditionalFormatting>
  <conditionalFormatting sqref="T10:Y10">
    <cfRule type="expression" dxfId="2711" priority="22">
      <formula>ABS(T$7-T$10)&gt;=1000</formula>
    </cfRule>
  </conditionalFormatting>
  <conditionalFormatting sqref="W19">
    <cfRule type="expression" dxfId="2710" priority="21">
      <formula>ABS(W$16-W$19)&gt;=1000</formula>
    </cfRule>
  </conditionalFormatting>
  <conditionalFormatting sqref="AC5">
    <cfRule type="expression" dxfId="2709" priority="20">
      <formula>ABS(AC$7-AC$10)&gt;=1000</formula>
    </cfRule>
  </conditionalFormatting>
  <conditionalFormatting sqref="M14">
    <cfRule type="expression" dxfId="2708" priority="19">
      <formula>ABS(M$16-M$19)&gt;=1000</formula>
    </cfRule>
  </conditionalFormatting>
  <conditionalFormatting sqref="M16">
    <cfRule type="expression" dxfId="2707" priority="18">
      <formula>ABS(M$16-M$19)&gt;=1000</formula>
    </cfRule>
  </conditionalFormatting>
  <conditionalFormatting sqref="M19">
    <cfRule type="expression" dxfId="2706" priority="17">
      <formula>ABS(M$16-M$19)&gt;=1000</formula>
    </cfRule>
  </conditionalFormatting>
  <conditionalFormatting sqref="K13:K20">
    <cfRule type="expression" dxfId="2705" priority="16">
      <formula>ABS(K$16-K$19)&gt;=1000</formula>
    </cfRule>
  </conditionalFormatting>
  <conditionalFormatting sqref="E5">
    <cfRule type="expression" dxfId="2704" priority="15">
      <formula>ABS(E$7-E$10)&gt;=1000</formula>
    </cfRule>
  </conditionalFormatting>
  <conditionalFormatting sqref="AB14:AC14">
    <cfRule type="expression" dxfId="2703" priority="14">
      <formula>ABS(AB$16-AB$19)&gt;=1000</formula>
    </cfRule>
  </conditionalFormatting>
  <conditionalFormatting sqref="M5">
    <cfRule type="expression" dxfId="2702" priority="13">
      <formula>ABS(M$7-M$10)&gt;=1000</formula>
    </cfRule>
  </conditionalFormatting>
  <conditionalFormatting sqref="N5">
    <cfRule type="expression" dxfId="2701" priority="12">
      <formula>ABS(N$7-N$10)&gt;=1000</formula>
    </cfRule>
  </conditionalFormatting>
  <conditionalFormatting sqref="O5">
    <cfRule type="expression" dxfId="2700" priority="11">
      <formula>ABS(O$7-O$10)&gt;=1000</formula>
    </cfRule>
  </conditionalFormatting>
  <conditionalFormatting sqref="P5">
    <cfRule type="expression" dxfId="2699" priority="10">
      <formula>ABS(P$7-P$10)&gt;=1000</formula>
    </cfRule>
  </conditionalFormatting>
  <conditionalFormatting sqref="L23">
    <cfRule type="expression" dxfId="2698" priority="9">
      <formula>ABS(L$25-L$28)&gt;=1000</formula>
    </cfRule>
  </conditionalFormatting>
  <conditionalFormatting sqref="Y14">
    <cfRule type="expression" dxfId="2697" priority="8">
      <formula>ABS(Y$16-Y$19)&gt;=1000</formula>
    </cfRule>
  </conditionalFormatting>
  <conditionalFormatting sqref="H14">
    <cfRule type="expression" dxfId="2696" priority="7">
      <formula>ABS(H$16-H$19)&gt;=1000</formula>
    </cfRule>
  </conditionalFormatting>
  <conditionalFormatting sqref="AD5">
    <cfRule type="expression" dxfId="2695" priority="6">
      <formula>ABS(AD$7-AD$10)&gt;=1000</formula>
    </cfRule>
  </conditionalFormatting>
  <conditionalFormatting sqref="AE5">
    <cfRule type="expression" dxfId="2694" priority="5">
      <formula>ABS(AE$7-AE$10)&gt;=1000</formula>
    </cfRule>
  </conditionalFormatting>
  <conditionalFormatting sqref="T16">
    <cfRule type="expression" dxfId="2693" priority="4">
      <formula>ABS(T$16-T$19)&gt;=1000</formula>
    </cfRule>
  </conditionalFormatting>
  <conditionalFormatting sqref="O23">
    <cfRule type="expression" dxfId="2692" priority="3">
      <formula>ABS(O$25-O$28)&gt;=1000</formula>
    </cfRule>
  </conditionalFormatting>
  <conditionalFormatting sqref="F14">
    <cfRule type="expression" dxfId="2691" priority="2">
      <formula>ABS(F$16-F$19)&gt;=1000</formula>
    </cfRule>
  </conditionalFormatting>
  <conditionalFormatting sqref="R14">
    <cfRule type="expression" dxfId="2690" priority="1">
      <formula>ABS(R$16-R$19)&gt;=1000</formula>
    </cfRule>
  </conditionalFormatting>
  <dataValidations count="1">
    <dataValidation operator="greaterThanOrEqual" allowBlank="1" showErrorMessage="1" sqref="D6"/>
  </dataValidations>
  <printOptions horizontalCentered="1"/>
  <pageMargins left="0.39370078740157483" right="0.39370078740157483" top="0.39370078740157483" bottom="0.39370078740157483" header="0.51181102362204722" footer="0.51181102362204722"/>
  <pageSetup paperSize="9" scale="60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51169" r:id="rId4" name="Button 1">
              <controlPr defaultSize="0" print="0" autoFill="0" autoPict="0">
                <anchor moveWithCells="1">
                  <from>
                    <xdr:col>31</xdr:col>
                    <xdr:colOff>0</xdr:colOff>
                    <xdr:row>0</xdr:row>
                    <xdr:rowOff>342900</xdr:rowOff>
                  </from>
                  <to>
                    <xdr:col>32</xdr:col>
                    <xdr:colOff>411480</xdr:colOff>
                    <xdr:row>3</xdr:row>
                    <xdr:rowOff>30480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966">
    <pageSetUpPr fitToPage="1"/>
  </sheetPr>
  <dimension ref="A1:CU223"/>
  <sheetViews>
    <sheetView view="pageBreakPreview" topLeftCell="B10" zoomScale="85" zoomScaleNormal="100" zoomScaleSheetLayoutView="85" workbookViewId="0">
      <selection activeCell="O23" sqref="O23"/>
    </sheetView>
  </sheetViews>
  <sheetFormatPr defaultColWidth="8.109375" defaultRowHeight="25.8"/>
  <cols>
    <col min="1" max="1" width="11.6640625" style="64" customWidth="1" phonetic="1"/>
    <col min="2" max="2" width="7.6640625" style="64" customWidth="1" phonetic="1"/>
    <col min="3" max="3" width="8" style="64" customWidth="1" phonetic="1"/>
    <col min="4" max="8" width="7.6640625" style="64" customWidth="1" phonetic="1"/>
    <col min="9" max="9" width="8" style="64" customWidth="1" phonetic="1"/>
    <col min="10" max="12" width="7.6640625" style="64" customWidth="1" phonetic="1"/>
    <col min="13" max="13" width="7.77734375" style="64" bestFit="1" customWidth="1" phonetic="1"/>
    <col min="14" max="30" width="7.6640625" style="64" customWidth="1" phonetic="1"/>
    <col min="31" max="31" width="7.6640625" style="75" customWidth="1" phonetic="1"/>
    <col min="32" max="32" width="11.6640625" style="64" bestFit="1" customWidth="1" phonetic="1"/>
    <col min="33" max="33" width="22.109375" style="64" customWidth="1" phonetic="1"/>
    <col min="34" max="34" width="5.6640625" style="64" customWidth="1" phonetic="1"/>
    <col min="35" max="35" width="18.21875" style="64" customWidth="1" phonetic="1"/>
    <col min="36" max="36" width="12" style="64" bestFit="1" customWidth="1" phonetic="1"/>
    <col min="37" max="37" width="11.6640625" style="64" bestFit="1" customWidth="1" phonetic="1"/>
    <col min="38" max="38" width="5.6640625" style="64" customWidth="1" phonetic="1"/>
    <col min="39" max="39" width="11.44140625" style="64" bestFit="1" customWidth="1" phonetic="1"/>
    <col min="40" max="40" width="6.21875" style="64" customWidth="1" phonetic="1"/>
    <col min="41" max="41" width="8.6640625" style="64" customWidth="1" phonetic="1"/>
    <col min="42" max="42" width="11.21875" style="64" customWidth="1" phonetic="1"/>
    <col min="43" max="43" width="11.77734375" style="64" customWidth="1" phonetic="1"/>
    <col min="44" max="44" width="11.21875" style="64" customWidth="1" phonetic="1"/>
    <col min="45" max="45" width="11.21875" style="64" bestFit="1" customWidth="1" phonetic="1"/>
    <col min="46" max="46" width="41.77734375" style="64" customWidth="1" phonetic="1"/>
    <col min="47" max="47" width="7.77734375" style="64" customWidth="1" phonetic="1"/>
    <col min="48" max="48" width="17.109375" style="64" customWidth="1" phonetic="1"/>
    <col min="49" max="49" width="6.21875" style="64" customWidth="1" phonetic="1"/>
    <col min="50" max="50" width="10" style="64" customWidth="1" phonetic="1"/>
    <col min="51" max="51" width="6.21875" style="64" customWidth="1" phonetic="1"/>
    <col min="52" max="52" width="6.88671875" style="64" customWidth="1" phonetic="1"/>
    <col min="53" max="53" width="6.44140625" style="64" customWidth="1" phonetic="1"/>
    <col min="54" max="54" width="15.44140625" style="64" customWidth="1" phonetic="1"/>
    <col min="55" max="55" width="6.21875" style="64" customWidth="1" phonetic="1"/>
    <col min="56" max="56" width="22.109375" style="64" bestFit="1" customWidth="1" phonetic="1"/>
    <col min="57" max="57" width="6.44140625" style="64" customWidth="1" phonetic="1"/>
    <col min="58" max="60" width="6.21875" style="64" customWidth="1" phonetic="1"/>
    <col min="61" max="16384" width="8.109375" style="64" phonetic="1"/>
  </cols>
  <sheetData>
    <row r="1" spans="1:99" ht="31.2" ph="1">
      <c r="A1" s="64"/>
      <c r="B1" s="238" t="s" ph="1">
        <v>161</v>
      </c>
      <c r="C1" s="238" ph="1"/>
      <c r="D1" s="238" ph="1"/>
      <c r="E1" s="238" ph="1"/>
      <c r="F1" s="238" ph="1"/>
      <c r="G1" s="238" ph="1"/>
      <c r="H1" s="238" ph="1"/>
      <c r="I1" s="238" ph="1"/>
      <c r="J1" s="238" ph="1"/>
      <c r="K1" s="238" ph="1"/>
      <c r="L1" s="238" ph="1"/>
      <c r="M1" s="238" ph="1"/>
      <c r="N1" s="238" ph="1"/>
      <c r="O1" s="238" ph="1"/>
      <c r="P1" s="238" ph="1"/>
      <c r="Q1" s="238" ph="1"/>
      <c r="R1" s="238" ph="1"/>
      <c r="S1" s="238" ph="1"/>
      <c r="T1" s="238" ph="1"/>
      <c r="U1" s="238" ph="1"/>
      <c r="V1" s="238" ph="1"/>
      <c r="W1" s="238" ph="1"/>
      <c r="X1" s="238" ph="1"/>
      <c r="Y1" s="238" ph="1"/>
      <c r="Z1" s="238" ph="1"/>
      <c r="AA1" s="238" ph="1"/>
      <c r="AB1" s="238" ph="1"/>
      <c r="AC1" s="238" ph="1"/>
      <c r="AD1" s="238" ph="1"/>
      <c r="AE1" s="238" ph="1"/>
    </row>
    <row r="2" spans="1:99" s="66" customFormat="1" ht="24" customHeight="1" ph="1">
      <c r="B2" s="239" t="s" ph="1">
        <v>82</v>
      </c>
      <c r="C2" s="239" ph="1"/>
      <c r="D2" s="239" ph="1"/>
      <c r="E2" s="239" ph="1"/>
      <c r="F2" s="239" ph="1"/>
      <c r="G2" s="239" ph="1"/>
      <c r="H2" s="239" ph="1"/>
      <c r="I2" s="239" ph="1"/>
      <c r="J2" s="239" ph="1"/>
      <c r="K2" s="239" ph="1"/>
      <c r="L2" s="239" ph="1"/>
      <c r="M2" s="239" ph="1"/>
      <c r="N2" s="239" ph="1"/>
      <c r="O2" s="239" ph="1"/>
      <c r="P2" s="239" ph="1"/>
      <c r="Q2" s="239" ph="1"/>
      <c r="R2" s="239" ph="1"/>
      <c r="S2" s="239" ph="1"/>
      <c r="T2" s="239" ph="1"/>
      <c r="U2" s="239" ph="1"/>
      <c r="V2" s="239" ph="1"/>
      <c r="W2" s="239" ph="1"/>
      <c r="X2" s="239" ph="1"/>
      <c r="Y2" s="239" ph="1"/>
      <c r="Z2" s="239" ph="1"/>
      <c r="AA2" s="239" ph="1"/>
      <c r="AB2" s="239" ph="1"/>
      <c r="AC2" s="239" ph="1"/>
      <c r="AD2" s="239" ph="1"/>
      <c r="AE2" s="239" ph="1"/>
    </row>
    <row r="3" spans="1:99" ht="21" customHeight="1" ph="1">
      <c r="B3" s="240" ph="1">
        <v>46266</v>
      </c>
      <c r="C3" s="240"/>
      <c r="D3" s="240"/>
      <c r="E3" s="240"/>
      <c r="F3" s="240"/>
      <c r="G3" s="240"/>
      <c r="H3" s="240"/>
      <c r="I3" s="240"/>
      <c r="J3" s="240"/>
      <c r="K3" s="240"/>
      <c r="L3" s="240"/>
      <c r="M3" s="240"/>
      <c r="N3" s="240"/>
      <c r="O3" s="240"/>
      <c r="P3" s="240"/>
      <c r="Q3" s="240"/>
      <c r="R3" s="240"/>
      <c r="S3" s="240"/>
      <c r="T3" s="240"/>
      <c r="U3" s="240"/>
      <c r="V3" s="240"/>
      <c r="W3" s="240"/>
      <c r="X3" s="240"/>
      <c r="Y3" s="240"/>
      <c r="Z3" s="240"/>
      <c r="AA3" s="240"/>
      <c r="AB3" s="240"/>
      <c r="AC3" s="240"/>
      <c r="AD3" s="240"/>
      <c r="AE3" s="240"/>
    </row>
    <row r="4" spans="1:99" s="69" customFormat="1" ph="1">
      <c r="A4" s="65" ph="1"/>
      <c r="B4" s="219" t="s" ph="1">
        <v>37</v>
      </c>
      <c r="C4" s="67" t="s" ph="1">
        <v>176</v>
      </c>
      <c r="D4" s="68" t="s" ph="1">
        <v>44</v>
      </c>
      <c r="E4" s="68" t="s" ph="1">
        <v>45</v>
      </c>
      <c r="F4" s="68" t="s" ph="1">
        <v>39</v>
      </c>
      <c r="G4" s="68" t="s" ph="1">
        <v>46</v>
      </c>
      <c r="H4" s="68" t="s" ph="1">
        <v>47</v>
      </c>
      <c r="I4" s="68" t="s" ph="1">
        <v>110</v>
      </c>
      <c r="J4" s="68" t="s" ph="1">
        <v>48</v>
      </c>
      <c r="K4" s="68" t="s" ph="1">
        <v>111</v>
      </c>
      <c r="L4" s="68" t="s" ph="1">
        <v>112</v>
      </c>
      <c r="M4" s="68" t="s" ph="1">
        <v>49</v>
      </c>
      <c r="N4" s="68" t="s" ph="1">
        <v>50</v>
      </c>
      <c r="O4" s="68" t="s" ph="1">
        <v>113</v>
      </c>
      <c r="P4" s="68" t="s" ph="1">
        <v>114</v>
      </c>
      <c r="Q4" s="68" t="s" ph="1">
        <v>115</v>
      </c>
      <c r="R4" s="68" t="s" ph="1">
        <v>116</v>
      </c>
      <c r="S4" s="68" t="s" ph="1">
        <v>117</v>
      </c>
      <c r="T4" s="68" t="s" ph="1">
        <v>118</v>
      </c>
      <c r="U4" s="68" t="s" ph="1">
        <v>119</v>
      </c>
      <c r="V4" s="68" t="s" ph="1">
        <v>120</v>
      </c>
      <c r="W4" s="68" t="s" ph="1">
        <v>121</v>
      </c>
      <c r="X4" s="68" t="s" ph="1">
        <v>122</v>
      </c>
      <c r="Y4" s="68" t="s" ph="1">
        <v>123</v>
      </c>
      <c r="Z4" s="68" t="s" ph="1">
        <v>51</v>
      </c>
      <c r="AA4" s="68" t="s" ph="1">
        <v>124</v>
      </c>
      <c r="AB4" s="68" t="s" ph="1">
        <v>125</v>
      </c>
      <c r="AC4" s="68" t="s" ph="1">
        <v>126</v>
      </c>
      <c r="AD4" s="68" t="s" ph="1">
        <v>40</v>
      </c>
      <c r="AE4" s="68" t="s" ph="1">
        <v>127</v>
      </c>
      <c r="AF4" s="65" ph="1"/>
      <c r="AG4" s="65" ph="1"/>
      <c r="AH4" s="65" ph="1"/>
      <c r="AI4" s="65" ph="1"/>
      <c r="AJ4" s="65" ph="1"/>
      <c r="AK4" s="65" ph="1"/>
      <c r="AL4" s="65" ph="1"/>
      <c r="AM4" s="65" ph="1"/>
      <c r="AN4" s="65" ph="1"/>
      <c r="AO4" s="65" ph="1"/>
      <c r="AP4" s="65" ph="1"/>
      <c r="AQ4" s="65" ph="1"/>
      <c r="AR4" s="65" ph="1"/>
      <c r="AS4" s="65" ph="1"/>
      <c r="AT4" s="65" ph="1"/>
      <c r="AU4" s="65" ph="1"/>
      <c r="AV4" s="65" ph="1"/>
      <c r="AW4" s="65" ph="1"/>
      <c r="AX4" s="65" ph="1"/>
      <c r="AY4" s="65" ph="1"/>
      <c r="AZ4" s="65" ph="1"/>
      <c r="BA4" s="65" ph="1"/>
      <c r="BB4" s="65" ph="1"/>
      <c r="BC4" s="65" ph="1"/>
      <c r="BD4" s="65" ph="1"/>
      <c r="BE4" s="65" ph="1"/>
      <c r="BF4" s="65" ph="1"/>
      <c r="BG4" s="65" ph="1"/>
      <c r="BH4" s="65" ph="1"/>
      <c r="BI4" s="65" ph="1"/>
      <c r="BJ4" s="65" ph="1"/>
      <c r="BK4" s="65" ph="1"/>
      <c r="BL4" s="65" ph="1"/>
      <c r="BM4" s="65" ph="1"/>
      <c r="BN4" s="65" ph="1"/>
      <c r="BO4" s="65" ph="1"/>
      <c r="BP4" s="65" ph="1"/>
      <c r="BQ4" s="65" ph="1"/>
      <c r="BR4" s="65" ph="1"/>
      <c r="BS4" s="65" ph="1"/>
      <c r="BT4" s="65" ph="1"/>
      <c r="BU4" s="65" ph="1"/>
      <c r="BV4" s="65" ph="1"/>
      <c r="BW4" s="65" ph="1"/>
      <c r="BX4" s="65" ph="1"/>
      <c r="BY4" s="65" ph="1"/>
      <c r="BZ4" s="65" ph="1"/>
      <c r="CA4" s="65" ph="1"/>
      <c r="CB4" s="65" ph="1"/>
      <c r="CC4" s="65" ph="1"/>
      <c r="CD4" s="65" ph="1"/>
      <c r="CE4" s="65" ph="1"/>
      <c r="CF4" s="65" ph="1"/>
      <c r="CG4" s="65" ph="1"/>
      <c r="CH4" s="65" ph="1"/>
      <c r="CI4" s="65" ph="1"/>
      <c r="CJ4" s="65" ph="1"/>
      <c r="CK4" s="65" ph="1"/>
      <c r="CL4" s="65" ph="1"/>
      <c r="CM4" s="65" ph="1"/>
      <c r="CN4" s="65" ph="1"/>
      <c r="CO4" s="65" ph="1"/>
      <c r="CP4" s="65" ph="1"/>
      <c r="CQ4" s="65" ph="1"/>
      <c r="CR4" s="65" ph="1"/>
      <c r="CS4" s="65" ph="1"/>
      <c r="CT4" s="65" ph="1"/>
      <c r="CU4" s="65" ph="1"/>
    </row>
    <row r="5" spans="1:99" s="69" customFormat="1" ht="29.25" customHeight="1" ph="1">
      <c r="A5" s="65" ph="1"/>
      <c r="B5" s="219" ph="1"/>
      <c r="C5" s="67" t="s" ph="1">
        <v>36</v>
      </c>
      <c r="D5" s="70" t="s" ph="1">
        <v>160</v>
      </c>
      <c r="E5" s="142" t="s" ph="1">
        <v>617</v>
      </c>
      <c r="F5" s="142" t="s" ph="1">
        <v>1</v>
      </c>
      <c r="G5" s="142" t="s" ph="1">
        <v>7</v>
      </c>
      <c r="H5" s="142" t="s" ph="1">
        <v>7</v>
      </c>
      <c r="I5" s="141" t="s" ph="1">
        <v>608</v>
      </c>
      <c r="J5" s="141" t="s" ph="1">
        <v>609</v>
      </c>
      <c r="K5" s="141" t="s" ph="1">
        <v>611</v>
      </c>
      <c r="L5" s="141" t="s" ph="1">
        <v>613</v>
      </c>
      <c r="M5" s="141" t="s" ph="1">
        <v>608</v>
      </c>
      <c r="N5" s="70" t="s" ph="1">
        <v>609</v>
      </c>
      <c r="O5" s="70" t="s" ph="1">
        <v>611</v>
      </c>
      <c r="P5" s="70" t="s" ph="1">
        <v>613</v>
      </c>
      <c r="Q5" s="70" t="s" ph="1">
        <v>607</v>
      </c>
      <c r="R5" s="70" t="s" ph="1">
        <v>607</v>
      </c>
      <c r="S5" s="70" t="s" ph="1">
        <v>607</v>
      </c>
      <c r="T5" s="70" t="s" ph="1">
        <v>607</v>
      </c>
      <c r="U5" s="70" t="s" ph="1">
        <v>607</v>
      </c>
      <c r="V5" s="70" t="s" ph="1">
        <v>607</v>
      </c>
      <c r="W5" s="70" t="s" ph="1">
        <v>607</v>
      </c>
      <c r="X5" s="70" t="s" ph="1">
        <v>607</v>
      </c>
      <c r="Y5" s="70" t="s" ph="1">
        <v>607</v>
      </c>
      <c r="Z5" s="70" t="s" ph="1">
        <v>614</v>
      </c>
      <c r="AA5" s="70" t="s" ph="1">
        <v>54</v>
      </c>
      <c r="AB5" s="70" t="s" ph="1">
        <v>54</v>
      </c>
      <c r="AC5" s="70" t="s" ph="1">
        <v>615</v>
      </c>
      <c r="AD5" s="71" t="s">
        <v>72</v>
      </c>
      <c r="AE5" s="71" t="s">
        <v>635</v>
      </c>
      <c r="AF5" s="65" ph="1"/>
      <c r="AG5" s="65" ph="1"/>
      <c r="AH5" s="65" ph="1"/>
      <c r="AI5" s="65" ph="1"/>
      <c r="AJ5" s="65" ph="1"/>
      <c r="AK5" s="65" ph="1"/>
      <c r="AL5" s="65" ph="1"/>
      <c r="AM5" s="65" ph="1"/>
      <c r="AN5" s="65" ph="1"/>
      <c r="AO5" s="65" ph="1"/>
      <c r="AP5" s="65" ph="1"/>
      <c r="AQ5" s="65" ph="1"/>
      <c r="AR5" s="65" ph="1"/>
      <c r="AS5" s="65" ph="1"/>
      <c r="AT5" s="65" ph="1"/>
      <c r="AU5" s="65" ph="1"/>
      <c r="AV5" s="65" ph="1"/>
      <c r="AW5" s="65" ph="1"/>
      <c r="AX5" s="65" ph="1"/>
      <c r="AY5" s="65" ph="1"/>
      <c r="AZ5" s="65" ph="1"/>
      <c r="BA5" s="65" ph="1"/>
      <c r="BB5" s="65" ph="1"/>
      <c r="BC5" s="65" ph="1"/>
      <c r="BD5" s="65" ph="1"/>
      <c r="BE5" s="65" ph="1"/>
      <c r="BF5" s="65" ph="1"/>
      <c r="BG5" s="65" ph="1"/>
      <c r="BH5" s="65" ph="1"/>
      <c r="BI5" s="65" ph="1"/>
      <c r="BJ5" s="65" ph="1"/>
      <c r="BK5" s="65" ph="1"/>
      <c r="BL5" s="65" ph="1"/>
      <c r="BM5" s="65" ph="1"/>
      <c r="BN5" s="65" ph="1"/>
      <c r="BO5" s="65" ph="1"/>
      <c r="BP5" s="65" ph="1"/>
      <c r="BQ5" s="65" ph="1"/>
      <c r="BR5" s="65" ph="1"/>
      <c r="BS5" s="65" ph="1"/>
      <c r="BT5" s="65" ph="1"/>
      <c r="BU5" s="65" ph="1"/>
      <c r="BV5" s="65" ph="1"/>
      <c r="BW5" s="65" ph="1"/>
      <c r="BX5" s="65" ph="1"/>
      <c r="BY5" s="65" ph="1"/>
      <c r="BZ5" s="65" ph="1"/>
      <c r="CA5" s="65" ph="1"/>
      <c r="CB5" s="65" ph="1"/>
      <c r="CC5" s="65" ph="1"/>
      <c r="CD5" s="65" ph="1"/>
      <c r="CE5" s="65" ph="1"/>
      <c r="CF5" s="65" ph="1"/>
      <c r="CG5" s="65" ph="1"/>
      <c r="CH5" s="65" ph="1"/>
      <c r="CI5" s="65" ph="1"/>
      <c r="CJ5" s="65" ph="1"/>
      <c r="CK5" s="65" ph="1"/>
      <c r="CL5" s="65" ph="1"/>
      <c r="CM5" s="65" ph="1"/>
      <c r="CN5" s="65" ph="1"/>
      <c r="CO5" s="65" ph="1"/>
      <c r="CP5" s="65" ph="1"/>
      <c r="CQ5" s="65" ph="1"/>
      <c r="CR5" s="65" ph="1"/>
      <c r="CS5" s="65" ph="1"/>
      <c r="CT5" s="65" ph="1"/>
      <c r="CU5" s="65" ph="1"/>
    </row>
    <row r="6" spans="1:99" ph="1">
      <c r="B6" s="237" ph="1">
        <v>0.33333333333333331</v>
      </c>
      <c r="C6" s="147" t="s" ph="1">
        <v>177</v>
      </c>
      <c r="D6" s="71">
        <v>2781</v>
      </c>
      <c r="E6" s="71">
        <v>3573</v>
      </c>
      <c r="F6" s="71">
        <v>4660</v>
      </c>
      <c r="G6" s="71">
        <v>921</v>
      </c>
      <c r="H6" s="71">
        <v>4567</v>
      </c>
      <c r="I6" s="71">
        <v>17.53</v>
      </c>
      <c r="J6" s="71">
        <v>76.599999999999994</v>
      </c>
      <c r="K6" s="71">
        <v>87.51</v>
      </c>
      <c r="L6" s="71">
        <v>7.05</v>
      </c>
      <c r="M6" s="71">
        <v>3647</v>
      </c>
      <c r="N6" s="71">
        <v>2188</v>
      </c>
      <c r="O6" s="71">
        <v>3750</v>
      </c>
      <c r="P6" s="71">
        <v>1485</v>
      </c>
      <c r="Q6" s="71">
        <v>2669</v>
      </c>
      <c r="R6" s="71">
        <v>7079</v>
      </c>
      <c r="S6" s="71">
        <v>5369</v>
      </c>
      <c r="T6" s="71">
        <v>7029</v>
      </c>
      <c r="U6" s="71">
        <v>5948</v>
      </c>
      <c r="V6" s="71">
        <v>5960</v>
      </c>
      <c r="W6" s="71">
        <v>2978</v>
      </c>
      <c r="X6" s="71">
        <v>2575</v>
      </c>
      <c r="Y6" s="71">
        <v>0</v>
      </c>
      <c r="Z6" s="71">
        <v>5371</v>
      </c>
      <c r="AA6" s="71">
        <v>1301</v>
      </c>
      <c r="AB6" s="71">
        <v>1913</v>
      </c>
      <c r="AC6" s="71">
        <v>5851</v>
      </c>
      <c r="AD6" s="71">
        <v>3327</v>
      </c>
      <c r="AE6" s="71">
        <v>5713</v>
      </c>
    </row>
    <row r="7" spans="1:99" s="72" customFormat="1" ht="22.2" ph="1">
      <c r="B7" s="237" ph="1"/>
      <c r="C7" s="68" t="s" ph="1">
        <v>178</v>
      </c>
      <c r="D7" s="73" ph="1">
        <f>D6*33.183*LOOKUP(D8,密度!$A$2:$A$50,密度!$Q$2:$Q$50)</f>
        <v>87235.947450360007</v>
      </c>
      <c r="E7" s="73" ph="1">
        <f>E6*51.53*LOOKUP(E8,密度!$A$2:$A$50,密度!$B$2:$B$50)</f>
        <v>143537.37152399999</v>
      </c>
      <c r="F7" s="73" ph="1">
        <f>F6*33.183*LOOKUP(F8,密度!$A$2:$A$50,密度!$C$2:$C$50)</f>
        <v>171472.28974199999</v>
      </c>
      <c r="G7" s="73" ph="1">
        <f xml:space="preserve"> (G6+2)*51.53*LOOKUP(G8,密度!$A$2:$A$50,密度!$B$2:$B$50)</f>
        <v>37036.677352999999</v>
      </c>
      <c r="H7" s="73" ph="1">
        <f>(H6)*51.53*LOOKUP(H8,密度!$A$2:$A$50,密度!$B$2:$B$50)</f>
        <v>183680.92655500001</v>
      </c>
      <c r="I7" s="73" ph="1">
        <f>I6*290.8*1.0267</f>
        <v>5233.8332307999999</v>
      </c>
      <c r="J7" s="73" ph="1">
        <f>J6*290.8*0.7892</f>
        <v>17579.650976000001</v>
      </c>
      <c r="K7" s="73" ph="1">
        <f>K6*290.8*1.1126</f>
        <v>28313.342440800003</v>
      </c>
      <c r="L7" s="73" ph="1">
        <f>L6*290.8*0.777</f>
        <v>1592.9587799999999</v>
      </c>
      <c r="M7" s="73" ph="1">
        <f>M6*33.183*LOOKUP(M8,密度!$A$2:$A$50,密度!$D$2:$D$50)</f>
        <v>124140.67574580001</v>
      </c>
      <c r="N7" s="73" ph="1">
        <f>N6*33.183*LOOKUP(N8,密度!$A$2:$A$50,密度!$E$2:$E$50)</f>
        <v>56704.039524</v>
      </c>
      <c r="O7" s="73" ph="1">
        <f>O6*20.428*LOOKUP(O8,密度!$A$2:$A$50,密度!$C$2:$C$50)</f>
        <v>84656.185499999992</v>
      </c>
      <c r="P7" s="73" ph="1">
        <f>P6*51.53*LOOKUP(P8,密度!$A$2:$A$50,密度!$B$2:$B$50)</f>
        <v>59725.460025</v>
      </c>
      <c r="Q7" s="73" ph="1">
        <f>Q6*1.5*1.5*3.1416*LOOKUP(W8,密度!$A$2:$A$50,密度!$L$2:$L$50)</f>
        <v>17696.395609199997</v>
      </c>
      <c r="R7" s="73" ph="1">
        <f>R6*1.5*1.5*3.1416*LOOKUP(R8,密度!$A$2:$A$50,密度!$L$2:$L$50)</f>
        <v>46435.8388032</v>
      </c>
      <c r="S7" s="73" ph="1">
        <f>S6*1.5*1.5*3.1416*LOOKUP(S8,密度!$A$2:$A$50,密度!$L$2:$L$50)</f>
        <v>35598.3319692</v>
      </c>
      <c r="T7" s="73" ph="1">
        <f>T6*1.5*1.5*3.1416*LOOKUP(T8,密度!$A$2:$A$50,密度!$L$2:$L$50)</f>
        <v>46704.078035999992</v>
      </c>
      <c r="U7" s="73" ph="1">
        <f>U6*1.5*1.5*3.1416*LOOKUP(U8,密度!$A$2:$A$50,密度!$L$2:$L$50)</f>
        <v>39395.2587336</v>
      </c>
      <c r="V7" s="73" ph="1">
        <f>V6*1.5*1.5*3.1416*LOOKUP(V8,密度!$A$2:$A$50,密度!$L$2:$L$50)</f>
        <v>39390.480360000001</v>
      </c>
      <c r="W7" s="73" ph="1">
        <f>W6*1.5*1.5*3.1416*LOOKUP(W8,密度!$A$2:$A$50,密度!$L$2:$L$50)</f>
        <v>19745.172770399997</v>
      </c>
      <c r="X7" s="73" ph="1">
        <f>X6*1.5*1.5*3.1416*LOOKUP(X8,密度!$A$2:$A$50,密度!$L$2:$L$50)</f>
        <v>17218.756170000001</v>
      </c>
      <c r="Y7" s="73" ph="1">
        <f>Y6*1.5*1.5*3.1416*LOOKUP(Y8,密度!$A$2:$A$50,密度!$L$2:$L$50)</f>
        <v>0</v>
      </c>
      <c r="Z7" s="73" ph="1">
        <f>Z6*33.183*LOOKUP(Z8,密度!$A$2:$A$50,密度!$L$2:$L$50)</f>
        <v>166819.43584800002</v>
      </c>
      <c r="AA7" s="73" ph="1">
        <f>AA6*33.183*LOOKUP(AA8,密度!$A$2:$A$50,密度!$D$2:$D$50)</f>
        <v>44362.604890800001</v>
      </c>
      <c r="AB7" s="73" ph="1">
        <f>AB6*20.428*LOOKUP(AB8,密度!$A$2:$A$50,密度!$D$2:$D$50)</f>
        <v>40305.83718960001</v>
      </c>
      <c r="AC7" s="73" ph="1">
        <f>AC6*51.53*LOOKUP(AC8,密度!$A$2:$A$50,密度!$Q$2:$Q$50)</f>
        <v>285444.03188220004</v>
      </c>
      <c r="AD7" s="73" ph="1">
        <f>AD6*20.428*LOOKUP(AD8,密度!$A$2:$A$50,密度!$V$2:$V$50)</f>
        <v>65082.284265600007</v>
      </c>
      <c r="AE7" s="73" ph="1">
        <f>AE6*20.428</f>
        <v>116705.164</v>
      </c>
    </row>
    <row r="8" spans="1:99" ph="1">
      <c r="B8" s="237" ph="1"/>
      <c r="C8" s="68" t="s" ph="1">
        <v>179</v>
      </c>
      <c r="D8" s="74">
        <v>27</v>
      </c>
      <c r="E8" s="74">
        <v>25</v>
      </c>
      <c r="F8" s="74">
        <v>25</v>
      </c>
      <c r="G8" s="74">
        <v>26</v>
      </c>
      <c r="H8" s="74">
        <v>24</v>
      </c>
      <c r="I8" s="74">
        <v>25</v>
      </c>
      <c r="J8" s="74">
        <v>25</v>
      </c>
      <c r="K8" s="74">
        <v>25</v>
      </c>
      <c r="L8" s="74">
        <v>25</v>
      </c>
      <c r="M8" s="74">
        <v>26</v>
      </c>
      <c r="N8" s="74">
        <v>27</v>
      </c>
      <c r="O8" s="74">
        <v>30</v>
      </c>
      <c r="P8" s="74">
        <v>24</v>
      </c>
      <c r="Q8" s="74">
        <v>30</v>
      </c>
      <c r="R8" s="74">
        <v>34</v>
      </c>
      <c r="S8" s="74">
        <v>24</v>
      </c>
      <c r="T8" s="74">
        <v>22</v>
      </c>
      <c r="U8" s="74">
        <v>25</v>
      </c>
      <c r="V8" s="74">
        <v>27</v>
      </c>
      <c r="W8" s="74">
        <v>24</v>
      </c>
      <c r="X8" s="74">
        <v>16</v>
      </c>
      <c r="Y8" s="74">
        <v>24</v>
      </c>
      <c r="Z8" s="74">
        <v>26</v>
      </c>
      <c r="AA8" s="74">
        <v>24</v>
      </c>
      <c r="AB8" s="74">
        <v>20</v>
      </c>
      <c r="AC8" s="74">
        <v>25</v>
      </c>
      <c r="AD8" s="74">
        <v>30</v>
      </c>
      <c r="AE8" s="74">
        <v>24</v>
      </c>
    </row>
    <row r="9" spans="1:99" ht="26.4" ph="1">
      <c r="B9" s="237" ph="1">
        <v>0.66666666666666663</v>
      </c>
      <c r="C9" s="147" t="s" ph="1">
        <v>180</v>
      </c>
      <c r="D9" s="71">
        <v>4016</v>
      </c>
      <c r="E9" s="71">
        <v>3573</v>
      </c>
      <c r="F9" s="71">
        <v>4663</v>
      </c>
      <c r="G9" s="71">
        <v>465</v>
      </c>
      <c r="H9" s="71">
        <v>5140</v>
      </c>
      <c r="I9" s="71">
        <v>17.57</v>
      </c>
      <c r="J9" s="71">
        <v>76.819999999999993</v>
      </c>
      <c r="K9" s="71">
        <v>87.84</v>
      </c>
      <c r="L9" s="71">
        <v>65.06</v>
      </c>
      <c r="M9" s="71">
        <v>3650</v>
      </c>
      <c r="N9" s="71">
        <v>2194</v>
      </c>
      <c r="O9" s="71">
        <v>3915</v>
      </c>
      <c r="P9" s="71">
        <v>1079</v>
      </c>
      <c r="Q9" s="71">
        <v>7187</v>
      </c>
      <c r="R9" s="71">
        <v>7086</v>
      </c>
      <c r="S9" s="71">
        <v>5375</v>
      </c>
      <c r="T9" s="71">
        <v>7036</v>
      </c>
      <c r="U9" s="71">
        <v>5950</v>
      </c>
      <c r="V9" s="71">
        <v>5963</v>
      </c>
      <c r="W9" s="71">
        <v>2978</v>
      </c>
      <c r="X9" s="71">
        <v>2567</v>
      </c>
      <c r="Y9" s="71">
        <v>0</v>
      </c>
      <c r="Z9" s="71">
        <v>6706</v>
      </c>
      <c r="AA9" s="71">
        <v>1304</v>
      </c>
      <c r="AB9" s="71">
        <v>1915</v>
      </c>
      <c r="AC9" s="71">
        <v>5860</v>
      </c>
      <c r="AD9" s="71">
        <v>3108</v>
      </c>
      <c r="AE9" s="71">
        <v>5685</v>
      </c>
    </row>
    <row r="10" spans="1:99" s="72" customFormat="1" ht="22.2" ph="1">
      <c r="B10" s="237" ph="1"/>
      <c r="C10" s="147" t="s" ph="1">
        <v>178</v>
      </c>
      <c r="D10" s="73" ph="1">
        <f>D9*33.183*LOOKUP(D11,密度!$A$2:$A$50,密度!$Q$2:$Q$50)</f>
        <v>125976.11109696</v>
      </c>
      <c r="E10" s="73" ph="1">
        <f>E9*51.53*LOOKUP(E11,密度!$A$2:$A$50,密度!$B$2:$B$50)</f>
        <v>143703.07654499999</v>
      </c>
      <c r="F10" s="73" ph="1">
        <f>F9*33.183*LOOKUP(F11,密度!$A$2:$A$50,密度!$C$2:$C$50)</f>
        <v>171582.67962809998</v>
      </c>
      <c r="G10" s="73" ph="1">
        <f xml:space="preserve"> (G9+2)*51.53*LOOKUP(G11,密度!$A$2:$A$50,密度!$B$2:$B$50)</f>
        <v>18719.782329000001</v>
      </c>
      <c r="H10" s="73" ph="1">
        <f>(H9)*51.53*LOOKUP(H11,密度!$A$2:$A$50,密度!$B$2:$B$50)</f>
        <v>206249.75253999999</v>
      </c>
      <c r="I10" s="73" ph="1">
        <f>I9*290.8*1.0267</f>
        <v>5245.7758052000008</v>
      </c>
      <c r="J10" s="73" ph="1">
        <f>J9*290.8*0.7892</f>
        <v>17630.1408352</v>
      </c>
      <c r="K10" s="73" ph="1">
        <f>K9*290.8*1.1126</f>
        <v>28420.111987200005</v>
      </c>
      <c r="L10" s="73" ph="1">
        <f>L9*290.8*0.777</f>
        <v>14700.411096</v>
      </c>
      <c r="M10" s="73" ph="1">
        <f>M9*33.183*LOOKUP(M11,密度!$A$2:$A$50,密度!$D$2:$D$50)</f>
        <v>124121.67515999998</v>
      </c>
      <c r="N10" s="73" ph="1">
        <f>N9*33.183*LOOKUP(N11,密度!$A$2:$A$50,密度!$E$2:$E$50)</f>
        <v>56692.08700739999</v>
      </c>
      <c r="O10" s="73" ph="1">
        <f>O9*20.428*LOOKUP(O11,密度!$A$2:$A$50,密度!$C$2:$C$50)</f>
        <v>88133.133240000025</v>
      </c>
      <c r="P10" s="73" ph="1">
        <f>P9*51.53*LOOKUP(P11,密度!$A$2:$A$50,密度!$B$2:$B$50)</f>
        <v>43251.916773000004</v>
      </c>
      <c r="Q10" s="73" ph="1">
        <f>Q9*1.5*1.5*3.1416*LOOKUP(W11,密度!$A$2:$A$50,密度!$L$2:$L$50)</f>
        <v>47601.500423400001</v>
      </c>
      <c r="R10" s="73" ph="1">
        <f>R9*1.5*1.5*3.1416*LOOKUP(R11,密度!$A$2:$A$50,密度!$L$2:$L$50)</f>
        <v>46431.668329200002</v>
      </c>
      <c r="S10" s="73" ph="1">
        <f>S9*1.5*1.5*3.1416*LOOKUP(S11,密度!$A$2:$A$50,密度!$L$2:$L$50)</f>
        <v>35486.139150000003</v>
      </c>
      <c r="T10" s="73" ph="1">
        <f>T9*1.5*1.5*3.1416*LOOKUP(T11,密度!$A$2:$A$50,密度!$L$2:$L$50)</f>
        <v>46651.120084800001</v>
      </c>
      <c r="U10" s="73" ph="1">
        <f>U9*1.5*1.5*3.1416*LOOKUP(U11,密度!$A$2:$A$50,密度!$L$2:$L$50)</f>
        <v>39408.505290000001</v>
      </c>
      <c r="V10" s="73" ph="1">
        <f>V9*1.5*1.5*3.1416*LOOKUP(V11,密度!$A$2:$A$50,密度!$L$2:$L$50)</f>
        <v>39368.157721199997</v>
      </c>
      <c r="W10" s="73" ph="1">
        <f>W9*1.5*1.5*3.1416*LOOKUP(W11,密度!$A$2:$A$50,密度!$L$2:$L$50)</f>
        <v>19724.122479599999</v>
      </c>
      <c r="X10" s="73" ph="1">
        <f>X9*1.5*1.5*3.1416*LOOKUP(X11,密度!$A$2:$A$50,密度!$L$2:$L$50)</f>
        <v>17128.970812799998</v>
      </c>
      <c r="Y10" s="73" ph="1">
        <f>Y9*1.5*1.5*3.1416*LOOKUP(Y11,密度!$A$2:$A$50,密度!$L$2:$L$50)</f>
        <v>0</v>
      </c>
      <c r="Z10" s="73" ph="1">
        <f>Z9*33.183*LOOKUP(Z11,密度!$A$2:$A$50,密度!$L$2:$L$50)</f>
        <v>208728.63572399999</v>
      </c>
      <c r="AA10" s="73" ph="1">
        <f>AA9*33.183*LOOKUP(AA11,密度!$A$2:$A$50,密度!$D$2:$D$50)</f>
        <v>44464.901443200004</v>
      </c>
      <c r="AB10" s="73" ph="1">
        <f>AB9*20.428*LOOKUP(AB11,密度!$A$2:$A$50,密度!$D$2:$D$50)</f>
        <v>40238.441132</v>
      </c>
      <c r="AC10" s="73" ph="1">
        <f>AC9*51.53*LOOKUP(AC11,密度!$A$2:$A$50,密度!$Q$2:$Q$50)</f>
        <v>285242.93399599998</v>
      </c>
      <c r="AD10" s="73" ph="1">
        <f>AD9*20.428*LOOKUP(AD11,密度!$A$2:$A$50,密度!$V$2:$V$50)</f>
        <v>60798.238502400003</v>
      </c>
      <c r="AE10" s="73" ph="1">
        <f>AE9*20.428</f>
        <v>116133.18000000001</v>
      </c>
    </row>
    <row r="11" spans="1:99" ph="1">
      <c r="A11" s="64" t="s" ph="1">
        <v>162</v>
      </c>
      <c r="B11" s="237" ph="1"/>
      <c r="C11" s="147" t="s" ph="1">
        <v>179</v>
      </c>
      <c r="D11" s="74">
        <v>27</v>
      </c>
      <c r="E11" s="74">
        <v>24</v>
      </c>
      <c r="F11" s="74">
        <v>25</v>
      </c>
      <c r="G11" s="74">
        <v>27</v>
      </c>
      <c r="H11" s="74">
        <v>26</v>
      </c>
      <c r="I11" s="74">
        <v>25</v>
      </c>
      <c r="J11" s="74">
        <v>25</v>
      </c>
      <c r="K11" s="74">
        <v>25</v>
      </c>
      <c r="L11" s="74">
        <v>25</v>
      </c>
      <c r="M11" s="74">
        <v>27</v>
      </c>
      <c r="N11" s="74">
        <v>29</v>
      </c>
      <c r="O11" s="74">
        <v>33</v>
      </c>
      <c r="P11" s="74">
        <v>27</v>
      </c>
      <c r="Q11" s="74">
        <v>32</v>
      </c>
      <c r="R11" s="74">
        <v>35</v>
      </c>
      <c r="S11" s="74">
        <v>28</v>
      </c>
      <c r="T11" s="74">
        <v>24</v>
      </c>
      <c r="U11" s="74">
        <v>25</v>
      </c>
      <c r="V11" s="74">
        <v>28</v>
      </c>
      <c r="W11" s="74">
        <v>25</v>
      </c>
      <c r="X11" s="74">
        <v>18</v>
      </c>
      <c r="Y11" s="74">
        <v>29</v>
      </c>
      <c r="Z11" s="74">
        <v>24</v>
      </c>
      <c r="AA11" s="74">
        <v>24</v>
      </c>
      <c r="AB11" s="74">
        <v>23</v>
      </c>
      <c r="AC11" s="74">
        <v>28</v>
      </c>
      <c r="AD11" s="74">
        <v>30</v>
      </c>
      <c r="AE11" s="74">
        <v>28</v>
      </c>
    </row>
    <row r="12" spans="1:99" ht="9.9" customHeight="1" ph="1"/>
    <row r="13" spans="1:99" s="72" customFormat="1" ht="29.25" customHeight="1" ph="1">
      <c r="B13" s="214" t="s" ph="1">
        <v>37</v>
      </c>
      <c r="C13" s="147" t="s" ph="1">
        <v>176</v>
      </c>
      <c r="D13" s="76" t="s" ph="1">
        <v>52</v>
      </c>
      <c r="E13" s="76" t="s" ph="1">
        <v>53</v>
      </c>
      <c r="F13" s="76" t="s" ph="1">
        <v>57</v>
      </c>
      <c r="G13" s="76" t="s" ph="1">
        <v>58</v>
      </c>
      <c r="H13" s="76" t="s" ph="1">
        <v>128</v>
      </c>
      <c r="I13" s="76" t="s" ph="1">
        <v>59</v>
      </c>
      <c r="J13" s="76" t="s" ph="1">
        <v>129</v>
      </c>
      <c r="K13" s="76" t="s" ph="1">
        <v>55</v>
      </c>
      <c r="L13" s="76" t="s" ph="1">
        <v>60</v>
      </c>
      <c r="M13" s="76" t="s" ph="1">
        <v>61</v>
      </c>
      <c r="N13" s="76" t="s" ph="1">
        <v>130</v>
      </c>
      <c r="O13" s="76" t="s" ph="1">
        <v>56</v>
      </c>
      <c r="P13" s="76" t="s" ph="1">
        <v>62</v>
      </c>
      <c r="Q13" s="76" t="s" ph="1">
        <v>63</v>
      </c>
      <c r="R13" s="76" t="s" ph="1">
        <v>64</v>
      </c>
      <c r="S13" s="76" t="s" ph="1">
        <v>65</v>
      </c>
      <c r="T13" s="76" t="s" ph="1">
        <v>66</v>
      </c>
      <c r="U13" s="76" t="s" ph="1">
        <v>67</v>
      </c>
      <c r="V13" s="76" t="s" ph="1">
        <v>131</v>
      </c>
      <c r="W13" s="76" t="s" ph="1">
        <v>132</v>
      </c>
      <c r="X13" s="76" t="s" ph="1">
        <v>133</v>
      </c>
      <c r="Y13" s="105" t="s" ph="1">
        <v>68</v>
      </c>
      <c r="Z13" s="76" t="s" ph="1">
        <v>74</v>
      </c>
      <c r="AA13" s="76" t="s" ph="1">
        <v>134</v>
      </c>
      <c r="AB13" s="76" t="s" ph="1">
        <v>135</v>
      </c>
      <c r="AC13" s="76" t="s" ph="1">
        <v>136</v>
      </c>
      <c r="AD13" s="76" t="s" ph="1">
        <v>137</v>
      </c>
      <c r="AE13" s="76" t="s" ph="1">
        <v>138</v>
      </c>
      <c r="AG13" s="72" t="s" ph="1">
        <v>325</v>
      </c>
      <c r="AH13" s="72" t="s" ph="1">
        <v>188</v>
      </c>
      <c r="AI13" s="72" t="s" ph="1">
        <v>189</v>
      </c>
      <c r="AJ13" s="72" t="s" ph="1">
        <v>190</v>
      </c>
      <c r="AK13" s="72" t="s" ph="1">
        <v>191</v>
      </c>
      <c r="AL13" s="72" t="s" ph="1">
        <v>192</v>
      </c>
      <c r="AM13" s="72" t="s" ph="1">
        <v>193</v>
      </c>
      <c r="AN13" s="72" t="s" ph="1">
        <v>194</v>
      </c>
      <c r="AO13" s="72" t="s" ph="1">
        <v>195</v>
      </c>
      <c r="AP13" s="72" t="s" ph="1">
        <v>196</v>
      </c>
      <c r="AQ13" s="72" t="s" ph="1">
        <v>197</v>
      </c>
      <c r="AR13" s="72" t="s" ph="1">
        <v>198</v>
      </c>
      <c r="AS13" s="72" t="s" ph="1">
        <v>199</v>
      </c>
      <c r="AT13" s="72" t="s" ph="1">
        <v>200</v>
      </c>
      <c r="AU13" s="72" t="s" ph="1">
        <v>201</v>
      </c>
      <c r="AV13" s="72" t="s" ph="1">
        <v>202</v>
      </c>
      <c r="AW13" s="72" t="s" ph="1">
        <v>203</v>
      </c>
      <c r="AX13" s="72" t="s" ph="1">
        <v>204</v>
      </c>
      <c r="AY13" s="72" t="s" ph="1">
        <v>326</v>
      </c>
      <c r="AZ13" s="72" t="s" ph="1">
        <v>205</v>
      </c>
      <c r="BA13" s="72" t="s" ph="1">
        <v>206</v>
      </c>
      <c r="BB13" s="72" t="s" ph="1">
        <v>591</v>
      </c>
      <c r="BC13" s="72" t="s" ph="1">
        <v>207</v>
      </c>
      <c r="BD13" s="72" t="s" ph="1">
        <v>327</v>
      </c>
      <c r="BE13" s="72" t="s" ph="1">
        <v>328</v>
      </c>
      <c r="BF13" s="72" t="s" ph="1">
        <v>329</v>
      </c>
      <c r="BG13" s="72" t="s" ph="1">
        <v>330</v>
      </c>
      <c r="BH13" s="72" t="s" ph="1">
        <v>331</v>
      </c>
    </row>
    <row r="14" spans="1:99" s="72" customFormat="1" ht="24" ph="1">
      <c r="B14" s="215" ph="1"/>
      <c r="C14" s="67" t="s" ph="1">
        <v>36</v>
      </c>
      <c r="D14" s="77" t="s" ph="1">
        <v>616</v>
      </c>
      <c r="E14" s="77" t="s" ph="1">
        <v>616</v>
      </c>
      <c r="F14" s="77" t="s" ph="1">
        <v>639</v>
      </c>
      <c r="G14" s="77" t="s" ph="1">
        <v>617</v>
      </c>
      <c r="H14" s="77" t="s" ph="1">
        <v>636</v>
      </c>
      <c r="I14" s="138" t="s" ph="1">
        <v>618</v>
      </c>
      <c r="J14" s="77" t="s" ph="1">
        <v>619</v>
      </c>
      <c r="K14" s="77" t="s" ph="1">
        <v>186</v>
      </c>
      <c r="L14" s="77" t="s" ph="1">
        <v>41</v>
      </c>
      <c r="M14" s="104" t="s" ph="1">
        <v>620</v>
      </c>
      <c r="N14" s="104" t="s" ph="1">
        <v>621</v>
      </c>
      <c r="O14" s="104" t="s" ph="1">
        <v>637</v>
      </c>
      <c r="P14" s="77" t="s" ph="1">
        <v>622</v>
      </c>
      <c r="Q14" s="77" t="s" ph="1">
        <v>622</v>
      </c>
      <c r="R14" s="77" t="s" ph="1">
        <v>622</v>
      </c>
      <c r="S14" s="77" t="s" ph="1">
        <v>622</v>
      </c>
      <c r="T14" s="77" t="s" ph="1">
        <v>624</v>
      </c>
      <c r="U14" s="77" t="s" ph="1">
        <v>605</v>
      </c>
      <c r="V14" s="77" t="s" ph="1">
        <v>633</v>
      </c>
      <c r="W14" s="77" t="s" ph="1">
        <v>622</v>
      </c>
      <c r="X14" s="77" t="s" ph="1">
        <v>625</v>
      </c>
      <c r="Y14" s="143" t="s" ph="1">
        <v>0</v>
      </c>
      <c r="Z14" s="77" t="s" ph="1">
        <v>54</v>
      </c>
      <c r="AA14" s="77" t="s" ph="1">
        <v>613</v>
      </c>
      <c r="AB14" s="77" t="s" ph="1">
        <v>632</v>
      </c>
      <c r="AC14" s="77" t="s" ph="1">
        <v>632</v>
      </c>
      <c r="AD14" s="77" t="s" ph="1">
        <v>612</v>
      </c>
      <c r="AE14" s="77" t="s" ph="1">
        <v>612</v>
      </c>
      <c r="AG14" s="72" t="s" ph="1">
        <v>208</v>
      </c>
      <c r="AI14" s="72" t="s" ph="1">
        <v>209</v>
      </c>
      <c r="AJ14" s="72" t="s" ph="1">
        <v>332</v>
      </c>
      <c r="AK14" s="72" t="s" ph="1">
        <v>210</v>
      </c>
      <c r="AM14" s="72" t="s" ph="1">
        <v>212</v>
      </c>
      <c r="AN14" s="72" t="s" ph="1">
        <v>210</v>
      </c>
      <c r="AO14" s="72" t="s" ph="1">
        <v>211</v>
      </c>
      <c r="AP14" s="72" t="s" ph="1">
        <v>212</v>
      </c>
      <c r="AQ14" s="72" t="s" ph="1">
        <v>210</v>
      </c>
      <c r="AR14" s="72" t="s" ph="1">
        <v>211</v>
      </c>
      <c r="AS14" s="72" t="s" ph="1">
        <v>212</v>
      </c>
      <c r="AT14" s="72" t="s" ph="1">
        <v>210</v>
      </c>
      <c r="AU14" s="72" t="s" ph="1">
        <v>211</v>
      </c>
      <c r="AV14" s="72" t="s" ph="1">
        <v>212</v>
      </c>
      <c r="AW14" s="72" t="s" ph="1">
        <v>210</v>
      </c>
      <c r="AX14" s="72" t="s" ph="1">
        <v>211</v>
      </c>
      <c r="AY14" s="72" t="s" ph="1">
        <v>212</v>
      </c>
      <c r="AZ14" s="72" t="s" ph="1">
        <v>211</v>
      </c>
    </row>
    <row r="15" spans="1:99" ph="1">
      <c r="B15" s="216" ph="1">
        <v>0.33333333333333331</v>
      </c>
      <c r="C15" s="147" t="s" ph="1">
        <v>177</v>
      </c>
      <c r="D15" s="78">
        <v>0</v>
      </c>
      <c r="E15" s="78">
        <v>5519</v>
      </c>
      <c r="F15" s="78">
        <v>3217</v>
      </c>
      <c r="G15" s="78">
        <v>3444</v>
      </c>
      <c r="H15" s="78">
        <v>2183</v>
      </c>
      <c r="I15" s="78">
        <v>213</v>
      </c>
      <c r="J15" s="78">
        <v>5088</v>
      </c>
      <c r="K15" s="78">
        <v>3652</v>
      </c>
      <c r="L15" s="78">
        <v>7201</v>
      </c>
      <c r="M15" s="78">
        <v>2759</v>
      </c>
      <c r="N15" s="78">
        <v>97</v>
      </c>
      <c r="O15" s="78">
        <v>1904</v>
      </c>
      <c r="P15" s="78">
        <v>7033</v>
      </c>
      <c r="Q15" s="78">
        <v>1770</v>
      </c>
      <c r="R15" s="78">
        <v>0</v>
      </c>
      <c r="S15" s="78">
        <v>887</v>
      </c>
      <c r="T15" s="78">
        <v>1103</v>
      </c>
      <c r="U15" s="78">
        <v>3880</v>
      </c>
      <c r="V15" s="78">
        <v>3016</v>
      </c>
      <c r="W15" s="71">
        <v>-151</v>
      </c>
      <c r="X15" s="78">
        <v>857</v>
      </c>
      <c r="Y15" s="106">
        <v>-9906</v>
      </c>
      <c r="Z15" s="78">
        <v>0</v>
      </c>
      <c r="AA15" s="78">
        <v>2470</v>
      </c>
      <c r="AB15" s="78" ph="1">
        <v>0</v>
      </c>
      <c r="AC15" s="78" ph="1">
        <v>0</v>
      </c>
      <c r="AD15" s="78">
        <v>5.31</v>
      </c>
      <c r="AE15" s="78">
        <v>34.9</v>
      </c>
      <c r="AG15" s="64" t="s" ph="1">
        <v>214</v>
      </c>
      <c r="AH15" s="64" ph="1">
        <v>1</v>
      </c>
      <c r="AI15" s="64" t="s" ph="1">
        <v>333</v>
      </c>
      <c r="AK15" s="64" t="s" ph="1">
        <v>587</v>
      </c>
      <c r="AM15" s="64" t="s" ph="1">
        <v>335</v>
      </c>
      <c r="AZ15" s="64" t="s" ph="1">
        <v>216</v>
      </c>
      <c r="BA15" s="64" ph="1">
        <v>0</v>
      </c>
    </row>
    <row r="16" spans="1:99" s="72" customFormat="1" ht="22.2" ph="1">
      <c r="B16" s="217" ph="1"/>
      <c r="C16" s="147" t="s" ph="1">
        <v>178</v>
      </c>
      <c r="D16" s="73" ph="1">
        <f>D15*7.0686*LOOKUP(D17,密度!$A$2:$A$50,密度!$L$2:$L$50)</f>
        <v>0</v>
      </c>
      <c r="E16" s="73" ph="1">
        <f>E15*7.0686*LOOKUP(E17,密度!$A$2:$A$50,密度!$L$2:$L$50)</f>
        <v>36475.849179000004</v>
      </c>
      <c r="F16" s="73" ph="1">
        <f>F15*9.0746*LOOKUP(F17,密度!$A$2:$A$50,密度!$L$2:$L$50)</f>
        <v>27207.865002400002</v>
      </c>
      <c r="G16" s="73" ph="1">
        <f>G15*9.0746*LOOKUP(G17,密度!$A$2:$A$50,密度!$B$2:$B$50)</f>
        <v>24364.778303039999</v>
      </c>
      <c r="H16" s="73" ph="1">
        <f>H15*9.0746*LOOKUP(H17,密度!$A$2:$A$50,密度!$L$2:$L$50)</f>
        <v>18581.640988399999</v>
      </c>
      <c r="I16" s="73" ph="1">
        <f>I15*9.0746*LOOKUP(I17,密度!$A$2:$A$50,密度!$U$2:$U$50)</f>
        <v>1983.1449348000001</v>
      </c>
      <c r="J16" s="73" ph="1">
        <f>J15*9.0746*LOOKUP(J17,密度!$A$2:$A$50,密度!$L$2:$L$50)</f>
        <v>43031.8983936</v>
      </c>
      <c r="K16" s="73" ph="1">
        <f>K15*9.0746*LOOKUP(K17,密度!$A$2:$A$50,密度!$C$2:$C$50)</f>
        <v>36749.433028879997</v>
      </c>
      <c r="L16" s="73" ph="1">
        <f>L15*9.0746*LOOKUP(L17,密度!$A$2:$A$50,密度!$E$2:$E$50)</f>
        <v>51107.258796660004</v>
      </c>
      <c r="M16" s="73" ph="1">
        <f>M15*9.0746*LOOKUP(M17,密度!$A$2:$A$50,密度!$M$2:$M$50)</f>
        <v>21859.64876434</v>
      </c>
      <c r="N16" s="73" ph="1">
        <f>N15*9.0746*LOOKUP(N17,密度!$A$2:$A$50,密度!$M$2:$M$50)</f>
        <v>770.99888758000009</v>
      </c>
      <c r="O16" s="73" ph="1">
        <f>O15*9.0746*LOOKUP(O17,密度!$A$2:$A$50,密度!$G$2:$G$50)</f>
        <v>16569.638825599999</v>
      </c>
      <c r="P16" s="73" ph="1">
        <f ca="1">P15*9.0746*LOOKUP(P17,密度!$A$2:$A$51,密度!$Q$2:$Q$50)</f>
        <v>60331.893332776002</v>
      </c>
      <c r="Q16" s="73" ph="1">
        <f>Q15*9.0746*LOOKUP(Q17,密度!$A$2:$A$50,密度!$Q$2:$Q$50)</f>
        <v>15183.769543440001</v>
      </c>
      <c r="R16" s="73" ph="1">
        <f>MAX(R15*9.0746*LOOKUP(R17,密度!$A$2:$A$50,密度!$Q$2:$Q$50),0)</f>
        <v>0</v>
      </c>
      <c r="S16" s="73" ph="1">
        <f>S15*9.0746*LOOKUP(S17,密度!$A$2:$A$50,密度!$Q$2:$Q$50)</f>
        <v>7609.041573464001</v>
      </c>
      <c r="T16" s="73" ph="1">
        <f>T15*9.0746*LOOKUP(T17,密度!$A$2:$A$50,密度!$O$2:$O$50)</f>
        <v>9308.6339340000013</v>
      </c>
      <c r="U16" s="73" ph="1">
        <f>U15*9.0746*LOOKUP(U17,密度!$A$2:$A$50,密度!$H$2:$H$50)</f>
        <v>32241.291533600001</v>
      </c>
      <c r="V16" s="73" ph="1">
        <f>MAX(5600*LOOKUP(V17,密度!$A$2:$A$50,密度!$Q$2:$Q$50)+V15*9.0476*LOOKUP(V17,密度!$A$2:$A$50,密度!$Q$2:$Q$50),0)</f>
        <v>31112.619900447997</v>
      </c>
      <c r="W16" s="73" ph="1">
        <f>MAX(5600*LOOKUP(W17,密度!$A$2:$A$50,密度!$Q$2:$Q$50)+W15*9.0476*LOOKUP(W17,密度!$A$2:$A$50,密度!$Q$2:$Q$50),0)</f>
        <v>4005.3135447720001</v>
      </c>
      <c r="X16" s="73" ph="1">
        <f>MAX(5600*LOOKUP(X17,密度!$A$2:$A$50,密度!$I$2:$I$50)+X15*9.0476*LOOKUP(X17,密度!$A$2:$A$50,密度!$I$2:$I$50),0)</f>
        <v>13889.280307319999</v>
      </c>
      <c r="Y16" s="107" ph="1">
        <v>0</v>
      </c>
      <c r="Z16" s="73" ph="1">
        <f>Z15*9.0746*LOOKUP(Z17,密度!$A$2:$A$50,密度!$D$2:$D$50)</f>
        <v>0</v>
      </c>
      <c r="AA16" s="73" ph="1">
        <f>AA15*9.0746*LOOKUP(AA17,密度!$A$2:$A$50,密度!$B$2:$B$50)</f>
        <v>17474.158655199997</v>
      </c>
      <c r="AB16" s="73" ph="1">
        <f>AB15*9.0746*LOOKUP(AB17,密度!$A$2:$A$50,密度!$L$2:$L$50)</f>
        <v>0</v>
      </c>
      <c r="AC16" s="73" ph="1">
        <f>AC15*9.0746*LOOKUP(AC17,密度!$A$2:$A$50,密度!$L$2:$L$50)</f>
        <v>0</v>
      </c>
      <c r="AD16" s="73" ph="1">
        <f>AD15*268.68*LOOKUP(AD17,密度!$A$2:$A$50,密度!B2:B50)+IF(AD15&lt;=0,0,1566*LOOKUP(AD17,密度!$A$2:$A$50,密度!B2:B50))</f>
        <v>2333.1017476799998</v>
      </c>
      <c r="AE16" s="73" ph="1">
        <f>AE15*268.68*LOOKUP(AE17,密度!$A$2:$A$50,密度!B2:B50)+IF(AE15&lt;=0,0,1566*LOOKUP(AE17,密度!$A$2:$A$50,密度!B2:B50))</f>
        <v>8531.1097872000009</v>
      </c>
      <c r="AH16" s="72" ph="1">
        <v>2</v>
      </c>
      <c r="AI16" s="72" t="s" ph="1">
        <v>337</v>
      </c>
      <c r="AZ16" s="72" t="s" ph="1">
        <v>216</v>
      </c>
      <c r="BA16" s="72" ph="1">
        <v>0</v>
      </c>
    </row>
    <row r="17" spans="1:57" ph="1">
      <c r="A17" s="64" t="s" ph="1">
        <v>73</v>
      </c>
      <c r="B17" s="218" ph="1"/>
      <c r="C17" s="79" t="s" ph="1">
        <v>179</v>
      </c>
      <c r="D17" s="74">
        <v>27</v>
      </c>
      <c r="E17" s="74">
        <v>27</v>
      </c>
      <c r="F17" s="74">
        <v>30</v>
      </c>
      <c r="G17" s="74">
        <v>25</v>
      </c>
      <c r="H17" s="74">
        <v>24</v>
      </c>
      <c r="I17" s="74">
        <v>24</v>
      </c>
      <c r="J17" s="74">
        <v>30</v>
      </c>
      <c r="K17" s="74">
        <v>25</v>
      </c>
      <c r="L17" s="74">
        <v>26</v>
      </c>
      <c r="M17" s="74">
        <v>27</v>
      </c>
      <c r="N17" s="74">
        <v>24</v>
      </c>
      <c r="O17" s="74">
        <v>26</v>
      </c>
      <c r="P17" s="74">
        <v>27</v>
      </c>
      <c r="Q17" s="74">
        <v>27</v>
      </c>
      <c r="R17" s="74">
        <v>25</v>
      </c>
      <c r="S17" s="74">
        <v>27</v>
      </c>
      <c r="T17" s="74">
        <v>24</v>
      </c>
      <c r="U17" s="74">
        <v>24</v>
      </c>
      <c r="V17" s="74">
        <v>26</v>
      </c>
      <c r="W17" s="74">
        <v>26</v>
      </c>
      <c r="X17" s="74">
        <v>27</v>
      </c>
      <c r="Y17" s="108">
        <v>27</v>
      </c>
      <c r="Z17" s="74">
        <v>24</v>
      </c>
      <c r="AA17" s="74">
        <v>25</v>
      </c>
      <c r="AB17" s="74">
        <v>25</v>
      </c>
      <c r="AC17" s="74">
        <v>23</v>
      </c>
      <c r="AD17" s="74">
        <v>25</v>
      </c>
      <c r="AE17" s="74">
        <v>25</v>
      </c>
      <c r="AH17" s="64" ph="1">
        <v>3</v>
      </c>
      <c r="AI17" s="64" t="s" ph="1">
        <v>338</v>
      </c>
      <c r="AK17" s="64" t="s" ph="1">
        <v>570</v>
      </c>
      <c r="AL17" s="64" ph="1">
        <v>80</v>
      </c>
      <c r="AM17" s="64" t="s" ph="1">
        <v>335</v>
      </c>
      <c r="AZ17" s="64" t="s" ph="1">
        <v>216</v>
      </c>
      <c r="BA17" s="64" ph="1">
        <v>80</v>
      </c>
      <c r="BD17" s="64" t="s" ph="1">
        <v>214</v>
      </c>
      <c r="BE17" s="64" ph="1">
        <v>2270</v>
      </c>
    </row>
    <row r="18" spans="1:57" ht="26.4" ph="1">
      <c r="B18" s="216" ph="1">
        <v>0.66666666666666663</v>
      </c>
      <c r="C18" s="79" t="s" ph="1">
        <v>180</v>
      </c>
      <c r="D18" s="71">
        <v>0</v>
      </c>
      <c r="E18" s="71">
        <v>5523</v>
      </c>
      <c r="F18" s="71">
        <v>3180</v>
      </c>
      <c r="G18" s="71">
        <v>3165</v>
      </c>
      <c r="H18" s="71">
        <v>2185</v>
      </c>
      <c r="I18" s="71">
        <v>213</v>
      </c>
      <c r="J18" s="71">
        <v>4634</v>
      </c>
      <c r="K18" s="71">
        <v>3654</v>
      </c>
      <c r="L18" s="71">
        <v>7220</v>
      </c>
      <c r="M18" s="71">
        <v>2344</v>
      </c>
      <c r="N18" s="71">
        <v>558</v>
      </c>
      <c r="O18" s="71">
        <v>1907</v>
      </c>
      <c r="P18" s="71">
        <v>6017</v>
      </c>
      <c r="Q18" s="71">
        <v>551</v>
      </c>
      <c r="R18" s="71">
        <v>0</v>
      </c>
      <c r="S18" s="71">
        <v>188</v>
      </c>
      <c r="T18" s="71">
        <v>1675</v>
      </c>
      <c r="U18" s="71">
        <v>3885</v>
      </c>
      <c r="V18" s="71">
        <v>2004</v>
      </c>
      <c r="W18" s="71">
        <v>-152</v>
      </c>
      <c r="X18" s="71">
        <v>858</v>
      </c>
      <c r="Y18" s="109">
        <v>-9907</v>
      </c>
      <c r="Z18" s="71">
        <v>0</v>
      </c>
      <c r="AA18" s="71">
        <v>2474</v>
      </c>
      <c r="AB18" s="71">
        <v>0</v>
      </c>
      <c r="AC18" s="71">
        <v>0</v>
      </c>
      <c r="AD18" s="71">
        <v>13.57</v>
      </c>
      <c r="AE18" s="71">
        <v>84.56</v>
      </c>
      <c r="AH18" s="64" ph="1">
        <v>4</v>
      </c>
      <c r="AI18" s="64" t="s" ph="1">
        <v>340</v>
      </c>
      <c r="AJ18" s="64" t="s" ph="1">
        <v>588</v>
      </c>
      <c r="AK18" s="64" t="s" ph="1">
        <v>587</v>
      </c>
      <c r="AL18" s="64" ph="1">
        <v>740</v>
      </c>
      <c r="AM18" s="64" t="s" ph="1">
        <v>339</v>
      </c>
      <c r="AZ18" s="64" t="s" ph="1">
        <v>216</v>
      </c>
      <c r="BA18" s="64" ph="1">
        <v>740</v>
      </c>
    </row>
    <row r="19" spans="1:57" s="72" customFormat="1" ht="22.2" ph="1">
      <c r="B19" s="217" ph="1"/>
      <c r="C19" s="147" t="s" ph="1">
        <v>178</v>
      </c>
      <c r="D19" s="73" ph="1">
        <f>D18*7.0686*LOOKUP(D20,密度!$A$2:$A$50,密度!$L$2:$L$50)</f>
        <v>0</v>
      </c>
      <c r="E19" s="73" ph="1">
        <f>E18*7.0686*LOOKUP(E20,密度!$A$2:$A$50,密度!$L$2:$L$50)</f>
        <v>36424.205987400004</v>
      </c>
      <c r="F19" s="73" ph="1">
        <f>F18*9.0746*LOOKUP(F20,密度!$A$2:$A$50,密度!$L$2:$L$50)</f>
        <v>26866.079268000001</v>
      </c>
      <c r="G19" s="73" ph="1">
        <f>G18*9.0746*LOOKUP(G20,密度!$A$2:$A$50,密度!$B$2:$B$50)</f>
        <v>22342.1506911</v>
      </c>
      <c r="H19" s="73" ph="1">
        <f>H18*9.0746*LOOKUP(H20,密度!$A$2:$A$50,密度!$L$2:$L$50)</f>
        <v>18559.008936000002</v>
      </c>
      <c r="I19" s="73" ph="1">
        <f>I18*9.0746*LOOKUP(I20,密度!$A$2:$A$50,密度!$U$2:$U$50)</f>
        <v>1973.4804858</v>
      </c>
      <c r="J19" s="73" ph="1">
        <f>J18*9.0746*LOOKUP(J20,密度!$A$2:$A$50,密度!$L$2:$L$50)</f>
        <v>39023.974259200004</v>
      </c>
      <c r="K19" s="73" ph="1">
        <f>K18*9.0746*LOOKUP(K20,密度!$A$2:$A$50,密度!$C$2:$C$50)</f>
        <v>36670.082911560006</v>
      </c>
      <c r="L19" s="73" ph="1">
        <f>L18*9.0746*LOOKUP(L20,密度!$A$2:$A$50,密度!$E$2:$E$50)</f>
        <v>51019.343164399994</v>
      </c>
      <c r="M19" s="73" ph="1">
        <f>M18*9.0746*LOOKUP(M20,密度!$A$2:$A$50,密度!$M$2:$M$50)</f>
        <v>18503.523201760003</v>
      </c>
      <c r="N19" s="73" ph="1">
        <f>N18*9.0746*LOOKUP(N20,密度!$A$2:$A$50,密度!$M$2:$M$50)</f>
        <v>4426.1161858799996</v>
      </c>
      <c r="O19" s="73" ph="1">
        <f>O18*9.0746*LOOKUP(O20,密度!$A$2:$A$50,密度!$G$2:$G$50)</f>
        <v>16542.10013698</v>
      </c>
      <c r="P19" s="73" ph="1">
        <f ca="1">P18*9.0746*LOOKUP(P20,密度!$A$2:$A$51,密度!$Q$2:$Q$50)</f>
        <v>51540.341450026004</v>
      </c>
      <c r="Q19" s="73" ph="1">
        <f>Q18*9.0746*LOOKUP(Q20,密度!$A$2:$A$50,密度!$Q$2:$Q$50)</f>
        <v>4719.7487350780011</v>
      </c>
      <c r="R19" s="73" ph="1">
        <f>MAX(R18*9.0746*LOOKUP(R20,密度!$A$2:$A$50,密度!$Q$2:$Q$50),0)</f>
        <v>0</v>
      </c>
      <c r="S19" s="73" ph="1">
        <f>S18*9.0746*LOOKUP(S20,密度!$A$2:$A$50,密度!$Q$2:$Q$50)</f>
        <v>1609.3443745840002</v>
      </c>
      <c r="T19" s="73" ph="1">
        <f>T18*9.0746*LOOKUP(T20,密度!$A$2:$A$50,密度!$O$2:$O$50)</f>
        <v>14075.15833</v>
      </c>
      <c r="U19" s="73" ph="1">
        <f>U18*9.0746*LOOKUP(U20,密度!$A$2:$A$50,密度!$H$2:$H$50)</f>
        <v>32184.126090900005</v>
      </c>
      <c r="V19" s="73" ph="1">
        <f>MAX(5600*LOOKUP(V20,密度!$A$2:$A$50,密度!$Q$2:$Q$50)+V18*9.0476*LOOKUP(V20,密度!$A$2:$A$50,密度!$Q$2:$Q$50),0)</f>
        <v>22400.771340271996</v>
      </c>
      <c r="W19" s="73" ph="1">
        <f>MAX(5600*LOOKUP(W20,密度!$A$2:$A$50,密度!$Q$2:$Q$50)+W18*9.0476*LOOKUP(W20,密度!$A$2:$A$50,密度!$Q$2:$Q$50),0)</f>
        <v>3985.3473787840003</v>
      </c>
      <c r="X19" s="73" ph="1">
        <f>MAX(5600*LOOKUP(X20,密度!$A$2:$A$50,密度!$I$2:$I$50)+X18*9.0476*LOOKUP(X20,密度!$A$2:$A$50,密度!$I$2:$I$50),0)</f>
        <v>13853.257057359999</v>
      </c>
      <c r="Y19" s="73" ph="1">
        <f>MAX(5600*LOOKUP(Y20,密度!$A$2:$A$50,密度!$I$2:$I$50)+Y18*9.0476*LOOKUP(Y20,密度!$A$2:$A$50,密度!$I$2:$I$50),0)</f>
        <v>0</v>
      </c>
      <c r="Z19" s="73" ph="1">
        <f>Z18*9.0746*LOOKUP(Z20,密度!$A$2:$A$50,密度!$D$2:$D$50)</f>
        <v>0</v>
      </c>
      <c r="AA19" s="73" ph="1">
        <f>AA18*9.0746*LOOKUP(AA20,密度!$A$2:$A$50,密度!$B$2:$B$50)</f>
        <v>17482.251383480001</v>
      </c>
      <c r="AB19" s="73" ph="1">
        <f>AB18*9.0746*LOOKUP(AB20,密度!$A$2:$A$50,密度!$L$2:$L$50)</f>
        <v>0</v>
      </c>
      <c r="AC19" s="73" ph="1">
        <f>AC18*9.0746*LOOKUP(AC20,密度!$A$2:$A$50,密度!$L$2:$L$50)</f>
        <v>0</v>
      </c>
      <c r="AD19" s="73" ph="1">
        <f>AD18*268.68*LOOKUP(AD20,密度!$A$2:$A$50,密度!B5:B53)+IF(AD18&lt;=0,0,1566*LOOKUP(AD20,密度!$A$2:$A$50,密度!B5:B53))</f>
        <v>4049.7143652000004</v>
      </c>
      <c r="AE19" s="73" ph="1">
        <f>AE18*268.68*LOOKUP(AE20,密度!$A$2:$A$50,密度!B5:B53)+IF(AE18&lt;=0,0,1566*LOOKUP(AE20,密度!$A$2:$A$50,密度!B5:B53))</f>
        <v>18869.896281599998</v>
      </c>
      <c r="AH19" s="72" ph="1">
        <v>5</v>
      </c>
      <c r="AI19" s="72" t="s" ph="1">
        <v>341</v>
      </c>
      <c r="AZ19" s="72" t="s" ph="1">
        <v>216</v>
      </c>
      <c r="BA19" s="72" ph="1">
        <v>0</v>
      </c>
      <c r="BD19" s="72" t="s" ph="1">
        <v>342</v>
      </c>
      <c r="BE19" s="72" ph="1">
        <v>1440</v>
      </c>
    </row>
    <row r="20" spans="1:57" ph="1">
      <c r="A20" s="72" ph="1"/>
      <c r="B20" s="217" ph="1"/>
      <c r="C20" s="80" t="s" ph="1">
        <v>179</v>
      </c>
      <c r="D20" s="81">
        <v>29</v>
      </c>
      <c r="E20" s="81">
        <v>29</v>
      </c>
      <c r="F20" s="81">
        <v>31</v>
      </c>
      <c r="G20" s="81">
        <v>27</v>
      </c>
      <c r="H20" s="81">
        <v>26</v>
      </c>
      <c r="I20" s="81">
        <v>29</v>
      </c>
      <c r="J20" s="81">
        <v>34</v>
      </c>
      <c r="K20" s="81">
        <v>29</v>
      </c>
      <c r="L20" s="81">
        <v>29</v>
      </c>
      <c r="M20" s="81">
        <v>30</v>
      </c>
      <c r="N20" s="81">
        <v>26</v>
      </c>
      <c r="O20" s="81">
        <v>29</v>
      </c>
      <c r="P20" s="81">
        <v>29</v>
      </c>
      <c r="Q20" s="81">
        <v>29</v>
      </c>
      <c r="R20" s="81">
        <v>30</v>
      </c>
      <c r="S20" s="81">
        <v>30</v>
      </c>
      <c r="T20" s="81">
        <v>28</v>
      </c>
      <c r="U20" s="81">
        <v>27</v>
      </c>
      <c r="V20" s="81">
        <v>29</v>
      </c>
      <c r="W20" s="81">
        <v>30</v>
      </c>
      <c r="X20" s="81">
        <v>30</v>
      </c>
      <c r="Y20" s="110">
        <v>30</v>
      </c>
      <c r="Z20" s="81">
        <v>28</v>
      </c>
      <c r="AA20" s="81">
        <v>26</v>
      </c>
      <c r="AB20" s="81">
        <v>27</v>
      </c>
      <c r="AC20" s="81">
        <v>27</v>
      </c>
      <c r="AD20" s="81">
        <v>25</v>
      </c>
      <c r="AE20" s="81">
        <v>25</v>
      </c>
      <c r="AF20" s="64" t="s" ph="1">
        <v>35</v>
      </c>
      <c r="AH20" s="64" ph="1">
        <v>6</v>
      </c>
      <c r="AI20" s="64" t="s" ph="1">
        <v>343</v>
      </c>
      <c r="AZ20" s="64" t="s" ph="1">
        <v>216</v>
      </c>
      <c r="BA20" s="64" ph="1">
        <v>0</v>
      </c>
    </row>
    <row r="21" spans="1:57" ph="1">
      <c r="A21" s="72" ph="1"/>
      <c r="B21" s="82" ph="1"/>
      <c r="C21" s="83" ph="1"/>
      <c r="D21" s="84"/>
      <c r="E21" s="84"/>
      <c r="F21" s="84"/>
      <c r="G21" s="84"/>
      <c r="H21" s="84"/>
      <c r="I21" s="84"/>
      <c r="J21" s="84"/>
      <c r="K21" s="84"/>
      <c r="L21" s="84"/>
      <c r="M21" s="84"/>
      <c r="N21" s="84"/>
      <c r="O21" s="84"/>
      <c r="P21" s="84"/>
      <c r="Q21" s="84"/>
      <c r="R21" s="84"/>
      <c r="S21" s="84"/>
      <c r="T21" s="84"/>
      <c r="U21" s="84"/>
      <c r="V21" s="84"/>
      <c r="W21" s="84"/>
      <c r="X21" s="84"/>
      <c r="Y21" s="84"/>
      <c r="Z21" s="84"/>
      <c r="AA21" s="84"/>
      <c r="AB21" s="84"/>
      <c r="AC21" s="84"/>
      <c r="AD21" s="84"/>
      <c r="AE21" s="84"/>
      <c r="AH21" s="64" ph="1">
        <v>7</v>
      </c>
      <c r="AI21" s="64" t="s" ph="1">
        <v>344</v>
      </c>
      <c r="AZ21" s="64" t="s" ph="1">
        <v>216</v>
      </c>
      <c r="BA21" s="64" ph="1">
        <v>0</v>
      </c>
      <c r="BD21" s="64" t="s" ph="1">
        <v>232</v>
      </c>
      <c r="BE21" s="64" ph="1">
        <v>730</v>
      </c>
    </row>
    <row r="22" spans="1:57" ph="1">
      <c r="A22" s="72" ph="1"/>
      <c r="B22" s="215" t="s" ph="1">
        <v>37</v>
      </c>
      <c r="C22" s="85" t="s" ph="1">
        <v>176</v>
      </c>
      <c r="D22" s="86" t="s" ph="1">
        <v>86</v>
      </c>
      <c r="E22" s="86" t="s" ph="1">
        <v>87</v>
      </c>
      <c r="F22" s="86" t="s" ph="1">
        <v>88</v>
      </c>
      <c r="G22" s="86" t="s" ph="1">
        <v>89</v>
      </c>
      <c r="H22" s="86" t="s" ph="1">
        <v>90</v>
      </c>
      <c r="I22" s="86" t="s" ph="1">
        <v>91</v>
      </c>
      <c r="J22" s="86" t="s" ph="1">
        <v>92</v>
      </c>
      <c r="K22" s="86" t="s" ph="1">
        <v>93</v>
      </c>
      <c r="L22" s="86" t="s" ph="1">
        <v>94</v>
      </c>
      <c r="M22" s="86" t="s" ph="1">
        <v>95</v>
      </c>
      <c r="N22" s="86" t="s" ph="1">
        <v>96</v>
      </c>
      <c r="O22" s="86" t="s" ph="1">
        <v>97</v>
      </c>
      <c r="P22" s="86" t="s" ph="1">
        <v>98</v>
      </c>
      <c r="Q22" s="87" t="s" ph="1">
        <v>99</v>
      </c>
      <c r="R22" s="86" t="s" ph="1">
        <v>100</v>
      </c>
      <c r="S22" s="86" t="s" ph="1">
        <v>101</v>
      </c>
      <c r="T22" s="86" t="s" ph="1">
        <v>102</v>
      </c>
      <c r="U22" s="86" t="s" ph="1">
        <v>103</v>
      </c>
      <c r="V22" s="86" t="s" ph="1">
        <v>104</v>
      </c>
      <c r="W22" s="86" t="s" ph="1">
        <v>105</v>
      </c>
      <c r="X22" s="86" t="s" ph="1">
        <v>106</v>
      </c>
      <c r="Y22" s="86" t="s" ph="1">
        <v>108</v>
      </c>
      <c r="Z22" s="225" t="s" ph="1">
        <v>69</v>
      </c>
      <c r="AA22" s="226"/>
      <c r="AB22" s="226"/>
      <c r="AC22" s="226"/>
      <c r="AD22" s="226"/>
      <c r="AE22" s="227"/>
      <c r="AH22" s="64" ph="1">
        <v>8</v>
      </c>
      <c r="AI22" s="64" t="s" ph="1">
        <v>345</v>
      </c>
      <c r="AZ22" s="64" t="s" ph="1">
        <v>216</v>
      </c>
      <c r="BA22" s="64" ph="1">
        <v>0</v>
      </c>
    </row>
    <row r="23" spans="1:57" ph="1">
      <c r="A23" s="72" ph="1"/>
      <c r="B23" s="219" ph="1"/>
      <c r="C23" s="67" t="s" ph="1">
        <v>36</v>
      </c>
      <c r="D23" s="88" t="s" ph="1">
        <v>109</v>
      </c>
      <c r="E23" s="88" t="s" ph="1">
        <v>107</v>
      </c>
      <c r="F23" s="88" t="s" ph="1">
        <v>109</v>
      </c>
      <c r="G23" s="88" t="s" ph="1">
        <v>626</v>
      </c>
      <c r="H23" s="88" t="s" ph="1">
        <v>626</v>
      </c>
      <c r="I23" s="88" t="s" ph="1">
        <v>627</v>
      </c>
      <c r="J23" s="88" t="s" ph="1">
        <v>628</v>
      </c>
      <c r="K23" s="88" t="s" ph="1">
        <v>628</v>
      </c>
      <c r="L23" s="88" t="s" ph="1">
        <v>628</v>
      </c>
      <c r="M23" s="88" t="s" ph="1">
        <v>623</v>
      </c>
      <c r="N23" s="88" t="s" ph="1">
        <v>623</v>
      </c>
      <c r="O23" s="88" t="s" ph="1">
        <v>645</v>
      </c>
      <c r="P23" s="88" t="s" ph="1">
        <v>629</v>
      </c>
      <c r="Q23" s="89" t="s" ph="1">
        <v>629</v>
      </c>
      <c r="R23" s="88" t="s" ph="1">
        <v>610</v>
      </c>
      <c r="S23" s="88" t="s" ph="1">
        <v>629</v>
      </c>
      <c r="T23" s="88" t="s" ph="1">
        <v>604</v>
      </c>
      <c r="U23" s="104" t="s" ph="1">
        <v>606</v>
      </c>
      <c r="V23" s="88" t="s" ph="1">
        <v>629</v>
      </c>
      <c r="W23" s="88" t="s" ph="1">
        <v>629</v>
      </c>
      <c r="X23" s="88" t="s" ph="1">
        <v>187</v>
      </c>
      <c r="Y23" s="88" t="s" ph="1">
        <v>630</v>
      </c>
      <c r="Z23" s="228" t="s" ph="1">
        <v>641</v>
      </c>
      <c r="AA23" s="229"/>
      <c r="AB23" s="229"/>
      <c r="AC23" s="229"/>
      <c r="AD23" s="229"/>
      <c r="AE23" s="230"/>
      <c r="AH23" s="64" ph="1">
        <v>9</v>
      </c>
      <c r="AI23" s="64" t="s" ph="1">
        <v>346</v>
      </c>
      <c r="AZ23" s="64" t="s" ph="1">
        <v>216</v>
      </c>
      <c r="BA23" s="64" ph="1">
        <v>0</v>
      </c>
      <c r="BD23" s="64" t="s" ph="1">
        <v>238</v>
      </c>
      <c r="BE23" s="64" ph="1">
        <v>890</v>
      </c>
    </row>
    <row r="24" spans="1:57" ph="1">
      <c r="A24" s="72" ph="1"/>
      <c r="B24" s="237" ph="1">
        <v>0.33333333333333331</v>
      </c>
      <c r="C24" s="147" t="s" ph="1">
        <v>177</v>
      </c>
      <c r="D24" s="71">
        <v>3.15</v>
      </c>
      <c r="E24" s="71">
        <v>52.88</v>
      </c>
      <c r="F24" s="71">
        <v>2579</v>
      </c>
      <c r="G24" s="71">
        <v>3166</v>
      </c>
      <c r="H24" s="71">
        <v>3180</v>
      </c>
      <c r="I24" s="71">
        <v>164</v>
      </c>
      <c r="J24" s="71">
        <v>298</v>
      </c>
      <c r="K24" s="71">
        <v>209</v>
      </c>
      <c r="L24" s="71">
        <v>302</v>
      </c>
      <c r="M24" s="71">
        <v>326</v>
      </c>
      <c r="N24" s="71">
        <v>319</v>
      </c>
      <c r="O24" s="71">
        <v>2137</v>
      </c>
      <c r="P24" s="71">
        <v>377</v>
      </c>
      <c r="Q24" s="90">
        <v>3139</v>
      </c>
      <c r="R24" s="71">
        <v>579</v>
      </c>
      <c r="S24" s="71">
        <v>434</v>
      </c>
      <c r="T24" s="71">
        <v>11</v>
      </c>
      <c r="U24" s="71">
        <v>5217</v>
      </c>
      <c r="V24" s="71">
        <v>738</v>
      </c>
      <c r="W24" s="71">
        <v>432</v>
      </c>
      <c r="X24" s="71">
        <v>4287</v>
      </c>
      <c r="Y24" s="71">
        <v>2855</v>
      </c>
      <c r="Z24" s="231"/>
      <c r="AA24" s="232"/>
      <c r="AB24" s="232"/>
      <c r="AC24" s="232"/>
      <c r="AD24" s="232"/>
      <c r="AE24" s="233"/>
      <c r="AH24" s="64" ph="1">
        <v>10</v>
      </c>
      <c r="AI24" s="64" t="s" ph="1">
        <v>347</v>
      </c>
      <c r="AZ24" s="64" t="s" ph="1">
        <v>216</v>
      </c>
      <c r="BA24" s="64" ph="1">
        <v>0</v>
      </c>
    </row>
    <row r="25" spans="1:57" ph="1">
      <c r="A25" s="72" ph="1"/>
      <c r="B25" s="237" ph="1"/>
      <c r="C25" s="68" t="s" ph="1">
        <v>178</v>
      </c>
      <c r="D25" s="91" ph="1">
        <f>D24*268.68*LOOKUP(D26,密度!$A$2:$A$50,密度!$Q$2:$Q$50)+IF(D24&lt;=0,0,1566*LOOKUP(D26,密度!$A$2:$A$50,密度!$Q$2:$Q$50))</f>
        <v>2283.8606650800002</v>
      </c>
      <c r="E25" s="91" ph="1">
        <f>E24*268.68*LOOKUP(E26,密度!$A$2:$A$50,密度!$C$2:$C$50)+IF(E24&lt;=0,0,1566*LOOKUP(E26,密度!$A$2:$A$50,密度!$C$2:$C$50))</f>
        <v>17491.565045760002</v>
      </c>
      <c r="F25" s="91" ph="1">
        <f>F24*11.702*LOOKUP(F26,密度!$A$2:$A$50,密度!$Q$2:$Q$50)</f>
        <v>28508.11961596</v>
      </c>
      <c r="G25" s="91" ph="1">
        <f>G24*18.322*LOOKUP(G26,密度!$A$2:$A$50,密度!$B$2:$B$50)</f>
        <v>45170.402872399995</v>
      </c>
      <c r="H25" s="91" ph="1">
        <f>H24*18.322*LOOKUP(H26,密度!$A$2:$A$50,密度!$B$2:$B$50)</f>
        <v>45370.145651999999</v>
      </c>
      <c r="I25" s="91" ph="1">
        <f>I24*18.322*LOOKUP(I26,密度!$A$2:$A$50,密度!$Q$2:$Q$50)</f>
        <v>2840.5050985600001</v>
      </c>
      <c r="J25" s="91" ph="1">
        <f>J24*18.322*LOOKUP(J26,密度!$A$2:$A$50,密度!$Q$2:$Q$50)</f>
        <v>5169.1587434399999</v>
      </c>
      <c r="K25" s="91" ph="1">
        <f>K24*18.322*LOOKUP(K26,密度!$A$2:$A$50,密度!$Q$2:$Q$50)</f>
        <v>3614.58926114</v>
      </c>
      <c r="L25" s="91" ph="1">
        <f>L24*18.322*LOOKUP(L26,密度!$A$2:$A$50,密度!$Q$2:$Q$50)</f>
        <v>5222.9950089200001</v>
      </c>
      <c r="M25" s="91" ph="1">
        <f>M24*18.322*LOOKUP(M26,密度!$A$2:$A$50,密度!$Q$2:$Q$50)</f>
        <v>5646.3698910399999</v>
      </c>
      <c r="N25" s="91" ph="1">
        <f>N24*18.322*LOOKUP(N26,密度!$A$2:$A$50,密度!$Q$2:$Q$50)</f>
        <v>5525.1288197599997</v>
      </c>
      <c r="O25" s="91" ph="1">
        <f>O24*18.322*LOOKUP(O26,密度!$A$2:$A$50,密度!$C$2:$C$50)</f>
        <v>43327.942552400003</v>
      </c>
      <c r="P25" s="91" ph="1">
        <f>P24*11.702*LOOKUP(P26,密度!$A$2:$A$50,密度!$B$2:$B$50)</f>
        <v>3439.3254583999997</v>
      </c>
      <c r="Q25" s="92" ph="1">
        <f>Q24*18.322*LOOKUP(Q26,密度!$A$2:$A$50,密度!$B$2:$B$50)</f>
        <v>44687.412965999996</v>
      </c>
      <c r="R25" s="91" ph="1">
        <f>R24*35.891*LOOKUP(R26,密度!$A$2:$A$50,密度!$C$2:$C$50)</f>
        <v>22996.131767399998</v>
      </c>
      <c r="S25" s="91" ph="1">
        <f>S24*35.891*LOOKUP(S26,密度!$A$2:$A$50,密度!$B$2:$B$50)</f>
        <v>12103.091238000001</v>
      </c>
      <c r="T25" s="91" ph="1">
        <f>T24*35.891*LOOKUP(T26,密度!$A$2:$A$50,密度!$Q$2:$Q$50)</f>
        <v>372.42762733000001</v>
      </c>
      <c r="U25" s="91" ph="1">
        <f>U24*35.891</f>
        <v>187243.34699999998</v>
      </c>
      <c r="V25" s="91" ph="1">
        <f>V24*47.051*LOOKUP(V26,密度!$A$2:$A$50,密度!$B$2:$B$50)</f>
        <v>27011.518000200002</v>
      </c>
      <c r="W25" s="91" ph="1">
        <f>W24*47.051*LOOKUP(W26,密度!$A$2:$A$50,密度!$B$2:$B$50)</f>
        <v>15777.0660384</v>
      </c>
      <c r="X25" s="91" ph="1">
        <f>X24*47.051*LOOKUP(X26,密度!$A$2:$A$61,密度!$I$2:$I$61)</f>
        <v>209796.11324370003</v>
      </c>
      <c r="Y25" s="91" ph="1">
        <f>Y24*47.051*LOOKUP(Y26,密度!$A$2:$A$50,密度!$L$2:$L$50)</f>
        <v>125599.11567500002</v>
      </c>
      <c r="Z25" s="231"/>
      <c r="AA25" s="232"/>
      <c r="AB25" s="232"/>
      <c r="AC25" s="232"/>
      <c r="AD25" s="232"/>
      <c r="AE25" s="233"/>
      <c r="AH25" s="64" ph="1">
        <v>11</v>
      </c>
      <c r="AI25" s="64" t="s" ph="1">
        <v>348</v>
      </c>
      <c r="AZ25" s="64" t="s" ph="1">
        <v>216</v>
      </c>
      <c r="BA25" s="64" ph="1">
        <v>0</v>
      </c>
      <c r="BD25" s="64" t="s" ph="1">
        <v>241</v>
      </c>
      <c r="BE25" s="64" ph="1">
        <v>8920</v>
      </c>
    </row>
    <row r="26" spans="1:57" ph="1">
      <c r="A26" s="72" ph="1"/>
      <c r="B26" s="237" ph="1"/>
      <c r="C26" s="68" t="s" ph="1">
        <v>179</v>
      </c>
      <c r="D26" s="74">
        <v>25</v>
      </c>
      <c r="E26" s="74">
        <v>25</v>
      </c>
      <c r="F26" s="74">
        <v>28</v>
      </c>
      <c r="G26" s="74">
        <v>26</v>
      </c>
      <c r="H26" s="74">
        <v>26</v>
      </c>
      <c r="I26" s="74">
        <v>27</v>
      </c>
      <c r="J26" s="74">
        <v>25</v>
      </c>
      <c r="K26" s="74">
        <v>29</v>
      </c>
      <c r="L26" s="74">
        <v>29</v>
      </c>
      <c r="M26" s="74">
        <v>27</v>
      </c>
      <c r="N26" s="74">
        <v>27</v>
      </c>
      <c r="O26" s="74">
        <v>28</v>
      </c>
      <c r="P26" s="74">
        <v>25</v>
      </c>
      <c r="Q26" s="93">
        <v>28</v>
      </c>
      <c r="R26" s="74">
        <v>28</v>
      </c>
      <c r="S26" s="74">
        <v>28</v>
      </c>
      <c r="T26" s="74">
        <v>30</v>
      </c>
      <c r="U26" s="74">
        <v>30</v>
      </c>
      <c r="V26" s="74">
        <v>27</v>
      </c>
      <c r="W26" s="74">
        <v>29</v>
      </c>
      <c r="X26" s="74">
        <v>27</v>
      </c>
      <c r="Y26" s="74">
        <v>27</v>
      </c>
      <c r="Z26" s="231"/>
      <c r="AA26" s="232"/>
      <c r="AB26" s="232"/>
      <c r="AC26" s="232"/>
      <c r="AD26" s="232"/>
      <c r="AE26" s="233"/>
      <c r="AH26" s="64" ph="1">
        <v>12</v>
      </c>
      <c r="AI26" s="64" t="s" ph="1">
        <v>349</v>
      </c>
      <c r="AZ26" s="64" t="s" ph="1">
        <v>216</v>
      </c>
      <c r="BA26" s="64" ph="1">
        <v>0</v>
      </c>
    </row>
    <row r="27" spans="1:57" ht="26.4" ph="1">
      <c r="A27" s="72" ph="1"/>
      <c r="B27" s="237" ph="1">
        <v>0.66666666666666663</v>
      </c>
      <c r="C27" s="147" t="s" ph="1">
        <v>180</v>
      </c>
      <c r="D27" s="71">
        <v>3.18</v>
      </c>
      <c r="E27" s="71">
        <v>24.92</v>
      </c>
      <c r="F27" s="71">
        <v>2582</v>
      </c>
      <c r="G27" s="71">
        <v>2676</v>
      </c>
      <c r="H27" s="71">
        <v>2664</v>
      </c>
      <c r="I27" s="71">
        <v>165</v>
      </c>
      <c r="J27" s="71">
        <v>296</v>
      </c>
      <c r="K27" s="71">
        <v>209</v>
      </c>
      <c r="L27" s="71">
        <v>300</v>
      </c>
      <c r="M27" s="71">
        <v>325</v>
      </c>
      <c r="N27" s="71">
        <v>319</v>
      </c>
      <c r="O27" s="71">
        <v>3081</v>
      </c>
      <c r="P27" s="71">
        <v>377</v>
      </c>
      <c r="Q27" s="90">
        <v>3090</v>
      </c>
      <c r="R27" s="71">
        <v>288</v>
      </c>
      <c r="S27" s="71">
        <v>432</v>
      </c>
      <c r="T27" s="71">
        <v>11</v>
      </c>
      <c r="U27" s="71">
        <v>5061</v>
      </c>
      <c r="V27" s="71">
        <v>737</v>
      </c>
      <c r="W27" s="71">
        <v>431</v>
      </c>
      <c r="X27" s="71">
        <v>4288</v>
      </c>
      <c r="Y27" s="71">
        <v>2859</v>
      </c>
      <c r="Z27" s="231"/>
      <c r="AA27" s="232"/>
      <c r="AB27" s="232"/>
      <c r="AC27" s="232"/>
      <c r="AD27" s="232"/>
      <c r="AE27" s="233"/>
      <c r="AH27" s="64" ph="1">
        <v>13</v>
      </c>
      <c r="AI27" s="64" t="s" ph="1">
        <v>350</v>
      </c>
      <c r="AZ27" s="64" t="s" ph="1">
        <v>216</v>
      </c>
      <c r="BA27" s="64" ph="1">
        <v>0</v>
      </c>
      <c r="BD27" s="64" t="s" ph="1">
        <v>295</v>
      </c>
      <c r="BE27" s="64" ph="1">
        <v>7100</v>
      </c>
    </row>
    <row r="28" spans="1:57" ph="1">
      <c r="A28" s="72" ph="1"/>
      <c r="B28" s="237" ph="1"/>
      <c r="C28" s="147" t="s" ph="1">
        <v>178</v>
      </c>
      <c r="D28" s="91" ph="1">
        <f>D27*268.68*LOOKUP(D29,密度!$A$2:$A$50,密度!$Q$2:$Q$50)+IF(D27&lt;=0,0,1566*LOOKUP(D29,密度!$A$2:$A$50,密度!$Q$2:$Q$50))</f>
        <v>2291.4917681759998</v>
      </c>
      <c r="E28" s="91" ph="1">
        <f>E27*268.68*LOOKUP(E29,密度!$A$2:$A$50,密度!$C$2:$C$50)+IF(E27&lt;=0,0,1566*LOOKUP(E29,密度!$A$2:$A$50,密度!$C$2:$C$50))</f>
        <v>9161.1835598399994</v>
      </c>
      <c r="F28" s="91" ph="1">
        <f>F27*11.702*LOOKUP(F29,密度!$A$2:$A$50,密度!$Q$2:$Q$50)</f>
        <v>28562.431640480001</v>
      </c>
      <c r="G28" s="91" ph="1">
        <f>G27*18.322*LOOKUP(G29,密度!$A$2:$A$50,密度!$B$2:$B$50)</f>
        <v>38096.055143999998</v>
      </c>
      <c r="H28" s="91" ph="1">
        <f>H27*18.322*LOOKUP(H29,密度!$A$2:$A$50,密度!$B$2:$B$50)</f>
        <v>37886.172969599997</v>
      </c>
      <c r="I28" s="91" ph="1">
        <f>I27*18.322*LOOKUP(I29,密度!$A$2:$A$50,密度!$Q$2:$Q$50)</f>
        <v>2853.6231008999998</v>
      </c>
      <c r="J28" s="91" ph="1">
        <f>J27*18.322*LOOKUP(J29,密度!$A$2:$A$50,密度!$Q$2:$Q$50)</f>
        <v>5122.9689814399999</v>
      </c>
      <c r="K28" s="91" ph="1">
        <f>K27*18.322*LOOKUP(K29,密度!$A$2:$A$50,密度!$Q$2:$Q$50)</f>
        <v>3619.91198536</v>
      </c>
      <c r="L28" s="91" ph="1">
        <f>L27*18.322*LOOKUP(L29,密度!$A$2:$A$50,密度!$Q$2:$Q$50)</f>
        <v>5185.1076779999994</v>
      </c>
      <c r="M28" s="91" ph="1">
        <f>M27*18.322*LOOKUP(M29,密度!$A$2:$A$50,密度!$Q$2:$Q$50)</f>
        <v>5617.1999845</v>
      </c>
      <c r="N28" s="91" ph="1">
        <f>N27*18.322*LOOKUP(N29,密度!$A$2:$A$50,密度!$Q$2:$Q$50)</f>
        <v>5521.0375171599999</v>
      </c>
      <c r="O28" s="91" ph="1">
        <f>O27*18.322*LOOKUP(O29,密度!$A$2:$A$50,密度!$C$2:$C$50)</f>
        <v>62467.660741199994</v>
      </c>
      <c r="P28" s="91" ph="1">
        <f>P27*11.702*LOOKUP(P29,密度!$A$2:$A$50,密度!$B$2:$B$50)</f>
        <v>3420.3553461999995</v>
      </c>
      <c r="Q28" s="92" ph="1">
        <f>Q27*18.322*LOOKUP(Q29,密度!$A$2:$A$50,密度!$B$2:$B$50)</f>
        <v>43893.593993999995</v>
      </c>
      <c r="R28" s="91" ph="1">
        <f>R27*35.891*LOOKUP(R29,密度!$A$2:$A$50,密度!$C$2:$C$50)</f>
        <v>11438.4904128</v>
      </c>
      <c r="S28" s="91" ph="1">
        <f>S27*35.891*LOOKUP(S29,密度!$A$2:$A$50,密度!$B$2:$B$50)</f>
        <v>12047.316623999999</v>
      </c>
      <c r="T28" s="91" ph="1">
        <f>T27*35.891*LOOKUP(T29,密度!$A$2:$A$50,密度!$Q$2:$Q$50)</f>
        <v>372.66450793000001</v>
      </c>
      <c r="U28" s="91" ph="1">
        <f>U27*35.891</f>
        <v>181644.351</v>
      </c>
      <c r="V28" s="91" ph="1">
        <f>V27*47.051*LOOKUP(V29,密度!$A$2:$A$50,密度!$B$2:$B$50)</f>
        <v>26915.9668294</v>
      </c>
      <c r="W28" s="91" ph="1">
        <f>W27*47.051*LOOKUP(W29,密度!$A$2:$A$50,密度!$B$2:$B$50)</f>
        <v>15775.0193199</v>
      </c>
      <c r="X28" s="91" ph="1">
        <f>X27*47.051*LOOKUP(X29,密度!$A$2:$A$61,密度!$I$2:$I$61)</f>
        <v>209845.05098880001</v>
      </c>
      <c r="Y28" s="91" ph="1">
        <f>Y27*47.051*LOOKUP(Y29,密度!$A$2:$A$50,密度!$L$2:$L$50)</f>
        <v>125909.60522400001</v>
      </c>
      <c r="Z28" s="231"/>
      <c r="AA28" s="232"/>
      <c r="AB28" s="232"/>
      <c r="AC28" s="232"/>
      <c r="AD28" s="232"/>
      <c r="AE28" s="233"/>
      <c r="AH28" s="64" ph="1">
        <v>14</v>
      </c>
      <c r="AI28" s="64" t="s" ph="1">
        <v>351</v>
      </c>
      <c r="AZ28" s="64" t="s" ph="1">
        <v>216</v>
      </c>
      <c r="BA28" s="64" ph="1">
        <v>0</v>
      </c>
    </row>
    <row r="29" spans="1:57" ph="1">
      <c r="A29" s="72" ph="1"/>
      <c r="B29" s="237" ph="1"/>
      <c r="C29" s="147" t="s" ph="1">
        <v>179</v>
      </c>
      <c r="D29" s="74">
        <v>25</v>
      </c>
      <c r="E29" s="74">
        <v>25</v>
      </c>
      <c r="F29" s="74">
        <v>27</v>
      </c>
      <c r="G29" s="74">
        <v>28</v>
      </c>
      <c r="H29" s="74">
        <v>29</v>
      </c>
      <c r="I29" s="74">
        <v>29</v>
      </c>
      <c r="J29" s="74">
        <v>28</v>
      </c>
      <c r="K29" s="74">
        <v>27</v>
      </c>
      <c r="L29" s="74">
        <v>30</v>
      </c>
      <c r="M29" s="74">
        <v>30</v>
      </c>
      <c r="N29" s="74">
        <v>28</v>
      </c>
      <c r="O29" s="74">
        <v>28</v>
      </c>
      <c r="P29" s="74">
        <v>30</v>
      </c>
      <c r="Q29" s="93">
        <v>30</v>
      </c>
      <c r="R29" s="74">
        <v>28</v>
      </c>
      <c r="S29" s="74">
        <v>28</v>
      </c>
      <c r="T29" s="74">
        <v>29</v>
      </c>
      <c r="U29" s="74">
        <v>29</v>
      </c>
      <c r="V29" s="74">
        <v>29</v>
      </c>
      <c r="W29" s="74">
        <v>27</v>
      </c>
      <c r="X29" s="74">
        <v>27</v>
      </c>
      <c r="Y29" s="74">
        <v>26</v>
      </c>
      <c r="Z29" s="234"/>
      <c r="AA29" s="235"/>
      <c r="AB29" s="235"/>
      <c r="AC29" s="235"/>
      <c r="AD29" s="235"/>
      <c r="AE29" s="236"/>
      <c r="AH29" s="64" ph="1">
        <v>15</v>
      </c>
      <c r="AI29" s="64" t="s" ph="1">
        <v>352</v>
      </c>
      <c r="AZ29" s="64" t="s" ph="1">
        <v>216</v>
      </c>
      <c r="BA29" s="64" ph="1">
        <v>0</v>
      </c>
      <c r="BD29" s="64" t="s" ph="1">
        <v>353</v>
      </c>
      <c r="BE29" s="64" ph="1">
        <v>890</v>
      </c>
    </row>
    <row r="30" spans="1:57" ph="1">
      <c r="D30" s="94" ph="1"/>
      <c r="Z30" s="64" t="s" ph="1">
        <v>35</v>
      </c>
      <c r="AE30" s="95" ph="1"/>
      <c r="AH30" s="64" ph="1">
        <v>16</v>
      </c>
      <c r="AI30" s="64" t="s" ph="1">
        <v>354</v>
      </c>
      <c r="AZ30" s="64" t="s" ph="1">
        <v>216</v>
      </c>
      <c r="BA30" s="64" ph="1">
        <v>0</v>
      </c>
    </row>
    <row r="31" spans="1:57" ht="28.2" ph="1">
      <c r="A31" s="64"/>
      <c r="B31" s="220" t="s" ph="1">
        <v>35</v>
      </c>
      <c r="C31" s="221" ph="1"/>
      <c r="D31" s="224" t="s" ph="1">
        <v>9</v>
      </c>
      <c r="E31" s="199" ph="1"/>
      <c r="F31" s="200" ph="1"/>
      <c r="G31" s="224" t="s" ph="1">
        <v>18</v>
      </c>
      <c r="H31" s="199" ph="1"/>
      <c r="I31" s="200" ph="1"/>
      <c r="J31" s="198" t="s" ph="1">
        <v>1</v>
      </c>
      <c r="K31" s="199" ph="1"/>
      <c r="L31" s="200" ph="1"/>
      <c r="M31" s="198" t="s" ph="1">
        <v>7</v>
      </c>
      <c r="N31" s="199" ph="1"/>
      <c r="O31" s="200" ph="1"/>
      <c r="P31" s="198" t="s" ph="1">
        <v>41</v>
      </c>
      <c r="Q31" s="199"/>
      <c r="R31" s="200"/>
      <c r="S31" s="198" t="s" ph="1">
        <v>2</v>
      </c>
      <c r="T31" s="199"/>
      <c r="U31" s="200"/>
      <c r="V31" s="198" t="s" ph="1">
        <v>71</v>
      </c>
      <c r="W31" s="199" ph="1"/>
      <c r="X31" s="200" ph="1"/>
      <c r="Y31" s="198" t="s" ph="1">
        <v>3</v>
      </c>
      <c r="Z31" s="199" ph="1"/>
      <c r="AA31" s="200" ph="1"/>
      <c r="AB31" s="201" t="s">
        <v>42</v>
      </c>
      <c r="AC31" s="202"/>
      <c r="AD31" s="202"/>
      <c r="AE31" s="203"/>
      <c r="AH31" s="64" ph="1">
        <v>17</v>
      </c>
      <c r="AI31" s="64" t="s" ph="1">
        <v>355</v>
      </c>
      <c r="AZ31" s="64" t="s" ph="1">
        <v>216</v>
      </c>
      <c r="BA31" s="64" ph="1">
        <v>0</v>
      </c>
      <c r="BD31" s="64" t="s" ph="1">
        <v>356</v>
      </c>
      <c r="BE31" s="64" ph="1">
        <v>9310</v>
      </c>
    </row>
    <row r="32" spans="1:57" ph="1">
      <c r="A32" s="64"/>
      <c r="B32" s="222" ph="1"/>
      <c r="C32" s="223" ph="1"/>
      <c r="D32" s="96" t="s" ph="1">
        <v>4</v>
      </c>
      <c r="E32" s="147" t="s" ph="1">
        <v>5</v>
      </c>
      <c r="F32" s="148" t="s" ph="1">
        <v>43</v>
      </c>
      <c r="G32" s="97" t="s" ph="1">
        <v>4</v>
      </c>
      <c r="H32" s="147" t="s" ph="1">
        <v>5</v>
      </c>
      <c r="I32" s="148" t="s" ph="1">
        <v>43</v>
      </c>
      <c r="J32" s="97" t="s" ph="1">
        <v>4</v>
      </c>
      <c r="K32" s="147" t="s" ph="1">
        <v>5</v>
      </c>
      <c r="L32" s="148" t="s" ph="1">
        <v>43</v>
      </c>
      <c r="M32" s="97" t="s" ph="1">
        <v>4</v>
      </c>
      <c r="N32" s="147" t="s" ph="1">
        <v>5</v>
      </c>
      <c r="O32" s="148" t="s" ph="1">
        <v>43</v>
      </c>
      <c r="P32" s="97" t="s" ph="1">
        <v>4</v>
      </c>
      <c r="Q32" s="98" t="s" ph="1">
        <v>5</v>
      </c>
      <c r="R32" s="99" t="s" ph="1">
        <v>43</v>
      </c>
      <c r="S32" s="97" t="s" ph="1">
        <v>4</v>
      </c>
      <c r="T32" s="147" t="s" ph="1">
        <v>5</v>
      </c>
      <c r="U32" s="99" t="s" ph="1">
        <v>43</v>
      </c>
      <c r="V32" s="97" t="s" ph="1">
        <v>4</v>
      </c>
      <c r="W32" s="147" t="s" ph="1">
        <v>5</v>
      </c>
      <c r="X32" s="99" t="s" ph="1">
        <v>43</v>
      </c>
      <c r="Y32" s="100" t="s" ph="1">
        <v>4</v>
      </c>
      <c r="Z32" s="147" t="s" ph="1">
        <v>5</v>
      </c>
      <c r="AA32" s="148" t="s" ph="1">
        <v>43</v>
      </c>
      <c r="AB32" s="97" t="s" ph="1">
        <v>85</v>
      </c>
      <c r="AC32" s="147" t="s" ph="1">
        <v>84</v>
      </c>
      <c r="AD32" s="204" t="s" ph="1">
        <v>83</v>
      </c>
      <c r="AE32" s="205"/>
      <c r="AH32" s="64" ph="1">
        <v>18</v>
      </c>
      <c r="AI32" s="64" t="s" ph="1">
        <v>357</v>
      </c>
      <c r="AZ32" s="64" t="s" ph="1">
        <v>216</v>
      </c>
      <c r="BA32" s="64" ph="1">
        <v>0</v>
      </c>
    </row>
    <row r="33" spans="1:57" ph="1">
      <c r="A33" s="64"/>
      <c r="B33" s="206" t="s" ph="1">
        <v>181</v>
      </c>
      <c r="C33" s="207" ph="1"/>
      <c r="D33" s="186" ph="1">
        <f>AA10+AB10+Z19</f>
        <v>84703.342575200004</v>
      </c>
      <c r="E33" s="186" ph="1">
        <f>M10+I10</f>
        <v>129367.45096519998</v>
      </c>
      <c r="F33" s="210" ph="1">
        <f>表格_取樣回收每月庫存表_0620更新1522252632456786910111213141516171819202123456789101112131415161718192022232424356789101112131415161718192021222345678910111213141516171819202345678910111213149101516171819222123234567891012131415161711181920212224252345678910111213122[[#This Row],[F25]]</f>
        <v>3880</v>
      </c>
      <c r="G33" s="212" ph="1">
        <f>N19</f>
        <v>4426.1161858799996</v>
      </c>
      <c r="H33" s="186" ph="1">
        <f>M19</f>
        <v>18503.523201760003</v>
      </c>
      <c r="I33" s="190" ph="1">
        <v>0</v>
      </c>
      <c r="J33" s="194" ph="1">
        <f>F10+O28</f>
        <v>234050.34036929999</v>
      </c>
      <c r="K33" s="186" ph="1">
        <f>O10+K10+E28+R28</f>
        <v>137152.91919984002</v>
      </c>
      <c r="L33" s="196" ph="1">
        <f>K19</f>
        <v>36670.082911560006</v>
      </c>
      <c r="M33" s="194" ph="1">
        <f>G10+H10+W28+S28+V28+E10+R19+P28+Q28</f>
        <v>470724.86352750001</v>
      </c>
      <c r="N33" s="186" ph="1">
        <f>L10+P10++G28+H28+AD19+AE19</f>
        <v>156854.16662939999</v>
      </c>
      <c r="O33" s="190" ph="1">
        <f>G19</f>
        <v>22342.1506911</v>
      </c>
      <c r="P33" s="194" ph="1">
        <f>L19</f>
        <v>51019.343164399994</v>
      </c>
      <c r="Q33" s="186" ph="1">
        <f>J10+N10</f>
        <v>74322.227842599998</v>
      </c>
      <c r="R33" s="190" ph="1">
        <f>BE23</f>
        <v>890</v>
      </c>
      <c r="S33" s="194" ph="1">
        <f>X28</f>
        <v>209845.05098880001</v>
      </c>
      <c r="T33" s="186" ph="1">
        <f>X19</f>
        <v>13853.257057359999</v>
      </c>
      <c r="U33" s="175" ph="1">
        <f>BE21</f>
        <v>730</v>
      </c>
      <c r="V33" s="188" ph="1">
        <f ca="1">P19+Q19+S19+M28+N28+J28+D10+AC10+D19+E19+H19+J19+O19+V19+W19+K28+L28</f>
        <v>631090.11383774399</v>
      </c>
      <c r="W33" s="188" ph="1">
        <f>D28+F28+T28+I28</f>
        <v>34080.211017485999</v>
      </c>
      <c r="X33" s="190" ph="1">
        <f>BE29+BE31</f>
        <v>10200</v>
      </c>
      <c r="Y33" s="192" ph="1">
        <f>+Q10+R10+S10+T10+U10+V10+W10+X10+Y10</f>
        <v>291800.18429100001</v>
      </c>
      <c r="Z33" s="173" ph="1">
        <f>T19+U19+Y28+Z10</f>
        <v>380897.52536890004</v>
      </c>
      <c r="AA33" s="175" ph="1">
        <f>BE19</f>
        <v>1440</v>
      </c>
      <c r="AB33" s="177" ph="1">
        <f>I19</f>
        <v>1973.4804858</v>
      </c>
      <c r="AC33" s="179" ph="1">
        <f>AD10+AB19</f>
        <v>60798.238502400003</v>
      </c>
      <c r="AD33" s="181" ph="1">
        <v>0</v>
      </c>
      <c r="AE33" s="182"/>
      <c r="AH33" s="64" ph="1">
        <v>19</v>
      </c>
      <c r="AI33" s="64" t="s" ph="1">
        <v>358</v>
      </c>
      <c r="AJ33" s="64" t="s" ph="1">
        <v>592</v>
      </c>
      <c r="AK33" s="64" t="s" ph="1">
        <v>589</v>
      </c>
      <c r="AL33" s="64" ph="1">
        <v>730</v>
      </c>
      <c r="AM33" s="64" t="s" ph="1">
        <v>339</v>
      </c>
      <c r="AZ33" s="64" t="s" ph="1">
        <v>216</v>
      </c>
      <c r="BA33" s="64" ph="1">
        <v>730</v>
      </c>
      <c r="BD33" s="64" t="s" ph="1">
        <v>290</v>
      </c>
      <c r="BE33" s="64" ph="1">
        <v>3880</v>
      </c>
    </row>
    <row r="34" spans="1:57" ph="1">
      <c r="A34" s="64"/>
      <c r="B34" s="208" ph="1"/>
      <c r="C34" s="209" ph="1"/>
      <c r="D34" s="187" ph="1"/>
      <c r="E34" s="187" ph="1"/>
      <c r="F34" s="211" ph="1"/>
      <c r="G34" s="213" ph="1"/>
      <c r="H34" s="187" ph="1"/>
      <c r="I34" s="191" ph="1"/>
      <c r="J34" s="195" ph="1"/>
      <c r="K34" s="187" ph="1"/>
      <c r="L34" s="197" ph="1"/>
      <c r="M34" s="195" ph="1"/>
      <c r="N34" s="187" ph="1"/>
      <c r="O34" s="191" ph="1"/>
      <c r="P34" s="195" ph="1"/>
      <c r="Q34" s="187" ph="1"/>
      <c r="R34" s="191" ph="1"/>
      <c r="S34" s="195" ph="1"/>
      <c r="T34" s="187"/>
      <c r="U34" s="176"/>
      <c r="V34" s="189" ph="1"/>
      <c r="W34" s="189" ph="1"/>
      <c r="X34" s="191" ph="1"/>
      <c r="Y34" s="193" ph="1"/>
      <c r="Z34" s="174" ph="1"/>
      <c r="AA34" s="176" ph="1"/>
      <c r="AB34" s="178"/>
      <c r="AC34" s="180"/>
      <c r="AD34" s="183"/>
      <c r="AE34" s="184"/>
      <c r="AH34" s="64" ph="1">
        <v>20</v>
      </c>
      <c r="AI34" s="64" t="s" ph="1">
        <v>359</v>
      </c>
      <c r="AJ34" s="64" t="s" ph="1">
        <v>593</v>
      </c>
      <c r="AK34" s="64" t="s" ph="1">
        <v>589</v>
      </c>
      <c r="AL34" s="64" ph="1">
        <v>720</v>
      </c>
      <c r="AM34" s="64" t="s" ph="1">
        <v>339</v>
      </c>
      <c r="AZ34" s="64" t="s" ph="1">
        <v>216</v>
      </c>
      <c r="BA34" s="64" ph="1">
        <v>720</v>
      </c>
    </row>
    <row r="35" spans="1:57" ph="1">
      <c r="A35" s="64"/>
      <c r="AC35" s="185" t="s" ph="1">
        <v>631</v>
      </c>
      <c r="AD35" s="185"/>
      <c r="AE35" s="185"/>
      <c r="AH35" s="64" ph="1">
        <v>21</v>
      </c>
      <c r="AI35" s="64" t="s" ph="1">
        <v>360</v>
      </c>
      <c r="AZ35" s="64" t="s" ph="1">
        <v>216</v>
      </c>
      <c r="BA35" s="64" ph="1">
        <v>0</v>
      </c>
      <c r="BD35" s="64" t="s" ph="1">
        <v>361</v>
      </c>
      <c r="BE35" s="64" ph="1">
        <v>2030</v>
      </c>
    </row>
    <row r="36" spans="1:57" ht="28.2" ph="1">
      <c r="A36" s="64"/>
      <c r="B36" s="103" t="s" ph="1">
        <v>182</v>
      </c>
      <c r="I36" s="171" t="s" ph="1">
        <v>183</v>
      </c>
      <c r="J36" s="171" ph="1"/>
      <c r="K36" s="101" ph="1"/>
      <c r="P36" s="101" ph="1"/>
      <c r="R36" s="171" t="s" ph="1">
        <v>184</v>
      </c>
      <c r="S36" s="171" ph="1"/>
      <c r="Y36" s="102" ph="1"/>
      <c r="Z36" s="149" t="s" ph="1">
        <v>185</v>
      </c>
      <c r="AA36" s="149" ph="1"/>
      <c r="AB36" s="172" t="s" ph="1">
        <v>640</v>
      </c>
      <c r="AC36" s="172" ph="1"/>
      <c r="AD36" s="172" ph="1"/>
      <c r="AE36" s="172" ph="1"/>
      <c r="BA36" s="64" ph="1">
        <v>2270</v>
      </c>
    </row>
    <row r="37" spans="1:57" s="149" customFormat="1" ph="1">
      <c r="A37" s="64" ph="1"/>
      <c r="B37" s="64" ph="1"/>
      <c r="C37" s="64" ph="1"/>
      <c r="D37" s="64" ph="1"/>
      <c r="E37" s="64" ph="1"/>
      <c r="F37" s="64" ph="1"/>
      <c r="G37" s="64" ph="1"/>
      <c r="H37" s="64" ph="1"/>
      <c r="I37" s="64" ph="1"/>
      <c r="J37" s="64" ph="1"/>
      <c r="K37" s="64" ph="1"/>
      <c r="L37" s="64" ph="1"/>
      <c r="M37" s="64" ph="1"/>
      <c r="N37" s="64" ph="1"/>
      <c r="O37" s="64" ph="1"/>
      <c r="P37" s="64" ph="1"/>
      <c r="Q37" s="64" ph="1"/>
      <c r="R37" s="64" ph="1"/>
      <c r="S37" s="64" ph="1"/>
      <c r="T37" s="64" ph="1"/>
      <c r="U37" s="64" ph="1"/>
      <c r="V37" s="64" ph="1"/>
      <c r="W37" s="64" ph="1"/>
      <c r="X37" s="64" ph="1"/>
      <c r="Y37" s="64" ph="1"/>
      <c r="Z37" s="64" ph="1"/>
      <c r="AA37" s="64" ph="1"/>
      <c r="AB37" s="64" ph="1"/>
      <c r="AC37" s="64" ph="1"/>
      <c r="AD37" s="64" ph="1"/>
      <c r="AE37" s="64" ph="1"/>
      <c r="AG37" s="149" t="s" ph="1">
        <v>342</v>
      </c>
      <c r="AI37" s="149" t="s" ph="1">
        <v>209</v>
      </c>
      <c r="AJ37" s="149" t="s" ph="1">
        <v>210</v>
      </c>
      <c r="AK37" s="149" t="s" ph="1">
        <v>211</v>
      </c>
      <c r="AM37" s="149" t="s" ph="1">
        <v>210</v>
      </c>
      <c r="AN37" s="149" t="s" ph="1">
        <v>211</v>
      </c>
      <c r="AO37" s="149" t="s" ph="1">
        <v>212</v>
      </c>
      <c r="AP37" s="149" t="s" ph="1">
        <v>210</v>
      </c>
      <c r="AQ37" s="149" t="s" ph="1">
        <v>211</v>
      </c>
      <c r="AR37" s="149" t="s" ph="1">
        <v>212</v>
      </c>
      <c r="AS37" s="149" t="s" ph="1">
        <v>210</v>
      </c>
      <c r="AT37" s="149" t="s" ph="1">
        <v>211</v>
      </c>
      <c r="AU37" s="149" t="s" ph="1">
        <v>212</v>
      </c>
      <c r="AV37" s="149" t="s" ph="1">
        <v>210</v>
      </c>
      <c r="AW37" s="149" t="s" ph="1">
        <v>211</v>
      </c>
      <c r="AX37" s="149" t="s" ph="1">
        <v>212</v>
      </c>
      <c r="AY37" s="149" t="s" ph="1">
        <v>211</v>
      </c>
      <c r="AZ37" s="149" t="s" ph="1">
        <v>213</v>
      </c>
      <c r="BD37" s="149" t="s" ph="1">
        <v>305</v>
      </c>
      <c r="BE37" s="149" ph="1">
        <v>0</v>
      </c>
    </row>
    <row r="38" spans="1:57" ph="1">
      <c r="AE38" s="64" ph="1"/>
      <c r="AH38" s="64" ph="1">
        <v>1</v>
      </c>
      <c r="AI38" s="64" t="s" ph="1">
        <v>362</v>
      </c>
      <c r="AY38" s="64" t="s" ph="1">
        <v>216</v>
      </c>
      <c r="AZ38" s="64" t="s" ph="1">
        <v>367</v>
      </c>
    </row>
    <row r="39" spans="1:57" ph="1">
      <c r="AH39" s="64" ph="1">
        <v>2</v>
      </c>
      <c r="AI39" s="64" t="s" ph="1">
        <v>364</v>
      </c>
      <c r="AJ39" s="64" t="s" ph="1">
        <v>336</v>
      </c>
      <c r="AK39" s="64" t="s" ph="1">
        <v>365</v>
      </c>
      <c r="AM39" s="64" t="s" ph="1">
        <v>570</v>
      </c>
      <c r="AN39" s="64" t="s" ph="1">
        <v>228</v>
      </c>
      <c r="AO39" s="64" t="s" ph="1">
        <v>363</v>
      </c>
      <c r="AY39" s="64" t="s" ph="1">
        <v>216</v>
      </c>
      <c r="AZ39" s="64" t="s" ph="1">
        <v>499</v>
      </c>
    </row>
    <row r="40" spans="1:57" ph="1">
      <c r="AH40" s="64" ph="1">
        <v>3</v>
      </c>
      <c r="AI40" s="64" t="s" ph="1">
        <v>366</v>
      </c>
      <c r="AJ40" s="64" t="s" ph="1">
        <v>570</v>
      </c>
      <c r="AK40" s="64" t="s" ph="1">
        <v>571</v>
      </c>
      <c r="AY40" s="64" t="s" ph="1">
        <v>216</v>
      </c>
      <c r="AZ40" s="64" t="s" ph="1">
        <v>571</v>
      </c>
    </row>
    <row r="41" spans="1:57" ph="1">
      <c r="AH41" s="64" ph="1">
        <v>4</v>
      </c>
      <c r="AI41" s="64" t="s" ph="1">
        <v>368</v>
      </c>
      <c r="AJ41" s="64" t="s" ph="1">
        <v>572</v>
      </c>
      <c r="AK41" s="64" t="s" ph="1">
        <v>573</v>
      </c>
      <c r="AM41" s="64" t="s" ph="1">
        <v>574</v>
      </c>
      <c r="AY41" s="64" t="s" ph="1">
        <v>216</v>
      </c>
      <c r="AZ41" s="64" t="s" ph="1">
        <v>573</v>
      </c>
    </row>
    <row r="42" spans="1:57" ph="1">
      <c r="P42" s="64"/>
      <c r="Q42" s="64"/>
      <c r="R42" s="64"/>
      <c r="S42" s="64"/>
      <c r="T42" s="64"/>
      <c r="U42" s="64"/>
      <c r="V42" s="64"/>
      <c r="W42" s="64"/>
      <c r="X42" s="64"/>
      <c r="Y42" s="64"/>
      <c r="Z42" s="64"/>
      <c r="AA42" s="64"/>
      <c r="AB42" s="64"/>
      <c r="AC42" s="64"/>
      <c r="AD42" s="64"/>
      <c r="AE42" s="75"/>
      <c r="AH42" s="64" ph="1">
        <v>5</v>
      </c>
      <c r="AI42" s="64" t="s" ph="1">
        <v>369</v>
      </c>
      <c r="AY42" s="64" t="s" ph="1">
        <v>216</v>
      </c>
      <c r="AZ42" s="64" t="s" ph="1">
        <v>367</v>
      </c>
    </row>
    <row r="43" spans="1:57" ph="1">
      <c r="C43" s="64"/>
      <c r="D43" s="64"/>
      <c r="E43" s="64"/>
      <c r="F43" s="64"/>
      <c r="G43" s="64"/>
      <c r="H43" s="64"/>
      <c r="I43" s="64"/>
      <c r="J43" s="64"/>
      <c r="K43" s="64"/>
      <c r="L43" s="64"/>
      <c r="M43" s="64"/>
      <c r="N43" s="64"/>
      <c r="O43" s="64"/>
      <c r="P43" s="64"/>
      <c r="R43" s="64"/>
      <c r="S43" s="64"/>
      <c r="T43" s="64"/>
      <c r="U43" s="64"/>
      <c r="V43" s="64"/>
      <c r="W43" s="64"/>
      <c r="X43" s="64"/>
      <c r="Y43" s="64"/>
      <c r="Z43" s="64"/>
      <c r="AA43" s="64"/>
      <c r="AB43" s="64"/>
      <c r="AC43" s="64"/>
      <c r="AD43" s="64"/>
      <c r="AE43" s="75"/>
      <c r="AH43" s="64" ph="1">
        <v>6</v>
      </c>
      <c r="AI43" s="64" t="s" ph="1">
        <v>370</v>
      </c>
      <c r="AY43" s="64" t="s" ph="1">
        <v>216</v>
      </c>
      <c r="AZ43" s="64" t="s" ph="1">
        <v>367</v>
      </c>
    </row>
    <row r="44" spans="1:57" ph="1">
      <c r="R44" s="64"/>
      <c r="S44" s="64"/>
      <c r="T44" s="64"/>
      <c r="U44" s="64"/>
      <c r="V44" s="64"/>
      <c r="W44" s="64"/>
      <c r="X44" s="64"/>
      <c r="Y44" s="64"/>
      <c r="Z44" s="64"/>
      <c r="AA44" s="64"/>
      <c r="AB44" s="64"/>
      <c r="AC44" s="64"/>
      <c r="AD44" s="64"/>
      <c r="AE44" s="75"/>
      <c r="AH44" s="64" ph="1">
        <v>7</v>
      </c>
      <c r="AI44" s="64" t="s" ph="1">
        <v>371</v>
      </c>
      <c r="AV44" s="64" t="s" ph="1">
        <v>217</v>
      </c>
      <c r="AY44" s="64" t="s" ph="1">
        <v>216</v>
      </c>
      <c r="AZ44" s="64" t="s" ph="1">
        <v>367</v>
      </c>
    </row>
    <row r="45" spans="1:57" ph="1">
      <c r="R45" s="64"/>
      <c r="S45" s="64"/>
      <c r="T45" s="64"/>
      <c r="U45" s="64"/>
      <c r="V45" s="64"/>
      <c r="W45" s="64"/>
      <c r="X45" s="64"/>
      <c r="Y45" s="64"/>
      <c r="Z45" s="64"/>
      <c r="AA45" s="64"/>
      <c r="AB45" s="64"/>
      <c r="AC45" s="64"/>
      <c r="AD45" s="64"/>
      <c r="AE45" s="75"/>
      <c r="AH45" s="64" ph="1">
        <v>8</v>
      </c>
      <c r="AI45" s="64" t="s" ph="1">
        <v>372</v>
      </c>
      <c r="AV45" s="64" t="s" ph="1">
        <v>217</v>
      </c>
      <c r="AY45" s="64" t="s" ph="1">
        <v>216</v>
      </c>
      <c r="AZ45" s="64" t="s" ph="1">
        <v>367</v>
      </c>
    </row>
    <row r="46" spans="1:57" ph="1">
      <c r="R46" s="64"/>
      <c r="S46" s="64"/>
      <c r="T46" s="64"/>
      <c r="U46" s="64"/>
      <c r="V46" s="64"/>
      <c r="W46" s="64"/>
      <c r="X46" s="64"/>
      <c r="Y46" s="64"/>
      <c r="Z46" s="64"/>
      <c r="AA46" s="64"/>
      <c r="AB46" s="64"/>
      <c r="AC46" s="64"/>
      <c r="AD46" s="64"/>
      <c r="AE46" s="75"/>
      <c r="AH46" s="64" ph="1">
        <v>9</v>
      </c>
      <c r="AI46" s="64" t="s" ph="1">
        <v>373</v>
      </c>
      <c r="AV46" s="64" t="s" ph="1">
        <v>217</v>
      </c>
      <c r="AY46" s="64" t="s" ph="1">
        <v>216</v>
      </c>
      <c r="AZ46" s="64" t="s" ph="1">
        <v>367</v>
      </c>
    </row>
    <row r="47" spans="1:57" ph="1">
      <c r="R47" s="64"/>
      <c r="S47" s="64"/>
      <c r="T47" s="64"/>
      <c r="U47" s="64"/>
      <c r="V47" s="64"/>
      <c r="W47" s="64"/>
      <c r="X47" s="64"/>
      <c r="Y47" s="64"/>
      <c r="Z47" s="64"/>
      <c r="AA47" s="64"/>
      <c r="AB47" s="64"/>
      <c r="AC47" s="64"/>
      <c r="AD47" s="64"/>
      <c r="AE47" s="75"/>
      <c r="AH47" s="64" ph="1">
        <v>10</v>
      </c>
      <c r="AI47" s="64" t="s" ph="1">
        <v>374</v>
      </c>
      <c r="AV47" s="64" t="s" ph="1">
        <v>217</v>
      </c>
      <c r="AY47" s="64" t="s" ph="1">
        <v>216</v>
      </c>
      <c r="AZ47" s="64" t="s" ph="1">
        <v>367</v>
      </c>
    </row>
    <row r="48" spans="1:57" ph="1">
      <c r="R48" s="64"/>
      <c r="S48" s="64"/>
      <c r="T48" s="64"/>
      <c r="U48" s="64"/>
      <c r="V48" s="64"/>
      <c r="W48" s="64"/>
      <c r="X48" s="64"/>
      <c r="Y48" s="64"/>
      <c r="Z48" s="64"/>
      <c r="AA48" s="64"/>
      <c r="AB48" s="64"/>
      <c r="AC48" s="64"/>
      <c r="AD48" s="64"/>
      <c r="AE48" s="75"/>
      <c r="AZ48" s="64" t="s" ph="1">
        <v>575</v>
      </c>
    </row>
    <row r="49" spans="16:52" ph="1">
      <c r="R49" s="64"/>
      <c r="S49" s="64"/>
      <c r="T49" s="64"/>
      <c r="U49" s="64"/>
      <c r="V49" s="64"/>
      <c r="W49" s="64"/>
      <c r="X49" s="64"/>
      <c r="Y49" s="64"/>
      <c r="Z49" s="64"/>
      <c r="AA49" s="64"/>
      <c r="AB49" s="64"/>
      <c r="AC49" s="64"/>
      <c r="AD49" s="64"/>
      <c r="AE49" s="75"/>
      <c r="AG49" s="64" t="s" ph="1">
        <v>232</v>
      </c>
      <c r="AI49" s="64" t="s" ph="1">
        <v>209</v>
      </c>
      <c r="AJ49" s="64" t="s" ph="1">
        <v>210</v>
      </c>
      <c r="AK49" s="64" t="s" ph="1">
        <v>211</v>
      </c>
      <c r="AM49" s="64" t="s" ph="1">
        <v>210</v>
      </c>
      <c r="AN49" s="64" t="s" ph="1">
        <v>211</v>
      </c>
      <c r="AO49" s="64" t="s" ph="1">
        <v>212</v>
      </c>
      <c r="AP49" s="64" t="s" ph="1">
        <v>210</v>
      </c>
      <c r="AQ49" s="64" t="s" ph="1">
        <v>211</v>
      </c>
      <c r="AR49" s="64" t="s" ph="1">
        <v>212</v>
      </c>
      <c r="AS49" s="64" t="s" ph="1">
        <v>210</v>
      </c>
      <c r="AT49" s="64" t="s" ph="1">
        <v>211</v>
      </c>
      <c r="AU49" s="64" t="s" ph="1">
        <v>212</v>
      </c>
      <c r="AV49" s="64" t="s" ph="1">
        <v>210</v>
      </c>
      <c r="AW49" s="64" t="s" ph="1">
        <v>211</v>
      </c>
      <c r="AX49" s="64" t="s" ph="1">
        <v>212</v>
      </c>
      <c r="AY49" s="64" t="s" ph="1">
        <v>211</v>
      </c>
      <c r="AZ49" s="64" t="s" ph="1">
        <v>213</v>
      </c>
    </row>
    <row r="50" spans="16:52" ph="1">
      <c r="R50" s="64"/>
      <c r="S50" s="64"/>
      <c r="T50" s="64"/>
      <c r="U50" s="64"/>
      <c r="V50" s="64"/>
      <c r="W50" s="64"/>
      <c r="X50" s="64"/>
      <c r="Y50" s="64"/>
      <c r="Z50" s="64"/>
      <c r="AA50" s="64"/>
      <c r="AB50" s="64"/>
      <c r="AC50" s="64"/>
      <c r="AD50" s="64"/>
      <c r="AE50" s="75"/>
      <c r="AH50" s="64" ph="1">
        <v>1</v>
      </c>
      <c r="AI50" s="64" t="s" ph="1">
        <v>375</v>
      </c>
      <c r="AY50" s="64" t="s" ph="1">
        <v>216</v>
      </c>
      <c r="AZ50" s="64" t="s" ph="1">
        <v>367</v>
      </c>
    </row>
    <row r="51" spans="16:52" ph="1">
      <c r="R51" s="64"/>
      <c r="S51" s="64"/>
      <c r="T51" s="64"/>
      <c r="U51" s="64"/>
      <c r="V51" s="64"/>
      <c r="W51" s="64"/>
      <c r="X51" s="64"/>
      <c r="Y51" s="64"/>
      <c r="Z51" s="64"/>
      <c r="AA51" s="64"/>
      <c r="AB51" s="64"/>
      <c r="AC51" s="64"/>
      <c r="AD51" s="64"/>
      <c r="AE51" s="75"/>
      <c r="AH51" s="64" ph="1">
        <v>2</v>
      </c>
      <c r="AI51" s="64" t="s" ph="1">
        <v>376</v>
      </c>
      <c r="AY51" s="64" t="s" ph="1">
        <v>216</v>
      </c>
      <c r="AZ51" s="64" t="s" ph="1">
        <v>367</v>
      </c>
    </row>
    <row r="52" spans="16:52" ph="1">
      <c r="R52" s="64"/>
      <c r="S52" s="64"/>
      <c r="T52" s="64"/>
      <c r="U52" s="64"/>
      <c r="V52" s="64"/>
      <c r="W52" s="64"/>
      <c r="X52" s="64"/>
      <c r="Y52" s="64"/>
      <c r="Z52" s="64"/>
      <c r="AA52" s="64"/>
      <c r="AB52" s="64"/>
      <c r="AC52" s="64"/>
      <c r="AD52" s="64"/>
      <c r="AE52" s="75"/>
      <c r="AH52" s="64" ph="1">
        <v>3</v>
      </c>
      <c r="AI52" s="64" t="s" ph="1">
        <v>377</v>
      </c>
      <c r="AJ52" s="64" t="s" ph="1">
        <v>334</v>
      </c>
      <c r="AK52" s="64" t="s" ph="1">
        <v>228</v>
      </c>
      <c r="AM52" s="64" t="s" ph="1">
        <v>336</v>
      </c>
      <c r="AN52" s="64" t="s" ph="1">
        <v>300</v>
      </c>
      <c r="AO52" s="64" t="s" ph="1">
        <v>233</v>
      </c>
      <c r="AP52" s="64" t="s" ph="1">
        <v>570</v>
      </c>
      <c r="AQ52" s="64" t="s" ph="1">
        <v>282</v>
      </c>
      <c r="AR52" s="64" t="s" ph="1">
        <v>233</v>
      </c>
      <c r="AY52" s="64" t="s" ph="1">
        <v>216</v>
      </c>
      <c r="AZ52" s="64" t="s" ph="1">
        <v>576</v>
      </c>
    </row>
    <row r="53" spans="16:52" ph="1">
      <c r="R53" s="64"/>
      <c r="S53" s="64"/>
      <c r="T53" s="64"/>
      <c r="U53" s="64"/>
      <c r="W53" s="64"/>
      <c r="X53" s="64"/>
      <c r="Y53" s="64"/>
      <c r="Z53" s="64"/>
      <c r="AA53" s="64"/>
      <c r="AB53" s="64"/>
      <c r="AC53" s="64"/>
      <c r="AD53" s="64"/>
      <c r="AH53" s="64" ph="1">
        <v>4</v>
      </c>
      <c r="AI53" s="64" t="s" ph="1">
        <v>378</v>
      </c>
      <c r="AY53" s="64" t="s" ph="1">
        <v>216</v>
      </c>
      <c r="AZ53" s="64" t="s" ph="1">
        <v>367</v>
      </c>
    </row>
    <row r="54" spans="16:52" ph="1">
      <c r="R54" s="64"/>
      <c r="S54" s="64"/>
      <c r="T54" s="64"/>
      <c r="U54" s="64"/>
      <c r="W54" s="64"/>
      <c r="X54" s="64"/>
      <c r="Y54" s="64"/>
      <c r="Z54" s="64"/>
      <c r="AA54" s="64"/>
      <c r="AC54" s="64"/>
      <c r="AD54" s="64"/>
      <c r="AH54" s="64" ph="1">
        <v>5</v>
      </c>
      <c r="AI54" s="64" t="s" ph="1">
        <v>379</v>
      </c>
      <c r="AJ54" s="64" t="s" ph="1">
        <v>334</v>
      </c>
      <c r="AK54" s="64" t="s" ph="1">
        <v>219</v>
      </c>
      <c r="AM54" s="64" t="s" ph="1">
        <v>336</v>
      </c>
      <c r="AN54" s="64" t="s" ph="1">
        <v>224</v>
      </c>
      <c r="AO54" s="64" t="s" ph="1">
        <v>233</v>
      </c>
      <c r="AP54" s="64" t="s" ph="1">
        <v>570</v>
      </c>
      <c r="AQ54" s="64" t="s" ph="1">
        <v>240</v>
      </c>
      <c r="AR54" s="64" t="s" ph="1">
        <v>233</v>
      </c>
      <c r="AY54" s="64" t="s" ph="1">
        <v>216</v>
      </c>
      <c r="AZ54" s="64" t="s" ph="1">
        <v>234</v>
      </c>
    </row>
    <row r="55" spans="16:52" ph="1">
      <c r="R55" s="64"/>
      <c r="S55" s="64"/>
      <c r="T55" s="64"/>
      <c r="U55" s="64"/>
      <c r="V55" s="64"/>
      <c r="W55" s="64"/>
      <c r="X55" s="64"/>
      <c r="Z55" s="64"/>
      <c r="AC55" s="64"/>
      <c r="AD55" s="64"/>
      <c r="AE55" s="75"/>
      <c r="AH55" s="64" ph="1">
        <v>6</v>
      </c>
      <c r="AI55" s="64" t="s" ph="1">
        <v>380</v>
      </c>
      <c r="AY55" s="64" t="s" ph="1">
        <v>216</v>
      </c>
      <c r="AZ55" s="64" t="s" ph="1">
        <v>367</v>
      </c>
    </row>
    <row r="56" spans="16:52" ph="1">
      <c r="P56" s="64" ph="1">
        <v>20260804</v>
      </c>
      <c r="R56" s="64"/>
      <c r="S56" s="64"/>
      <c r="T56" s="64"/>
      <c r="U56" s="64"/>
      <c r="V56" s="64"/>
      <c r="W56" s="64"/>
      <c r="X56" s="64"/>
      <c r="Z56" s="64"/>
      <c r="AA56" s="64"/>
      <c r="AB56" s="64"/>
      <c r="AC56" s="64"/>
      <c r="AD56" s="64"/>
      <c r="AE56" s="75"/>
      <c r="AH56" s="64" ph="1">
        <v>7</v>
      </c>
      <c r="AI56" s="64" t="s" ph="1">
        <v>381</v>
      </c>
      <c r="AY56" s="64" t="s" ph="1">
        <v>216</v>
      </c>
      <c r="AZ56" s="64" t="s" ph="1">
        <v>367</v>
      </c>
    </row>
    <row r="57" spans="16:52" ph="1">
      <c r="R57" s="64"/>
      <c r="S57" s="64"/>
      <c r="T57" s="64"/>
      <c r="U57" s="64"/>
      <c r="V57" s="64"/>
      <c r="W57" s="64"/>
      <c r="AA57" s="64"/>
      <c r="AB57" s="64"/>
      <c r="AC57" s="64"/>
      <c r="AD57" s="64"/>
      <c r="AE57" s="75"/>
      <c r="AH57" s="64" ph="1">
        <v>8</v>
      </c>
      <c r="AI57" s="64" t="s" ph="1">
        <v>382</v>
      </c>
      <c r="AY57" s="64" t="s" ph="1">
        <v>216</v>
      </c>
      <c r="AZ57" s="64" t="s" ph="1">
        <v>367</v>
      </c>
    </row>
    <row r="58" spans="16:52" ph="1">
      <c r="P58" s="64"/>
      <c r="AN58" s="64" t="s" ph="1">
        <v>217</v>
      </c>
      <c r="AZ58" s="64" t="s" ph="1">
        <v>577</v>
      </c>
    </row>
    <row r="59" spans="16:52" ph="1">
      <c r="V59" s="64"/>
      <c r="AG59" s="64" t="s" ph="1">
        <v>235</v>
      </c>
      <c r="AI59" s="64" t="s" ph="1">
        <v>209</v>
      </c>
      <c r="AJ59" s="64" t="s" ph="1">
        <v>210</v>
      </c>
      <c r="AK59" s="64" t="s" ph="1">
        <v>211</v>
      </c>
      <c r="AM59" s="64" t="s" ph="1">
        <v>210</v>
      </c>
      <c r="AN59" s="64" t="s" ph="1">
        <v>211</v>
      </c>
      <c r="AO59" s="64" t="s" ph="1">
        <v>212</v>
      </c>
      <c r="AP59" s="64" t="s" ph="1">
        <v>210</v>
      </c>
      <c r="AQ59" s="64" t="s" ph="1">
        <v>211</v>
      </c>
      <c r="AR59" s="64" t="s" ph="1">
        <v>212</v>
      </c>
      <c r="AS59" s="64" t="s" ph="1">
        <v>210</v>
      </c>
      <c r="AT59" s="64" t="s" ph="1">
        <v>211</v>
      </c>
      <c r="AU59" s="64" t="s" ph="1">
        <v>212</v>
      </c>
      <c r="AV59" s="64" t="s" ph="1">
        <v>210</v>
      </c>
      <c r="AW59" s="64" t="s" ph="1">
        <v>211</v>
      </c>
      <c r="AX59" s="64" t="s" ph="1">
        <v>212</v>
      </c>
      <c r="AY59" s="64" t="s" ph="1">
        <v>211</v>
      </c>
      <c r="AZ59" s="64" t="s" ph="1">
        <v>213</v>
      </c>
    </row>
    <row r="60" spans="16:52" ph="1">
      <c r="R60" s="64"/>
      <c r="S60" s="64"/>
      <c r="T60" s="64"/>
      <c r="AH60" s="64" ph="1">
        <v>1</v>
      </c>
      <c r="AI60" s="64" t="s" ph="1">
        <v>383</v>
      </c>
      <c r="AY60" s="64" t="s" ph="1">
        <v>216</v>
      </c>
      <c r="AZ60" s="64" t="s" ph="1">
        <v>367</v>
      </c>
    </row>
    <row r="61" spans="16:52" ph="1">
      <c r="AH61" s="64" ph="1">
        <v>2</v>
      </c>
      <c r="AI61" s="64" t="s" ph="1">
        <v>384</v>
      </c>
      <c r="AS61" s="64" t="s" ph="1">
        <v>217</v>
      </c>
      <c r="AY61" s="64" t="s" ph="1">
        <v>216</v>
      </c>
      <c r="AZ61" s="64" t="s" ph="1">
        <v>367</v>
      </c>
    </row>
    <row r="62" spans="16:52" ph="1">
      <c r="AZ62" s="64" t="s" ph="1">
        <v>385</v>
      </c>
    </row>
    <row r="63" spans="16:52" ph="1">
      <c r="AG63" s="64" t="s" ph="1">
        <v>238</v>
      </c>
      <c r="AI63" s="64" t="s" ph="1">
        <v>209</v>
      </c>
      <c r="AJ63" s="64" t="s" ph="1">
        <v>210</v>
      </c>
      <c r="AK63" s="64" t="s" ph="1">
        <v>211</v>
      </c>
      <c r="AM63" s="64" t="s" ph="1">
        <v>210</v>
      </c>
      <c r="AN63" s="64" t="s" ph="1">
        <v>211</v>
      </c>
      <c r="AO63" s="64" t="s" ph="1">
        <v>212</v>
      </c>
      <c r="AP63" s="64" t="s" ph="1">
        <v>210</v>
      </c>
      <c r="AQ63" s="64" t="s" ph="1">
        <v>211</v>
      </c>
      <c r="AR63" s="64" t="s" ph="1">
        <v>212</v>
      </c>
      <c r="AS63" s="64" t="s" ph="1">
        <v>210</v>
      </c>
      <c r="AT63" s="64" t="s" ph="1">
        <v>211</v>
      </c>
      <c r="AU63" s="64" t="s" ph="1">
        <v>212</v>
      </c>
      <c r="AV63" s="64" t="s" ph="1">
        <v>210</v>
      </c>
      <c r="AW63" s="64" t="s" ph="1">
        <v>211</v>
      </c>
      <c r="AX63" s="64" t="s" ph="1">
        <v>212</v>
      </c>
      <c r="AY63" s="64" t="s" ph="1">
        <v>211</v>
      </c>
      <c r="AZ63" s="64" t="s" ph="1">
        <v>213</v>
      </c>
    </row>
    <row r="64" spans="16:52" ph="1">
      <c r="AH64" s="64" ph="1">
        <v>1</v>
      </c>
      <c r="AI64" s="64" t="s" ph="1">
        <v>386</v>
      </c>
      <c r="AJ64" s="64" t="s" ph="1">
        <v>387</v>
      </c>
      <c r="AK64" s="64" t="s" ph="1">
        <v>388</v>
      </c>
      <c r="AY64" s="64" t="s" ph="1">
        <v>216</v>
      </c>
      <c r="AZ64" s="64" t="s" ph="1">
        <v>388</v>
      </c>
    </row>
    <row r="65" spans="33:52" ph="1">
      <c r="AH65" s="64" ph="1">
        <v>2</v>
      </c>
      <c r="AI65" s="64" t="s" ph="1">
        <v>389</v>
      </c>
      <c r="AY65" s="64" t="s" ph="1">
        <v>216</v>
      </c>
      <c r="AZ65" s="64" t="s" ph="1">
        <v>367</v>
      </c>
    </row>
    <row r="66" spans="33:52" ph="1">
      <c r="AH66" s="64" ph="1">
        <v>3</v>
      </c>
      <c r="AI66" s="64" t="s" ph="1">
        <v>390</v>
      </c>
      <c r="AY66" s="64" t="s" ph="1">
        <v>216</v>
      </c>
      <c r="AZ66" s="64" t="s" ph="1">
        <v>367</v>
      </c>
    </row>
    <row r="67" spans="33:52" ph="1">
      <c r="AH67" s="64" ph="1">
        <v>4</v>
      </c>
      <c r="AI67" s="64" t="s" ph="1">
        <v>391</v>
      </c>
      <c r="AY67" s="64" t="s" ph="1">
        <v>216</v>
      </c>
      <c r="AZ67" s="64" t="s" ph="1">
        <v>367</v>
      </c>
    </row>
    <row r="68" spans="33:52" ph="1">
      <c r="AH68" s="64" ph="1">
        <v>5</v>
      </c>
      <c r="AI68" s="64" t="s" ph="1">
        <v>392</v>
      </c>
      <c r="AY68" s="64" t="s" ph="1">
        <v>216</v>
      </c>
      <c r="AZ68" s="64" t="s" ph="1">
        <v>367</v>
      </c>
    </row>
    <row r="69" spans="33:52" ph="1">
      <c r="AH69" s="64" ph="1">
        <v>6</v>
      </c>
      <c r="AI69" s="64" t="s" ph="1">
        <v>393</v>
      </c>
      <c r="AY69" s="64" t="s" ph="1">
        <v>216</v>
      </c>
      <c r="AZ69" s="64" t="s" ph="1">
        <v>367</v>
      </c>
    </row>
    <row r="70" spans="33:52" ph="1">
      <c r="AI70" s="64" t="s" ph="1">
        <v>394</v>
      </c>
      <c r="AY70" s="64" t="s" ph="1">
        <v>216</v>
      </c>
      <c r="AZ70" s="64" t="s" ph="1">
        <v>367</v>
      </c>
    </row>
    <row r="71" spans="33:52" ph="1">
      <c r="AH71" s="64" ph="1">
        <v>7</v>
      </c>
      <c r="AI71" s="64" t="s" ph="1">
        <v>395</v>
      </c>
      <c r="AJ71" s="64" t="s" ph="1">
        <v>334</v>
      </c>
      <c r="AK71" s="64" t="s" ph="1">
        <v>228</v>
      </c>
      <c r="AM71" s="64" t="s" ph="1">
        <v>336</v>
      </c>
      <c r="AN71" s="64" t="s" ph="1">
        <v>228</v>
      </c>
      <c r="AO71" s="64" t="s" ph="1">
        <v>396</v>
      </c>
      <c r="AP71" s="64" t="s" ph="1">
        <v>570</v>
      </c>
      <c r="AQ71" s="64" t="s" ph="1">
        <v>219</v>
      </c>
      <c r="AR71" s="64" t="s" ph="1">
        <v>396</v>
      </c>
      <c r="AY71" s="64" t="s" ph="1">
        <v>216</v>
      </c>
      <c r="AZ71" s="64" t="s" ph="1">
        <v>578</v>
      </c>
    </row>
    <row r="72" spans="33:52" ph="1">
      <c r="AZ72" s="64" t="s" ph="1">
        <v>579</v>
      </c>
    </row>
    <row r="73" spans="33:52" ph="1">
      <c r="AG73" s="64" t="s" ph="1">
        <v>241</v>
      </c>
      <c r="AI73" s="64" t="s" ph="1">
        <v>209</v>
      </c>
      <c r="AJ73" s="64" t="s" ph="1">
        <v>210</v>
      </c>
      <c r="AK73" s="64" t="s" ph="1">
        <v>211</v>
      </c>
      <c r="AM73" s="64" t="s" ph="1">
        <v>210</v>
      </c>
      <c r="AN73" s="64" t="s" ph="1">
        <v>211</v>
      </c>
      <c r="AO73" s="64" t="s" ph="1">
        <v>212</v>
      </c>
      <c r="AP73" s="64" t="s" ph="1">
        <v>210</v>
      </c>
      <c r="AQ73" s="64" t="s" ph="1">
        <v>211</v>
      </c>
      <c r="AR73" s="64" t="s" ph="1">
        <v>212</v>
      </c>
      <c r="AS73" s="64" t="s" ph="1">
        <v>210</v>
      </c>
      <c r="AT73" s="64" t="s" ph="1">
        <v>211</v>
      </c>
      <c r="AU73" s="64" t="s" ph="1">
        <v>212</v>
      </c>
      <c r="AV73" s="64" t="s" ph="1">
        <v>210</v>
      </c>
      <c r="AW73" s="64" t="s" ph="1">
        <v>211</v>
      </c>
      <c r="AX73" s="64" t="s" ph="1">
        <v>212</v>
      </c>
      <c r="AY73" s="64" t="s" ph="1">
        <v>211</v>
      </c>
      <c r="AZ73" s="64" t="s" ph="1">
        <v>213</v>
      </c>
    </row>
    <row r="74" spans="33:52" ph="1">
      <c r="AH74" s="64" ph="1">
        <v>1</v>
      </c>
      <c r="AI74" s="64" t="s" ph="1">
        <v>397</v>
      </c>
      <c r="AJ74" s="64" t="s" ph="1">
        <v>242</v>
      </c>
      <c r="AK74" s="64" t="s" ph="1">
        <v>224</v>
      </c>
      <c r="AM74" s="64" t="s" ph="1">
        <v>244</v>
      </c>
      <c r="AN74" s="64" t="s" ph="1">
        <v>254</v>
      </c>
      <c r="AO74" s="64" t="s" ph="1">
        <v>243</v>
      </c>
      <c r="AP74" s="64" t="s" ph="1">
        <v>245</v>
      </c>
      <c r="AQ74" s="64" t="s" ph="1">
        <v>222</v>
      </c>
      <c r="AR74" s="64" t="s" ph="1">
        <v>243</v>
      </c>
      <c r="AS74" s="64" t="s" ph="1">
        <v>215</v>
      </c>
      <c r="AT74" s="64" t="s" ph="1">
        <v>217</v>
      </c>
      <c r="AV74" s="64" t="s" ph="1">
        <v>398</v>
      </c>
      <c r="AW74" s="64" t="s" ph="1">
        <v>399</v>
      </c>
      <c r="AX74" s="64" t="s" ph="1">
        <v>400</v>
      </c>
      <c r="AY74" s="64" t="s" ph="1">
        <v>216</v>
      </c>
      <c r="AZ74" s="64" t="s" ph="1">
        <v>401</v>
      </c>
    </row>
    <row r="75" spans="33:52" ph="1">
      <c r="AJ75" s="64" t="s" ph="1">
        <v>247</v>
      </c>
      <c r="AK75" s="64" t="s" ph="1">
        <v>300</v>
      </c>
      <c r="AM75" s="64" t="s" ph="1">
        <v>245</v>
      </c>
      <c r="AN75" s="64" t="s" ph="1">
        <v>225</v>
      </c>
      <c r="AO75" s="64" t="s" ph="1">
        <v>243</v>
      </c>
      <c r="AS75" s="64" t="s" ph="1">
        <v>215</v>
      </c>
      <c r="AT75" s="64" t="s" ph="1">
        <v>246</v>
      </c>
    </row>
    <row r="76" spans="33:52" ph="1">
      <c r="AJ76" s="64" t="s" ph="1">
        <v>247</v>
      </c>
      <c r="AK76" s="64" t="s" ph="1">
        <v>240</v>
      </c>
      <c r="AM76" s="64" t="s" ph="1">
        <v>245</v>
      </c>
      <c r="AN76" s="64" t="s" ph="1">
        <v>228</v>
      </c>
      <c r="AO76" s="64" t="s" ph="1">
        <v>243</v>
      </c>
      <c r="AS76" s="64" t="s" ph="1">
        <v>215</v>
      </c>
      <c r="AT76" s="64" t="s" ph="1">
        <v>246</v>
      </c>
    </row>
    <row r="77" spans="33:52" ph="1">
      <c r="AJ77" s="64" t="s" ph="1">
        <v>283</v>
      </c>
      <c r="AK77" s="64" t="s" ph="1">
        <v>240</v>
      </c>
      <c r="AM77" s="64" t="s" ph="1">
        <v>284</v>
      </c>
      <c r="AN77" s="64" t="s" ph="1">
        <v>223</v>
      </c>
      <c r="AO77" s="64" t="s" ph="1">
        <v>243</v>
      </c>
      <c r="AS77" s="64" t="s" ph="1">
        <v>215</v>
      </c>
      <c r="AT77" s="64" t="s" ph="1">
        <v>285</v>
      </c>
    </row>
    <row r="78" spans="33:52" ph="1">
      <c r="AH78" s="64" ph="1">
        <v>2</v>
      </c>
      <c r="AI78" s="64" t="s" ph="1">
        <v>249</v>
      </c>
      <c r="AJ78" s="64" t="s" ph="1">
        <v>250</v>
      </c>
      <c r="AK78" s="64" t="s" ph="1">
        <v>219</v>
      </c>
      <c r="AM78" s="64" t="s" ph="1">
        <v>251</v>
      </c>
      <c r="AN78" s="64" t="s" ph="1">
        <v>254</v>
      </c>
      <c r="AO78" s="64" t="s" ph="1">
        <v>243</v>
      </c>
      <c r="AP78" s="64" t="s" ph="1">
        <v>252</v>
      </c>
      <c r="AQ78" s="64" t="s" ph="1">
        <v>298</v>
      </c>
      <c r="AR78" s="64" t="s" ph="1">
        <v>243</v>
      </c>
      <c r="AS78" s="64" t="s" ph="1">
        <v>253</v>
      </c>
      <c r="AT78" s="64" t="s" ph="1">
        <v>254</v>
      </c>
      <c r="AU78" s="64" t="s" ph="1">
        <v>243</v>
      </c>
      <c r="AV78" s="64" t="s" ph="1">
        <v>255</v>
      </c>
      <c r="AW78" s="64" t="s" ph="1">
        <v>243</v>
      </c>
      <c r="AY78" s="64" t="s" ph="1">
        <v>216</v>
      </c>
      <c r="AZ78" s="64" t="s" ph="1">
        <v>402</v>
      </c>
    </row>
    <row r="79" spans="33:52" ph="1">
      <c r="AJ79" s="64" t="s" ph="1">
        <v>245</v>
      </c>
      <c r="AK79" s="64" t="s" ph="1">
        <v>256</v>
      </c>
      <c r="AM79" s="64" t="s" ph="1">
        <v>257</v>
      </c>
      <c r="AN79" s="64" t="s" ph="1">
        <v>225</v>
      </c>
      <c r="AO79" s="64" t="s" ph="1">
        <v>243</v>
      </c>
      <c r="AP79" s="64" t="s" ph="1">
        <v>258</v>
      </c>
      <c r="AQ79" s="64" t="s" ph="1">
        <v>223</v>
      </c>
      <c r="AR79" s="64" t="s" ph="1">
        <v>259</v>
      </c>
      <c r="AS79" s="64" t="s" ph="1">
        <v>215</v>
      </c>
      <c r="AT79" s="64" t="s" ph="1">
        <v>260</v>
      </c>
      <c r="AV79" s="64" t="s" ph="1">
        <v>403</v>
      </c>
      <c r="AW79" s="64" t="s" ph="1">
        <v>302</v>
      </c>
      <c r="AX79" s="64" t="s" ph="1">
        <v>400</v>
      </c>
    </row>
    <row r="80" spans="33:52" ph="1">
      <c r="AH80" s="64" ph="1">
        <v>3</v>
      </c>
      <c r="AI80" s="64" t="s" ph="1">
        <v>261</v>
      </c>
      <c r="AJ80" s="64" t="s" ph="1">
        <v>262</v>
      </c>
      <c r="AK80" s="64" t="s" ph="1">
        <v>263</v>
      </c>
      <c r="AM80" s="64" t="s" ph="1">
        <v>264</v>
      </c>
      <c r="AN80" s="64" t="s" ph="1">
        <v>254</v>
      </c>
      <c r="AO80" s="64" t="s" ph="1">
        <v>243</v>
      </c>
      <c r="AP80" s="64" t="s" ph="1">
        <v>265</v>
      </c>
      <c r="AQ80" s="64" t="s" ph="1">
        <v>228</v>
      </c>
      <c r="AR80" s="64" t="s" ph="1">
        <v>243</v>
      </c>
      <c r="AS80" s="64" t="s" ph="1">
        <v>266</v>
      </c>
      <c r="AT80" s="64" t="s" ph="1">
        <v>227</v>
      </c>
      <c r="AU80" s="64" t="s" ph="1">
        <v>243</v>
      </c>
      <c r="AV80" s="64" t="s" ph="1">
        <v>267</v>
      </c>
      <c r="AW80" s="64" t="s" ph="1">
        <v>243</v>
      </c>
      <c r="AY80" s="64" t="s" ph="1">
        <v>216</v>
      </c>
      <c r="AZ80" s="64" t="s" ph="1">
        <v>404</v>
      </c>
    </row>
    <row r="81" spans="34:52" ph="1">
      <c r="AJ81" s="64" t="s" ph="1">
        <v>268</v>
      </c>
      <c r="AK81" s="64" t="s" ph="1">
        <v>222</v>
      </c>
      <c r="AM81" s="64" t="s" ph="1">
        <v>269</v>
      </c>
      <c r="AN81" s="64" t="s" ph="1">
        <v>225</v>
      </c>
      <c r="AO81" s="64" t="s" ph="1">
        <v>243</v>
      </c>
      <c r="AP81" s="64" t="s" ph="1">
        <v>270</v>
      </c>
      <c r="AQ81" s="64" t="s" ph="1">
        <v>254</v>
      </c>
      <c r="AR81" s="64" t="s" ph="1">
        <v>243</v>
      </c>
      <c r="AS81" s="64" t="s" ph="1">
        <v>271</v>
      </c>
      <c r="AT81" s="64" t="s" ph="1">
        <v>272</v>
      </c>
      <c r="AU81" s="64" t="s" ph="1">
        <v>243</v>
      </c>
      <c r="AV81" s="64" t="s" ph="1">
        <v>273</v>
      </c>
    </row>
    <row r="82" spans="34:52" ph="1">
      <c r="AJ82" s="64" t="s" ph="1">
        <v>274</v>
      </c>
      <c r="AK82" s="64" t="s" ph="1">
        <v>222</v>
      </c>
      <c r="AM82" s="64" t="s" ph="1">
        <v>275</v>
      </c>
      <c r="AN82" s="64" t="s" ph="1">
        <v>272</v>
      </c>
      <c r="AO82" s="64" t="s" ph="1">
        <v>276</v>
      </c>
      <c r="AP82" s="64" t="s" ph="1">
        <v>277</v>
      </c>
      <c r="AQ82" s="64" t="s" ph="1">
        <v>254</v>
      </c>
      <c r="AR82" s="64" t="s" ph="1">
        <v>243</v>
      </c>
      <c r="AS82" s="64" t="s" ph="1">
        <v>278</v>
      </c>
      <c r="AT82" s="64" t="s" ph="1">
        <v>229</v>
      </c>
      <c r="AU82" s="64" t="s" ph="1">
        <v>243</v>
      </c>
      <c r="AV82" s="64" t="s" ph="1">
        <v>403</v>
      </c>
      <c r="AW82" s="64" t="s" ph="1">
        <v>303</v>
      </c>
      <c r="AX82" s="64" t="s" ph="1">
        <v>400</v>
      </c>
    </row>
    <row r="83" spans="34:52" ph="1">
      <c r="AJ83" s="64" t="s" ph="1">
        <v>279</v>
      </c>
      <c r="AK83" s="64" t="s" ph="1">
        <v>296</v>
      </c>
      <c r="AM83" s="64" t="s" ph="1">
        <v>280</v>
      </c>
      <c r="AN83" s="64" t="s" ph="1">
        <v>228</v>
      </c>
      <c r="AO83" s="64" t="s" ph="1">
        <v>259</v>
      </c>
      <c r="AP83" s="64" t="s" ph="1">
        <v>281</v>
      </c>
      <c r="AQ83" s="64" t="s" ph="1">
        <v>282</v>
      </c>
      <c r="AR83" s="64" t="s" ph="1">
        <v>259</v>
      </c>
      <c r="AS83" s="64" t="s" ph="1">
        <v>405</v>
      </c>
      <c r="AT83" s="64" t="s" ph="1">
        <v>254</v>
      </c>
      <c r="AU83" s="64" t="s" ph="1">
        <v>259</v>
      </c>
      <c r="AV83" s="64" t="s" ph="1">
        <v>406</v>
      </c>
      <c r="AW83" s="64" t="s" ph="1">
        <v>303</v>
      </c>
      <c r="AX83" s="64" t="s" ph="1">
        <v>407</v>
      </c>
    </row>
    <row r="84" spans="34:52" ph="1">
      <c r="AH84" s="64" ph="1">
        <v>4</v>
      </c>
      <c r="AI84" s="64" t="s" ph="1">
        <v>286</v>
      </c>
      <c r="AJ84" s="64" t="s" ph="1">
        <v>226</v>
      </c>
      <c r="AK84" s="64" t="s" ph="1">
        <v>229</v>
      </c>
      <c r="AM84" s="64" t="s" ph="1">
        <v>230</v>
      </c>
      <c r="AN84" s="64" t="s" ph="1">
        <v>223</v>
      </c>
      <c r="AO84" s="64" t="s" ph="1">
        <v>259</v>
      </c>
      <c r="AP84" s="64" t="s" ph="1">
        <v>288</v>
      </c>
      <c r="AQ84" s="64" t="s" ph="1">
        <v>222</v>
      </c>
      <c r="AR84" s="64" t="s" ph="1">
        <v>259</v>
      </c>
      <c r="AS84" s="64" t="s" ph="1">
        <v>288</v>
      </c>
      <c r="AT84" s="64" t="s" ph="1">
        <v>224</v>
      </c>
      <c r="AU84" s="64" t="s" ph="1">
        <v>259</v>
      </c>
      <c r="AY84" s="64" t="s" ph="1">
        <v>216</v>
      </c>
      <c r="AZ84" s="64" t="s" ph="1">
        <v>408</v>
      </c>
    </row>
    <row r="85" spans="34:52" ph="1">
      <c r="AJ85" s="64" t="s" ph="1">
        <v>218</v>
      </c>
      <c r="AK85" s="64" t="s" ph="1">
        <v>222</v>
      </c>
      <c r="AM85" s="64" t="s" ph="1">
        <v>409</v>
      </c>
      <c r="AN85" s="64" t="s" ph="1">
        <v>229</v>
      </c>
      <c r="AO85" s="64" t="s" ph="1">
        <v>259</v>
      </c>
      <c r="AP85" s="64" t="s" ph="1">
        <v>410</v>
      </c>
      <c r="AQ85" s="64" t="s" ph="1">
        <v>225</v>
      </c>
      <c r="AR85" s="64" t="s" ph="1">
        <v>259</v>
      </c>
      <c r="AS85" s="64" t="s" ph="1">
        <v>411</v>
      </c>
      <c r="AT85" s="64" t="s" ph="1">
        <v>225</v>
      </c>
      <c r="AU85" s="64" t="s" ph="1">
        <v>259</v>
      </c>
    </row>
    <row r="86" spans="34:52" ph="1">
      <c r="AJ86" s="64" t="s" ph="1">
        <v>412</v>
      </c>
      <c r="AK86" s="64" t="s" ph="1">
        <v>231</v>
      </c>
      <c r="AM86" s="64" t="s" ph="1">
        <v>413</v>
      </c>
      <c r="AN86" s="64" t="s" ph="1">
        <v>272</v>
      </c>
      <c r="AO86" s="64" t="s" ph="1">
        <v>259</v>
      </c>
      <c r="AP86" s="64" t="s" ph="1">
        <v>414</v>
      </c>
      <c r="AQ86" s="64" t="s" ph="1">
        <v>219</v>
      </c>
      <c r="AR86" s="64" t="s" ph="1">
        <v>259</v>
      </c>
      <c r="AS86" s="64" t="s" ph="1">
        <v>415</v>
      </c>
      <c r="AT86" s="64" t="s" ph="1">
        <v>237</v>
      </c>
      <c r="AU86" s="64" t="s" ph="1">
        <v>259</v>
      </c>
    </row>
    <row r="87" spans="34:52" ph="1">
      <c r="AJ87" s="64" t="s" ph="1">
        <v>416</v>
      </c>
      <c r="AK87" s="64" t="s" ph="1">
        <v>272</v>
      </c>
      <c r="AM87" s="64" t="s" ph="1">
        <v>403</v>
      </c>
      <c r="AN87" s="64" t="s" ph="1">
        <v>417</v>
      </c>
      <c r="AO87" s="64" t="s" ph="1">
        <v>400</v>
      </c>
    </row>
    <row r="88" spans="34:52" ph="1">
      <c r="AH88" s="64" ph="1">
        <v>5</v>
      </c>
      <c r="AI88" s="64" t="s" ph="1">
        <v>289</v>
      </c>
      <c r="AJ88" s="64" t="s" ph="1">
        <v>418</v>
      </c>
      <c r="AK88" s="64" t="s" ph="1">
        <v>272</v>
      </c>
      <c r="AM88" s="64" t="s" ph="1">
        <v>419</v>
      </c>
      <c r="AN88" s="64" t="s" ph="1">
        <v>272</v>
      </c>
      <c r="AO88" s="64" t="s" ph="1">
        <v>259</v>
      </c>
      <c r="AP88" s="64" t="s" ph="1">
        <v>420</v>
      </c>
      <c r="AQ88" s="64" t="s" ph="1">
        <v>222</v>
      </c>
      <c r="AR88" s="64" t="s" ph="1">
        <v>259</v>
      </c>
      <c r="AS88" s="64" t="s" ph="1">
        <v>421</v>
      </c>
      <c r="AT88" s="64" t="s" ph="1">
        <v>272</v>
      </c>
      <c r="AU88" s="64" t="s" ph="1">
        <v>259</v>
      </c>
      <c r="AV88" s="64" t="s" ph="1">
        <v>422</v>
      </c>
      <c r="AW88" s="64" t="s" ph="1">
        <v>227</v>
      </c>
      <c r="AX88" s="64" t="s" ph="1">
        <v>259</v>
      </c>
      <c r="AY88" s="64" t="s" ph="1">
        <v>216</v>
      </c>
      <c r="AZ88" s="64" t="s" ph="1">
        <v>423</v>
      </c>
    </row>
    <row r="89" spans="34:52" ph="1">
      <c r="AJ89" s="64" t="s" ph="1">
        <v>424</v>
      </c>
      <c r="AK89" s="64" t="s" ph="1">
        <v>225</v>
      </c>
      <c r="AM89" s="64" t="s" ph="1">
        <v>425</v>
      </c>
      <c r="AN89" s="64" t="s" ph="1">
        <v>228</v>
      </c>
      <c r="AO89" s="64" t="s" ph="1">
        <v>259</v>
      </c>
      <c r="AP89" s="64" t="s" ph="1">
        <v>426</v>
      </c>
      <c r="AQ89" s="64" t="s" ph="1">
        <v>237</v>
      </c>
      <c r="AR89" s="64" t="s" ph="1">
        <v>259</v>
      </c>
      <c r="AS89" s="64" t="s" ph="1">
        <v>427</v>
      </c>
      <c r="AT89" s="64" t="s" ph="1">
        <v>272</v>
      </c>
      <c r="AU89" s="64" t="s" ph="1">
        <v>259</v>
      </c>
      <c r="AV89" s="64" t="s" ph="1">
        <v>428</v>
      </c>
      <c r="AW89" s="64" t="s" ph="1">
        <v>254</v>
      </c>
      <c r="AX89" s="64" t="s" ph="1">
        <v>287</v>
      </c>
    </row>
    <row r="90" spans="34:52" ph="1">
      <c r="AJ90" s="64" t="s" ph="1">
        <v>429</v>
      </c>
      <c r="AK90" s="64" t="s" ph="1">
        <v>228</v>
      </c>
      <c r="AM90" s="64" t="s" ph="1">
        <v>430</v>
      </c>
      <c r="AN90" s="64" t="s" ph="1">
        <v>225</v>
      </c>
      <c r="AO90" s="64" t="s" ph="1">
        <v>259</v>
      </c>
      <c r="AP90" s="64" t="s" ph="1">
        <v>431</v>
      </c>
      <c r="AQ90" s="64" t="s" ph="1">
        <v>294</v>
      </c>
      <c r="AR90" s="64" t="s" ph="1">
        <v>259</v>
      </c>
      <c r="AS90" s="64" t="s" ph="1">
        <v>432</v>
      </c>
      <c r="AT90" s="64" t="s" ph="1">
        <v>282</v>
      </c>
      <c r="AU90" s="64" t="s" ph="1">
        <v>259</v>
      </c>
      <c r="AV90" s="64" t="s" ph="1">
        <v>433</v>
      </c>
      <c r="AW90" s="64" t="s" ph="1">
        <v>219</v>
      </c>
      <c r="AX90" s="64" t="s" ph="1">
        <v>259</v>
      </c>
    </row>
    <row r="91" spans="34:52" ph="1">
      <c r="AJ91" s="64" t="s" ph="1">
        <v>434</v>
      </c>
      <c r="AK91" s="64" t="s" ph="1">
        <v>272</v>
      </c>
      <c r="AM91" s="64" t="s" ph="1">
        <v>435</v>
      </c>
      <c r="AN91" s="64" t="s" ph="1">
        <v>239</v>
      </c>
      <c r="AO91" s="64" t="s" ph="1">
        <v>259</v>
      </c>
      <c r="AP91" s="64" t="s" ph="1">
        <v>436</v>
      </c>
      <c r="AQ91" s="64" t="s" ph="1">
        <v>219</v>
      </c>
      <c r="AS91" s="64" t="s" ph="1">
        <v>403</v>
      </c>
      <c r="AT91" s="64" t="s" ph="1">
        <v>399</v>
      </c>
      <c r="AU91" s="64" t="s" ph="1">
        <v>400</v>
      </c>
    </row>
    <row r="92" spans="34:52" ph="1">
      <c r="AH92" s="64" ph="1">
        <v>6</v>
      </c>
      <c r="AI92" s="64" t="s" ph="1">
        <v>437</v>
      </c>
      <c r="AJ92" s="64" t="s" ph="1">
        <v>438</v>
      </c>
      <c r="AK92" s="64" t="s" ph="1">
        <v>367</v>
      </c>
      <c r="AM92" s="64" t="s" ph="1">
        <v>439</v>
      </c>
      <c r="AN92" s="64" t="s" ph="1">
        <v>227</v>
      </c>
      <c r="AO92" s="64" t="s" ph="1">
        <v>259</v>
      </c>
      <c r="AP92" s="64" t="s" ph="1">
        <v>440</v>
      </c>
      <c r="AQ92" s="64" t="s" ph="1">
        <v>299</v>
      </c>
      <c r="AR92" s="64" t="s" ph="1">
        <v>259</v>
      </c>
      <c r="AS92" s="64" t="s" ph="1">
        <v>441</v>
      </c>
      <c r="AT92" s="64" t="s" ph="1">
        <v>272</v>
      </c>
      <c r="AU92" s="64" t="s" ph="1">
        <v>259</v>
      </c>
      <c r="AV92" s="64" t="s" ph="1">
        <v>442</v>
      </c>
      <c r="AW92" s="64" t="s" ph="1">
        <v>228</v>
      </c>
      <c r="AX92" s="64" t="s" ph="1">
        <v>259</v>
      </c>
      <c r="AY92" s="64" t="s" ph="1">
        <v>216</v>
      </c>
      <c r="AZ92" s="64" t="s" ph="1">
        <v>423</v>
      </c>
    </row>
    <row r="93" spans="34:52" ph="1">
      <c r="AJ93" s="64" t="s" ph="1">
        <v>443</v>
      </c>
      <c r="AK93" s="64" t="s" ph="1">
        <v>222</v>
      </c>
      <c r="AM93" s="64" t="s" ph="1">
        <v>444</v>
      </c>
      <c r="AN93" s="64" t="s" ph="1">
        <v>227</v>
      </c>
      <c r="AO93" s="64" t="s" ph="1">
        <v>259</v>
      </c>
      <c r="AP93" s="64" t="s" ph="1">
        <v>445</v>
      </c>
      <c r="AQ93" s="64" t="s" ph="1">
        <v>231</v>
      </c>
      <c r="AR93" s="64" t="s" ph="1">
        <v>259</v>
      </c>
      <c r="AS93" s="64" t="s" ph="1">
        <v>446</v>
      </c>
      <c r="AT93" s="64" t="s" ph="1">
        <v>237</v>
      </c>
      <c r="AU93" s="64" t="s" ph="1">
        <v>259</v>
      </c>
      <c r="AV93" s="64" t="s" ph="1">
        <v>447</v>
      </c>
      <c r="AW93" s="64" t="s" ph="1">
        <v>231</v>
      </c>
      <c r="AX93" s="64" t="s" ph="1">
        <v>259</v>
      </c>
    </row>
    <row r="94" spans="34:52" ph="1">
      <c r="AJ94" s="64" t="s" ph="1">
        <v>448</v>
      </c>
      <c r="AK94" s="64" t="s" ph="1">
        <v>294</v>
      </c>
      <c r="AM94" s="64" t="s" ph="1">
        <v>449</v>
      </c>
      <c r="AN94" s="64" t="s" ph="1">
        <v>231</v>
      </c>
      <c r="AO94" s="64" t="s" ph="1">
        <v>259</v>
      </c>
      <c r="AP94" s="64" t="s" ph="1">
        <v>450</v>
      </c>
      <c r="AQ94" s="64" t="s" ph="1">
        <v>239</v>
      </c>
      <c r="AR94" s="64" t="s" ph="1">
        <v>259</v>
      </c>
      <c r="AS94" s="64" t="s" ph="1">
        <v>451</v>
      </c>
      <c r="AT94" s="64" t="s" ph="1">
        <v>225</v>
      </c>
      <c r="AU94" s="64" t="s" ph="1">
        <v>259</v>
      </c>
      <c r="AV94" s="64" t="s" ph="1">
        <v>452</v>
      </c>
      <c r="AW94" s="64" t="s" ph="1">
        <v>225</v>
      </c>
      <c r="AX94" s="64" t="s" ph="1">
        <v>259</v>
      </c>
    </row>
    <row r="95" spans="34:52" ph="1">
      <c r="AJ95" s="64" t="s" ph="1">
        <v>453</v>
      </c>
      <c r="AK95" s="64" t="s" ph="1">
        <v>299</v>
      </c>
    </row>
    <row r="96" spans="34:52" ph="1">
      <c r="AH96" s="64" ph="1">
        <v>7</v>
      </c>
      <c r="AI96" s="64" t="s" ph="1">
        <v>454</v>
      </c>
      <c r="AJ96" s="64" t="s" ph="1">
        <v>453</v>
      </c>
      <c r="AK96" s="64" t="s" ph="1">
        <v>254</v>
      </c>
      <c r="AM96" s="64" t="s" ph="1">
        <v>455</v>
      </c>
      <c r="AN96" s="64" t="s" ph="1">
        <v>228</v>
      </c>
      <c r="AO96" s="64" t="s" ph="1">
        <v>259</v>
      </c>
      <c r="AP96" s="64" t="s" ph="1">
        <v>456</v>
      </c>
      <c r="AQ96" s="64" t="s" ph="1">
        <v>272</v>
      </c>
      <c r="AR96" s="64" t="s" ph="1">
        <v>287</v>
      </c>
      <c r="AS96" s="64" t="s" ph="1">
        <v>457</v>
      </c>
      <c r="AT96" s="64" t="s" ph="1">
        <v>231</v>
      </c>
      <c r="AU96" s="64" t="s" ph="1">
        <v>287</v>
      </c>
      <c r="AV96" s="64" t="s" ph="1">
        <v>458</v>
      </c>
      <c r="AW96" s="64" t="s" ph="1">
        <v>227</v>
      </c>
      <c r="AX96" s="64" t="s" ph="1">
        <v>287</v>
      </c>
      <c r="AY96" s="64" t="s" ph="1">
        <v>216</v>
      </c>
      <c r="AZ96" s="64" t="s" ph="1">
        <v>459</v>
      </c>
    </row>
    <row r="97" spans="33:52" ph="1">
      <c r="AJ97" s="64" t="s" ph="1">
        <v>460</v>
      </c>
      <c r="AK97" s="64" t="s" ph="1">
        <v>282</v>
      </c>
      <c r="AM97" s="64" t="s" ph="1">
        <v>461</v>
      </c>
      <c r="AN97" s="64" t="s" ph="1">
        <v>225</v>
      </c>
      <c r="AO97" s="64" t="s" ph="1">
        <v>259</v>
      </c>
      <c r="AP97" s="64" t="s" ph="1">
        <v>462</v>
      </c>
      <c r="AQ97" s="64" t="s" ph="1">
        <v>219</v>
      </c>
      <c r="AR97" s="64" t="s" ph="1">
        <v>287</v>
      </c>
      <c r="AS97" s="64" t="s" ph="1">
        <v>463</v>
      </c>
      <c r="AT97" s="64" t="s" ph="1">
        <v>222</v>
      </c>
      <c r="AU97" s="64" t="s" ph="1">
        <v>287</v>
      </c>
      <c r="AV97" s="64" t="s" ph="1">
        <v>464</v>
      </c>
      <c r="AW97" s="64" t="s" ph="1">
        <v>228</v>
      </c>
      <c r="AX97" s="64" t="s" ph="1">
        <v>287</v>
      </c>
    </row>
    <row r="98" spans="33:52" ph="1">
      <c r="AJ98" s="64" t="s" ph="1">
        <v>465</v>
      </c>
      <c r="AK98" s="64" t="s" ph="1">
        <v>231</v>
      </c>
      <c r="AM98" s="64" t="s" ph="1">
        <v>466</v>
      </c>
      <c r="AN98" s="64" t="s" ph="1">
        <v>239</v>
      </c>
      <c r="AO98" s="64" t="s" ph="1">
        <v>259</v>
      </c>
      <c r="AP98" s="64" t="s" ph="1">
        <v>467</v>
      </c>
      <c r="AQ98" s="64" t="s" ph="1">
        <v>219</v>
      </c>
      <c r="AR98" s="64" t="s" ph="1">
        <v>287</v>
      </c>
      <c r="AS98" s="64" t="s" ph="1">
        <v>468</v>
      </c>
      <c r="AT98" s="64" t="s" ph="1">
        <v>299</v>
      </c>
      <c r="AU98" s="64" t="s" ph="1">
        <v>287</v>
      </c>
      <c r="AV98" s="64" t="s" ph="1">
        <v>469</v>
      </c>
      <c r="AW98" s="64" t="s" ph="1">
        <v>222</v>
      </c>
      <c r="AX98" s="64" t="s" ph="1">
        <v>287</v>
      </c>
    </row>
    <row r="99" spans="33:52" ph="1">
      <c r="AH99" s="64" ph="1">
        <v>8</v>
      </c>
      <c r="AI99" s="64" t="s" ph="1">
        <v>470</v>
      </c>
      <c r="AJ99" s="64" t="s" ph="1">
        <v>471</v>
      </c>
      <c r="AK99" s="64" t="s" ph="1">
        <v>367</v>
      </c>
      <c r="AM99" s="64" t="s" ph="1">
        <v>472</v>
      </c>
      <c r="AN99" s="64" t="s" ph="1">
        <v>254</v>
      </c>
      <c r="AO99" s="64" t="s" ph="1">
        <v>259</v>
      </c>
      <c r="AP99" s="64" t="s" ph="1">
        <v>473</v>
      </c>
      <c r="AQ99" s="64" t="s" ph="1">
        <v>224</v>
      </c>
      <c r="AR99" s="64" t="s" ph="1">
        <v>287</v>
      </c>
      <c r="AS99" s="64" t="s" ph="1">
        <v>474</v>
      </c>
      <c r="AT99" s="64" t="s" ph="1">
        <v>239</v>
      </c>
      <c r="AU99" s="64" t="s" ph="1">
        <v>287</v>
      </c>
      <c r="AV99" s="64" t="s" ph="1">
        <v>475</v>
      </c>
      <c r="AW99" s="64" t="s" ph="1">
        <v>224</v>
      </c>
      <c r="AX99" s="64" t="s" ph="1">
        <v>287</v>
      </c>
      <c r="AY99" s="64" t="s" ph="1">
        <v>216</v>
      </c>
      <c r="AZ99" s="64" t="s" ph="1">
        <v>476</v>
      </c>
    </row>
    <row r="100" spans="33:52" ph="1">
      <c r="AJ100" s="64" t="s" ph="1">
        <v>477</v>
      </c>
      <c r="AK100" s="64" t="s" ph="1">
        <v>222</v>
      </c>
      <c r="AM100" s="64" t="s" ph="1">
        <v>478</v>
      </c>
      <c r="AN100" s="64" t="s" ph="1">
        <v>294</v>
      </c>
      <c r="AO100" s="64" t="s" ph="1">
        <v>259</v>
      </c>
      <c r="AP100" s="64" t="s" ph="1">
        <v>479</v>
      </c>
      <c r="AQ100" s="64" t="s" ph="1">
        <v>300</v>
      </c>
      <c r="AR100" s="64" t="s" ph="1">
        <v>287</v>
      </c>
      <c r="AS100" s="64" t="s" ph="1">
        <v>480</v>
      </c>
      <c r="AT100" s="64" t="s" ph="1">
        <v>367</v>
      </c>
      <c r="AU100" s="64" t="s" ph="1">
        <v>259</v>
      </c>
      <c r="AV100" s="64" t="s" ph="1">
        <v>481</v>
      </c>
      <c r="AW100" s="64" t="s" ph="1">
        <v>367</v>
      </c>
      <c r="AX100" s="64" t="s" ph="1">
        <v>259</v>
      </c>
    </row>
    <row r="101" spans="33:52" ph="1">
      <c r="AJ101" s="64" t="s" ph="1">
        <v>482</v>
      </c>
      <c r="AK101" s="64" t="s" ph="1">
        <v>367</v>
      </c>
      <c r="AM101" s="64" t="s" ph="1">
        <v>483</v>
      </c>
      <c r="AN101" s="64" t="s" ph="1">
        <v>225</v>
      </c>
      <c r="AO101" s="64" t="s" ph="1">
        <v>259</v>
      </c>
      <c r="AP101" s="64" t="s" ph="1">
        <v>484</v>
      </c>
      <c r="AQ101" s="64" t="s" ph="1">
        <v>237</v>
      </c>
      <c r="AR101" s="64" t="s" ph="1">
        <v>287</v>
      </c>
      <c r="AS101" s="64" t="s" ph="1">
        <v>485</v>
      </c>
      <c r="AT101" s="64" t="s" ph="1">
        <v>294</v>
      </c>
      <c r="AU101" s="64" t="s" ph="1">
        <v>287</v>
      </c>
      <c r="AV101" s="64" t="s" ph="1">
        <v>486</v>
      </c>
      <c r="AW101" s="64" t="s" ph="1">
        <v>225</v>
      </c>
      <c r="AX101" s="64" t="s" ph="1">
        <v>259</v>
      </c>
    </row>
    <row r="102" spans="33:52" ph="1">
      <c r="AJ102" s="64" t="s" ph="1">
        <v>487</v>
      </c>
      <c r="AK102" s="64" t="s" ph="1">
        <v>222</v>
      </c>
      <c r="AM102" s="64" t="s" ph="1">
        <v>488</v>
      </c>
      <c r="AN102" s="64" t="s" ph="1">
        <v>231</v>
      </c>
      <c r="AO102" s="64" t="s" ph="1">
        <v>259</v>
      </c>
      <c r="AP102" s="64" t="s" ph="1">
        <v>489</v>
      </c>
      <c r="AQ102" s="64" t="s" ph="1">
        <v>237</v>
      </c>
      <c r="AR102" s="64" t="s" ph="1">
        <v>259</v>
      </c>
      <c r="AS102" s="64" t="s" ph="1">
        <v>490</v>
      </c>
      <c r="AT102" s="64" t="s" ph="1">
        <v>254</v>
      </c>
      <c r="AU102" s="64" t="s" ph="1">
        <v>259</v>
      </c>
      <c r="AV102" s="64" t="s" ph="1">
        <v>491</v>
      </c>
      <c r="AW102" s="64" t="s" ph="1">
        <v>272</v>
      </c>
      <c r="AX102" s="64" t="s" ph="1">
        <v>259</v>
      </c>
    </row>
    <row r="103" spans="33:52" ph="1">
      <c r="AH103" s="64" ph="1">
        <v>9</v>
      </c>
      <c r="AI103" s="64" t="s" ph="1">
        <v>492</v>
      </c>
      <c r="AJ103" s="64" t="s" ph="1">
        <v>493</v>
      </c>
      <c r="AK103" s="64" t="s" ph="1">
        <v>367</v>
      </c>
      <c r="AM103" s="64" t="s" ph="1">
        <v>494</v>
      </c>
      <c r="AN103" s="64" t="s" ph="1">
        <v>282</v>
      </c>
      <c r="AO103" s="64" t="s" ph="1">
        <v>259</v>
      </c>
      <c r="AP103" s="64" t="s" ph="1">
        <v>336</v>
      </c>
      <c r="AQ103" s="64" t="s" ph="1">
        <v>225</v>
      </c>
      <c r="AR103" s="64" t="s" ph="1">
        <v>259</v>
      </c>
      <c r="AS103" s="64" t="s" ph="1">
        <v>570</v>
      </c>
      <c r="AT103" s="64" t="s" ph="1">
        <v>367</v>
      </c>
      <c r="AU103" s="64" t="s" ph="1">
        <v>259</v>
      </c>
      <c r="AY103" s="64" t="s" ph="1">
        <v>216</v>
      </c>
      <c r="AZ103" s="64" t="s" ph="1">
        <v>224</v>
      </c>
    </row>
    <row r="104" spans="33:52" ph="1">
      <c r="AZ104" s="64" t="s" ph="1">
        <v>495</v>
      </c>
    </row>
    <row r="105" spans="33:52" ph="1">
      <c r="AG105" s="64" t="s" ph="1">
        <v>295</v>
      </c>
      <c r="AI105" s="64" t="s" ph="1">
        <v>209</v>
      </c>
      <c r="AJ105" s="64" t="s" ph="1">
        <v>210</v>
      </c>
      <c r="AK105" s="64" t="s" ph="1">
        <v>211</v>
      </c>
      <c r="AM105" s="64" t="s" ph="1">
        <v>210</v>
      </c>
      <c r="AN105" s="64" t="s" ph="1">
        <v>211</v>
      </c>
      <c r="AO105" s="64" t="s" ph="1">
        <v>212</v>
      </c>
      <c r="AP105" s="64" t="s" ph="1">
        <v>210</v>
      </c>
      <c r="AQ105" s="64" t="s" ph="1">
        <v>211</v>
      </c>
      <c r="AR105" s="64" t="s" ph="1">
        <v>212</v>
      </c>
      <c r="AS105" s="64" t="s" ph="1">
        <v>210</v>
      </c>
      <c r="AT105" s="64" t="s" ph="1">
        <v>211</v>
      </c>
      <c r="AU105" s="64" t="s" ph="1">
        <v>212</v>
      </c>
      <c r="AV105" s="64" t="s" ph="1">
        <v>210</v>
      </c>
      <c r="AW105" s="64" t="s" ph="1">
        <v>211</v>
      </c>
      <c r="AX105" s="64" t="s" ph="1">
        <v>212</v>
      </c>
      <c r="AZ105" s="64" t="s" ph="1">
        <v>213</v>
      </c>
    </row>
    <row r="106" spans="33:52" ph="1">
      <c r="AH106" s="64" ph="1">
        <v>1</v>
      </c>
      <c r="AI106" s="64" t="s" ph="1">
        <v>496</v>
      </c>
      <c r="AJ106" s="64" t="s" ph="1">
        <v>570</v>
      </c>
      <c r="AK106" s="64" t="s" ph="1">
        <v>231</v>
      </c>
      <c r="AZ106" s="64" t="s" ph="1">
        <v>231</v>
      </c>
    </row>
    <row r="107" spans="33:52" ph="1">
      <c r="AH107" s="64" ph="1">
        <v>2</v>
      </c>
      <c r="AI107" s="64" t="s" ph="1">
        <v>497</v>
      </c>
      <c r="AJ107" s="64" t="s" ph="1">
        <v>498</v>
      </c>
      <c r="AK107" s="64" t="s" ph="1">
        <v>228</v>
      </c>
      <c r="AM107" s="64" t="s" ph="1">
        <v>334</v>
      </c>
      <c r="AN107" s="64" t="s" ph="1">
        <v>499</v>
      </c>
      <c r="AO107" s="64" t="s" ph="1">
        <v>500</v>
      </c>
      <c r="AP107" s="64" t="s" ph="1">
        <v>336</v>
      </c>
      <c r="AQ107" s="64" t="s" ph="1">
        <v>304</v>
      </c>
      <c r="AR107" s="64" t="s" ph="1">
        <v>500</v>
      </c>
      <c r="AS107" s="64" t="s" ph="1">
        <v>570</v>
      </c>
      <c r="AT107" s="64" t="s" ph="1">
        <v>499</v>
      </c>
      <c r="AU107" s="64" t="s" ph="1">
        <v>500</v>
      </c>
      <c r="AY107" s="64" t="s" ph="1">
        <v>216</v>
      </c>
      <c r="AZ107" s="64" t="s" ph="1">
        <v>580</v>
      </c>
    </row>
    <row r="108" spans="33:52" ph="1">
      <c r="AH108" s="64" ph="1">
        <v>3</v>
      </c>
      <c r="AI108" s="64" t="s" ph="1">
        <v>501</v>
      </c>
      <c r="AY108" s="64" t="s" ph="1">
        <v>216</v>
      </c>
      <c r="AZ108" s="64" t="s" ph="1">
        <v>367</v>
      </c>
    </row>
    <row r="109" spans="33:52" ph="1">
      <c r="AH109" s="64" ph="1">
        <v>4</v>
      </c>
      <c r="AI109" s="64" t="s" ph="1">
        <v>502</v>
      </c>
      <c r="AY109" s="64" t="s" ph="1">
        <v>216</v>
      </c>
      <c r="AZ109" s="64" t="s" ph="1">
        <v>367</v>
      </c>
    </row>
    <row r="110" spans="33:52" ph="1">
      <c r="AH110" s="64" ph="1">
        <v>5</v>
      </c>
      <c r="AI110" s="64" t="s" ph="1">
        <v>503</v>
      </c>
      <c r="AY110" s="64" t="s" ph="1">
        <v>216</v>
      </c>
      <c r="AZ110" s="64" t="s" ph="1">
        <v>367</v>
      </c>
    </row>
    <row r="111" spans="33:52" ph="1">
      <c r="AH111" s="64" ph="1">
        <v>6</v>
      </c>
      <c r="AI111" s="64" t="s" ph="1">
        <v>581</v>
      </c>
      <c r="AJ111" s="64" t="s" ph="1">
        <v>486</v>
      </c>
      <c r="AK111" s="64" t="s" ph="1">
        <v>225</v>
      </c>
      <c r="AM111" s="64" t="s" ph="1">
        <v>487</v>
      </c>
      <c r="AN111" s="64" t="s" ph="1">
        <v>219</v>
      </c>
      <c r="AO111" s="64" t="s" ph="1">
        <v>500</v>
      </c>
      <c r="AP111" s="64" t="s" ph="1">
        <v>488</v>
      </c>
      <c r="AQ111" s="64" t="s" ph="1">
        <v>228</v>
      </c>
      <c r="AR111" s="64" t="s" ph="1">
        <v>500</v>
      </c>
      <c r="AS111" s="64" t="s" ph="1">
        <v>489</v>
      </c>
      <c r="AT111" s="64" t="s" ph="1">
        <v>237</v>
      </c>
      <c r="AU111" s="64" t="s" ph="1">
        <v>500</v>
      </c>
      <c r="AV111" s="64" t="s" ph="1">
        <v>490</v>
      </c>
      <c r="AW111" s="64" t="s" ph="1">
        <v>227</v>
      </c>
      <c r="AX111" s="64" t="s" ph="1">
        <v>500</v>
      </c>
      <c r="AY111" s="64" t="s" ph="1">
        <v>216</v>
      </c>
      <c r="AZ111" s="64" t="s" ph="1">
        <v>504</v>
      </c>
    </row>
    <row r="112" spans="33:52" ph="1">
      <c r="AJ112" s="64" t="s" ph="1">
        <v>491</v>
      </c>
      <c r="AK112" s="64" t="s" ph="1">
        <v>272</v>
      </c>
      <c r="AM112" s="64" t="s" ph="1">
        <v>493</v>
      </c>
      <c r="AN112" s="64" t="s" ph="1">
        <v>296</v>
      </c>
      <c r="AO112" s="64" t="s" ph="1">
        <v>500</v>
      </c>
      <c r="AP112" s="64" t="s" ph="1">
        <v>494</v>
      </c>
      <c r="AQ112" s="64" t="s" ph="1">
        <v>505</v>
      </c>
      <c r="AR112" s="64" t="s" ph="1">
        <v>500</v>
      </c>
      <c r="AS112" s="64" t="s" ph="1">
        <v>506</v>
      </c>
      <c r="AT112" s="64" t="s" ph="1">
        <v>248</v>
      </c>
      <c r="AU112" s="64" t="s" ph="1">
        <v>500</v>
      </c>
      <c r="AV112" s="64" t="s" ph="1">
        <v>507</v>
      </c>
      <c r="AW112" s="64" t="s" ph="1">
        <v>294</v>
      </c>
      <c r="AX112" s="64" t="s" ph="1">
        <v>500</v>
      </c>
    </row>
    <row r="113" spans="33:52" ph="1">
      <c r="AH113" s="64" ph="1">
        <v>7</v>
      </c>
      <c r="AI113" s="64" t="s" ph="1">
        <v>508</v>
      </c>
      <c r="AJ113" s="64" t="s" ph="1">
        <v>589</v>
      </c>
      <c r="AK113" s="64" t="s" ph="1">
        <v>594</v>
      </c>
      <c r="AY113" s="64" t="s" ph="1">
        <v>216</v>
      </c>
      <c r="AZ113" s="64" t="s" ph="1">
        <v>594</v>
      </c>
    </row>
    <row r="114" spans="33:52" ph="1">
      <c r="AH114" s="64" ph="1">
        <v>8</v>
      </c>
      <c r="AI114" s="64" t="s" ph="1">
        <v>509</v>
      </c>
      <c r="AJ114" s="64" t="s" ph="1">
        <v>589</v>
      </c>
      <c r="AK114" s="64" t="s" ph="1">
        <v>595</v>
      </c>
      <c r="AY114" s="64" t="s" ph="1">
        <v>216</v>
      </c>
      <c r="AZ114" s="64" t="s" ph="1">
        <v>595</v>
      </c>
    </row>
    <row r="115" spans="33:52" ph="1">
      <c r="AH115" s="64" ph="1">
        <v>9</v>
      </c>
      <c r="AI115" s="64" t="s" ph="1">
        <v>510</v>
      </c>
      <c r="AJ115" s="64" t="s" ph="1">
        <v>589</v>
      </c>
      <c r="AK115" s="64" t="s" ph="1">
        <v>595</v>
      </c>
      <c r="AY115" s="64" t="s" ph="1">
        <v>216</v>
      </c>
      <c r="AZ115" s="64" t="s" ph="1">
        <v>595</v>
      </c>
    </row>
    <row r="116" spans="33:52" ph="1">
      <c r="AH116" s="64" ph="1">
        <v>10</v>
      </c>
      <c r="AI116" s="64" t="s" ph="1">
        <v>511</v>
      </c>
      <c r="AJ116" s="64" t="s" ph="1">
        <v>589</v>
      </c>
      <c r="AK116" s="64" t="s" ph="1">
        <v>595</v>
      </c>
      <c r="AY116" s="64" t="s" ph="1">
        <v>216</v>
      </c>
      <c r="AZ116" s="64" t="s" ph="1">
        <v>595</v>
      </c>
    </row>
    <row r="117" spans="33:52" ph="1">
      <c r="AH117" s="64" ph="1">
        <v>11</v>
      </c>
      <c r="AI117" s="64" t="s" ph="1">
        <v>512</v>
      </c>
      <c r="AJ117" s="64" t="s" ph="1">
        <v>589</v>
      </c>
      <c r="AK117" s="64" t="s" ph="1">
        <v>595</v>
      </c>
      <c r="AY117" s="64" t="s" ph="1">
        <v>216</v>
      </c>
      <c r="AZ117" s="64" t="s" ph="1">
        <v>595</v>
      </c>
    </row>
    <row r="118" spans="33:52" ph="1">
      <c r="AZ118" s="64" t="s" ph="1">
        <v>596</v>
      </c>
    </row>
    <row r="119" spans="33:52" ph="1">
      <c r="AI119" s="64" t="s" ph="1">
        <v>209</v>
      </c>
      <c r="AJ119" s="64" t="s" ph="1">
        <v>210</v>
      </c>
      <c r="AK119" s="64" t="s" ph="1">
        <v>211</v>
      </c>
      <c r="AM119" s="64" t="s" ph="1">
        <v>210</v>
      </c>
      <c r="AN119" s="64" t="s" ph="1">
        <v>211</v>
      </c>
      <c r="AO119" s="64" t="s" ph="1">
        <v>212</v>
      </c>
      <c r="AP119" s="64" t="s" ph="1">
        <v>210</v>
      </c>
      <c r="AQ119" s="64" t="s" ph="1">
        <v>211</v>
      </c>
      <c r="AR119" s="64" t="s" ph="1">
        <v>212</v>
      </c>
      <c r="AS119" s="64" t="s" ph="1">
        <v>210</v>
      </c>
      <c r="AT119" s="64" t="s" ph="1">
        <v>211</v>
      </c>
      <c r="AU119" s="64" t="s" ph="1">
        <v>212</v>
      </c>
      <c r="AV119" s="64" t="s" ph="1">
        <v>210</v>
      </c>
      <c r="AW119" s="64" t="s" ph="1">
        <v>211</v>
      </c>
      <c r="AX119" s="64" t="s" ph="1">
        <v>212</v>
      </c>
      <c r="AY119" s="64" t="s" ph="1">
        <v>211</v>
      </c>
      <c r="AZ119" s="64" t="s" ph="1">
        <v>213</v>
      </c>
    </row>
    <row r="120" spans="33:52" ph="1">
      <c r="AG120" s="64" t="s" ph="1">
        <v>353</v>
      </c>
      <c r="AH120" s="64" ph="1">
        <v>1</v>
      </c>
      <c r="AI120" s="64" t="s" ph="1">
        <v>513</v>
      </c>
      <c r="AJ120" s="64" t="s" ph="1">
        <v>587</v>
      </c>
      <c r="AK120" s="64" t="s" ph="1">
        <v>367</v>
      </c>
      <c r="AY120" s="64" t="s" ph="1">
        <v>216</v>
      </c>
      <c r="AZ120" s="64" t="s" ph="1">
        <v>367</v>
      </c>
    </row>
    <row r="121" spans="33:52" ph="1">
      <c r="AH121" s="64" ph="1">
        <v>2</v>
      </c>
      <c r="AI121" s="64" t="s" ph="1">
        <v>514</v>
      </c>
      <c r="AY121" s="64" t="s" ph="1">
        <v>216</v>
      </c>
      <c r="AZ121" s="64" t="s" ph="1">
        <v>367</v>
      </c>
    </row>
    <row r="122" spans="33:52" ph="1">
      <c r="AH122" s="64" ph="1">
        <v>3</v>
      </c>
      <c r="AI122" s="64" t="s" ph="1">
        <v>515</v>
      </c>
      <c r="AJ122" s="64" t="s" ph="1">
        <v>570</v>
      </c>
      <c r="AK122" s="64" t="s" ph="1">
        <v>582</v>
      </c>
      <c r="AM122" s="64" t="s" ph="1">
        <v>597</v>
      </c>
      <c r="AN122" s="64" t="s" ph="1">
        <v>590</v>
      </c>
      <c r="AO122" s="64" t="s" ph="1">
        <v>91</v>
      </c>
      <c r="AY122" s="64" t="s" ph="1">
        <v>216</v>
      </c>
      <c r="AZ122" s="64" t="s" ph="1">
        <v>579</v>
      </c>
    </row>
    <row r="123" spans="33:52" ph="1">
      <c r="AY123" s="64" t="s" ph="1">
        <v>216</v>
      </c>
      <c r="AZ123" s="64" t="s" ph="1">
        <v>579</v>
      </c>
    </row>
    <row r="124" spans="33:52" ph="1">
      <c r="AG124" s="64" t="s" ph="1">
        <v>356</v>
      </c>
      <c r="AH124" s="64" ph="1">
        <v>4</v>
      </c>
      <c r="AI124" s="64" t="s" ph="1">
        <v>516</v>
      </c>
      <c r="AJ124" s="64" t="s" ph="1">
        <v>517</v>
      </c>
      <c r="AK124" s="64" t="s" ph="1">
        <v>518</v>
      </c>
      <c r="AY124" s="64" t="s" ph="1">
        <v>216</v>
      </c>
      <c r="AZ124" s="64" t="s" ph="1">
        <v>518</v>
      </c>
    </row>
    <row r="125" spans="33:52" ph="1">
      <c r="AH125" s="64" ph="1">
        <v>5</v>
      </c>
      <c r="AI125" s="64" t="s" ph="1">
        <v>519</v>
      </c>
      <c r="AJ125" s="64" t="s" ph="1">
        <v>517</v>
      </c>
      <c r="AK125" s="64" t="s" ph="1">
        <v>518</v>
      </c>
      <c r="AY125" s="64" t="s" ph="1">
        <v>216</v>
      </c>
      <c r="AZ125" s="64" t="s" ph="1">
        <v>518</v>
      </c>
    </row>
    <row r="126" spans="33:52" ph="1">
      <c r="AH126" s="64" ph="1">
        <v>6</v>
      </c>
      <c r="AI126" s="64" t="s" ph="1">
        <v>520</v>
      </c>
      <c r="AJ126" s="64" t="s" ph="1">
        <v>589</v>
      </c>
      <c r="AK126" s="64" t="s" ph="1">
        <v>598</v>
      </c>
      <c r="AY126" s="64" t="s" ph="1">
        <v>216</v>
      </c>
      <c r="AZ126" s="64" t="s" ph="1">
        <v>598</v>
      </c>
    </row>
    <row r="127" spans="33:52" ph="1">
      <c r="AH127" s="64" ph="1">
        <v>7</v>
      </c>
      <c r="AI127" s="64" t="s" ph="1">
        <v>521</v>
      </c>
      <c r="AJ127" s="64" t="s" ph="1">
        <v>589</v>
      </c>
      <c r="AK127" s="64" t="s" ph="1">
        <v>599</v>
      </c>
      <c r="AY127" s="64" t="s" ph="1">
        <v>216</v>
      </c>
      <c r="AZ127" s="64" t="s" ph="1">
        <v>599</v>
      </c>
    </row>
    <row r="128" spans="33:52" ph="1">
      <c r="AH128" s="64" ph="1">
        <v>8</v>
      </c>
      <c r="AI128" s="64" t="s" ph="1">
        <v>522</v>
      </c>
      <c r="AY128" s="64" t="s" ph="1">
        <v>216</v>
      </c>
      <c r="AZ128" s="64" t="s" ph="1">
        <v>367</v>
      </c>
    </row>
    <row r="129" spans="33:52" ph="1">
      <c r="AH129" s="64" ph="1">
        <v>9</v>
      </c>
      <c r="AI129" s="64" t="s" ph="1">
        <v>523</v>
      </c>
      <c r="AY129" s="64" t="s" ph="1">
        <v>216</v>
      </c>
      <c r="AZ129" s="64" t="s" ph="1">
        <v>367</v>
      </c>
    </row>
    <row r="130" spans="33:52" ph="1">
      <c r="AH130" s="64" ph="1">
        <v>10</v>
      </c>
      <c r="AI130" s="64" t="s" ph="1">
        <v>524</v>
      </c>
      <c r="AY130" s="64" t="s" ph="1">
        <v>216</v>
      </c>
      <c r="AZ130" s="64" t="s" ph="1">
        <v>367</v>
      </c>
    </row>
    <row r="131" spans="33:52" ph="1">
      <c r="AH131" s="64" ph="1">
        <v>11</v>
      </c>
      <c r="AI131" s="64" t="s" ph="1">
        <v>525</v>
      </c>
      <c r="AJ131" s="64" t="s" ph="1">
        <v>583</v>
      </c>
      <c r="AK131" s="64" t="s" ph="1">
        <v>579</v>
      </c>
      <c r="AY131" s="64" t="s" ph="1">
        <v>216</v>
      </c>
      <c r="AZ131" s="64" t="s" ph="1">
        <v>579</v>
      </c>
    </row>
    <row r="132" spans="33:52" ph="1">
      <c r="AH132" s="64" ph="1">
        <v>12</v>
      </c>
      <c r="AI132" s="64" t="s" ph="1">
        <v>526</v>
      </c>
      <c r="AJ132" s="64" t="s" ph="1">
        <v>583</v>
      </c>
      <c r="AK132" s="64" t="s" ph="1">
        <v>518</v>
      </c>
      <c r="AY132" s="64" t="s" ph="1">
        <v>216</v>
      </c>
      <c r="AZ132" s="64" t="s" ph="1">
        <v>518</v>
      </c>
    </row>
    <row r="133" spans="33:52" ph="1">
      <c r="AH133" s="64" ph="1">
        <v>13</v>
      </c>
      <c r="AI133" s="64" t="s" ph="1">
        <v>527</v>
      </c>
      <c r="AJ133" s="64" t="s" ph="1">
        <v>583</v>
      </c>
      <c r="AK133" s="64" t="s" ph="1">
        <v>584</v>
      </c>
      <c r="AY133" s="64" t="s" ph="1">
        <v>216</v>
      </c>
      <c r="AZ133" s="64" t="s" ph="1">
        <v>584</v>
      </c>
    </row>
    <row r="134" spans="33:52" ph="1">
      <c r="AH134" s="64" ph="1">
        <v>14</v>
      </c>
      <c r="AI134" s="64" t="s" ph="1">
        <v>528</v>
      </c>
      <c r="AJ134" s="64" t="s" ph="1">
        <v>583</v>
      </c>
      <c r="AK134" s="64" t="s" ph="1">
        <v>585</v>
      </c>
      <c r="AY134" s="64" t="s" ph="1">
        <v>216</v>
      </c>
      <c r="AZ134" s="64" t="s" ph="1">
        <v>585</v>
      </c>
    </row>
    <row r="135" spans="33:52" ph="1">
      <c r="AH135" s="64" ph="1">
        <v>15</v>
      </c>
      <c r="AI135" s="64" t="s" ph="1">
        <v>529</v>
      </c>
      <c r="AJ135" s="64" t="s" ph="1">
        <v>583</v>
      </c>
      <c r="AK135" s="64" t="s" ph="1">
        <v>586</v>
      </c>
      <c r="AY135" s="64" t="s" ph="1">
        <v>216</v>
      </c>
      <c r="AZ135" s="64" t="s" ph="1">
        <v>586</v>
      </c>
    </row>
    <row r="136" spans="33:52" ph="1">
      <c r="AZ136" s="64" t="s" ph="1">
        <v>600</v>
      </c>
    </row>
    <row r="137" spans="33:52" ph="1">
      <c r="AG137" s="64" t="s" ph="1">
        <v>290</v>
      </c>
      <c r="AI137" s="64" t="s" ph="1">
        <v>209</v>
      </c>
      <c r="AJ137" s="64" t="s" ph="1">
        <v>210</v>
      </c>
      <c r="AK137" s="64" t="s" ph="1">
        <v>211</v>
      </c>
      <c r="AM137" s="64" t="s" ph="1">
        <v>210</v>
      </c>
      <c r="AN137" s="64" t="s" ph="1">
        <v>211</v>
      </c>
      <c r="AO137" s="64" t="s" ph="1">
        <v>212</v>
      </c>
      <c r="AP137" s="64" t="s" ph="1">
        <v>210</v>
      </c>
      <c r="AQ137" s="64" t="s" ph="1">
        <v>211</v>
      </c>
      <c r="AR137" s="64" t="s" ph="1">
        <v>212</v>
      </c>
      <c r="AS137" s="64" t="s" ph="1">
        <v>210</v>
      </c>
      <c r="AT137" s="64" t="s" ph="1">
        <v>211</v>
      </c>
      <c r="AU137" s="64" t="s" ph="1">
        <v>212</v>
      </c>
      <c r="AV137" s="64" t="s" ph="1">
        <v>210</v>
      </c>
      <c r="AW137" s="64" t="s" ph="1">
        <v>211</v>
      </c>
      <c r="AX137" s="64" t="s" ph="1">
        <v>212</v>
      </c>
      <c r="AY137" s="64" t="s" ph="1">
        <v>211</v>
      </c>
      <c r="AZ137" s="64" t="s" ph="1">
        <v>213</v>
      </c>
    </row>
    <row r="138" spans="33:52" ph="1">
      <c r="AH138" s="64" ph="1">
        <v>1</v>
      </c>
      <c r="AI138" s="64" t="s" ph="1">
        <v>530</v>
      </c>
      <c r="AJ138" s="64" t="s" ph="1">
        <v>531</v>
      </c>
      <c r="AK138" s="64" t="s" ph="1">
        <v>532</v>
      </c>
      <c r="AY138" s="64" t="s" ph="1">
        <v>216</v>
      </c>
      <c r="AZ138" s="64" t="s" ph="1">
        <v>532</v>
      </c>
    </row>
    <row r="139" spans="33:52" ph="1">
      <c r="AH139" s="64" ph="1">
        <v>2</v>
      </c>
      <c r="AI139" s="64" t="s" ph="1">
        <v>533</v>
      </c>
      <c r="AJ139" s="64" t="s" ph="1">
        <v>589</v>
      </c>
      <c r="AK139" s="64" t="s" ph="1">
        <v>601</v>
      </c>
      <c r="AY139" s="64" t="s" ph="1">
        <v>216</v>
      </c>
      <c r="AZ139" s="64" t="s" ph="1">
        <v>601</v>
      </c>
    </row>
    <row r="140" spans="33:52" ph="1">
      <c r="AH140" s="64" ph="1">
        <v>3</v>
      </c>
      <c r="AI140" s="64" t="s" ph="1">
        <v>534</v>
      </c>
      <c r="AJ140" s="64" t="s" ph="1">
        <v>487</v>
      </c>
      <c r="AK140" s="64" t="s" ph="1">
        <v>299</v>
      </c>
      <c r="AM140" s="64" t="s" ph="1">
        <v>488</v>
      </c>
      <c r="AN140" s="64" t="s" ph="1">
        <v>219</v>
      </c>
      <c r="AO140" s="64" t="s" ph="1">
        <v>535</v>
      </c>
      <c r="AP140" s="64" t="s" ph="1">
        <v>489</v>
      </c>
      <c r="AQ140" s="64" t="s" ph="1">
        <v>236</v>
      </c>
      <c r="AR140" s="64" t="s" ph="1">
        <v>535</v>
      </c>
      <c r="AS140" s="64" t="s" ph="1">
        <v>490</v>
      </c>
      <c r="AT140" s="64" t="s" ph="1">
        <v>229</v>
      </c>
      <c r="AU140" s="64" t="s" ph="1">
        <v>535</v>
      </c>
      <c r="AV140" s="64" t="s" ph="1">
        <v>491</v>
      </c>
      <c r="AW140" s="64" t="s" ph="1">
        <v>222</v>
      </c>
      <c r="AX140" s="64" t="s" ph="1">
        <v>535</v>
      </c>
      <c r="AY140" s="64" t="s" ph="1">
        <v>216</v>
      </c>
      <c r="AZ140" s="64" t="s" ph="1">
        <v>291</v>
      </c>
    </row>
    <row r="141" spans="33:52" ph="1">
      <c r="AJ141" s="64" t="s" ph="1">
        <v>493</v>
      </c>
      <c r="AK141" s="64" t="s" ph="1">
        <v>222</v>
      </c>
      <c r="AM141" s="64" t="s" ph="1">
        <v>494</v>
      </c>
      <c r="AN141" s="64" t="s" ph="1">
        <v>225</v>
      </c>
      <c r="AO141" s="64" t="s" ph="1">
        <v>535</v>
      </c>
      <c r="AP141" s="64" t="s" ph="1">
        <v>506</v>
      </c>
      <c r="AQ141" s="64" t="s" ph="1">
        <v>294</v>
      </c>
      <c r="AR141" s="64" t="s" ph="1">
        <v>535</v>
      </c>
      <c r="AS141" s="64" t="s" ph="1">
        <v>498</v>
      </c>
      <c r="AT141" s="64" t="s" ph="1">
        <v>222</v>
      </c>
      <c r="AU141" s="64" t="s" ph="1">
        <v>535</v>
      </c>
      <c r="AV141" s="64" t="s" ph="1">
        <v>334</v>
      </c>
      <c r="AW141" s="64" t="s" ph="1">
        <v>228</v>
      </c>
      <c r="AX141" s="64" t="s" ph="1">
        <v>535</v>
      </c>
    </row>
    <row r="142" spans="33:52" ph="1">
      <c r="AJ142" s="64" t="s" ph="1">
        <v>536</v>
      </c>
      <c r="AK142" s="64" t="s" ph="1">
        <v>239</v>
      </c>
    </row>
    <row r="143" spans="33:52" ph="1">
      <c r="AH143" s="64" ph="1">
        <v>4</v>
      </c>
      <c r="AI143" s="64" t="s" ph="1">
        <v>537</v>
      </c>
      <c r="AJ143" s="64" t="s" ph="1">
        <v>517</v>
      </c>
      <c r="AK143" s="64" t="s" ph="1">
        <v>538</v>
      </c>
      <c r="AY143" s="64" t="s" ph="1">
        <v>216</v>
      </c>
      <c r="AZ143" s="64" t="s" ph="1">
        <v>538</v>
      </c>
    </row>
    <row r="144" spans="33:52" ph="1">
      <c r="AH144" s="64" ph="1">
        <v>5</v>
      </c>
      <c r="AI144" s="64" t="s" ph="1">
        <v>539</v>
      </c>
      <c r="AY144" s="64" t="s" ph="1">
        <v>216</v>
      </c>
      <c r="AZ144" s="64" t="s" ph="1">
        <v>367</v>
      </c>
    </row>
    <row r="145" spans="33:52" ph="1">
      <c r="AH145" s="64" ph="1">
        <v>6</v>
      </c>
      <c r="AI145" s="64" t="s" ph="1">
        <v>540</v>
      </c>
      <c r="AY145" s="64" t="s" ph="1">
        <v>216</v>
      </c>
      <c r="AZ145" s="64" t="s" ph="1">
        <v>367</v>
      </c>
    </row>
    <row r="146" spans="33:52" ph="1">
      <c r="AH146" s="64" ph="1">
        <v>7</v>
      </c>
      <c r="AI146" s="64" t="s" ph="1">
        <v>541</v>
      </c>
      <c r="AY146" s="64" t="s" ph="1">
        <v>216</v>
      </c>
      <c r="AZ146" s="64" t="s" ph="1">
        <v>367</v>
      </c>
    </row>
    <row r="147" spans="33:52" ph="1">
      <c r="AH147" s="64" ph="1">
        <v>8</v>
      </c>
      <c r="AI147" s="64" t="s" ph="1">
        <v>542</v>
      </c>
      <c r="AY147" s="64" t="s" ph="1">
        <v>216</v>
      </c>
      <c r="AZ147" s="64" t="s" ph="1">
        <v>367</v>
      </c>
    </row>
    <row r="148" spans="33:52" ph="1">
      <c r="AH148" s="64" ph="1">
        <v>9</v>
      </c>
      <c r="AI148" s="64" t="s" ph="1">
        <v>543</v>
      </c>
      <c r="AY148" s="64" t="s" ph="1">
        <v>216</v>
      </c>
      <c r="AZ148" s="64" t="s" ph="1">
        <v>367</v>
      </c>
    </row>
    <row r="149" spans="33:52" ph="1">
      <c r="AH149" s="64" ph="1">
        <v>10</v>
      </c>
      <c r="AI149" s="64" t="s" ph="1">
        <v>544</v>
      </c>
      <c r="AY149" s="64" t="s" ph="1">
        <v>216</v>
      </c>
      <c r="AZ149" s="64" t="s" ph="1">
        <v>367</v>
      </c>
    </row>
    <row r="150" spans="33:52" ph="1">
      <c r="AH150" s="64" ph="1">
        <v>11</v>
      </c>
      <c r="AI150" s="64" t="s" ph="1">
        <v>545</v>
      </c>
      <c r="AY150" s="64" t="s" ph="1">
        <v>216</v>
      </c>
      <c r="AZ150" s="64" t="s" ph="1">
        <v>367</v>
      </c>
    </row>
    <row r="151" spans="33:52" ph="1">
      <c r="AH151" s="64" ph="1">
        <v>12</v>
      </c>
      <c r="AI151" s="64" t="s" ph="1">
        <v>546</v>
      </c>
      <c r="AY151" s="64" t="s" ph="1">
        <v>216</v>
      </c>
      <c r="AZ151" s="64" t="s" ph="1">
        <v>367</v>
      </c>
    </row>
    <row r="152" spans="33:52" ph="1">
      <c r="AH152" s="64" ph="1">
        <v>13</v>
      </c>
      <c r="AI152" s="64" t="s" ph="1">
        <v>547</v>
      </c>
      <c r="AY152" s="64" t="s" ph="1">
        <v>216</v>
      </c>
      <c r="AZ152" s="64" t="s" ph="1">
        <v>367</v>
      </c>
    </row>
    <row r="153" spans="33:52" ph="1">
      <c r="AH153" s="64" ph="1">
        <v>14</v>
      </c>
      <c r="AI153" s="64" t="s" ph="1">
        <v>548</v>
      </c>
      <c r="AY153" s="64" t="s" ph="1">
        <v>216</v>
      </c>
      <c r="AZ153" s="64" t="s" ph="1">
        <v>367</v>
      </c>
    </row>
    <row r="154" spans="33:52" ph="1">
      <c r="AH154" s="64" ph="1">
        <v>15</v>
      </c>
      <c r="AI154" s="64" t="s" ph="1">
        <v>549</v>
      </c>
      <c r="AY154" s="64" t="s" ph="1">
        <v>216</v>
      </c>
      <c r="AZ154" s="64" t="s" ph="1">
        <v>367</v>
      </c>
    </row>
    <row r="155" spans="33:52" ph="1">
      <c r="AH155" s="64" ph="1">
        <v>16</v>
      </c>
      <c r="AI155" s="64" t="s" ph="1">
        <v>550</v>
      </c>
      <c r="AJ155" s="64" t="s" ph="1">
        <v>336</v>
      </c>
      <c r="AK155" s="64" t="s" ph="1">
        <v>231</v>
      </c>
      <c r="AM155" s="64" t="s" ph="1">
        <v>570</v>
      </c>
      <c r="AN155" s="64" t="s" ph="1">
        <v>282</v>
      </c>
      <c r="AO155" s="64" t="s" ph="1">
        <v>535</v>
      </c>
      <c r="AY155" s="64" t="s" ph="1">
        <v>216</v>
      </c>
      <c r="AZ155" s="64" t="s" ph="1">
        <v>223</v>
      </c>
    </row>
    <row r="156" spans="33:52" ph="1">
      <c r="AZ156" s="64" t="s" ph="1">
        <v>602</v>
      </c>
    </row>
    <row r="157" spans="33:52" ph="1">
      <c r="AG157" s="64" t="s" ph="1">
        <v>551</v>
      </c>
      <c r="AI157" s="64" t="s" ph="1">
        <v>209</v>
      </c>
      <c r="AJ157" s="64" t="s" ph="1">
        <v>210</v>
      </c>
      <c r="AK157" s="64" t="s" ph="1">
        <v>211</v>
      </c>
      <c r="AM157" s="64" t="s" ph="1">
        <v>210</v>
      </c>
      <c r="AN157" s="64" t="s" ph="1">
        <v>211</v>
      </c>
      <c r="AO157" s="64" t="s" ph="1">
        <v>212</v>
      </c>
      <c r="AP157" s="64" t="s" ph="1">
        <v>210</v>
      </c>
      <c r="AQ157" s="64" t="s" ph="1">
        <v>211</v>
      </c>
      <c r="AR157" s="64" t="s" ph="1">
        <v>212</v>
      </c>
      <c r="AS157" s="64" t="s" ph="1">
        <v>210</v>
      </c>
      <c r="AT157" s="64" t="s" ph="1">
        <v>211</v>
      </c>
      <c r="AU157" s="64" t="s" ph="1">
        <v>212</v>
      </c>
      <c r="AV157" s="64" t="s" ph="1">
        <v>210</v>
      </c>
      <c r="AW157" s="64" t="s" ph="1">
        <v>211</v>
      </c>
      <c r="AX157" s="64" t="s" ph="1">
        <v>212</v>
      </c>
      <c r="AY157" s="64" t="s" ph="1">
        <v>211</v>
      </c>
      <c r="AZ157" s="64" t="s" ph="1">
        <v>213</v>
      </c>
    </row>
    <row r="158" spans="33:52" ph="1">
      <c r="AH158" s="64" ph="1">
        <v>1</v>
      </c>
      <c r="AI158" s="64" t="s" ph="1">
        <v>552</v>
      </c>
      <c r="AY158" s="64" t="s" ph="1">
        <v>216</v>
      </c>
      <c r="AZ158" s="64" t="s" ph="1">
        <v>367</v>
      </c>
    </row>
    <row r="159" spans="33:52" ph="1">
      <c r="AH159" s="64" ph="1">
        <v>2</v>
      </c>
      <c r="AI159" s="64" t="s" ph="1">
        <v>553</v>
      </c>
      <c r="AY159" s="64" t="s" ph="1">
        <v>216</v>
      </c>
      <c r="AZ159" s="64" t="s" ph="1">
        <v>367</v>
      </c>
    </row>
    <row r="160" spans="33:52" ph="1">
      <c r="AZ160" s="64" t="s" ph="1">
        <v>385</v>
      </c>
    </row>
    <row r="161" spans="33:52" ph="1">
      <c r="AG161" s="64" t="s" ph="1">
        <v>361</v>
      </c>
      <c r="AI161" s="64" t="s" ph="1">
        <v>209</v>
      </c>
      <c r="AJ161" s="64" t="s" ph="1">
        <v>210</v>
      </c>
      <c r="AK161" s="64" t="s" ph="1">
        <v>211</v>
      </c>
      <c r="AM161" s="64" t="s" ph="1">
        <v>210</v>
      </c>
      <c r="AN161" s="64" t="s" ph="1">
        <v>211</v>
      </c>
      <c r="AO161" s="64" t="s" ph="1">
        <v>212</v>
      </c>
      <c r="AP161" s="64" t="s" ph="1">
        <v>210</v>
      </c>
      <c r="AQ161" s="64" t="s" ph="1">
        <v>211</v>
      </c>
      <c r="AR161" s="64" t="s" ph="1">
        <v>212</v>
      </c>
      <c r="AS161" s="64" t="s" ph="1">
        <v>210</v>
      </c>
      <c r="AT161" s="64" t="s" ph="1">
        <v>211</v>
      </c>
      <c r="AU161" s="64" t="s" ph="1">
        <v>212</v>
      </c>
      <c r="AV161" s="64" t="s" ph="1">
        <v>210</v>
      </c>
      <c r="AW161" s="64" t="s" ph="1">
        <v>211</v>
      </c>
      <c r="AX161" s="64" t="s" ph="1">
        <v>212</v>
      </c>
      <c r="AY161" s="64" t="s" ph="1">
        <v>211</v>
      </c>
      <c r="AZ161" s="64" t="s" ph="1">
        <v>213</v>
      </c>
    </row>
    <row r="162" spans="33:52" ph="1">
      <c r="AH162" s="64" ph="1">
        <v>1</v>
      </c>
      <c r="AI162" s="64" t="s" ph="1">
        <v>554</v>
      </c>
      <c r="AJ162" s="64" t="s" ph="1">
        <v>555</v>
      </c>
      <c r="AK162" s="64" t="s" ph="1">
        <v>499</v>
      </c>
      <c r="AM162" s="64" t="s" ph="1">
        <v>556</v>
      </c>
      <c r="AN162" s="64" t="s" ph="1">
        <v>220</v>
      </c>
      <c r="AO162" s="64" t="s" ph="1">
        <v>557</v>
      </c>
      <c r="AY162" s="64" t="s" ph="1">
        <v>216</v>
      </c>
      <c r="AZ162" s="64" t="s" ph="1">
        <v>292</v>
      </c>
    </row>
    <row r="163" spans="33:52" ph="1">
      <c r="AH163" s="64" ph="1">
        <v>2</v>
      </c>
      <c r="AI163" s="64" t="s" ph="1">
        <v>558</v>
      </c>
      <c r="AJ163" s="64" t="s" ph="1">
        <v>555</v>
      </c>
      <c r="AK163" s="64" t="s" ph="1">
        <v>388</v>
      </c>
      <c r="AY163" s="64" t="s" ph="1">
        <v>216</v>
      </c>
      <c r="AZ163" s="64" t="s" ph="1">
        <v>388</v>
      </c>
    </row>
    <row r="164" spans="33:52" ph="1">
      <c r="AH164" s="64" ph="1">
        <v>3</v>
      </c>
      <c r="AI164" s="64" t="s" ph="1">
        <v>559</v>
      </c>
      <c r="AJ164" s="64" t="s" ph="1">
        <v>555</v>
      </c>
      <c r="AK164" s="64" t="s" ph="1">
        <v>292</v>
      </c>
      <c r="AY164" s="64" t="s" ph="1">
        <v>216</v>
      </c>
      <c r="AZ164" s="64" t="s" ph="1">
        <v>292</v>
      </c>
    </row>
    <row r="165" spans="33:52" ph="1">
      <c r="AH165" s="64" ph="1">
        <v>4</v>
      </c>
      <c r="AI165" s="64" t="s" ph="1">
        <v>560</v>
      </c>
      <c r="AY165" s="64" t="s" ph="1">
        <v>216</v>
      </c>
      <c r="AZ165" s="64" t="s" ph="1">
        <v>367</v>
      </c>
    </row>
    <row r="166" spans="33:52" ph="1">
      <c r="AH166" s="64" ph="1">
        <v>5</v>
      </c>
      <c r="AI166" s="64" t="s" ph="1">
        <v>561</v>
      </c>
      <c r="AY166" s="64" t="s" ph="1">
        <v>216</v>
      </c>
      <c r="AZ166" s="64" t="s" ph="1">
        <v>367</v>
      </c>
    </row>
    <row r="167" spans="33:52" ph="1">
      <c r="AZ167" s="64" t="s" ph="1">
        <v>562</v>
      </c>
    </row>
    <row r="168" spans="33:52" ph="1">
      <c r="AG168" s="64" t="s" ph="1">
        <v>305</v>
      </c>
      <c r="AI168" s="64" t="s" ph="1">
        <v>209</v>
      </c>
      <c r="AJ168" s="64" t="s" ph="1">
        <v>210</v>
      </c>
      <c r="AK168" s="64" t="s" ph="1">
        <v>211</v>
      </c>
      <c r="AM168" s="64" t="s" ph="1">
        <v>210</v>
      </c>
      <c r="AN168" s="64" t="s" ph="1">
        <v>211</v>
      </c>
      <c r="AO168" s="64" t="s" ph="1">
        <v>212</v>
      </c>
      <c r="AP168" s="64" t="s" ph="1">
        <v>210</v>
      </c>
      <c r="AQ168" s="64" t="s" ph="1">
        <v>211</v>
      </c>
      <c r="AR168" s="64" t="s" ph="1">
        <v>212</v>
      </c>
      <c r="AS168" s="64" t="s" ph="1">
        <v>210</v>
      </c>
      <c r="AT168" s="64" t="s" ph="1">
        <v>211</v>
      </c>
      <c r="AU168" s="64" t="s" ph="1">
        <v>212</v>
      </c>
      <c r="AV168" s="64" t="s" ph="1">
        <v>210</v>
      </c>
      <c r="AW168" s="64" t="s" ph="1">
        <v>211</v>
      </c>
      <c r="AX168" s="64" t="s" ph="1">
        <v>212</v>
      </c>
      <c r="AY168" s="64" t="s" ph="1">
        <v>211</v>
      </c>
      <c r="AZ168" s="64" t="s" ph="1">
        <v>213</v>
      </c>
    </row>
    <row r="169" spans="33:52" ph="1">
      <c r="AH169" s="64" ph="1">
        <v>1</v>
      </c>
      <c r="AI169" s="64" t="s" ph="1">
        <v>563</v>
      </c>
      <c r="AY169" s="64" t="s" ph="1">
        <v>216</v>
      </c>
      <c r="AZ169" s="64" t="s" ph="1">
        <v>367</v>
      </c>
    </row>
    <row r="170" spans="33:52" ph="1">
      <c r="AH170" s="64" ph="1">
        <v>2</v>
      </c>
      <c r="AI170" s="64" t="s" ph="1">
        <v>564</v>
      </c>
      <c r="AY170" s="64" t="s" ph="1">
        <v>216</v>
      </c>
      <c r="AZ170" s="64" t="s" ph="1">
        <v>367</v>
      </c>
    </row>
    <row r="171" spans="33:52" ph="1">
      <c r="AH171" s="64" ph="1">
        <v>3</v>
      </c>
      <c r="AI171" s="64" t="s" ph="1">
        <v>565</v>
      </c>
      <c r="AY171" s="64" t="s" ph="1">
        <v>216</v>
      </c>
      <c r="AZ171" s="64" t="s" ph="1">
        <v>367</v>
      </c>
    </row>
    <row r="172" spans="33:52" ph="1">
      <c r="AH172" s="64" ph="1">
        <v>4</v>
      </c>
      <c r="AI172" s="64" t="s" ph="1">
        <v>566</v>
      </c>
      <c r="AY172" s="64" t="s" ph="1">
        <v>216</v>
      </c>
      <c r="AZ172" s="64" t="s" ph="1">
        <v>367</v>
      </c>
    </row>
    <row r="173" spans="33:52" ph="1">
      <c r="AH173" s="64" ph="1">
        <v>5</v>
      </c>
      <c r="AI173" s="64" t="s" ph="1">
        <v>567</v>
      </c>
      <c r="AY173" s="64" t="s" ph="1">
        <v>216</v>
      </c>
      <c r="AZ173" s="64" t="s" ph="1">
        <v>367</v>
      </c>
    </row>
    <row r="174" spans="33:52" ph="1">
      <c r="AZ174" s="64" t="s" ph="1">
        <v>385</v>
      </c>
    </row>
    <row r="175" spans="33:52" ph="1">
      <c r="AJ175" s="64" t="s" ph="1">
        <v>306</v>
      </c>
    </row>
    <row r="176" spans="33:52" ph="1">
      <c r="AJ176" s="64" t="s" ph="1">
        <v>307</v>
      </c>
      <c r="AK176" s="64" t="s" ph="1">
        <v>308</v>
      </c>
      <c r="AM176" s="64" t="s" ph="1">
        <v>309</v>
      </c>
      <c r="AO176" s="64" t="s" ph="1">
        <v>310</v>
      </c>
      <c r="AP176" s="64" t="s" ph="1">
        <v>311</v>
      </c>
      <c r="AQ176" s="64" t="s" ph="1">
        <v>301</v>
      </c>
      <c r="AR176" s="64" t="s" ph="1">
        <v>221</v>
      </c>
    </row>
    <row r="177" spans="36:56" ph="1">
      <c r="AJ177" s="64" t="s" ph="1">
        <v>603</v>
      </c>
      <c r="AK177" s="64" t="s" ph="1">
        <v>312</v>
      </c>
      <c r="AO177" s="64" t="s" ph="1">
        <v>312</v>
      </c>
      <c r="AP177" s="64" t="s" ph="1">
        <v>312</v>
      </c>
      <c r="AQ177" s="64" t="s" ph="1">
        <v>313</v>
      </c>
      <c r="AR177" s="64" t="s" ph="1">
        <v>314</v>
      </c>
    </row>
    <row r="179" spans="36:56" ph="1">
      <c r="AJ179" s="64" t="s" ph="1">
        <v>315</v>
      </c>
      <c r="AK179" s="64" t="s" ph="1">
        <v>316</v>
      </c>
      <c r="AM179" s="64" t="s" ph="1">
        <v>317</v>
      </c>
      <c r="AN179" s="64" t="s" ph="1">
        <v>293</v>
      </c>
      <c r="AO179" s="64" t="s" ph="1">
        <v>318</v>
      </c>
      <c r="AP179" s="64" t="s" ph="1">
        <v>297</v>
      </c>
      <c r="AQ179" s="64" t="s" ph="1">
        <v>319</v>
      </c>
      <c r="AR179" s="64" t="s" ph="1">
        <v>320</v>
      </c>
    </row>
    <row r="180" spans="36:56" ph="1">
      <c r="AJ180" s="64" t="s" ph="1">
        <v>312</v>
      </c>
      <c r="AK180" s="64" t="s" ph="1">
        <v>312</v>
      </c>
      <c r="AL180" s="64" ph="1">
        <v>116</v>
      </c>
      <c r="AM180" s="64" t="s" ph="1">
        <v>312</v>
      </c>
      <c r="AN180" s="64" t="s" ph="1">
        <v>321</v>
      </c>
      <c r="AO180" s="64" t="s" ph="1">
        <v>312</v>
      </c>
      <c r="AP180" s="64" t="s" ph="1">
        <v>322</v>
      </c>
      <c r="AQ180" s="64" t="s" ph="1">
        <v>323</v>
      </c>
      <c r="AR180" s="64" t="s" ph="1">
        <v>324</v>
      </c>
    </row>
    <row r="189" spans="36:56" ph="1">
      <c r="BD189" s="64" t="s" ph="1">
        <v>568</v>
      </c>
    </row>
    <row r="223" spans="18:18" ph="1">
      <c r="R223" s="135" ph="1">
        <v>45496</v>
      </c>
    </row>
  </sheetData>
  <mergeCells count="58">
    <mergeCell ref="Z22:AE22"/>
    <mergeCell ref="Z23:AE29"/>
    <mergeCell ref="B24:B26"/>
    <mergeCell ref="B27:B29"/>
    <mergeCell ref="B1:AE1"/>
    <mergeCell ref="B2:AE2"/>
    <mergeCell ref="B3:AE3"/>
    <mergeCell ref="B4:B5"/>
    <mergeCell ref="B6:B8"/>
    <mergeCell ref="B9:B11"/>
    <mergeCell ref="P31:R31"/>
    <mergeCell ref="B13:B14"/>
    <mergeCell ref="B15:B17"/>
    <mergeCell ref="B18:B20"/>
    <mergeCell ref="B22:B23"/>
    <mergeCell ref="B31:C32"/>
    <mergeCell ref="D31:F31"/>
    <mergeCell ref="G31:I31"/>
    <mergeCell ref="J31:L31"/>
    <mergeCell ref="M31:O31"/>
    <mergeCell ref="B33:C34"/>
    <mergeCell ref="D33:D34"/>
    <mergeCell ref="E33:E34"/>
    <mergeCell ref="F33:F34"/>
    <mergeCell ref="G33:G34"/>
    <mergeCell ref="S31:U31"/>
    <mergeCell ref="V31:X31"/>
    <mergeCell ref="Y31:AA31"/>
    <mergeCell ref="AB31:AE31"/>
    <mergeCell ref="AD32:AE32"/>
    <mergeCell ref="S33:S34"/>
    <mergeCell ref="H33:H34"/>
    <mergeCell ref="I33:I34"/>
    <mergeCell ref="J33:J34"/>
    <mergeCell ref="K33:K34"/>
    <mergeCell ref="L33:L34"/>
    <mergeCell ref="M33:M34"/>
    <mergeCell ref="N33:N34"/>
    <mergeCell ref="O33:O34"/>
    <mergeCell ref="P33:P34"/>
    <mergeCell ref="Q33:Q34"/>
    <mergeCell ref="R33:R34"/>
    <mergeCell ref="I36:J36"/>
    <mergeCell ref="R36:S36"/>
    <mergeCell ref="AB36:AC36"/>
    <mergeCell ref="AD36:AE36"/>
    <mergeCell ref="Z33:Z34"/>
    <mergeCell ref="AA33:AA34"/>
    <mergeCell ref="AB33:AB34"/>
    <mergeCell ref="AC33:AC34"/>
    <mergeCell ref="AD33:AE34"/>
    <mergeCell ref="AC35:AE35"/>
    <mergeCell ref="T33:T34"/>
    <mergeCell ref="U33:U34"/>
    <mergeCell ref="V33:V34"/>
    <mergeCell ref="W33:W34"/>
    <mergeCell ref="X33:X34"/>
    <mergeCell ref="Y33:Y34"/>
  </mergeCells>
  <phoneticPr fontId="2" type="noConversion"/>
  <conditionalFormatting sqref="D4:D11">
    <cfRule type="expression" dxfId="2659" priority="104">
      <formula>ABS(D$7-D$10)&gt;=1000</formula>
    </cfRule>
  </conditionalFormatting>
  <conditionalFormatting sqref="E4 E6:E11">
    <cfRule type="expression" dxfId="2658" priority="103">
      <formula>ABS(E$7-E$10)&gt;=1000</formula>
    </cfRule>
  </conditionalFormatting>
  <conditionalFormatting sqref="F4:F11">
    <cfRule type="expression" dxfId="2657" priority="102">
      <formula>ABS(F$7-F$10)&gt;=1000</formula>
    </cfRule>
  </conditionalFormatting>
  <conditionalFormatting sqref="G4:G11">
    <cfRule type="expression" dxfId="2656" priority="101">
      <formula>ABS(G$7-G$10)&gt;=1000</formula>
    </cfRule>
  </conditionalFormatting>
  <conditionalFormatting sqref="H4:H11">
    <cfRule type="expression" dxfId="2655" priority="100">
      <formula>ABS(H$7-H$10)&gt;=1000</formula>
    </cfRule>
  </conditionalFormatting>
  <conditionalFormatting sqref="I4:I11">
    <cfRule type="expression" dxfId="2654" priority="99">
      <formula>ABS(I$7-I$10)&gt;=1000</formula>
    </cfRule>
  </conditionalFormatting>
  <conditionalFormatting sqref="J4:J11">
    <cfRule type="expression" dxfId="2653" priority="98">
      <formula>ABS(J$7-J$10)&gt;=1000</formula>
    </cfRule>
  </conditionalFormatting>
  <conditionalFormatting sqref="K4:K11">
    <cfRule type="expression" dxfId="2652" priority="97">
      <formula>ABS(K$7-K$10)&gt;=1000</formula>
    </cfRule>
  </conditionalFormatting>
  <conditionalFormatting sqref="L4:L11">
    <cfRule type="expression" dxfId="2651" priority="96">
      <formula>ABS(L$7-L$10)&gt;=1000</formula>
    </cfRule>
  </conditionalFormatting>
  <conditionalFormatting sqref="M4 M6:M11">
    <cfRule type="expression" dxfId="2650" priority="95">
      <formula>ABS(M$7-M$10)&gt;=1000</formula>
    </cfRule>
  </conditionalFormatting>
  <conditionalFormatting sqref="N4 N6:N11">
    <cfRule type="expression" dxfId="2649" priority="94">
      <formula>ABS(N$7-N$10)&gt;=1000</formula>
    </cfRule>
  </conditionalFormatting>
  <conditionalFormatting sqref="O4 O6:O11">
    <cfRule type="expression" dxfId="2648" priority="93">
      <formula>ABS(O$7-O$10)&gt;=1000</formula>
    </cfRule>
  </conditionalFormatting>
  <conditionalFormatting sqref="P4 P6:P11">
    <cfRule type="expression" dxfId="2647" priority="92">
      <formula>ABS(P$7-P$10)&gt;=1000</formula>
    </cfRule>
  </conditionalFormatting>
  <conditionalFormatting sqref="Q4:Q11">
    <cfRule type="expression" dxfId="2646" priority="91">
      <formula>ABS(Q$7-Q$10)&gt;=1000</formula>
    </cfRule>
  </conditionalFormatting>
  <conditionalFormatting sqref="R4:R11">
    <cfRule type="expression" dxfId="2645" priority="90">
      <formula>ABS(R$7-R$10)&gt;=1000</formula>
    </cfRule>
  </conditionalFormatting>
  <conditionalFormatting sqref="S4:S11">
    <cfRule type="expression" dxfId="2644" priority="89">
      <formula>ABS(S$7-S$10)&gt;=1000</formula>
    </cfRule>
  </conditionalFormatting>
  <conditionalFormatting sqref="T4:T9 T11">
    <cfRule type="expression" dxfId="2643" priority="88">
      <formula>ABS(T$7-T$10)&gt;=1000</formula>
    </cfRule>
  </conditionalFormatting>
  <conditionalFormatting sqref="U4:U9 U11">
    <cfRule type="expression" dxfId="2642" priority="87">
      <formula>ABS(U$7-U$10)&gt;=1000</formula>
    </cfRule>
  </conditionalFormatting>
  <conditionalFormatting sqref="V4:V9 V11">
    <cfRule type="expression" dxfId="2641" priority="86">
      <formula>ABS(V$7-V$10)&gt;=1000</formula>
    </cfRule>
  </conditionalFormatting>
  <conditionalFormatting sqref="W4:W9 W11">
    <cfRule type="expression" dxfId="2640" priority="85">
      <formula>ABS(W$7-W$10)&gt;=1000</formula>
    </cfRule>
  </conditionalFormatting>
  <conditionalFormatting sqref="X4:X9 X11">
    <cfRule type="expression" dxfId="2639" priority="84">
      <formula>ABS(X$7-X$10)&gt;=1000</formula>
    </cfRule>
  </conditionalFormatting>
  <conditionalFormatting sqref="Y4:Y9 Y11">
    <cfRule type="expression" dxfId="2638" priority="83">
      <formula>ABS(Y$7-Y$10)&gt;=1000</formula>
    </cfRule>
  </conditionalFormatting>
  <conditionalFormatting sqref="Z4:Z11">
    <cfRule type="expression" dxfId="2637" priority="82">
      <formula>ABS(Z$7-Z$10)&gt;=1000</formula>
    </cfRule>
  </conditionalFormatting>
  <conditionalFormatting sqref="AA4:AA11">
    <cfRule type="expression" dxfId="2636" priority="81">
      <formula>ABS(AA$7-AA$10)&gt;=1000</formula>
    </cfRule>
  </conditionalFormatting>
  <conditionalFormatting sqref="AB4:AB11">
    <cfRule type="expression" dxfId="2635" priority="80">
      <formula>ABS(AB$7-AB$10)&gt;=1000</formula>
    </cfRule>
  </conditionalFormatting>
  <conditionalFormatting sqref="AC4 AC6:AC11">
    <cfRule type="expression" dxfId="2634" priority="79">
      <formula>ABS(AC$7-AC$10)&gt;=1000</formula>
    </cfRule>
  </conditionalFormatting>
  <conditionalFormatting sqref="AD4 AD6:AD11">
    <cfRule type="expression" dxfId="2633" priority="78">
      <formula>ABS(AD$7-AD$10)&gt;=1000</formula>
    </cfRule>
  </conditionalFormatting>
  <conditionalFormatting sqref="AE4 AE6:AE11">
    <cfRule type="expression" dxfId="2632" priority="77">
      <formula>ABS(AE$7-AE$10)&gt;=1000</formula>
    </cfRule>
  </conditionalFormatting>
  <conditionalFormatting sqref="D13:D20">
    <cfRule type="expression" dxfId="2631" priority="76">
      <formula>ABS(D$16-D$19)&gt;=1000</formula>
    </cfRule>
  </conditionalFormatting>
  <conditionalFormatting sqref="E13:E20">
    <cfRule type="expression" dxfId="2630" priority="75">
      <formula>ABS(E$16-E$19)&gt;=1000</formula>
    </cfRule>
  </conditionalFormatting>
  <conditionalFormatting sqref="F13 F15:F20">
    <cfRule type="expression" dxfId="2629" priority="74">
      <formula>ABS(F$16-F$19)&gt;=1000</formula>
    </cfRule>
  </conditionalFormatting>
  <conditionalFormatting sqref="G13:G20">
    <cfRule type="expression" dxfId="2628" priority="73">
      <formula>ABS(G$16-G$19)&gt;=1000</formula>
    </cfRule>
  </conditionalFormatting>
  <conditionalFormatting sqref="H13 H15:H20">
    <cfRule type="expression" dxfId="2627" priority="72">
      <formula>ABS(H$16-H$19)&gt;=1000</formula>
    </cfRule>
  </conditionalFormatting>
  <conditionalFormatting sqref="I13:I20">
    <cfRule type="expression" dxfId="2626" priority="71">
      <formula>ABS(I$16-I$19)&gt;=1000</formula>
    </cfRule>
  </conditionalFormatting>
  <conditionalFormatting sqref="J13:J20">
    <cfRule type="expression" dxfId="2625" priority="70">
      <formula>ABS(J$16-J$19)&gt;=1000</formula>
    </cfRule>
  </conditionalFormatting>
  <conditionalFormatting sqref="L13:L20">
    <cfRule type="expression" dxfId="2624" priority="69">
      <formula>ABS(L$16-L$19)&gt;=1000</formula>
    </cfRule>
  </conditionalFormatting>
  <conditionalFormatting sqref="M13 M15 M17:M18 M20">
    <cfRule type="expression" dxfId="2623" priority="68">
      <formula>ABS(M$16-M$19)&gt;=1000</formula>
    </cfRule>
  </conditionalFormatting>
  <conditionalFormatting sqref="N13:N20">
    <cfRule type="expression" dxfId="2622" priority="67">
      <formula>ABS(N$16-N$19)&gt;=1000</formula>
    </cfRule>
  </conditionalFormatting>
  <conditionalFormatting sqref="O13:O20">
    <cfRule type="expression" dxfId="2621" priority="66">
      <formula>ABS(O$16-O$19)&gt;=1000</formula>
    </cfRule>
  </conditionalFormatting>
  <conditionalFormatting sqref="P13:P20">
    <cfRule type="expression" dxfId="2620" priority="65">
      <formula>ABS(P$16-P$19)&gt;=1000</formula>
    </cfRule>
  </conditionalFormatting>
  <conditionalFormatting sqref="Q13 Q15:Q20">
    <cfRule type="expression" dxfId="2619" priority="64">
      <formula>ABS(Q$16-Q$19)&gt;=1000</formula>
    </cfRule>
  </conditionalFormatting>
  <conditionalFormatting sqref="R13 R15:R20">
    <cfRule type="expression" dxfId="2618" priority="63">
      <formula>ABS(R$16-R$19)&gt;=1000</formula>
    </cfRule>
  </conditionalFormatting>
  <conditionalFormatting sqref="S13:S20">
    <cfRule type="expression" dxfId="2617" priority="62">
      <formula>ABS(S$16-S$19)&gt;=1000</formula>
    </cfRule>
  </conditionalFormatting>
  <conditionalFormatting sqref="T13:T15 T17:T20">
    <cfRule type="expression" dxfId="2616" priority="61">
      <formula>ABS(T$16-T$19)&gt;=1000</formula>
    </cfRule>
  </conditionalFormatting>
  <conditionalFormatting sqref="U13:U20">
    <cfRule type="expression" dxfId="2615" priority="60">
      <formula>ABS(U$16-U$19)&gt;=1000</formula>
    </cfRule>
  </conditionalFormatting>
  <conditionalFormatting sqref="V13:V20">
    <cfRule type="expression" dxfId="2614" priority="59">
      <formula>ABS(V$16-V$19)&gt;=1000</formula>
    </cfRule>
  </conditionalFormatting>
  <conditionalFormatting sqref="W13 W20 W15:W18">
    <cfRule type="expression" dxfId="2613" priority="58">
      <formula>ABS(W$16-W$19)&gt;=1000</formula>
    </cfRule>
  </conditionalFormatting>
  <conditionalFormatting sqref="X13 X15:X20 Y19">
    <cfRule type="expression" dxfId="2612" priority="57">
      <formula>ABS(X$16-X$19)&gt;=1000</formula>
    </cfRule>
  </conditionalFormatting>
  <conditionalFormatting sqref="Y13 Y15:Y18 Y20">
    <cfRule type="expression" dxfId="2611" priority="56">
      <formula>ABS(Y$16-Y$19)&gt;=1000</formula>
    </cfRule>
  </conditionalFormatting>
  <conditionalFormatting sqref="Z13:Z20">
    <cfRule type="expression" dxfId="2610" priority="55">
      <formula>ABS(Z$16-Z$19)&gt;=1000</formula>
    </cfRule>
  </conditionalFormatting>
  <conditionalFormatting sqref="AA13:AA20">
    <cfRule type="expression" dxfId="2609" priority="54">
      <formula>ABS(AA$16-AA$19)&gt;=1000</formula>
    </cfRule>
  </conditionalFormatting>
  <conditionalFormatting sqref="AB13 AB15:AB20">
    <cfRule type="expression" dxfId="2608" priority="53">
      <formula>ABS(AB$16-AB$19)&gt;=1000</formula>
    </cfRule>
  </conditionalFormatting>
  <conditionalFormatting sqref="AC13 AC15:AC20">
    <cfRule type="expression" dxfId="2607" priority="52">
      <formula>ABS(AC$16-AC$19)&gt;=1000</formula>
    </cfRule>
  </conditionalFormatting>
  <conditionalFormatting sqref="AD13:AD20">
    <cfRule type="expression" dxfId="2606" priority="51">
      <formula>ABS(AD$16-AD$19)&gt;=1000</formula>
    </cfRule>
  </conditionalFormatting>
  <conditionalFormatting sqref="AE13:AE20">
    <cfRule type="expression" dxfId="2605" priority="50">
      <formula>ABS(AE$16-AE$19)&gt;=1000</formula>
    </cfRule>
  </conditionalFormatting>
  <conditionalFormatting sqref="D22:D29">
    <cfRule type="expression" dxfId="2604" priority="49">
      <formula>ABS(D$25-D$28)&gt;=1000</formula>
    </cfRule>
  </conditionalFormatting>
  <conditionalFormatting sqref="E22:E29">
    <cfRule type="expression" dxfId="2603" priority="48">
      <formula>ABS(E$25-E$28)&gt;=1000</formula>
    </cfRule>
  </conditionalFormatting>
  <conditionalFormatting sqref="F22:F29">
    <cfRule type="expression" dxfId="2602" priority="47">
      <formula>ABS(F$25-F$28)&gt;=1000</formula>
    </cfRule>
  </conditionalFormatting>
  <conditionalFormatting sqref="G22:G29">
    <cfRule type="expression" dxfId="2601" priority="46">
      <formula>ABS(G$25-G$28)&gt;=1000</formula>
    </cfRule>
  </conditionalFormatting>
  <conditionalFormatting sqref="H22:H29">
    <cfRule type="expression" dxfId="2600" priority="45">
      <formula>ABS(H$25-H$28)&gt;=1000</formula>
    </cfRule>
  </conditionalFormatting>
  <conditionalFormatting sqref="I22 I24:I29">
    <cfRule type="expression" dxfId="2599" priority="44">
      <formula>ABS(I$25-I$28)&gt;=1000</formula>
    </cfRule>
  </conditionalFormatting>
  <conditionalFormatting sqref="J22:J29 K22">
    <cfRule type="expression" dxfId="2598" priority="43">
      <formula>ABS(J$25-J$28)&gt;=1000</formula>
    </cfRule>
  </conditionalFormatting>
  <conditionalFormatting sqref="K23:K29 L25 L28">
    <cfRule type="expression" dxfId="2597" priority="42">
      <formula>ABS(K$25-K$28)&gt;=1000</formula>
    </cfRule>
  </conditionalFormatting>
  <conditionalFormatting sqref="L22 L26:L27 L29 L24">
    <cfRule type="expression" dxfId="2596" priority="41">
      <formula>ABS(L$25-L$28)&gt;=1000</formula>
    </cfRule>
  </conditionalFormatting>
  <conditionalFormatting sqref="M22:M29">
    <cfRule type="expression" dxfId="2595" priority="40">
      <formula>ABS(M$25-M$28)&gt;=1000</formula>
    </cfRule>
  </conditionalFormatting>
  <conditionalFormatting sqref="N22:N29">
    <cfRule type="expression" dxfId="2594" priority="39">
      <formula>ABS(N$25-N$28)&gt;=1000</formula>
    </cfRule>
  </conditionalFormatting>
  <conditionalFormatting sqref="O22 O24:O29">
    <cfRule type="expression" dxfId="2593" priority="38">
      <formula>ABS(O$25-O$28)&gt;=1000</formula>
    </cfRule>
  </conditionalFormatting>
  <conditionalFormatting sqref="P22:P29">
    <cfRule type="expression" dxfId="2592" priority="37">
      <formula>ABS(P$25-P$28)&gt;=1000</formula>
    </cfRule>
  </conditionalFormatting>
  <conditionalFormatting sqref="Q22:Q29">
    <cfRule type="expression" dxfId="2591" priority="36">
      <formula>ABS(Q$25-Q$28)&gt;=1000</formula>
    </cfRule>
  </conditionalFormatting>
  <conditionalFormatting sqref="R22:R29">
    <cfRule type="expression" dxfId="2590" priority="35">
      <formula>ABS(R$25-R$28)&gt;=1000</formula>
    </cfRule>
  </conditionalFormatting>
  <conditionalFormatting sqref="S22:S29">
    <cfRule type="expression" dxfId="2589" priority="34">
      <formula>ABS(S$25-S$28)&gt;=1000</formula>
    </cfRule>
  </conditionalFormatting>
  <conditionalFormatting sqref="T22:T29">
    <cfRule type="expression" dxfId="2588" priority="33">
      <formula>ABS(T$25-T$28)&gt;=1000</formula>
    </cfRule>
  </conditionalFormatting>
  <conditionalFormatting sqref="U22:U29">
    <cfRule type="expression" dxfId="2587" priority="32">
      <formula>ABS(U$25-U$28)&gt;=1000</formula>
    </cfRule>
  </conditionalFormatting>
  <conditionalFormatting sqref="V22:V29">
    <cfRule type="expression" dxfId="2586" priority="31">
      <formula>ABS(V$25-V$28)&gt;=1000</formula>
    </cfRule>
  </conditionalFormatting>
  <conditionalFormatting sqref="W22:W29">
    <cfRule type="expression" dxfId="2585" priority="30">
      <formula>ABS(W$25-W$28)&gt;=1000</formula>
    </cfRule>
  </conditionalFormatting>
  <conditionalFormatting sqref="X22:X29">
    <cfRule type="expression" dxfId="2584" priority="29">
      <formula>ABS(X$25-X$28)&gt;=1000</formula>
    </cfRule>
  </conditionalFormatting>
  <conditionalFormatting sqref="Y22:Y29">
    <cfRule type="expression" dxfId="2583" priority="28">
      <formula>ABS(Y$25-Y$28)&gt;=1000</formula>
    </cfRule>
  </conditionalFormatting>
  <conditionalFormatting sqref="I23">
    <cfRule type="expression" dxfId="2582" priority="27">
      <formula>ABS(I$25-I$28)&gt;=1000</formula>
    </cfRule>
  </conditionalFormatting>
  <conditionalFormatting sqref="Q14">
    <cfRule type="expression" dxfId="2581" priority="26">
      <formula>ABS(Q$16-Q$19)&gt;=1000</formula>
    </cfRule>
  </conditionalFormatting>
  <conditionalFormatting sqref="W14">
    <cfRule type="expression" dxfId="2580" priority="25">
      <formula>ABS(W$16-W$19)&gt;=1000</formula>
    </cfRule>
  </conditionalFormatting>
  <conditionalFormatting sqref="X14">
    <cfRule type="expression" dxfId="2579" priority="24">
      <formula>ABS(X$16-X$19)&gt;=1000</formula>
    </cfRule>
  </conditionalFormatting>
  <conditionalFormatting sqref="T10:Y10">
    <cfRule type="expression" dxfId="2578" priority="23">
      <formula>ABS(T$7-T$10)&gt;=1000</formula>
    </cfRule>
  </conditionalFormatting>
  <conditionalFormatting sqref="W19">
    <cfRule type="expression" dxfId="2577" priority="22">
      <formula>ABS(W$16-W$19)&gt;=1000</formula>
    </cfRule>
  </conditionalFormatting>
  <conditionalFormatting sqref="AC5">
    <cfRule type="expression" dxfId="2576" priority="21">
      <formula>ABS(AC$7-AC$10)&gt;=1000</formula>
    </cfRule>
  </conditionalFormatting>
  <conditionalFormatting sqref="M14">
    <cfRule type="expression" dxfId="2575" priority="20">
      <formula>ABS(M$16-M$19)&gt;=1000</formula>
    </cfRule>
  </conditionalFormatting>
  <conditionalFormatting sqref="M16">
    <cfRule type="expression" dxfId="2574" priority="19">
      <formula>ABS(M$16-M$19)&gt;=1000</formula>
    </cfRule>
  </conditionalFormatting>
  <conditionalFormatting sqref="M19">
    <cfRule type="expression" dxfId="2573" priority="18">
      <formula>ABS(M$16-M$19)&gt;=1000</formula>
    </cfRule>
  </conditionalFormatting>
  <conditionalFormatting sqref="K13:K20">
    <cfRule type="expression" dxfId="2572" priority="17">
      <formula>ABS(K$16-K$19)&gt;=1000</formula>
    </cfRule>
  </conditionalFormatting>
  <conditionalFormatting sqref="E5">
    <cfRule type="expression" dxfId="2571" priority="16">
      <formula>ABS(E$7-E$10)&gt;=1000</formula>
    </cfRule>
  </conditionalFormatting>
  <conditionalFormatting sqref="AB14:AC14">
    <cfRule type="expression" dxfId="2570" priority="15">
      <formula>ABS(AB$16-AB$19)&gt;=1000</formula>
    </cfRule>
  </conditionalFormatting>
  <conditionalFormatting sqref="M5">
    <cfRule type="expression" dxfId="2569" priority="14">
      <formula>ABS(M$7-M$10)&gt;=1000</formula>
    </cfRule>
  </conditionalFormatting>
  <conditionalFormatting sqref="N5">
    <cfRule type="expression" dxfId="2568" priority="13">
      <formula>ABS(N$7-N$10)&gt;=1000</formula>
    </cfRule>
  </conditionalFormatting>
  <conditionalFormatting sqref="O5">
    <cfRule type="expression" dxfId="2567" priority="12">
      <formula>ABS(O$7-O$10)&gt;=1000</formula>
    </cfRule>
  </conditionalFormatting>
  <conditionalFormatting sqref="P5">
    <cfRule type="expression" dxfId="2566" priority="11">
      <formula>ABS(P$7-P$10)&gt;=1000</formula>
    </cfRule>
  </conditionalFormatting>
  <conditionalFormatting sqref="L23">
    <cfRule type="expression" dxfId="2565" priority="10">
      <formula>ABS(L$25-L$28)&gt;=1000</formula>
    </cfRule>
  </conditionalFormatting>
  <conditionalFormatting sqref="Y14">
    <cfRule type="expression" dxfId="2564" priority="9">
      <formula>ABS(Y$16-Y$19)&gt;=1000</formula>
    </cfRule>
  </conditionalFormatting>
  <conditionalFormatting sqref="H14">
    <cfRule type="expression" dxfId="2563" priority="8">
      <formula>ABS(H$16-H$19)&gt;=1000</formula>
    </cfRule>
  </conditionalFormatting>
  <conditionalFormatting sqref="AD5">
    <cfRule type="expression" dxfId="2562" priority="7">
      <formula>ABS(AD$7-AD$10)&gt;=1000</formula>
    </cfRule>
  </conditionalFormatting>
  <conditionalFormatting sqref="AE5">
    <cfRule type="expression" dxfId="2561" priority="6">
      <formula>ABS(AE$7-AE$10)&gt;=1000</formula>
    </cfRule>
  </conditionalFormatting>
  <conditionalFormatting sqref="T16">
    <cfRule type="expression" dxfId="2560" priority="5">
      <formula>ABS(T$16-T$19)&gt;=1000</formula>
    </cfRule>
  </conditionalFormatting>
  <conditionalFormatting sqref="F14">
    <cfRule type="expression" dxfId="2559" priority="3">
      <formula>ABS(F$16-F$19)&gt;=1000</formula>
    </cfRule>
  </conditionalFormatting>
  <conditionalFormatting sqref="R14">
    <cfRule type="expression" dxfId="2558" priority="2">
      <formula>ABS(R$16-R$19)&gt;=1000</formula>
    </cfRule>
  </conditionalFormatting>
  <conditionalFormatting sqref="O23">
    <cfRule type="expression" dxfId="2557" priority="1">
      <formula>ABS(O$25-O$28)&gt;=1000</formula>
    </cfRule>
  </conditionalFormatting>
  <dataValidations count="1">
    <dataValidation operator="greaterThanOrEqual" allowBlank="1" showErrorMessage="1" sqref="D6"/>
  </dataValidations>
  <printOptions horizontalCentered="1"/>
  <pageMargins left="0.39370078740157483" right="0.39370078740157483" top="0.39370078740157483" bottom="0.39370078740157483" header="0.51181102362204722" footer="0.51181102362204722"/>
  <pageSetup paperSize="9" scale="60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53217" r:id="rId4" name="Button 1">
              <controlPr defaultSize="0" print="0" autoFill="0" autoPict="0">
                <anchor moveWithCells="1">
                  <from>
                    <xdr:col>31</xdr:col>
                    <xdr:colOff>0</xdr:colOff>
                    <xdr:row>0</xdr:row>
                    <xdr:rowOff>342900</xdr:rowOff>
                  </from>
                  <to>
                    <xdr:col>32</xdr:col>
                    <xdr:colOff>411480</xdr:colOff>
                    <xdr:row>3</xdr:row>
                    <xdr:rowOff>30480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967">
    <pageSetUpPr fitToPage="1"/>
  </sheetPr>
  <dimension ref="A1:CU223"/>
  <sheetViews>
    <sheetView view="pageBreakPreview" topLeftCell="B10" zoomScale="85" zoomScaleNormal="100" zoomScaleSheetLayoutView="85" workbookViewId="0">
      <selection activeCell="O23" sqref="O23"/>
    </sheetView>
  </sheetViews>
  <sheetFormatPr defaultColWidth="8.109375" defaultRowHeight="25.8"/>
  <cols>
    <col min="1" max="1" width="11.6640625" style="64" customWidth="1" phonetic="1"/>
    <col min="2" max="2" width="7.6640625" style="64" customWidth="1" phonetic="1"/>
    <col min="3" max="3" width="8" style="64" customWidth="1" phonetic="1"/>
    <col min="4" max="8" width="7.6640625" style="64" customWidth="1" phonetic="1"/>
    <col min="9" max="9" width="8" style="64" customWidth="1" phonetic="1"/>
    <col min="10" max="12" width="7.6640625" style="64" customWidth="1" phonetic="1"/>
    <col min="13" max="13" width="7.77734375" style="64" bestFit="1" customWidth="1" phonetic="1"/>
    <col min="14" max="30" width="7.6640625" style="64" customWidth="1" phonetic="1"/>
    <col min="31" max="31" width="7.6640625" style="75" customWidth="1" phonetic="1"/>
    <col min="32" max="32" width="11.6640625" style="64" bestFit="1" customWidth="1" phonetic="1"/>
    <col min="33" max="33" width="22.109375" style="64" customWidth="1" phonetic="1"/>
    <col min="34" max="34" width="5.6640625" style="64" customWidth="1" phonetic="1"/>
    <col min="35" max="35" width="18.21875" style="64" customWidth="1" phonetic="1"/>
    <col min="36" max="36" width="12" style="64" bestFit="1" customWidth="1" phonetic="1"/>
    <col min="37" max="37" width="11.6640625" style="64" bestFit="1" customWidth="1" phonetic="1"/>
    <col min="38" max="38" width="5.6640625" style="64" customWidth="1" phonetic="1"/>
    <col min="39" max="39" width="11.44140625" style="64" bestFit="1" customWidth="1" phonetic="1"/>
    <col min="40" max="40" width="6.21875" style="64" customWidth="1" phonetic="1"/>
    <col min="41" max="41" width="8.6640625" style="64" customWidth="1" phonetic="1"/>
    <col min="42" max="42" width="11.21875" style="64" customWidth="1" phonetic="1"/>
    <col min="43" max="43" width="11.77734375" style="64" customWidth="1" phonetic="1"/>
    <col min="44" max="44" width="11.21875" style="64" customWidth="1" phonetic="1"/>
    <col min="45" max="45" width="11.21875" style="64" bestFit="1" customWidth="1" phonetic="1"/>
    <col min="46" max="46" width="41.77734375" style="64" customWidth="1" phonetic="1"/>
    <col min="47" max="47" width="7.77734375" style="64" customWidth="1" phonetic="1"/>
    <col min="48" max="48" width="17.109375" style="64" customWidth="1" phonetic="1"/>
    <col min="49" max="49" width="6.21875" style="64" customWidth="1" phonetic="1"/>
    <col min="50" max="50" width="10" style="64" customWidth="1" phonetic="1"/>
    <col min="51" max="51" width="6.21875" style="64" customWidth="1" phonetic="1"/>
    <col min="52" max="52" width="6.88671875" style="64" customWidth="1" phonetic="1"/>
    <col min="53" max="53" width="6.44140625" style="64" customWidth="1" phonetic="1"/>
    <col min="54" max="54" width="15.44140625" style="64" customWidth="1" phonetic="1"/>
    <col min="55" max="55" width="6.21875" style="64" customWidth="1" phonetic="1"/>
    <col min="56" max="56" width="22.109375" style="64" bestFit="1" customWidth="1" phonetic="1"/>
    <col min="57" max="57" width="6.44140625" style="64" customWidth="1" phonetic="1"/>
    <col min="58" max="60" width="6.21875" style="64" customWidth="1" phonetic="1"/>
    <col min="61" max="16384" width="8.109375" style="64" phonetic="1"/>
  </cols>
  <sheetData>
    <row r="1" spans="1:99" ht="31.2" ph="1">
      <c r="A1" s="64"/>
      <c r="B1" s="238" t="s" ph="1">
        <v>161</v>
      </c>
      <c r="C1" s="238" ph="1"/>
      <c r="D1" s="238" ph="1"/>
      <c r="E1" s="238" ph="1"/>
      <c r="F1" s="238" ph="1"/>
      <c r="G1" s="238" ph="1"/>
      <c r="H1" s="238" ph="1"/>
      <c r="I1" s="238" ph="1"/>
      <c r="J1" s="238" ph="1"/>
      <c r="K1" s="238" ph="1"/>
      <c r="L1" s="238" ph="1"/>
      <c r="M1" s="238" ph="1"/>
      <c r="N1" s="238" ph="1"/>
      <c r="O1" s="238" ph="1"/>
      <c r="P1" s="238" ph="1"/>
      <c r="Q1" s="238" ph="1"/>
      <c r="R1" s="238" ph="1"/>
      <c r="S1" s="238" ph="1"/>
      <c r="T1" s="238" ph="1"/>
      <c r="U1" s="238" ph="1"/>
      <c r="V1" s="238" ph="1"/>
      <c r="W1" s="238" ph="1"/>
      <c r="X1" s="238" ph="1"/>
      <c r="Y1" s="238" ph="1"/>
      <c r="Z1" s="238" ph="1"/>
      <c r="AA1" s="238" ph="1"/>
      <c r="AB1" s="238" ph="1"/>
      <c r="AC1" s="238" ph="1"/>
      <c r="AD1" s="238" ph="1"/>
      <c r="AE1" s="238" ph="1"/>
    </row>
    <row r="2" spans="1:99" s="66" customFormat="1" ht="24" customHeight="1" ph="1">
      <c r="B2" s="239" t="s" ph="1">
        <v>82</v>
      </c>
      <c r="C2" s="239" ph="1"/>
      <c r="D2" s="239" ph="1"/>
      <c r="E2" s="239" ph="1"/>
      <c r="F2" s="239" ph="1"/>
      <c r="G2" s="239" ph="1"/>
      <c r="H2" s="239" ph="1"/>
      <c r="I2" s="239" ph="1"/>
      <c r="J2" s="239" ph="1"/>
      <c r="K2" s="239" ph="1"/>
      <c r="L2" s="239" ph="1"/>
      <c r="M2" s="239" ph="1"/>
      <c r="N2" s="239" ph="1"/>
      <c r="O2" s="239" ph="1"/>
      <c r="P2" s="239" ph="1"/>
      <c r="Q2" s="239" ph="1"/>
      <c r="R2" s="239" ph="1"/>
      <c r="S2" s="239" ph="1"/>
      <c r="T2" s="239" ph="1"/>
      <c r="U2" s="239" ph="1"/>
      <c r="V2" s="239" ph="1"/>
      <c r="W2" s="239" ph="1"/>
      <c r="X2" s="239" ph="1"/>
      <c r="Y2" s="239" ph="1"/>
      <c r="Z2" s="239" ph="1"/>
      <c r="AA2" s="239" ph="1"/>
      <c r="AB2" s="239" ph="1"/>
      <c r="AC2" s="239" ph="1"/>
      <c r="AD2" s="239" ph="1"/>
      <c r="AE2" s="239" ph="1"/>
    </row>
    <row r="3" spans="1:99" ht="21" customHeight="1" ph="1">
      <c r="B3" s="240" ph="1">
        <v>46267</v>
      </c>
      <c r="C3" s="240"/>
      <c r="D3" s="240"/>
      <c r="E3" s="240"/>
      <c r="F3" s="240"/>
      <c r="G3" s="240"/>
      <c r="H3" s="240"/>
      <c r="I3" s="240"/>
      <c r="J3" s="240"/>
      <c r="K3" s="240"/>
      <c r="L3" s="240"/>
      <c r="M3" s="240"/>
      <c r="N3" s="240"/>
      <c r="O3" s="240"/>
      <c r="P3" s="240"/>
      <c r="Q3" s="240"/>
      <c r="R3" s="240"/>
      <c r="S3" s="240"/>
      <c r="T3" s="240"/>
      <c r="U3" s="240"/>
      <c r="V3" s="240"/>
      <c r="W3" s="240"/>
      <c r="X3" s="240"/>
      <c r="Y3" s="240"/>
      <c r="Z3" s="240"/>
      <c r="AA3" s="240"/>
      <c r="AB3" s="240"/>
      <c r="AC3" s="240"/>
      <c r="AD3" s="240"/>
      <c r="AE3" s="240"/>
    </row>
    <row r="4" spans="1:99" s="69" customFormat="1" ph="1">
      <c r="A4" s="65" ph="1"/>
      <c r="B4" s="219" t="s" ph="1">
        <v>37</v>
      </c>
      <c r="C4" s="67" t="s" ph="1">
        <v>176</v>
      </c>
      <c r="D4" s="68" t="s" ph="1">
        <v>44</v>
      </c>
      <c r="E4" s="68" t="s" ph="1">
        <v>45</v>
      </c>
      <c r="F4" s="68" t="s" ph="1">
        <v>39</v>
      </c>
      <c r="G4" s="68" t="s" ph="1">
        <v>46</v>
      </c>
      <c r="H4" s="68" t="s" ph="1">
        <v>47</v>
      </c>
      <c r="I4" s="68" t="s" ph="1">
        <v>110</v>
      </c>
      <c r="J4" s="68" t="s" ph="1">
        <v>48</v>
      </c>
      <c r="K4" s="68" t="s" ph="1">
        <v>111</v>
      </c>
      <c r="L4" s="68" t="s" ph="1">
        <v>112</v>
      </c>
      <c r="M4" s="68" t="s" ph="1">
        <v>49</v>
      </c>
      <c r="N4" s="68" t="s" ph="1">
        <v>50</v>
      </c>
      <c r="O4" s="68" t="s" ph="1">
        <v>113</v>
      </c>
      <c r="P4" s="68" t="s" ph="1">
        <v>114</v>
      </c>
      <c r="Q4" s="68" t="s" ph="1">
        <v>115</v>
      </c>
      <c r="R4" s="68" t="s" ph="1">
        <v>116</v>
      </c>
      <c r="S4" s="68" t="s" ph="1">
        <v>117</v>
      </c>
      <c r="T4" s="68" t="s" ph="1">
        <v>118</v>
      </c>
      <c r="U4" s="68" t="s" ph="1">
        <v>119</v>
      </c>
      <c r="V4" s="68" t="s" ph="1">
        <v>120</v>
      </c>
      <c r="W4" s="68" t="s" ph="1">
        <v>121</v>
      </c>
      <c r="X4" s="68" t="s" ph="1">
        <v>122</v>
      </c>
      <c r="Y4" s="68" t="s" ph="1">
        <v>123</v>
      </c>
      <c r="Z4" s="68" t="s" ph="1">
        <v>51</v>
      </c>
      <c r="AA4" s="68" t="s" ph="1">
        <v>124</v>
      </c>
      <c r="AB4" s="68" t="s" ph="1">
        <v>125</v>
      </c>
      <c r="AC4" s="68" t="s" ph="1">
        <v>126</v>
      </c>
      <c r="AD4" s="68" t="s" ph="1">
        <v>40</v>
      </c>
      <c r="AE4" s="68" t="s" ph="1">
        <v>127</v>
      </c>
      <c r="AF4" s="65" ph="1"/>
      <c r="AG4" s="65" ph="1"/>
      <c r="AH4" s="65" ph="1"/>
      <c r="AI4" s="65" ph="1"/>
      <c r="AJ4" s="65" ph="1"/>
      <c r="AK4" s="65" ph="1"/>
      <c r="AL4" s="65" ph="1"/>
      <c r="AM4" s="65" ph="1"/>
      <c r="AN4" s="65" ph="1"/>
      <c r="AO4" s="65" ph="1"/>
      <c r="AP4" s="65" ph="1"/>
      <c r="AQ4" s="65" ph="1"/>
      <c r="AR4" s="65" ph="1"/>
      <c r="AS4" s="65" ph="1"/>
      <c r="AT4" s="65" ph="1"/>
      <c r="AU4" s="65" ph="1"/>
      <c r="AV4" s="65" ph="1"/>
      <c r="AW4" s="65" ph="1"/>
      <c r="AX4" s="65" ph="1"/>
      <c r="AY4" s="65" ph="1"/>
      <c r="AZ4" s="65" ph="1"/>
      <c r="BA4" s="65" ph="1"/>
      <c r="BB4" s="65" ph="1"/>
      <c r="BC4" s="65" ph="1"/>
      <c r="BD4" s="65" ph="1"/>
      <c r="BE4" s="65" ph="1"/>
      <c r="BF4" s="65" ph="1"/>
      <c r="BG4" s="65" ph="1"/>
      <c r="BH4" s="65" ph="1"/>
      <c r="BI4" s="65" ph="1"/>
      <c r="BJ4" s="65" ph="1"/>
      <c r="BK4" s="65" ph="1"/>
      <c r="BL4" s="65" ph="1"/>
      <c r="BM4" s="65" ph="1"/>
      <c r="BN4" s="65" ph="1"/>
      <c r="BO4" s="65" ph="1"/>
      <c r="BP4" s="65" ph="1"/>
      <c r="BQ4" s="65" ph="1"/>
      <c r="BR4" s="65" ph="1"/>
      <c r="BS4" s="65" ph="1"/>
      <c r="BT4" s="65" ph="1"/>
      <c r="BU4" s="65" ph="1"/>
      <c r="BV4" s="65" ph="1"/>
      <c r="BW4" s="65" ph="1"/>
      <c r="BX4" s="65" ph="1"/>
      <c r="BY4" s="65" ph="1"/>
      <c r="BZ4" s="65" ph="1"/>
      <c r="CA4" s="65" ph="1"/>
      <c r="CB4" s="65" ph="1"/>
      <c r="CC4" s="65" ph="1"/>
      <c r="CD4" s="65" ph="1"/>
      <c r="CE4" s="65" ph="1"/>
      <c r="CF4" s="65" ph="1"/>
      <c r="CG4" s="65" ph="1"/>
      <c r="CH4" s="65" ph="1"/>
      <c r="CI4" s="65" ph="1"/>
      <c r="CJ4" s="65" ph="1"/>
      <c r="CK4" s="65" ph="1"/>
      <c r="CL4" s="65" ph="1"/>
      <c r="CM4" s="65" ph="1"/>
      <c r="CN4" s="65" ph="1"/>
      <c r="CO4" s="65" ph="1"/>
      <c r="CP4" s="65" ph="1"/>
      <c r="CQ4" s="65" ph="1"/>
      <c r="CR4" s="65" ph="1"/>
      <c r="CS4" s="65" ph="1"/>
      <c r="CT4" s="65" ph="1"/>
      <c r="CU4" s="65" ph="1"/>
    </row>
    <row r="5" spans="1:99" s="69" customFormat="1" ht="29.25" customHeight="1" ph="1">
      <c r="A5" s="65" ph="1"/>
      <c r="B5" s="219" ph="1"/>
      <c r="C5" s="67" t="s" ph="1">
        <v>36</v>
      </c>
      <c r="D5" s="70" t="s" ph="1">
        <v>160</v>
      </c>
      <c r="E5" s="142" t="s" ph="1">
        <v>617</v>
      </c>
      <c r="F5" s="142" t="s" ph="1">
        <v>1</v>
      </c>
      <c r="G5" s="142" t="s" ph="1">
        <v>7</v>
      </c>
      <c r="H5" s="142" t="s" ph="1">
        <v>7</v>
      </c>
      <c r="I5" s="141" t="s" ph="1">
        <v>608</v>
      </c>
      <c r="J5" s="141" t="s" ph="1">
        <v>609</v>
      </c>
      <c r="K5" s="141" t="s" ph="1">
        <v>611</v>
      </c>
      <c r="L5" s="141" t="s" ph="1">
        <v>613</v>
      </c>
      <c r="M5" s="141" t="s" ph="1">
        <v>608</v>
      </c>
      <c r="N5" s="70" t="s" ph="1">
        <v>609</v>
      </c>
      <c r="O5" s="70" t="s" ph="1">
        <v>611</v>
      </c>
      <c r="P5" s="70" t="s" ph="1">
        <v>613</v>
      </c>
      <c r="Q5" s="70" t="s" ph="1">
        <v>607</v>
      </c>
      <c r="R5" s="70" t="s" ph="1">
        <v>607</v>
      </c>
      <c r="S5" s="70" t="s" ph="1">
        <v>607</v>
      </c>
      <c r="T5" s="70" t="s" ph="1">
        <v>607</v>
      </c>
      <c r="U5" s="70" t="s" ph="1">
        <v>607</v>
      </c>
      <c r="V5" s="70" t="s" ph="1">
        <v>607</v>
      </c>
      <c r="W5" s="70" t="s" ph="1">
        <v>607</v>
      </c>
      <c r="X5" s="70" t="s" ph="1">
        <v>607</v>
      </c>
      <c r="Y5" s="70" t="s" ph="1">
        <v>607</v>
      </c>
      <c r="Z5" s="70" t="s" ph="1">
        <v>614</v>
      </c>
      <c r="AA5" s="70" t="s" ph="1">
        <v>54</v>
      </c>
      <c r="AB5" s="70" t="s" ph="1">
        <v>54</v>
      </c>
      <c r="AC5" s="70" t="s" ph="1">
        <v>615</v>
      </c>
      <c r="AD5" s="71" t="s">
        <v>72</v>
      </c>
      <c r="AE5" s="71" t="s">
        <v>635</v>
      </c>
      <c r="AF5" s="65" ph="1"/>
      <c r="AG5" s="65" ph="1"/>
      <c r="AH5" s="65" ph="1"/>
      <c r="AI5" s="65" ph="1"/>
      <c r="AJ5" s="65" ph="1"/>
      <c r="AK5" s="65" ph="1"/>
      <c r="AL5" s="65" ph="1"/>
      <c r="AM5" s="65" ph="1"/>
      <c r="AN5" s="65" ph="1"/>
      <c r="AO5" s="65" ph="1"/>
      <c r="AP5" s="65" ph="1"/>
      <c r="AQ5" s="65" ph="1"/>
      <c r="AR5" s="65" ph="1"/>
      <c r="AS5" s="65" ph="1"/>
      <c r="AT5" s="65" ph="1"/>
      <c r="AU5" s="65" ph="1"/>
      <c r="AV5" s="65" ph="1"/>
      <c r="AW5" s="65" ph="1"/>
      <c r="AX5" s="65" ph="1"/>
      <c r="AY5" s="65" ph="1"/>
      <c r="AZ5" s="65" ph="1"/>
      <c r="BA5" s="65" ph="1"/>
      <c r="BB5" s="65" ph="1"/>
      <c r="BC5" s="65" ph="1"/>
      <c r="BD5" s="65" ph="1"/>
      <c r="BE5" s="65" ph="1"/>
      <c r="BF5" s="65" ph="1"/>
      <c r="BG5" s="65" ph="1"/>
      <c r="BH5" s="65" ph="1"/>
      <c r="BI5" s="65" ph="1"/>
      <c r="BJ5" s="65" ph="1"/>
      <c r="BK5" s="65" ph="1"/>
      <c r="BL5" s="65" ph="1"/>
      <c r="BM5" s="65" ph="1"/>
      <c r="BN5" s="65" ph="1"/>
      <c r="BO5" s="65" ph="1"/>
      <c r="BP5" s="65" ph="1"/>
      <c r="BQ5" s="65" ph="1"/>
      <c r="BR5" s="65" ph="1"/>
      <c r="BS5" s="65" ph="1"/>
      <c r="BT5" s="65" ph="1"/>
      <c r="BU5" s="65" ph="1"/>
      <c r="BV5" s="65" ph="1"/>
      <c r="BW5" s="65" ph="1"/>
      <c r="BX5" s="65" ph="1"/>
      <c r="BY5" s="65" ph="1"/>
      <c r="BZ5" s="65" ph="1"/>
      <c r="CA5" s="65" ph="1"/>
      <c r="CB5" s="65" ph="1"/>
      <c r="CC5" s="65" ph="1"/>
      <c r="CD5" s="65" ph="1"/>
      <c r="CE5" s="65" ph="1"/>
      <c r="CF5" s="65" ph="1"/>
      <c r="CG5" s="65" ph="1"/>
      <c r="CH5" s="65" ph="1"/>
      <c r="CI5" s="65" ph="1"/>
      <c r="CJ5" s="65" ph="1"/>
      <c r="CK5" s="65" ph="1"/>
      <c r="CL5" s="65" ph="1"/>
      <c r="CM5" s="65" ph="1"/>
      <c r="CN5" s="65" ph="1"/>
      <c r="CO5" s="65" ph="1"/>
      <c r="CP5" s="65" ph="1"/>
      <c r="CQ5" s="65" ph="1"/>
      <c r="CR5" s="65" ph="1"/>
      <c r="CS5" s="65" ph="1"/>
      <c r="CT5" s="65" ph="1"/>
      <c r="CU5" s="65" ph="1"/>
    </row>
    <row r="6" spans="1:99" ph="1">
      <c r="B6" s="237" ph="1">
        <v>0.33333333333333331</v>
      </c>
      <c r="C6" s="150" t="s" ph="1">
        <v>177</v>
      </c>
      <c r="D6" s="71">
        <v>1041</v>
      </c>
      <c r="E6" s="71">
        <v>3441</v>
      </c>
      <c r="F6" s="71">
        <v>4659</v>
      </c>
      <c r="G6" s="71">
        <v>2247</v>
      </c>
      <c r="H6" s="71">
        <v>3726</v>
      </c>
      <c r="I6" s="71">
        <v>17.53</v>
      </c>
      <c r="J6" s="71">
        <v>76.569999999999993</v>
      </c>
      <c r="K6" s="71">
        <v>7.78</v>
      </c>
      <c r="L6" s="71">
        <v>7.15</v>
      </c>
      <c r="M6" s="71">
        <v>3646</v>
      </c>
      <c r="N6" s="71">
        <v>2187</v>
      </c>
      <c r="O6" s="71">
        <v>4035</v>
      </c>
      <c r="P6" s="71">
        <v>1656</v>
      </c>
      <c r="Q6" s="71">
        <v>0</v>
      </c>
      <c r="R6" s="71">
        <v>0</v>
      </c>
      <c r="S6" s="71">
        <v>2957</v>
      </c>
      <c r="T6" s="71">
        <v>7028</v>
      </c>
      <c r="U6" s="71">
        <v>5949</v>
      </c>
      <c r="V6" s="71">
        <v>5962</v>
      </c>
      <c r="W6" s="71">
        <v>7003</v>
      </c>
      <c r="X6" s="71">
        <v>6717</v>
      </c>
      <c r="Y6" s="71">
        <v>0</v>
      </c>
      <c r="Z6" s="71">
        <v>6513</v>
      </c>
      <c r="AA6" s="71">
        <v>1301</v>
      </c>
      <c r="AB6" s="71">
        <v>1793</v>
      </c>
      <c r="AC6" s="71">
        <v>5848</v>
      </c>
      <c r="AD6" s="71">
        <v>4284</v>
      </c>
      <c r="AE6" s="71">
        <v>5623</v>
      </c>
    </row>
    <row r="7" spans="1:99" s="72" customFormat="1" ht="22.2" ph="1">
      <c r="B7" s="237" ph="1"/>
      <c r="C7" s="68" t="s" ph="1">
        <v>178</v>
      </c>
      <c r="D7" s="73" ph="1">
        <f>D6*33.183*LOOKUP(D8,密度!$A$2:$A$50,密度!$Q$2:$Q$50)</f>
        <v>32679.19014309</v>
      </c>
      <c r="E7" s="73" ph="1">
        <f>E6*51.53*LOOKUP(E8,密度!$A$2:$A$50,密度!$B$2:$B$50)</f>
        <v>138234.56350799999</v>
      </c>
      <c r="F7" s="73" ph="1">
        <f>F6*33.183*LOOKUP(F8,密度!$A$2:$A$50,密度!$C$2:$C$50)</f>
        <v>171435.49311330001</v>
      </c>
      <c r="G7" s="73" ph="1">
        <f xml:space="preserve"> (G6+2)*51.53*LOOKUP(G8,密度!$A$2:$A$50,密度!$B$2:$B$50)</f>
        <v>90151.585563000001</v>
      </c>
      <c r="H7" s="73" ph="1">
        <f>(H6)*51.53*LOOKUP(H8,密度!$A$2:$A$50,密度!$B$2:$B$50)</f>
        <v>149856.60879</v>
      </c>
      <c r="I7" s="73" ph="1">
        <f>I6*290.8*1.0267</f>
        <v>5233.8332307999999</v>
      </c>
      <c r="J7" s="73" ph="1">
        <f>J6*290.8*0.7892</f>
        <v>17572.765995199999</v>
      </c>
      <c r="K7" s="73" ph="1">
        <f>K6*290.8*1.1126</f>
        <v>2517.1729424</v>
      </c>
      <c r="L7" s="73" ph="1">
        <f>L6*290.8*0.777</f>
        <v>1615.5539400000002</v>
      </c>
      <c r="M7" s="73" ph="1">
        <f>M6*33.183*LOOKUP(M8,密度!$A$2:$A$50,密度!$D$2:$D$50)</f>
        <v>124106.63662439999</v>
      </c>
      <c r="N7" s="73" ph="1">
        <f>N6*33.183*LOOKUP(N8,密度!$A$2:$A$50,密度!$E$2:$E$50)</f>
        <v>56591.038135800009</v>
      </c>
      <c r="O7" s="73" ph="1">
        <f>O6*20.428*LOOKUP(O8,密度!$A$2:$A$50,密度!$C$2:$C$50)</f>
        <v>91090.055598000006</v>
      </c>
      <c r="P7" s="73" ph="1">
        <f>P6*51.53*LOOKUP(P8,密度!$A$2:$A$50,密度!$B$2:$B$50)</f>
        <v>66526.136928000007</v>
      </c>
      <c r="Q7" s="73" ph="1">
        <f>Q6*1.5*1.5*3.1416*LOOKUP(W8,密度!$A$2:$A$50,密度!$L$2:$L$50)</f>
        <v>0</v>
      </c>
      <c r="R7" s="73" ph="1">
        <f>R6*1.5*1.5*3.1416*LOOKUP(R8,密度!$A$2:$A$50,密度!$L$2:$L$50)</f>
        <v>0</v>
      </c>
      <c r="S7" s="73" ph="1">
        <f>S6*1.5*1.5*3.1416*LOOKUP(S8,密度!$A$2:$A$50,密度!$L$2:$L$50)</f>
        <v>19605.9354876</v>
      </c>
      <c r="T7" s="73" ph="1">
        <f>T6*1.5*1.5*3.1416*LOOKUP(T8,密度!$A$2:$A$50,密度!$L$2:$L$50)</f>
        <v>46747.111672799998</v>
      </c>
      <c r="U7" s="73" ph="1">
        <f>U6*1.5*1.5*3.1416*LOOKUP(U8,密度!$A$2:$A$50,密度!$L$2:$L$50)</f>
        <v>39401.8820118</v>
      </c>
      <c r="V7" s="73" ph="1">
        <f>V6*1.5*1.5*3.1416*LOOKUP(V8,密度!$A$2:$A$50,密度!$L$2:$L$50)</f>
        <v>39403.698642000003</v>
      </c>
      <c r="W7" s="73" ph="1">
        <f>W6*1.5*1.5*3.1416*LOOKUP(W8,密度!$A$2:$A$50,密度!$L$2:$L$50)</f>
        <v>46382.817234600006</v>
      </c>
      <c r="X7" s="73" ph="1">
        <f>X6*1.5*1.5*3.1416*LOOKUP(X8,密度!$A$2:$A$50,密度!$L$2:$L$50)</f>
        <v>44963.357531399997</v>
      </c>
      <c r="Y7" s="73" ph="1">
        <f>Y6*1.5*1.5*3.1416*LOOKUP(Y8,密度!$A$2:$A$50,密度!$L$2:$L$50)</f>
        <v>0</v>
      </c>
      <c r="Z7" s="73" ph="1">
        <f>Z6*33.183*LOOKUP(Z8,密度!$A$2:$A$50,密度!$L$2:$L$50)</f>
        <v>203153.62625999999</v>
      </c>
      <c r="AA7" s="73" ph="1">
        <f>AA6*33.183*LOOKUP(AA8,密度!$A$2:$A$50,密度!$D$2:$D$50)</f>
        <v>44284.896941400002</v>
      </c>
      <c r="AB7" s="73" ph="1">
        <f>AB6*20.428*LOOKUP(AB8,密度!$A$2:$A$50,密度!$D$2:$D$50)</f>
        <v>37777.504485600002</v>
      </c>
      <c r="AC7" s="73" ph="1">
        <f>AC6*51.53*LOOKUP(AC8,密度!$A$2:$A$50,密度!$Q$2:$Q$50)</f>
        <v>285297.6753456</v>
      </c>
      <c r="AD7" s="73" ph="1">
        <f>AD6*20.428*LOOKUP(AD8,密度!$A$2:$A$50,密度!$V$2:$V$50)</f>
        <v>83802.977395200011</v>
      </c>
      <c r="AE7" s="73" ph="1">
        <f>AE6*20.428</f>
        <v>114866.644</v>
      </c>
    </row>
    <row r="8" spans="1:99" ph="1">
      <c r="B8" s="237" ph="1"/>
      <c r="C8" s="68" t="s" ph="1">
        <v>179</v>
      </c>
      <c r="D8" s="74">
        <v>26</v>
      </c>
      <c r="E8" s="74">
        <v>25</v>
      </c>
      <c r="F8" s="74">
        <v>25</v>
      </c>
      <c r="G8" s="74">
        <v>27</v>
      </c>
      <c r="H8" s="74">
        <v>24</v>
      </c>
      <c r="I8" s="74">
        <v>25</v>
      </c>
      <c r="J8" s="74">
        <v>25</v>
      </c>
      <c r="K8" s="74">
        <v>25</v>
      </c>
      <c r="L8" s="74">
        <v>25</v>
      </c>
      <c r="M8" s="74">
        <v>26</v>
      </c>
      <c r="N8" s="74">
        <v>28</v>
      </c>
      <c r="O8" s="74">
        <v>30</v>
      </c>
      <c r="P8" s="74">
        <v>25</v>
      </c>
      <c r="Q8" s="74">
        <v>29</v>
      </c>
      <c r="R8" s="74">
        <v>34</v>
      </c>
      <c r="S8" s="74">
        <v>24</v>
      </c>
      <c r="T8" s="74">
        <v>21</v>
      </c>
      <c r="U8" s="74">
        <v>25</v>
      </c>
      <c r="V8" s="74">
        <v>27</v>
      </c>
      <c r="W8" s="74">
        <v>25</v>
      </c>
      <c r="X8" s="74">
        <v>15</v>
      </c>
      <c r="Y8" s="74">
        <v>25</v>
      </c>
      <c r="Z8" s="74">
        <v>22</v>
      </c>
      <c r="AA8" s="74">
        <v>26</v>
      </c>
      <c r="AB8" s="74">
        <v>20</v>
      </c>
      <c r="AC8" s="74">
        <v>25</v>
      </c>
      <c r="AD8" s="74">
        <v>34</v>
      </c>
      <c r="AE8" s="74">
        <v>27</v>
      </c>
    </row>
    <row r="9" spans="1:99" ht="26.4" ph="1">
      <c r="B9" s="237" ph="1">
        <v>0.66666666666666663</v>
      </c>
      <c r="C9" s="150" t="s" ph="1">
        <v>180</v>
      </c>
      <c r="D9" s="71">
        <v>479</v>
      </c>
      <c r="E9" s="71">
        <v>3435</v>
      </c>
      <c r="F9" s="71">
        <v>4626</v>
      </c>
      <c r="G9" s="71">
        <v>2690</v>
      </c>
      <c r="H9" s="71">
        <v>3467</v>
      </c>
      <c r="I9" s="71">
        <v>17.48</v>
      </c>
      <c r="J9" s="71">
        <v>76.760000000000005</v>
      </c>
      <c r="K9" s="71">
        <v>7.97</v>
      </c>
      <c r="L9" s="71">
        <v>7.18</v>
      </c>
      <c r="M9" s="71">
        <v>3646</v>
      </c>
      <c r="N9" s="71">
        <v>2151</v>
      </c>
      <c r="O9" s="71">
        <v>4031</v>
      </c>
      <c r="P9" s="71">
        <v>1571</v>
      </c>
      <c r="Q9" s="71">
        <v>2993</v>
      </c>
      <c r="R9" s="71">
        <v>0</v>
      </c>
      <c r="S9" s="71">
        <v>0</v>
      </c>
      <c r="T9" s="71">
        <v>6180</v>
      </c>
      <c r="U9" s="71">
        <v>5954</v>
      </c>
      <c r="V9" s="71">
        <v>5968</v>
      </c>
      <c r="W9" s="71">
        <v>7012</v>
      </c>
      <c r="X9" s="71">
        <v>6725</v>
      </c>
      <c r="Y9" s="71">
        <v>2450</v>
      </c>
      <c r="Z9" s="71">
        <v>3430</v>
      </c>
      <c r="AA9" s="71">
        <v>1302</v>
      </c>
      <c r="AB9" s="71">
        <v>1696</v>
      </c>
      <c r="AC9" s="71">
        <v>5850</v>
      </c>
      <c r="AD9" s="71">
        <v>3608</v>
      </c>
      <c r="AE9" s="71">
        <v>5575</v>
      </c>
    </row>
    <row r="10" spans="1:99" s="72" customFormat="1" ht="22.2" ph="1">
      <c r="B10" s="237" ph="1"/>
      <c r="C10" s="150" t="s" ph="1">
        <v>178</v>
      </c>
      <c r="D10" s="73" ph="1">
        <f>D9*33.183*LOOKUP(D11,密度!$A$2:$A$50,密度!$Q$2:$Q$50)</f>
        <v>14981.985795059998</v>
      </c>
      <c r="E10" s="73" ph="1">
        <f>E9*51.53*LOOKUP(E11,密度!$A$2:$A$50,密度!$B$2:$B$50)</f>
        <v>137232.40291500001</v>
      </c>
      <c r="F10" s="73" ph="1">
        <f>F9*33.183*LOOKUP(F11,密度!$A$2:$A$50,密度!$C$2:$C$50)</f>
        <v>169990.94752919997</v>
      </c>
      <c r="G10" s="73" ph="1">
        <f xml:space="preserve"> (G9+2)*51.53*LOOKUP(G11,密度!$A$2:$A$50,密度!$B$2:$B$50)</f>
        <v>107187.98585200001</v>
      </c>
      <c r="H10" s="73" ph="1">
        <f>(H9)*51.53*LOOKUP(H11,密度!$A$2:$A$50,密度!$B$2:$B$50)</f>
        <v>137885.55081800002</v>
      </c>
      <c r="I10" s="73" ph="1">
        <f>I9*290.8*1.0267</f>
        <v>5218.9050127999999</v>
      </c>
      <c r="J10" s="73" ph="1">
        <f>J9*290.8*0.7892</f>
        <v>17616.370873600001</v>
      </c>
      <c r="K10" s="73" ph="1">
        <f>K9*290.8*1.1126</f>
        <v>2578.6463176000002</v>
      </c>
      <c r="L10" s="73" ph="1">
        <f>L9*290.8*0.777</f>
        <v>1622.332488</v>
      </c>
      <c r="M10" s="73" ph="1">
        <f>M9*33.183*LOOKUP(M11,密度!$A$2:$A$50,密度!$D$2:$D$50)</f>
        <v>123538.00609979998</v>
      </c>
      <c r="N10" s="73" ph="1">
        <f>N9*33.183*LOOKUP(N11,密度!$A$2:$A$50,密度!$E$2:$E$50)</f>
        <v>55580.984117100001</v>
      </c>
      <c r="O10" s="73" ph="1">
        <f>O9*20.428*LOOKUP(O11,密度!$A$2:$A$50,密度!$C$2:$C$50)</f>
        <v>90653.905541200002</v>
      </c>
      <c r="P10" s="73" ph="1">
        <f>P9*51.53*LOOKUP(P11,密度!$A$2:$A$50,密度!$B$2:$B$50)</f>
        <v>62763.349339</v>
      </c>
      <c r="Q10" s="73" ph="1">
        <f>Q9*1.5*1.5*3.1416*LOOKUP(W11,密度!$A$2:$A$50,密度!$L$2:$L$50)</f>
        <v>19781.159013</v>
      </c>
      <c r="R10" s="73" ph="1">
        <f>R9*1.5*1.5*3.1416*LOOKUP(R11,密度!$A$2:$A$50,密度!$L$2:$L$50)</f>
        <v>0</v>
      </c>
      <c r="S10" s="73" ph="1">
        <f>S9*1.5*1.5*3.1416*LOOKUP(S11,密度!$A$2:$A$50,密度!$L$2:$L$50)</f>
        <v>0</v>
      </c>
      <c r="T10" s="73" ph="1">
        <f>T9*1.5*1.5*3.1416*LOOKUP(T11,密度!$A$2:$A$50,密度!$L$2:$L$50)</f>
        <v>41019.227171999992</v>
      </c>
      <c r="U10" s="73" ph="1">
        <f>U9*1.5*1.5*3.1416*LOOKUP(U11,密度!$A$2:$A$50,密度!$L$2:$L$50)</f>
        <v>39434.998402800004</v>
      </c>
      <c r="V10" s="73" ph="1">
        <f>V9*1.5*1.5*3.1416*LOOKUP(V11,密度!$A$2:$A$50,密度!$L$2:$L$50)</f>
        <v>39443.353488000001</v>
      </c>
      <c r="W10" s="73" ph="1">
        <f>W9*1.5*1.5*3.1416*LOOKUP(W11,密度!$A$2:$A$50,密度!$L$2:$L$50)</f>
        <v>46343.296691999996</v>
      </c>
      <c r="X10" s="73" ph="1">
        <f>X9*1.5*1.5*3.1416*LOOKUP(X11,密度!$A$2:$A$50,密度!$L$2:$L$50)</f>
        <v>44826.763905</v>
      </c>
      <c r="Y10" s="73" ph="1">
        <f>Y9*1.5*1.5*3.1416*LOOKUP(Y11,密度!$A$2:$A$50,密度!$L$2:$L$50)</f>
        <v>16227.031590000001</v>
      </c>
      <c r="Z10" s="73" ph="1">
        <f>Z9*33.183*LOOKUP(Z11,密度!$A$2:$A$50,密度!$L$2:$L$50)</f>
        <v>106647.17553000001</v>
      </c>
      <c r="AA10" s="73" ph="1">
        <f>AA9*33.183*LOOKUP(AA11,密度!$A$2:$A$50,密度!$D$2:$D$50)</f>
        <v>44154.759852000003</v>
      </c>
      <c r="AB10" s="73" ph="1">
        <f>AB9*20.428*LOOKUP(AB11,密度!$A$2:$A$50,密度!$D$2:$D$50)</f>
        <v>35602.114508800005</v>
      </c>
      <c r="AC10" s="73" ph="1">
        <f>AC9*51.53*LOOKUP(AC11,密度!$A$2:$A$50,密度!$Q$2:$Q$50)</f>
        <v>284367.30016500002</v>
      </c>
      <c r="AD10" s="73" ph="1">
        <f>AD9*20.428*LOOKUP(AD11,密度!$A$2:$A$50,密度!$V$2:$V$50)</f>
        <v>70579.164902400007</v>
      </c>
      <c r="AE10" s="73" ph="1">
        <f>AE9*20.428</f>
        <v>113886.1</v>
      </c>
    </row>
    <row r="11" spans="1:99" ph="1">
      <c r="A11" s="64" t="s" ph="1">
        <v>162</v>
      </c>
      <c r="B11" s="237" ph="1"/>
      <c r="C11" s="150" t="s" ph="1">
        <v>179</v>
      </c>
      <c r="D11" s="74">
        <v>31</v>
      </c>
      <c r="E11" s="74">
        <v>30</v>
      </c>
      <c r="F11" s="74">
        <v>27</v>
      </c>
      <c r="G11" s="74">
        <v>33</v>
      </c>
      <c r="H11" s="74">
        <v>34</v>
      </c>
      <c r="I11" s="74">
        <v>25</v>
      </c>
      <c r="J11" s="74">
        <v>25</v>
      </c>
      <c r="K11" s="74">
        <v>25</v>
      </c>
      <c r="L11" s="74">
        <v>25</v>
      </c>
      <c r="M11" s="74">
        <v>31</v>
      </c>
      <c r="N11" s="74">
        <v>29</v>
      </c>
      <c r="O11" s="74">
        <v>34</v>
      </c>
      <c r="P11" s="74">
        <v>30</v>
      </c>
      <c r="Q11" s="74">
        <v>32</v>
      </c>
      <c r="R11" s="74">
        <v>37</v>
      </c>
      <c r="S11" s="74">
        <v>28</v>
      </c>
      <c r="T11" s="74">
        <v>23</v>
      </c>
      <c r="U11" s="74">
        <v>25</v>
      </c>
      <c r="V11" s="74">
        <v>27</v>
      </c>
      <c r="W11" s="74">
        <v>27</v>
      </c>
      <c r="X11" s="74">
        <v>19</v>
      </c>
      <c r="Y11" s="74">
        <v>25</v>
      </c>
      <c r="Z11" s="74">
        <v>25</v>
      </c>
      <c r="AA11" s="74">
        <v>30</v>
      </c>
      <c r="AB11" s="74">
        <v>24</v>
      </c>
      <c r="AC11" s="74">
        <v>30</v>
      </c>
      <c r="AD11" s="74">
        <v>40</v>
      </c>
      <c r="AE11" s="74">
        <v>29</v>
      </c>
    </row>
    <row r="12" spans="1:99" ht="9.9" customHeight="1" ph="1"/>
    <row r="13" spans="1:99" s="72" customFormat="1" ht="29.25" customHeight="1" ph="1">
      <c r="B13" s="214" t="s" ph="1">
        <v>37</v>
      </c>
      <c r="C13" s="150" t="s" ph="1">
        <v>176</v>
      </c>
      <c r="D13" s="76" t="s" ph="1">
        <v>52</v>
      </c>
      <c r="E13" s="76" t="s" ph="1">
        <v>53</v>
      </c>
      <c r="F13" s="76" t="s" ph="1">
        <v>57</v>
      </c>
      <c r="G13" s="76" t="s" ph="1">
        <v>58</v>
      </c>
      <c r="H13" s="76" t="s" ph="1">
        <v>128</v>
      </c>
      <c r="I13" s="76" t="s" ph="1">
        <v>59</v>
      </c>
      <c r="J13" s="76" t="s" ph="1">
        <v>129</v>
      </c>
      <c r="K13" s="76" t="s" ph="1">
        <v>55</v>
      </c>
      <c r="L13" s="76" t="s" ph="1">
        <v>60</v>
      </c>
      <c r="M13" s="76" t="s" ph="1">
        <v>61</v>
      </c>
      <c r="N13" s="76" t="s" ph="1">
        <v>130</v>
      </c>
      <c r="O13" s="76" t="s" ph="1">
        <v>56</v>
      </c>
      <c r="P13" s="76" t="s" ph="1">
        <v>62</v>
      </c>
      <c r="Q13" s="76" t="s" ph="1">
        <v>63</v>
      </c>
      <c r="R13" s="76" t="s" ph="1">
        <v>64</v>
      </c>
      <c r="S13" s="76" t="s" ph="1">
        <v>65</v>
      </c>
      <c r="T13" s="76" t="s" ph="1">
        <v>66</v>
      </c>
      <c r="U13" s="76" t="s" ph="1">
        <v>67</v>
      </c>
      <c r="V13" s="76" t="s" ph="1">
        <v>131</v>
      </c>
      <c r="W13" s="76" t="s" ph="1">
        <v>132</v>
      </c>
      <c r="X13" s="76" t="s" ph="1">
        <v>133</v>
      </c>
      <c r="Y13" s="105" t="s" ph="1">
        <v>68</v>
      </c>
      <c r="Z13" s="76" t="s" ph="1">
        <v>74</v>
      </c>
      <c r="AA13" s="76" t="s" ph="1">
        <v>134</v>
      </c>
      <c r="AB13" s="76" t="s" ph="1">
        <v>135</v>
      </c>
      <c r="AC13" s="76" t="s" ph="1">
        <v>136</v>
      </c>
      <c r="AD13" s="76" t="s" ph="1">
        <v>137</v>
      </c>
      <c r="AE13" s="76" t="s" ph="1">
        <v>138</v>
      </c>
      <c r="AG13" s="72" t="s" ph="1">
        <v>325</v>
      </c>
      <c r="AH13" s="72" t="s" ph="1">
        <v>188</v>
      </c>
      <c r="AI13" s="72" t="s" ph="1">
        <v>189</v>
      </c>
      <c r="AJ13" s="72" t="s" ph="1">
        <v>190</v>
      </c>
      <c r="AK13" s="72" t="s" ph="1">
        <v>191</v>
      </c>
      <c r="AL13" s="72" t="s" ph="1">
        <v>192</v>
      </c>
      <c r="AM13" s="72" t="s" ph="1">
        <v>193</v>
      </c>
      <c r="AN13" s="72" t="s" ph="1">
        <v>194</v>
      </c>
      <c r="AO13" s="72" t="s" ph="1">
        <v>195</v>
      </c>
      <c r="AP13" s="72" t="s" ph="1">
        <v>196</v>
      </c>
      <c r="AQ13" s="72" t="s" ph="1">
        <v>197</v>
      </c>
      <c r="AR13" s="72" t="s" ph="1">
        <v>198</v>
      </c>
      <c r="AS13" s="72" t="s" ph="1">
        <v>199</v>
      </c>
      <c r="AT13" s="72" t="s" ph="1">
        <v>200</v>
      </c>
      <c r="AU13" s="72" t="s" ph="1">
        <v>201</v>
      </c>
      <c r="AV13" s="72" t="s" ph="1">
        <v>202</v>
      </c>
      <c r="AW13" s="72" t="s" ph="1">
        <v>203</v>
      </c>
      <c r="AX13" s="72" t="s" ph="1">
        <v>204</v>
      </c>
      <c r="AY13" s="72" t="s" ph="1">
        <v>326</v>
      </c>
      <c r="AZ13" s="72" t="s" ph="1">
        <v>205</v>
      </c>
      <c r="BA13" s="72" t="s" ph="1">
        <v>206</v>
      </c>
      <c r="BB13" s="72" t="s" ph="1">
        <v>591</v>
      </c>
      <c r="BC13" s="72" t="s" ph="1">
        <v>207</v>
      </c>
      <c r="BD13" s="72" t="s" ph="1">
        <v>327</v>
      </c>
      <c r="BE13" s="72" t="s" ph="1">
        <v>328</v>
      </c>
      <c r="BF13" s="72" t="s" ph="1">
        <v>329</v>
      </c>
      <c r="BG13" s="72" t="s" ph="1">
        <v>330</v>
      </c>
      <c r="BH13" s="72" t="s" ph="1">
        <v>331</v>
      </c>
    </row>
    <row r="14" spans="1:99" s="72" customFormat="1" ht="24" ph="1">
      <c r="B14" s="215" ph="1"/>
      <c r="C14" s="67" t="s" ph="1">
        <v>36</v>
      </c>
      <c r="D14" s="77" t="s" ph="1">
        <v>616</v>
      </c>
      <c r="E14" s="77" t="s" ph="1">
        <v>616</v>
      </c>
      <c r="F14" s="77" t="s" ph="1">
        <v>639</v>
      </c>
      <c r="G14" s="77" t="s" ph="1">
        <v>617</v>
      </c>
      <c r="H14" s="77" t="s" ph="1">
        <v>636</v>
      </c>
      <c r="I14" s="138" t="s" ph="1">
        <v>618</v>
      </c>
      <c r="J14" s="77" t="s" ph="1">
        <v>619</v>
      </c>
      <c r="K14" s="77" t="s" ph="1">
        <v>186</v>
      </c>
      <c r="L14" s="77" t="s" ph="1">
        <v>41</v>
      </c>
      <c r="M14" s="104" t="s" ph="1">
        <v>620</v>
      </c>
      <c r="N14" s="104" t="s" ph="1">
        <v>621</v>
      </c>
      <c r="O14" s="104" t="s" ph="1">
        <v>637</v>
      </c>
      <c r="P14" s="77" t="s" ph="1">
        <v>622</v>
      </c>
      <c r="Q14" s="77" t="s" ph="1">
        <v>622</v>
      </c>
      <c r="R14" s="77" t="s" ph="1">
        <v>622</v>
      </c>
      <c r="S14" s="77" t="s" ph="1">
        <v>622</v>
      </c>
      <c r="T14" s="77" t="s" ph="1">
        <v>624</v>
      </c>
      <c r="U14" s="77" t="s" ph="1">
        <v>605</v>
      </c>
      <c r="V14" s="77" t="s" ph="1">
        <v>633</v>
      </c>
      <c r="W14" s="77" t="s" ph="1">
        <v>622</v>
      </c>
      <c r="X14" s="77" t="s" ph="1">
        <v>625</v>
      </c>
      <c r="Y14" s="143" t="s" ph="1">
        <v>0</v>
      </c>
      <c r="Z14" s="77" t="s" ph="1">
        <v>54</v>
      </c>
      <c r="AA14" s="77" t="s" ph="1">
        <v>613</v>
      </c>
      <c r="AB14" s="77" t="s" ph="1">
        <v>632</v>
      </c>
      <c r="AC14" s="77" t="s" ph="1">
        <v>632</v>
      </c>
      <c r="AD14" s="77" t="s" ph="1">
        <v>612</v>
      </c>
      <c r="AE14" s="77" t="s" ph="1">
        <v>612</v>
      </c>
      <c r="AG14" s="72" t="s" ph="1">
        <v>208</v>
      </c>
      <c r="AI14" s="72" t="s" ph="1">
        <v>209</v>
      </c>
      <c r="AJ14" s="72" t="s" ph="1">
        <v>332</v>
      </c>
      <c r="AK14" s="72" t="s" ph="1">
        <v>210</v>
      </c>
      <c r="AM14" s="72" t="s" ph="1">
        <v>212</v>
      </c>
      <c r="AN14" s="72" t="s" ph="1">
        <v>210</v>
      </c>
      <c r="AO14" s="72" t="s" ph="1">
        <v>211</v>
      </c>
      <c r="AP14" s="72" t="s" ph="1">
        <v>212</v>
      </c>
      <c r="AQ14" s="72" t="s" ph="1">
        <v>210</v>
      </c>
      <c r="AR14" s="72" t="s" ph="1">
        <v>211</v>
      </c>
      <c r="AS14" s="72" t="s" ph="1">
        <v>212</v>
      </c>
      <c r="AT14" s="72" t="s" ph="1">
        <v>210</v>
      </c>
      <c r="AU14" s="72" t="s" ph="1">
        <v>211</v>
      </c>
      <c r="AV14" s="72" t="s" ph="1">
        <v>212</v>
      </c>
      <c r="AW14" s="72" t="s" ph="1">
        <v>210</v>
      </c>
      <c r="AX14" s="72" t="s" ph="1">
        <v>211</v>
      </c>
      <c r="AY14" s="72" t="s" ph="1">
        <v>212</v>
      </c>
      <c r="AZ14" s="72" t="s" ph="1">
        <v>211</v>
      </c>
    </row>
    <row r="15" spans="1:99" ph="1">
      <c r="B15" s="216" ph="1">
        <v>0.33333333333333331</v>
      </c>
      <c r="C15" s="150" t="s" ph="1">
        <v>177</v>
      </c>
      <c r="D15" s="78">
        <v>1714</v>
      </c>
      <c r="E15" s="78">
        <v>5698</v>
      </c>
      <c r="F15" s="78">
        <v>3458</v>
      </c>
      <c r="G15" s="78">
        <v>3949</v>
      </c>
      <c r="H15" s="78">
        <v>2182</v>
      </c>
      <c r="I15" s="78">
        <v>483</v>
      </c>
      <c r="J15" s="78">
        <v>5085</v>
      </c>
      <c r="K15" s="78">
        <v>3651</v>
      </c>
      <c r="L15" s="78">
        <v>5330</v>
      </c>
      <c r="M15" s="78">
        <v>636</v>
      </c>
      <c r="N15" s="78">
        <v>1598</v>
      </c>
      <c r="O15" s="78">
        <v>1903</v>
      </c>
      <c r="P15" s="78">
        <v>7028</v>
      </c>
      <c r="Q15" s="78">
        <v>5031</v>
      </c>
      <c r="R15" s="78">
        <v>0</v>
      </c>
      <c r="S15" s="78">
        <v>2534</v>
      </c>
      <c r="T15" s="78">
        <v>1103</v>
      </c>
      <c r="U15" s="78">
        <v>3879</v>
      </c>
      <c r="V15" s="78">
        <v>4466</v>
      </c>
      <c r="W15" s="71">
        <v>-152</v>
      </c>
      <c r="X15" s="78">
        <v>857</v>
      </c>
      <c r="Y15" s="106">
        <v>-9905</v>
      </c>
      <c r="Z15" s="78">
        <v>0</v>
      </c>
      <c r="AA15" s="78">
        <v>2469</v>
      </c>
      <c r="AB15" s="78" ph="1">
        <v>0</v>
      </c>
      <c r="AC15" s="78" ph="1">
        <v>0</v>
      </c>
      <c r="AD15" s="78">
        <v>5.45</v>
      </c>
      <c r="AE15" s="78">
        <v>34.549999999999997</v>
      </c>
      <c r="AG15" s="64" t="s" ph="1">
        <v>214</v>
      </c>
      <c r="AH15" s="64" ph="1">
        <v>1</v>
      </c>
      <c r="AI15" s="64" t="s" ph="1">
        <v>333</v>
      </c>
      <c r="AK15" s="64" t="s" ph="1">
        <v>587</v>
      </c>
      <c r="AM15" s="64" t="s" ph="1">
        <v>335</v>
      </c>
      <c r="AZ15" s="64" t="s" ph="1">
        <v>216</v>
      </c>
      <c r="BA15" s="64" ph="1">
        <v>0</v>
      </c>
    </row>
    <row r="16" spans="1:99" s="72" customFormat="1" ht="22.2" ph="1">
      <c r="B16" s="217" ph="1"/>
      <c r="C16" s="150" t="s" ph="1">
        <v>178</v>
      </c>
      <c r="D16" s="73" ph="1">
        <f>D15*7.0686*LOOKUP(D17,密度!$A$2:$A$50,密度!$L$2:$L$50)</f>
        <v>11315.952093600001</v>
      </c>
      <c r="E16" s="73" ph="1">
        <f>E15*7.0686*LOOKUP(E17,密度!$A$2:$A$50,密度!$L$2:$L$50)</f>
        <v>37618.608535200001</v>
      </c>
      <c r="F16" s="73" ph="1">
        <f>F15*9.0746*LOOKUP(F17,密度!$A$2:$A$50,密度!$L$2:$L$50)</f>
        <v>29120.609190400002</v>
      </c>
      <c r="G16" s="73" ph="1">
        <f>G15*9.0746*LOOKUP(G17,密度!$A$2:$A$50,密度!$B$2:$B$50)</f>
        <v>27937.430173839999</v>
      </c>
      <c r="H16" s="73" ph="1">
        <f>H15*9.0746*LOOKUP(H17,密度!$A$2:$A$50,密度!$L$2:$L$50)</f>
        <v>18612.730567999999</v>
      </c>
      <c r="I16" s="73" ph="1">
        <f>I15*9.0746*LOOKUP(I17,密度!$A$2:$A$50,密度!$U$2:$U$50)</f>
        <v>4496.9906267999995</v>
      </c>
      <c r="J16" s="73" ph="1">
        <f>J15*9.0746*LOOKUP(J17,密度!$A$2:$A$50,密度!$L$2:$L$50)</f>
        <v>43052.670152999999</v>
      </c>
      <c r="K16" s="73" ph="1">
        <f>K15*9.0746*LOOKUP(K17,密度!$A$2:$A$50,密度!$C$2:$C$50)</f>
        <v>36739.370204940002</v>
      </c>
      <c r="L16" s="73" ph="1">
        <f>L15*9.0746*LOOKUP(L17,密度!$A$2:$A$50,密度!$E$2:$E$50)</f>
        <v>37828.314037800003</v>
      </c>
      <c r="M16" s="73" ph="1">
        <f>M15*9.0746*LOOKUP(M17,密度!$A$2:$A$50,密度!$M$2:$M$50)</f>
        <v>5044.8205989600001</v>
      </c>
      <c r="N16" s="73" ph="1">
        <f>N15*9.0746*LOOKUP(N17,密度!$A$2:$A$50,密度!$M$2:$M$50)</f>
        <v>12701.610539720001</v>
      </c>
      <c r="O16" s="73" ph="1">
        <f>O15*9.0746*LOOKUP(O17,密度!$A$2:$A$50,密度!$G$2:$G$50)</f>
        <v>16543.6673204</v>
      </c>
      <c r="P16" s="73" ph="1">
        <f ca="1">P15*9.0746*LOOKUP(P17,密度!$A$2:$A$51,密度!$Q$2:$Q$50)</f>
        <v>60334.282493464001</v>
      </c>
      <c r="Q16" s="73" ph="1">
        <f>Q15*9.0746*LOOKUP(Q17,密度!$A$2:$A$50,密度!$Q$2:$Q$50)</f>
        <v>43125.976768212007</v>
      </c>
      <c r="R16" s="73" ph="1">
        <f>MAX(R15*9.0746*LOOKUP(R17,密度!$A$2:$A$50,密度!$Q$2:$Q$50),0)</f>
        <v>0</v>
      </c>
      <c r="S16" s="73" ph="1">
        <f>S15*9.0746*LOOKUP(S17,密度!$A$2:$A$50,密度!$Q$2:$Q$50)</f>
        <v>21584.290916860002</v>
      </c>
      <c r="T16" s="73" ph="1">
        <f>T15*9.0746*LOOKUP(T17,密度!$A$2:$A$50,密度!$O$2:$O$50)</f>
        <v>9308.6339340000013</v>
      </c>
      <c r="U16" s="73" ph="1">
        <f>U15*9.0746*LOOKUP(U17,密度!$A$2:$A$50,密度!$H$2:$H$50)</f>
        <v>32197.781548980001</v>
      </c>
      <c r="V16" s="73" ph="1">
        <f>MAX(5600*LOOKUP(V17,密度!$A$2:$A$50,密度!$Q$2:$Q$50)+V15*9.0476*LOOKUP(V17,密度!$A$2:$A$50,密度!$Q$2:$Q$50),0)</f>
        <v>43490.941718112001</v>
      </c>
      <c r="W16" s="73" ph="1">
        <f>MAX(5600*LOOKUP(W17,密度!$A$2:$A$50,密度!$Q$2:$Q$50)+W15*9.0476*LOOKUP(W17,密度!$A$2:$A$50,密度!$Q$2:$Q$50),0)</f>
        <v>3996.7542437440002</v>
      </c>
      <c r="X16" s="73" ph="1">
        <f>MAX(5600*LOOKUP(X17,密度!$A$2:$A$50,密度!$I$2:$I$50)+X15*9.0476*LOOKUP(X17,密度!$A$2:$A$50,密度!$I$2:$I$50),0)</f>
        <v>13889.280307319999</v>
      </c>
      <c r="Y16" s="107" ph="1">
        <v>0</v>
      </c>
      <c r="Z16" s="73" ph="1">
        <f>Z15*9.0746*LOOKUP(Z17,密度!$A$2:$A$50,密度!$D$2:$D$50)</f>
        <v>0</v>
      </c>
      <c r="AA16" s="73" ph="1">
        <f>AA15*9.0746*LOOKUP(AA17,密度!$A$2:$A$50,密度!$B$2:$B$50)</f>
        <v>17467.084097039999</v>
      </c>
      <c r="AB16" s="73" ph="1">
        <f>AB15*9.0746*LOOKUP(AB17,密度!$A$2:$A$50,密度!$L$2:$L$50)</f>
        <v>0</v>
      </c>
      <c r="AC16" s="73" ph="1">
        <f>AC15*9.0746*LOOKUP(AC17,密度!$A$2:$A$50,密度!$L$2:$L$50)</f>
        <v>0</v>
      </c>
      <c r="AD16" s="73" ph="1">
        <f>AD15*268.68*LOOKUP(AD17,密度!$A$2:$A$50,密度!B2:B50)+IF(AD15&lt;=0,0,1566*LOOKUP(AD17,密度!$A$2:$A$50,密度!B2:B50))</f>
        <v>2362.4265575999998</v>
      </c>
      <c r="AE16" s="73" ph="1">
        <f>AE15*268.68*LOOKUP(AE17,密度!$A$2:$A$50,密度!B2:B50)+IF(AE15&lt;=0,0,1566*LOOKUP(AE17,密度!$A$2:$A$50,密度!B2:B50))</f>
        <v>8457.7977623999996</v>
      </c>
      <c r="AH16" s="72" ph="1">
        <v>2</v>
      </c>
      <c r="AI16" s="72" t="s" ph="1">
        <v>337</v>
      </c>
      <c r="AZ16" s="72" t="s" ph="1">
        <v>216</v>
      </c>
      <c r="BA16" s="72" ph="1">
        <v>0</v>
      </c>
    </row>
    <row r="17" spans="1:57" ph="1">
      <c r="A17" s="64" t="s" ph="1">
        <v>73</v>
      </c>
      <c r="B17" s="218" ph="1"/>
      <c r="C17" s="79" t="s" ph="1">
        <v>179</v>
      </c>
      <c r="D17" s="74">
        <v>28</v>
      </c>
      <c r="E17" s="74">
        <v>28</v>
      </c>
      <c r="F17" s="74">
        <v>34</v>
      </c>
      <c r="G17" s="74">
        <v>25</v>
      </c>
      <c r="H17" s="74">
        <v>22</v>
      </c>
      <c r="I17" s="74">
        <v>24</v>
      </c>
      <c r="J17" s="74">
        <v>29</v>
      </c>
      <c r="K17" s="74">
        <v>25</v>
      </c>
      <c r="L17" s="74">
        <v>26</v>
      </c>
      <c r="M17" s="74">
        <v>26</v>
      </c>
      <c r="N17" s="74">
        <v>24</v>
      </c>
      <c r="O17" s="74">
        <v>27</v>
      </c>
      <c r="P17" s="74">
        <v>26</v>
      </c>
      <c r="Q17" s="74">
        <v>28</v>
      </c>
      <c r="R17" s="74">
        <v>26</v>
      </c>
      <c r="S17" s="74">
        <v>37</v>
      </c>
      <c r="T17" s="74">
        <v>24</v>
      </c>
      <c r="U17" s="74">
        <v>25</v>
      </c>
      <c r="V17" s="74">
        <v>27</v>
      </c>
      <c r="W17" s="74">
        <v>26</v>
      </c>
      <c r="X17" s="74">
        <v>27</v>
      </c>
      <c r="Y17" s="108">
        <v>27</v>
      </c>
      <c r="Z17" s="74">
        <v>25</v>
      </c>
      <c r="AA17" s="74">
        <v>25</v>
      </c>
      <c r="AB17" s="74">
        <v>25</v>
      </c>
      <c r="AC17" s="74">
        <v>24</v>
      </c>
      <c r="AD17" s="74">
        <v>25</v>
      </c>
      <c r="AE17" s="74">
        <v>25</v>
      </c>
      <c r="AH17" s="64" ph="1">
        <v>3</v>
      </c>
      <c r="AI17" s="64" t="s" ph="1">
        <v>338</v>
      </c>
      <c r="AK17" s="64" t="s" ph="1">
        <v>570</v>
      </c>
      <c r="AL17" s="64" ph="1">
        <v>80</v>
      </c>
      <c r="AM17" s="64" t="s" ph="1">
        <v>335</v>
      </c>
      <c r="AZ17" s="64" t="s" ph="1">
        <v>216</v>
      </c>
      <c r="BA17" s="64" ph="1">
        <v>80</v>
      </c>
      <c r="BD17" s="64" t="s" ph="1">
        <v>214</v>
      </c>
      <c r="BE17" s="64" ph="1">
        <v>2270</v>
      </c>
    </row>
    <row r="18" spans="1:57" ht="26.4" ph="1">
      <c r="B18" s="216" ph="1">
        <v>0.66666666666666663</v>
      </c>
      <c r="C18" s="79" t="s" ph="1">
        <v>180</v>
      </c>
      <c r="D18" s="71">
        <v>4534</v>
      </c>
      <c r="E18" s="71">
        <v>5977</v>
      </c>
      <c r="F18" s="71">
        <v>3871</v>
      </c>
      <c r="G18" s="71">
        <v>1972</v>
      </c>
      <c r="H18" s="71">
        <v>2183</v>
      </c>
      <c r="I18" s="71">
        <v>2472</v>
      </c>
      <c r="J18" s="71">
        <v>5087</v>
      </c>
      <c r="K18" s="71">
        <v>3681</v>
      </c>
      <c r="L18" s="71">
        <v>5339</v>
      </c>
      <c r="M18" s="71">
        <v>636</v>
      </c>
      <c r="N18" s="71">
        <v>1598</v>
      </c>
      <c r="O18" s="71">
        <v>1904</v>
      </c>
      <c r="P18" s="71">
        <v>7036</v>
      </c>
      <c r="Q18" s="71">
        <v>6062</v>
      </c>
      <c r="R18" s="71">
        <v>0</v>
      </c>
      <c r="S18" s="71">
        <v>3151</v>
      </c>
      <c r="T18" s="71">
        <v>555</v>
      </c>
      <c r="U18" s="71">
        <v>5747</v>
      </c>
      <c r="V18" s="71">
        <v>4926</v>
      </c>
      <c r="W18" s="71">
        <v>-153</v>
      </c>
      <c r="X18" s="71">
        <v>856</v>
      </c>
      <c r="Y18" s="109">
        <v>-9908</v>
      </c>
      <c r="Z18" s="71">
        <v>0</v>
      </c>
      <c r="AA18" s="71">
        <v>2471</v>
      </c>
      <c r="AB18" s="71">
        <v>0</v>
      </c>
      <c r="AC18" s="71">
        <v>0</v>
      </c>
      <c r="AD18" s="71">
        <v>5.36</v>
      </c>
      <c r="AE18" s="71">
        <v>81.680000000000007</v>
      </c>
      <c r="AH18" s="64" ph="1">
        <v>4</v>
      </c>
      <c r="AI18" s="64" t="s" ph="1">
        <v>340</v>
      </c>
      <c r="AJ18" s="64" t="s" ph="1">
        <v>588</v>
      </c>
      <c r="AK18" s="64" t="s" ph="1">
        <v>587</v>
      </c>
      <c r="AL18" s="64" ph="1">
        <v>740</v>
      </c>
      <c r="AM18" s="64" t="s" ph="1">
        <v>339</v>
      </c>
      <c r="AZ18" s="64" t="s" ph="1">
        <v>216</v>
      </c>
      <c r="BA18" s="64" ph="1">
        <v>740</v>
      </c>
    </row>
    <row r="19" spans="1:57" s="72" customFormat="1" ht="22.2" ph="1">
      <c r="B19" s="217" ph="1"/>
      <c r="C19" s="150" t="s" ph="1">
        <v>178</v>
      </c>
      <c r="D19" s="73" ph="1">
        <f>D18*7.0686*LOOKUP(D20,密度!$A$2:$A$50,密度!$L$2:$L$50)</f>
        <v>29837.649164400002</v>
      </c>
      <c r="E19" s="73" ph="1">
        <f>E18*7.0686*LOOKUP(E20,密度!$A$2:$A$50,密度!$L$2:$L$50)</f>
        <v>39333.839668200002</v>
      </c>
      <c r="F19" s="73" ph="1">
        <f>F18*9.0746*LOOKUP(F20,密度!$A$2:$A$50,密度!$L$2:$L$50)</f>
        <v>32563.4489082</v>
      </c>
      <c r="G19" s="73" ph="1">
        <f>G18*9.0746*LOOKUP(G20,密度!$A$2:$A$50,密度!$B$2:$B$50)</f>
        <v>13934.923091439998</v>
      </c>
      <c r="H19" s="73" ph="1">
        <f>H18*9.0746*LOOKUP(H20,密度!$A$2:$A$50,密度!$L$2:$L$50)</f>
        <v>18581.640988399999</v>
      </c>
      <c r="I19" s="73" ph="1">
        <f>I18*9.0746*LOOKUP(I20,密度!$A$2:$A$50,密度!$U$2:$U$50)</f>
        <v>22836.194601600004</v>
      </c>
      <c r="J19" s="73" ph="1">
        <f>J18*9.0746*LOOKUP(J20,密度!$A$2:$A$50,密度!$L$2:$L$50)</f>
        <v>42931.115886</v>
      </c>
      <c r="K19" s="73" ph="1">
        <f>K18*9.0746*LOOKUP(K20,密度!$A$2:$A$50,密度!$C$2:$C$50)</f>
        <v>36914.321233259994</v>
      </c>
      <c r="L19" s="73" ph="1">
        <f>L18*9.0746*LOOKUP(L20,密度!$A$2:$A$50,密度!$E$2:$E$50)</f>
        <v>37838.8950214</v>
      </c>
      <c r="M19" s="73" ph="1">
        <f>M18*9.0746*LOOKUP(M20,密度!$A$2:$A$50,密度!$M$2:$M$50)</f>
        <v>4990.3958669520007</v>
      </c>
      <c r="N19" s="73" ph="1">
        <f>N18*9.0746*LOOKUP(N20,密度!$A$2:$A$50,密度!$M$2:$M$50)</f>
        <v>12661.007149480001</v>
      </c>
      <c r="O19" s="73" ph="1">
        <f>O18*9.0746*LOOKUP(O20,密度!$A$2:$A$50,密度!$G$2:$G$50)</f>
        <v>16516.07690656</v>
      </c>
      <c r="P19" s="73" ph="1">
        <f ca="1">P18*9.0746*LOOKUP(P20,密度!$A$2:$A$51,密度!$Q$2:$Q$50)</f>
        <v>60312.934315472005</v>
      </c>
      <c r="Q19" s="73" ph="1">
        <f>Q18*9.0746*LOOKUP(Q20,密度!$A$2:$A$50,密度!$Q$2:$Q$50)</f>
        <v>51851.538069016002</v>
      </c>
      <c r="R19" s="73" ph="1">
        <f>MAX(R18*9.0746*LOOKUP(R20,密度!$A$2:$A$50,密度!$Q$2:$Q$50),0)</f>
        <v>0</v>
      </c>
      <c r="S19" s="73" ph="1">
        <f>S18*9.0746*LOOKUP(S20,密度!$A$2:$A$50,密度!$Q$2:$Q$50)</f>
        <v>26804.076156040002</v>
      </c>
      <c r="T19" s="73" ph="1">
        <f>T18*9.0746*LOOKUP(T20,密度!$A$2:$A$50,密度!$O$2:$O$50)</f>
        <v>4627.4470763999998</v>
      </c>
      <c r="U19" s="73" ph="1">
        <f>U18*9.0746*LOOKUP(U20,密度!$A$2:$A$50,密度!$H$2:$H$50)</f>
        <v>47661.462574180005</v>
      </c>
      <c r="V19" s="73" ph="1">
        <f>MAX(5600*LOOKUP(V20,密度!$A$2:$A$50,密度!$Q$2:$Q$50)+V18*9.0476*LOOKUP(V20,密度!$A$2:$A$50,密度!$Q$2:$Q$50),0)</f>
        <v>47325.429974407998</v>
      </c>
      <c r="W19" s="73" ph="1">
        <f>MAX(5600*LOOKUP(W20,密度!$A$2:$A$50,密度!$Q$2:$Q$50)+W18*9.0476*LOOKUP(W20,密度!$A$2:$A$50,密度!$Q$2:$Q$50),0)</f>
        <v>3968.0438144999998</v>
      </c>
      <c r="X19" s="73" ph="1">
        <f>MAX(5600*LOOKUP(X20,密度!$A$2:$A$50,密度!$I$2:$I$50)+X18*9.0476*LOOKUP(X20,密度!$A$2:$A$50,密度!$I$2:$I$50),0)</f>
        <v>13834.497763519998</v>
      </c>
      <c r="Y19" s="73" ph="1">
        <f>MAX(5600*LOOKUP(Y20,密度!$A$2:$A$50,密度!$I$2:$I$50)+Y18*9.0476*LOOKUP(Y20,密度!$A$2:$A$50,密度!$I$2:$I$50),0)</f>
        <v>0</v>
      </c>
      <c r="Z19" s="73" ph="1">
        <f>Z18*9.0746*LOOKUP(Z20,密度!$A$2:$A$50,密度!$D$2:$D$50)</f>
        <v>0</v>
      </c>
      <c r="AA19" s="73" ph="1">
        <f>AA18*9.0746*LOOKUP(AA20,密度!$A$2:$A$50,密度!$B$2:$B$50)</f>
        <v>17443.113541140003</v>
      </c>
      <c r="AB19" s="73" ph="1">
        <f>AB18*9.0746*LOOKUP(AB20,密度!$A$2:$A$50,密度!$L$2:$L$50)</f>
        <v>0</v>
      </c>
      <c r="AC19" s="73" ph="1">
        <f>AC18*9.0746*LOOKUP(AC20,密度!$A$2:$A$50,密度!$L$2:$L$50)</f>
        <v>0</v>
      </c>
      <c r="AD19" s="73" ph="1">
        <f>AD18*268.68*LOOKUP(AD20,密度!$A$2:$A$50,密度!B5:B53)+IF(AD18&lt;=0,0,1566*LOOKUP(AD20,密度!$A$2:$A$50,密度!B5:B53))</f>
        <v>2335.7589696</v>
      </c>
      <c r="AE19" s="73" ph="1">
        <f>AE18*268.68*LOOKUP(AE20,密度!$A$2:$A$50,密度!B5:B53)+IF(AE18&lt;=0,0,1566*LOOKUP(AE20,密度!$A$2:$A$50,密度!B5:B53))</f>
        <v>18268.654924800001</v>
      </c>
      <c r="AH19" s="72" ph="1">
        <v>5</v>
      </c>
      <c r="AI19" s="72" t="s" ph="1">
        <v>341</v>
      </c>
      <c r="AZ19" s="72" t="s" ph="1">
        <v>216</v>
      </c>
      <c r="BA19" s="72" ph="1">
        <v>0</v>
      </c>
      <c r="BD19" s="72" t="s" ph="1">
        <v>342</v>
      </c>
      <c r="BE19" s="72" ph="1">
        <v>1440</v>
      </c>
    </row>
    <row r="20" spans="1:57" ph="1">
      <c r="A20" s="72" ph="1"/>
      <c r="B20" s="217" ph="1"/>
      <c r="C20" s="80" t="s" ph="1">
        <v>179</v>
      </c>
      <c r="D20" s="81">
        <v>31</v>
      </c>
      <c r="E20" s="81">
        <v>31</v>
      </c>
      <c r="F20" s="81">
        <v>35</v>
      </c>
      <c r="G20" s="81">
        <v>26</v>
      </c>
      <c r="H20" s="81">
        <v>24</v>
      </c>
      <c r="I20" s="81">
        <v>32</v>
      </c>
      <c r="J20" s="81">
        <v>32</v>
      </c>
      <c r="K20" s="81">
        <v>30</v>
      </c>
      <c r="L20" s="81">
        <v>27</v>
      </c>
      <c r="M20" s="81">
        <v>35</v>
      </c>
      <c r="N20" s="81">
        <v>27</v>
      </c>
      <c r="O20" s="81">
        <v>29</v>
      </c>
      <c r="P20" s="81">
        <v>28</v>
      </c>
      <c r="Q20" s="81">
        <v>31</v>
      </c>
      <c r="R20" s="81">
        <v>36</v>
      </c>
      <c r="S20" s="81">
        <v>39</v>
      </c>
      <c r="T20" s="81">
        <v>36</v>
      </c>
      <c r="U20" s="81">
        <v>26</v>
      </c>
      <c r="V20" s="81">
        <v>30</v>
      </c>
      <c r="W20" s="81">
        <v>33</v>
      </c>
      <c r="X20" s="81">
        <v>30</v>
      </c>
      <c r="Y20" s="110">
        <v>30</v>
      </c>
      <c r="Z20" s="81">
        <v>32</v>
      </c>
      <c r="AA20" s="81">
        <v>27</v>
      </c>
      <c r="AB20" s="81">
        <v>33</v>
      </c>
      <c r="AC20" s="81">
        <v>30</v>
      </c>
      <c r="AD20" s="81">
        <v>25</v>
      </c>
      <c r="AE20" s="81">
        <v>25</v>
      </c>
      <c r="AF20" s="64" t="s" ph="1">
        <v>35</v>
      </c>
      <c r="AH20" s="64" ph="1">
        <v>6</v>
      </c>
      <c r="AI20" s="64" t="s" ph="1">
        <v>343</v>
      </c>
      <c r="AZ20" s="64" t="s" ph="1">
        <v>216</v>
      </c>
      <c r="BA20" s="64" ph="1">
        <v>0</v>
      </c>
    </row>
    <row r="21" spans="1:57" ph="1">
      <c r="A21" s="72" ph="1"/>
      <c r="B21" s="82" ph="1"/>
      <c r="C21" s="83" ph="1"/>
      <c r="D21" s="84"/>
      <c r="E21" s="84"/>
      <c r="F21" s="84"/>
      <c r="G21" s="84"/>
      <c r="H21" s="84"/>
      <c r="I21" s="84"/>
      <c r="J21" s="84"/>
      <c r="K21" s="84"/>
      <c r="L21" s="84"/>
      <c r="M21" s="84"/>
      <c r="N21" s="84"/>
      <c r="O21" s="84"/>
      <c r="P21" s="84"/>
      <c r="Q21" s="84"/>
      <c r="R21" s="84"/>
      <c r="S21" s="84"/>
      <c r="T21" s="84"/>
      <c r="U21" s="84"/>
      <c r="V21" s="84"/>
      <c r="W21" s="84"/>
      <c r="X21" s="84"/>
      <c r="Y21" s="84"/>
      <c r="Z21" s="84"/>
      <c r="AA21" s="84"/>
      <c r="AB21" s="84"/>
      <c r="AC21" s="84"/>
      <c r="AD21" s="84"/>
      <c r="AE21" s="84"/>
      <c r="AH21" s="64" ph="1">
        <v>7</v>
      </c>
      <c r="AI21" s="64" t="s" ph="1">
        <v>344</v>
      </c>
      <c r="AZ21" s="64" t="s" ph="1">
        <v>216</v>
      </c>
      <c r="BA21" s="64" ph="1">
        <v>0</v>
      </c>
      <c r="BD21" s="64" t="s" ph="1">
        <v>232</v>
      </c>
      <c r="BE21" s="64" ph="1">
        <v>730</v>
      </c>
    </row>
    <row r="22" spans="1:57" ph="1">
      <c r="A22" s="72" ph="1"/>
      <c r="B22" s="215" t="s" ph="1">
        <v>37</v>
      </c>
      <c r="C22" s="85" t="s" ph="1">
        <v>176</v>
      </c>
      <c r="D22" s="86" t="s" ph="1">
        <v>86</v>
      </c>
      <c r="E22" s="86" t="s" ph="1">
        <v>87</v>
      </c>
      <c r="F22" s="86" t="s" ph="1">
        <v>88</v>
      </c>
      <c r="G22" s="86" t="s" ph="1">
        <v>89</v>
      </c>
      <c r="H22" s="86" t="s" ph="1">
        <v>90</v>
      </c>
      <c r="I22" s="86" t="s" ph="1">
        <v>91</v>
      </c>
      <c r="J22" s="86" t="s" ph="1">
        <v>92</v>
      </c>
      <c r="K22" s="86" t="s" ph="1">
        <v>93</v>
      </c>
      <c r="L22" s="86" t="s" ph="1">
        <v>94</v>
      </c>
      <c r="M22" s="86" t="s" ph="1">
        <v>95</v>
      </c>
      <c r="N22" s="86" t="s" ph="1">
        <v>96</v>
      </c>
      <c r="O22" s="86" t="s" ph="1">
        <v>97</v>
      </c>
      <c r="P22" s="86" t="s" ph="1">
        <v>98</v>
      </c>
      <c r="Q22" s="87" t="s" ph="1">
        <v>99</v>
      </c>
      <c r="R22" s="86" t="s" ph="1">
        <v>100</v>
      </c>
      <c r="S22" s="86" t="s" ph="1">
        <v>101</v>
      </c>
      <c r="T22" s="86" t="s" ph="1">
        <v>102</v>
      </c>
      <c r="U22" s="86" t="s" ph="1">
        <v>103</v>
      </c>
      <c r="V22" s="86" t="s" ph="1">
        <v>104</v>
      </c>
      <c r="W22" s="86" t="s" ph="1">
        <v>105</v>
      </c>
      <c r="X22" s="86" t="s" ph="1">
        <v>106</v>
      </c>
      <c r="Y22" s="86" t="s" ph="1">
        <v>108</v>
      </c>
      <c r="Z22" s="225" t="s" ph="1">
        <v>69</v>
      </c>
      <c r="AA22" s="226"/>
      <c r="AB22" s="226"/>
      <c r="AC22" s="226"/>
      <c r="AD22" s="226"/>
      <c r="AE22" s="227"/>
      <c r="AH22" s="64" ph="1">
        <v>8</v>
      </c>
      <c r="AI22" s="64" t="s" ph="1">
        <v>345</v>
      </c>
      <c r="AZ22" s="64" t="s" ph="1">
        <v>216</v>
      </c>
      <c r="BA22" s="64" ph="1">
        <v>0</v>
      </c>
    </row>
    <row r="23" spans="1:57" ph="1">
      <c r="A23" s="72" ph="1"/>
      <c r="B23" s="219" ph="1"/>
      <c r="C23" s="67" t="s" ph="1">
        <v>36</v>
      </c>
      <c r="D23" s="88" t="s" ph="1">
        <v>109</v>
      </c>
      <c r="E23" s="88" t="s" ph="1">
        <v>107</v>
      </c>
      <c r="F23" s="88" t="s" ph="1">
        <v>109</v>
      </c>
      <c r="G23" s="88" t="s" ph="1">
        <v>626</v>
      </c>
      <c r="H23" s="88" t="s" ph="1">
        <v>626</v>
      </c>
      <c r="I23" s="88" t="s" ph="1">
        <v>627</v>
      </c>
      <c r="J23" s="88" t="s" ph="1">
        <v>628</v>
      </c>
      <c r="K23" s="88" t="s" ph="1">
        <v>628</v>
      </c>
      <c r="L23" s="88" t="s" ph="1">
        <v>628</v>
      </c>
      <c r="M23" s="88" t="s" ph="1">
        <v>623</v>
      </c>
      <c r="N23" s="88" t="s" ph="1">
        <v>623</v>
      </c>
      <c r="O23" s="88" t="s" ph="1">
        <v>645</v>
      </c>
      <c r="P23" s="88" t="s" ph="1">
        <v>629</v>
      </c>
      <c r="Q23" s="89" t="s" ph="1">
        <v>629</v>
      </c>
      <c r="R23" s="88" t="s" ph="1">
        <v>610</v>
      </c>
      <c r="S23" s="88" t="s" ph="1">
        <v>629</v>
      </c>
      <c r="T23" s="88" t="s" ph="1">
        <v>604</v>
      </c>
      <c r="U23" s="104" t="s" ph="1">
        <v>606</v>
      </c>
      <c r="V23" s="88" t="s" ph="1">
        <v>629</v>
      </c>
      <c r="W23" s="88" t="s" ph="1">
        <v>629</v>
      </c>
      <c r="X23" s="88" t="s" ph="1">
        <v>187</v>
      </c>
      <c r="Y23" s="88" t="s" ph="1">
        <v>630</v>
      </c>
      <c r="Z23" s="228" t="s" ph="1">
        <v>638</v>
      </c>
      <c r="AA23" s="229"/>
      <c r="AB23" s="229"/>
      <c r="AC23" s="229"/>
      <c r="AD23" s="229"/>
      <c r="AE23" s="230"/>
      <c r="AH23" s="64" ph="1">
        <v>9</v>
      </c>
      <c r="AI23" s="64" t="s" ph="1">
        <v>346</v>
      </c>
      <c r="AZ23" s="64" t="s" ph="1">
        <v>216</v>
      </c>
      <c r="BA23" s="64" ph="1">
        <v>0</v>
      </c>
      <c r="BD23" s="64" t="s" ph="1">
        <v>238</v>
      </c>
      <c r="BE23" s="64" ph="1">
        <v>890</v>
      </c>
    </row>
    <row r="24" spans="1:57" ph="1">
      <c r="A24" s="72" ph="1"/>
      <c r="B24" s="237" ph="1">
        <v>0.33333333333333331</v>
      </c>
      <c r="C24" s="150" t="s" ph="1">
        <v>177</v>
      </c>
      <c r="D24" s="71">
        <v>3.09</v>
      </c>
      <c r="E24" s="71">
        <v>52.64</v>
      </c>
      <c r="F24" s="71">
        <v>0</v>
      </c>
      <c r="G24" s="71">
        <v>3248</v>
      </c>
      <c r="H24" s="71">
        <v>2936</v>
      </c>
      <c r="I24" s="71">
        <v>165</v>
      </c>
      <c r="J24" s="71">
        <v>297</v>
      </c>
      <c r="K24" s="71">
        <v>210</v>
      </c>
      <c r="L24" s="71">
        <v>301</v>
      </c>
      <c r="M24" s="71">
        <v>2637</v>
      </c>
      <c r="N24" s="71">
        <v>2541</v>
      </c>
      <c r="O24" s="71">
        <v>732</v>
      </c>
      <c r="P24" s="71">
        <v>662</v>
      </c>
      <c r="Q24" s="90">
        <v>3341</v>
      </c>
      <c r="R24" s="71">
        <v>1299</v>
      </c>
      <c r="S24" s="71">
        <v>433</v>
      </c>
      <c r="T24" s="71">
        <v>13</v>
      </c>
      <c r="U24" s="71">
        <v>5472</v>
      </c>
      <c r="V24" s="71">
        <v>736</v>
      </c>
      <c r="W24" s="71">
        <v>432</v>
      </c>
      <c r="X24" s="71">
        <v>4164</v>
      </c>
      <c r="Y24" s="71">
        <v>2275</v>
      </c>
      <c r="Z24" s="231"/>
      <c r="AA24" s="232"/>
      <c r="AB24" s="232"/>
      <c r="AC24" s="232"/>
      <c r="AD24" s="232"/>
      <c r="AE24" s="233"/>
      <c r="AH24" s="64" ph="1">
        <v>10</v>
      </c>
      <c r="AI24" s="64" t="s" ph="1">
        <v>347</v>
      </c>
      <c r="AZ24" s="64" t="s" ph="1">
        <v>216</v>
      </c>
      <c r="BA24" s="64" ph="1">
        <v>0</v>
      </c>
    </row>
    <row r="25" spans="1:57" ph="1">
      <c r="A25" s="72" ph="1"/>
      <c r="B25" s="237" ph="1"/>
      <c r="C25" s="68" t="s" ph="1">
        <v>178</v>
      </c>
      <c r="D25" s="91" ph="1">
        <f>D24*268.68*LOOKUP(D26,密度!$A$2:$A$50,密度!$Q$2:$Q$50)+IF(D24&lt;=0,0,1566*LOOKUP(D26,密度!$A$2:$A$50,密度!$Q$2:$Q$50))</f>
        <v>2268.5984588880001</v>
      </c>
      <c r="E25" s="91" ph="1">
        <f>E24*268.68*LOOKUP(E26,密度!$A$2:$A$50,密度!$C$2:$C$50)+IF(E24&lt;=0,0,1566*LOOKUP(E26,密度!$A$2:$A$50,密度!$C$2:$C$50))</f>
        <v>17420.059625280002</v>
      </c>
      <c r="F25" s="91" ph="1">
        <f>F24*11.702*LOOKUP(F26,密度!$A$2:$A$50,密度!$Q$2:$Q$50)</f>
        <v>0</v>
      </c>
      <c r="G25" s="91" ph="1">
        <f>G24*18.322*LOOKUP(G26,密度!$A$2:$A$50,密度!$B$2:$B$50)</f>
        <v>46447.442607999998</v>
      </c>
      <c r="H25" s="91" ph="1">
        <f>H24*18.322*LOOKUP(H26,密度!$A$2:$A$50,密度!$B$2:$B$50)</f>
        <v>41888.914350399995</v>
      </c>
      <c r="I25" s="91" ph="1">
        <f>I24*18.322*LOOKUP(I26,密度!$A$2:$A$50,密度!$Q$2:$Q$50)</f>
        <v>2859.9716738999996</v>
      </c>
      <c r="J25" s="91" ph="1">
        <f>J24*18.322*LOOKUP(J26,密度!$A$2:$A$50,密度!$Q$2:$Q$50)</f>
        <v>5151.8125731600003</v>
      </c>
      <c r="K25" s="91" ph="1">
        <f>K24*18.322*LOOKUP(K26,密度!$A$2:$A$50,密度!$Q$2:$Q$50)</f>
        <v>3639.9639486000001</v>
      </c>
      <c r="L25" s="91" ph="1">
        <f>L24*18.322*LOOKUP(L26,密度!$A$2:$A$50,密度!$Q$2:$Q$50)</f>
        <v>5217.2816596599996</v>
      </c>
      <c r="M25" s="91" ph="1">
        <f>M24*18.322*LOOKUP(M26,密度!$A$2:$A$50,密度!$Q$2:$Q$50)</f>
        <v>45707.547297420002</v>
      </c>
      <c r="N25" s="91" ph="1">
        <f>N24*18.322*LOOKUP(N26,密度!$A$2:$A$50,密度!$Q$2:$Q$50)</f>
        <v>44043.563778060001</v>
      </c>
      <c r="O25" s="91" ph="1">
        <f>O24*18.322*LOOKUP(O26,密度!$A$2:$A$50,密度!$C$2:$C$50)</f>
        <v>14881.626758399998</v>
      </c>
      <c r="P25" s="91" ph="1">
        <f>P24*11.702*LOOKUP(P26,密度!$A$2:$A$50,密度!$B$2:$B$50)</f>
        <v>6032.3739787999993</v>
      </c>
      <c r="Q25" s="92" ph="1">
        <f>Q24*18.322*LOOKUP(Q26,密度!$A$2:$A$50,密度!$B$2:$B$50)</f>
        <v>47618.216575799997</v>
      </c>
      <c r="R25" s="91" ph="1">
        <f>R24*35.891*LOOKUP(R26,密度!$A$2:$A$50,密度!$C$2:$C$50)</f>
        <v>51629.655726599995</v>
      </c>
      <c r="S25" s="91" ph="1">
        <f>S24*35.891*LOOKUP(S26,密度!$A$2:$A$50,密度!$B$2:$B$50)</f>
        <v>12129.5967415</v>
      </c>
      <c r="T25" s="91" ph="1">
        <f>T24*35.891*LOOKUP(T26,密度!$A$2:$A$50,密度!$Q$2:$Q$50)</f>
        <v>441.07024156</v>
      </c>
      <c r="U25" s="91" ph="1">
        <f>U24*35.891</f>
        <v>196395.552</v>
      </c>
      <c r="V25" s="91" ph="1">
        <f>V24*47.051*LOOKUP(V26,密度!$A$2:$A$50,密度!$B$2:$B$50)</f>
        <v>26966.019683199997</v>
      </c>
      <c r="W25" s="91" ph="1">
        <f>W24*47.051*LOOKUP(W26,密度!$A$2:$A$50,密度!$B$2:$B$50)</f>
        <v>15864.467975999998</v>
      </c>
      <c r="X25" s="91" ph="1">
        <f>X24*47.051*LOOKUP(X26,密度!$A$2:$A$61,密度!$I$2:$I$61)</f>
        <v>203326.15375920001</v>
      </c>
      <c r="Y25" s="91" ph="1">
        <f>Y24*47.051*LOOKUP(Y26,密度!$A$2:$A$50,密度!$L$2:$L$50)</f>
        <v>99655.194275000016</v>
      </c>
      <c r="Z25" s="231"/>
      <c r="AA25" s="232"/>
      <c r="AB25" s="232"/>
      <c r="AC25" s="232"/>
      <c r="AD25" s="232"/>
      <c r="AE25" s="233"/>
      <c r="AH25" s="64" ph="1">
        <v>11</v>
      </c>
      <c r="AI25" s="64" t="s" ph="1">
        <v>348</v>
      </c>
      <c r="AZ25" s="64" t="s" ph="1">
        <v>216</v>
      </c>
      <c r="BA25" s="64" ph="1">
        <v>0</v>
      </c>
      <c r="BD25" s="64" t="s" ph="1">
        <v>241</v>
      </c>
      <c r="BE25" s="64" ph="1">
        <v>8920</v>
      </c>
    </row>
    <row r="26" spans="1:57" ph="1">
      <c r="A26" s="72" ph="1"/>
      <c r="B26" s="237" ph="1"/>
      <c r="C26" s="68" t="s" ph="1">
        <v>179</v>
      </c>
      <c r="D26" s="74">
        <v>25</v>
      </c>
      <c r="E26" s="74">
        <v>25</v>
      </c>
      <c r="F26" s="74">
        <v>24</v>
      </c>
      <c r="G26" s="74">
        <v>24</v>
      </c>
      <c r="H26" s="74">
        <v>26</v>
      </c>
      <c r="I26" s="74">
        <v>26</v>
      </c>
      <c r="J26" s="74">
        <v>25</v>
      </c>
      <c r="K26" s="74">
        <v>26</v>
      </c>
      <c r="L26" s="74">
        <v>26</v>
      </c>
      <c r="M26" s="74">
        <v>26</v>
      </c>
      <c r="N26" s="74">
        <v>26</v>
      </c>
      <c r="O26" s="74">
        <v>24</v>
      </c>
      <c r="P26" s="74">
        <v>26</v>
      </c>
      <c r="Q26" s="93">
        <v>27</v>
      </c>
      <c r="R26" s="74">
        <v>27</v>
      </c>
      <c r="S26" s="74">
        <v>24</v>
      </c>
      <c r="T26" s="74">
        <v>27</v>
      </c>
      <c r="U26" s="74">
        <v>27</v>
      </c>
      <c r="V26" s="74">
        <v>26</v>
      </c>
      <c r="W26" s="74">
        <v>24</v>
      </c>
      <c r="X26" s="74">
        <v>29</v>
      </c>
      <c r="Y26" s="74">
        <v>31</v>
      </c>
      <c r="Z26" s="231"/>
      <c r="AA26" s="232"/>
      <c r="AB26" s="232"/>
      <c r="AC26" s="232"/>
      <c r="AD26" s="232"/>
      <c r="AE26" s="233"/>
      <c r="AH26" s="64" ph="1">
        <v>12</v>
      </c>
      <c r="AI26" s="64" t="s" ph="1">
        <v>349</v>
      </c>
      <c r="AZ26" s="64" t="s" ph="1">
        <v>216</v>
      </c>
      <c r="BA26" s="64" ph="1">
        <v>0</v>
      </c>
    </row>
    <row r="27" spans="1:57" ht="26.4" ph="1">
      <c r="A27" s="72" ph="1"/>
      <c r="B27" s="237" ph="1">
        <v>0.66666666666666663</v>
      </c>
      <c r="C27" s="150" t="s" ph="1">
        <v>180</v>
      </c>
      <c r="D27" s="71">
        <v>3.09</v>
      </c>
      <c r="E27" s="71">
        <v>16.309999999999999</v>
      </c>
      <c r="F27" s="71">
        <v>0</v>
      </c>
      <c r="G27" s="71">
        <v>2642</v>
      </c>
      <c r="H27" s="71">
        <v>2529</v>
      </c>
      <c r="I27" s="71">
        <v>161</v>
      </c>
      <c r="J27" s="71">
        <v>292</v>
      </c>
      <c r="K27" s="71">
        <v>205</v>
      </c>
      <c r="L27" s="71">
        <v>295</v>
      </c>
      <c r="M27" s="71">
        <v>3791</v>
      </c>
      <c r="N27" s="71">
        <v>3664</v>
      </c>
      <c r="O27" s="71">
        <v>314</v>
      </c>
      <c r="P27" s="71">
        <v>660</v>
      </c>
      <c r="Q27" s="90">
        <v>3534</v>
      </c>
      <c r="R27" s="71">
        <v>1794</v>
      </c>
      <c r="S27" s="71">
        <v>429</v>
      </c>
      <c r="T27" s="71">
        <v>9</v>
      </c>
      <c r="U27" s="71">
        <v>5516</v>
      </c>
      <c r="V27" s="71">
        <v>733</v>
      </c>
      <c r="W27" s="71">
        <v>429</v>
      </c>
      <c r="X27" s="71">
        <v>3794</v>
      </c>
      <c r="Y27" s="71">
        <v>2248</v>
      </c>
      <c r="Z27" s="231"/>
      <c r="AA27" s="232"/>
      <c r="AB27" s="232"/>
      <c r="AC27" s="232"/>
      <c r="AD27" s="232"/>
      <c r="AE27" s="233"/>
      <c r="AH27" s="64" ph="1">
        <v>13</v>
      </c>
      <c r="AI27" s="64" t="s" ph="1">
        <v>350</v>
      </c>
      <c r="AZ27" s="64" t="s" ph="1">
        <v>216</v>
      </c>
      <c r="BA27" s="64" ph="1">
        <v>0</v>
      </c>
      <c r="BD27" s="64" t="s" ph="1">
        <v>295</v>
      </c>
      <c r="BE27" s="64" ph="1">
        <v>7100</v>
      </c>
    </row>
    <row r="28" spans="1:57" ph="1">
      <c r="A28" s="72" ph="1"/>
      <c r="B28" s="237" ph="1"/>
      <c r="C28" s="150" t="s" ph="1">
        <v>178</v>
      </c>
      <c r="D28" s="91" ph="1">
        <f>D27*268.68*LOOKUP(D29,密度!$A$2:$A$50,密度!$Q$2:$Q$50)+IF(D27&lt;=0,0,1566*LOOKUP(D29,密度!$A$2:$A$50,密度!$Q$2:$Q$50))</f>
        <v>2268.5984588880001</v>
      </c>
      <c r="E28" s="91" ph="1">
        <f>E27*268.68*LOOKUP(E29,密度!$A$2:$A$50,密度!$C$2:$C$50)+IF(E27&lt;=0,0,1566*LOOKUP(E29,密度!$A$2:$A$50,密度!$C$2:$C$50))</f>
        <v>6595.9266001200003</v>
      </c>
      <c r="F28" s="91" ph="1">
        <f>F27*11.702*LOOKUP(F29,密度!$A$2:$A$50,密度!$Q$2:$Q$50)</f>
        <v>0</v>
      </c>
      <c r="G28" s="91" ph="1">
        <f>G27*18.322*LOOKUP(G29,密度!$A$2:$A$50,密度!$B$2:$B$50)</f>
        <v>37403.875634799995</v>
      </c>
      <c r="H28" s="91" ph="1">
        <f>H27*18.322*LOOKUP(H29,密度!$A$2:$A$50,密度!$B$2:$B$50)</f>
        <v>35841.157442999996</v>
      </c>
      <c r="I28" s="91" ph="1">
        <f>I27*18.322*LOOKUP(I29,密度!$A$2:$A$50,密度!$Q$2:$Q$50)</f>
        <v>2778.4561797999995</v>
      </c>
      <c r="J28" s="91" ph="1">
        <f>J27*18.322*LOOKUP(J29,密度!$A$2:$A$50,密度!$Q$2:$Q$50)</f>
        <v>5035.7100899999996</v>
      </c>
      <c r="K28" s="91" ph="1">
        <f>K27*18.322*LOOKUP(K29,密度!$A$2:$A$50,密度!$Q$2:$Q$50)</f>
        <v>3540.3399057999995</v>
      </c>
      <c r="L28" s="91" ph="1">
        <f>L27*18.322*LOOKUP(L29,密度!$A$2:$A$50,密度!$Q$2:$Q$50)</f>
        <v>5098.6892166999996</v>
      </c>
      <c r="M28" s="91" ph="1">
        <f>M27*18.322*LOOKUP(M29,密度!$A$2:$A$50,密度!$Q$2:$Q$50)</f>
        <v>65423.151413799991</v>
      </c>
      <c r="N28" s="91" ph="1">
        <f>N27*18.322*LOOKUP(N29,密度!$A$2:$A$50,密度!$Q$2:$Q$50)</f>
        <v>63231.449955199991</v>
      </c>
      <c r="O28" s="91" ph="1">
        <f>O27*18.322*LOOKUP(O29,密度!$A$2:$A$50,密度!$C$2:$C$50)</f>
        <v>6352.0065428000007</v>
      </c>
      <c r="P28" s="91" ph="1">
        <f>P27*11.702*LOOKUP(P29,密度!$A$2:$A$50,密度!$B$2:$B$50)</f>
        <v>5980.9390079999994</v>
      </c>
      <c r="Q28" s="92" ph="1">
        <f>Q27*18.322*LOOKUP(Q29,密度!$A$2:$A$50,密度!$B$2:$B$50)</f>
        <v>50200.6346844</v>
      </c>
      <c r="R28" s="91" ph="1">
        <f>R27*35.891*LOOKUP(R29,密度!$A$2:$A$50,密度!$C$2:$C$50)</f>
        <v>71020.464762000003</v>
      </c>
      <c r="S28" s="91" ph="1">
        <f>S27*35.891*LOOKUP(S29,密度!$A$2:$A$50,密度!$B$2:$B$50)</f>
        <v>11909.7643665</v>
      </c>
      <c r="T28" s="91" ph="1">
        <f>T27*35.891*LOOKUP(T29,密度!$A$2:$A$50,密度!$Q$2:$Q$50)</f>
        <v>304.71351327000002</v>
      </c>
      <c r="U28" s="91" ph="1">
        <f>U27*35.891</f>
        <v>197974.75599999999</v>
      </c>
      <c r="V28" s="91" ph="1">
        <f>V27*47.051*LOOKUP(V29,密度!$A$2:$A$50,密度!$B$2:$B$50)</f>
        <v>26707.803795200001</v>
      </c>
      <c r="W28" s="91" ph="1">
        <f>W27*47.051*LOOKUP(W29,密度!$A$2:$A$50,密度!$B$2:$B$50)</f>
        <v>15649.336688700001</v>
      </c>
      <c r="X28" s="91" ph="1">
        <f>X27*47.051*LOOKUP(X29,密度!$A$2:$A$61,密度!$I$2:$I$61)</f>
        <v>184866.50318640002</v>
      </c>
      <c r="Y28" s="91" ph="1">
        <f>Y27*47.051*LOOKUP(Y29,密度!$A$2:$A$50,密度!$L$2:$L$50)</f>
        <v>98578.243936000013</v>
      </c>
      <c r="Z28" s="231"/>
      <c r="AA28" s="232"/>
      <c r="AB28" s="232"/>
      <c r="AC28" s="232"/>
      <c r="AD28" s="232"/>
      <c r="AE28" s="233"/>
      <c r="AH28" s="64" ph="1">
        <v>14</v>
      </c>
      <c r="AI28" s="64" t="s" ph="1">
        <v>351</v>
      </c>
      <c r="AZ28" s="64" t="s" ph="1">
        <v>216</v>
      </c>
      <c r="BA28" s="64" ph="1">
        <v>0</v>
      </c>
    </row>
    <row r="29" spans="1:57" ph="1">
      <c r="A29" s="72" ph="1"/>
      <c r="B29" s="237" ph="1"/>
      <c r="C29" s="150" t="s" ph="1">
        <v>179</v>
      </c>
      <c r="D29" s="74">
        <v>25</v>
      </c>
      <c r="E29" s="74">
        <v>25</v>
      </c>
      <c r="F29" s="74">
        <v>31</v>
      </c>
      <c r="G29" s="74">
        <v>33</v>
      </c>
      <c r="H29" s="74">
        <v>32</v>
      </c>
      <c r="I29" s="74">
        <v>32</v>
      </c>
      <c r="J29" s="74">
        <v>33</v>
      </c>
      <c r="K29" s="74">
        <v>31</v>
      </c>
      <c r="L29" s="74">
        <v>30</v>
      </c>
      <c r="M29" s="74">
        <v>32</v>
      </c>
      <c r="N29" s="74">
        <v>32</v>
      </c>
      <c r="O29" s="74">
        <v>31</v>
      </c>
      <c r="P29" s="74">
        <v>31</v>
      </c>
      <c r="Q29" s="93">
        <v>30</v>
      </c>
      <c r="R29" s="74">
        <v>32</v>
      </c>
      <c r="S29" s="74">
        <v>32</v>
      </c>
      <c r="T29" s="74">
        <v>30</v>
      </c>
      <c r="U29" s="74">
        <v>30</v>
      </c>
      <c r="V29" s="74">
        <v>31</v>
      </c>
      <c r="W29" s="74">
        <v>30</v>
      </c>
      <c r="X29" s="74">
        <v>31</v>
      </c>
      <c r="Y29" s="74">
        <v>30</v>
      </c>
      <c r="Z29" s="234"/>
      <c r="AA29" s="235"/>
      <c r="AB29" s="235"/>
      <c r="AC29" s="235"/>
      <c r="AD29" s="235"/>
      <c r="AE29" s="236"/>
      <c r="AH29" s="64" ph="1">
        <v>15</v>
      </c>
      <c r="AI29" s="64" t="s" ph="1">
        <v>352</v>
      </c>
      <c r="AZ29" s="64" t="s" ph="1">
        <v>216</v>
      </c>
      <c r="BA29" s="64" ph="1">
        <v>0</v>
      </c>
      <c r="BD29" s="64" t="s" ph="1">
        <v>353</v>
      </c>
      <c r="BE29" s="64" ph="1">
        <v>890</v>
      </c>
    </row>
    <row r="30" spans="1:57" ph="1">
      <c r="D30" s="94" ph="1"/>
      <c r="Z30" s="64" t="s" ph="1">
        <v>35</v>
      </c>
      <c r="AE30" s="95" ph="1"/>
      <c r="AH30" s="64" ph="1">
        <v>16</v>
      </c>
      <c r="AI30" s="64" t="s" ph="1">
        <v>354</v>
      </c>
      <c r="AZ30" s="64" t="s" ph="1">
        <v>216</v>
      </c>
      <c r="BA30" s="64" ph="1">
        <v>0</v>
      </c>
    </row>
    <row r="31" spans="1:57" ht="28.2" ph="1">
      <c r="A31" s="64"/>
      <c r="B31" s="220" t="s" ph="1">
        <v>35</v>
      </c>
      <c r="C31" s="221" ph="1"/>
      <c r="D31" s="224" t="s" ph="1">
        <v>9</v>
      </c>
      <c r="E31" s="199" ph="1"/>
      <c r="F31" s="200" ph="1"/>
      <c r="G31" s="224" t="s" ph="1">
        <v>18</v>
      </c>
      <c r="H31" s="199" ph="1"/>
      <c r="I31" s="200" ph="1"/>
      <c r="J31" s="198" t="s" ph="1">
        <v>1</v>
      </c>
      <c r="K31" s="199" ph="1"/>
      <c r="L31" s="200" ph="1"/>
      <c r="M31" s="198" t="s" ph="1">
        <v>7</v>
      </c>
      <c r="N31" s="199" ph="1"/>
      <c r="O31" s="200" ph="1"/>
      <c r="P31" s="198" t="s" ph="1">
        <v>41</v>
      </c>
      <c r="Q31" s="199"/>
      <c r="R31" s="200"/>
      <c r="S31" s="198" t="s" ph="1">
        <v>2</v>
      </c>
      <c r="T31" s="199"/>
      <c r="U31" s="200"/>
      <c r="V31" s="198" t="s" ph="1">
        <v>71</v>
      </c>
      <c r="W31" s="199" ph="1"/>
      <c r="X31" s="200" ph="1"/>
      <c r="Y31" s="198" t="s" ph="1">
        <v>3</v>
      </c>
      <c r="Z31" s="199" ph="1"/>
      <c r="AA31" s="200" ph="1"/>
      <c r="AB31" s="201" t="s">
        <v>42</v>
      </c>
      <c r="AC31" s="202"/>
      <c r="AD31" s="202"/>
      <c r="AE31" s="203"/>
      <c r="AH31" s="64" ph="1">
        <v>17</v>
      </c>
      <c r="AI31" s="64" t="s" ph="1">
        <v>355</v>
      </c>
      <c r="AZ31" s="64" t="s" ph="1">
        <v>216</v>
      </c>
      <c r="BA31" s="64" ph="1">
        <v>0</v>
      </c>
      <c r="BD31" s="64" t="s" ph="1">
        <v>356</v>
      </c>
      <c r="BE31" s="64" ph="1">
        <v>9310</v>
      </c>
    </row>
    <row r="32" spans="1:57" ph="1">
      <c r="A32" s="64"/>
      <c r="B32" s="222" ph="1"/>
      <c r="C32" s="223" ph="1"/>
      <c r="D32" s="96" t="s" ph="1">
        <v>4</v>
      </c>
      <c r="E32" s="150" t="s" ph="1">
        <v>5</v>
      </c>
      <c r="F32" s="151" t="s" ph="1">
        <v>43</v>
      </c>
      <c r="G32" s="97" t="s" ph="1">
        <v>4</v>
      </c>
      <c r="H32" s="150" t="s" ph="1">
        <v>5</v>
      </c>
      <c r="I32" s="151" t="s" ph="1">
        <v>43</v>
      </c>
      <c r="J32" s="97" t="s" ph="1">
        <v>4</v>
      </c>
      <c r="K32" s="150" t="s" ph="1">
        <v>5</v>
      </c>
      <c r="L32" s="151" t="s" ph="1">
        <v>43</v>
      </c>
      <c r="M32" s="97" t="s" ph="1">
        <v>4</v>
      </c>
      <c r="N32" s="150" t="s" ph="1">
        <v>5</v>
      </c>
      <c r="O32" s="151" t="s" ph="1">
        <v>43</v>
      </c>
      <c r="P32" s="97" t="s" ph="1">
        <v>4</v>
      </c>
      <c r="Q32" s="98" t="s" ph="1">
        <v>5</v>
      </c>
      <c r="R32" s="99" t="s" ph="1">
        <v>43</v>
      </c>
      <c r="S32" s="97" t="s" ph="1">
        <v>4</v>
      </c>
      <c r="T32" s="150" t="s" ph="1">
        <v>5</v>
      </c>
      <c r="U32" s="99" t="s" ph="1">
        <v>43</v>
      </c>
      <c r="V32" s="97" t="s" ph="1">
        <v>4</v>
      </c>
      <c r="W32" s="150" t="s" ph="1">
        <v>5</v>
      </c>
      <c r="X32" s="99" t="s" ph="1">
        <v>43</v>
      </c>
      <c r="Y32" s="100" t="s" ph="1">
        <v>4</v>
      </c>
      <c r="Z32" s="150" t="s" ph="1">
        <v>5</v>
      </c>
      <c r="AA32" s="151" t="s" ph="1">
        <v>43</v>
      </c>
      <c r="AB32" s="97" t="s" ph="1">
        <v>85</v>
      </c>
      <c r="AC32" s="150" t="s" ph="1">
        <v>84</v>
      </c>
      <c r="AD32" s="204" t="s" ph="1">
        <v>83</v>
      </c>
      <c r="AE32" s="205"/>
      <c r="AH32" s="64" ph="1">
        <v>18</v>
      </c>
      <c r="AI32" s="64" t="s" ph="1">
        <v>357</v>
      </c>
      <c r="AZ32" s="64" t="s" ph="1">
        <v>216</v>
      </c>
      <c r="BA32" s="64" ph="1">
        <v>0</v>
      </c>
    </row>
    <row r="33" spans="1:57" ph="1">
      <c r="A33" s="64"/>
      <c r="B33" s="206" t="s" ph="1">
        <v>181</v>
      </c>
      <c r="C33" s="207" ph="1"/>
      <c r="D33" s="186" ph="1">
        <f>AA10+AB10+Z19</f>
        <v>79756.874360800008</v>
      </c>
      <c r="E33" s="186" ph="1">
        <f>M10+I10</f>
        <v>128756.91111259998</v>
      </c>
      <c r="F33" s="210" ph="1">
        <f>表格_取樣回收每月庫存表_0620更新1522252632456786910111213141516171819202123456789101112131415161718192022232424356789101112131415161718192021222345678910111213141516171819202345678910111213149101516171819222123234567891012131415161711181920212224252345678910111213123[[#This Row],[F25]]</f>
        <v>3880</v>
      </c>
      <c r="G33" s="212" ph="1">
        <f>N19</f>
        <v>12661.007149480001</v>
      </c>
      <c r="H33" s="186" ph="1">
        <f>M19</f>
        <v>4990.3958669520007</v>
      </c>
      <c r="I33" s="190" ph="1">
        <v>0</v>
      </c>
      <c r="J33" s="194" ph="1">
        <f>F10+O28</f>
        <v>176342.95407199996</v>
      </c>
      <c r="K33" s="186" ph="1">
        <f>O10+K10+E28+R28</f>
        <v>170848.94322091999</v>
      </c>
      <c r="L33" s="196" ph="1">
        <f>K19</f>
        <v>36914.321233259994</v>
      </c>
      <c r="M33" s="194" ph="1">
        <f>G10+H10+W28+S28+V28+E10+R19+P28+Q28</f>
        <v>492754.41812780011</v>
      </c>
      <c r="N33" s="186" ph="1">
        <f>L10+P10++G28+H28+AD19+AE19</f>
        <v>158235.1287992</v>
      </c>
      <c r="O33" s="190" ph="1">
        <f>G19</f>
        <v>13934.923091439998</v>
      </c>
      <c r="P33" s="194" ph="1">
        <f>L19</f>
        <v>37838.8950214</v>
      </c>
      <c r="Q33" s="186" ph="1">
        <f>J10+N10</f>
        <v>73197.354990699998</v>
      </c>
      <c r="R33" s="190" ph="1">
        <f>BE23</f>
        <v>890</v>
      </c>
      <c r="S33" s="194" ph="1">
        <f>X28</f>
        <v>184866.50318640002</v>
      </c>
      <c r="T33" s="186" ph="1">
        <f>X19</f>
        <v>13834.497763519998</v>
      </c>
      <c r="U33" s="175" ph="1">
        <f>BE21</f>
        <v>730</v>
      </c>
      <c r="V33" s="188" ph="1">
        <f ca="1">P19+Q19+S19+M28+N28+J28+D10+AC10+D19+E19+H19+J19+O19+V19+W19+K28+L28</f>
        <v>779140.97148455586</v>
      </c>
      <c r="W33" s="188" ph="1">
        <f>D28+F28+T28+I28</f>
        <v>5351.7681519580001</v>
      </c>
      <c r="X33" s="190" ph="1">
        <f>BE29+BE31</f>
        <v>10200</v>
      </c>
      <c r="Y33" s="192" ph="1">
        <f>+Q10+R10+S10+T10+U10+V10+W10+X10+Y10</f>
        <v>247075.83026280001</v>
      </c>
      <c r="Z33" s="173" ph="1">
        <f>T19+U19+Y28+Z10</f>
        <v>257514.32911658002</v>
      </c>
      <c r="AA33" s="175" ph="1">
        <f>BE19</f>
        <v>1440</v>
      </c>
      <c r="AB33" s="177" ph="1">
        <f>I19</f>
        <v>22836.194601600004</v>
      </c>
      <c r="AC33" s="179" ph="1">
        <f>AD10+AB19</f>
        <v>70579.164902400007</v>
      </c>
      <c r="AD33" s="181" ph="1">
        <v>0</v>
      </c>
      <c r="AE33" s="182"/>
      <c r="AH33" s="64" ph="1">
        <v>19</v>
      </c>
      <c r="AI33" s="64" t="s" ph="1">
        <v>358</v>
      </c>
      <c r="AJ33" s="64" t="s" ph="1">
        <v>592</v>
      </c>
      <c r="AK33" s="64" t="s" ph="1">
        <v>589</v>
      </c>
      <c r="AL33" s="64" ph="1">
        <v>730</v>
      </c>
      <c r="AM33" s="64" t="s" ph="1">
        <v>339</v>
      </c>
      <c r="AZ33" s="64" t="s" ph="1">
        <v>216</v>
      </c>
      <c r="BA33" s="64" ph="1">
        <v>730</v>
      </c>
      <c r="BD33" s="64" t="s" ph="1">
        <v>290</v>
      </c>
      <c r="BE33" s="64" ph="1">
        <v>3880</v>
      </c>
    </row>
    <row r="34" spans="1:57" ph="1">
      <c r="A34" s="64"/>
      <c r="B34" s="208" ph="1"/>
      <c r="C34" s="209" ph="1"/>
      <c r="D34" s="187" ph="1"/>
      <c r="E34" s="187" ph="1"/>
      <c r="F34" s="211" ph="1"/>
      <c r="G34" s="213" ph="1"/>
      <c r="H34" s="187" ph="1"/>
      <c r="I34" s="191" ph="1"/>
      <c r="J34" s="195" ph="1"/>
      <c r="K34" s="187" ph="1"/>
      <c r="L34" s="197" ph="1"/>
      <c r="M34" s="195" ph="1"/>
      <c r="N34" s="187" ph="1"/>
      <c r="O34" s="191" ph="1"/>
      <c r="P34" s="195" ph="1"/>
      <c r="Q34" s="187" ph="1"/>
      <c r="R34" s="191" ph="1"/>
      <c r="S34" s="195" ph="1"/>
      <c r="T34" s="187"/>
      <c r="U34" s="176"/>
      <c r="V34" s="189" ph="1"/>
      <c r="W34" s="189" ph="1"/>
      <c r="X34" s="191" ph="1"/>
      <c r="Y34" s="193" ph="1"/>
      <c r="Z34" s="174" ph="1"/>
      <c r="AA34" s="176" ph="1"/>
      <c r="AB34" s="178"/>
      <c r="AC34" s="180"/>
      <c r="AD34" s="183"/>
      <c r="AE34" s="184"/>
      <c r="AH34" s="64" ph="1">
        <v>20</v>
      </c>
      <c r="AI34" s="64" t="s" ph="1">
        <v>359</v>
      </c>
      <c r="AJ34" s="64" t="s" ph="1">
        <v>593</v>
      </c>
      <c r="AK34" s="64" t="s" ph="1">
        <v>589</v>
      </c>
      <c r="AL34" s="64" ph="1">
        <v>720</v>
      </c>
      <c r="AM34" s="64" t="s" ph="1">
        <v>339</v>
      </c>
      <c r="AZ34" s="64" t="s" ph="1">
        <v>216</v>
      </c>
      <c r="BA34" s="64" ph="1">
        <v>720</v>
      </c>
    </row>
    <row r="35" spans="1:57" ph="1">
      <c r="A35" s="64"/>
      <c r="AC35" s="185" t="s" ph="1">
        <v>631</v>
      </c>
      <c r="AD35" s="185"/>
      <c r="AE35" s="185"/>
      <c r="AH35" s="64" ph="1">
        <v>21</v>
      </c>
      <c r="AI35" s="64" t="s" ph="1">
        <v>360</v>
      </c>
      <c r="AZ35" s="64" t="s" ph="1">
        <v>216</v>
      </c>
      <c r="BA35" s="64" ph="1">
        <v>0</v>
      </c>
      <c r="BD35" s="64" t="s" ph="1">
        <v>361</v>
      </c>
      <c r="BE35" s="64" ph="1">
        <v>2030</v>
      </c>
    </row>
    <row r="36" spans="1:57" ht="28.2" ph="1">
      <c r="A36" s="64"/>
      <c r="B36" s="103" t="s" ph="1">
        <v>182</v>
      </c>
      <c r="I36" s="171" t="s" ph="1">
        <v>183</v>
      </c>
      <c r="J36" s="171" ph="1"/>
      <c r="K36" s="101" ph="1"/>
      <c r="P36" s="101" ph="1"/>
      <c r="R36" s="171" t="s" ph="1">
        <v>184</v>
      </c>
      <c r="S36" s="171" ph="1"/>
      <c r="Y36" s="102" ph="1"/>
      <c r="Z36" s="152" t="s" ph="1">
        <v>185</v>
      </c>
      <c r="AA36" s="152" ph="1"/>
      <c r="AB36" s="172" t="s" ph="1">
        <v>640</v>
      </c>
      <c r="AC36" s="172" ph="1"/>
      <c r="AD36" s="172" ph="1"/>
      <c r="AE36" s="172" ph="1"/>
      <c r="BA36" s="64" ph="1">
        <v>2270</v>
      </c>
    </row>
    <row r="37" spans="1:57" s="152" customFormat="1" ph="1">
      <c r="A37" s="64" ph="1"/>
      <c r="B37" s="64" ph="1"/>
      <c r="C37" s="64" ph="1"/>
      <c r="D37" s="64" ph="1"/>
      <c r="E37" s="64" ph="1"/>
      <c r="F37" s="64" ph="1"/>
      <c r="G37" s="64" ph="1"/>
      <c r="H37" s="64" ph="1"/>
      <c r="I37" s="64" ph="1"/>
      <c r="J37" s="64" ph="1"/>
      <c r="K37" s="64" ph="1"/>
      <c r="L37" s="64" ph="1"/>
      <c r="M37" s="64" ph="1"/>
      <c r="N37" s="64" ph="1"/>
      <c r="O37" s="64" ph="1"/>
      <c r="P37" s="64" ph="1"/>
      <c r="Q37" s="64" ph="1"/>
      <c r="R37" s="64" ph="1"/>
      <c r="S37" s="64" ph="1"/>
      <c r="T37" s="64" ph="1"/>
      <c r="U37" s="64" ph="1"/>
      <c r="V37" s="64" ph="1"/>
      <c r="W37" s="64" ph="1"/>
      <c r="X37" s="64" ph="1"/>
      <c r="Y37" s="64" ph="1"/>
      <c r="Z37" s="64" ph="1"/>
      <c r="AA37" s="64" ph="1"/>
      <c r="AB37" s="64" ph="1"/>
      <c r="AC37" s="64" ph="1"/>
      <c r="AD37" s="64" ph="1"/>
      <c r="AE37" s="64" ph="1"/>
      <c r="AG37" s="152" t="s" ph="1">
        <v>342</v>
      </c>
      <c r="AI37" s="152" t="s" ph="1">
        <v>209</v>
      </c>
      <c r="AJ37" s="152" t="s" ph="1">
        <v>210</v>
      </c>
      <c r="AK37" s="152" t="s" ph="1">
        <v>211</v>
      </c>
      <c r="AM37" s="152" t="s" ph="1">
        <v>210</v>
      </c>
      <c r="AN37" s="152" t="s" ph="1">
        <v>211</v>
      </c>
      <c r="AO37" s="152" t="s" ph="1">
        <v>212</v>
      </c>
      <c r="AP37" s="152" t="s" ph="1">
        <v>210</v>
      </c>
      <c r="AQ37" s="152" t="s" ph="1">
        <v>211</v>
      </c>
      <c r="AR37" s="152" t="s" ph="1">
        <v>212</v>
      </c>
      <c r="AS37" s="152" t="s" ph="1">
        <v>210</v>
      </c>
      <c r="AT37" s="152" t="s" ph="1">
        <v>211</v>
      </c>
      <c r="AU37" s="152" t="s" ph="1">
        <v>212</v>
      </c>
      <c r="AV37" s="152" t="s" ph="1">
        <v>210</v>
      </c>
      <c r="AW37" s="152" t="s" ph="1">
        <v>211</v>
      </c>
      <c r="AX37" s="152" t="s" ph="1">
        <v>212</v>
      </c>
      <c r="AY37" s="152" t="s" ph="1">
        <v>211</v>
      </c>
      <c r="AZ37" s="152" t="s" ph="1">
        <v>213</v>
      </c>
      <c r="BD37" s="152" t="s" ph="1">
        <v>305</v>
      </c>
      <c r="BE37" s="152" ph="1">
        <v>0</v>
      </c>
    </row>
    <row r="38" spans="1:57" ph="1">
      <c r="AE38" s="64" ph="1"/>
      <c r="AH38" s="64" ph="1">
        <v>1</v>
      </c>
      <c r="AI38" s="64" t="s" ph="1">
        <v>362</v>
      </c>
      <c r="AY38" s="64" t="s" ph="1">
        <v>216</v>
      </c>
      <c r="AZ38" s="64" t="s" ph="1">
        <v>367</v>
      </c>
    </row>
    <row r="39" spans="1:57" ph="1">
      <c r="AH39" s="64" ph="1">
        <v>2</v>
      </c>
      <c r="AI39" s="64" t="s" ph="1">
        <v>364</v>
      </c>
      <c r="AJ39" s="64" t="s" ph="1">
        <v>336</v>
      </c>
      <c r="AK39" s="64" t="s" ph="1">
        <v>365</v>
      </c>
      <c r="AM39" s="64" t="s" ph="1">
        <v>570</v>
      </c>
      <c r="AN39" s="64" t="s" ph="1">
        <v>228</v>
      </c>
      <c r="AO39" s="64" t="s" ph="1">
        <v>363</v>
      </c>
      <c r="AY39" s="64" t="s" ph="1">
        <v>216</v>
      </c>
      <c r="AZ39" s="64" t="s" ph="1">
        <v>499</v>
      </c>
    </row>
    <row r="40" spans="1:57" ph="1">
      <c r="AH40" s="64" ph="1">
        <v>3</v>
      </c>
      <c r="AI40" s="64" t="s" ph="1">
        <v>366</v>
      </c>
      <c r="AJ40" s="64" t="s" ph="1">
        <v>570</v>
      </c>
      <c r="AK40" s="64" t="s" ph="1">
        <v>571</v>
      </c>
      <c r="AY40" s="64" t="s" ph="1">
        <v>216</v>
      </c>
      <c r="AZ40" s="64" t="s" ph="1">
        <v>571</v>
      </c>
    </row>
    <row r="41" spans="1:57" ph="1">
      <c r="AH41" s="64" ph="1">
        <v>4</v>
      </c>
      <c r="AI41" s="64" t="s" ph="1">
        <v>368</v>
      </c>
      <c r="AJ41" s="64" t="s" ph="1">
        <v>572</v>
      </c>
      <c r="AK41" s="64" t="s" ph="1">
        <v>573</v>
      </c>
      <c r="AM41" s="64" t="s" ph="1">
        <v>574</v>
      </c>
      <c r="AY41" s="64" t="s" ph="1">
        <v>216</v>
      </c>
      <c r="AZ41" s="64" t="s" ph="1">
        <v>573</v>
      </c>
    </row>
    <row r="42" spans="1:57" ph="1">
      <c r="P42" s="64"/>
      <c r="Q42" s="64"/>
      <c r="R42" s="64"/>
      <c r="S42" s="64"/>
      <c r="T42" s="64"/>
      <c r="U42" s="64"/>
      <c r="V42" s="64"/>
      <c r="W42" s="64"/>
      <c r="X42" s="64"/>
      <c r="Y42" s="64"/>
      <c r="Z42" s="64"/>
      <c r="AA42" s="64"/>
      <c r="AB42" s="64"/>
      <c r="AC42" s="64"/>
      <c r="AD42" s="64"/>
      <c r="AE42" s="75"/>
      <c r="AH42" s="64" ph="1">
        <v>5</v>
      </c>
      <c r="AI42" s="64" t="s" ph="1">
        <v>369</v>
      </c>
      <c r="AY42" s="64" t="s" ph="1">
        <v>216</v>
      </c>
      <c r="AZ42" s="64" t="s" ph="1">
        <v>367</v>
      </c>
    </row>
    <row r="43" spans="1:57" ph="1">
      <c r="C43" s="64"/>
      <c r="D43" s="64"/>
      <c r="E43" s="64"/>
      <c r="F43" s="64"/>
      <c r="G43" s="64"/>
      <c r="H43" s="64"/>
      <c r="I43" s="64"/>
      <c r="J43" s="64"/>
      <c r="K43" s="64"/>
      <c r="L43" s="64"/>
      <c r="M43" s="64"/>
      <c r="N43" s="64"/>
      <c r="O43" s="64"/>
      <c r="P43" s="64"/>
      <c r="R43" s="64"/>
      <c r="S43" s="64"/>
      <c r="T43" s="64"/>
      <c r="U43" s="64"/>
      <c r="V43" s="64"/>
      <c r="W43" s="64"/>
      <c r="X43" s="64"/>
      <c r="Y43" s="64"/>
      <c r="Z43" s="64"/>
      <c r="AA43" s="64"/>
      <c r="AB43" s="64"/>
      <c r="AC43" s="64"/>
      <c r="AD43" s="64"/>
      <c r="AE43" s="75"/>
      <c r="AH43" s="64" ph="1">
        <v>6</v>
      </c>
      <c r="AI43" s="64" t="s" ph="1">
        <v>370</v>
      </c>
      <c r="AY43" s="64" t="s" ph="1">
        <v>216</v>
      </c>
      <c r="AZ43" s="64" t="s" ph="1">
        <v>367</v>
      </c>
    </row>
    <row r="44" spans="1:57" ph="1">
      <c r="R44" s="64"/>
      <c r="S44" s="64"/>
      <c r="T44" s="64"/>
      <c r="U44" s="64"/>
      <c r="V44" s="64"/>
      <c r="W44" s="64"/>
      <c r="X44" s="64"/>
      <c r="Y44" s="64"/>
      <c r="Z44" s="64"/>
      <c r="AA44" s="64"/>
      <c r="AB44" s="64"/>
      <c r="AC44" s="64"/>
      <c r="AD44" s="64"/>
      <c r="AE44" s="75"/>
      <c r="AH44" s="64" ph="1">
        <v>7</v>
      </c>
      <c r="AI44" s="64" t="s" ph="1">
        <v>371</v>
      </c>
      <c r="AV44" s="64" t="s" ph="1">
        <v>217</v>
      </c>
      <c r="AY44" s="64" t="s" ph="1">
        <v>216</v>
      </c>
      <c r="AZ44" s="64" t="s" ph="1">
        <v>367</v>
      </c>
    </row>
    <row r="45" spans="1:57" ph="1">
      <c r="R45" s="64"/>
      <c r="S45" s="64"/>
      <c r="T45" s="64"/>
      <c r="U45" s="64"/>
      <c r="V45" s="64"/>
      <c r="W45" s="64"/>
      <c r="X45" s="64"/>
      <c r="Y45" s="64"/>
      <c r="Z45" s="64"/>
      <c r="AA45" s="64"/>
      <c r="AB45" s="64"/>
      <c r="AC45" s="64"/>
      <c r="AD45" s="64"/>
      <c r="AE45" s="75"/>
      <c r="AH45" s="64" ph="1">
        <v>8</v>
      </c>
      <c r="AI45" s="64" t="s" ph="1">
        <v>372</v>
      </c>
      <c r="AV45" s="64" t="s" ph="1">
        <v>217</v>
      </c>
      <c r="AY45" s="64" t="s" ph="1">
        <v>216</v>
      </c>
      <c r="AZ45" s="64" t="s" ph="1">
        <v>367</v>
      </c>
    </row>
    <row r="46" spans="1:57" ph="1">
      <c r="R46" s="64"/>
      <c r="S46" s="64"/>
      <c r="T46" s="64"/>
      <c r="U46" s="64"/>
      <c r="V46" s="64"/>
      <c r="W46" s="64"/>
      <c r="X46" s="64"/>
      <c r="Y46" s="64"/>
      <c r="Z46" s="64"/>
      <c r="AA46" s="64"/>
      <c r="AB46" s="64"/>
      <c r="AC46" s="64"/>
      <c r="AD46" s="64"/>
      <c r="AE46" s="75"/>
      <c r="AH46" s="64" ph="1">
        <v>9</v>
      </c>
      <c r="AI46" s="64" t="s" ph="1">
        <v>373</v>
      </c>
      <c r="AV46" s="64" t="s" ph="1">
        <v>217</v>
      </c>
      <c r="AY46" s="64" t="s" ph="1">
        <v>216</v>
      </c>
      <c r="AZ46" s="64" t="s" ph="1">
        <v>367</v>
      </c>
    </row>
    <row r="47" spans="1:57" ph="1">
      <c r="R47" s="64"/>
      <c r="S47" s="64"/>
      <c r="T47" s="64"/>
      <c r="U47" s="64"/>
      <c r="V47" s="64"/>
      <c r="W47" s="64"/>
      <c r="X47" s="64"/>
      <c r="Y47" s="64"/>
      <c r="Z47" s="64"/>
      <c r="AA47" s="64"/>
      <c r="AB47" s="64"/>
      <c r="AC47" s="64"/>
      <c r="AD47" s="64"/>
      <c r="AE47" s="75"/>
      <c r="AH47" s="64" ph="1">
        <v>10</v>
      </c>
      <c r="AI47" s="64" t="s" ph="1">
        <v>374</v>
      </c>
      <c r="AV47" s="64" t="s" ph="1">
        <v>217</v>
      </c>
      <c r="AY47" s="64" t="s" ph="1">
        <v>216</v>
      </c>
      <c r="AZ47" s="64" t="s" ph="1">
        <v>367</v>
      </c>
    </row>
    <row r="48" spans="1:57" ph="1">
      <c r="R48" s="64"/>
      <c r="S48" s="64"/>
      <c r="T48" s="64"/>
      <c r="U48" s="64"/>
      <c r="V48" s="64"/>
      <c r="W48" s="64"/>
      <c r="X48" s="64"/>
      <c r="Y48" s="64"/>
      <c r="Z48" s="64"/>
      <c r="AA48" s="64"/>
      <c r="AB48" s="64"/>
      <c r="AC48" s="64"/>
      <c r="AD48" s="64"/>
      <c r="AE48" s="75"/>
      <c r="AZ48" s="64" t="s" ph="1">
        <v>575</v>
      </c>
    </row>
    <row r="49" spans="16:52" ph="1">
      <c r="R49" s="64"/>
      <c r="S49" s="64"/>
      <c r="T49" s="64"/>
      <c r="U49" s="64"/>
      <c r="V49" s="64"/>
      <c r="W49" s="64"/>
      <c r="X49" s="64"/>
      <c r="Y49" s="64"/>
      <c r="Z49" s="64"/>
      <c r="AA49" s="64"/>
      <c r="AB49" s="64"/>
      <c r="AC49" s="64"/>
      <c r="AD49" s="64"/>
      <c r="AE49" s="75"/>
      <c r="AG49" s="64" t="s" ph="1">
        <v>232</v>
      </c>
      <c r="AI49" s="64" t="s" ph="1">
        <v>209</v>
      </c>
      <c r="AJ49" s="64" t="s" ph="1">
        <v>210</v>
      </c>
      <c r="AK49" s="64" t="s" ph="1">
        <v>211</v>
      </c>
      <c r="AM49" s="64" t="s" ph="1">
        <v>210</v>
      </c>
      <c r="AN49" s="64" t="s" ph="1">
        <v>211</v>
      </c>
      <c r="AO49" s="64" t="s" ph="1">
        <v>212</v>
      </c>
      <c r="AP49" s="64" t="s" ph="1">
        <v>210</v>
      </c>
      <c r="AQ49" s="64" t="s" ph="1">
        <v>211</v>
      </c>
      <c r="AR49" s="64" t="s" ph="1">
        <v>212</v>
      </c>
      <c r="AS49" s="64" t="s" ph="1">
        <v>210</v>
      </c>
      <c r="AT49" s="64" t="s" ph="1">
        <v>211</v>
      </c>
      <c r="AU49" s="64" t="s" ph="1">
        <v>212</v>
      </c>
      <c r="AV49" s="64" t="s" ph="1">
        <v>210</v>
      </c>
      <c r="AW49" s="64" t="s" ph="1">
        <v>211</v>
      </c>
      <c r="AX49" s="64" t="s" ph="1">
        <v>212</v>
      </c>
      <c r="AY49" s="64" t="s" ph="1">
        <v>211</v>
      </c>
      <c r="AZ49" s="64" t="s" ph="1">
        <v>213</v>
      </c>
    </row>
    <row r="50" spans="16:52" ph="1">
      <c r="R50" s="64"/>
      <c r="S50" s="64"/>
      <c r="T50" s="64"/>
      <c r="U50" s="64"/>
      <c r="V50" s="64"/>
      <c r="W50" s="64"/>
      <c r="X50" s="64"/>
      <c r="Y50" s="64"/>
      <c r="Z50" s="64"/>
      <c r="AA50" s="64"/>
      <c r="AB50" s="64"/>
      <c r="AC50" s="64"/>
      <c r="AD50" s="64"/>
      <c r="AE50" s="75"/>
      <c r="AH50" s="64" ph="1">
        <v>1</v>
      </c>
      <c r="AI50" s="64" t="s" ph="1">
        <v>375</v>
      </c>
      <c r="AY50" s="64" t="s" ph="1">
        <v>216</v>
      </c>
      <c r="AZ50" s="64" t="s" ph="1">
        <v>367</v>
      </c>
    </row>
    <row r="51" spans="16:52" ph="1">
      <c r="R51" s="64"/>
      <c r="S51" s="64"/>
      <c r="T51" s="64"/>
      <c r="U51" s="64"/>
      <c r="V51" s="64"/>
      <c r="W51" s="64"/>
      <c r="X51" s="64"/>
      <c r="Y51" s="64"/>
      <c r="Z51" s="64"/>
      <c r="AA51" s="64"/>
      <c r="AB51" s="64"/>
      <c r="AC51" s="64"/>
      <c r="AD51" s="64"/>
      <c r="AE51" s="75"/>
      <c r="AH51" s="64" ph="1">
        <v>2</v>
      </c>
      <c r="AI51" s="64" t="s" ph="1">
        <v>376</v>
      </c>
      <c r="AY51" s="64" t="s" ph="1">
        <v>216</v>
      </c>
      <c r="AZ51" s="64" t="s" ph="1">
        <v>367</v>
      </c>
    </row>
    <row r="52" spans="16:52" ph="1">
      <c r="R52" s="64"/>
      <c r="S52" s="64"/>
      <c r="T52" s="64"/>
      <c r="U52" s="64"/>
      <c r="V52" s="64"/>
      <c r="W52" s="64"/>
      <c r="X52" s="64"/>
      <c r="Y52" s="64"/>
      <c r="Z52" s="64"/>
      <c r="AA52" s="64"/>
      <c r="AB52" s="64"/>
      <c r="AC52" s="64"/>
      <c r="AD52" s="64"/>
      <c r="AE52" s="75"/>
      <c r="AH52" s="64" ph="1">
        <v>3</v>
      </c>
      <c r="AI52" s="64" t="s" ph="1">
        <v>377</v>
      </c>
      <c r="AJ52" s="64" t="s" ph="1">
        <v>334</v>
      </c>
      <c r="AK52" s="64" t="s" ph="1">
        <v>228</v>
      </c>
      <c r="AM52" s="64" t="s" ph="1">
        <v>336</v>
      </c>
      <c r="AN52" s="64" t="s" ph="1">
        <v>300</v>
      </c>
      <c r="AO52" s="64" t="s" ph="1">
        <v>233</v>
      </c>
      <c r="AP52" s="64" t="s" ph="1">
        <v>570</v>
      </c>
      <c r="AQ52" s="64" t="s" ph="1">
        <v>282</v>
      </c>
      <c r="AR52" s="64" t="s" ph="1">
        <v>233</v>
      </c>
      <c r="AY52" s="64" t="s" ph="1">
        <v>216</v>
      </c>
      <c r="AZ52" s="64" t="s" ph="1">
        <v>576</v>
      </c>
    </row>
    <row r="53" spans="16:52" ph="1">
      <c r="R53" s="64"/>
      <c r="S53" s="64"/>
      <c r="T53" s="64"/>
      <c r="U53" s="64"/>
      <c r="W53" s="64"/>
      <c r="X53" s="64"/>
      <c r="Y53" s="64"/>
      <c r="Z53" s="64"/>
      <c r="AA53" s="64"/>
      <c r="AB53" s="64"/>
      <c r="AC53" s="64"/>
      <c r="AD53" s="64"/>
      <c r="AH53" s="64" ph="1">
        <v>4</v>
      </c>
      <c r="AI53" s="64" t="s" ph="1">
        <v>378</v>
      </c>
      <c r="AY53" s="64" t="s" ph="1">
        <v>216</v>
      </c>
      <c r="AZ53" s="64" t="s" ph="1">
        <v>367</v>
      </c>
    </row>
    <row r="54" spans="16:52" ph="1">
      <c r="R54" s="64"/>
      <c r="S54" s="64"/>
      <c r="T54" s="64"/>
      <c r="U54" s="64"/>
      <c r="W54" s="64"/>
      <c r="X54" s="64"/>
      <c r="Y54" s="64"/>
      <c r="Z54" s="64"/>
      <c r="AA54" s="64"/>
      <c r="AC54" s="64"/>
      <c r="AD54" s="64"/>
      <c r="AH54" s="64" ph="1">
        <v>5</v>
      </c>
      <c r="AI54" s="64" t="s" ph="1">
        <v>379</v>
      </c>
      <c r="AJ54" s="64" t="s" ph="1">
        <v>334</v>
      </c>
      <c r="AK54" s="64" t="s" ph="1">
        <v>219</v>
      </c>
      <c r="AM54" s="64" t="s" ph="1">
        <v>336</v>
      </c>
      <c r="AN54" s="64" t="s" ph="1">
        <v>224</v>
      </c>
      <c r="AO54" s="64" t="s" ph="1">
        <v>233</v>
      </c>
      <c r="AP54" s="64" t="s" ph="1">
        <v>570</v>
      </c>
      <c r="AQ54" s="64" t="s" ph="1">
        <v>240</v>
      </c>
      <c r="AR54" s="64" t="s" ph="1">
        <v>233</v>
      </c>
      <c r="AY54" s="64" t="s" ph="1">
        <v>216</v>
      </c>
      <c r="AZ54" s="64" t="s" ph="1">
        <v>234</v>
      </c>
    </row>
    <row r="55" spans="16:52" ph="1">
      <c r="R55" s="64"/>
      <c r="S55" s="64"/>
      <c r="T55" s="64"/>
      <c r="U55" s="64"/>
      <c r="V55" s="64"/>
      <c r="W55" s="64"/>
      <c r="X55" s="64"/>
      <c r="Z55" s="64"/>
      <c r="AC55" s="64"/>
      <c r="AD55" s="64"/>
      <c r="AE55" s="75"/>
      <c r="AH55" s="64" ph="1">
        <v>6</v>
      </c>
      <c r="AI55" s="64" t="s" ph="1">
        <v>380</v>
      </c>
      <c r="AY55" s="64" t="s" ph="1">
        <v>216</v>
      </c>
      <c r="AZ55" s="64" t="s" ph="1">
        <v>367</v>
      </c>
    </row>
    <row r="56" spans="16:52" ph="1">
      <c r="P56" s="64" ph="1">
        <v>20260804</v>
      </c>
      <c r="R56" s="64"/>
      <c r="S56" s="64"/>
      <c r="T56" s="64"/>
      <c r="U56" s="64"/>
      <c r="V56" s="64"/>
      <c r="W56" s="64"/>
      <c r="X56" s="64"/>
      <c r="Z56" s="64"/>
      <c r="AA56" s="64"/>
      <c r="AB56" s="64"/>
      <c r="AC56" s="64"/>
      <c r="AD56" s="64"/>
      <c r="AE56" s="75"/>
      <c r="AH56" s="64" ph="1">
        <v>7</v>
      </c>
      <c r="AI56" s="64" t="s" ph="1">
        <v>381</v>
      </c>
      <c r="AY56" s="64" t="s" ph="1">
        <v>216</v>
      </c>
      <c r="AZ56" s="64" t="s" ph="1">
        <v>367</v>
      </c>
    </row>
    <row r="57" spans="16:52" ph="1">
      <c r="R57" s="64"/>
      <c r="S57" s="64"/>
      <c r="T57" s="64"/>
      <c r="U57" s="64"/>
      <c r="V57" s="64"/>
      <c r="W57" s="64"/>
      <c r="AA57" s="64"/>
      <c r="AB57" s="64"/>
      <c r="AC57" s="64"/>
      <c r="AD57" s="64"/>
      <c r="AE57" s="75"/>
      <c r="AH57" s="64" ph="1">
        <v>8</v>
      </c>
      <c r="AI57" s="64" t="s" ph="1">
        <v>382</v>
      </c>
      <c r="AY57" s="64" t="s" ph="1">
        <v>216</v>
      </c>
      <c r="AZ57" s="64" t="s" ph="1">
        <v>367</v>
      </c>
    </row>
    <row r="58" spans="16:52" ph="1">
      <c r="P58" s="64"/>
      <c r="AN58" s="64" t="s" ph="1">
        <v>217</v>
      </c>
      <c r="AZ58" s="64" t="s" ph="1">
        <v>577</v>
      </c>
    </row>
    <row r="59" spans="16:52" ph="1">
      <c r="V59" s="64"/>
      <c r="AG59" s="64" t="s" ph="1">
        <v>235</v>
      </c>
      <c r="AI59" s="64" t="s" ph="1">
        <v>209</v>
      </c>
      <c r="AJ59" s="64" t="s" ph="1">
        <v>210</v>
      </c>
      <c r="AK59" s="64" t="s" ph="1">
        <v>211</v>
      </c>
      <c r="AM59" s="64" t="s" ph="1">
        <v>210</v>
      </c>
      <c r="AN59" s="64" t="s" ph="1">
        <v>211</v>
      </c>
      <c r="AO59" s="64" t="s" ph="1">
        <v>212</v>
      </c>
      <c r="AP59" s="64" t="s" ph="1">
        <v>210</v>
      </c>
      <c r="AQ59" s="64" t="s" ph="1">
        <v>211</v>
      </c>
      <c r="AR59" s="64" t="s" ph="1">
        <v>212</v>
      </c>
      <c r="AS59" s="64" t="s" ph="1">
        <v>210</v>
      </c>
      <c r="AT59" s="64" t="s" ph="1">
        <v>211</v>
      </c>
      <c r="AU59" s="64" t="s" ph="1">
        <v>212</v>
      </c>
      <c r="AV59" s="64" t="s" ph="1">
        <v>210</v>
      </c>
      <c r="AW59" s="64" t="s" ph="1">
        <v>211</v>
      </c>
      <c r="AX59" s="64" t="s" ph="1">
        <v>212</v>
      </c>
      <c r="AY59" s="64" t="s" ph="1">
        <v>211</v>
      </c>
      <c r="AZ59" s="64" t="s" ph="1">
        <v>213</v>
      </c>
    </row>
    <row r="60" spans="16:52" ph="1">
      <c r="R60" s="64"/>
      <c r="S60" s="64"/>
      <c r="T60" s="64"/>
      <c r="AH60" s="64" ph="1">
        <v>1</v>
      </c>
      <c r="AI60" s="64" t="s" ph="1">
        <v>383</v>
      </c>
      <c r="AY60" s="64" t="s" ph="1">
        <v>216</v>
      </c>
      <c r="AZ60" s="64" t="s" ph="1">
        <v>367</v>
      </c>
    </row>
    <row r="61" spans="16:52" ph="1">
      <c r="AH61" s="64" ph="1">
        <v>2</v>
      </c>
      <c r="AI61" s="64" t="s" ph="1">
        <v>384</v>
      </c>
      <c r="AS61" s="64" t="s" ph="1">
        <v>217</v>
      </c>
      <c r="AY61" s="64" t="s" ph="1">
        <v>216</v>
      </c>
      <c r="AZ61" s="64" t="s" ph="1">
        <v>367</v>
      </c>
    </row>
    <row r="62" spans="16:52" ph="1">
      <c r="AZ62" s="64" t="s" ph="1">
        <v>385</v>
      </c>
    </row>
    <row r="63" spans="16:52" ph="1">
      <c r="AG63" s="64" t="s" ph="1">
        <v>238</v>
      </c>
      <c r="AI63" s="64" t="s" ph="1">
        <v>209</v>
      </c>
      <c r="AJ63" s="64" t="s" ph="1">
        <v>210</v>
      </c>
      <c r="AK63" s="64" t="s" ph="1">
        <v>211</v>
      </c>
      <c r="AM63" s="64" t="s" ph="1">
        <v>210</v>
      </c>
      <c r="AN63" s="64" t="s" ph="1">
        <v>211</v>
      </c>
      <c r="AO63" s="64" t="s" ph="1">
        <v>212</v>
      </c>
      <c r="AP63" s="64" t="s" ph="1">
        <v>210</v>
      </c>
      <c r="AQ63" s="64" t="s" ph="1">
        <v>211</v>
      </c>
      <c r="AR63" s="64" t="s" ph="1">
        <v>212</v>
      </c>
      <c r="AS63" s="64" t="s" ph="1">
        <v>210</v>
      </c>
      <c r="AT63" s="64" t="s" ph="1">
        <v>211</v>
      </c>
      <c r="AU63" s="64" t="s" ph="1">
        <v>212</v>
      </c>
      <c r="AV63" s="64" t="s" ph="1">
        <v>210</v>
      </c>
      <c r="AW63" s="64" t="s" ph="1">
        <v>211</v>
      </c>
      <c r="AX63" s="64" t="s" ph="1">
        <v>212</v>
      </c>
      <c r="AY63" s="64" t="s" ph="1">
        <v>211</v>
      </c>
      <c r="AZ63" s="64" t="s" ph="1">
        <v>213</v>
      </c>
    </row>
    <row r="64" spans="16:52" ph="1">
      <c r="AH64" s="64" ph="1">
        <v>1</v>
      </c>
      <c r="AI64" s="64" t="s" ph="1">
        <v>386</v>
      </c>
      <c r="AJ64" s="64" t="s" ph="1">
        <v>387</v>
      </c>
      <c r="AK64" s="64" t="s" ph="1">
        <v>388</v>
      </c>
      <c r="AY64" s="64" t="s" ph="1">
        <v>216</v>
      </c>
      <c r="AZ64" s="64" t="s" ph="1">
        <v>388</v>
      </c>
    </row>
    <row r="65" spans="33:52" ph="1">
      <c r="AH65" s="64" ph="1">
        <v>2</v>
      </c>
      <c r="AI65" s="64" t="s" ph="1">
        <v>389</v>
      </c>
      <c r="AY65" s="64" t="s" ph="1">
        <v>216</v>
      </c>
      <c r="AZ65" s="64" t="s" ph="1">
        <v>367</v>
      </c>
    </row>
    <row r="66" spans="33:52" ph="1">
      <c r="AH66" s="64" ph="1">
        <v>3</v>
      </c>
      <c r="AI66" s="64" t="s" ph="1">
        <v>390</v>
      </c>
      <c r="AY66" s="64" t="s" ph="1">
        <v>216</v>
      </c>
      <c r="AZ66" s="64" t="s" ph="1">
        <v>367</v>
      </c>
    </row>
    <row r="67" spans="33:52" ph="1">
      <c r="AH67" s="64" ph="1">
        <v>4</v>
      </c>
      <c r="AI67" s="64" t="s" ph="1">
        <v>391</v>
      </c>
      <c r="AY67" s="64" t="s" ph="1">
        <v>216</v>
      </c>
      <c r="AZ67" s="64" t="s" ph="1">
        <v>367</v>
      </c>
    </row>
    <row r="68" spans="33:52" ph="1">
      <c r="AH68" s="64" ph="1">
        <v>5</v>
      </c>
      <c r="AI68" s="64" t="s" ph="1">
        <v>392</v>
      </c>
      <c r="AY68" s="64" t="s" ph="1">
        <v>216</v>
      </c>
      <c r="AZ68" s="64" t="s" ph="1">
        <v>367</v>
      </c>
    </row>
    <row r="69" spans="33:52" ph="1">
      <c r="AH69" s="64" ph="1">
        <v>6</v>
      </c>
      <c r="AI69" s="64" t="s" ph="1">
        <v>393</v>
      </c>
      <c r="AY69" s="64" t="s" ph="1">
        <v>216</v>
      </c>
      <c r="AZ69" s="64" t="s" ph="1">
        <v>367</v>
      </c>
    </row>
    <row r="70" spans="33:52" ph="1">
      <c r="AI70" s="64" t="s" ph="1">
        <v>394</v>
      </c>
      <c r="AY70" s="64" t="s" ph="1">
        <v>216</v>
      </c>
      <c r="AZ70" s="64" t="s" ph="1">
        <v>367</v>
      </c>
    </row>
    <row r="71" spans="33:52" ph="1">
      <c r="AH71" s="64" ph="1">
        <v>7</v>
      </c>
      <c r="AI71" s="64" t="s" ph="1">
        <v>395</v>
      </c>
      <c r="AJ71" s="64" t="s" ph="1">
        <v>334</v>
      </c>
      <c r="AK71" s="64" t="s" ph="1">
        <v>228</v>
      </c>
      <c r="AM71" s="64" t="s" ph="1">
        <v>336</v>
      </c>
      <c r="AN71" s="64" t="s" ph="1">
        <v>228</v>
      </c>
      <c r="AO71" s="64" t="s" ph="1">
        <v>396</v>
      </c>
      <c r="AP71" s="64" t="s" ph="1">
        <v>570</v>
      </c>
      <c r="AQ71" s="64" t="s" ph="1">
        <v>219</v>
      </c>
      <c r="AR71" s="64" t="s" ph="1">
        <v>396</v>
      </c>
      <c r="AY71" s="64" t="s" ph="1">
        <v>216</v>
      </c>
      <c r="AZ71" s="64" t="s" ph="1">
        <v>578</v>
      </c>
    </row>
    <row r="72" spans="33:52" ph="1">
      <c r="AZ72" s="64" t="s" ph="1">
        <v>579</v>
      </c>
    </row>
    <row r="73" spans="33:52" ph="1">
      <c r="AG73" s="64" t="s" ph="1">
        <v>241</v>
      </c>
      <c r="AI73" s="64" t="s" ph="1">
        <v>209</v>
      </c>
      <c r="AJ73" s="64" t="s" ph="1">
        <v>210</v>
      </c>
      <c r="AK73" s="64" t="s" ph="1">
        <v>211</v>
      </c>
      <c r="AM73" s="64" t="s" ph="1">
        <v>210</v>
      </c>
      <c r="AN73" s="64" t="s" ph="1">
        <v>211</v>
      </c>
      <c r="AO73" s="64" t="s" ph="1">
        <v>212</v>
      </c>
      <c r="AP73" s="64" t="s" ph="1">
        <v>210</v>
      </c>
      <c r="AQ73" s="64" t="s" ph="1">
        <v>211</v>
      </c>
      <c r="AR73" s="64" t="s" ph="1">
        <v>212</v>
      </c>
      <c r="AS73" s="64" t="s" ph="1">
        <v>210</v>
      </c>
      <c r="AT73" s="64" t="s" ph="1">
        <v>211</v>
      </c>
      <c r="AU73" s="64" t="s" ph="1">
        <v>212</v>
      </c>
      <c r="AV73" s="64" t="s" ph="1">
        <v>210</v>
      </c>
      <c r="AW73" s="64" t="s" ph="1">
        <v>211</v>
      </c>
      <c r="AX73" s="64" t="s" ph="1">
        <v>212</v>
      </c>
      <c r="AY73" s="64" t="s" ph="1">
        <v>211</v>
      </c>
      <c r="AZ73" s="64" t="s" ph="1">
        <v>213</v>
      </c>
    </row>
    <row r="74" spans="33:52" ph="1">
      <c r="AH74" s="64" ph="1">
        <v>1</v>
      </c>
      <c r="AI74" s="64" t="s" ph="1">
        <v>397</v>
      </c>
      <c r="AJ74" s="64" t="s" ph="1">
        <v>242</v>
      </c>
      <c r="AK74" s="64" t="s" ph="1">
        <v>224</v>
      </c>
      <c r="AM74" s="64" t="s" ph="1">
        <v>244</v>
      </c>
      <c r="AN74" s="64" t="s" ph="1">
        <v>254</v>
      </c>
      <c r="AO74" s="64" t="s" ph="1">
        <v>243</v>
      </c>
      <c r="AP74" s="64" t="s" ph="1">
        <v>245</v>
      </c>
      <c r="AQ74" s="64" t="s" ph="1">
        <v>222</v>
      </c>
      <c r="AR74" s="64" t="s" ph="1">
        <v>243</v>
      </c>
      <c r="AS74" s="64" t="s" ph="1">
        <v>215</v>
      </c>
      <c r="AT74" s="64" t="s" ph="1">
        <v>217</v>
      </c>
      <c r="AV74" s="64" t="s" ph="1">
        <v>398</v>
      </c>
      <c r="AW74" s="64" t="s" ph="1">
        <v>399</v>
      </c>
      <c r="AX74" s="64" t="s" ph="1">
        <v>400</v>
      </c>
      <c r="AY74" s="64" t="s" ph="1">
        <v>216</v>
      </c>
      <c r="AZ74" s="64" t="s" ph="1">
        <v>401</v>
      </c>
    </row>
    <row r="75" spans="33:52" ph="1">
      <c r="AJ75" s="64" t="s" ph="1">
        <v>247</v>
      </c>
      <c r="AK75" s="64" t="s" ph="1">
        <v>300</v>
      </c>
      <c r="AM75" s="64" t="s" ph="1">
        <v>245</v>
      </c>
      <c r="AN75" s="64" t="s" ph="1">
        <v>225</v>
      </c>
      <c r="AO75" s="64" t="s" ph="1">
        <v>243</v>
      </c>
      <c r="AS75" s="64" t="s" ph="1">
        <v>215</v>
      </c>
      <c r="AT75" s="64" t="s" ph="1">
        <v>246</v>
      </c>
    </row>
    <row r="76" spans="33:52" ph="1">
      <c r="AJ76" s="64" t="s" ph="1">
        <v>247</v>
      </c>
      <c r="AK76" s="64" t="s" ph="1">
        <v>240</v>
      </c>
      <c r="AM76" s="64" t="s" ph="1">
        <v>245</v>
      </c>
      <c r="AN76" s="64" t="s" ph="1">
        <v>228</v>
      </c>
      <c r="AO76" s="64" t="s" ph="1">
        <v>243</v>
      </c>
      <c r="AS76" s="64" t="s" ph="1">
        <v>215</v>
      </c>
      <c r="AT76" s="64" t="s" ph="1">
        <v>246</v>
      </c>
    </row>
    <row r="77" spans="33:52" ph="1">
      <c r="AJ77" s="64" t="s" ph="1">
        <v>283</v>
      </c>
      <c r="AK77" s="64" t="s" ph="1">
        <v>240</v>
      </c>
      <c r="AM77" s="64" t="s" ph="1">
        <v>284</v>
      </c>
      <c r="AN77" s="64" t="s" ph="1">
        <v>223</v>
      </c>
      <c r="AO77" s="64" t="s" ph="1">
        <v>243</v>
      </c>
      <c r="AS77" s="64" t="s" ph="1">
        <v>215</v>
      </c>
      <c r="AT77" s="64" t="s" ph="1">
        <v>285</v>
      </c>
    </row>
    <row r="78" spans="33:52" ph="1">
      <c r="AH78" s="64" ph="1">
        <v>2</v>
      </c>
      <c r="AI78" s="64" t="s" ph="1">
        <v>249</v>
      </c>
      <c r="AJ78" s="64" t="s" ph="1">
        <v>250</v>
      </c>
      <c r="AK78" s="64" t="s" ph="1">
        <v>219</v>
      </c>
      <c r="AM78" s="64" t="s" ph="1">
        <v>251</v>
      </c>
      <c r="AN78" s="64" t="s" ph="1">
        <v>254</v>
      </c>
      <c r="AO78" s="64" t="s" ph="1">
        <v>243</v>
      </c>
      <c r="AP78" s="64" t="s" ph="1">
        <v>252</v>
      </c>
      <c r="AQ78" s="64" t="s" ph="1">
        <v>298</v>
      </c>
      <c r="AR78" s="64" t="s" ph="1">
        <v>243</v>
      </c>
      <c r="AS78" s="64" t="s" ph="1">
        <v>253</v>
      </c>
      <c r="AT78" s="64" t="s" ph="1">
        <v>254</v>
      </c>
      <c r="AU78" s="64" t="s" ph="1">
        <v>243</v>
      </c>
      <c r="AV78" s="64" t="s" ph="1">
        <v>255</v>
      </c>
      <c r="AW78" s="64" t="s" ph="1">
        <v>243</v>
      </c>
      <c r="AY78" s="64" t="s" ph="1">
        <v>216</v>
      </c>
      <c r="AZ78" s="64" t="s" ph="1">
        <v>402</v>
      </c>
    </row>
    <row r="79" spans="33:52" ph="1">
      <c r="AJ79" s="64" t="s" ph="1">
        <v>245</v>
      </c>
      <c r="AK79" s="64" t="s" ph="1">
        <v>256</v>
      </c>
      <c r="AM79" s="64" t="s" ph="1">
        <v>257</v>
      </c>
      <c r="AN79" s="64" t="s" ph="1">
        <v>225</v>
      </c>
      <c r="AO79" s="64" t="s" ph="1">
        <v>243</v>
      </c>
      <c r="AP79" s="64" t="s" ph="1">
        <v>258</v>
      </c>
      <c r="AQ79" s="64" t="s" ph="1">
        <v>223</v>
      </c>
      <c r="AR79" s="64" t="s" ph="1">
        <v>259</v>
      </c>
      <c r="AS79" s="64" t="s" ph="1">
        <v>215</v>
      </c>
      <c r="AT79" s="64" t="s" ph="1">
        <v>260</v>
      </c>
      <c r="AV79" s="64" t="s" ph="1">
        <v>403</v>
      </c>
      <c r="AW79" s="64" t="s" ph="1">
        <v>302</v>
      </c>
      <c r="AX79" s="64" t="s" ph="1">
        <v>400</v>
      </c>
    </row>
    <row r="80" spans="33:52" ph="1">
      <c r="AH80" s="64" ph="1">
        <v>3</v>
      </c>
      <c r="AI80" s="64" t="s" ph="1">
        <v>261</v>
      </c>
      <c r="AJ80" s="64" t="s" ph="1">
        <v>262</v>
      </c>
      <c r="AK80" s="64" t="s" ph="1">
        <v>263</v>
      </c>
      <c r="AM80" s="64" t="s" ph="1">
        <v>264</v>
      </c>
      <c r="AN80" s="64" t="s" ph="1">
        <v>254</v>
      </c>
      <c r="AO80" s="64" t="s" ph="1">
        <v>243</v>
      </c>
      <c r="AP80" s="64" t="s" ph="1">
        <v>265</v>
      </c>
      <c r="AQ80" s="64" t="s" ph="1">
        <v>228</v>
      </c>
      <c r="AR80" s="64" t="s" ph="1">
        <v>243</v>
      </c>
      <c r="AS80" s="64" t="s" ph="1">
        <v>266</v>
      </c>
      <c r="AT80" s="64" t="s" ph="1">
        <v>227</v>
      </c>
      <c r="AU80" s="64" t="s" ph="1">
        <v>243</v>
      </c>
      <c r="AV80" s="64" t="s" ph="1">
        <v>267</v>
      </c>
      <c r="AW80" s="64" t="s" ph="1">
        <v>243</v>
      </c>
      <c r="AY80" s="64" t="s" ph="1">
        <v>216</v>
      </c>
      <c r="AZ80" s="64" t="s" ph="1">
        <v>404</v>
      </c>
    </row>
    <row r="81" spans="34:52" ph="1">
      <c r="AJ81" s="64" t="s" ph="1">
        <v>268</v>
      </c>
      <c r="AK81" s="64" t="s" ph="1">
        <v>222</v>
      </c>
      <c r="AM81" s="64" t="s" ph="1">
        <v>269</v>
      </c>
      <c r="AN81" s="64" t="s" ph="1">
        <v>225</v>
      </c>
      <c r="AO81" s="64" t="s" ph="1">
        <v>243</v>
      </c>
      <c r="AP81" s="64" t="s" ph="1">
        <v>270</v>
      </c>
      <c r="AQ81" s="64" t="s" ph="1">
        <v>254</v>
      </c>
      <c r="AR81" s="64" t="s" ph="1">
        <v>243</v>
      </c>
      <c r="AS81" s="64" t="s" ph="1">
        <v>271</v>
      </c>
      <c r="AT81" s="64" t="s" ph="1">
        <v>272</v>
      </c>
      <c r="AU81" s="64" t="s" ph="1">
        <v>243</v>
      </c>
      <c r="AV81" s="64" t="s" ph="1">
        <v>273</v>
      </c>
    </row>
    <row r="82" spans="34:52" ph="1">
      <c r="AJ82" s="64" t="s" ph="1">
        <v>274</v>
      </c>
      <c r="AK82" s="64" t="s" ph="1">
        <v>222</v>
      </c>
      <c r="AM82" s="64" t="s" ph="1">
        <v>275</v>
      </c>
      <c r="AN82" s="64" t="s" ph="1">
        <v>272</v>
      </c>
      <c r="AO82" s="64" t="s" ph="1">
        <v>276</v>
      </c>
      <c r="AP82" s="64" t="s" ph="1">
        <v>277</v>
      </c>
      <c r="AQ82" s="64" t="s" ph="1">
        <v>254</v>
      </c>
      <c r="AR82" s="64" t="s" ph="1">
        <v>243</v>
      </c>
      <c r="AS82" s="64" t="s" ph="1">
        <v>278</v>
      </c>
      <c r="AT82" s="64" t="s" ph="1">
        <v>229</v>
      </c>
      <c r="AU82" s="64" t="s" ph="1">
        <v>243</v>
      </c>
      <c r="AV82" s="64" t="s" ph="1">
        <v>403</v>
      </c>
      <c r="AW82" s="64" t="s" ph="1">
        <v>303</v>
      </c>
      <c r="AX82" s="64" t="s" ph="1">
        <v>400</v>
      </c>
    </row>
    <row r="83" spans="34:52" ph="1">
      <c r="AJ83" s="64" t="s" ph="1">
        <v>279</v>
      </c>
      <c r="AK83" s="64" t="s" ph="1">
        <v>296</v>
      </c>
      <c r="AM83" s="64" t="s" ph="1">
        <v>280</v>
      </c>
      <c r="AN83" s="64" t="s" ph="1">
        <v>228</v>
      </c>
      <c r="AO83" s="64" t="s" ph="1">
        <v>259</v>
      </c>
      <c r="AP83" s="64" t="s" ph="1">
        <v>281</v>
      </c>
      <c r="AQ83" s="64" t="s" ph="1">
        <v>282</v>
      </c>
      <c r="AR83" s="64" t="s" ph="1">
        <v>259</v>
      </c>
      <c r="AS83" s="64" t="s" ph="1">
        <v>405</v>
      </c>
      <c r="AT83" s="64" t="s" ph="1">
        <v>254</v>
      </c>
      <c r="AU83" s="64" t="s" ph="1">
        <v>259</v>
      </c>
      <c r="AV83" s="64" t="s" ph="1">
        <v>406</v>
      </c>
      <c r="AW83" s="64" t="s" ph="1">
        <v>303</v>
      </c>
      <c r="AX83" s="64" t="s" ph="1">
        <v>407</v>
      </c>
    </row>
    <row r="84" spans="34:52" ph="1">
      <c r="AH84" s="64" ph="1">
        <v>4</v>
      </c>
      <c r="AI84" s="64" t="s" ph="1">
        <v>286</v>
      </c>
      <c r="AJ84" s="64" t="s" ph="1">
        <v>226</v>
      </c>
      <c r="AK84" s="64" t="s" ph="1">
        <v>229</v>
      </c>
      <c r="AM84" s="64" t="s" ph="1">
        <v>230</v>
      </c>
      <c r="AN84" s="64" t="s" ph="1">
        <v>223</v>
      </c>
      <c r="AO84" s="64" t="s" ph="1">
        <v>259</v>
      </c>
      <c r="AP84" s="64" t="s" ph="1">
        <v>288</v>
      </c>
      <c r="AQ84" s="64" t="s" ph="1">
        <v>222</v>
      </c>
      <c r="AR84" s="64" t="s" ph="1">
        <v>259</v>
      </c>
      <c r="AS84" s="64" t="s" ph="1">
        <v>288</v>
      </c>
      <c r="AT84" s="64" t="s" ph="1">
        <v>224</v>
      </c>
      <c r="AU84" s="64" t="s" ph="1">
        <v>259</v>
      </c>
      <c r="AY84" s="64" t="s" ph="1">
        <v>216</v>
      </c>
      <c r="AZ84" s="64" t="s" ph="1">
        <v>408</v>
      </c>
    </row>
    <row r="85" spans="34:52" ph="1">
      <c r="AJ85" s="64" t="s" ph="1">
        <v>218</v>
      </c>
      <c r="AK85" s="64" t="s" ph="1">
        <v>222</v>
      </c>
      <c r="AM85" s="64" t="s" ph="1">
        <v>409</v>
      </c>
      <c r="AN85" s="64" t="s" ph="1">
        <v>229</v>
      </c>
      <c r="AO85" s="64" t="s" ph="1">
        <v>259</v>
      </c>
      <c r="AP85" s="64" t="s" ph="1">
        <v>410</v>
      </c>
      <c r="AQ85" s="64" t="s" ph="1">
        <v>225</v>
      </c>
      <c r="AR85" s="64" t="s" ph="1">
        <v>259</v>
      </c>
      <c r="AS85" s="64" t="s" ph="1">
        <v>411</v>
      </c>
      <c r="AT85" s="64" t="s" ph="1">
        <v>225</v>
      </c>
      <c r="AU85" s="64" t="s" ph="1">
        <v>259</v>
      </c>
    </row>
    <row r="86" spans="34:52" ph="1">
      <c r="AJ86" s="64" t="s" ph="1">
        <v>412</v>
      </c>
      <c r="AK86" s="64" t="s" ph="1">
        <v>231</v>
      </c>
      <c r="AM86" s="64" t="s" ph="1">
        <v>413</v>
      </c>
      <c r="AN86" s="64" t="s" ph="1">
        <v>272</v>
      </c>
      <c r="AO86" s="64" t="s" ph="1">
        <v>259</v>
      </c>
      <c r="AP86" s="64" t="s" ph="1">
        <v>414</v>
      </c>
      <c r="AQ86" s="64" t="s" ph="1">
        <v>219</v>
      </c>
      <c r="AR86" s="64" t="s" ph="1">
        <v>259</v>
      </c>
      <c r="AS86" s="64" t="s" ph="1">
        <v>415</v>
      </c>
      <c r="AT86" s="64" t="s" ph="1">
        <v>237</v>
      </c>
      <c r="AU86" s="64" t="s" ph="1">
        <v>259</v>
      </c>
    </row>
    <row r="87" spans="34:52" ph="1">
      <c r="AJ87" s="64" t="s" ph="1">
        <v>416</v>
      </c>
      <c r="AK87" s="64" t="s" ph="1">
        <v>272</v>
      </c>
      <c r="AM87" s="64" t="s" ph="1">
        <v>403</v>
      </c>
      <c r="AN87" s="64" t="s" ph="1">
        <v>417</v>
      </c>
      <c r="AO87" s="64" t="s" ph="1">
        <v>400</v>
      </c>
    </row>
    <row r="88" spans="34:52" ph="1">
      <c r="AH88" s="64" ph="1">
        <v>5</v>
      </c>
      <c r="AI88" s="64" t="s" ph="1">
        <v>289</v>
      </c>
      <c r="AJ88" s="64" t="s" ph="1">
        <v>418</v>
      </c>
      <c r="AK88" s="64" t="s" ph="1">
        <v>272</v>
      </c>
      <c r="AM88" s="64" t="s" ph="1">
        <v>419</v>
      </c>
      <c r="AN88" s="64" t="s" ph="1">
        <v>272</v>
      </c>
      <c r="AO88" s="64" t="s" ph="1">
        <v>259</v>
      </c>
      <c r="AP88" s="64" t="s" ph="1">
        <v>420</v>
      </c>
      <c r="AQ88" s="64" t="s" ph="1">
        <v>222</v>
      </c>
      <c r="AR88" s="64" t="s" ph="1">
        <v>259</v>
      </c>
      <c r="AS88" s="64" t="s" ph="1">
        <v>421</v>
      </c>
      <c r="AT88" s="64" t="s" ph="1">
        <v>272</v>
      </c>
      <c r="AU88" s="64" t="s" ph="1">
        <v>259</v>
      </c>
      <c r="AV88" s="64" t="s" ph="1">
        <v>422</v>
      </c>
      <c r="AW88" s="64" t="s" ph="1">
        <v>227</v>
      </c>
      <c r="AX88" s="64" t="s" ph="1">
        <v>259</v>
      </c>
      <c r="AY88" s="64" t="s" ph="1">
        <v>216</v>
      </c>
      <c r="AZ88" s="64" t="s" ph="1">
        <v>423</v>
      </c>
    </row>
    <row r="89" spans="34:52" ph="1">
      <c r="AJ89" s="64" t="s" ph="1">
        <v>424</v>
      </c>
      <c r="AK89" s="64" t="s" ph="1">
        <v>225</v>
      </c>
      <c r="AM89" s="64" t="s" ph="1">
        <v>425</v>
      </c>
      <c r="AN89" s="64" t="s" ph="1">
        <v>228</v>
      </c>
      <c r="AO89" s="64" t="s" ph="1">
        <v>259</v>
      </c>
      <c r="AP89" s="64" t="s" ph="1">
        <v>426</v>
      </c>
      <c r="AQ89" s="64" t="s" ph="1">
        <v>237</v>
      </c>
      <c r="AR89" s="64" t="s" ph="1">
        <v>259</v>
      </c>
      <c r="AS89" s="64" t="s" ph="1">
        <v>427</v>
      </c>
      <c r="AT89" s="64" t="s" ph="1">
        <v>272</v>
      </c>
      <c r="AU89" s="64" t="s" ph="1">
        <v>259</v>
      </c>
      <c r="AV89" s="64" t="s" ph="1">
        <v>428</v>
      </c>
      <c r="AW89" s="64" t="s" ph="1">
        <v>254</v>
      </c>
      <c r="AX89" s="64" t="s" ph="1">
        <v>287</v>
      </c>
    </row>
    <row r="90" spans="34:52" ph="1">
      <c r="AJ90" s="64" t="s" ph="1">
        <v>429</v>
      </c>
      <c r="AK90" s="64" t="s" ph="1">
        <v>228</v>
      </c>
      <c r="AM90" s="64" t="s" ph="1">
        <v>430</v>
      </c>
      <c r="AN90" s="64" t="s" ph="1">
        <v>225</v>
      </c>
      <c r="AO90" s="64" t="s" ph="1">
        <v>259</v>
      </c>
      <c r="AP90" s="64" t="s" ph="1">
        <v>431</v>
      </c>
      <c r="AQ90" s="64" t="s" ph="1">
        <v>294</v>
      </c>
      <c r="AR90" s="64" t="s" ph="1">
        <v>259</v>
      </c>
      <c r="AS90" s="64" t="s" ph="1">
        <v>432</v>
      </c>
      <c r="AT90" s="64" t="s" ph="1">
        <v>282</v>
      </c>
      <c r="AU90" s="64" t="s" ph="1">
        <v>259</v>
      </c>
      <c r="AV90" s="64" t="s" ph="1">
        <v>433</v>
      </c>
      <c r="AW90" s="64" t="s" ph="1">
        <v>219</v>
      </c>
      <c r="AX90" s="64" t="s" ph="1">
        <v>259</v>
      </c>
    </row>
    <row r="91" spans="34:52" ph="1">
      <c r="AJ91" s="64" t="s" ph="1">
        <v>434</v>
      </c>
      <c r="AK91" s="64" t="s" ph="1">
        <v>272</v>
      </c>
      <c r="AM91" s="64" t="s" ph="1">
        <v>435</v>
      </c>
      <c r="AN91" s="64" t="s" ph="1">
        <v>239</v>
      </c>
      <c r="AO91" s="64" t="s" ph="1">
        <v>259</v>
      </c>
      <c r="AP91" s="64" t="s" ph="1">
        <v>436</v>
      </c>
      <c r="AQ91" s="64" t="s" ph="1">
        <v>219</v>
      </c>
      <c r="AS91" s="64" t="s" ph="1">
        <v>403</v>
      </c>
      <c r="AT91" s="64" t="s" ph="1">
        <v>399</v>
      </c>
      <c r="AU91" s="64" t="s" ph="1">
        <v>400</v>
      </c>
    </row>
    <row r="92" spans="34:52" ph="1">
      <c r="AH92" s="64" ph="1">
        <v>6</v>
      </c>
      <c r="AI92" s="64" t="s" ph="1">
        <v>437</v>
      </c>
      <c r="AJ92" s="64" t="s" ph="1">
        <v>438</v>
      </c>
      <c r="AK92" s="64" t="s" ph="1">
        <v>367</v>
      </c>
      <c r="AM92" s="64" t="s" ph="1">
        <v>439</v>
      </c>
      <c r="AN92" s="64" t="s" ph="1">
        <v>227</v>
      </c>
      <c r="AO92" s="64" t="s" ph="1">
        <v>259</v>
      </c>
      <c r="AP92" s="64" t="s" ph="1">
        <v>440</v>
      </c>
      <c r="AQ92" s="64" t="s" ph="1">
        <v>299</v>
      </c>
      <c r="AR92" s="64" t="s" ph="1">
        <v>259</v>
      </c>
      <c r="AS92" s="64" t="s" ph="1">
        <v>441</v>
      </c>
      <c r="AT92" s="64" t="s" ph="1">
        <v>272</v>
      </c>
      <c r="AU92" s="64" t="s" ph="1">
        <v>259</v>
      </c>
      <c r="AV92" s="64" t="s" ph="1">
        <v>442</v>
      </c>
      <c r="AW92" s="64" t="s" ph="1">
        <v>228</v>
      </c>
      <c r="AX92" s="64" t="s" ph="1">
        <v>259</v>
      </c>
      <c r="AY92" s="64" t="s" ph="1">
        <v>216</v>
      </c>
      <c r="AZ92" s="64" t="s" ph="1">
        <v>423</v>
      </c>
    </row>
    <row r="93" spans="34:52" ph="1">
      <c r="AJ93" s="64" t="s" ph="1">
        <v>443</v>
      </c>
      <c r="AK93" s="64" t="s" ph="1">
        <v>222</v>
      </c>
      <c r="AM93" s="64" t="s" ph="1">
        <v>444</v>
      </c>
      <c r="AN93" s="64" t="s" ph="1">
        <v>227</v>
      </c>
      <c r="AO93" s="64" t="s" ph="1">
        <v>259</v>
      </c>
      <c r="AP93" s="64" t="s" ph="1">
        <v>445</v>
      </c>
      <c r="AQ93" s="64" t="s" ph="1">
        <v>231</v>
      </c>
      <c r="AR93" s="64" t="s" ph="1">
        <v>259</v>
      </c>
      <c r="AS93" s="64" t="s" ph="1">
        <v>446</v>
      </c>
      <c r="AT93" s="64" t="s" ph="1">
        <v>237</v>
      </c>
      <c r="AU93" s="64" t="s" ph="1">
        <v>259</v>
      </c>
      <c r="AV93" s="64" t="s" ph="1">
        <v>447</v>
      </c>
      <c r="AW93" s="64" t="s" ph="1">
        <v>231</v>
      </c>
      <c r="AX93" s="64" t="s" ph="1">
        <v>259</v>
      </c>
    </row>
    <row r="94" spans="34:52" ph="1">
      <c r="AJ94" s="64" t="s" ph="1">
        <v>448</v>
      </c>
      <c r="AK94" s="64" t="s" ph="1">
        <v>294</v>
      </c>
      <c r="AM94" s="64" t="s" ph="1">
        <v>449</v>
      </c>
      <c r="AN94" s="64" t="s" ph="1">
        <v>231</v>
      </c>
      <c r="AO94" s="64" t="s" ph="1">
        <v>259</v>
      </c>
      <c r="AP94" s="64" t="s" ph="1">
        <v>450</v>
      </c>
      <c r="AQ94" s="64" t="s" ph="1">
        <v>239</v>
      </c>
      <c r="AR94" s="64" t="s" ph="1">
        <v>259</v>
      </c>
      <c r="AS94" s="64" t="s" ph="1">
        <v>451</v>
      </c>
      <c r="AT94" s="64" t="s" ph="1">
        <v>225</v>
      </c>
      <c r="AU94" s="64" t="s" ph="1">
        <v>259</v>
      </c>
      <c r="AV94" s="64" t="s" ph="1">
        <v>452</v>
      </c>
      <c r="AW94" s="64" t="s" ph="1">
        <v>225</v>
      </c>
      <c r="AX94" s="64" t="s" ph="1">
        <v>259</v>
      </c>
    </row>
    <row r="95" spans="34:52" ph="1">
      <c r="AJ95" s="64" t="s" ph="1">
        <v>453</v>
      </c>
      <c r="AK95" s="64" t="s" ph="1">
        <v>299</v>
      </c>
    </row>
    <row r="96" spans="34:52" ph="1">
      <c r="AH96" s="64" ph="1">
        <v>7</v>
      </c>
      <c r="AI96" s="64" t="s" ph="1">
        <v>454</v>
      </c>
      <c r="AJ96" s="64" t="s" ph="1">
        <v>453</v>
      </c>
      <c r="AK96" s="64" t="s" ph="1">
        <v>254</v>
      </c>
      <c r="AM96" s="64" t="s" ph="1">
        <v>455</v>
      </c>
      <c r="AN96" s="64" t="s" ph="1">
        <v>228</v>
      </c>
      <c r="AO96" s="64" t="s" ph="1">
        <v>259</v>
      </c>
      <c r="AP96" s="64" t="s" ph="1">
        <v>456</v>
      </c>
      <c r="AQ96" s="64" t="s" ph="1">
        <v>272</v>
      </c>
      <c r="AR96" s="64" t="s" ph="1">
        <v>287</v>
      </c>
      <c r="AS96" s="64" t="s" ph="1">
        <v>457</v>
      </c>
      <c r="AT96" s="64" t="s" ph="1">
        <v>231</v>
      </c>
      <c r="AU96" s="64" t="s" ph="1">
        <v>287</v>
      </c>
      <c r="AV96" s="64" t="s" ph="1">
        <v>458</v>
      </c>
      <c r="AW96" s="64" t="s" ph="1">
        <v>227</v>
      </c>
      <c r="AX96" s="64" t="s" ph="1">
        <v>287</v>
      </c>
      <c r="AY96" s="64" t="s" ph="1">
        <v>216</v>
      </c>
      <c r="AZ96" s="64" t="s" ph="1">
        <v>459</v>
      </c>
    </row>
    <row r="97" spans="33:52" ph="1">
      <c r="AJ97" s="64" t="s" ph="1">
        <v>460</v>
      </c>
      <c r="AK97" s="64" t="s" ph="1">
        <v>282</v>
      </c>
      <c r="AM97" s="64" t="s" ph="1">
        <v>461</v>
      </c>
      <c r="AN97" s="64" t="s" ph="1">
        <v>225</v>
      </c>
      <c r="AO97" s="64" t="s" ph="1">
        <v>259</v>
      </c>
      <c r="AP97" s="64" t="s" ph="1">
        <v>462</v>
      </c>
      <c r="AQ97" s="64" t="s" ph="1">
        <v>219</v>
      </c>
      <c r="AR97" s="64" t="s" ph="1">
        <v>287</v>
      </c>
      <c r="AS97" s="64" t="s" ph="1">
        <v>463</v>
      </c>
      <c r="AT97" s="64" t="s" ph="1">
        <v>222</v>
      </c>
      <c r="AU97" s="64" t="s" ph="1">
        <v>287</v>
      </c>
      <c r="AV97" s="64" t="s" ph="1">
        <v>464</v>
      </c>
      <c r="AW97" s="64" t="s" ph="1">
        <v>228</v>
      </c>
      <c r="AX97" s="64" t="s" ph="1">
        <v>287</v>
      </c>
    </row>
    <row r="98" spans="33:52" ph="1">
      <c r="AJ98" s="64" t="s" ph="1">
        <v>465</v>
      </c>
      <c r="AK98" s="64" t="s" ph="1">
        <v>231</v>
      </c>
      <c r="AM98" s="64" t="s" ph="1">
        <v>466</v>
      </c>
      <c r="AN98" s="64" t="s" ph="1">
        <v>239</v>
      </c>
      <c r="AO98" s="64" t="s" ph="1">
        <v>259</v>
      </c>
      <c r="AP98" s="64" t="s" ph="1">
        <v>467</v>
      </c>
      <c r="AQ98" s="64" t="s" ph="1">
        <v>219</v>
      </c>
      <c r="AR98" s="64" t="s" ph="1">
        <v>287</v>
      </c>
      <c r="AS98" s="64" t="s" ph="1">
        <v>468</v>
      </c>
      <c r="AT98" s="64" t="s" ph="1">
        <v>299</v>
      </c>
      <c r="AU98" s="64" t="s" ph="1">
        <v>287</v>
      </c>
      <c r="AV98" s="64" t="s" ph="1">
        <v>469</v>
      </c>
      <c r="AW98" s="64" t="s" ph="1">
        <v>222</v>
      </c>
      <c r="AX98" s="64" t="s" ph="1">
        <v>287</v>
      </c>
    </row>
    <row r="99" spans="33:52" ph="1">
      <c r="AH99" s="64" ph="1">
        <v>8</v>
      </c>
      <c r="AI99" s="64" t="s" ph="1">
        <v>470</v>
      </c>
      <c r="AJ99" s="64" t="s" ph="1">
        <v>471</v>
      </c>
      <c r="AK99" s="64" t="s" ph="1">
        <v>367</v>
      </c>
      <c r="AM99" s="64" t="s" ph="1">
        <v>472</v>
      </c>
      <c r="AN99" s="64" t="s" ph="1">
        <v>254</v>
      </c>
      <c r="AO99" s="64" t="s" ph="1">
        <v>259</v>
      </c>
      <c r="AP99" s="64" t="s" ph="1">
        <v>473</v>
      </c>
      <c r="AQ99" s="64" t="s" ph="1">
        <v>224</v>
      </c>
      <c r="AR99" s="64" t="s" ph="1">
        <v>287</v>
      </c>
      <c r="AS99" s="64" t="s" ph="1">
        <v>474</v>
      </c>
      <c r="AT99" s="64" t="s" ph="1">
        <v>239</v>
      </c>
      <c r="AU99" s="64" t="s" ph="1">
        <v>287</v>
      </c>
      <c r="AV99" s="64" t="s" ph="1">
        <v>475</v>
      </c>
      <c r="AW99" s="64" t="s" ph="1">
        <v>224</v>
      </c>
      <c r="AX99" s="64" t="s" ph="1">
        <v>287</v>
      </c>
      <c r="AY99" s="64" t="s" ph="1">
        <v>216</v>
      </c>
      <c r="AZ99" s="64" t="s" ph="1">
        <v>476</v>
      </c>
    </row>
    <row r="100" spans="33:52" ph="1">
      <c r="AJ100" s="64" t="s" ph="1">
        <v>477</v>
      </c>
      <c r="AK100" s="64" t="s" ph="1">
        <v>222</v>
      </c>
      <c r="AM100" s="64" t="s" ph="1">
        <v>478</v>
      </c>
      <c r="AN100" s="64" t="s" ph="1">
        <v>294</v>
      </c>
      <c r="AO100" s="64" t="s" ph="1">
        <v>259</v>
      </c>
      <c r="AP100" s="64" t="s" ph="1">
        <v>479</v>
      </c>
      <c r="AQ100" s="64" t="s" ph="1">
        <v>300</v>
      </c>
      <c r="AR100" s="64" t="s" ph="1">
        <v>287</v>
      </c>
      <c r="AS100" s="64" t="s" ph="1">
        <v>480</v>
      </c>
      <c r="AT100" s="64" t="s" ph="1">
        <v>367</v>
      </c>
      <c r="AU100" s="64" t="s" ph="1">
        <v>259</v>
      </c>
      <c r="AV100" s="64" t="s" ph="1">
        <v>481</v>
      </c>
      <c r="AW100" s="64" t="s" ph="1">
        <v>367</v>
      </c>
      <c r="AX100" s="64" t="s" ph="1">
        <v>259</v>
      </c>
    </row>
    <row r="101" spans="33:52" ph="1">
      <c r="AJ101" s="64" t="s" ph="1">
        <v>482</v>
      </c>
      <c r="AK101" s="64" t="s" ph="1">
        <v>367</v>
      </c>
      <c r="AM101" s="64" t="s" ph="1">
        <v>483</v>
      </c>
      <c r="AN101" s="64" t="s" ph="1">
        <v>225</v>
      </c>
      <c r="AO101" s="64" t="s" ph="1">
        <v>259</v>
      </c>
      <c r="AP101" s="64" t="s" ph="1">
        <v>484</v>
      </c>
      <c r="AQ101" s="64" t="s" ph="1">
        <v>237</v>
      </c>
      <c r="AR101" s="64" t="s" ph="1">
        <v>287</v>
      </c>
      <c r="AS101" s="64" t="s" ph="1">
        <v>485</v>
      </c>
      <c r="AT101" s="64" t="s" ph="1">
        <v>294</v>
      </c>
      <c r="AU101" s="64" t="s" ph="1">
        <v>287</v>
      </c>
      <c r="AV101" s="64" t="s" ph="1">
        <v>486</v>
      </c>
      <c r="AW101" s="64" t="s" ph="1">
        <v>225</v>
      </c>
      <c r="AX101" s="64" t="s" ph="1">
        <v>259</v>
      </c>
    </row>
    <row r="102" spans="33:52" ph="1">
      <c r="AJ102" s="64" t="s" ph="1">
        <v>487</v>
      </c>
      <c r="AK102" s="64" t="s" ph="1">
        <v>222</v>
      </c>
      <c r="AM102" s="64" t="s" ph="1">
        <v>488</v>
      </c>
      <c r="AN102" s="64" t="s" ph="1">
        <v>231</v>
      </c>
      <c r="AO102" s="64" t="s" ph="1">
        <v>259</v>
      </c>
      <c r="AP102" s="64" t="s" ph="1">
        <v>489</v>
      </c>
      <c r="AQ102" s="64" t="s" ph="1">
        <v>237</v>
      </c>
      <c r="AR102" s="64" t="s" ph="1">
        <v>259</v>
      </c>
      <c r="AS102" s="64" t="s" ph="1">
        <v>490</v>
      </c>
      <c r="AT102" s="64" t="s" ph="1">
        <v>254</v>
      </c>
      <c r="AU102" s="64" t="s" ph="1">
        <v>259</v>
      </c>
      <c r="AV102" s="64" t="s" ph="1">
        <v>491</v>
      </c>
      <c r="AW102" s="64" t="s" ph="1">
        <v>272</v>
      </c>
      <c r="AX102" s="64" t="s" ph="1">
        <v>259</v>
      </c>
    </row>
    <row r="103" spans="33:52" ph="1">
      <c r="AH103" s="64" ph="1">
        <v>9</v>
      </c>
      <c r="AI103" s="64" t="s" ph="1">
        <v>492</v>
      </c>
      <c r="AJ103" s="64" t="s" ph="1">
        <v>493</v>
      </c>
      <c r="AK103" s="64" t="s" ph="1">
        <v>367</v>
      </c>
      <c r="AM103" s="64" t="s" ph="1">
        <v>494</v>
      </c>
      <c r="AN103" s="64" t="s" ph="1">
        <v>282</v>
      </c>
      <c r="AO103" s="64" t="s" ph="1">
        <v>259</v>
      </c>
      <c r="AP103" s="64" t="s" ph="1">
        <v>336</v>
      </c>
      <c r="AQ103" s="64" t="s" ph="1">
        <v>225</v>
      </c>
      <c r="AR103" s="64" t="s" ph="1">
        <v>259</v>
      </c>
      <c r="AS103" s="64" t="s" ph="1">
        <v>570</v>
      </c>
      <c r="AT103" s="64" t="s" ph="1">
        <v>367</v>
      </c>
      <c r="AU103" s="64" t="s" ph="1">
        <v>259</v>
      </c>
      <c r="AY103" s="64" t="s" ph="1">
        <v>216</v>
      </c>
      <c r="AZ103" s="64" t="s" ph="1">
        <v>224</v>
      </c>
    </row>
    <row r="104" spans="33:52" ph="1">
      <c r="AZ104" s="64" t="s" ph="1">
        <v>495</v>
      </c>
    </row>
    <row r="105" spans="33:52" ph="1">
      <c r="AG105" s="64" t="s" ph="1">
        <v>295</v>
      </c>
      <c r="AI105" s="64" t="s" ph="1">
        <v>209</v>
      </c>
      <c r="AJ105" s="64" t="s" ph="1">
        <v>210</v>
      </c>
      <c r="AK105" s="64" t="s" ph="1">
        <v>211</v>
      </c>
      <c r="AM105" s="64" t="s" ph="1">
        <v>210</v>
      </c>
      <c r="AN105" s="64" t="s" ph="1">
        <v>211</v>
      </c>
      <c r="AO105" s="64" t="s" ph="1">
        <v>212</v>
      </c>
      <c r="AP105" s="64" t="s" ph="1">
        <v>210</v>
      </c>
      <c r="AQ105" s="64" t="s" ph="1">
        <v>211</v>
      </c>
      <c r="AR105" s="64" t="s" ph="1">
        <v>212</v>
      </c>
      <c r="AS105" s="64" t="s" ph="1">
        <v>210</v>
      </c>
      <c r="AT105" s="64" t="s" ph="1">
        <v>211</v>
      </c>
      <c r="AU105" s="64" t="s" ph="1">
        <v>212</v>
      </c>
      <c r="AV105" s="64" t="s" ph="1">
        <v>210</v>
      </c>
      <c r="AW105" s="64" t="s" ph="1">
        <v>211</v>
      </c>
      <c r="AX105" s="64" t="s" ph="1">
        <v>212</v>
      </c>
      <c r="AZ105" s="64" t="s" ph="1">
        <v>213</v>
      </c>
    </row>
    <row r="106" spans="33:52" ph="1">
      <c r="AH106" s="64" ph="1">
        <v>1</v>
      </c>
      <c r="AI106" s="64" t="s" ph="1">
        <v>496</v>
      </c>
      <c r="AJ106" s="64" t="s" ph="1">
        <v>570</v>
      </c>
      <c r="AK106" s="64" t="s" ph="1">
        <v>231</v>
      </c>
      <c r="AZ106" s="64" t="s" ph="1">
        <v>231</v>
      </c>
    </row>
    <row r="107" spans="33:52" ph="1">
      <c r="AH107" s="64" ph="1">
        <v>2</v>
      </c>
      <c r="AI107" s="64" t="s" ph="1">
        <v>497</v>
      </c>
      <c r="AJ107" s="64" t="s" ph="1">
        <v>498</v>
      </c>
      <c r="AK107" s="64" t="s" ph="1">
        <v>228</v>
      </c>
      <c r="AM107" s="64" t="s" ph="1">
        <v>334</v>
      </c>
      <c r="AN107" s="64" t="s" ph="1">
        <v>499</v>
      </c>
      <c r="AO107" s="64" t="s" ph="1">
        <v>500</v>
      </c>
      <c r="AP107" s="64" t="s" ph="1">
        <v>336</v>
      </c>
      <c r="AQ107" s="64" t="s" ph="1">
        <v>304</v>
      </c>
      <c r="AR107" s="64" t="s" ph="1">
        <v>500</v>
      </c>
      <c r="AS107" s="64" t="s" ph="1">
        <v>570</v>
      </c>
      <c r="AT107" s="64" t="s" ph="1">
        <v>499</v>
      </c>
      <c r="AU107" s="64" t="s" ph="1">
        <v>500</v>
      </c>
      <c r="AY107" s="64" t="s" ph="1">
        <v>216</v>
      </c>
      <c r="AZ107" s="64" t="s" ph="1">
        <v>580</v>
      </c>
    </row>
    <row r="108" spans="33:52" ph="1">
      <c r="AH108" s="64" ph="1">
        <v>3</v>
      </c>
      <c r="AI108" s="64" t="s" ph="1">
        <v>501</v>
      </c>
      <c r="AY108" s="64" t="s" ph="1">
        <v>216</v>
      </c>
      <c r="AZ108" s="64" t="s" ph="1">
        <v>367</v>
      </c>
    </row>
    <row r="109" spans="33:52" ph="1">
      <c r="AH109" s="64" ph="1">
        <v>4</v>
      </c>
      <c r="AI109" s="64" t="s" ph="1">
        <v>502</v>
      </c>
      <c r="AY109" s="64" t="s" ph="1">
        <v>216</v>
      </c>
      <c r="AZ109" s="64" t="s" ph="1">
        <v>367</v>
      </c>
    </row>
    <row r="110" spans="33:52" ph="1">
      <c r="AH110" s="64" ph="1">
        <v>5</v>
      </c>
      <c r="AI110" s="64" t="s" ph="1">
        <v>503</v>
      </c>
      <c r="AY110" s="64" t="s" ph="1">
        <v>216</v>
      </c>
      <c r="AZ110" s="64" t="s" ph="1">
        <v>367</v>
      </c>
    </row>
    <row r="111" spans="33:52" ph="1">
      <c r="AH111" s="64" ph="1">
        <v>6</v>
      </c>
      <c r="AI111" s="64" t="s" ph="1">
        <v>581</v>
      </c>
      <c r="AJ111" s="64" t="s" ph="1">
        <v>486</v>
      </c>
      <c r="AK111" s="64" t="s" ph="1">
        <v>225</v>
      </c>
      <c r="AM111" s="64" t="s" ph="1">
        <v>487</v>
      </c>
      <c r="AN111" s="64" t="s" ph="1">
        <v>219</v>
      </c>
      <c r="AO111" s="64" t="s" ph="1">
        <v>500</v>
      </c>
      <c r="AP111" s="64" t="s" ph="1">
        <v>488</v>
      </c>
      <c r="AQ111" s="64" t="s" ph="1">
        <v>228</v>
      </c>
      <c r="AR111" s="64" t="s" ph="1">
        <v>500</v>
      </c>
      <c r="AS111" s="64" t="s" ph="1">
        <v>489</v>
      </c>
      <c r="AT111" s="64" t="s" ph="1">
        <v>237</v>
      </c>
      <c r="AU111" s="64" t="s" ph="1">
        <v>500</v>
      </c>
      <c r="AV111" s="64" t="s" ph="1">
        <v>490</v>
      </c>
      <c r="AW111" s="64" t="s" ph="1">
        <v>227</v>
      </c>
      <c r="AX111" s="64" t="s" ph="1">
        <v>500</v>
      </c>
      <c r="AY111" s="64" t="s" ph="1">
        <v>216</v>
      </c>
      <c r="AZ111" s="64" t="s" ph="1">
        <v>504</v>
      </c>
    </row>
    <row r="112" spans="33:52" ph="1">
      <c r="AJ112" s="64" t="s" ph="1">
        <v>491</v>
      </c>
      <c r="AK112" s="64" t="s" ph="1">
        <v>272</v>
      </c>
      <c r="AM112" s="64" t="s" ph="1">
        <v>493</v>
      </c>
      <c r="AN112" s="64" t="s" ph="1">
        <v>296</v>
      </c>
      <c r="AO112" s="64" t="s" ph="1">
        <v>500</v>
      </c>
      <c r="AP112" s="64" t="s" ph="1">
        <v>494</v>
      </c>
      <c r="AQ112" s="64" t="s" ph="1">
        <v>505</v>
      </c>
      <c r="AR112" s="64" t="s" ph="1">
        <v>500</v>
      </c>
      <c r="AS112" s="64" t="s" ph="1">
        <v>506</v>
      </c>
      <c r="AT112" s="64" t="s" ph="1">
        <v>248</v>
      </c>
      <c r="AU112" s="64" t="s" ph="1">
        <v>500</v>
      </c>
      <c r="AV112" s="64" t="s" ph="1">
        <v>507</v>
      </c>
      <c r="AW112" s="64" t="s" ph="1">
        <v>294</v>
      </c>
      <c r="AX112" s="64" t="s" ph="1">
        <v>500</v>
      </c>
    </row>
    <row r="113" spans="33:52" ph="1">
      <c r="AH113" s="64" ph="1">
        <v>7</v>
      </c>
      <c r="AI113" s="64" t="s" ph="1">
        <v>508</v>
      </c>
      <c r="AJ113" s="64" t="s" ph="1">
        <v>589</v>
      </c>
      <c r="AK113" s="64" t="s" ph="1">
        <v>594</v>
      </c>
      <c r="AY113" s="64" t="s" ph="1">
        <v>216</v>
      </c>
      <c r="AZ113" s="64" t="s" ph="1">
        <v>594</v>
      </c>
    </row>
    <row r="114" spans="33:52" ph="1">
      <c r="AH114" s="64" ph="1">
        <v>8</v>
      </c>
      <c r="AI114" s="64" t="s" ph="1">
        <v>509</v>
      </c>
      <c r="AJ114" s="64" t="s" ph="1">
        <v>589</v>
      </c>
      <c r="AK114" s="64" t="s" ph="1">
        <v>595</v>
      </c>
      <c r="AY114" s="64" t="s" ph="1">
        <v>216</v>
      </c>
      <c r="AZ114" s="64" t="s" ph="1">
        <v>595</v>
      </c>
    </row>
    <row r="115" spans="33:52" ph="1">
      <c r="AH115" s="64" ph="1">
        <v>9</v>
      </c>
      <c r="AI115" s="64" t="s" ph="1">
        <v>510</v>
      </c>
      <c r="AJ115" s="64" t="s" ph="1">
        <v>589</v>
      </c>
      <c r="AK115" s="64" t="s" ph="1">
        <v>595</v>
      </c>
      <c r="AY115" s="64" t="s" ph="1">
        <v>216</v>
      </c>
      <c r="AZ115" s="64" t="s" ph="1">
        <v>595</v>
      </c>
    </row>
    <row r="116" spans="33:52" ph="1">
      <c r="AH116" s="64" ph="1">
        <v>10</v>
      </c>
      <c r="AI116" s="64" t="s" ph="1">
        <v>511</v>
      </c>
      <c r="AJ116" s="64" t="s" ph="1">
        <v>589</v>
      </c>
      <c r="AK116" s="64" t="s" ph="1">
        <v>595</v>
      </c>
      <c r="AY116" s="64" t="s" ph="1">
        <v>216</v>
      </c>
      <c r="AZ116" s="64" t="s" ph="1">
        <v>595</v>
      </c>
    </row>
    <row r="117" spans="33:52" ph="1">
      <c r="AH117" s="64" ph="1">
        <v>11</v>
      </c>
      <c r="AI117" s="64" t="s" ph="1">
        <v>512</v>
      </c>
      <c r="AJ117" s="64" t="s" ph="1">
        <v>589</v>
      </c>
      <c r="AK117" s="64" t="s" ph="1">
        <v>595</v>
      </c>
      <c r="AY117" s="64" t="s" ph="1">
        <v>216</v>
      </c>
      <c r="AZ117" s="64" t="s" ph="1">
        <v>595</v>
      </c>
    </row>
    <row r="118" spans="33:52" ph="1">
      <c r="AZ118" s="64" t="s" ph="1">
        <v>596</v>
      </c>
    </row>
    <row r="119" spans="33:52" ph="1">
      <c r="AI119" s="64" t="s" ph="1">
        <v>209</v>
      </c>
      <c r="AJ119" s="64" t="s" ph="1">
        <v>210</v>
      </c>
      <c r="AK119" s="64" t="s" ph="1">
        <v>211</v>
      </c>
      <c r="AM119" s="64" t="s" ph="1">
        <v>210</v>
      </c>
      <c r="AN119" s="64" t="s" ph="1">
        <v>211</v>
      </c>
      <c r="AO119" s="64" t="s" ph="1">
        <v>212</v>
      </c>
      <c r="AP119" s="64" t="s" ph="1">
        <v>210</v>
      </c>
      <c r="AQ119" s="64" t="s" ph="1">
        <v>211</v>
      </c>
      <c r="AR119" s="64" t="s" ph="1">
        <v>212</v>
      </c>
      <c r="AS119" s="64" t="s" ph="1">
        <v>210</v>
      </c>
      <c r="AT119" s="64" t="s" ph="1">
        <v>211</v>
      </c>
      <c r="AU119" s="64" t="s" ph="1">
        <v>212</v>
      </c>
      <c r="AV119" s="64" t="s" ph="1">
        <v>210</v>
      </c>
      <c r="AW119" s="64" t="s" ph="1">
        <v>211</v>
      </c>
      <c r="AX119" s="64" t="s" ph="1">
        <v>212</v>
      </c>
      <c r="AY119" s="64" t="s" ph="1">
        <v>211</v>
      </c>
      <c r="AZ119" s="64" t="s" ph="1">
        <v>213</v>
      </c>
    </row>
    <row r="120" spans="33:52" ph="1">
      <c r="AG120" s="64" t="s" ph="1">
        <v>353</v>
      </c>
      <c r="AH120" s="64" ph="1">
        <v>1</v>
      </c>
      <c r="AI120" s="64" t="s" ph="1">
        <v>513</v>
      </c>
      <c r="AJ120" s="64" t="s" ph="1">
        <v>587</v>
      </c>
      <c r="AK120" s="64" t="s" ph="1">
        <v>367</v>
      </c>
      <c r="AY120" s="64" t="s" ph="1">
        <v>216</v>
      </c>
      <c r="AZ120" s="64" t="s" ph="1">
        <v>367</v>
      </c>
    </row>
    <row r="121" spans="33:52" ph="1">
      <c r="AH121" s="64" ph="1">
        <v>2</v>
      </c>
      <c r="AI121" s="64" t="s" ph="1">
        <v>514</v>
      </c>
      <c r="AY121" s="64" t="s" ph="1">
        <v>216</v>
      </c>
      <c r="AZ121" s="64" t="s" ph="1">
        <v>367</v>
      </c>
    </row>
    <row r="122" spans="33:52" ph="1">
      <c r="AH122" s="64" ph="1">
        <v>3</v>
      </c>
      <c r="AI122" s="64" t="s" ph="1">
        <v>515</v>
      </c>
      <c r="AJ122" s="64" t="s" ph="1">
        <v>570</v>
      </c>
      <c r="AK122" s="64" t="s" ph="1">
        <v>582</v>
      </c>
      <c r="AM122" s="64" t="s" ph="1">
        <v>597</v>
      </c>
      <c r="AN122" s="64" t="s" ph="1">
        <v>590</v>
      </c>
      <c r="AO122" s="64" t="s" ph="1">
        <v>91</v>
      </c>
      <c r="AY122" s="64" t="s" ph="1">
        <v>216</v>
      </c>
      <c r="AZ122" s="64" t="s" ph="1">
        <v>579</v>
      </c>
    </row>
    <row r="123" spans="33:52" ph="1">
      <c r="AY123" s="64" t="s" ph="1">
        <v>216</v>
      </c>
      <c r="AZ123" s="64" t="s" ph="1">
        <v>579</v>
      </c>
    </row>
    <row r="124" spans="33:52" ph="1">
      <c r="AG124" s="64" t="s" ph="1">
        <v>356</v>
      </c>
      <c r="AH124" s="64" ph="1">
        <v>4</v>
      </c>
      <c r="AI124" s="64" t="s" ph="1">
        <v>516</v>
      </c>
      <c r="AJ124" s="64" t="s" ph="1">
        <v>517</v>
      </c>
      <c r="AK124" s="64" t="s" ph="1">
        <v>518</v>
      </c>
      <c r="AY124" s="64" t="s" ph="1">
        <v>216</v>
      </c>
      <c r="AZ124" s="64" t="s" ph="1">
        <v>518</v>
      </c>
    </row>
    <row r="125" spans="33:52" ph="1">
      <c r="AH125" s="64" ph="1">
        <v>5</v>
      </c>
      <c r="AI125" s="64" t="s" ph="1">
        <v>519</v>
      </c>
      <c r="AJ125" s="64" t="s" ph="1">
        <v>517</v>
      </c>
      <c r="AK125" s="64" t="s" ph="1">
        <v>518</v>
      </c>
      <c r="AY125" s="64" t="s" ph="1">
        <v>216</v>
      </c>
      <c r="AZ125" s="64" t="s" ph="1">
        <v>518</v>
      </c>
    </row>
    <row r="126" spans="33:52" ph="1">
      <c r="AH126" s="64" ph="1">
        <v>6</v>
      </c>
      <c r="AI126" s="64" t="s" ph="1">
        <v>520</v>
      </c>
      <c r="AJ126" s="64" t="s" ph="1">
        <v>589</v>
      </c>
      <c r="AK126" s="64" t="s" ph="1">
        <v>598</v>
      </c>
      <c r="AY126" s="64" t="s" ph="1">
        <v>216</v>
      </c>
      <c r="AZ126" s="64" t="s" ph="1">
        <v>598</v>
      </c>
    </row>
    <row r="127" spans="33:52" ph="1">
      <c r="AH127" s="64" ph="1">
        <v>7</v>
      </c>
      <c r="AI127" s="64" t="s" ph="1">
        <v>521</v>
      </c>
      <c r="AJ127" s="64" t="s" ph="1">
        <v>589</v>
      </c>
      <c r="AK127" s="64" t="s" ph="1">
        <v>599</v>
      </c>
      <c r="AY127" s="64" t="s" ph="1">
        <v>216</v>
      </c>
      <c r="AZ127" s="64" t="s" ph="1">
        <v>599</v>
      </c>
    </row>
    <row r="128" spans="33:52" ph="1">
      <c r="AH128" s="64" ph="1">
        <v>8</v>
      </c>
      <c r="AI128" s="64" t="s" ph="1">
        <v>522</v>
      </c>
      <c r="AY128" s="64" t="s" ph="1">
        <v>216</v>
      </c>
      <c r="AZ128" s="64" t="s" ph="1">
        <v>367</v>
      </c>
    </row>
    <row r="129" spans="33:52" ph="1">
      <c r="AH129" s="64" ph="1">
        <v>9</v>
      </c>
      <c r="AI129" s="64" t="s" ph="1">
        <v>523</v>
      </c>
      <c r="AY129" s="64" t="s" ph="1">
        <v>216</v>
      </c>
      <c r="AZ129" s="64" t="s" ph="1">
        <v>367</v>
      </c>
    </row>
    <row r="130" spans="33:52" ph="1">
      <c r="AH130" s="64" ph="1">
        <v>10</v>
      </c>
      <c r="AI130" s="64" t="s" ph="1">
        <v>524</v>
      </c>
      <c r="AY130" s="64" t="s" ph="1">
        <v>216</v>
      </c>
      <c r="AZ130" s="64" t="s" ph="1">
        <v>367</v>
      </c>
    </row>
    <row r="131" spans="33:52" ph="1">
      <c r="AH131" s="64" ph="1">
        <v>11</v>
      </c>
      <c r="AI131" s="64" t="s" ph="1">
        <v>525</v>
      </c>
      <c r="AJ131" s="64" t="s" ph="1">
        <v>583</v>
      </c>
      <c r="AK131" s="64" t="s" ph="1">
        <v>579</v>
      </c>
      <c r="AY131" s="64" t="s" ph="1">
        <v>216</v>
      </c>
      <c r="AZ131" s="64" t="s" ph="1">
        <v>579</v>
      </c>
    </row>
    <row r="132" spans="33:52" ph="1">
      <c r="AH132" s="64" ph="1">
        <v>12</v>
      </c>
      <c r="AI132" s="64" t="s" ph="1">
        <v>526</v>
      </c>
      <c r="AJ132" s="64" t="s" ph="1">
        <v>583</v>
      </c>
      <c r="AK132" s="64" t="s" ph="1">
        <v>518</v>
      </c>
      <c r="AY132" s="64" t="s" ph="1">
        <v>216</v>
      </c>
      <c r="AZ132" s="64" t="s" ph="1">
        <v>518</v>
      </c>
    </row>
    <row r="133" spans="33:52" ph="1">
      <c r="AH133" s="64" ph="1">
        <v>13</v>
      </c>
      <c r="AI133" s="64" t="s" ph="1">
        <v>527</v>
      </c>
      <c r="AJ133" s="64" t="s" ph="1">
        <v>583</v>
      </c>
      <c r="AK133" s="64" t="s" ph="1">
        <v>584</v>
      </c>
      <c r="AY133" s="64" t="s" ph="1">
        <v>216</v>
      </c>
      <c r="AZ133" s="64" t="s" ph="1">
        <v>584</v>
      </c>
    </row>
    <row r="134" spans="33:52" ph="1">
      <c r="AH134" s="64" ph="1">
        <v>14</v>
      </c>
      <c r="AI134" s="64" t="s" ph="1">
        <v>528</v>
      </c>
      <c r="AJ134" s="64" t="s" ph="1">
        <v>583</v>
      </c>
      <c r="AK134" s="64" t="s" ph="1">
        <v>585</v>
      </c>
      <c r="AY134" s="64" t="s" ph="1">
        <v>216</v>
      </c>
      <c r="AZ134" s="64" t="s" ph="1">
        <v>585</v>
      </c>
    </row>
    <row r="135" spans="33:52" ph="1">
      <c r="AH135" s="64" ph="1">
        <v>15</v>
      </c>
      <c r="AI135" s="64" t="s" ph="1">
        <v>529</v>
      </c>
      <c r="AJ135" s="64" t="s" ph="1">
        <v>583</v>
      </c>
      <c r="AK135" s="64" t="s" ph="1">
        <v>586</v>
      </c>
      <c r="AY135" s="64" t="s" ph="1">
        <v>216</v>
      </c>
      <c r="AZ135" s="64" t="s" ph="1">
        <v>586</v>
      </c>
    </row>
    <row r="136" spans="33:52" ph="1">
      <c r="AZ136" s="64" t="s" ph="1">
        <v>600</v>
      </c>
    </row>
    <row r="137" spans="33:52" ph="1">
      <c r="AG137" s="64" t="s" ph="1">
        <v>290</v>
      </c>
      <c r="AI137" s="64" t="s" ph="1">
        <v>209</v>
      </c>
      <c r="AJ137" s="64" t="s" ph="1">
        <v>210</v>
      </c>
      <c r="AK137" s="64" t="s" ph="1">
        <v>211</v>
      </c>
      <c r="AM137" s="64" t="s" ph="1">
        <v>210</v>
      </c>
      <c r="AN137" s="64" t="s" ph="1">
        <v>211</v>
      </c>
      <c r="AO137" s="64" t="s" ph="1">
        <v>212</v>
      </c>
      <c r="AP137" s="64" t="s" ph="1">
        <v>210</v>
      </c>
      <c r="AQ137" s="64" t="s" ph="1">
        <v>211</v>
      </c>
      <c r="AR137" s="64" t="s" ph="1">
        <v>212</v>
      </c>
      <c r="AS137" s="64" t="s" ph="1">
        <v>210</v>
      </c>
      <c r="AT137" s="64" t="s" ph="1">
        <v>211</v>
      </c>
      <c r="AU137" s="64" t="s" ph="1">
        <v>212</v>
      </c>
      <c r="AV137" s="64" t="s" ph="1">
        <v>210</v>
      </c>
      <c r="AW137" s="64" t="s" ph="1">
        <v>211</v>
      </c>
      <c r="AX137" s="64" t="s" ph="1">
        <v>212</v>
      </c>
      <c r="AY137" s="64" t="s" ph="1">
        <v>211</v>
      </c>
      <c r="AZ137" s="64" t="s" ph="1">
        <v>213</v>
      </c>
    </row>
    <row r="138" spans="33:52" ph="1">
      <c r="AH138" s="64" ph="1">
        <v>1</v>
      </c>
      <c r="AI138" s="64" t="s" ph="1">
        <v>530</v>
      </c>
      <c r="AJ138" s="64" t="s" ph="1">
        <v>531</v>
      </c>
      <c r="AK138" s="64" t="s" ph="1">
        <v>532</v>
      </c>
      <c r="AY138" s="64" t="s" ph="1">
        <v>216</v>
      </c>
      <c r="AZ138" s="64" t="s" ph="1">
        <v>532</v>
      </c>
    </row>
    <row r="139" spans="33:52" ph="1">
      <c r="AH139" s="64" ph="1">
        <v>2</v>
      </c>
      <c r="AI139" s="64" t="s" ph="1">
        <v>533</v>
      </c>
      <c r="AJ139" s="64" t="s" ph="1">
        <v>589</v>
      </c>
      <c r="AK139" s="64" t="s" ph="1">
        <v>601</v>
      </c>
      <c r="AY139" s="64" t="s" ph="1">
        <v>216</v>
      </c>
      <c r="AZ139" s="64" t="s" ph="1">
        <v>601</v>
      </c>
    </row>
    <row r="140" spans="33:52" ph="1">
      <c r="AH140" s="64" ph="1">
        <v>3</v>
      </c>
      <c r="AI140" s="64" t="s" ph="1">
        <v>534</v>
      </c>
      <c r="AJ140" s="64" t="s" ph="1">
        <v>487</v>
      </c>
      <c r="AK140" s="64" t="s" ph="1">
        <v>299</v>
      </c>
      <c r="AM140" s="64" t="s" ph="1">
        <v>488</v>
      </c>
      <c r="AN140" s="64" t="s" ph="1">
        <v>219</v>
      </c>
      <c r="AO140" s="64" t="s" ph="1">
        <v>535</v>
      </c>
      <c r="AP140" s="64" t="s" ph="1">
        <v>489</v>
      </c>
      <c r="AQ140" s="64" t="s" ph="1">
        <v>236</v>
      </c>
      <c r="AR140" s="64" t="s" ph="1">
        <v>535</v>
      </c>
      <c r="AS140" s="64" t="s" ph="1">
        <v>490</v>
      </c>
      <c r="AT140" s="64" t="s" ph="1">
        <v>229</v>
      </c>
      <c r="AU140" s="64" t="s" ph="1">
        <v>535</v>
      </c>
      <c r="AV140" s="64" t="s" ph="1">
        <v>491</v>
      </c>
      <c r="AW140" s="64" t="s" ph="1">
        <v>222</v>
      </c>
      <c r="AX140" s="64" t="s" ph="1">
        <v>535</v>
      </c>
      <c r="AY140" s="64" t="s" ph="1">
        <v>216</v>
      </c>
      <c r="AZ140" s="64" t="s" ph="1">
        <v>291</v>
      </c>
    </row>
    <row r="141" spans="33:52" ph="1">
      <c r="AJ141" s="64" t="s" ph="1">
        <v>493</v>
      </c>
      <c r="AK141" s="64" t="s" ph="1">
        <v>222</v>
      </c>
      <c r="AM141" s="64" t="s" ph="1">
        <v>494</v>
      </c>
      <c r="AN141" s="64" t="s" ph="1">
        <v>225</v>
      </c>
      <c r="AO141" s="64" t="s" ph="1">
        <v>535</v>
      </c>
      <c r="AP141" s="64" t="s" ph="1">
        <v>506</v>
      </c>
      <c r="AQ141" s="64" t="s" ph="1">
        <v>294</v>
      </c>
      <c r="AR141" s="64" t="s" ph="1">
        <v>535</v>
      </c>
      <c r="AS141" s="64" t="s" ph="1">
        <v>498</v>
      </c>
      <c r="AT141" s="64" t="s" ph="1">
        <v>222</v>
      </c>
      <c r="AU141" s="64" t="s" ph="1">
        <v>535</v>
      </c>
      <c r="AV141" s="64" t="s" ph="1">
        <v>334</v>
      </c>
      <c r="AW141" s="64" t="s" ph="1">
        <v>228</v>
      </c>
      <c r="AX141" s="64" t="s" ph="1">
        <v>535</v>
      </c>
    </row>
    <row r="142" spans="33:52" ph="1">
      <c r="AJ142" s="64" t="s" ph="1">
        <v>536</v>
      </c>
      <c r="AK142" s="64" t="s" ph="1">
        <v>239</v>
      </c>
    </row>
    <row r="143" spans="33:52" ph="1">
      <c r="AH143" s="64" ph="1">
        <v>4</v>
      </c>
      <c r="AI143" s="64" t="s" ph="1">
        <v>537</v>
      </c>
      <c r="AJ143" s="64" t="s" ph="1">
        <v>517</v>
      </c>
      <c r="AK143" s="64" t="s" ph="1">
        <v>538</v>
      </c>
      <c r="AY143" s="64" t="s" ph="1">
        <v>216</v>
      </c>
      <c r="AZ143" s="64" t="s" ph="1">
        <v>538</v>
      </c>
    </row>
    <row r="144" spans="33:52" ph="1">
      <c r="AH144" s="64" ph="1">
        <v>5</v>
      </c>
      <c r="AI144" s="64" t="s" ph="1">
        <v>539</v>
      </c>
      <c r="AY144" s="64" t="s" ph="1">
        <v>216</v>
      </c>
      <c r="AZ144" s="64" t="s" ph="1">
        <v>367</v>
      </c>
    </row>
    <row r="145" spans="33:52" ph="1">
      <c r="AH145" s="64" ph="1">
        <v>6</v>
      </c>
      <c r="AI145" s="64" t="s" ph="1">
        <v>540</v>
      </c>
      <c r="AY145" s="64" t="s" ph="1">
        <v>216</v>
      </c>
      <c r="AZ145" s="64" t="s" ph="1">
        <v>367</v>
      </c>
    </row>
    <row r="146" spans="33:52" ph="1">
      <c r="AH146" s="64" ph="1">
        <v>7</v>
      </c>
      <c r="AI146" s="64" t="s" ph="1">
        <v>541</v>
      </c>
      <c r="AY146" s="64" t="s" ph="1">
        <v>216</v>
      </c>
      <c r="AZ146" s="64" t="s" ph="1">
        <v>367</v>
      </c>
    </row>
    <row r="147" spans="33:52" ph="1">
      <c r="AH147" s="64" ph="1">
        <v>8</v>
      </c>
      <c r="AI147" s="64" t="s" ph="1">
        <v>542</v>
      </c>
      <c r="AY147" s="64" t="s" ph="1">
        <v>216</v>
      </c>
      <c r="AZ147" s="64" t="s" ph="1">
        <v>367</v>
      </c>
    </row>
    <row r="148" spans="33:52" ph="1">
      <c r="AH148" s="64" ph="1">
        <v>9</v>
      </c>
      <c r="AI148" s="64" t="s" ph="1">
        <v>543</v>
      </c>
      <c r="AY148" s="64" t="s" ph="1">
        <v>216</v>
      </c>
      <c r="AZ148" s="64" t="s" ph="1">
        <v>367</v>
      </c>
    </row>
    <row r="149" spans="33:52" ph="1">
      <c r="AH149" s="64" ph="1">
        <v>10</v>
      </c>
      <c r="AI149" s="64" t="s" ph="1">
        <v>544</v>
      </c>
      <c r="AY149" s="64" t="s" ph="1">
        <v>216</v>
      </c>
      <c r="AZ149" s="64" t="s" ph="1">
        <v>367</v>
      </c>
    </row>
    <row r="150" spans="33:52" ph="1">
      <c r="AH150" s="64" ph="1">
        <v>11</v>
      </c>
      <c r="AI150" s="64" t="s" ph="1">
        <v>545</v>
      </c>
      <c r="AY150" s="64" t="s" ph="1">
        <v>216</v>
      </c>
      <c r="AZ150" s="64" t="s" ph="1">
        <v>367</v>
      </c>
    </row>
    <row r="151" spans="33:52" ph="1">
      <c r="AH151" s="64" ph="1">
        <v>12</v>
      </c>
      <c r="AI151" s="64" t="s" ph="1">
        <v>546</v>
      </c>
      <c r="AY151" s="64" t="s" ph="1">
        <v>216</v>
      </c>
      <c r="AZ151" s="64" t="s" ph="1">
        <v>367</v>
      </c>
    </row>
    <row r="152" spans="33:52" ph="1">
      <c r="AH152" s="64" ph="1">
        <v>13</v>
      </c>
      <c r="AI152" s="64" t="s" ph="1">
        <v>547</v>
      </c>
      <c r="AY152" s="64" t="s" ph="1">
        <v>216</v>
      </c>
      <c r="AZ152" s="64" t="s" ph="1">
        <v>367</v>
      </c>
    </row>
    <row r="153" spans="33:52" ph="1">
      <c r="AH153" s="64" ph="1">
        <v>14</v>
      </c>
      <c r="AI153" s="64" t="s" ph="1">
        <v>548</v>
      </c>
      <c r="AY153" s="64" t="s" ph="1">
        <v>216</v>
      </c>
      <c r="AZ153" s="64" t="s" ph="1">
        <v>367</v>
      </c>
    </row>
    <row r="154" spans="33:52" ph="1">
      <c r="AH154" s="64" ph="1">
        <v>15</v>
      </c>
      <c r="AI154" s="64" t="s" ph="1">
        <v>549</v>
      </c>
      <c r="AY154" s="64" t="s" ph="1">
        <v>216</v>
      </c>
      <c r="AZ154" s="64" t="s" ph="1">
        <v>367</v>
      </c>
    </row>
    <row r="155" spans="33:52" ph="1">
      <c r="AH155" s="64" ph="1">
        <v>16</v>
      </c>
      <c r="AI155" s="64" t="s" ph="1">
        <v>550</v>
      </c>
      <c r="AJ155" s="64" t="s" ph="1">
        <v>336</v>
      </c>
      <c r="AK155" s="64" t="s" ph="1">
        <v>231</v>
      </c>
      <c r="AM155" s="64" t="s" ph="1">
        <v>570</v>
      </c>
      <c r="AN155" s="64" t="s" ph="1">
        <v>282</v>
      </c>
      <c r="AO155" s="64" t="s" ph="1">
        <v>535</v>
      </c>
      <c r="AY155" s="64" t="s" ph="1">
        <v>216</v>
      </c>
      <c r="AZ155" s="64" t="s" ph="1">
        <v>223</v>
      </c>
    </row>
    <row r="156" spans="33:52" ph="1">
      <c r="AZ156" s="64" t="s" ph="1">
        <v>602</v>
      </c>
    </row>
    <row r="157" spans="33:52" ph="1">
      <c r="AG157" s="64" t="s" ph="1">
        <v>551</v>
      </c>
      <c r="AI157" s="64" t="s" ph="1">
        <v>209</v>
      </c>
      <c r="AJ157" s="64" t="s" ph="1">
        <v>210</v>
      </c>
      <c r="AK157" s="64" t="s" ph="1">
        <v>211</v>
      </c>
      <c r="AM157" s="64" t="s" ph="1">
        <v>210</v>
      </c>
      <c r="AN157" s="64" t="s" ph="1">
        <v>211</v>
      </c>
      <c r="AO157" s="64" t="s" ph="1">
        <v>212</v>
      </c>
      <c r="AP157" s="64" t="s" ph="1">
        <v>210</v>
      </c>
      <c r="AQ157" s="64" t="s" ph="1">
        <v>211</v>
      </c>
      <c r="AR157" s="64" t="s" ph="1">
        <v>212</v>
      </c>
      <c r="AS157" s="64" t="s" ph="1">
        <v>210</v>
      </c>
      <c r="AT157" s="64" t="s" ph="1">
        <v>211</v>
      </c>
      <c r="AU157" s="64" t="s" ph="1">
        <v>212</v>
      </c>
      <c r="AV157" s="64" t="s" ph="1">
        <v>210</v>
      </c>
      <c r="AW157" s="64" t="s" ph="1">
        <v>211</v>
      </c>
      <c r="AX157" s="64" t="s" ph="1">
        <v>212</v>
      </c>
      <c r="AY157" s="64" t="s" ph="1">
        <v>211</v>
      </c>
      <c r="AZ157" s="64" t="s" ph="1">
        <v>213</v>
      </c>
    </row>
    <row r="158" spans="33:52" ph="1">
      <c r="AH158" s="64" ph="1">
        <v>1</v>
      </c>
      <c r="AI158" s="64" t="s" ph="1">
        <v>552</v>
      </c>
      <c r="AY158" s="64" t="s" ph="1">
        <v>216</v>
      </c>
      <c r="AZ158" s="64" t="s" ph="1">
        <v>367</v>
      </c>
    </row>
    <row r="159" spans="33:52" ph="1">
      <c r="AH159" s="64" ph="1">
        <v>2</v>
      </c>
      <c r="AI159" s="64" t="s" ph="1">
        <v>553</v>
      </c>
      <c r="AY159" s="64" t="s" ph="1">
        <v>216</v>
      </c>
      <c r="AZ159" s="64" t="s" ph="1">
        <v>367</v>
      </c>
    </row>
    <row r="160" spans="33:52" ph="1">
      <c r="AZ160" s="64" t="s" ph="1">
        <v>385</v>
      </c>
    </row>
    <row r="161" spans="33:52" ph="1">
      <c r="AG161" s="64" t="s" ph="1">
        <v>361</v>
      </c>
      <c r="AI161" s="64" t="s" ph="1">
        <v>209</v>
      </c>
      <c r="AJ161" s="64" t="s" ph="1">
        <v>210</v>
      </c>
      <c r="AK161" s="64" t="s" ph="1">
        <v>211</v>
      </c>
      <c r="AM161" s="64" t="s" ph="1">
        <v>210</v>
      </c>
      <c r="AN161" s="64" t="s" ph="1">
        <v>211</v>
      </c>
      <c r="AO161" s="64" t="s" ph="1">
        <v>212</v>
      </c>
      <c r="AP161" s="64" t="s" ph="1">
        <v>210</v>
      </c>
      <c r="AQ161" s="64" t="s" ph="1">
        <v>211</v>
      </c>
      <c r="AR161" s="64" t="s" ph="1">
        <v>212</v>
      </c>
      <c r="AS161" s="64" t="s" ph="1">
        <v>210</v>
      </c>
      <c r="AT161" s="64" t="s" ph="1">
        <v>211</v>
      </c>
      <c r="AU161" s="64" t="s" ph="1">
        <v>212</v>
      </c>
      <c r="AV161" s="64" t="s" ph="1">
        <v>210</v>
      </c>
      <c r="AW161" s="64" t="s" ph="1">
        <v>211</v>
      </c>
      <c r="AX161" s="64" t="s" ph="1">
        <v>212</v>
      </c>
      <c r="AY161" s="64" t="s" ph="1">
        <v>211</v>
      </c>
      <c r="AZ161" s="64" t="s" ph="1">
        <v>213</v>
      </c>
    </row>
    <row r="162" spans="33:52" ph="1">
      <c r="AH162" s="64" ph="1">
        <v>1</v>
      </c>
      <c r="AI162" s="64" t="s" ph="1">
        <v>554</v>
      </c>
      <c r="AJ162" s="64" t="s" ph="1">
        <v>555</v>
      </c>
      <c r="AK162" s="64" t="s" ph="1">
        <v>499</v>
      </c>
      <c r="AM162" s="64" t="s" ph="1">
        <v>556</v>
      </c>
      <c r="AN162" s="64" t="s" ph="1">
        <v>220</v>
      </c>
      <c r="AO162" s="64" t="s" ph="1">
        <v>557</v>
      </c>
      <c r="AY162" s="64" t="s" ph="1">
        <v>216</v>
      </c>
      <c r="AZ162" s="64" t="s" ph="1">
        <v>292</v>
      </c>
    </row>
    <row r="163" spans="33:52" ph="1">
      <c r="AH163" s="64" ph="1">
        <v>2</v>
      </c>
      <c r="AI163" s="64" t="s" ph="1">
        <v>558</v>
      </c>
      <c r="AJ163" s="64" t="s" ph="1">
        <v>555</v>
      </c>
      <c r="AK163" s="64" t="s" ph="1">
        <v>388</v>
      </c>
      <c r="AY163" s="64" t="s" ph="1">
        <v>216</v>
      </c>
      <c r="AZ163" s="64" t="s" ph="1">
        <v>388</v>
      </c>
    </row>
    <row r="164" spans="33:52" ph="1">
      <c r="AH164" s="64" ph="1">
        <v>3</v>
      </c>
      <c r="AI164" s="64" t="s" ph="1">
        <v>559</v>
      </c>
      <c r="AJ164" s="64" t="s" ph="1">
        <v>555</v>
      </c>
      <c r="AK164" s="64" t="s" ph="1">
        <v>292</v>
      </c>
      <c r="AY164" s="64" t="s" ph="1">
        <v>216</v>
      </c>
      <c r="AZ164" s="64" t="s" ph="1">
        <v>292</v>
      </c>
    </row>
    <row r="165" spans="33:52" ph="1">
      <c r="AH165" s="64" ph="1">
        <v>4</v>
      </c>
      <c r="AI165" s="64" t="s" ph="1">
        <v>560</v>
      </c>
      <c r="AY165" s="64" t="s" ph="1">
        <v>216</v>
      </c>
      <c r="AZ165" s="64" t="s" ph="1">
        <v>367</v>
      </c>
    </row>
    <row r="166" spans="33:52" ph="1">
      <c r="AH166" s="64" ph="1">
        <v>5</v>
      </c>
      <c r="AI166" s="64" t="s" ph="1">
        <v>561</v>
      </c>
      <c r="AY166" s="64" t="s" ph="1">
        <v>216</v>
      </c>
      <c r="AZ166" s="64" t="s" ph="1">
        <v>367</v>
      </c>
    </row>
    <row r="167" spans="33:52" ph="1">
      <c r="AZ167" s="64" t="s" ph="1">
        <v>562</v>
      </c>
    </row>
    <row r="168" spans="33:52" ph="1">
      <c r="AG168" s="64" t="s" ph="1">
        <v>305</v>
      </c>
      <c r="AI168" s="64" t="s" ph="1">
        <v>209</v>
      </c>
      <c r="AJ168" s="64" t="s" ph="1">
        <v>210</v>
      </c>
      <c r="AK168" s="64" t="s" ph="1">
        <v>211</v>
      </c>
      <c r="AM168" s="64" t="s" ph="1">
        <v>210</v>
      </c>
      <c r="AN168" s="64" t="s" ph="1">
        <v>211</v>
      </c>
      <c r="AO168" s="64" t="s" ph="1">
        <v>212</v>
      </c>
      <c r="AP168" s="64" t="s" ph="1">
        <v>210</v>
      </c>
      <c r="AQ168" s="64" t="s" ph="1">
        <v>211</v>
      </c>
      <c r="AR168" s="64" t="s" ph="1">
        <v>212</v>
      </c>
      <c r="AS168" s="64" t="s" ph="1">
        <v>210</v>
      </c>
      <c r="AT168" s="64" t="s" ph="1">
        <v>211</v>
      </c>
      <c r="AU168" s="64" t="s" ph="1">
        <v>212</v>
      </c>
      <c r="AV168" s="64" t="s" ph="1">
        <v>210</v>
      </c>
      <c r="AW168" s="64" t="s" ph="1">
        <v>211</v>
      </c>
      <c r="AX168" s="64" t="s" ph="1">
        <v>212</v>
      </c>
      <c r="AY168" s="64" t="s" ph="1">
        <v>211</v>
      </c>
      <c r="AZ168" s="64" t="s" ph="1">
        <v>213</v>
      </c>
    </row>
    <row r="169" spans="33:52" ph="1">
      <c r="AH169" s="64" ph="1">
        <v>1</v>
      </c>
      <c r="AI169" s="64" t="s" ph="1">
        <v>563</v>
      </c>
      <c r="AY169" s="64" t="s" ph="1">
        <v>216</v>
      </c>
      <c r="AZ169" s="64" t="s" ph="1">
        <v>367</v>
      </c>
    </row>
    <row r="170" spans="33:52" ph="1">
      <c r="AH170" s="64" ph="1">
        <v>2</v>
      </c>
      <c r="AI170" s="64" t="s" ph="1">
        <v>564</v>
      </c>
      <c r="AY170" s="64" t="s" ph="1">
        <v>216</v>
      </c>
      <c r="AZ170" s="64" t="s" ph="1">
        <v>367</v>
      </c>
    </row>
    <row r="171" spans="33:52" ph="1">
      <c r="AH171" s="64" ph="1">
        <v>3</v>
      </c>
      <c r="AI171" s="64" t="s" ph="1">
        <v>565</v>
      </c>
      <c r="AY171" s="64" t="s" ph="1">
        <v>216</v>
      </c>
      <c r="AZ171" s="64" t="s" ph="1">
        <v>367</v>
      </c>
    </row>
    <row r="172" spans="33:52" ph="1">
      <c r="AH172" s="64" ph="1">
        <v>4</v>
      </c>
      <c r="AI172" s="64" t="s" ph="1">
        <v>566</v>
      </c>
      <c r="AY172" s="64" t="s" ph="1">
        <v>216</v>
      </c>
      <c r="AZ172" s="64" t="s" ph="1">
        <v>367</v>
      </c>
    </row>
    <row r="173" spans="33:52" ph="1">
      <c r="AH173" s="64" ph="1">
        <v>5</v>
      </c>
      <c r="AI173" s="64" t="s" ph="1">
        <v>567</v>
      </c>
      <c r="AY173" s="64" t="s" ph="1">
        <v>216</v>
      </c>
      <c r="AZ173" s="64" t="s" ph="1">
        <v>367</v>
      </c>
    </row>
    <row r="174" spans="33:52" ph="1">
      <c r="AZ174" s="64" t="s" ph="1">
        <v>385</v>
      </c>
    </row>
    <row r="175" spans="33:52" ph="1">
      <c r="AJ175" s="64" t="s" ph="1">
        <v>306</v>
      </c>
    </row>
    <row r="176" spans="33:52" ph="1">
      <c r="AJ176" s="64" t="s" ph="1">
        <v>307</v>
      </c>
      <c r="AK176" s="64" t="s" ph="1">
        <v>308</v>
      </c>
      <c r="AM176" s="64" t="s" ph="1">
        <v>309</v>
      </c>
      <c r="AO176" s="64" t="s" ph="1">
        <v>310</v>
      </c>
      <c r="AP176" s="64" t="s" ph="1">
        <v>311</v>
      </c>
      <c r="AQ176" s="64" t="s" ph="1">
        <v>301</v>
      </c>
      <c r="AR176" s="64" t="s" ph="1">
        <v>221</v>
      </c>
    </row>
    <row r="177" spans="36:56" ph="1">
      <c r="AJ177" s="64" t="s" ph="1">
        <v>603</v>
      </c>
      <c r="AK177" s="64" t="s" ph="1">
        <v>312</v>
      </c>
      <c r="AO177" s="64" t="s" ph="1">
        <v>312</v>
      </c>
      <c r="AP177" s="64" t="s" ph="1">
        <v>312</v>
      </c>
      <c r="AQ177" s="64" t="s" ph="1">
        <v>313</v>
      </c>
      <c r="AR177" s="64" t="s" ph="1">
        <v>314</v>
      </c>
    </row>
    <row r="179" spans="36:56" ph="1">
      <c r="AJ179" s="64" t="s" ph="1">
        <v>315</v>
      </c>
      <c r="AK179" s="64" t="s" ph="1">
        <v>316</v>
      </c>
      <c r="AM179" s="64" t="s" ph="1">
        <v>317</v>
      </c>
      <c r="AN179" s="64" t="s" ph="1">
        <v>293</v>
      </c>
      <c r="AO179" s="64" t="s" ph="1">
        <v>318</v>
      </c>
      <c r="AP179" s="64" t="s" ph="1">
        <v>297</v>
      </c>
      <c r="AQ179" s="64" t="s" ph="1">
        <v>319</v>
      </c>
      <c r="AR179" s="64" t="s" ph="1">
        <v>320</v>
      </c>
    </row>
    <row r="180" spans="36:56" ph="1">
      <c r="AJ180" s="64" t="s" ph="1">
        <v>312</v>
      </c>
      <c r="AK180" s="64" t="s" ph="1">
        <v>312</v>
      </c>
      <c r="AL180" s="64" ph="1">
        <v>116</v>
      </c>
      <c r="AM180" s="64" t="s" ph="1">
        <v>312</v>
      </c>
      <c r="AN180" s="64" t="s" ph="1">
        <v>321</v>
      </c>
      <c r="AO180" s="64" t="s" ph="1">
        <v>312</v>
      </c>
      <c r="AP180" s="64" t="s" ph="1">
        <v>322</v>
      </c>
      <c r="AQ180" s="64" t="s" ph="1">
        <v>323</v>
      </c>
      <c r="AR180" s="64" t="s" ph="1">
        <v>324</v>
      </c>
    </row>
    <row r="189" spans="36:56" ph="1">
      <c r="BD189" s="64" t="s" ph="1">
        <v>568</v>
      </c>
    </row>
    <row r="223" spans="18:18" ph="1">
      <c r="R223" s="135" ph="1">
        <v>45496</v>
      </c>
    </row>
  </sheetData>
  <mergeCells count="58">
    <mergeCell ref="I36:J36"/>
    <mergeCell ref="R36:S36"/>
    <mergeCell ref="AB36:AC36"/>
    <mergeCell ref="AD36:AE36"/>
    <mergeCell ref="Z33:Z34"/>
    <mergeCell ref="AA33:AA34"/>
    <mergeCell ref="AB33:AB34"/>
    <mergeCell ref="AC33:AC34"/>
    <mergeCell ref="AD33:AE34"/>
    <mergeCell ref="AC35:AE35"/>
    <mergeCell ref="T33:T34"/>
    <mergeCell ref="U33:U34"/>
    <mergeCell ref="V33:V34"/>
    <mergeCell ref="W33:W34"/>
    <mergeCell ref="X33:X34"/>
    <mergeCell ref="Y33:Y34"/>
    <mergeCell ref="S33:S34"/>
    <mergeCell ref="H33:H34"/>
    <mergeCell ref="I33:I34"/>
    <mergeCell ref="J33:J34"/>
    <mergeCell ref="K33:K34"/>
    <mergeCell ref="L33:L34"/>
    <mergeCell ref="M33:M34"/>
    <mergeCell ref="N33:N34"/>
    <mergeCell ref="O33:O34"/>
    <mergeCell ref="P33:P34"/>
    <mergeCell ref="Q33:Q34"/>
    <mergeCell ref="R33:R34"/>
    <mergeCell ref="S31:U31"/>
    <mergeCell ref="V31:X31"/>
    <mergeCell ref="Y31:AA31"/>
    <mergeCell ref="AB31:AE31"/>
    <mergeCell ref="AD32:AE32"/>
    <mergeCell ref="B33:C34"/>
    <mergeCell ref="D33:D34"/>
    <mergeCell ref="E33:E34"/>
    <mergeCell ref="F33:F34"/>
    <mergeCell ref="G33:G34"/>
    <mergeCell ref="P31:R31"/>
    <mergeCell ref="B13:B14"/>
    <mergeCell ref="B15:B17"/>
    <mergeCell ref="B18:B20"/>
    <mergeCell ref="B22:B23"/>
    <mergeCell ref="B31:C32"/>
    <mergeCell ref="D31:F31"/>
    <mergeCell ref="G31:I31"/>
    <mergeCell ref="J31:L31"/>
    <mergeCell ref="M31:O31"/>
    <mergeCell ref="Z22:AE22"/>
    <mergeCell ref="Z23:AE29"/>
    <mergeCell ref="B24:B26"/>
    <mergeCell ref="B27:B29"/>
    <mergeCell ref="B1:AE1"/>
    <mergeCell ref="B2:AE2"/>
    <mergeCell ref="B3:AE3"/>
    <mergeCell ref="B4:B5"/>
    <mergeCell ref="B6:B8"/>
    <mergeCell ref="B9:B11"/>
  </mergeCells>
  <phoneticPr fontId="2" type="noConversion"/>
  <conditionalFormatting sqref="D4:D11">
    <cfRule type="expression" dxfId="2526" priority="104">
      <formula>ABS(D$7-D$10)&gt;=1000</formula>
    </cfRule>
  </conditionalFormatting>
  <conditionalFormatting sqref="E4 E6:E11">
    <cfRule type="expression" dxfId="2525" priority="103">
      <formula>ABS(E$7-E$10)&gt;=1000</formula>
    </cfRule>
  </conditionalFormatting>
  <conditionalFormatting sqref="F4:F11">
    <cfRule type="expression" dxfId="2524" priority="102">
      <formula>ABS(F$7-F$10)&gt;=1000</formula>
    </cfRule>
  </conditionalFormatting>
  <conditionalFormatting sqref="G4:G11">
    <cfRule type="expression" dxfId="2523" priority="101">
      <formula>ABS(G$7-G$10)&gt;=1000</formula>
    </cfRule>
  </conditionalFormatting>
  <conditionalFormatting sqref="H4:H11">
    <cfRule type="expression" dxfId="2522" priority="100">
      <formula>ABS(H$7-H$10)&gt;=1000</formula>
    </cfRule>
  </conditionalFormatting>
  <conditionalFormatting sqref="I4:I11">
    <cfRule type="expression" dxfId="2521" priority="99">
      <formula>ABS(I$7-I$10)&gt;=1000</formula>
    </cfRule>
  </conditionalFormatting>
  <conditionalFormatting sqref="J4:J11">
    <cfRule type="expression" dxfId="2520" priority="98">
      <formula>ABS(J$7-J$10)&gt;=1000</formula>
    </cfRule>
  </conditionalFormatting>
  <conditionalFormatting sqref="K4:K11">
    <cfRule type="expression" dxfId="2519" priority="97">
      <formula>ABS(K$7-K$10)&gt;=1000</formula>
    </cfRule>
  </conditionalFormatting>
  <conditionalFormatting sqref="L4:L11">
    <cfRule type="expression" dxfId="2518" priority="96">
      <formula>ABS(L$7-L$10)&gt;=1000</formula>
    </cfRule>
  </conditionalFormatting>
  <conditionalFormatting sqref="M4 M6:M11">
    <cfRule type="expression" dxfId="2517" priority="95">
      <formula>ABS(M$7-M$10)&gt;=1000</formula>
    </cfRule>
  </conditionalFormatting>
  <conditionalFormatting sqref="N4 N6:N11">
    <cfRule type="expression" dxfId="2516" priority="94">
      <formula>ABS(N$7-N$10)&gt;=1000</formula>
    </cfRule>
  </conditionalFormatting>
  <conditionalFormatting sqref="O4 O6:O11">
    <cfRule type="expression" dxfId="2515" priority="93">
      <formula>ABS(O$7-O$10)&gt;=1000</formula>
    </cfRule>
  </conditionalFormatting>
  <conditionalFormatting sqref="P4 P6:P11">
    <cfRule type="expression" dxfId="2514" priority="92">
      <formula>ABS(P$7-P$10)&gt;=1000</formula>
    </cfRule>
  </conditionalFormatting>
  <conditionalFormatting sqref="Q4:Q11">
    <cfRule type="expression" dxfId="2513" priority="91">
      <formula>ABS(Q$7-Q$10)&gt;=1000</formula>
    </cfRule>
  </conditionalFormatting>
  <conditionalFormatting sqref="R4:R11">
    <cfRule type="expression" dxfId="2512" priority="90">
      <formula>ABS(R$7-R$10)&gt;=1000</formula>
    </cfRule>
  </conditionalFormatting>
  <conditionalFormatting sqref="S4:S11">
    <cfRule type="expression" dxfId="2511" priority="89">
      <formula>ABS(S$7-S$10)&gt;=1000</formula>
    </cfRule>
  </conditionalFormatting>
  <conditionalFormatting sqref="T4:T9 T11">
    <cfRule type="expression" dxfId="2510" priority="88">
      <formula>ABS(T$7-T$10)&gt;=1000</formula>
    </cfRule>
  </conditionalFormatting>
  <conditionalFormatting sqref="U4:U9 U11">
    <cfRule type="expression" dxfId="2509" priority="87">
      <formula>ABS(U$7-U$10)&gt;=1000</formula>
    </cfRule>
  </conditionalFormatting>
  <conditionalFormatting sqref="V4:V9 V11">
    <cfRule type="expression" dxfId="2508" priority="86">
      <formula>ABS(V$7-V$10)&gt;=1000</formula>
    </cfRule>
  </conditionalFormatting>
  <conditionalFormatting sqref="W4:W9 W11">
    <cfRule type="expression" dxfId="2507" priority="85">
      <formula>ABS(W$7-W$10)&gt;=1000</formula>
    </cfRule>
  </conditionalFormatting>
  <conditionalFormatting sqref="X4:X9 X11">
    <cfRule type="expression" dxfId="2506" priority="84">
      <formula>ABS(X$7-X$10)&gt;=1000</formula>
    </cfRule>
  </conditionalFormatting>
  <conditionalFormatting sqref="Y4:Y9 Y11">
    <cfRule type="expression" dxfId="2505" priority="83">
      <formula>ABS(Y$7-Y$10)&gt;=1000</formula>
    </cfRule>
  </conditionalFormatting>
  <conditionalFormatting sqref="Z4:Z11">
    <cfRule type="expression" dxfId="2504" priority="82">
      <formula>ABS(Z$7-Z$10)&gt;=1000</formula>
    </cfRule>
  </conditionalFormatting>
  <conditionalFormatting sqref="AA4:AA11">
    <cfRule type="expression" dxfId="2503" priority="81">
      <formula>ABS(AA$7-AA$10)&gt;=1000</formula>
    </cfRule>
  </conditionalFormatting>
  <conditionalFormatting sqref="AB4:AB11">
    <cfRule type="expression" dxfId="2502" priority="80">
      <formula>ABS(AB$7-AB$10)&gt;=1000</formula>
    </cfRule>
  </conditionalFormatting>
  <conditionalFormatting sqref="AC4 AC6:AC11">
    <cfRule type="expression" dxfId="2501" priority="79">
      <formula>ABS(AC$7-AC$10)&gt;=1000</formula>
    </cfRule>
  </conditionalFormatting>
  <conditionalFormatting sqref="AD4 AD6:AD11">
    <cfRule type="expression" dxfId="2500" priority="78">
      <formula>ABS(AD$7-AD$10)&gt;=1000</formula>
    </cfRule>
  </conditionalFormatting>
  <conditionalFormatting sqref="AE4 AE6:AE11">
    <cfRule type="expression" dxfId="2499" priority="77">
      <formula>ABS(AE$7-AE$10)&gt;=1000</formula>
    </cfRule>
  </conditionalFormatting>
  <conditionalFormatting sqref="D13:D20">
    <cfRule type="expression" dxfId="2498" priority="76">
      <formula>ABS(D$16-D$19)&gt;=1000</formula>
    </cfRule>
  </conditionalFormatting>
  <conditionalFormatting sqref="E13:E20">
    <cfRule type="expression" dxfId="2497" priority="75">
      <formula>ABS(E$16-E$19)&gt;=1000</formula>
    </cfRule>
  </conditionalFormatting>
  <conditionalFormatting sqref="F13 F15:F20">
    <cfRule type="expression" dxfId="2496" priority="74">
      <formula>ABS(F$16-F$19)&gt;=1000</formula>
    </cfRule>
  </conditionalFormatting>
  <conditionalFormatting sqref="G13:G20">
    <cfRule type="expression" dxfId="2495" priority="73">
      <formula>ABS(G$16-G$19)&gt;=1000</formula>
    </cfRule>
  </conditionalFormatting>
  <conditionalFormatting sqref="H13 H15:H20">
    <cfRule type="expression" dxfId="2494" priority="72">
      <formula>ABS(H$16-H$19)&gt;=1000</formula>
    </cfRule>
  </conditionalFormatting>
  <conditionalFormatting sqref="I13:I20">
    <cfRule type="expression" dxfId="2493" priority="71">
      <formula>ABS(I$16-I$19)&gt;=1000</formula>
    </cfRule>
  </conditionalFormatting>
  <conditionalFormatting sqref="J13:J20">
    <cfRule type="expression" dxfId="2492" priority="70">
      <formula>ABS(J$16-J$19)&gt;=1000</formula>
    </cfRule>
  </conditionalFormatting>
  <conditionalFormatting sqref="L13:L20">
    <cfRule type="expression" dxfId="2491" priority="69">
      <formula>ABS(L$16-L$19)&gt;=1000</formula>
    </cfRule>
  </conditionalFormatting>
  <conditionalFormatting sqref="M13 M15 M17:M18 M20">
    <cfRule type="expression" dxfId="2490" priority="68">
      <formula>ABS(M$16-M$19)&gt;=1000</formula>
    </cfRule>
  </conditionalFormatting>
  <conditionalFormatting sqref="N13:N20">
    <cfRule type="expression" dxfId="2489" priority="67">
      <formula>ABS(N$16-N$19)&gt;=1000</formula>
    </cfRule>
  </conditionalFormatting>
  <conditionalFormatting sqref="O13:O20">
    <cfRule type="expression" dxfId="2488" priority="66">
      <formula>ABS(O$16-O$19)&gt;=1000</formula>
    </cfRule>
  </conditionalFormatting>
  <conditionalFormatting sqref="P13:P20">
    <cfRule type="expression" dxfId="2487" priority="65">
      <formula>ABS(P$16-P$19)&gt;=1000</formula>
    </cfRule>
  </conditionalFormatting>
  <conditionalFormatting sqref="Q13 Q15:Q20">
    <cfRule type="expression" dxfId="2486" priority="64">
      <formula>ABS(Q$16-Q$19)&gt;=1000</formula>
    </cfRule>
  </conditionalFormatting>
  <conditionalFormatting sqref="R13 R15:R20">
    <cfRule type="expression" dxfId="2485" priority="63">
      <formula>ABS(R$16-R$19)&gt;=1000</formula>
    </cfRule>
  </conditionalFormatting>
  <conditionalFormatting sqref="S13:S20">
    <cfRule type="expression" dxfId="2484" priority="62">
      <formula>ABS(S$16-S$19)&gt;=1000</formula>
    </cfRule>
  </conditionalFormatting>
  <conditionalFormatting sqref="T13:T15 T17:T20">
    <cfRule type="expression" dxfId="2483" priority="61">
      <formula>ABS(T$16-T$19)&gt;=1000</formula>
    </cfRule>
  </conditionalFormatting>
  <conditionalFormatting sqref="U13:U20">
    <cfRule type="expression" dxfId="2482" priority="60">
      <formula>ABS(U$16-U$19)&gt;=1000</formula>
    </cfRule>
  </conditionalFormatting>
  <conditionalFormatting sqref="V13:V20">
    <cfRule type="expression" dxfId="2481" priority="59">
      <formula>ABS(V$16-V$19)&gt;=1000</formula>
    </cfRule>
  </conditionalFormatting>
  <conditionalFormatting sqref="W13 W20 W15:W18">
    <cfRule type="expression" dxfId="2480" priority="58">
      <formula>ABS(W$16-W$19)&gt;=1000</formula>
    </cfRule>
  </conditionalFormatting>
  <conditionalFormatting sqref="X13 X15:X20 Y19">
    <cfRule type="expression" dxfId="2479" priority="57">
      <formula>ABS(X$16-X$19)&gt;=1000</formula>
    </cfRule>
  </conditionalFormatting>
  <conditionalFormatting sqref="Y13 Y15:Y18 Y20">
    <cfRule type="expression" dxfId="2478" priority="56">
      <formula>ABS(Y$16-Y$19)&gt;=1000</formula>
    </cfRule>
  </conditionalFormatting>
  <conditionalFormatting sqref="Z13:Z20">
    <cfRule type="expression" dxfId="2477" priority="55">
      <formula>ABS(Z$16-Z$19)&gt;=1000</formula>
    </cfRule>
  </conditionalFormatting>
  <conditionalFormatting sqref="AA13:AA20">
    <cfRule type="expression" dxfId="2476" priority="54">
      <formula>ABS(AA$16-AA$19)&gt;=1000</formula>
    </cfRule>
  </conditionalFormatting>
  <conditionalFormatting sqref="AB13 AB15:AB20">
    <cfRule type="expression" dxfId="2475" priority="53">
      <formula>ABS(AB$16-AB$19)&gt;=1000</formula>
    </cfRule>
  </conditionalFormatting>
  <conditionalFormatting sqref="AC13 AC15:AC20">
    <cfRule type="expression" dxfId="2474" priority="52">
      <formula>ABS(AC$16-AC$19)&gt;=1000</formula>
    </cfRule>
  </conditionalFormatting>
  <conditionalFormatting sqref="AD13:AD20">
    <cfRule type="expression" dxfId="2473" priority="51">
      <formula>ABS(AD$16-AD$19)&gt;=1000</formula>
    </cfRule>
  </conditionalFormatting>
  <conditionalFormatting sqref="AE13:AE20">
    <cfRule type="expression" dxfId="2472" priority="50">
      <formula>ABS(AE$16-AE$19)&gt;=1000</formula>
    </cfRule>
  </conditionalFormatting>
  <conditionalFormatting sqref="D22:D29">
    <cfRule type="expression" dxfId="2471" priority="49">
      <formula>ABS(D$25-D$28)&gt;=1000</formula>
    </cfRule>
  </conditionalFormatting>
  <conditionalFormatting sqref="E22:E29">
    <cfRule type="expression" dxfId="2470" priority="48">
      <formula>ABS(E$25-E$28)&gt;=1000</formula>
    </cfRule>
  </conditionalFormatting>
  <conditionalFormatting sqref="F22:F29">
    <cfRule type="expression" dxfId="2469" priority="47">
      <formula>ABS(F$25-F$28)&gt;=1000</formula>
    </cfRule>
  </conditionalFormatting>
  <conditionalFormatting sqref="G22:G29">
    <cfRule type="expression" dxfId="2468" priority="46">
      <formula>ABS(G$25-G$28)&gt;=1000</formula>
    </cfRule>
  </conditionalFormatting>
  <conditionalFormatting sqref="H22:H29">
    <cfRule type="expression" dxfId="2467" priority="45">
      <formula>ABS(H$25-H$28)&gt;=1000</formula>
    </cfRule>
  </conditionalFormatting>
  <conditionalFormatting sqref="I22 I24:I29">
    <cfRule type="expression" dxfId="2466" priority="44">
      <formula>ABS(I$25-I$28)&gt;=1000</formula>
    </cfRule>
  </conditionalFormatting>
  <conditionalFormatting sqref="J22:J29 K22">
    <cfRule type="expression" dxfId="2465" priority="43">
      <formula>ABS(J$25-J$28)&gt;=1000</formula>
    </cfRule>
  </conditionalFormatting>
  <conditionalFormatting sqref="K23:K29 L25 L28">
    <cfRule type="expression" dxfId="2464" priority="42">
      <formula>ABS(K$25-K$28)&gt;=1000</formula>
    </cfRule>
  </conditionalFormatting>
  <conditionalFormatting sqref="L22 L26:L27 L29 L24">
    <cfRule type="expression" dxfId="2463" priority="41">
      <formula>ABS(L$25-L$28)&gt;=1000</formula>
    </cfRule>
  </conditionalFormatting>
  <conditionalFormatting sqref="M22:M29">
    <cfRule type="expression" dxfId="2462" priority="40">
      <formula>ABS(M$25-M$28)&gt;=1000</formula>
    </cfRule>
  </conditionalFormatting>
  <conditionalFormatting sqref="N22:N29">
    <cfRule type="expression" dxfId="2461" priority="39">
      <formula>ABS(N$25-N$28)&gt;=1000</formula>
    </cfRule>
  </conditionalFormatting>
  <conditionalFormatting sqref="O22 O24:O29">
    <cfRule type="expression" dxfId="2460" priority="38">
      <formula>ABS(O$25-O$28)&gt;=1000</formula>
    </cfRule>
  </conditionalFormatting>
  <conditionalFormatting sqref="P22:P29">
    <cfRule type="expression" dxfId="2459" priority="37">
      <formula>ABS(P$25-P$28)&gt;=1000</formula>
    </cfRule>
  </conditionalFormatting>
  <conditionalFormatting sqref="Q22:Q29">
    <cfRule type="expression" dxfId="2458" priority="36">
      <formula>ABS(Q$25-Q$28)&gt;=1000</formula>
    </cfRule>
  </conditionalFormatting>
  <conditionalFormatting sqref="R22:R29">
    <cfRule type="expression" dxfId="2457" priority="35">
      <formula>ABS(R$25-R$28)&gt;=1000</formula>
    </cfRule>
  </conditionalFormatting>
  <conditionalFormatting sqref="S22:S29">
    <cfRule type="expression" dxfId="2456" priority="34">
      <formula>ABS(S$25-S$28)&gt;=1000</formula>
    </cfRule>
  </conditionalFormatting>
  <conditionalFormatting sqref="T22:T29">
    <cfRule type="expression" dxfId="2455" priority="33">
      <formula>ABS(T$25-T$28)&gt;=1000</formula>
    </cfRule>
  </conditionalFormatting>
  <conditionalFormatting sqref="U22:U29">
    <cfRule type="expression" dxfId="2454" priority="32">
      <formula>ABS(U$25-U$28)&gt;=1000</formula>
    </cfRule>
  </conditionalFormatting>
  <conditionalFormatting sqref="V22:V29">
    <cfRule type="expression" dxfId="2453" priority="31">
      <formula>ABS(V$25-V$28)&gt;=1000</formula>
    </cfRule>
  </conditionalFormatting>
  <conditionalFormatting sqref="W22:W29">
    <cfRule type="expression" dxfId="2452" priority="30">
      <formula>ABS(W$25-W$28)&gt;=1000</formula>
    </cfRule>
  </conditionalFormatting>
  <conditionalFormatting sqref="X22:X29">
    <cfRule type="expression" dxfId="2451" priority="29">
      <formula>ABS(X$25-X$28)&gt;=1000</formula>
    </cfRule>
  </conditionalFormatting>
  <conditionalFormatting sqref="Y22:Y29">
    <cfRule type="expression" dxfId="2450" priority="28">
      <formula>ABS(Y$25-Y$28)&gt;=1000</formula>
    </cfRule>
  </conditionalFormatting>
  <conditionalFormatting sqref="I23">
    <cfRule type="expression" dxfId="2449" priority="27">
      <formula>ABS(I$25-I$28)&gt;=1000</formula>
    </cfRule>
  </conditionalFormatting>
  <conditionalFormatting sqref="Q14">
    <cfRule type="expression" dxfId="2448" priority="26">
      <formula>ABS(Q$16-Q$19)&gt;=1000</formula>
    </cfRule>
  </conditionalFormatting>
  <conditionalFormatting sqref="W14">
    <cfRule type="expression" dxfId="2447" priority="25">
      <formula>ABS(W$16-W$19)&gt;=1000</formula>
    </cfRule>
  </conditionalFormatting>
  <conditionalFormatting sqref="X14">
    <cfRule type="expression" dxfId="2446" priority="24">
      <formula>ABS(X$16-X$19)&gt;=1000</formula>
    </cfRule>
  </conditionalFormatting>
  <conditionalFormatting sqref="T10:Y10">
    <cfRule type="expression" dxfId="2445" priority="23">
      <formula>ABS(T$7-T$10)&gt;=1000</formula>
    </cfRule>
  </conditionalFormatting>
  <conditionalFormatting sqref="W19">
    <cfRule type="expression" dxfId="2444" priority="22">
      <formula>ABS(W$16-W$19)&gt;=1000</formula>
    </cfRule>
  </conditionalFormatting>
  <conditionalFormatting sqref="AC5">
    <cfRule type="expression" dxfId="2443" priority="21">
      <formula>ABS(AC$7-AC$10)&gt;=1000</formula>
    </cfRule>
  </conditionalFormatting>
  <conditionalFormatting sqref="M14">
    <cfRule type="expression" dxfId="2442" priority="20">
      <formula>ABS(M$16-M$19)&gt;=1000</formula>
    </cfRule>
  </conditionalFormatting>
  <conditionalFormatting sqref="M16">
    <cfRule type="expression" dxfId="2441" priority="19">
      <formula>ABS(M$16-M$19)&gt;=1000</formula>
    </cfRule>
  </conditionalFormatting>
  <conditionalFormatting sqref="M19">
    <cfRule type="expression" dxfId="2440" priority="18">
      <formula>ABS(M$16-M$19)&gt;=1000</formula>
    </cfRule>
  </conditionalFormatting>
  <conditionalFormatting sqref="K13:K20">
    <cfRule type="expression" dxfId="2439" priority="17">
      <formula>ABS(K$16-K$19)&gt;=1000</formula>
    </cfRule>
  </conditionalFormatting>
  <conditionalFormatting sqref="E5">
    <cfRule type="expression" dxfId="2438" priority="16">
      <formula>ABS(E$7-E$10)&gt;=1000</formula>
    </cfRule>
  </conditionalFormatting>
  <conditionalFormatting sqref="AB14:AC14">
    <cfRule type="expression" dxfId="2437" priority="15">
      <formula>ABS(AB$16-AB$19)&gt;=1000</formula>
    </cfRule>
  </conditionalFormatting>
  <conditionalFormatting sqref="M5">
    <cfRule type="expression" dxfId="2436" priority="14">
      <formula>ABS(M$7-M$10)&gt;=1000</formula>
    </cfRule>
  </conditionalFormatting>
  <conditionalFormatting sqref="N5">
    <cfRule type="expression" dxfId="2435" priority="13">
      <formula>ABS(N$7-N$10)&gt;=1000</formula>
    </cfRule>
  </conditionalFormatting>
  <conditionalFormatting sqref="O5">
    <cfRule type="expression" dxfId="2434" priority="12">
      <formula>ABS(O$7-O$10)&gt;=1000</formula>
    </cfRule>
  </conditionalFormatting>
  <conditionalFormatting sqref="P5">
    <cfRule type="expression" dxfId="2433" priority="11">
      <formula>ABS(P$7-P$10)&gt;=1000</formula>
    </cfRule>
  </conditionalFormatting>
  <conditionalFormatting sqref="L23">
    <cfRule type="expression" dxfId="2432" priority="10">
      <formula>ABS(L$25-L$28)&gt;=1000</formula>
    </cfRule>
  </conditionalFormatting>
  <conditionalFormatting sqref="Y14">
    <cfRule type="expression" dxfId="2431" priority="9">
      <formula>ABS(Y$16-Y$19)&gt;=1000</formula>
    </cfRule>
  </conditionalFormatting>
  <conditionalFormatting sqref="H14">
    <cfRule type="expression" dxfId="2430" priority="8">
      <formula>ABS(H$16-H$19)&gt;=1000</formula>
    </cfRule>
  </conditionalFormatting>
  <conditionalFormatting sqref="AD5">
    <cfRule type="expression" dxfId="2429" priority="7">
      <formula>ABS(AD$7-AD$10)&gt;=1000</formula>
    </cfRule>
  </conditionalFormatting>
  <conditionalFormatting sqref="AE5">
    <cfRule type="expression" dxfId="2428" priority="6">
      <formula>ABS(AE$7-AE$10)&gt;=1000</formula>
    </cfRule>
  </conditionalFormatting>
  <conditionalFormatting sqref="T16">
    <cfRule type="expression" dxfId="2427" priority="5">
      <formula>ABS(T$16-T$19)&gt;=1000</formula>
    </cfRule>
  </conditionalFormatting>
  <conditionalFormatting sqref="F14">
    <cfRule type="expression" dxfId="2426" priority="3">
      <formula>ABS(F$16-F$19)&gt;=1000</formula>
    </cfRule>
  </conditionalFormatting>
  <conditionalFormatting sqref="R14">
    <cfRule type="expression" dxfId="2425" priority="2">
      <formula>ABS(R$16-R$19)&gt;=1000</formula>
    </cfRule>
  </conditionalFormatting>
  <conditionalFormatting sqref="O23">
    <cfRule type="expression" dxfId="2424" priority="1">
      <formula>ABS(O$25-O$28)&gt;=1000</formula>
    </cfRule>
  </conditionalFormatting>
  <dataValidations count="1">
    <dataValidation operator="greaterThanOrEqual" allowBlank="1" showErrorMessage="1" sqref="D6"/>
  </dataValidations>
  <printOptions horizontalCentered="1"/>
  <pageMargins left="0.39370078740157483" right="0.39370078740157483" top="0.39370078740157483" bottom="0.39370078740157483" header="0.51181102362204722" footer="0.51181102362204722"/>
  <pageSetup paperSize="9" scale="60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55265" r:id="rId4" name="Button 1">
              <controlPr defaultSize="0" print="0" autoFill="0" autoPict="0">
                <anchor moveWithCells="1">
                  <from>
                    <xdr:col>31</xdr:col>
                    <xdr:colOff>0</xdr:colOff>
                    <xdr:row>0</xdr:row>
                    <xdr:rowOff>342900</xdr:rowOff>
                  </from>
                  <to>
                    <xdr:col>32</xdr:col>
                    <xdr:colOff>411480</xdr:colOff>
                    <xdr:row>3</xdr:row>
                    <xdr:rowOff>30480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968">
    <pageSetUpPr fitToPage="1"/>
  </sheetPr>
  <dimension ref="A1:CU223"/>
  <sheetViews>
    <sheetView view="pageBreakPreview" topLeftCell="B19" zoomScale="85" zoomScaleNormal="100" zoomScaleSheetLayoutView="85" workbookViewId="0">
      <selection activeCell="O23" sqref="O23"/>
    </sheetView>
  </sheetViews>
  <sheetFormatPr defaultColWidth="8.109375" defaultRowHeight="25.8"/>
  <cols>
    <col min="1" max="1" width="11.6640625" style="64" customWidth="1" phonetic="1"/>
    <col min="2" max="2" width="7.6640625" style="64" customWidth="1" phonetic="1"/>
    <col min="3" max="3" width="8" style="64" customWidth="1" phonetic="1"/>
    <col min="4" max="8" width="7.6640625" style="64" customWidth="1" phonetic="1"/>
    <col min="9" max="9" width="8" style="64" customWidth="1" phonetic="1"/>
    <col min="10" max="12" width="7.6640625" style="64" customWidth="1" phonetic="1"/>
    <col min="13" max="13" width="7.77734375" style="64" bestFit="1" customWidth="1" phonetic="1"/>
    <col min="14" max="30" width="7.6640625" style="64" customWidth="1" phonetic="1"/>
    <col min="31" max="31" width="7.6640625" style="75" customWidth="1" phonetic="1"/>
    <col min="32" max="32" width="11.6640625" style="64" bestFit="1" customWidth="1" phonetic="1"/>
    <col min="33" max="33" width="22.109375" style="64" customWidth="1" phonetic="1"/>
    <col min="34" max="34" width="5.6640625" style="64" customWidth="1" phonetic="1"/>
    <col min="35" max="35" width="18.21875" style="64" customWidth="1" phonetic="1"/>
    <col min="36" max="36" width="12" style="64" bestFit="1" customWidth="1" phonetic="1"/>
    <col min="37" max="37" width="11.6640625" style="64" bestFit="1" customWidth="1" phonetic="1"/>
    <col min="38" max="38" width="5.6640625" style="64" customWidth="1" phonetic="1"/>
    <col min="39" max="39" width="11.44140625" style="64" bestFit="1" customWidth="1" phonetic="1"/>
    <col min="40" max="40" width="6.21875" style="64" customWidth="1" phonetic="1"/>
    <col min="41" max="41" width="8.6640625" style="64" customWidth="1" phonetic="1"/>
    <col min="42" max="42" width="11.21875" style="64" customWidth="1" phonetic="1"/>
    <col min="43" max="43" width="11.77734375" style="64" customWidth="1" phonetic="1"/>
    <col min="44" max="44" width="11.21875" style="64" customWidth="1" phonetic="1"/>
    <col min="45" max="45" width="11.21875" style="64" bestFit="1" customWidth="1" phonetic="1"/>
    <col min="46" max="46" width="41.77734375" style="64" customWidth="1" phonetic="1"/>
    <col min="47" max="47" width="7.77734375" style="64" customWidth="1" phonetic="1"/>
    <col min="48" max="48" width="17.109375" style="64" customWidth="1" phonetic="1"/>
    <col min="49" max="49" width="6.21875" style="64" customWidth="1" phonetic="1"/>
    <col min="50" max="50" width="10" style="64" customWidth="1" phonetic="1"/>
    <col min="51" max="51" width="6.21875" style="64" customWidth="1" phonetic="1"/>
    <col min="52" max="52" width="6.88671875" style="64" customWidth="1" phonetic="1"/>
    <col min="53" max="53" width="6.44140625" style="64" customWidth="1" phonetic="1"/>
    <col min="54" max="54" width="15.44140625" style="64" customWidth="1" phonetic="1"/>
    <col min="55" max="55" width="6.21875" style="64" customWidth="1" phonetic="1"/>
    <col min="56" max="56" width="22.109375" style="64" bestFit="1" customWidth="1" phonetic="1"/>
    <col min="57" max="57" width="6.44140625" style="64" customWidth="1" phonetic="1"/>
    <col min="58" max="60" width="6.21875" style="64" customWidth="1" phonetic="1"/>
    <col min="61" max="16384" width="8.109375" style="64" phonetic="1"/>
  </cols>
  <sheetData>
    <row r="1" spans="1:99" ht="31.2" ph="1">
      <c r="A1" s="64"/>
      <c r="B1" s="238" t="s" ph="1">
        <v>161</v>
      </c>
      <c r="C1" s="238" ph="1"/>
      <c r="D1" s="238" ph="1"/>
      <c r="E1" s="238" ph="1"/>
      <c r="F1" s="238" ph="1"/>
      <c r="G1" s="238" ph="1"/>
      <c r="H1" s="238" ph="1"/>
      <c r="I1" s="238" ph="1"/>
      <c r="J1" s="238" ph="1"/>
      <c r="K1" s="238" ph="1"/>
      <c r="L1" s="238" ph="1"/>
      <c r="M1" s="238" ph="1"/>
      <c r="N1" s="238" ph="1"/>
      <c r="O1" s="238" ph="1"/>
      <c r="P1" s="238" ph="1"/>
      <c r="Q1" s="238" ph="1"/>
      <c r="R1" s="238" ph="1"/>
      <c r="S1" s="238" ph="1"/>
      <c r="T1" s="238" ph="1"/>
      <c r="U1" s="238" ph="1"/>
      <c r="V1" s="238" ph="1"/>
      <c r="W1" s="238" ph="1"/>
      <c r="X1" s="238" ph="1"/>
      <c r="Y1" s="238" ph="1"/>
      <c r="Z1" s="238" ph="1"/>
      <c r="AA1" s="238" ph="1"/>
      <c r="AB1" s="238" ph="1"/>
      <c r="AC1" s="238" ph="1"/>
      <c r="AD1" s="238" ph="1"/>
      <c r="AE1" s="238" ph="1"/>
    </row>
    <row r="2" spans="1:99" s="66" customFormat="1" ht="24" customHeight="1" ph="1">
      <c r="B2" s="239" t="s" ph="1">
        <v>82</v>
      </c>
      <c r="C2" s="239" ph="1"/>
      <c r="D2" s="239" ph="1"/>
      <c r="E2" s="239" ph="1"/>
      <c r="F2" s="239" ph="1"/>
      <c r="G2" s="239" ph="1"/>
      <c r="H2" s="239" ph="1"/>
      <c r="I2" s="239" ph="1"/>
      <c r="J2" s="239" ph="1"/>
      <c r="K2" s="239" ph="1"/>
      <c r="L2" s="239" ph="1"/>
      <c r="M2" s="239" ph="1"/>
      <c r="N2" s="239" ph="1"/>
      <c r="O2" s="239" ph="1"/>
      <c r="P2" s="239" ph="1"/>
      <c r="Q2" s="239" ph="1"/>
      <c r="R2" s="239" ph="1"/>
      <c r="S2" s="239" ph="1"/>
      <c r="T2" s="239" ph="1"/>
      <c r="U2" s="239" ph="1"/>
      <c r="V2" s="239" ph="1"/>
      <c r="W2" s="239" ph="1"/>
      <c r="X2" s="239" ph="1"/>
      <c r="Y2" s="239" ph="1"/>
      <c r="Z2" s="239" ph="1"/>
      <c r="AA2" s="239" ph="1"/>
      <c r="AB2" s="239" ph="1"/>
      <c r="AC2" s="239" ph="1"/>
      <c r="AD2" s="239" ph="1"/>
      <c r="AE2" s="239" ph="1"/>
    </row>
    <row r="3" spans="1:99" ht="21" customHeight="1" ph="1">
      <c r="B3" s="240" ph="1">
        <v>46268</v>
      </c>
      <c r="C3" s="240"/>
      <c r="D3" s="240"/>
      <c r="E3" s="240"/>
      <c r="F3" s="240"/>
      <c r="G3" s="240"/>
      <c r="H3" s="240"/>
      <c r="I3" s="240"/>
      <c r="J3" s="240"/>
      <c r="K3" s="240"/>
      <c r="L3" s="240"/>
      <c r="M3" s="240"/>
      <c r="N3" s="240"/>
      <c r="O3" s="240"/>
      <c r="P3" s="240"/>
      <c r="Q3" s="240"/>
      <c r="R3" s="240"/>
      <c r="S3" s="240"/>
      <c r="T3" s="240"/>
      <c r="U3" s="240"/>
      <c r="V3" s="240"/>
      <c r="W3" s="240"/>
      <c r="X3" s="240"/>
      <c r="Y3" s="240"/>
      <c r="Z3" s="240"/>
      <c r="AA3" s="240"/>
      <c r="AB3" s="240"/>
      <c r="AC3" s="240"/>
      <c r="AD3" s="240"/>
      <c r="AE3" s="240"/>
    </row>
    <row r="4" spans="1:99" s="69" customFormat="1" ph="1">
      <c r="A4" s="65" ph="1"/>
      <c r="B4" s="219" t="s" ph="1">
        <v>37</v>
      </c>
      <c r="C4" s="67" t="s" ph="1">
        <v>176</v>
      </c>
      <c r="D4" s="68" t="s" ph="1">
        <v>44</v>
      </c>
      <c r="E4" s="68" t="s" ph="1">
        <v>45</v>
      </c>
      <c r="F4" s="68" t="s" ph="1">
        <v>39</v>
      </c>
      <c r="G4" s="68" t="s" ph="1">
        <v>46</v>
      </c>
      <c r="H4" s="68" t="s" ph="1">
        <v>47</v>
      </c>
      <c r="I4" s="68" t="s" ph="1">
        <v>110</v>
      </c>
      <c r="J4" s="68" t="s" ph="1">
        <v>48</v>
      </c>
      <c r="K4" s="68" t="s" ph="1">
        <v>111</v>
      </c>
      <c r="L4" s="68" t="s" ph="1">
        <v>112</v>
      </c>
      <c r="M4" s="68" t="s" ph="1">
        <v>49</v>
      </c>
      <c r="N4" s="68" t="s" ph="1">
        <v>50</v>
      </c>
      <c r="O4" s="68" t="s" ph="1">
        <v>113</v>
      </c>
      <c r="P4" s="68" t="s" ph="1">
        <v>114</v>
      </c>
      <c r="Q4" s="68" t="s" ph="1">
        <v>115</v>
      </c>
      <c r="R4" s="68" t="s" ph="1">
        <v>116</v>
      </c>
      <c r="S4" s="68" t="s" ph="1">
        <v>117</v>
      </c>
      <c r="T4" s="68" t="s" ph="1">
        <v>118</v>
      </c>
      <c r="U4" s="68" t="s" ph="1">
        <v>119</v>
      </c>
      <c r="V4" s="68" t="s" ph="1">
        <v>120</v>
      </c>
      <c r="W4" s="68" t="s" ph="1">
        <v>121</v>
      </c>
      <c r="X4" s="68" t="s" ph="1">
        <v>122</v>
      </c>
      <c r="Y4" s="68" t="s" ph="1">
        <v>123</v>
      </c>
      <c r="Z4" s="68" t="s" ph="1">
        <v>51</v>
      </c>
      <c r="AA4" s="68" t="s" ph="1">
        <v>124</v>
      </c>
      <c r="AB4" s="68" t="s" ph="1">
        <v>125</v>
      </c>
      <c r="AC4" s="68" t="s" ph="1">
        <v>126</v>
      </c>
      <c r="AD4" s="68" t="s" ph="1">
        <v>40</v>
      </c>
      <c r="AE4" s="68" t="s" ph="1">
        <v>127</v>
      </c>
      <c r="AF4" s="65" ph="1"/>
      <c r="AG4" s="65" ph="1"/>
      <c r="AH4" s="65" ph="1"/>
      <c r="AI4" s="65" ph="1"/>
      <c r="AJ4" s="65" ph="1"/>
      <c r="AK4" s="65" ph="1"/>
      <c r="AL4" s="65" ph="1"/>
      <c r="AM4" s="65" ph="1"/>
      <c r="AN4" s="65" ph="1"/>
      <c r="AO4" s="65" ph="1"/>
      <c r="AP4" s="65" ph="1"/>
      <c r="AQ4" s="65" ph="1"/>
      <c r="AR4" s="65" ph="1"/>
      <c r="AS4" s="65" ph="1"/>
      <c r="AT4" s="65" ph="1"/>
      <c r="AU4" s="65" ph="1"/>
      <c r="AV4" s="65" ph="1"/>
      <c r="AW4" s="65" ph="1"/>
      <c r="AX4" s="65" ph="1"/>
      <c r="AY4" s="65" ph="1"/>
      <c r="AZ4" s="65" ph="1"/>
      <c r="BA4" s="65" ph="1"/>
      <c r="BB4" s="65" ph="1"/>
      <c r="BC4" s="65" ph="1"/>
      <c r="BD4" s="65" ph="1"/>
      <c r="BE4" s="65" ph="1"/>
      <c r="BF4" s="65" ph="1"/>
      <c r="BG4" s="65" ph="1"/>
      <c r="BH4" s="65" ph="1"/>
      <c r="BI4" s="65" ph="1"/>
      <c r="BJ4" s="65" ph="1"/>
      <c r="BK4" s="65" ph="1"/>
      <c r="BL4" s="65" ph="1"/>
      <c r="BM4" s="65" ph="1"/>
      <c r="BN4" s="65" ph="1"/>
      <c r="BO4" s="65" ph="1"/>
      <c r="BP4" s="65" ph="1"/>
      <c r="BQ4" s="65" ph="1"/>
      <c r="BR4" s="65" ph="1"/>
      <c r="BS4" s="65" ph="1"/>
      <c r="BT4" s="65" ph="1"/>
      <c r="BU4" s="65" ph="1"/>
      <c r="BV4" s="65" ph="1"/>
      <c r="BW4" s="65" ph="1"/>
      <c r="BX4" s="65" ph="1"/>
      <c r="BY4" s="65" ph="1"/>
      <c r="BZ4" s="65" ph="1"/>
      <c r="CA4" s="65" ph="1"/>
      <c r="CB4" s="65" ph="1"/>
      <c r="CC4" s="65" ph="1"/>
      <c r="CD4" s="65" ph="1"/>
      <c r="CE4" s="65" ph="1"/>
      <c r="CF4" s="65" ph="1"/>
      <c r="CG4" s="65" ph="1"/>
      <c r="CH4" s="65" ph="1"/>
      <c r="CI4" s="65" ph="1"/>
      <c r="CJ4" s="65" ph="1"/>
      <c r="CK4" s="65" ph="1"/>
      <c r="CL4" s="65" ph="1"/>
      <c r="CM4" s="65" ph="1"/>
      <c r="CN4" s="65" ph="1"/>
      <c r="CO4" s="65" ph="1"/>
      <c r="CP4" s="65" ph="1"/>
      <c r="CQ4" s="65" ph="1"/>
      <c r="CR4" s="65" ph="1"/>
      <c r="CS4" s="65" ph="1"/>
      <c r="CT4" s="65" ph="1"/>
      <c r="CU4" s="65" ph="1"/>
    </row>
    <row r="5" spans="1:99" s="69" customFormat="1" ht="29.25" customHeight="1" ph="1">
      <c r="A5" s="65" ph="1"/>
      <c r="B5" s="219" ph="1"/>
      <c r="C5" s="67" t="s" ph="1">
        <v>36</v>
      </c>
      <c r="D5" s="70" t="s" ph="1">
        <v>160</v>
      </c>
      <c r="E5" s="142" t="s" ph="1">
        <v>617</v>
      </c>
      <c r="F5" s="142" t="s" ph="1">
        <v>1</v>
      </c>
      <c r="G5" s="142" t="s" ph="1">
        <v>7</v>
      </c>
      <c r="H5" s="142" t="s" ph="1">
        <v>7</v>
      </c>
      <c r="I5" s="141" t="s" ph="1">
        <v>608</v>
      </c>
      <c r="J5" s="141" t="s" ph="1">
        <v>609</v>
      </c>
      <c r="K5" s="141" t="s" ph="1">
        <v>611</v>
      </c>
      <c r="L5" s="141" t="s" ph="1">
        <v>613</v>
      </c>
      <c r="M5" s="141" t="s" ph="1">
        <v>608</v>
      </c>
      <c r="N5" s="70" t="s" ph="1">
        <v>609</v>
      </c>
      <c r="O5" s="70" t="s" ph="1">
        <v>611</v>
      </c>
      <c r="P5" s="70" t="s" ph="1">
        <v>613</v>
      </c>
      <c r="Q5" s="70" t="s" ph="1">
        <v>607</v>
      </c>
      <c r="R5" s="70" t="s" ph="1">
        <v>607</v>
      </c>
      <c r="S5" s="70" t="s" ph="1">
        <v>607</v>
      </c>
      <c r="T5" s="70" t="s" ph="1">
        <v>607</v>
      </c>
      <c r="U5" s="70" t="s" ph="1">
        <v>607</v>
      </c>
      <c r="V5" s="70" t="s" ph="1">
        <v>607</v>
      </c>
      <c r="W5" s="70" t="s" ph="1">
        <v>607</v>
      </c>
      <c r="X5" s="70" t="s" ph="1">
        <v>607</v>
      </c>
      <c r="Y5" s="70" t="s" ph="1">
        <v>607</v>
      </c>
      <c r="Z5" s="70" t="s" ph="1">
        <v>614</v>
      </c>
      <c r="AA5" s="70" t="s" ph="1">
        <v>54</v>
      </c>
      <c r="AB5" s="70" t="s" ph="1">
        <v>54</v>
      </c>
      <c r="AC5" s="70" t="s" ph="1">
        <v>615</v>
      </c>
      <c r="AD5" s="71" t="s">
        <v>72</v>
      </c>
      <c r="AE5" s="71" t="s">
        <v>635</v>
      </c>
      <c r="AF5" s="65" ph="1"/>
      <c r="AG5" s="65" ph="1"/>
      <c r="AH5" s="65" ph="1"/>
      <c r="AI5" s="65" ph="1"/>
      <c r="AJ5" s="65" ph="1"/>
      <c r="AK5" s="65" ph="1"/>
      <c r="AL5" s="65" ph="1"/>
      <c r="AM5" s="65" ph="1"/>
      <c r="AN5" s="65" ph="1"/>
      <c r="AO5" s="65" ph="1"/>
      <c r="AP5" s="65" ph="1"/>
      <c r="AQ5" s="65" ph="1"/>
      <c r="AR5" s="65" ph="1"/>
      <c r="AS5" s="65" ph="1"/>
      <c r="AT5" s="65" ph="1"/>
      <c r="AU5" s="65" ph="1"/>
      <c r="AV5" s="65" ph="1"/>
      <c r="AW5" s="65" ph="1"/>
      <c r="AX5" s="65" ph="1"/>
      <c r="AY5" s="65" ph="1"/>
      <c r="AZ5" s="65" ph="1"/>
      <c r="BA5" s="65" ph="1"/>
      <c r="BB5" s="65" ph="1"/>
      <c r="BC5" s="65" ph="1"/>
      <c r="BD5" s="65" ph="1"/>
      <c r="BE5" s="65" ph="1"/>
      <c r="BF5" s="65" ph="1"/>
      <c r="BG5" s="65" ph="1"/>
      <c r="BH5" s="65" ph="1"/>
      <c r="BI5" s="65" ph="1"/>
      <c r="BJ5" s="65" ph="1"/>
      <c r="BK5" s="65" ph="1"/>
      <c r="BL5" s="65" ph="1"/>
      <c r="BM5" s="65" ph="1"/>
      <c r="BN5" s="65" ph="1"/>
      <c r="BO5" s="65" ph="1"/>
      <c r="BP5" s="65" ph="1"/>
      <c r="BQ5" s="65" ph="1"/>
      <c r="BR5" s="65" ph="1"/>
      <c r="BS5" s="65" ph="1"/>
      <c r="BT5" s="65" ph="1"/>
      <c r="BU5" s="65" ph="1"/>
      <c r="BV5" s="65" ph="1"/>
      <c r="BW5" s="65" ph="1"/>
      <c r="BX5" s="65" ph="1"/>
      <c r="BY5" s="65" ph="1"/>
      <c r="BZ5" s="65" ph="1"/>
      <c r="CA5" s="65" ph="1"/>
      <c r="CB5" s="65" ph="1"/>
      <c r="CC5" s="65" ph="1"/>
      <c r="CD5" s="65" ph="1"/>
      <c r="CE5" s="65" ph="1"/>
      <c r="CF5" s="65" ph="1"/>
      <c r="CG5" s="65" ph="1"/>
      <c r="CH5" s="65" ph="1"/>
      <c r="CI5" s="65" ph="1"/>
      <c r="CJ5" s="65" ph="1"/>
      <c r="CK5" s="65" ph="1"/>
      <c r="CL5" s="65" ph="1"/>
      <c r="CM5" s="65" ph="1"/>
      <c r="CN5" s="65" ph="1"/>
      <c r="CO5" s="65" ph="1"/>
      <c r="CP5" s="65" ph="1"/>
      <c r="CQ5" s="65" ph="1"/>
      <c r="CR5" s="65" ph="1"/>
      <c r="CS5" s="65" ph="1"/>
      <c r="CT5" s="65" ph="1"/>
      <c r="CU5" s="65" ph="1"/>
    </row>
    <row r="6" spans="1:99" ph="1">
      <c r="B6" s="237" ph="1">
        <v>0.33333333333333331</v>
      </c>
      <c r="C6" s="150" t="s" ph="1">
        <v>177</v>
      </c>
      <c r="D6" s="71">
        <v>128</v>
      </c>
      <c r="E6" s="71">
        <v>3441</v>
      </c>
      <c r="F6" s="71">
        <v>4074</v>
      </c>
      <c r="G6" s="71">
        <v>3126</v>
      </c>
      <c r="H6" s="71">
        <v>2909</v>
      </c>
      <c r="I6" s="71">
        <v>17.54</v>
      </c>
      <c r="J6" s="71">
        <v>76.75</v>
      </c>
      <c r="K6" s="71">
        <v>7.74</v>
      </c>
      <c r="L6" s="71">
        <v>7.19</v>
      </c>
      <c r="M6" s="71">
        <v>3647</v>
      </c>
      <c r="N6" s="71">
        <v>2152</v>
      </c>
      <c r="O6" s="71">
        <v>4027</v>
      </c>
      <c r="P6" s="71">
        <v>1465</v>
      </c>
      <c r="Q6" s="71">
        <v>2996</v>
      </c>
      <c r="R6" s="71">
        <v>0</v>
      </c>
      <c r="S6" s="71">
        <v>0</v>
      </c>
      <c r="T6" s="71">
        <v>0</v>
      </c>
      <c r="U6" s="71">
        <v>4382</v>
      </c>
      <c r="V6" s="71">
        <v>5969</v>
      </c>
      <c r="W6" s="71">
        <v>7015</v>
      </c>
      <c r="X6" s="71">
        <v>6727</v>
      </c>
      <c r="Y6" s="71">
        <v>2453</v>
      </c>
      <c r="Z6" s="71">
        <v>3428</v>
      </c>
      <c r="AA6" s="71">
        <v>1302</v>
      </c>
      <c r="AB6" s="71">
        <v>1694</v>
      </c>
      <c r="AC6" s="71">
        <v>5932</v>
      </c>
      <c r="AD6" s="71">
        <v>3598</v>
      </c>
      <c r="AE6" s="71">
        <v>5576</v>
      </c>
    </row>
    <row r="7" spans="1:99" s="72" customFormat="1" ht="22.2" ph="1">
      <c r="B7" s="237" ph="1"/>
      <c r="C7" s="68" t="s" ph="1">
        <v>178</v>
      </c>
      <c r="D7" s="73" ph="1">
        <f>D6*33.183*LOOKUP(D8,密度!$A$2:$A$50,密度!$Q$2:$Q$50)</f>
        <v>4018.19052672</v>
      </c>
      <c r="E7" s="73" ph="1">
        <f>E6*51.53*LOOKUP(E8,密度!$A$2:$A$50,密度!$B$2:$B$50)</f>
        <v>138074.980251</v>
      </c>
      <c r="F7" s="73" ph="1">
        <f>F6*33.183*LOOKUP(F8,密度!$A$2:$A$50,密度!$C$2:$C$50)</f>
        <v>149909.46532379999</v>
      </c>
      <c r="G7" s="73" ph="1">
        <f xml:space="preserve"> (G6+2)*51.53*LOOKUP(G8,密度!$A$2:$A$50,密度!$B$2:$B$50)</f>
        <v>125386.464936</v>
      </c>
      <c r="H7" s="73" ph="1">
        <f>(H6)*51.53*LOOKUP(H8,密度!$A$2:$A$50,密度!$B$2:$B$50)</f>
        <v>116862.64029199998</v>
      </c>
      <c r="I7" s="73" ph="1">
        <f>I6*290.8*1.0267</f>
        <v>5236.818874399999</v>
      </c>
      <c r="J7" s="73" ph="1">
        <f>J6*290.8*0.7892</f>
        <v>17614.07588</v>
      </c>
      <c r="K7" s="73" ph="1">
        <f>K6*290.8*1.1126</f>
        <v>2504.2311792000005</v>
      </c>
      <c r="L7" s="73" ph="1">
        <f>L6*290.8*0.777</f>
        <v>1624.5920040000003</v>
      </c>
      <c r="M7" s="73" ph="1">
        <f>M6*33.183*LOOKUP(M8,密度!$A$2:$A$50,密度!$D$2:$D$50)</f>
        <v>124019.65734479998</v>
      </c>
      <c r="N7" s="73" ph="1">
        <f>N6*33.183*LOOKUP(N8,密度!$A$2:$A$50,密度!$E$2:$E$50)</f>
        <v>55685.37451680001</v>
      </c>
      <c r="O7" s="73" ph="1">
        <f>O6*20.428*LOOKUP(O8,密度!$A$2:$A$50,密度!$C$2:$C$50)</f>
        <v>90909.4557356</v>
      </c>
      <c r="P7" s="73" ph="1">
        <f>P6*51.53*LOOKUP(P8,密度!$A$2:$A$50,密度!$B$2:$B$50)</f>
        <v>58785.192114999991</v>
      </c>
      <c r="Q7" s="73" ph="1">
        <f>Q6*1.5*1.5*3.1416*LOOKUP(W8,密度!$A$2:$A$50,密度!$L$2:$L$50)</f>
        <v>19800.986436000003</v>
      </c>
      <c r="R7" s="73" ph="1">
        <f>R6*1.5*1.5*3.1416*LOOKUP(R8,密度!$A$2:$A$50,密度!$L$2:$L$50)</f>
        <v>0</v>
      </c>
      <c r="S7" s="73" ph="1">
        <f>S6*1.5*1.5*3.1416*LOOKUP(S8,密度!$A$2:$A$50,密度!$L$2:$L$50)</f>
        <v>0</v>
      </c>
      <c r="T7" s="73" ph="1">
        <f>T6*1.5*1.5*3.1416*LOOKUP(T8,密度!$A$2:$A$50,密度!$L$2:$L$50)</f>
        <v>0</v>
      </c>
      <c r="U7" s="73" ph="1">
        <f>U6*1.5*1.5*3.1416*LOOKUP(U8,密度!$A$2:$A$50,密度!$L$2:$L$50)</f>
        <v>28961.255861999998</v>
      </c>
      <c r="V7" s="73" ph="1">
        <f>V6*1.5*1.5*3.1416*LOOKUP(V8,密度!$A$2:$A$50,密度!$L$2:$L$50)</f>
        <v>39407.770155600003</v>
      </c>
      <c r="W7" s="73" ph="1">
        <f>W6*1.5*1.5*3.1416*LOOKUP(W8,密度!$A$2:$A$50,密度!$L$2:$L$50)</f>
        <v>46363.124114999999</v>
      </c>
      <c r="X7" s="73" ph="1">
        <f>X6*1.5*1.5*3.1416*LOOKUP(X8,密度!$A$2:$A$50,密度!$L$2:$L$50)</f>
        <v>44935.196228999994</v>
      </c>
      <c r="Y7" s="73" ph="1">
        <f>Y6*1.5*1.5*3.1416*LOOKUP(Y8,密度!$A$2:$A$50,密度!$L$2:$L$50)</f>
        <v>16246.901424600001</v>
      </c>
      <c r="Z7" s="73" ph="1">
        <f>Z6*33.183*LOOKUP(Z8,密度!$A$2:$A$50,密度!$L$2:$L$50)</f>
        <v>107039.99588399999</v>
      </c>
      <c r="AA7" s="73" ph="1">
        <f>AA6*33.183*LOOKUP(AA8,密度!$A$2:$A$50,密度!$D$2:$D$50)</f>
        <v>44318.936062800007</v>
      </c>
      <c r="AB7" s="73" ph="1">
        <f>AB6*20.428*LOOKUP(AB8,密度!$A$2:$A$50,密度!$D$2:$D$50)</f>
        <v>35660.485476000002</v>
      </c>
      <c r="AC7" s="73" ph="1">
        <f>AC6*51.53*LOOKUP(AC8,密度!$A$2:$A$50,密度!$Q$2:$Q$50)</f>
        <v>289178.62843880005</v>
      </c>
      <c r="AD7" s="73" ph="1">
        <f>AD6*20.428*LOOKUP(AD8,密度!$A$2:$A$50,密度!$V$2:$V$50)</f>
        <v>70383.546374400001</v>
      </c>
      <c r="AE7" s="73" ph="1">
        <f>AE6*20.428</f>
        <v>113906.52800000001</v>
      </c>
    </row>
    <row r="8" spans="1:99" ph="1">
      <c r="B8" s="237" ph="1"/>
      <c r="C8" s="68" t="s" ph="1">
        <v>179</v>
      </c>
      <c r="D8" s="74">
        <v>26</v>
      </c>
      <c r="E8" s="74">
        <v>26</v>
      </c>
      <c r="F8" s="74">
        <v>25</v>
      </c>
      <c r="G8" s="74">
        <v>27</v>
      </c>
      <c r="H8" s="74">
        <v>25</v>
      </c>
      <c r="I8" s="74">
        <v>25</v>
      </c>
      <c r="J8" s="74">
        <v>25</v>
      </c>
      <c r="K8" s="74">
        <v>25</v>
      </c>
      <c r="L8" s="74">
        <v>25</v>
      </c>
      <c r="M8" s="74">
        <v>27</v>
      </c>
      <c r="N8" s="74">
        <v>28</v>
      </c>
      <c r="O8" s="74">
        <v>30</v>
      </c>
      <c r="P8" s="74">
        <v>26</v>
      </c>
      <c r="Q8" s="74">
        <v>30</v>
      </c>
      <c r="R8" s="74">
        <v>35</v>
      </c>
      <c r="S8" s="74">
        <v>25</v>
      </c>
      <c r="T8" s="74">
        <v>20</v>
      </c>
      <c r="U8" s="74">
        <v>27</v>
      </c>
      <c r="V8" s="74">
        <v>28</v>
      </c>
      <c r="W8" s="74">
        <v>27</v>
      </c>
      <c r="X8" s="74">
        <v>17</v>
      </c>
      <c r="Y8" s="74">
        <v>25</v>
      </c>
      <c r="Z8" s="74">
        <v>21</v>
      </c>
      <c r="AA8" s="74">
        <v>26</v>
      </c>
      <c r="AB8" s="74">
        <v>21</v>
      </c>
      <c r="AC8" s="74">
        <v>26</v>
      </c>
      <c r="AD8" s="74">
        <v>34</v>
      </c>
      <c r="AE8" s="74">
        <v>27</v>
      </c>
    </row>
    <row r="9" spans="1:99" ht="26.4" ph="1">
      <c r="B9" s="237" ph="1">
        <v>0.66666666666666663</v>
      </c>
      <c r="C9" s="150" t="s" ph="1">
        <v>180</v>
      </c>
      <c r="D9" s="71">
        <v>128</v>
      </c>
      <c r="E9" s="71">
        <v>3441</v>
      </c>
      <c r="F9" s="71">
        <v>3813</v>
      </c>
      <c r="G9" s="71">
        <v>4888</v>
      </c>
      <c r="H9" s="71">
        <v>2636</v>
      </c>
      <c r="I9" s="71">
        <v>17.52</v>
      </c>
      <c r="J9" s="71">
        <v>76.77</v>
      </c>
      <c r="K9" s="71">
        <v>7.89</v>
      </c>
      <c r="L9" s="71">
        <v>24.31</v>
      </c>
      <c r="M9" s="71">
        <v>3647</v>
      </c>
      <c r="N9" s="71">
        <v>2154</v>
      </c>
      <c r="O9" s="71">
        <v>4016</v>
      </c>
      <c r="P9" s="71">
        <v>1731</v>
      </c>
      <c r="Q9" s="71">
        <v>5713</v>
      </c>
      <c r="R9" s="71">
        <v>0</v>
      </c>
      <c r="S9" s="71">
        <v>0</v>
      </c>
      <c r="T9" s="71">
        <v>0</v>
      </c>
      <c r="U9" s="71">
        <v>0</v>
      </c>
      <c r="V9" s="71">
        <v>5320</v>
      </c>
      <c r="W9" s="71">
        <v>7017</v>
      </c>
      <c r="X9" s="71">
        <v>6730</v>
      </c>
      <c r="Y9" s="71">
        <v>5142</v>
      </c>
      <c r="Z9" s="71">
        <v>364</v>
      </c>
      <c r="AA9" s="71">
        <v>1303</v>
      </c>
      <c r="AB9" s="71">
        <v>1596</v>
      </c>
      <c r="AC9" s="71">
        <v>6255</v>
      </c>
      <c r="AD9" s="71">
        <v>3594</v>
      </c>
      <c r="AE9" s="71">
        <v>5519</v>
      </c>
    </row>
    <row r="10" spans="1:99" s="72" customFormat="1" ht="22.2" ph="1">
      <c r="B10" s="237" ph="1"/>
      <c r="C10" s="150" t="s" ph="1">
        <v>178</v>
      </c>
      <c r="D10" s="73" ph="1">
        <f>D9*33.183*LOOKUP(D11,密度!$A$2:$A$50,密度!$Q$2:$Q$50)</f>
        <v>4015.1748556800003</v>
      </c>
      <c r="E10" s="73" ph="1">
        <f>E9*51.53*LOOKUP(E11,密度!$A$2:$A$50,密度!$B$2:$B$50)</f>
        <v>138074.980251</v>
      </c>
      <c r="F10" s="73" ph="1">
        <f>F9*33.183*LOOKUP(F11,密度!$A$2:$A$50,密度!$C$2:$C$50)</f>
        <v>140204.3238099</v>
      </c>
      <c r="G10" s="73" ph="1">
        <f xml:space="preserve"> (G9+2)*51.53*LOOKUP(G11,密度!$A$2:$A$50,密度!$B$2:$B$50)</f>
        <v>196016.56443000003</v>
      </c>
      <c r="H10" s="73" ph="1">
        <f>(H9)*51.53*LOOKUP(H11,密度!$A$2:$A$50,密度!$B$2:$B$50)</f>
        <v>105773.219396</v>
      </c>
      <c r="I10" s="73" ph="1">
        <f>I9*290.8*1.0267</f>
        <v>5230.8475871999999</v>
      </c>
      <c r="J10" s="73" ph="1">
        <f>J9*290.8*0.7892</f>
        <v>17618.665867200001</v>
      </c>
      <c r="K10" s="73" ph="1">
        <f>K9*290.8*1.1126</f>
        <v>2552.7627911999998</v>
      </c>
      <c r="L10" s="73" ph="1">
        <f>L9*290.8*0.777</f>
        <v>5492.8833960000002</v>
      </c>
      <c r="M10" s="73" ph="1">
        <f>M9*33.183*LOOKUP(M11,密度!$A$2:$A$50,密度!$D$2:$D$50)</f>
        <v>123680.80582199999</v>
      </c>
      <c r="N10" s="73" ph="1">
        <f>N9*33.183*LOOKUP(N11,密度!$A$2:$A$50,密度!$E$2:$E$50)</f>
        <v>55658.502923399996</v>
      </c>
      <c r="O10" s="73" ph="1">
        <f>O9*20.428*LOOKUP(O11,密度!$A$2:$A$50,密度!$C$2:$C$50)</f>
        <v>90661.130924799989</v>
      </c>
      <c r="P10" s="73" ph="1">
        <f>P9*51.53*LOOKUP(P11,密度!$A$2:$A$50,密度!$B$2:$B$50)</f>
        <v>69387.458697000009</v>
      </c>
      <c r="Q10" s="73" ph="1">
        <f>Q9*1.5*1.5*3.1416*LOOKUP(W11,密度!$A$2:$A$50,密度!$L$2:$L$50)</f>
        <v>37798.405444800002</v>
      </c>
      <c r="R10" s="73" ph="1">
        <f>R9*1.5*1.5*3.1416*LOOKUP(R11,密度!$A$2:$A$50,密度!$L$2:$L$50)</f>
        <v>0</v>
      </c>
      <c r="S10" s="73" ph="1">
        <f>S9*1.5*1.5*3.1416*LOOKUP(S11,密度!$A$2:$A$50,密度!$L$2:$L$50)</f>
        <v>0</v>
      </c>
      <c r="T10" s="73" ph="1">
        <f>T9*1.5*1.5*3.1416*LOOKUP(T11,密度!$A$2:$A$50,密度!$L$2:$L$50)</f>
        <v>0</v>
      </c>
      <c r="U10" s="73" ph="1">
        <f>U9*1.5*1.5*3.1416*LOOKUP(U11,密度!$A$2:$A$50,密度!$L$2:$L$50)</f>
        <v>0</v>
      </c>
      <c r="V10" s="73" ph="1">
        <f>V9*1.5*1.5*3.1416*LOOKUP(V11,密度!$A$2:$A$50,密度!$L$2:$L$50)</f>
        <v>35160.630120000002</v>
      </c>
      <c r="W10" s="73" ph="1">
        <f>W9*1.5*1.5*3.1416*LOOKUP(W11,密度!$A$2:$A$50,密度!$L$2:$L$50)</f>
        <v>46425.942763200001</v>
      </c>
      <c r="X10" s="73" ph="1">
        <f>X9*1.5*1.5*3.1416*LOOKUP(X11,密度!$A$2:$A$50,密度!$L$2:$L$50)</f>
        <v>44860.092354</v>
      </c>
      <c r="Y10" s="73" ph="1">
        <f>Y9*1.5*1.5*3.1416*LOOKUP(Y11,密度!$A$2:$A$50,密度!$L$2:$L$50)</f>
        <v>34020.549763199997</v>
      </c>
      <c r="Z10" s="73" ph="1">
        <f>Z9*33.183*LOOKUP(Z11,密度!$A$2:$A$50,密度!$L$2:$L$50)</f>
        <v>11341.816667999998</v>
      </c>
      <c r="AA10" s="73" ph="1">
        <f>AA9*33.183*LOOKUP(AA11,密度!$A$2:$A$50,密度!$D$2:$D$50)</f>
        <v>44227.586582099997</v>
      </c>
      <c r="AB10" s="73" ph="1">
        <f>AB9*20.428*LOOKUP(AB11,密度!$A$2:$A$50,密度!$D$2:$D$50)</f>
        <v>33564.879096000004</v>
      </c>
      <c r="AC10" s="73" ph="1">
        <f>AC9*51.53*LOOKUP(AC11,密度!$A$2:$A$50,密度!$Q$2:$Q$50)</f>
        <v>304924.53150450002</v>
      </c>
      <c r="AD10" s="73" ph="1">
        <f>AD9*20.428*LOOKUP(AD11,密度!$A$2:$A$50,密度!$V$2:$V$50)</f>
        <v>70305.29896320001</v>
      </c>
      <c r="AE10" s="73" ph="1">
        <f>AE9*20.428</f>
        <v>112742.132</v>
      </c>
    </row>
    <row r="11" spans="1:99" ph="1">
      <c r="A11" s="64" t="s" ph="1">
        <v>162</v>
      </c>
      <c r="B11" s="237" ph="1"/>
      <c r="C11" s="150" t="s" ph="1">
        <v>179</v>
      </c>
      <c r="D11" s="74">
        <v>27</v>
      </c>
      <c r="E11" s="74">
        <v>26</v>
      </c>
      <c r="F11" s="74">
        <v>26</v>
      </c>
      <c r="G11" s="74">
        <v>27</v>
      </c>
      <c r="H11" s="74">
        <v>26</v>
      </c>
      <c r="I11" s="74">
        <v>25</v>
      </c>
      <c r="J11" s="74">
        <v>25</v>
      </c>
      <c r="K11" s="74">
        <v>25</v>
      </c>
      <c r="L11" s="74">
        <v>25</v>
      </c>
      <c r="M11" s="74">
        <v>30</v>
      </c>
      <c r="N11" s="74">
        <v>29</v>
      </c>
      <c r="O11" s="74">
        <v>30</v>
      </c>
      <c r="P11" s="74">
        <v>27</v>
      </c>
      <c r="Q11" s="74">
        <v>31</v>
      </c>
      <c r="R11" s="74">
        <v>36</v>
      </c>
      <c r="S11" s="74">
        <v>27</v>
      </c>
      <c r="T11" s="74">
        <v>26</v>
      </c>
      <c r="U11" s="74">
        <v>27</v>
      </c>
      <c r="V11" s="74">
        <v>27</v>
      </c>
      <c r="W11" s="74">
        <v>26</v>
      </c>
      <c r="X11" s="74">
        <v>19</v>
      </c>
      <c r="Y11" s="74">
        <v>26</v>
      </c>
      <c r="Z11" s="74">
        <v>23</v>
      </c>
      <c r="AA11" s="74">
        <v>29</v>
      </c>
      <c r="AB11" s="74">
        <v>22</v>
      </c>
      <c r="AC11" s="74">
        <v>26</v>
      </c>
      <c r="AD11" s="74">
        <v>32</v>
      </c>
      <c r="AE11" s="74">
        <v>28</v>
      </c>
    </row>
    <row r="12" spans="1:99" ht="9.9" customHeight="1" ph="1"/>
    <row r="13" spans="1:99" s="72" customFormat="1" ht="29.25" customHeight="1" ph="1">
      <c r="B13" s="214" t="s" ph="1">
        <v>37</v>
      </c>
      <c r="C13" s="150" t="s" ph="1">
        <v>176</v>
      </c>
      <c r="D13" s="76" t="s" ph="1">
        <v>52</v>
      </c>
      <c r="E13" s="76" t="s" ph="1">
        <v>53</v>
      </c>
      <c r="F13" s="76" t="s" ph="1">
        <v>57</v>
      </c>
      <c r="G13" s="76" t="s" ph="1">
        <v>58</v>
      </c>
      <c r="H13" s="76" t="s" ph="1">
        <v>128</v>
      </c>
      <c r="I13" s="76" t="s" ph="1">
        <v>59</v>
      </c>
      <c r="J13" s="76" t="s" ph="1">
        <v>129</v>
      </c>
      <c r="K13" s="76" t="s" ph="1">
        <v>55</v>
      </c>
      <c r="L13" s="76" t="s" ph="1">
        <v>60</v>
      </c>
      <c r="M13" s="76" t="s" ph="1">
        <v>61</v>
      </c>
      <c r="N13" s="76" t="s" ph="1">
        <v>130</v>
      </c>
      <c r="O13" s="76" t="s" ph="1">
        <v>56</v>
      </c>
      <c r="P13" s="76" t="s" ph="1">
        <v>62</v>
      </c>
      <c r="Q13" s="76" t="s" ph="1">
        <v>63</v>
      </c>
      <c r="R13" s="76" t="s" ph="1">
        <v>64</v>
      </c>
      <c r="S13" s="76" t="s" ph="1">
        <v>65</v>
      </c>
      <c r="T13" s="76" t="s" ph="1">
        <v>66</v>
      </c>
      <c r="U13" s="76" t="s" ph="1">
        <v>67</v>
      </c>
      <c r="V13" s="76" t="s" ph="1">
        <v>131</v>
      </c>
      <c r="W13" s="76" t="s" ph="1">
        <v>132</v>
      </c>
      <c r="X13" s="76" t="s" ph="1">
        <v>133</v>
      </c>
      <c r="Y13" s="105" t="s" ph="1">
        <v>68</v>
      </c>
      <c r="Z13" s="76" t="s" ph="1">
        <v>74</v>
      </c>
      <c r="AA13" s="76" t="s" ph="1">
        <v>134</v>
      </c>
      <c r="AB13" s="76" t="s" ph="1">
        <v>135</v>
      </c>
      <c r="AC13" s="76" t="s" ph="1">
        <v>136</v>
      </c>
      <c r="AD13" s="76" t="s" ph="1">
        <v>137</v>
      </c>
      <c r="AE13" s="76" t="s" ph="1">
        <v>138</v>
      </c>
      <c r="AG13" s="72" t="s" ph="1">
        <v>325</v>
      </c>
      <c r="AH13" s="72" t="s" ph="1">
        <v>188</v>
      </c>
      <c r="AI13" s="72" t="s" ph="1">
        <v>189</v>
      </c>
      <c r="AJ13" s="72" t="s" ph="1">
        <v>190</v>
      </c>
      <c r="AK13" s="72" t="s" ph="1">
        <v>191</v>
      </c>
      <c r="AL13" s="72" t="s" ph="1">
        <v>192</v>
      </c>
      <c r="AM13" s="72" t="s" ph="1">
        <v>193</v>
      </c>
      <c r="AN13" s="72" t="s" ph="1">
        <v>194</v>
      </c>
      <c r="AO13" s="72" t="s" ph="1">
        <v>195</v>
      </c>
      <c r="AP13" s="72" t="s" ph="1">
        <v>196</v>
      </c>
      <c r="AQ13" s="72" t="s" ph="1">
        <v>197</v>
      </c>
      <c r="AR13" s="72" t="s" ph="1">
        <v>198</v>
      </c>
      <c r="AS13" s="72" t="s" ph="1">
        <v>199</v>
      </c>
      <c r="AT13" s="72" t="s" ph="1">
        <v>200</v>
      </c>
      <c r="AU13" s="72" t="s" ph="1">
        <v>201</v>
      </c>
      <c r="AV13" s="72" t="s" ph="1">
        <v>202</v>
      </c>
      <c r="AW13" s="72" t="s" ph="1">
        <v>203</v>
      </c>
      <c r="AX13" s="72" t="s" ph="1">
        <v>204</v>
      </c>
      <c r="AY13" s="72" t="s" ph="1">
        <v>326</v>
      </c>
      <c r="AZ13" s="72" t="s" ph="1">
        <v>205</v>
      </c>
      <c r="BA13" s="72" t="s" ph="1">
        <v>206</v>
      </c>
      <c r="BB13" s="72" t="s" ph="1">
        <v>591</v>
      </c>
      <c r="BC13" s="72" t="s" ph="1">
        <v>207</v>
      </c>
      <c r="BD13" s="72" t="s" ph="1">
        <v>327</v>
      </c>
      <c r="BE13" s="72" t="s" ph="1">
        <v>328</v>
      </c>
      <c r="BF13" s="72" t="s" ph="1">
        <v>329</v>
      </c>
      <c r="BG13" s="72" t="s" ph="1">
        <v>330</v>
      </c>
      <c r="BH13" s="72" t="s" ph="1">
        <v>331</v>
      </c>
    </row>
    <row r="14" spans="1:99" s="72" customFormat="1" ht="24" ph="1">
      <c r="B14" s="215" ph="1"/>
      <c r="C14" s="67" t="s" ph="1">
        <v>36</v>
      </c>
      <c r="D14" s="77" t="s" ph="1">
        <v>616</v>
      </c>
      <c r="E14" s="77" t="s" ph="1">
        <v>616</v>
      </c>
      <c r="F14" s="77" t="s" ph="1">
        <v>639</v>
      </c>
      <c r="G14" s="77" t="s" ph="1">
        <v>617</v>
      </c>
      <c r="H14" s="77" t="s" ph="1">
        <v>636</v>
      </c>
      <c r="I14" s="138" t="s" ph="1">
        <v>618</v>
      </c>
      <c r="J14" s="77" t="s" ph="1">
        <v>619</v>
      </c>
      <c r="K14" s="77" t="s" ph="1">
        <v>186</v>
      </c>
      <c r="L14" s="77" t="s" ph="1">
        <v>41</v>
      </c>
      <c r="M14" s="104" t="s" ph="1">
        <v>620</v>
      </c>
      <c r="N14" s="104" t="s" ph="1">
        <v>621</v>
      </c>
      <c r="O14" s="104" t="s" ph="1">
        <v>637</v>
      </c>
      <c r="P14" s="77" t="s" ph="1">
        <v>622</v>
      </c>
      <c r="Q14" s="77" t="s" ph="1">
        <v>622</v>
      </c>
      <c r="R14" s="77" t="s" ph="1">
        <v>622</v>
      </c>
      <c r="S14" s="77" t="s" ph="1">
        <v>622</v>
      </c>
      <c r="T14" s="77" t="s" ph="1">
        <v>624</v>
      </c>
      <c r="U14" s="77" t="s" ph="1">
        <v>605</v>
      </c>
      <c r="V14" s="77" t="s" ph="1">
        <v>633</v>
      </c>
      <c r="W14" s="77" t="s" ph="1">
        <v>622</v>
      </c>
      <c r="X14" s="77" t="s" ph="1">
        <v>625</v>
      </c>
      <c r="Y14" s="143" t="s" ph="1">
        <v>0</v>
      </c>
      <c r="Z14" s="77" t="s" ph="1">
        <v>54</v>
      </c>
      <c r="AA14" s="77" t="s" ph="1">
        <v>613</v>
      </c>
      <c r="AB14" s="77" t="s" ph="1">
        <v>632</v>
      </c>
      <c r="AC14" s="77" t="s" ph="1">
        <v>632</v>
      </c>
      <c r="AD14" s="77" t="s" ph="1">
        <v>612</v>
      </c>
      <c r="AE14" s="77" t="s" ph="1">
        <v>612</v>
      </c>
      <c r="AG14" s="72" t="s" ph="1">
        <v>208</v>
      </c>
      <c r="AI14" s="72" t="s" ph="1">
        <v>209</v>
      </c>
      <c r="AJ14" s="72" t="s" ph="1">
        <v>332</v>
      </c>
      <c r="AK14" s="72" t="s" ph="1">
        <v>210</v>
      </c>
      <c r="AM14" s="72" t="s" ph="1">
        <v>212</v>
      </c>
      <c r="AN14" s="72" t="s" ph="1">
        <v>210</v>
      </c>
      <c r="AO14" s="72" t="s" ph="1">
        <v>211</v>
      </c>
      <c r="AP14" s="72" t="s" ph="1">
        <v>212</v>
      </c>
      <c r="AQ14" s="72" t="s" ph="1">
        <v>210</v>
      </c>
      <c r="AR14" s="72" t="s" ph="1">
        <v>211</v>
      </c>
      <c r="AS14" s="72" t="s" ph="1">
        <v>212</v>
      </c>
      <c r="AT14" s="72" t="s" ph="1">
        <v>210</v>
      </c>
      <c r="AU14" s="72" t="s" ph="1">
        <v>211</v>
      </c>
      <c r="AV14" s="72" t="s" ph="1">
        <v>212</v>
      </c>
      <c r="AW14" s="72" t="s" ph="1">
        <v>210</v>
      </c>
      <c r="AX14" s="72" t="s" ph="1">
        <v>211</v>
      </c>
      <c r="AY14" s="72" t="s" ph="1">
        <v>212</v>
      </c>
      <c r="AZ14" s="72" t="s" ph="1">
        <v>211</v>
      </c>
    </row>
    <row r="15" spans="1:99" ph="1">
      <c r="B15" s="216" ph="1">
        <v>0.33333333333333331</v>
      </c>
      <c r="C15" s="150" t="s" ph="1">
        <v>177</v>
      </c>
      <c r="D15" s="78">
        <v>2535</v>
      </c>
      <c r="E15" s="78">
        <v>5716</v>
      </c>
      <c r="F15" s="78">
        <v>4222</v>
      </c>
      <c r="G15" s="78">
        <v>2265</v>
      </c>
      <c r="H15" s="78">
        <v>2183</v>
      </c>
      <c r="I15" s="78">
        <v>2574</v>
      </c>
      <c r="J15" s="78">
        <v>5081</v>
      </c>
      <c r="K15" s="78">
        <v>3682</v>
      </c>
      <c r="L15" s="78">
        <v>5339</v>
      </c>
      <c r="M15" s="78">
        <v>636</v>
      </c>
      <c r="N15" s="78">
        <v>1600</v>
      </c>
      <c r="O15" s="78">
        <v>1905</v>
      </c>
      <c r="P15" s="78">
        <v>7036</v>
      </c>
      <c r="Q15" s="78">
        <v>6662</v>
      </c>
      <c r="R15" s="78">
        <v>0</v>
      </c>
      <c r="S15" s="78">
        <v>3625</v>
      </c>
      <c r="T15" s="78">
        <v>557</v>
      </c>
      <c r="U15" s="78">
        <v>5749</v>
      </c>
      <c r="V15" s="78">
        <v>3332</v>
      </c>
      <c r="W15" s="71">
        <v>1412</v>
      </c>
      <c r="X15" s="78">
        <v>858</v>
      </c>
      <c r="Y15" s="106">
        <v>-9905</v>
      </c>
      <c r="Z15" s="78">
        <v>0</v>
      </c>
      <c r="AA15" s="78">
        <v>2469</v>
      </c>
      <c r="AB15" s="78" ph="1">
        <v>0</v>
      </c>
      <c r="AC15" s="78" ph="1">
        <v>0</v>
      </c>
      <c r="AD15" s="78">
        <v>5.94</v>
      </c>
      <c r="AE15" s="78">
        <v>44.68</v>
      </c>
      <c r="AG15" s="64" t="s" ph="1">
        <v>214</v>
      </c>
      <c r="AH15" s="64" ph="1">
        <v>1</v>
      </c>
      <c r="AI15" s="64" t="s" ph="1">
        <v>333</v>
      </c>
      <c r="AK15" s="64" t="s" ph="1">
        <v>587</v>
      </c>
      <c r="AM15" s="64" t="s" ph="1">
        <v>335</v>
      </c>
      <c r="AZ15" s="64" t="s" ph="1">
        <v>216</v>
      </c>
      <c r="BA15" s="64" ph="1">
        <v>0</v>
      </c>
    </row>
    <row r="16" spans="1:99" s="72" customFormat="1" ht="22.2" ph="1">
      <c r="B16" s="217" ph="1"/>
      <c r="C16" s="150" t="s" ph="1">
        <v>178</v>
      </c>
      <c r="D16" s="73" ph="1">
        <f>D15*7.0686*LOOKUP(D17,密度!$A$2:$A$50,密度!$L$2:$L$50)</f>
        <v>16736.253534000003</v>
      </c>
      <c r="E16" s="73" ph="1">
        <f>E15*7.0686*LOOKUP(E17,密度!$A$2:$A$50,密度!$L$2:$L$50)</f>
        <v>37737.445838400003</v>
      </c>
      <c r="F16" s="73" ph="1">
        <f>F15*9.0746*LOOKUP(F17,密度!$A$2:$A$50,密度!$L$2:$L$50)</f>
        <v>35477.8020712</v>
      </c>
      <c r="G16" s="73" ph="1">
        <f>G15*9.0746*LOOKUP(G17,密度!$A$2:$A$50,密度!$B$2:$B$50)</f>
        <v>16005.3756603</v>
      </c>
      <c r="H16" s="73" ph="1">
        <f>H15*9.0746*LOOKUP(H17,密度!$A$2:$A$50,密度!$L$2:$L$50)</f>
        <v>18621.260692</v>
      </c>
      <c r="I16" s="73" ph="1">
        <f>I15*9.0746*LOOKUP(I17,密度!$A$2:$A$50,密度!$U$2:$U$50)</f>
        <v>23895.254869199998</v>
      </c>
      <c r="J16" s="73" ph="1">
        <f>J15*9.0746*LOOKUP(J17,密度!$A$2:$A$50,密度!$L$2:$L$50)</f>
        <v>43111.019831000005</v>
      </c>
      <c r="K16" s="73" ph="1">
        <f>K15*9.0746*LOOKUP(K17,密度!$A$2:$A$50,密度!$C$2:$C$50)</f>
        <v>36974.468589520002</v>
      </c>
      <c r="L16" s="73" ph="1">
        <f>L15*9.0746*LOOKUP(L17,密度!$A$2:$A$50,密度!$E$2:$E$50)</f>
        <v>37780.755874120005</v>
      </c>
      <c r="M16" s="73" ph="1">
        <f>M15*9.0746*LOOKUP(M17,密度!$A$2:$A$50,密度!$M$2:$M$50)</f>
        <v>5026.9291175999997</v>
      </c>
      <c r="N16" s="73" ph="1">
        <f>N15*9.0746*LOOKUP(N17,密度!$A$2:$A$50,密度!$M$2:$M$50)</f>
        <v>12691.372576</v>
      </c>
      <c r="O16" s="73" ph="1">
        <f>O15*9.0746*LOOKUP(O17,密度!$A$2:$A$50,密度!$G$2:$G$50)</f>
        <v>16561.054253999999</v>
      </c>
      <c r="P16" s="73" ph="1">
        <f ca="1">P15*9.0746*LOOKUP(P17,密度!$A$2:$A$51,密度!$Q$2:$Q$50)</f>
        <v>60357.628535392003</v>
      </c>
      <c r="Q16" s="73" ph="1">
        <f>Q15*9.0746*LOOKUP(Q17,密度!$A$2:$A$50,密度!$Q$2:$Q$50)</f>
        <v>57106.988119624002</v>
      </c>
      <c r="R16" s="73" ph="1">
        <f>MAX(R15*9.0746*LOOKUP(R17,密度!$A$2:$A$50,密度!$Q$2:$Q$50),0)</f>
        <v>0</v>
      </c>
      <c r="S16" s="73" ph="1">
        <f>S15*9.0746*LOOKUP(S17,密度!$A$2:$A$50,密度!$Q$2:$Q$50)</f>
        <v>30919.725774500002</v>
      </c>
      <c r="T16" s="73" ph="1">
        <f>T15*9.0746*LOOKUP(T17,密度!$A$2:$A$50,密度!$O$2:$O$50)</f>
        <v>4680.5153372000004</v>
      </c>
      <c r="U16" s="73" ph="1">
        <f>U15*9.0746*LOOKUP(U17,密度!$A$2:$A$50,密度!$H$2:$H$50)</f>
        <v>47526.756489400002</v>
      </c>
      <c r="V16" s="73" ph="1">
        <f>MAX(5600*LOOKUP(V17,密度!$A$2:$A$50,密度!$Q$2:$Q$50)+V15*9.0476*LOOKUP(V17,密度!$A$2:$A$50,密度!$Q$2:$Q$50),0)</f>
        <v>33742.291158576001</v>
      </c>
      <c r="W16" s="73" ph="1">
        <f>MAX(5600*LOOKUP(W17,密度!$A$2:$A$50,密度!$Q$2:$Q$50)+W15*9.0476*LOOKUP(W17,密度!$A$2:$A$50,密度!$Q$2:$Q$50),0)</f>
        <v>17344.913108016</v>
      </c>
      <c r="X16" s="73" ph="1">
        <f>MAX(5600*LOOKUP(X17,密度!$A$2:$A$50,密度!$I$2:$I$50)+X15*9.0476*LOOKUP(X17,密度!$A$2:$A$50,密度!$I$2:$I$50),0)</f>
        <v>13853.257057359999</v>
      </c>
      <c r="Y16" s="107" ph="1">
        <v>0</v>
      </c>
      <c r="Z16" s="73" ph="1">
        <f>Z15*9.0746*LOOKUP(Z17,密度!$A$2:$A$50,密度!$D$2:$D$50)</f>
        <v>0</v>
      </c>
      <c r="AA16" s="73" ph="1">
        <f>AA15*9.0746*LOOKUP(AA17,密度!$A$2:$A$50,密度!$B$2:$B$50)</f>
        <v>17446.919428379999</v>
      </c>
      <c r="AB16" s="73" ph="1">
        <f>AB15*9.0746*LOOKUP(AB17,密度!$A$2:$A$50,密度!$L$2:$L$50)</f>
        <v>0</v>
      </c>
      <c r="AC16" s="73" ph="1">
        <f>AC15*9.0746*LOOKUP(AC17,密度!$A$2:$A$50,密度!$L$2:$L$50)</f>
        <v>0</v>
      </c>
      <c r="AD16" s="73" ph="1">
        <f>AD15*268.68*LOOKUP(AD17,密度!$A$2:$A$50,密度!B2:B50)+IF(AD15&lt;=0,0,1566*LOOKUP(AD17,密度!$A$2:$A$50,密度!B2:B50))</f>
        <v>2465.0633923200003</v>
      </c>
      <c r="AE16" s="73" ph="1">
        <f>AE15*268.68*LOOKUP(AE17,密度!$A$2:$A$50,密度!B2:B50)+IF(AE15&lt;=0,0,1566*LOOKUP(AE17,密度!$A$2:$A$50,密度!B2:B50))</f>
        <v>10579.65722304</v>
      </c>
      <c r="AH16" s="72" ph="1">
        <v>2</v>
      </c>
      <c r="AI16" s="72" t="s" ph="1">
        <v>337</v>
      </c>
      <c r="AZ16" s="72" t="s" ph="1">
        <v>216</v>
      </c>
      <c r="BA16" s="72" ph="1">
        <v>0</v>
      </c>
    </row>
    <row r="17" spans="1:57" ph="1">
      <c r="A17" s="64" t="s" ph="1">
        <v>73</v>
      </c>
      <c r="B17" s="218" ph="1"/>
      <c r="C17" s="79" t="s" ph="1">
        <v>179</v>
      </c>
      <c r="D17" s="74">
        <v>28</v>
      </c>
      <c r="E17" s="74">
        <v>28</v>
      </c>
      <c r="F17" s="74">
        <v>36</v>
      </c>
      <c r="G17" s="74">
        <v>26</v>
      </c>
      <c r="H17" s="74">
        <v>22</v>
      </c>
      <c r="I17" s="74">
        <v>27</v>
      </c>
      <c r="J17" s="74">
        <v>27</v>
      </c>
      <c r="K17" s="74">
        <v>28</v>
      </c>
      <c r="L17" s="74">
        <v>28</v>
      </c>
      <c r="M17" s="74">
        <v>29</v>
      </c>
      <c r="N17" s="74">
        <v>26</v>
      </c>
      <c r="O17" s="74">
        <v>27</v>
      </c>
      <c r="P17" s="74">
        <v>27</v>
      </c>
      <c r="Q17" s="74">
        <v>28</v>
      </c>
      <c r="R17" s="74">
        <v>27</v>
      </c>
      <c r="S17" s="74">
        <v>35</v>
      </c>
      <c r="T17" s="74">
        <v>26</v>
      </c>
      <c r="U17" s="74">
        <v>29</v>
      </c>
      <c r="V17" s="74">
        <v>29</v>
      </c>
      <c r="W17" s="74">
        <v>29</v>
      </c>
      <c r="X17" s="74">
        <v>30</v>
      </c>
      <c r="Y17" s="108">
        <v>30</v>
      </c>
      <c r="Z17" s="74">
        <v>27</v>
      </c>
      <c r="AA17" s="74">
        <v>26</v>
      </c>
      <c r="AB17" s="74">
        <v>26</v>
      </c>
      <c r="AC17" s="74">
        <v>26</v>
      </c>
      <c r="AD17" s="74">
        <v>25</v>
      </c>
      <c r="AE17" s="74">
        <v>25</v>
      </c>
      <c r="AH17" s="64" ph="1">
        <v>3</v>
      </c>
      <c r="AI17" s="64" t="s" ph="1">
        <v>338</v>
      </c>
      <c r="AK17" s="64" t="s" ph="1">
        <v>570</v>
      </c>
      <c r="AL17" s="64" ph="1">
        <v>80</v>
      </c>
      <c r="AM17" s="64" t="s" ph="1">
        <v>335</v>
      </c>
      <c r="AZ17" s="64" t="s" ph="1">
        <v>216</v>
      </c>
      <c r="BA17" s="64" ph="1">
        <v>80</v>
      </c>
      <c r="BD17" s="64" t="s" ph="1">
        <v>214</v>
      </c>
      <c r="BE17" s="64" ph="1">
        <v>2270</v>
      </c>
    </row>
    <row r="18" spans="1:57" ht="26.4" ph="1">
      <c r="B18" s="216" ph="1">
        <v>0.66666666666666663</v>
      </c>
      <c r="C18" s="79" t="s" ph="1">
        <v>180</v>
      </c>
      <c r="D18" s="71">
        <v>3919</v>
      </c>
      <c r="E18" s="71">
        <v>4246</v>
      </c>
      <c r="F18" s="71">
        <v>1921</v>
      </c>
      <c r="G18" s="71">
        <v>2390</v>
      </c>
      <c r="H18" s="71">
        <v>2183</v>
      </c>
      <c r="I18" s="71">
        <v>5064</v>
      </c>
      <c r="J18" s="71">
        <v>5079</v>
      </c>
      <c r="K18" s="71">
        <v>3682</v>
      </c>
      <c r="L18" s="71">
        <v>5339</v>
      </c>
      <c r="M18" s="71">
        <v>1895</v>
      </c>
      <c r="N18" s="71">
        <v>2366</v>
      </c>
      <c r="O18" s="71">
        <v>1905</v>
      </c>
      <c r="P18" s="71">
        <v>7037</v>
      </c>
      <c r="Q18" s="71">
        <v>6659</v>
      </c>
      <c r="R18" s="71">
        <v>0</v>
      </c>
      <c r="S18" s="71">
        <v>3729</v>
      </c>
      <c r="T18" s="71">
        <v>555</v>
      </c>
      <c r="U18" s="71">
        <v>5750</v>
      </c>
      <c r="V18" s="71">
        <v>2226</v>
      </c>
      <c r="W18" s="71">
        <v>2432</v>
      </c>
      <c r="X18" s="71">
        <v>856</v>
      </c>
      <c r="Y18" s="109">
        <v>-9908</v>
      </c>
      <c r="Z18" s="71">
        <v>0</v>
      </c>
      <c r="AA18" s="71">
        <v>2470</v>
      </c>
      <c r="AB18" s="71">
        <v>0</v>
      </c>
      <c r="AC18" s="71">
        <v>0</v>
      </c>
      <c r="AD18" s="71">
        <v>14.36</v>
      </c>
      <c r="AE18" s="71">
        <v>84.39</v>
      </c>
      <c r="AH18" s="64" ph="1">
        <v>4</v>
      </c>
      <c r="AI18" s="64" t="s" ph="1">
        <v>340</v>
      </c>
      <c r="AJ18" s="64" t="s" ph="1">
        <v>588</v>
      </c>
      <c r="AK18" s="64" t="s" ph="1">
        <v>587</v>
      </c>
      <c r="AL18" s="64" ph="1">
        <v>740</v>
      </c>
      <c r="AM18" s="64" t="s" ph="1">
        <v>339</v>
      </c>
      <c r="AZ18" s="64" t="s" ph="1">
        <v>216</v>
      </c>
      <c r="BA18" s="64" ph="1">
        <v>740</v>
      </c>
    </row>
    <row r="19" spans="1:57" s="72" customFormat="1" ht="22.2" ph="1">
      <c r="B19" s="217" ph="1"/>
      <c r="C19" s="150" t="s" ph="1">
        <v>178</v>
      </c>
      <c r="D19" s="73" ph="1">
        <f>D18*7.0686*LOOKUP(D20,密度!$A$2:$A$50,密度!$L$2:$L$50)</f>
        <v>25818.118048800003</v>
      </c>
      <c r="E19" s="73" ph="1">
        <f>E18*7.0686*LOOKUP(E20,密度!$A$2:$A$50,密度!$L$2:$L$50)</f>
        <v>27972.372859200001</v>
      </c>
      <c r="F19" s="73" ph="1">
        <f>F18*9.0746*LOOKUP(F20,密度!$A$2:$A$50,密度!$L$2:$L$50)</f>
        <v>16264.3420578</v>
      </c>
      <c r="G19" s="73" ph="1">
        <f>G18*9.0746*LOOKUP(G20,密度!$A$2:$A$50,密度!$B$2:$B$50)</f>
        <v>16888.674537800001</v>
      </c>
      <c r="H19" s="73" ph="1">
        <f>H18*9.0746*LOOKUP(H20,密度!$A$2:$A$50,密度!$L$2:$L$50)</f>
        <v>18581.640988399999</v>
      </c>
      <c r="I19" s="73" ph="1">
        <f>I18*9.0746*LOOKUP(I20,密度!$A$2:$A$50,密度!$U$2:$U$50)</f>
        <v>46918.803662400001</v>
      </c>
      <c r="J19" s="73" ph="1">
        <f>J18*9.0746*LOOKUP(J20,密度!$A$2:$A$50,密度!$L$2:$L$50)</f>
        <v>42955.780648800006</v>
      </c>
      <c r="K19" s="73" ph="1">
        <f>K18*9.0746*LOOKUP(K20,密度!$A$2:$A$50,密度!$C$2:$C$50)</f>
        <v>36951.079715480002</v>
      </c>
      <c r="L19" s="73" ph="1">
        <f>L18*9.0746*LOOKUP(L20,密度!$A$2:$A$50,密度!$E$2:$E$50)</f>
        <v>37727.461655779996</v>
      </c>
      <c r="M19" s="73" ph="1">
        <f>M18*9.0746*LOOKUP(M20,密度!$A$2:$A$50,密度!$M$2:$M$50)</f>
        <v>14959.119653300002</v>
      </c>
      <c r="N19" s="73" ph="1">
        <f>N18*9.0746*LOOKUP(N20,密度!$A$2:$A$50,密度!$M$2:$M$50)</f>
        <v>18745.896693160001</v>
      </c>
      <c r="O19" s="73" ph="1">
        <f>O18*9.0746*LOOKUP(O20,密度!$A$2:$A$50,密度!$G$2:$G$50)</f>
        <v>16524.7513167</v>
      </c>
      <c r="P19" s="73" ph="1">
        <f ca="1">P18*9.0746*LOOKUP(P20,密度!$A$2:$A$51,密度!$Q$2:$Q$50)</f>
        <v>60366.206936264003</v>
      </c>
      <c r="Q19" s="73" ph="1">
        <f>Q18*9.0746*LOOKUP(Q20,密度!$A$2:$A$50,密度!$Q$2:$Q$50)</f>
        <v>57003.320161462005</v>
      </c>
      <c r="R19" s="73" ph="1">
        <f>MAX(R18*9.0746*LOOKUP(R20,密度!$A$2:$A$50,密度!$Q$2:$Q$50),0)</f>
        <v>0</v>
      </c>
      <c r="S19" s="73" ph="1">
        <f>S18*9.0746*LOOKUP(S20,密度!$A$2:$A$50,密度!$Q$2:$Q$50)</f>
        <v>31806.802044996002</v>
      </c>
      <c r="T19" s="73" ph="1">
        <f>T18*9.0746*LOOKUP(T20,密度!$A$2:$A$50,密度!$O$2:$O$50)</f>
        <v>4663.7091780000001</v>
      </c>
      <c r="U19" s="73" ph="1">
        <f>U18*9.0746*LOOKUP(U20,密度!$A$2:$A$50,密度!$H$2:$H$50)</f>
        <v>47686.342405000003</v>
      </c>
      <c r="V19" s="73" ph="1">
        <f>MAX(5600*LOOKUP(V20,密度!$A$2:$A$50,密度!$Q$2:$Q$50)+V18*9.0476*LOOKUP(V20,密度!$A$2:$A$50,密度!$Q$2:$Q$50),0)</f>
        <v>24296.718177367999</v>
      </c>
      <c r="W19" s="73" ph="1">
        <f>MAX(5600*LOOKUP(W20,密度!$A$2:$A$50,密度!$Q$2:$Q$50)+W18*9.0476*LOOKUP(W20,密度!$A$2:$A$50,密度!$Q$2:$Q$50),0)</f>
        <v>26056.020197375998</v>
      </c>
      <c r="X19" s="73" ph="1">
        <f>MAX(5600*LOOKUP(X20,密度!$A$2:$A$50,密度!$I$2:$I$50)+X18*9.0476*LOOKUP(X20,密度!$A$2:$A$50,密度!$I$2:$I$50),0)</f>
        <v>13834.497763519998</v>
      </c>
      <c r="Y19" s="73" ph="1">
        <f>MAX(5600*LOOKUP(Y20,密度!$A$2:$A$50,密度!$I$2:$I$50)+Y18*9.0476*LOOKUP(Y20,密度!$A$2:$A$50,密度!$I$2:$I$50),0)</f>
        <v>0</v>
      </c>
      <c r="Z19" s="73" ph="1">
        <f>Z18*9.0746*LOOKUP(Z20,密度!$A$2:$A$50,密度!$D$2:$D$50)</f>
        <v>0</v>
      </c>
      <c r="AA19" s="73" ph="1">
        <f>AA18*9.0746*LOOKUP(AA20,密度!$A$2:$A$50,密度!$B$2:$B$50)</f>
        <v>17453.985819399997</v>
      </c>
      <c r="AB19" s="73" ph="1">
        <f>AB18*9.0746*LOOKUP(AB20,密度!$A$2:$A$50,密度!$L$2:$L$50)</f>
        <v>0</v>
      </c>
      <c r="AC19" s="73" ph="1">
        <f>AC18*9.0746*LOOKUP(AC20,密度!$A$2:$A$50,密度!$L$2:$L$50)</f>
        <v>0</v>
      </c>
      <c r="AD19" s="73" ph="1">
        <f>AD18*268.68*LOOKUP(AD20,密度!$A$2:$A$50,密度!B5:B53)+IF(AD18&lt;=0,0,1566*LOOKUP(AD20,密度!$A$2:$A$50,密度!B5:B53))</f>
        <v>4214.6382095999998</v>
      </c>
      <c r="AE19" s="73" ph="1">
        <f>AE18*268.68*LOOKUP(AE20,密度!$A$2:$A$50,密度!B5:B53)+IF(AE18&lt;=0,0,1566*LOOKUP(AE20,密度!$A$2:$A$50,密度!B5:B53))</f>
        <v>18834.406340400001</v>
      </c>
      <c r="AH19" s="72" ph="1">
        <v>5</v>
      </c>
      <c r="AI19" s="72" t="s" ph="1">
        <v>341</v>
      </c>
      <c r="AZ19" s="72" t="s" ph="1">
        <v>216</v>
      </c>
      <c r="BA19" s="72" ph="1">
        <v>0</v>
      </c>
      <c r="BD19" s="72" t="s" ph="1">
        <v>342</v>
      </c>
      <c r="BE19" s="72" ph="1">
        <v>1440</v>
      </c>
    </row>
    <row r="20" spans="1:57" ph="1">
      <c r="A20" s="72" ph="1"/>
      <c r="B20" s="217" ph="1"/>
      <c r="C20" s="80" t="s" ph="1">
        <v>179</v>
      </c>
      <c r="D20" s="81">
        <v>30</v>
      </c>
      <c r="E20" s="81">
        <v>30</v>
      </c>
      <c r="F20" s="81">
        <v>29</v>
      </c>
      <c r="G20" s="81">
        <v>26</v>
      </c>
      <c r="H20" s="81">
        <v>24</v>
      </c>
      <c r="I20" s="81">
        <v>29</v>
      </c>
      <c r="J20" s="81">
        <v>30</v>
      </c>
      <c r="K20" s="81">
        <v>29</v>
      </c>
      <c r="L20" s="81">
        <v>29</v>
      </c>
      <c r="M20" s="81">
        <v>30</v>
      </c>
      <c r="N20" s="81">
        <v>27</v>
      </c>
      <c r="O20" s="81">
        <v>29</v>
      </c>
      <c r="P20" s="81">
        <v>27</v>
      </c>
      <c r="Q20" s="81">
        <v>30</v>
      </c>
      <c r="R20" s="81">
        <v>29</v>
      </c>
      <c r="S20" s="81">
        <v>35</v>
      </c>
      <c r="T20" s="81">
        <v>29</v>
      </c>
      <c r="U20" s="81">
        <v>26</v>
      </c>
      <c r="V20" s="81">
        <v>29</v>
      </c>
      <c r="W20" s="81">
        <v>29</v>
      </c>
      <c r="X20" s="81">
        <v>30</v>
      </c>
      <c r="Y20" s="110">
        <v>30</v>
      </c>
      <c r="Z20" s="81">
        <v>30</v>
      </c>
      <c r="AA20" s="81">
        <v>26</v>
      </c>
      <c r="AB20" s="81">
        <v>29</v>
      </c>
      <c r="AC20" s="81">
        <v>29</v>
      </c>
      <c r="AD20" s="81">
        <v>25</v>
      </c>
      <c r="AE20" s="81">
        <v>25</v>
      </c>
      <c r="AF20" s="64" t="s" ph="1">
        <v>35</v>
      </c>
      <c r="AH20" s="64" ph="1">
        <v>6</v>
      </c>
      <c r="AI20" s="64" t="s" ph="1">
        <v>343</v>
      </c>
      <c r="AZ20" s="64" t="s" ph="1">
        <v>216</v>
      </c>
      <c r="BA20" s="64" ph="1">
        <v>0</v>
      </c>
    </row>
    <row r="21" spans="1:57" ph="1">
      <c r="A21" s="72" ph="1"/>
      <c r="B21" s="82" ph="1"/>
      <c r="C21" s="83" ph="1"/>
      <c r="D21" s="84"/>
      <c r="E21" s="84"/>
      <c r="F21" s="84"/>
      <c r="G21" s="84"/>
      <c r="H21" s="84"/>
      <c r="I21" s="84"/>
      <c r="J21" s="84"/>
      <c r="K21" s="84"/>
      <c r="L21" s="84"/>
      <c r="M21" s="84"/>
      <c r="N21" s="84"/>
      <c r="O21" s="84"/>
      <c r="P21" s="84"/>
      <c r="Q21" s="84"/>
      <c r="R21" s="84"/>
      <c r="S21" s="84"/>
      <c r="T21" s="84"/>
      <c r="U21" s="84"/>
      <c r="V21" s="84"/>
      <c r="W21" s="84"/>
      <c r="X21" s="84"/>
      <c r="Y21" s="84"/>
      <c r="Z21" s="84"/>
      <c r="AA21" s="84"/>
      <c r="AB21" s="84"/>
      <c r="AC21" s="84"/>
      <c r="AD21" s="84"/>
      <c r="AE21" s="84"/>
      <c r="AH21" s="64" ph="1">
        <v>7</v>
      </c>
      <c r="AI21" s="64" t="s" ph="1">
        <v>344</v>
      </c>
      <c r="AZ21" s="64" t="s" ph="1">
        <v>216</v>
      </c>
      <c r="BA21" s="64" ph="1">
        <v>0</v>
      </c>
      <c r="BD21" s="64" t="s" ph="1">
        <v>232</v>
      </c>
      <c r="BE21" s="64" ph="1">
        <v>730</v>
      </c>
    </row>
    <row r="22" spans="1:57" ph="1">
      <c r="A22" s="72" ph="1"/>
      <c r="B22" s="215" t="s" ph="1">
        <v>37</v>
      </c>
      <c r="C22" s="85" t="s" ph="1">
        <v>176</v>
      </c>
      <c r="D22" s="86" t="s" ph="1">
        <v>86</v>
      </c>
      <c r="E22" s="86" t="s" ph="1">
        <v>87</v>
      </c>
      <c r="F22" s="86" t="s" ph="1">
        <v>88</v>
      </c>
      <c r="G22" s="86" t="s" ph="1">
        <v>89</v>
      </c>
      <c r="H22" s="86" t="s" ph="1">
        <v>90</v>
      </c>
      <c r="I22" s="86" t="s" ph="1">
        <v>91</v>
      </c>
      <c r="J22" s="86" t="s" ph="1">
        <v>92</v>
      </c>
      <c r="K22" s="86" t="s" ph="1">
        <v>93</v>
      </c>
      <c r="L22" s="86" t="s" ph="1">
        <v>94</v>
      </c>
      <c r="M22" s="86" t="s" ph="1">
        <v>95</v>
      </c>
      <c r="N22" s="86" t="s" ph="1">
        <v>96</v>
      </c>
      <c r="O22" s="86" t="s" ph="1">
        <v>97</v>
      </c>
      <c r="P22" s="86" t="s" ph="1">
        <v>98</v>
      </c>
      <c r="Q22" s="87" t="s" ph="1">
        <v>99</v>
      </c>
      <c r="R22" s="86" t="s" ph="1">
        <v>100</v>
      </c>
      <c r="S22" s="86" t="s" ph="1">
        <v>101</v>
      </c>
      <c r="T22" s="86" t="s" ph="1">
        <v>102</v>
      </c>
      <c r="U22" s="86" t="s" ph="1">
        <v>103</v>
      </c>
      <c r="V22" s="86" t="s" ph="1">
        <v>104</v>
      </c>
      <c r="W22" s="86" t="s" ph="1">
        <v>105</v>
      </c>
      <c r="X22" s="86" t="s" ph="1">
        <v>106</v>
      </c>
      <c r="Y22" s="86" t="s" ph="1">
        <v>108</v>
      </c>
      <c r="Z22" s="225" t="s" ph="1">
        <v>69</v>
      </c>
      <c r="AA22" s="226"/>
      <c r="AB22" s="226"/>
      <c r="AC22" s="226"/>
      <c r="AD22" s="226"/>
      <c r="AE22" s="227"/>
      <c r="AH22" s="64" ph="1">
        <v>8</v>
      </c>
      <c r="AI22" s="64" t="s" ph="1">
        <v>345</v>
      </c>
      <c r="AZ22" s="64" t="s" ph="1">
        <v>216</v>
      </c>
      <c r="BA22" s="64" ph="1">
        <v>0</v>
      </c>
    </row>
    <row r="23" spans="1:57" ph="1">
      <c r="A23" s="72" ph="1"/>
      <c r="B23" s="219" ph="1"/>
      <c r="C23" s="67" t="s" ph="1">
        <v>36</v>
      </c>
      <c r="D23" s="88" t="s" ph="1">
        <v>109</v>
      </c>
      <c r="E23" s="88" t="s" ph="1">
        <v>107</v>
      </c>
      <c r="F23" s="88" t="s" ph="1">
        <v>109</v>
      </c>
      <c r="G23" s="88" t="s" ph="1">
        <v>626</v>
      </c>
      <c r="H23" s="88" t="s" ph="1">
        <v>626</v>
      </c>
      <c r="I23" s="88" t="s" ph="1">
        <v>627</v>
      </c>
      <c r="J23" s="88" t="s" ph="1">
        <v>628</v>
      </c>
      <c r="K23" s="88" t="s" ph="1">
        <v>628</v>
      </c>
      <c r="L23" s="88" t="s" ph="1">
        <v>628</v>
      </c>
      <c r="M23" s="88" t="s" ph="1">
        <v>623</v>
      </c>
      <c r="N23" s="88" t="s" ph="1">
        <v>623</v>
      </c>
      <c r="O23" s="88" t="s" ph="1">
        <v>645</v>
      </c>
      <c r="P23" s="88" t="s" ph="1">
        <v>629</v>
      </c>
      <c r="Q23" s="89" t="s" ph="1">
        <v>629</v>
      </c>
      <c r="R23" s="88" t="s" ph="1">
        <v>610</v>
      </c>
      <c r="S23" s="88" t="s" ph="1">
        <v>629</v>
      </c>
      <c r="T23" s="88" t="s" ph="1">
        <v>604</v>
      </c>
      <c r="U23" s="104" t="s" ph="1">
        <v>606</v>
      </c>
      <c r="V23" s="88" t="s" ph="1">
        <v>629</v>
      </c>
      <c r="W23" s="88" t="s" ph="1">
        <v>629</v>
      </c>
      <c r="X23" s="88" t="s" ph="1">
        <v>187</v>
      </c>
      <c r="Y23" s="88" t="s" ph="1">
        <v>630</v>
      </c>
      <c r="Z23" s="228" t="s" ph="1">
        <v>641</v>
      </c>
      <c r="AA23" s="229"/>
      <c r="AB23" s="229"/>
      <c r="AC23" s="229"/>
      <c r="AD23" s="229"/>
      <c r="AE23" s="230"/>
      <c r="AH23" s="64" ph="1">
        <v>9</v>
      </c>
      <c r="AI23" s="64" t="s" ph="1">
        <v>346</v>
      </c>
      <c r="AZ23" s="64" t="s" ph="1">
        <v>216</v>
      </c>
      <c r="BA23" s="64" ph="1">
        <v>0</v>
      </c>
      <c r="BD23" s="64" t="s" ph="1">
        <v>238</v>
      </c>
      <c r="BE23" s="64" ph="1">
        <v>890</v>
      </c>
    </row>
    <row r="24" spans="1:57" ph="1">
      <c r="A24" s="72" ph="1"/>
      <c r="B24" s="237" ph="1">
        <v>0.33333333333333331</v>
      </c>
      <c r="C24" s="150" t="s" ph="1">
        <v>177</v>
      </c>
      <c r="D24" s="71">
        <v>3.12</v>
      </c>
      <c r="E24" s="71">
        <v>48.21</v>
      </c>
      <c r="F24" s="71">
        <v>0</v>
      </c>
      <c r="G24" s="71">
        <v>2990</v>
      </c>
      <c r="H24" s="71">
        <v>2724</v>
      </c>
      <c r="I24" s="71">
        <v>166</v>
      </c>
      <c r="J24" s="71">
        <v>299</v>
      </c>
      <c r="K24" s="71">
        <v>210</v>
      </c>
      <c r="L24" s="71">
        <v>301</v>
      </c>
      <c r="M24" s="71">
        <v>4959</v>
      </c>
      <c r="N24" s="71">
        <v>4773</v>
      </c>
      <c r="O24" s="71">
        <v>316</v>
      </c>
      <c r="P24" s="71">
        <v>664</v>
      </c>
      <c r="Q24" s="90">
        <v>3607</v>
      </c>
      <c r="R24" s="71">
        <v>2059</v>
      </c>
      <c r="S24" s="71">
        <v>432</v>
      </c>
      <c r="T24" s="71">
        <v>12</v>
      </c>
      <c r="U24" s="71">
        <v>5651</v>
      </c>
      <c r="V24" s="71">
        <v>737</v>
      </c>
      <c r="W24" s="71">
        <v>432</v>
      </c>
      <c r="X24" s="71">
        <v>3792</v>
      </c>
      <c r="Y24" s="71">
        <v>3386</v>
      </c>
      <c r="Z24" s="231"/>
      <c r="AA24" s="232"/>
      <c r="AB24" s="232"/>
      <c r="AC24" s="232"/>
      <c r="AD24" s="232"/>
      <c r="AE24" s="233"/>
      <c r="AH24" s="64" ph="1">
        <v>10</v>
      </c>
      <c r="AI24" s="64" t="s" ph="1">
        <v>347</v>
      </c>
      <c r="AZ24" s="64" t="s" ph="1">
        <v>216</v>
      </c>
      <c r="BA24" s="64" ph="1">
        <v>0</v>
      </c>
    </row>
    <row r="25" spans="1:57" ph="1">
      <c r="A25" s="72" ph="1"/>
      <c r="B25" s="237" ph="1"/>
      <c r="C25" s="68" t="s" ph="1">
        <v>178</v>
      </c>
      <c r="D25" s="91" ph="1">
        <f>D24*268.68*LOOKUP(D26,密度!$A$2:$A$50,密度!$Q$2:$Q$50)+IF(D24&lt;=0,0,1566*LOOKUP(D26,密度!$A$2:$A$50,密度!$Q$2:$Q$50))</f>
        <v>2276.2295619840002</v>
      </c>
      <c r="E25" s="91" ph="1">
        <f>E24*268.68*LOOKUP(E26,密度!$A$2:$A$50,密度!$C$2:$C$50)+IF(E24&lt;=0,0,1566*LOOKUP(E26,密度!$A$2:$A$50,密度!$C$2:$C$50))</f>
        <v>16100.188738919998</v>
      </c>
      <c r="F25" s="91" ph="1">
        <f>F24*11.702*LOOKUP(F26,密度!$A$2:$A$50,密度!$Q$2:$Q$50)</f>
        <v>0</v>
      </c>
      <c r="G25" s="91" ph="1">
        <f>G24*18.322*LOOKUP(G26,密度!$A$2:$A$50,密度!$B$2:$B$50)</f>
        <v>42615.524561999999</v>
      </c>
      <c r="H25" s="91" ph="1">
        <f>H24*18.322*LOOKUP(H26,密度!$A$2:$A$50,密度!$B$2:$B$50)</f>
        <v>38864.237973599993</v>
      </c>
      <c r="I25" s="91" ph="1">
        <f>I24*18.322*LOOKUP(I26,密度!$A$2:$A$50,密度!$Q$2:$Q$50)</f>
        <v>2877.3048355599999</v>
      </c>
      <c r="J25" s="91" ph="1">
        <f>J24*18.322*LOOKUP(J26,密度!$A$2:$A$50,密度!$Q$2:$Q$50)</f>
        <v>5174.8909643599991</v>
      </c>
      <c r="K25" s="91" ph="1">
        <f>K24*18.322*LOOKUP(K26,密度!$A$2:$A$50,密度!$Q$2:$Q$50)</f>
        <v>3634.5388044000001</v>
      </c>
      <c r="L25" s="91" ph="1">
        <f>L24*18.322*LOOKUP(L26,密度!$A$2:$A$50,密度!$Q$2:$Q$50)</f>
        <v>5213.3660650399997</v>
      </c>
      <c r="M25" s="91" ph="1">
        <f>M24*18.322*LOOKUP(M26,密度!$A$2:$A$50,密度!$Q$2:$Q$50)</f>
        <v>85890.638925360006</v>
      </c>
      <c r="N25" s="91" ph="1">
        <f>N24*18.322*LOOKUP(N26,密度!$A$2:$A$50,密度!$Q$2:$Q$50)</f>
        <v>82547.53370058001</v>
      </c>
      <c r="O25" s="91" ph="1">
        <f>O24*18.322*LOOKUP(O26,密度!$A$2:$A$50,密度!$C$2:$C$50)</f>
        <v>6406.9395631999996</v>
      </c>
      <c r="P25" s="91" ph="1">
        <f>P24*11.702*LOOKUP(P26,密度!$A$2:$A$50,密度!$B$2:$B$50)</f>
        <v>6037.3894559999999</v>
      </c>
      <c r="Q25" s="92" ph="1">
        <f>Q24*18.322*LOOKUP(Q26,密度!$A$2:$A$50,密度!$B$2:$B$50)</f>
        <v>51462.300429799994</v>
      </c>
      <c r="R25" s="91" ph="1">
        <f>R24*35.891*LOOKUP(R26,密度!$A$2:$A$50,密度!$C$2:$C$50)</f>
        <v>81888.112408900008</v>
      </c>
      <c r="S25" s="91" ph="1">
        <f>S24*35.891*LOOKUP(S26,密度!$A$2:$A$50,密度!$B$2:$B$50)</f>
        <v>12061.2710448</v>
      </c>
      <c r="T25" s="91" ph="1">
        <f>T24*35.891*LOOKUP(T26,密度!$A$2:$A$50,密度!$Q$2:$Q$50)</f>
        <v>407.14176144000004</v>
      </c>
      <c r="U25" s="91" ph="1">
        <f>U24*35.891</f>
        <v>202820.041</v>
      </c>
      <c r="V25" s="91" ph="1">
        <f>V24*47.051*LOOKUP(V26,密度!$A$2:$A$50,密度!$B$2:$B$50)</f>
        <v>27002.658296899997</v>
      </c>
      <c r="W25" s="91" ph="1">
        <f>W24*47.051*LOOKUP(W26,密度!$A$2:$A$50,密度!$B$2:$B$50)</f>
        <v>15811.6202928</v>
      </c>
      <c r="X25" s="91" ph="1">
        <f>X24*47.051*LOOKUP(X26,密度!$A$2:$A$61,密度!$I$2:$I$61)</f>
        <v>184769.05115520002</v>
      </c>
      <c r="Y25" s="91" ph="1">
        <f>Y24*47.051*LOOKUP(Y26,密度!$A$2:$A$50,密度!$L$2:$L$50)</f>
        <v>148959.23141000004</v>
      </c>
      <c r="Z25" s="231"/>
      <c r="AA25" s="232"/>
      <c r="AB25" s="232"/>
      <c r="AC25" s="232"/>
      <c r="AD25" s="232"/>
      <c r="AE25" s="233"/>
      <c r="AH25" s="64" ph="1">
        <v>11</v>
      </c>
      <c r="AI25" s="64" t="s" ph="1">
        <v>348</v>
      </c>
      <c r="AZ25" s="64" t="s" ph="1">
        <v>216</v>
      </c>
      <c r="BA25" s="64" ph="1">
        <v>0</v>
      </c>
      <c r="BD25" s="64" t="s" ph="1">
        <v>241</v>
      </c>
      <c r="BE25" s="64" ph="1">
        <v>8920</v>
      </c>
    </row>
    <row r="26" spans="1:57" ph="1">
      <c r="A26" s="72" ph="1"/>
      <c r="B26" s="237" ph="1"/>
      <c r="C26" s="68" t="s" ph="1">
        <v>179</v>
      </c>
      <c r="D26" s="74">
        <v>25</v>
      </c>
      <c r="E26" s="74">
        <v>25</v>
      </c>
      <c r="F26" s="74">
        <v>27</v>
      </c>
      <c r="G26" s="74">
        <v>27</v>
      </c>
      <c r="H26" s="74">
        <v>26</v>
      </c>
      <c r="I26" s="74">
        <v>26</v>
      </c>
      <c r="J26" s="74">
        <v>28</v>
      </c>
      <c r="K26" s="74">
        <v>28</v>
      </c>
      <c r="L26" s="74">
        <v>27</v>
      </c>
      <c r="M26" s="74">
        <v>27</v>
      </c>
      <c r="N26" s="74">
        <v>29</v>
      </c>
      <c r="O26" s="74">
        <v>28</v>
      </c>
      <c r="P26" s="74">
        <v>28</v>
      </c>
      <c r="Q26" s="93">
        <v>26</v>
      </c>
      <c r="R26" s="74">
        <v>26</v>
      </c>
      <c r="S26" s="74">
        <v>27</v>
      </c>
      <c r="T26" s="74">
        <v>27</v>
      </c>
      <c r="U26" s="74">
        <v>26</v>
      </c>
      <c r="V26" s="74">
        <v>26</v>
      </c>
      <c r="W26" s="74">
        <v>27</v>
      </c>
      <c r="X26" s="74">
        <v>31</v>
      </c>
      <c r="Y26" s="74">
        <v>27</v>
      </c>
      <c r="Z26" s="231"/>
      <c r="AA26" s="232"/>
      <c r="AB26" s="232"/>
      <c r="AC26" s="232"/>
      <c r="AD26" s="232"/>
      <c r="AE26" s="233"/>
      <c r="AH26" s="64" ph="1">
        <v>12</v>
      </c>
      <c r="AI26" s="64" t="s" ph="1">
        <v>349</v>
      </c>
      <c r="AZ26" s="64" t="s" ph="1">
        <v>216</v>
      </c>
      <c r="BA26" s="64" ph="1">
        <v>0</v>
      </c>
    </row>
    <row r="27" spans="1:57" ht="26.4" ph="1">
      <c r="A27" s="72" ph="1"/>
      <c r="B27" s="237" ph="1">
        <v>0.66666666666666663</v>
      </c>
      <c r="C27" s="150" t="s" ph="1">
        <v>180</v>
      </c>
      <c r="D27" s="71">
        <v>3.12</v>
      </c>
      <c r="E27" s="71">
        <v>18.75</v>
      </c>
      <c r="F27" s="71">
        <v>0</v>
      </c>
      <c r="G27" s="71">
        <v>2446</v>
      </c>
      <c r="H27" s="71">
        <v>2248</v>
      </c>
      <c r="I27" s="71">
        <v>176</v>
      </c>
      <c r="J27" s="71">
        <v>296</v>
      </c>
      <c r="K27" s="71">
        <v>207</v>
      </c>
      <c r="L27" s="71">
        <v>299</v>
      </c>
      <c r="M27" s="71">
        <v>4957</v>
      </c>
      <c r="N27" s="71">
        <v>4771</v>
      </c>
      <c r="O27" s="71">
        <v>315</v>
      </c>
      <c r="P27" s="71">
        <v>663</v>
      </c>
      <c r="Q27" s="90">
        <v>3796</v>
      </c>
      <c r="R27" s="71">
        <v>2515</v>
      </c>
      <c r="S27" s="71">
        <v>432</v>
      </c>
      <c r="T27" s="71">
        <v>11</v>
      </c>
      <c r="U27" s="71">
        <v>5784</v>
      </c>
      <c r="V27" s="71">
        <v>736</v>
      </c>
      <c r="W27" s="71">
        <v>431</v>
      </c>
      <c r="X27" s="71">
        <v>2959</v>
      </c>
      <c r="Y27" s="71">
        <v>4157</v>
      </c>
      <c r="Z27" s="231"/>
      <c r="AA27" s="232"/>
      <c r="AB27" s="232"/>
      <c r="AC27" s="232"/>
      <c r="AD27" s="232"/>
      <c r="AE27" s="233"/>
      <c r="AH27" s="64" ph="1">
        <v>13</v>
      </c>
      <c r="AI27" s="64" t="s" ph="1">
        <v>350</v>
      </c>
      <c r="AZ27" s="64" t="s" ph="1">
        <v>216</v>
      </c>
      <c r="BA27" s="64" ph="1">
        <v>0</v>
      </c>
      <c r="BD27" s="64" t="s" ph="1">
        <v>295</v>
      </c>
      <c r="BE27" s="64" ph="1">
        <v>7100</v>
      </c>
    </row>
    <row r="28" spans="1:57" ph="1">
      <c r="A28" s="72" ph="1"/>
      <c r="B28" s="237" ph="1"/>
      <c r="C28" s="150" t="s" ph="1">
        <v>178</v>
      </c>
      <c r="D28" s="91" ph="1">
        <f>D27*268.68*LOOKUP(D29,密度!$A$2:$A$50,密度!$Q$2:$Q$50)+IF(D27&lt;=0,0,1566*LOOKUP(D29,密度!$A$2:$A$50,密度!$Q$2:$Q$50))</f>
        <v>2276.2295619840002</v>
      </c>
      <c r="E28" s="91" ph="1">
        <f>E27*268.68*LOOKUP(E29,密度!$A$2:$A$50,密度!$C$2:$C$50)+IF(E27&lt;=0,0,1566*LOOKUP(E29,密度!$A$2:$A$50,密度!$C$2:$C$50))</f>
        <v>7322.8983749999998</v>
      </c>
      <c r="F28" s="91" ph="1">
        <f>F27*11.702*LOOKUP(F29,密度!$A$2:$A$50,密度!$Q$2:$Q$50)</f>
        <v>0</v>
      </c>
      <c r="G28" s="91" ph="1">
        <f>G27*18.322*LOOKUP(G29,密度!$A$2:$A$50,密度!$B$2:$B$50)</f>
        <v>34862.064574800002</v>
      </c>
      <c r="H28" s="91" ph="1">
        <f>H27*18.322*LOOKUP(H29,密度!$A$2:$A$50,密度!$B$2:$B$50)</f>
        <v>32040.033182400002</v>
      </c>
      <c r="I28" s="91" ph="1">
        <f>I27*18.322*LOOKUP(I29,密度!$A$2:$A$50,密度!$Q$2:$Q$50)</f>
        <v>3043.8646409600001</v>
      </c>
      <c r="J28" s="91" ph="1">
        <f>J27*18.322*LOOKUP(J29,密度!$A$2:$A$50,密度!$Q$2:$Q$50)</f>
        <v>5126.7652998399999</v>
      </c>
      <c r="K28" s="91" ph="1">
        <f>K27*18.322*LOOKUP(K29,密度!$A$2:$A$50,密度!$Q$2:$Q$50)</f>
        <v>3579.99989022</v>
      </c>
      <c r="L28" s="91" ph="1">
        <f>L27*18.322*LOOKUP(L29,密度!$A$2:$A$50,密度!$Q$2:$Q$50)</f>
        <v>5171.1109525399997</v>
      </c>
      <c r="M28" s="91" ph="1">
        <f>M27*18.322*LOOKUP(M29,密度!$A$2:$A$50,密度!$Q$2:$Q$50)</f>
        <v>85920.482348620004</v>
      </c>
      <c r="N28" s="91" ph="1">
        <f>N27*18.322*LOOKUP(N29,密度!$A$2:$A$50,密度!$Q$2:$Q$50)</f>
        <v>82696.514279859999</v>
      </c>
      <c r="O28" s="91" ph="1">
        <f>O27*18.322*LOOKUP(O29,密度!$A$2:$A$50,密度!$C$2:$C$50)</f>
        <v>6391.2815819999987</v>
      </c>
      <c r="P28" s="91" ph="1">
        <f>P27*11.702*LOOKUP(P29,密度!$A$2:$A$50,密度!$B$2:$B$50)</f>
        <v>6035.2795854000005</v>
      </c>
      <c r="Q28" s="92" ph="1">
        <f>Q27*18.322*LOOKUP(Q29,密度!$A$2:$A$50,密度!$B$2:$B$50)</f>
        <v>53922.356893599994</v>
      </c>
      <c r="R28" s="91" ph="1">
        <f>R27*35.891*LOOKUP(R29,密度!$A$2:$A$50,密度!$C$2:$C$50)</f>
        <v>99752.807411499991</v>
      </c>
      <c r="S28" s="91" ph="1">
        <f>S27*35.891*LOOKUP(S29,密度!$A$2:$A$50,密度!$B$2:$B$50)</f>
        <v>12034.912694399998</v>
      </c>
      <c r="T28" s="91" ph="1">
        <f>T27*35.891*LOOKUP(T29,密度!$A$2:$A$50,密度!$Q$2:$Q$50)</f>
        <v>372.66450793000001</v>
      </c>
      <c r="U28" s="91" ph="1">
        <f>U27*35.891</f>
        <v>207593.54399999999</v>
      </c>
      <c r="V28" s="91" ph="1">
        <f>V27*47.051*LOOKUP(V29,密度!$A$2:$A$50,密度!$B$2:$B$50)</f>
        <v>26966.019683199997</v>
      </c>
      <c r="W28" s="91" ph="1">
        <f>W27*47.051*LOOKUP(W29,密度!$A$2:$A$50,密度!$B$2:$B$50)</f>
        <v>15791.242504699998</v>
      </c>
      <c r="X28" s="91" ph="1">
        <f>X27*47.051*LOOKUP(X29,密度!$A$2:$A$61,密度!$I$2:$I$61)</f>
        <v>144333.42646030002</v>
      </c>
      <c r="Y28" s="91" ph="1">
        <f>Y27*47.051*LOOKUP(Y29,密度!$A$2:$A$50,密度!$L$2:$L$50)</f>
        <v>182095.22751700002</v>
      </c>
      <c r="Z28" s="231"/>
      <c r="AA28" s="232"/>
      <c r="AB28" s="232"/>
      <c r="AC28" s="232"/>
      <c r="AD28" s="232"/>
      <c r="AE28" s="233"/>
      <c r="AH28" s="64" ph="1">
        <v>14</v>
      </c>
      <c r="AI28" s="64" t="s" ph="1">
        <v>351</v>
      </c>
      <c r="AZ28" s="64" t="s" ph="1">
        <v>216</v>
      </c>
      <c r="BA28" s="64" ph="1">
        <v>0</v>
      </c>
    </row>
    <row r="29" spans="1:57" ph="1">
      <c r="A29" s="72" ph="1"/>
      <c r="B29" s="237" ph="1"/>
      <c r="C29" s="150" t="s" ph="1">
        <v>179</v>
      </c>
      <c r="D29" s="74">
        <v>25</v>
      </c>
      <c r="E29" s="74">
        <v>25</v>
      </c>
      <c r="F29" s="74">
        <v>27</v>
      </c>
      <c r="G29" s="74">
        <v>27</v>
      </c>
      <c r="H29" s="74">
        <v>27</v>
      </c>
      <c r="I29" s="74">
        <v>29</v>
      </c>
      <c r="J29" s="74">
        <v>27</v>
      </c>
      <c r="K29" s="74">
        <v>29</v>
      </c>
      <c r="L29" s="74">
        <v>29</v>
      </c>
      <c r="M29" s="74">
        <v>26</v>
      </c>
      <c r="N29" s="74">
        <v>26</v>
      </c>
      <c r="O29" s="74">
        <v>27</v>
      </c>
      <c r="P29" s="74">
        <v>27</v>
      </c>
      <c r="Q29" s="93">
        <v>30</v>
      </c>
      <c r="R29" s="74">
        <v>30</v>
      </c>
      <c r="S29" s="74">
        <v>29</v>
      </c>
      <c r="T29" s="74">
        <v>29</v>
      </c>
      <c r="U29" s="74">
        <v>27</v>
      </c>
      <c r="V29" s="74">
        <v>26</v>
      </c>
      <c r="W29" s="74">
        <v>26</v>
      </c>
      <c r="X29" s="74">
        <v>30</v>
      </c>
      <c r="Y29" s="74">
        <v>31</v>
      </c>
      <c r="Z29" s="234"/>
      <c r="AA29" s="235"/>
      <c r="AB29" s="235"/>
      <c r="AC29" s="235"/>
      <c r="AD29" s="235"/>
      <c r="AE29" s="236"/>
      <c r="AH29" s="64" ph="1">
        <v>15</v>
      </c>
      <c r="AI29" s="64" t="s" ph="1">
        <v>352</v>
      </c>
      <c r="AZ29" s="64" t="s" ph="1">
        <v>216</v>
      </c>
      <c r="BA29" s="64" ph="1">
        <v>0</v>
      </c>
      <c r="BD29" s="64" t="s" ph="1">
        <v>353</v>
      </c>
      <c r="BE29" s="64" ph="1">
        <v>890</v>
      </c>
    </row>
    <row r="30" spans="1:57" ph="1">
      <c r="D30" s="94" ph="1"/>
      <c r="Z30" s="64" t="s" ph="1">
        <v>35</v>
      </c>
      <c r="AE30" s="95" ph="1"/>
      <c r="AH30" s="64" ph="1">
        <v>16</v>
      </c>
      <c r="AI30" s="64" t="s" ph="1">
        <v>354</v>
      </c>
      <c r="AZ30" s="64" t="s" ph="1">
        <v>216</v>
      </c>
      <c r="BA30" s="64" ph="1">
        <v>0</v>
      </c>
    </row>
    <row r="31" spans="1:57" ht="28.2" ph="1">
      <c r="A31" s="64"/>
      <c r="B31" s="220" t="s" ph="1">
        <v>35</v>
      </c>
      <c r="C31" s="221" ph="1"/>
      <c r="D31" s="224" t="s" ph="1">
        <v>9</v>
      </c>
      <c r="E31" s="199" ph="1"/>
      <c r="F31" s="200" ph="1"/>
      <c r="G31" s="224" t="s" ph="1">
        <v>18</v>
      </c>
      <c r="H31" s="199" ph="1"/>
      <c r="I31" s="200" ph="1"/>
      <c r="J31" s="198" t="s" ph="1">
        <v>1</v>
      </c>
      <c r="K31" s="199" ph="1"/>
      <c r="L31" s="200" ph="1"/>
      <c r="M31" s="198" t="s" ph="1">
        <v>7</v>
      </c>
      <c r="N31" s="199" ph="1"/>
      <c r="O31" s="200" ph="1"/>
      <c r="P31" s="198" t="s" ph="1">
        <v>41</v>
      </c>
      <c r="Q31" s="199"/>
      <c r="R31" s="200"/>
      <c r="S31" s="198" t="s" ph="1">
        <v>2</v>
      </c>
      <c r="T31" s="199"/>
      <c r="U31" s="200"/>
      <c r="V31" s="198" t="s" ph="1">
        <v>71</v>
      </c>
      <c r="W31" s="199" ph="1"/>
      <c r="X31" s="200" ph="1"/>
      <c r="Y31" s="198" t="s" ph="1">
        <v>3</v>
      </c>
      <c r="Z31" s="199" ph="1"/>
      <c r="AA31" s="200" ph="1"/>
      <c r="AB31" s="201" t="s">
        <v>42</v>
      </c>
      <c r="AC31" s="202"/>
      <c r="AD31" s="202"/>
      <c r="AE31" s="203"/>
      <c r="AH31" s="64" ph="1">
        <v>17</v>
      </c>
      <c r="AI31" s="64" t="s" ph="1">
        <v>355</v>
      </c>
      <c r="AZ31" s="64" t="s" ph="1">
        <v>216</v>
      </c>
      <c r="BA31" s="64" ph="1">
        <v>0</v>
      </c>
      <c r="BD31" s="64" t="s" ph="1">
        <v>356</v>
      </c>
      <c r="BE31" s="64" ph="1">
        <v>9310</v>
      </c>
    </row>
    <row r="32" spans="1:57" ph="1">
      <c r="A32" s="64"/>
      <c r="B32" s="222" ph="1"/>
      <c r="C32" s="223" ph="1"/>
      <c r="D32" s="96" t="s" ph="1">
        <v>4</v>
      </c>
      <c r="E32" s="150" t="s" ph="1">
        <v>5</v>
      </c>
      <c r="F32" s="151" t="s" ph="1">
        <v>43</v>
      </c>
      <c r="G32" s="97" t="s" ph="1">
        <v>4</v>
      </c>
      <c r="H32" s="150" t="s" ph="1">
        <v>5</v>
      </c>
      <c r="I32" s="151" t="s" ph="1">
        <v>43</v>
      </c>
      <c r="J32" s="97" t="s" ph="1">
        <v>4</v>
      </c>
      <c r="K32" s="150" t="s" ph="1">
        <v>5</v>
      </c>
      <c r="L32" s="151" t="s" ph="1">
        <v>43</v>
      </c>
      <c r="M32" s="97" t="s" ph="1">
        <v>4</v>
      </c>
      <c r="N32" s="150" t="s" ph="1">
        <v>5</v>
      </c>
      <c r="O32" s="151" t="s" ph="1">
        <v>43</v>
      </c>
      <c r="P32" s="97" t="s" ph="1">
        <v>4</v>
      </c>
      <c r="Q32" s="98" t="s" ph="1">
        <v>5</v>
      </c>
      <c r="R32" s="99" t="s" ph="1">
        <v>43</v>
      </c>
      <c r="S32" s="97" t="s" ph="1">
        <v>4</v>
      </c>
      <c r="T32" s="150" t="s" ph="1">
        <v>5</v>
      </c>
      <c r="U32" s="99" t="s" ph="1">
        <v>43</v>
      </c>
      <c r="V32" s="97" t="s" ph="1">
        <v>4</v>
      </c>
      <c r="W32" s="150" t="s" ph="1">
        <v>5</v>
      </c>
      <c r="X32" s="99" t="s" ph="1">
        <v>43</v>
      </c>
      <c r="Y32" s="100" t="s" ph="1">
        <v>4</v>
      </c>
      <c r="Z32" s="150" t="s" ph="1">
        <v>5</v>
      </c>
      <c r="AA32" s="151" t="s" ph="1">
        <v>43</v>
      </c>
      <c r="AB32" s="97" t="s" ph="1">
        <v>85</v>
      </c>
      <c r="AC32" s="150" t="s" ph="1">
        <v>84</v>
      </c>
      <c r="AD32" s="204" t="s" ph="1">
        <v>83</v>
      </c>
      <c r="AE32" s="205"/>
      <c r="AH32" s="64" ph="1">
        <v>18</v>
      </c>
      <c r="AI32" s="64" t="s" ph="1">
        <v>357</v>
      </c>
      <c r="AZ32" s="64" t="s" ph="1">
        <v>216</v>
      </c>
      <c r="BA32" s="64" ph="1">
        <v>0</v>
      </c>
    </row>
    <row r="33" spans="1:57" ph="1">
      <c r="A33" s="64"/>
      <c r="B33" s="206" t="s" ph="1">
        <v>181</v>
      </c>
      <c r="C33" s="207" ph="1"/>
      <c r="D33" s="186" ph="1">
        <f>AA10+AB10+Z19</f>
        <v>77792.465678100009</v>
      </c>
      <c r="E33" s="186" ph="1">
        <f>M10+I10</f>
        <v>128911.65340919999</v>
      </c>
      <c r="F33" s="210" ph="1">
        <f>表格_取樣回收每月庫存表_0620更新1522252632456786910111213141516171819202123456789101112131415161718192022232424356789101112131415161718192021222345678910111213141516171819202345678910111213149101516171819222123234567891012131415161711181920212224252345678910111213125[[#This Row],[F25]]</f>
        <v>3880</v>
      </c>
      <c r="G33" s="212" ph="1">
        <f>N19</f>
        <v>18745.896693160001</v>
      </c>
      <c r="H33" s="186" ph="1">
        <f>M19</f>
        <v>14959.119653300002</v>
      </c>
      <c r="I33" s="190" ph="1">
        <v>0</v>
      </c>
      <c r="J33" s="194" ph="1">
        <f>F10+O28</f>
        <v>146595.6053919</v>
      </c>
      <c r="K33" s="186" ph="1">
        <f>O10+K10+E28+R28</f>
        <v>200289.59950249997</v>
      </c>
      <c r="L33" s="196" ph="1">
        <f>K19</f>
        <v>36951.079715480002</v>
      </c>
      <c r="M33" s="194" ph="1">
        <f>G10+H10+W28+S28+V28+E10+R19+P28+Q28</f>
        <v>554614.57543830003</v>
      </c>
      <c r="N33" s="186" ph="1">
        <f>L10+P10++G28+H28+AD19+AE19</f>
        <v>164831.48440020002</v>
      </c>
      <c r="O33" s="190" ph="1">
        <f>G19</f>
        <v>16888.674537800001</v>
      </c>
      <c r="P33" s="194" ph="1">
        <f>L19</f>
        <v>37727.461655779996</v>
      </c>
      <c r="Q33" s="186" ph="1">
        <f>J10+N10</f>
        <v>73277.168790600001</v>
      </c>
      <c r="R33" s="190" ph="1">
        <f>BE23</f>
        <v>890</v>
      </c>
      <c r="S33" s="194" ph="1">
        <f>X28</f>
        <v>144333.42646030002</v>
      </c>
      <c r="T33" s="186" ph="1">
        <f>X19</f>
        <v>13834.497763519998</v>
      </c>
      <c r="U33" s="175" ph="1">
        <f>BE21</f>
        <v>730</v>
      </c>
      <c r="V33" s="188" ph="1">
        <f ca="1">P19+Q19+S19+M28+N28+J28+D10+AC10+D19+E19+H19+J19+O19+V19+W19+K28+L28</f>
        <v>822816.31051062606</v>
      </c>
      <c r="W33" s="188" ph="1">
        <f>D28+F28+T28+I28</f>
        <v>5692.7587108740008</v>
      </c>
      <c r="X33" s="190" ph="1">
        <f>BE29+BE31</f>
        <v>10200</v>
      </c>
      <c r="Y33" s="192" ph="1">
        <f>+Q10+R10+S10+T10+U10+V10+W10+X10+Y10</f>
        <v>198265.62044519998</v>
      </c>
      <c r="Z33" s="173" ph="1">
        <f>T19+U19+Y28+Z10</f>
        <v>245787.095768</v>
      </c>
      <c r="AA33" s="175" ph="1">
        <f>BE19</f>
        <v>1440</v>
      </c>
      <c r="AB33" s="177" ph="1">
        <f>I19</f>
        <v>46918.803662400001</v>
      </c>
      <c r="AC33" s="179" ph="1">
        <f>AD10+AB19</f>
        <v>70305.29896320001</v>
      </c>
      <c r="AD33" s="181" ph="1">
        <v>0</v>
      </c>
      <c r="AE33" s="182"/>
      <c r="AH33" s="64" ph="1">
        <v>19</v>
      </c>
      <c r="AI33" s="64" t="s" ph="1">
        <v>358</v>
      </c>
      <c r="AJ33" s="64" t="s" ph="1">
        <v>592</v>
      </c>
      <c r="AK33" s="64" t="s" ph="1">
        <v>589</v>
      </c>
      <c r="AL33" s="64" ph="1">
        <v>730</v>
      </c>
      <c r="AM33" s="64" t="s" ph="1">
        <v>339</v>
      </c>
      <c r="AZ33" s="64" t="s" ph="1">
        <v>216</v>
      </c>
      <c r="BA33" s="64" ph="1">
        <v>730</v>
      </c>
      <c r="BD33" s="64" t="s" ph="1">
        <v>290</v>
      </c>
      <c r="BE33" s="64" ph="1">
        <v>3880</v>
      </c>
    </row>
    <row r="34" spans="1:57" ph="1">
      <c r="A34" s="64"/>
      <c r="B34" s="208" ph="1"/>
      <c r="C34" s="209" ph="1"/>
      <c r="D34" s="187" ph="1"/>
      <c r="E34" s="187" ph="1"/>
      <c r="F34" s="211" ph="1"/>
      <c r="G34" s="213" ph="1"/>
      <c r="H34" s="187" ph="1"/>
      <c r="I34" s="191" ph="1"/>
      <c r="J34" s="195" ph="1"/>
      <c r="K34" s="187" ph="1"/>
      <c r="L34" s="197" ph="1"/>
      <c r="M34" s="195" ph="1"/>
      <c r="N34" s="187" ph="1"/>
      <c r="O34" s="191" ph="1"/>
      <c r="P34" s="195" ph="1"/>
      <c r="Q34" s="187" ph="1"/>
      <c r="R34" s="191" ph="1"/>
      <c r="S34" s="195" ph="1"/>
      <c r="T34" s="187"/>
      <c r="U34" s="176"/>
      <c r="V34" s="189" ph="1"/>
      <c r="W34" s="189" ph="1"/>
      <c r="X34" s="191" ph="1"/>
      <c r="Y34" s="193" ph="1"/>
      <c r="Z34" s="174" ph="1"/>
      <c r="AA34" s="176" ph="1"/>
      <c r="AB34" s="178"/>
      <c r="AC34" s="180"/>
      <c r="AD34" s="183"/>
      <c r="AE34" s="184"/>
      <c r="AH34" s="64" ph="1">
        <v>20</v>
      </c>
      <c r="AI34" s="64" t="s" ph="1">
        <v>359</v>
      </c>
      <c r="AJ34" s="64" t="s" ph="1">
        <v>593</v>
      </c>
      <c r="AK34" s="64" t="s" ph="1">
        <v>589</v>
      </c>
      <c r="AL34" s="64" ph="1">
        <v>720</v>
      </c>
      <c r="AM34" s="64" t="s" ph="1">
        <v>339</v>
      </c>
      <c r="AZ34" s="64" t="s" ph="1">
        <v>216</v>
      </c>
      <c r="BA34" s="64" ph="1">
        <v>720</v>
      </c>
    </row>
    <row r="35" spans="1:57" ph="1">
      <c r="A35" s="64"/>
      <c r="AC35" s="185" t="s" ph="1">
        <v>631</v>
      </c>
      <c r="AD35" s="185"/>
      <c r="AE35" s="185"/>
      <c r="AH35" s="64" ph="1">
        <v>21</v>
      </c>
      <c r="AI35" s="64" t="s" ph="1">
        <v>360</v>
      </c>
      <c r="AZ35" s="64" t="s" ph="1">
        <v>216</v>
      </c>
      <c r="BA35" s="64" ph="1">
        <v>0</v>
      </c>
      <c r="BD35" s="64" t="s" ph="1">
        <v>361</v>
      </c>
      <c r="BE35" s="64" ph="1">
        <v>2030</v>
      </c>
    </row>
    <row r="36" spans="1:57" ht="28.2" ph="1">
      <c r="A36" s="64"/>
      <c r="B36" s="103" t="s" ph="1">
        <v>182</v>
      </c>
      <c r="I36" s="171" t="s" ph="1">
        <v>183</v>
      </c>
      <c r="J36" s="171" ph="1"/>
      <c r="K36" s="101" ph="1"/>
      <c r="P36" s="101" ph="1"/>
      <c r="R36" s="171" t="s" ph="1">
        <v>184</v>
      </c>
      <c r="S36" s="171" ph="1"/>
      <c r="Y36" s="102" ph="1"/>
      <c r="Z36" s="152" t="s" ph="1">
        <v>185</v>
      </c>
      <c r="AA36" s="152" ph="1"/>
      <c r="AB36" s="172" t="s" ph="1">
        <v>640</v>
      </c>
      <c r="AC36" s="172" ph="1"/>
      <c r="AD36" s="172" ph="1"/>
      <c r="AE36" s="172" ph="1"/>
      <c r="BA36" s="64" ph="1">
        <v>2270</v>
      </c>
    </row>
    <row r="37" spans="1:57" s="152" customFormat="1" ph="1">
      <c r="A37" s="64" ph="1"/>
      <c r="B37" s="64" ph="1"/>
      <c r="C37" s="64" ph="1"/>
      <c r="D37" s="64" ph="1"/>
      <c r="E37" s="64" ph="1"/>
      <c r="F37" s="64" ph="1"/>
      <c r="G37" s="64" ph="1"/>
      <c r="H37" s="64" ph="1"/>
      <c r="I37" s="64" ph="1"/>
      <c r="J37" s="64" ph="1"/>
      <c r="K37" s="64" ph="1"/>
      <c r="L37" s="64" ph="1"/>
      <c r="M37" s="64" ph="1"/>
      <c r="N37" s="64" ph="1"/>
      <c r="O37" s="64" ph="1"/>
      <c r="P37" s="64" ph="1"/>
      <c r="Q37" s="64" ph="1"/>
      <c r="R37" s="64" ph="1"/>
      <c r="S37" s="64" ph="1"/>
      <c r="T37" s="64" ph="1"/>
      <c r="U37" s="64" ph="1"/>
      <c r="V37" s="64" ph="1"/>
      <c r="W37" s="64" ph="1"/>
      <c r="X37" s="64" ph="1"/>
      <c r="Y37" s="64" ph="1"/>
      <c r="Z37" s="64" ph="1"/>
      <c r="AA37" s="64" ph="1"/>
      <c r="AB37" s="64" ph="1"/>
      <c r="AC37" s="64" ph="1"/>
      <c r="AD37" s="64" ph="1"/>
      <c r="AE37" s="64" ph="1"/>
      <c r="AG37" s="152" t="s" ph="1">
        <v>342</v>
      </c>
      <c r="AI37" s="152" t="s" ph="1">
        <v>209</v>
      </c>
      <c r="AJ37" s="152" t="s" ph="1">
        <v>210</v>
      </c>
      <c r="AK37" s="152" t="s" ph="1">
        <v>211</v>
      </c>
      <c r="AM37" s="152" t="s" ph="1">
        <v>210</v>
      </c>
      <c r="AN37" s="152" t="s" ph="1">
        <v>211</v>
      </c>
      <c r="AO37" s="152" t="s" ph="1">
        <v>212</v>
      </c>
      <c r="AP37" s="152" t="s" ph="1">
        <v>210</v>
      </c>
      <c r="AQ37" s="152" t="s" ph="1">
        <v>211</v>
      </c>
      <c r="AR37" s="152" t="s" ph="1">
        <v>212</v>
      </c>
      <c r="AS37" s="152" t="s" ph="1">
        <v>210</v>
      </c>
      <c r="AT37" s="152" t="s" ph="1">
        <v>211</v>
      </c>
      <c r="AU37" s="152" t="s" ph="1">
        <v>212</v>
      </c>
      <c r="AV37" s="152" t="s" ph="1">
        <v>210</v>
      </c>
      <c r="AW37" s="152" t="s" ph="1">
        <v>211</v>
      </c>
      <c r="AX37" s="152" t="s" ph="1">
        <v>212</v>
      </c>
      <c r="AY37" s="152" t="s" ph="1">
        <v>211</v>
      </c>
      <c r="AZ37" s="152" t="s" ph="1">
        <v>213</v>
      </c>
      <c r="BD37" s="152" t="s" ph="1">
        <v>305</v>
      </c>
      <c r="BE37" s="152" ph="1">
        <v>0</v>
      </c>
    </row>
    <row r="38" spans="1:57" ph="1">
      <c r="AE38" s="64" ph="1"/>
      <c r="AH38" s="64" ph="1">
        <v>1</v>
      </c>
      <c r="AI38" s="64" t="s" ph="1">
        <v>362</v>
      </c>
      <c r="AY38" s="64" t="s" ph="1">
        <v>216</v>
      </c>
      <c r="AZ38" s="64" t="s" ph="1">
        <v>367</v>
      </c>
    </row>
    <row r="39" spans="1:57" ph="1">
      <c r="AH39" s="64" ph="1">
        <v>2</v>
      </c>
      <c r="AI39" s="64" t="s" ph="1">
        <v>364</v>
      </c>
      <c r="AJ39" s="64" t="s" ph="1">
        <v>336</v>
      </c>
      <c r="AK39" s="64" t="s" ph="1">
        <v>365</v>
      </c>
      <c r="AM39" s="64" t="s" ph="1">
        <v>570</v>
      </c>
      <c r="AN39" s="64" t="s" ph="1">
        <v>228</v>
      </c>
      <c r="AO39" s="64" t="s" ph="1">
        <v>363</v>
      </c>
      <c r="AY39" s="64" t="s" ph="1">
        <v>216</v>
      </c>
      <c r="AZ39" s="64" t="s" ph="1">
        <v>499</v>
      </c>
    </row>
    <row r="40" spans="1:57" ph="1">
      <c r="AH40" s="64" ph="1">
        <v>3</v>
      </c>
      <c r="AI40" s="64" t="s" ph="1">
        <v>366</v>
      </c>
      <c r="AJ40" s="64" t="s" ph="1">
        <v>570</v>
      </c>
      <c r="AK40" s="64" t="s" ph="1">
        <v>571</v>
      </c>
      <c r="AY40" s="64" t="s" ph="1">
        <v>216</v>
      </c>
      <c r="AZ40" s="64" t="s" ph="1">
        <v>571</v>
      </c>
    </row>
    <row r="41" spans="1:57" ph="1">
      <c r="AH41" s="64" ph="1">
        <v>4</v>
      </c>
      <c r="AI41" s="64" t="s" ph="1">
        <v>368</v>
      </c>
      <c r="AJ41" s="64" t="s" ph="1">
        <v>572</v>
      </c>
      <c r="AK41" s="64" t="s" ph="1">
        <v>573</v>
      </c>
      <c r="AM41" s="64" t="s" ph="1">
        <v>574</v>
      </c>
      <c r="AY41" s="64" t="s" ph="1">
        <v>216</v>
      </c>
      <c r="AZ41" s="64" t="s" ph="1">
        <v>573</v>
      </c>
    </row>
    <row r="42" spans="1:57" ph="1">
      <c r="P42" s="64"/>
      <c r="Q42" s="64"/>
      <c r="R42" s="64"/>
      <c r="S42" s="64"/>
      <c r="T42" s="64"/>
      <c r="U42" s="64"/>
      <c r="V42" s="64"/>
      <c r="W42" s="64"/>
      <c r="X42" s="64"/>
      <c r="Y42" s="64"/>
      <c r="Z42" s="64"/>
      <c r="AA42" s="64"/>
      <c r="AB42" s="64"/>
      <c r="AC42" s="64"/>
      <c r="AD42" s="64"/>
      <c r="AE42" s="75"/>
      <c r="AH42" s="64" ph="1">
        <v>5</v>
      </c>
      <c r="AI42" s="64" t="s" ph="1">
        <v>369</v>
      </c>
      <c r="AY42" s="64" t="s" ph="1">
        <v>216</v>
      </c>
      <c r="AZ42" s="64" t="s" ph="1">
        <v>367</v>
      </c>
    </row>
    <row r="43" spans="1:57" ph="1">
      <c r="C43" s="64"/>
      <c r="D43" s="64"/>
      <c r="E43" s="64"/>
      <c r="F43" s="64"/>
      <c r="G43" s="64"/>
      <c r="H43" s="64"/>
      <c r="I43" s="64"/>
      <c r="J43" s="64"/>
      <c r="K43" s="64"/>
      <c r="L43" s="64"/>
      <c r="M43" s="64"/>
      <c r="N43" s="64"/>
      <c r="O43" s="64"/>
      <c r="P43" s="64"/>
      <c r="R43" s="64"/>
      <c r="S43" s="64"/>
      <c r="T43" s="64"/>
      <c r="U43" s="64"/>
      <c r="V43" s="64"/>
      <c r="W43" s="64"/>
      <c r="X43" s="64"/>
      <c r="Y43" s="64"/>
      <c r="Z43" s="64"/>
      <c r="AA43" s="64"/>
      <c r="AB43" s="64"/>
      <c r="AC43" s="64"/>
      <c r="AD43" s="64"/>
      <c r="AE43" s="75"/>
      <c r="AH43" s="64" ph="1">
        <v>6</v>
      </c>
      <c r="AI43" s="64" t="s" ph="1">
        <v>370</v>
      </c>
      <c r="AY43" s="64" t="s" ph="1">
        <v>216</v>
      </c>
      <c r="AZ43" s="64" t="s" ph="1">
        <v>367</v>
      </c>
    </row>
    <row r="44" spans="1:57" ph="1">
      <c r="R44" s="64"/>
      <c r="S44" s="64"/>
      <c r="T44" s="64"/>
      <c r="U44" s="64"/>
      <c r="V44" s="64"/>
      <c r="W44" s="64"/>
      <c r="X44" s="64"/>
      <c r="Y44" s="64"/>
      <c r="Z44" s="64"/>
      <c r="AA44" s="64"/>
      <c r="AB44" s="64"/>
      <c r="AC44" s="64"/>
      <c r="AD44" s="64"/>
      <c r="AE44" s="75"/>
      <c r="AH44" s="64" ph="1">
        <v>7</v>
      </c>
      <c r="AI44" s="64" t="s" ph="1">
        <v>371</v>
      </c>
      <c r="AV44" s="64" t="s" ph="1">
        <v>217</v>
      </c>
      <c r="AY44" s="64" t="s" ph="1">
        <v>216</v>
      </c>
      <c r="AZ44" s="64" t="s" ph="1">
        <v>367</v>
      </c>
    </row>
    <row r="45" spans="1:57" ph="1">
      <c r="R45" s="64"/>
      <c r="S45" s="64"/>
      <c r="T45" s="64"/>
      <c r="U45" s="64"/>
      <c r="V45" s="64"/>
      <c r="W45" s="64"/>
      <c r="X45" s="64"/>
      <c r="Y45" s="64"/>
      <c r="Z45" s="64"/>
      <c r="AA45" s="64"/>
      <c r="AB45" s="64"/>
      <c r="AC45" s="64"/>
      <c r="AD45" s="64"/>
      <c r="AE45" s="75"/>
      <c r="AH45" s="64" ph="1">
        <v>8</v>
      </c>
      <c r="AI45" s="64" t="s" ph="1">
        <v>372</v>
      </c>
      <c r="AV45" s="64" t="s" ph="1">
        <v>217</v>
      </c>
      <c r="AY45" s="64" t="s" ph="1">
        <v>216</v>
      </c>
      <c r="AZ45" s="64" t="s" ph="1">
        <v>367</v>
      </c>
    </row>
    <row r="46" spans="1:57" ph="1">
      <c r="R46" s="64"/>
      <c r="S46" s="64"/>
      <c r="T46" s="64"/>
      <c r="U46" s="64"/>
      <c r="V46" s="64"/>
      <c r="W46" s="64"/>
      <c r="X46" s="64"/>
      <c r="Y46" s="64"/>
      <c r="Z46" s="64"/>
      <c r="AA46" s="64"/>
      <c r="AB46" s="64"/>
      <c r="AC46" s="64"/>
      <c r="AD46" s="64"/>
      <c r="AE46" s="75"/>
      <c r="AH46" s="64" ph="1">
        <v>9</v>
      </c>
      <c r="AI46" s="64" t="s" ph="1">
        <v>373</v>
      </c>
      <c r="AV46" s="64" t="s" ph="1">
        <v>217</v>
      </c>
      <c r="AY46" s="64" t="s" ph="1">
        <v>216</v>
      </c>
      <c r="AZ46" s="64" t="s" ph="1">
        <v>367</v>
      </c>
    </row>
    <row r="47" spans="1:57" ph="1">
      <c r="R47" s="64"/>
      <c r="S47" s="64"/>
      <c r="T47" s="64"/>
      <c r="U47" s="64"/>
      <c r="V47" s="64"/>
      <c r="W47" s="64"/>
      <c r="X47" s="64"/>
      <c r="Y47" s="64"/>
      <c r="Z47" s="64"/>
      <c r="AA47" s="64"/>
      <c r="AB47" s="64"/>
      <c r="AC47" s="64"/>
      <c r="AD47" s="64"/>
      <c r="AE47" s="75"/>
      <c r="AH47" s="64" ph="1">
        <v>10</v>
      </c>
      <c r="AI47" s="64" t="s" ph="1">
        <v>374</v>
      </c>
      <c r="AV47" s="64" t="s" ph="1">
        <v>217</v>
      </c>
      <c r="AY47" s="64" t="s" ph="1">
        <v>216</v>
      </c>
      <c r="AZ47" s="64" t="s" ph="1">
        <v>367</v>
      </c>
    </row>
    <row r="48" spans="1:57" ph="1">
      <c r="R48" s="64"/>
      <c r="S48" s="64"/>
      <c r="T48" s="64"/>
      <c r="U48" s="64"/>
      <c r="V48" s="64"/>
      <c r="W48" s="64"/>
      <c r="X48" s="64"/>
      <c r="Y48" s="64"/>
      <c r="Z48" s="64"/>
      <c r="AA48" s="64"/>
      <c r="AB48" s="64"/>
      <c r="AC48" s="64"/>
      <c r="AD48" s="64"/>
      <c r="AE48" s="75"/>
      <c r="AZ48" s="64" t="s" ph="1">
        <v>575</v>
      </c>
    </row>
    <row r="49" spans="16:52" ph="1">
      <c r="R49" s="64"/>
      <c r="S49" s="64"/>
      <c r="T49" s="64"/>
      <c r="U49" s="64"/>
      <c r="V49" s="64"/>
      <c r="W49" s="64"/>
      <c r="X49" s="64"/>
      <c r="Y49" s="64"/>
      <c r="Z49" s="64"/>
      <c r="AA49" s="64"/>
      <c r="AB49" s="64"/>
      <c r="AC49" s="64"/>
      <c r="AD49" s="64"/>
      <c r="AE49" s="75"/>
      <c r="AG49" s="64" t="s" ph="1">
        <v>232</v>
      </c>
      <c r="AI49" s="64" t="s" ph="1">
        <v>209</v>
      </c>
      <c r="AJ49" s="64" t="s" ph="1">
        <v>210</v>
      </c>
      <c r="AK49" s="64" t="s" ph="1">
        <v>211</v>
      </c>
      <c r="AM49" s="64" t="s" ph="1">
        <v>210</v>
      </c>
      <c r="AN49" s="64" t="s" ph="1">
        <v>211</v>
      </c>
      <c r="AO49" s="64" t="s" ph="1">
        <v>212</v>
      </c>
      <c r="AP49" s="64" t="s" ph="1">
        <v>210</v>
      </c>
      <c r="AQ49" s="64" t="s" ph="1">
        <v>211</v>
      </c>
      <c r="AR49" s="64" t="s" ph="1">
        <v>212</v>
      </c>
      <c r="AS49" s="64" t="s" ph="1">
        <v>210</v>
      </c>
      <c r="AT49" s="64" t="s" ph="1">
        <v>211</v>
      </c>
      <c r="AU49" s="64" t="s" ph="1">
        <v>212</v>
      </c>
      <c r="AV49" s="64" t="s" ph="1">
        <v>210</v>
      </c>
      <c r="AW49" s="64" t="s" ph="1">
        <v>211</v>
      </c>
      <c r="AX49" s="64" t="s" ph="1">
        <v>212</v>
      </c>
      <c r="AY49" s="64" t="s" ph="1">
        <v>211</v>
      </c>
      <c r="AZ49" s="64" t="s" ph="1">
        <v>213</v>
      </c>
    </row>
    <row r="50" spans="16:52" ph="1">
      <c r="R50" s="64"/>
      <c r="S50" s="64"/>
      <c r="T50" s="64"/>
      <c r="U50" s="64"/>
      <c r="V50" s="64"/>
      <c r="W50" s="64"/>
      <c r="X50" s="64"/>
      <c r="Y50" s="64"/>
      <c r="Z50" s="64"/>
      <c r="AA50" s="64"/>
      <c r="AB50" s="64"/>
      <c r="AC50" s="64"/>
      <c r="AD50" s="64"/>
      <c r="AE50" s="75"/>
      <c r="AH50" s="64" ph="1">
        <v>1</v>
      </c>
      <c r="AI50" s="64" t="s" ph="1">
        <v>375</v>
      </c>
      <c r="AY50" s="64" t="s" ph="1">
        <v>216</v>
      </c>
      <c r="AZ50" s="64" t="s" ph="1">
        <v>367</v>
      </c>
    </row>
    <row r="51" spans="16:52" ph="1">
      <c r="R51" s="64"/>
      <c r="S51" s="64"/>
      <c r="T51" s="64"/>
      <c r="U51" s="64"/>
      <c r="V51" s="64"/>
      <c r="W51" s="64"/>
      <c r="X51" s="64"/>
      <c r="Y51" s="64"/>
      <c r="Z51" s="64"/>
      <c r="AA51" s="64"/>
      <c r="AB51" s="64"/>
      <c r="AC51" s="64"/>
      <c r="AD51" s="64"/>
      <c r="AE51" s="75"/>
      <c r="AH51" s="64" ph="1">
        <v>2</v>
      </c>
      <c r="AI51" s="64" t="s" ph="1">
        <v>376</v>
      </c>
      <c r="AY51" s="64" t="s" ph="1">
        <v>216</v>
      </c>
      <c r="AZ51" s="64" t="s" ph="1">
        <v>367</v>
      </c>
    </row>
    <row r="52" spans="16:52" ph="1">
      <c r="R52" s="64"/>
      <c r="S52" s="64"/>
      <c r="T52" s="64"/>
      <c r="U52" s="64"/>
      <c r="V52" s="64"/>
      <c r="W52" s="64"/>
      <c r="X52" s="64"/>
      <c r="Y52" s="64"/>
      <c r="Z52" s="64"/>
      <c r="AA52" s="64"/>
      <c r="AB52" s="64"/>
      <c r="AC52" s="64"/>
      <c r="AD52" s="64"/>
      <c r="AE52" s="75"/>
      <c r="AH52" s="64" ph="1">
        <v>3</v>
      </c>
      <c r="AI52" s="64" t="s" ph="1">
        <v>377</v>
      </c>
      <c r="AJ52" s="64" t="s" ph="1">
        <v>334</v>
      </c>
      <c r="AK52" s="64" t="s" ph="1">
        <v>228</v>
      </c>
      <c r="AM52" s="64" t="s" ph="1">
        <v>336</v>
      </c>
      <c r="AN52" s="64" t="s" ph="1">
        <v>300</v>
      </c>
      <c r="AO52" s="64" t="s" ph="1">
        <v>233</v>
      </c>
      <c r="AP52" s="64" t="s" ph="1">
        <v>570</v>
      </c>
      <c r="AQ52" s="64" t="s" ph="1">
        <v>282</v>
      </c>
      <c r="AR52" s="64" t="s" ph="1">
        <v>233</v>
      </c>
      <c r="AY52" s="64" t="s" ph="1">
        <v>216</v>
      </c>
      <c r="AZ52" s="64" t="s" ph="1">
        <v>576</v>
      </c>
    </row>
    <row r="53" spans="16:52" ph="1">
      <c r="R53" s="64"/>
      <c r="S53" s="64"/>
      <c r="T53" s="64"/>
      <c r="U53" s="64"/>
      <c r="W53" s="64"/>
      <c r="X53" s="64"/>
      <c r="Y53" s="64"/>
      <c r="Z53" s="64"/>
      <c r="AA53" s="64"/>
      <c r="AB53" s="64"/>
      <c r="AC53" s="64"/>
      <c r="AD53" s="64"/>
      <c r="AH53" s="64" ph="1">
        <v>4</v>
      </c>
      <c r="AI53" s="64" t="s" ph="1">
        <v>378</v>
      </c>
      <c r="AY53" s="64" t="s" ph="1">
        <v>216</v>
      </c>
      <c r="AZ53" s="64" t="s" ph="1">
        <v>367</v>
      </c>
    </row>
    <row r="54" spans="16:52" ph="1">
      <c r="R54" s="64"/>
      <c r="S54" s="64"/>
      <c r="T54" s="64"/>
      <c r="U54" s="64"/>
      <c r="W54" s="64"/>
      <c r="X54" s="64"/>
      <c r="Y54" s="64"/>
      <c r="Z54" s="64"/>
      <c r="AA54" s="64"/>
      <c r="AC54" s="64"/>
      <c r="AD54" s="64"/>
      <c r="AH54" s="64" ph="1">
        <v>5</v>
      </c>
      <c r="AI54" s="64" t="s" ph="1">
        <v>379</v>
      </c>
      <c r="AJ54" s="64" t="s" ph="1">
        <v>334</v>
      </c>
      <c r="AK54" s="64" t="s" ph="1">
        <v>219</v>
      </c>
      <c r="AM54" s="64" t="s" ph="1">
        <v>336</v>
      </c>
      <c r="AN54" s="64" t="s" ph="1">
        <v>224</v>
      </c>
      <c r="AO54" s="64" t="s" ph="1">
        <v>233</v>
      </c>
      <c r="AP54" s="64" t="s" ph="1">
        <v>570</v>
      </c>
      <c r="AQ54" s="64" t="s" ph="1">
        <v>240</v>
      </c>
      <c r="AR54" s="64" t="s" ph="1">
        <v>233</v>
      </c>
      <c r="AY54" s="64" t="s" ph="1">
        <v>216</v>
      </c>
      <c r="AZ54" s="64" t="s" ph="1">
        <v>234</v>
      </c>
    </row>
    <row r="55" spans="16:52" ph="1">
      <c r="R55" s="64"/>
      <c r="S55" s="64"/>
      <c r="T55" s="64"/>
      <c r="U55" s="64"/>
      <c r="V55" s="64"/>
      <c r="W55" s="64"/>
      <c r="X55" s="64"/>
      <c r="Z55" s="64"/>
      <c r="AC55" s="64"/>
      <c r="AD55" s="64"/>
      <c r="AE55" s="75"/>
      <c r="AH55" s="64" ph="1">
        <v>6</v>
      </c>
      <c r="AI55" s="64" t="s" ph="1">
        <v>380</v>
      </c>
      <c r="AY55" s="64" t="s" ph="1">
        <v>216</v>
      </c>
      <c r="AZ55" s="64" t="s" ph="1">
        <v>367</v>
      </c>
    </row>
    <row r="56" spans="16:52" ph="1">
      <c r="P56" s="64" ph="1">
        <v>20260804</v>
      </c>
      <c r="R56" s="64"/>
      <c r="S56" s="64"/>
      <c r="T56" s="64"/>
      <c r="U56" s="64"/>
      <c r="V56" s="64"/>
      <c r="W56" s="64"/>
      <c r="X56" s="64"/>
      <c r="Z56" s="64"/>
      <c r="AA56" s="64"/>
      <c r="AB56" s="64"/>
      <c r="AC56" s="64"/>
      <c r="AD56" s="64"/>
      <c r="AE56" s="75"/>
      <c r="AH56" s="64" ph="1">
        <v>7</v>
      </c>
      <c r="AI56" s="64" t="s" ph="1">
        <v>381</v>
      </c>
      <c r="AY56" s="64" t="s" ph="1">
        <v>216</v>
      </c>
      <c r="AZ56" s="64" t="s" ph="1">
        <v>367</v>
      </c>
    </row>
    <row r="57" spans="16:52" ph="1">
      <c r="R57" s="64"/>
      <c r="S57" s="64"/>
      <c r="T57" s="64"/>
      <c r="U57" s="64"/>
      <c r="V57" s="64"/>
      <c r="W57" s="64"/>
      <c r="AA57" s="64"/>
      <c r="AB57" s="64"/>
      <c r="AC57" s="64"/>
      <c r="AD57" s="64"/>
      <c r="AE57" s="75"/>
      <c r="AH57" s="64" ph="1">
        <v>8</v>
      </c>
      <c r="AI57" s="64" t="s" ph="1">
        <v>382</v>
      </c>
      <c r="AY57" s="64" t="s" ph="1">
        <v>216</v>
      </c>
      <c r="AZ57" s="64" t="s" ph="1">
        <v>367</v>
      </c>
    </row>
    <row r="58" spans="16:52" ph="1">
      <c r="P58" s="64"/>
      <c r="AN58" s="64" t="s" ph="1">
        <v>217</v>
      </c>
      <c r="AZ58" s="64" t="s" ph="1">
        <v>577</v>
      </c>
    </row>
    <row r="59" spans="16:52" ph="1">
      <c r="V59" s="64"/>
      <c r="AG59" s="64" t="s" ph="1">
        <v>235</v>
      </c>
      <c r="AI59" s="64" t="s" ph="1">
        <v>209</v>
      </c>
      <c r="AJ59" s="64" t="s" ph="1">
        <v>210</v>
      </c>
      <c r="AK59" s="64" t="s" ph="1">
        <v>211</v>
      </c>
      <c r="AM59" s="64" t="s" ph="1">
        <v>210</v>
      </c>
      <c r="AN59" s="64" t="s" ph="1">
        <v>211</v>
      </c>
      <c r="AO59" s="64" t="s" ph="1">
        <v>212</v>
      </c>
      <c r="AP59" s="64" t="s" ph="1">
        <v>210</v>
      </c>
      <c r="AQ59" s="64" t="s" ph="1">
        <v>211</v>
      </c>
      <c r="AR59" s="64" t="s" ph="1">
        <v>212</v>
      </c>
      <c r="AS59" s="64" t="s" ph="1">
        <v>210</v>
      </c>
      <c r="AT59" s="64" t="s" ph="1">
        <v>211</v>
      </c>
      <c r="AU59" s="64" t="s" ph="1">
        <v>212</v>
      </c>
      <c r="AV59" s="64" t="s" ph="1">
        <v>210</v>
      </c>
      <c r="AW59" s="64" t="s" ph="1">
        <v>211</v>
      </c>
      <c r="AX59" s="64" t="s" ph="1">
        <v>212</v>
      </c>
      <c r="AY59" s="64" t="s" ph="1">
        <v>211</v>
      </c>
      <c r="AZ59" s="64" t="s" ph="1">
        <v>213</v>
      </c>
    </row>
    <row r="60" spans="16:52" ph="1">
      <c r="R60" s="64"/>
      <c r="S60" s="64"/>
      <c r="T60" s="64"/>
      <c r="AH60" s="64" ph="1">
        <v>1</v>
      </c>
      <c r="AI60" s="64" t="s" ph="1">
        <v>383</v>
      </c>
      <c r="AY60" s="64" t="s" ph="1">
        <v>216</v>
      </c>
      <c r="AZ60" s="64" t="s" ph="1">
        <v>367</v>
      </c>
    </row>
    <row r="61" spans="16:52" ph="1">
      <c r="AH61" s="64" ph="1">
        <v>2</v>
      </c>
      <c r="AI61" s="64" t="s" ph="1">
        <v>384</v>
      </c>
      <c r="AS61" s="64" t="s" ph="1">
        <v>217</v>
      </c>
      <c r="AY61" s="64" t="s" ph="1">
        <v>216</v>
      </c>
      <c r="AZ61" s="64" t="s" ph="1">
        <v>367</v>
      </c>
    </row>
    <row r="62" spans="16:52" ph="1">
      <c r="AZ62" s="64" t="s" ph="1">
        <v>385</v>
      </c>
    </row>
    <row r="63" spans="16:52" ph="1">
      <c r="AG63" s="64" t="s" ph="1">
        <v>238</v>
      </c>
      <c r="AI63" s="64" t="s" ph="1">
        <v>209</v>
      </c>
      <c r="AJ63" s="64" t="s" ph="1">
        <v>210</v>
      </c>
      <c r="AK63" s="64" t="s" ph="1">
        <v>211</v>
      </c>
      <c r="AM63" s="64" t="s" ph="1">
        <v>210</v>
      </c>
      <c r="AN63" s="64" t="s" ph="1">
        <v>211</v>
      </c>
      <c r="AO63" s="64" t="s" ph="1">
        <v>212</v>
      </c>
      <c r="AP63" s="64" t="s" ph="1">
        <v>210</v>
      </c>
      <c r="AQ63" s="64" t="s" ph="1">
        <v>211</v>
      </c>
      <c r="AR63" s="64" t="s" ph="1">
        <v>212</v>
      </c>
      <c r="AS63" s="64" t="s" ph="1">
        <v>210</v>
      </c>
      <c r="AT63" s="64" t="s" ph="1">
        <v>211</v>
      </c>
      <c r="AU63" s="64" t="s" ph="1">
        <v>212</v>
      </c>
      <c r="AV63" s="64" t="s" ph="1">
        <v>210</v>
      </c>
      <c r="AW63" s="64" t="s" ph="1">
        <v>211</v>
      </c>
      <c r="AX63" s="64" t="s" ph="1">
        <v>212</v>
      </c>
      <c r="AY63" s="64" t="s" ph="1">
        <v>211</v>
      </c>
      <c r="AZ63" s="64" t="s" ph="1">
        <v>213</v>
      </c>
    </row>
    <row r="64" spans="16:52" ph="1">
      <c r="AH64" s="64" ph="1">
        <v>1</v>
      </c>
      <c r="AI64" s="64" t="s" ph="1">
        <v>386</v>
      </c>
      <c r="AJ64" s="64" t="s" ph="1">
        <v>387</v>
      </c>
      <c r="AK64" s="64" t="s" ph="1">
        <v>388</v>
      </c>
      <c r="AY64" s="64" t="s" ph="1">
        <v>216</v>
      </c>
      <c r="AZ64" s="64" t="s" ph="1">
        <v>388</v>
      </c>
    </row>
    <row r="65" spans="33:52" ph="1">
      <c r="AH65" s="64" ph="1">
        <v>2</v>
      </c>
      <c r="AI65" s="64" t="s" ph="1">
        <v>389</v>
      </c>
      <c r="AY65" s="64" t="s" ph="1">
        <v>216</v>
      </c>
      <c r="AZ65" s="64" t="s" ph="1">
        <v>367</v>
      </c>
    </row>
    <row r="66" spans="33:52" ph="1">
      <c r="AH66" s="64" ph="1">
        <v>3</v>
      </c>
      <c r="AI66" s="64" t="s" ph="1">
        <v>390</v>
      </c>
      <c r="AY66" s="64" t="s" ph="1">
        <v>216</v>
      </c>
      <c r="AZ66" s="64" t="s" ph="1">
        <v>367</v>
      </c>
    </row>
    <row r="67" spans="33:52" ph="1">
      <c r="AH67" s="64" ph="1">
        <v>4</v>
      </c>
      <c r="AI67" s="64" t="s" ph="1">
        <v>391</v>
      </c>
      <c r="AY67" s="64" t="s" ph="1">
        <v>216</v>
      </c>
      <c r="AZ67" s="64" t="s" ph="1">
        <v>367</v>
      </c>
    </row>
    <row r="68" spans="33:52" ph="1">
      <c r="AH68" s="64" ph="1">
        <v>5</v>
      </c>
      <c r="AI68" s="64" t="s" ph="1">
        <v>392</v>
      </c>
      <c r="AY68" s="64" t="s" ph="1">
        <v>216</v>
      </c>
      <c r="AZ68" s="64" t="s" ph="1">
        <v>367</v>
      </c>
    </row>
    <row r="69" spans="33:52" ph="1">
      <c r="AH69" s="64" ph="1">
        <v>6</v>
      </c>
      <c r="AI69" s="64" t="s" ph="1">
        <v>393</v>
      </c>
      <c r="AY69" s="64" t="s" ph="1">
        <v>216</v>
      </c>
      <c r="AZ69" s="64" t="s" ph="1">
        <v>367</v>
      </c>
    </row>
    <row r="70" spans="33:52" ph="1">
      <c r="AI70" s="64" t="s" ph="1">
        <v>394</v>
      </c>
      <c r="AY70" s="64" t="s" ph="1">
        <v>216</v>
      </c>
      <c r="AZ70" s="64" t="s" ph="1">
        <v>367</v>
      </c>
    </row>
    <row r="71" spans="33:52" ph="1">
      <c r="AH71" s="64" ph="1">
        <v>7</v>
      </c>
      <c r="AI71" s="64" t="s" ph="1">
        <v>395</v>
      </c>
      <c r="AJ71" s="64" t="s" ph="1">
        <v>334</v>
      </c>
      <c r="AK71" s="64" t="s" ph="1">
        <v>228</v>
      </c>
      <c r="AM71" s="64" t="s" ph="1">
        <v>336</v>
      </c>
      <c r="AN71" s="64" t="s" ph="1">
        <v>228</v>
      </c>
      <c r="AO71" s="64" t="s" ph="1">
        <v>396</v>
      </c>
      <c r="AP71" s="64" t="s" ph="1">
        <v>570</v>
      </c>
      <c r="AQ71" s="64" t="s" ph="1">
        <v>219</v>
      </c>
      <c r="AR71" s="64" t="s" ph="1">
        <v>396</v>
      </c>
      <c r="AY71" s="64" t="s" ph="1">
        <v>216</v>
      </c>
      <c r="AZ71" s="64" t="s" ph="1">
        <v>578</v>
      </c>
    </row>
    <row r="72" spans="33:52" ph="1">
      <c r="AZ72" s="64" t="s" ph="1">
        <v>579</v>
      </c>
    </row>
    <row r="73" spans="33:52" ph="1">
      <c r="AG73" s="64" t="s" ph="1">
        <v>241</v>
      </c>
      <c r="AI73" s="64" t="s" ph="1">
        <v>209</v>
      </c>
      <c r="AJ73" s="64" t="s" ph="1">
        <v>210</v>
      </c>
      <c r="AK73" s="64" t="s" ph="1">
        <v>211</v>
      </c>
      <c r="AM73" s="64" t="s" ph="1">
        <v>210</v>
      </c>
      <c r="AN73" s="64" t="s" ph="1">
        <v>211</v>
      </c>
      <c r="AO73" s="64" t="s" ph="1">
        <v>212</v>
      </c>
      <c r="AP73" s="64" t="s" ph="1">
        <v>210</v>
      </c>
      <c r="AQ73" s="64" t="s" ph="1">
        <v>211</v>
      </c>
      <c r="AR73" s="64" t="s" ph="1">
        <v>212</v>
      </c>
      <c r="AS73" s="64" t="s" ph="1">
        <v>210</v>
      </c>
      <c r="AT73" s="64" t="s" ph="1">
        <v>211</v>
      </c>
      <c r="AU73" s="64" t="s" ph="1">
        <v>212</v>
      </c>
      <c r="AV73" s="64" t="s" ph="1">
        <v>210</v>
      </c>
      <c r="AW73" s="64" t="s" ph="1">
        <v>211</v>
      </c>
      <c r="AX73" s="64" t="s" ph="1">
        <v>212</v>
      </c>
      <c r="AY73" s="64" t="s" ph="1">
        <v>211</v>
      </c>
      <c r="AZ73" s="64" t="s" ph="1">
        <v>213</v>
      </c>
    </row>
    <row r="74" spans="33:52" ph="1">
      <c r="AH74" s="64" ph="1">
        <v>1</v>
      </c>
      <c r="AI74" s="64" t="s" ph="1">
        <v>397</v>
      </c>
      <c r="AJ74" s="64" t="s" ph="1">
        <v>242</v>
      </c>
      <c r="AK74" s="64" t="s" ph="1">
        <v>224</v>
      </c>
      <c r="AM74" s="64" t="s" ph="1">
        <v>244</v>
      </c>
      <c r="AN74" s="64" t="s" ph="1">
        <v>254</v>
      </c>
      <c r="AO74" s="64" t="s" ph="1">
        <v>243</v>
      </c>
      <c r="AP74" s="64" t="s" ph="1">
        <v>245</v>
      </c>
      <c r="AQ74" s="64" t="s" ph="1">
        <v>222</v>
      </c>
      <c r="AR74" s="64" t="s" ph="1">
        <v>243</v>
      </c>
      <c r="AS74" s="64" t="s" ph="1">
        <v>215</v>
      </c>
      <c r="AT74" s="64" t="s" ph="1">
        <v>217</v>
      </c>
      <c r="AV74" s="64" t="s" ph="1">
        <v>398</v>
      </c>
      <c r="AW74" s="64" t="s" ph="1">
        <v>399</v>
      </c>
      <c r="AX74" s="64" t="s" ph="1">
        <v>400</v>
      </c>
      <c r="AY74" s="64" t="s" ph="1">
        <v>216</v>
      </c>
      <c r="AZ74" s="64" t="s" ph="1">
        <v>401</v>
      </c>
    </row>
    <row r="75" spans="33:52" ph="1">
      <c r="AJ75" s="64" t="s" ph="1">
        <v>247</v>
      </c>
      <c r="AK75" s="64" t="s" ph="1">
        <v>300</v>
      </c>
      <c r="AM75" s="64" t="s" ph="1">
        <v>245</v>
      </c>
      <c r="AN75" s="64" t="s" ph="1">
        <v>225</v>
      </c>
      <c r="AO75" s="64" t="s" ph="1">
        <v>243</v>
      </c>
      <c r="AS75" s="64" t="s" ph="1">
        <v>215</v>
      </c>
      <c r="AT75" s="64" t="s" ph="1">
        <v>246</v>
      </c>
    </row>
    <row r="76" spans="33:52" ph="1">
      <c r="AJ76" s="64" t="s" ph="1">
        <v>247</v>
      </c>
      <c r="AK76" s="64" t="s" ph="1">
        <v>240</v>
      </c>
      <c r="AM76" s="64" t="s" ph="1">
        <v>245</v>
      </c>
      <c r="AN76" s="64" t="s" ph="1">
        <v>228</v>
      </c>
      <c r="AO76" s="64" t="s" ph="1">
        <v>243</v>
      </c>
      <c r="AS76" s="64" t="s" ph="1">
        <v>215</v>
      </c>
      <c r="AT76" s="64" t="s" ph="1">
        <v>246</v>
      </c>
    </row>
    <row r="77" spans="33:52" ph="1">
      <c r="AJ77" s="64" t="s" ph="1">
        <v>283</v>
      </c>
      <c r="AK77" s="64" t="s" ph="1">
        <v>240</v>
      </c>
      <c r="AM77" s="64" t="s" ph="1">
        <v>284</v>
      </c>
      <c r="AN77" s="64" t="s" ph="1">
        <v>223</v>
      </c>
      <c r="AO77" s="64" t="s" ph="1">
        <v>243</v>
      </c>
      <c r="AS77" s="64" t="s" ph="1">
        <v>215</v>
      </c>
      <c r="AT77" s="64" t="s" ph="1">
        <v>285</v>
      </c>
    </row>
    <row r="78" spans="33:52" ph="1">
      <c r="AH78" s="64" ph="1">
        <v>2</v>
      </c>
      <c r="AI78" s="64" t="s" ph="1">
        <v>249</v>
      </c>
      <c r="AJ78" s="64" t="s" ph="1">
        <v>250</v>
      </c>
      <c r="AK78" s="64" t="s" ph="1">
        <v>219</v>
      </c>
      <c r="AM78" s="64" t="s" ph="1">
        <v>251</v>
      </c>
      <c r="AN78" s="64" t="s" ph="1">
        <v>254</v>
      </c>
      <c r="AO78" s="64" t="s" ph="1">
        <v>243</v>
      </c>
      <c r="AP78" s="64" t="s" ph="1">
        <v>252</v>
      </c>
      <c r="AQ78" s="64" t="s" ph="1">
        <v>298</v>
      </c>
      <c r="AR78" s="64" t="s" ph="1">
        <v>243</v>
      </c>
      <c r="AS78" s="64" t="s" ph="1">
        <v>253</v>
      </c>
      <c r="AT78" s="64" t="s" ph="1">
        <v>254</v>
      </c>
      <c r="AU78" s="64" t="s" ph="1">
        <v>243</v>
      </c>
      <c r="AV78" s="64" t="s" ph="1">
        <v>255</v>
      </c>
      <c r="AW78" s="64" t="s" ph="1">
        <v>243</v>
      </c>
      <c r="AY78" s="64" t="s" ph="1">
        <v>216</v>
      </c>
      <c r="AZ78" s="64" t="s" ph="1">
        <v>402</v>
      </c>
    </row>
    <row r="79" spans="33:52" ph="1">
      <c r="AJ79" s="64" t="s" ph="1">
        <v>245</v>
      </c>
      <c r="AK79" s="64" t="s" ph="1">
        <v>256</v>
      </c>
      <c r="AM79" s="64" t="s" ph="1">
        <v>257</v>
      </c>
      <c r="AN79" s="64" t="s" ph="1">
        <v>225</v>
      </c>
      <c r="AO79" s="64" t="s" ph="1">
        <v>243</v>
      </c>
      <c r="AP79" s="64" t="s" ph="1">
        <v>258</v>
      </c>
      <c r="AQ79" s="64" t="s" ph="1">
        <v>223</v>
      </c>
      <c r="AR79" s="64" t="s" ph="1">
        <v>259</v>
      </c>
      <c r="AS79" s="64" t="s" ph="1">
        <v>215</v>
      </c>
      <c r="AT79" s="64" t="s" ph="1">
        <v>260</v>
      </c>
      <c r="AV79" s="64" t="s" ph="1">
        <v>403</v>
      </c>
      <c r="AW79" s="64" t="s" ph="1">
        <v>302</v>
      </c>
      <c r="AX79" s="64" t="s" ph="1">
        <v>400</v>
      </c>
    </row>
    <row r="80" spans="33:52" ph="1">
      <c r="AH80" s="64" ph="1">
        <v>3</v>
      </c>
      <c r="AI80" s="64" t="s" ph="1">
        <v>261</v>
      </c>
      <c r="AJ80" s="64" t="s" ph="1">
        <v>262</v>
      </c>
      <c r="AK80" s="64" t="s" ph="1">
        <v>263</v>
      </c>
      <c r="AM80" s="64" t="s" ph="1">
        <v>264</v>
      </c>
      <c r="AN80" s="64" t="s" ph="1">
        <v>254</v>
      </c>
      <c r="AO80" s="64" t="s" ph="1">
        <v>243</v>
      </c>
      <c r="AP80" s="64" t="s" ph="1">
        <v>265</v>
      </c>
      <c r="AQ80" s="64" t="s" ph="1">
        <v>228</v>
      </c>
      <c r="AR80" s="64" t="s" ph="1">
        <v>243</v>
      </c>
      <c r="AS80" s="64" t="s" ph="1">
        <v>266</v>
      </c>
      <c r="AT80" s="64" t="s" ph="1">
        <v>227</v>
      </c>
      <c r="AU80" s="64" t="s" ph="1">
        <v>243</v>
      </c>
      <c r="AV80" s="64" t="s" ph="1">
        <v>267</v>
      </c>
      <c r="AW80" s="64" t="s" ph="1">
        <v>243</v>
      </c>
      <c r="AY80" s="64" t="s" ph="1">
        <v>216</v>
      </c>
      <c r="AZ80" s="64" t="s" ph="1">
        <v>404</v>
      </c>
    </row>
    <row r="81" spans="34:52" ph="1">
      <c r="AJ81" s="64" t="s" ph="1">
        <v>268</v>
      </c>
      <c r="AK81" s="64" t="s" ph="1">
        <v>222</v>
      </c>
      <c r="AM81" s="64" t="s" ph="1">
        <v>269</v>
      </c>
      <c r="AN81" s="64" t="s" ph="1">
        <v>225</v>
      </c>
      <c r="AO81" s="64" t="s" ph="1">
        <v>243</v>
      </c>
      <c r="AP81" s="64" t="s" ph="1">
        <v>270</v>
      </c>
      <c r="AQ81" s="64" t="s" ph="1">
        <v>254</v>
      </c>
      <c r="AR81" s="64" t="s" ph="1">
        <v>243</v>
      </c>
      <c r="AS81" s="64" t="s" ph="1">
        <v>271</v>
      </c>
      <c r="AT81" s="64" t="s" ph="1">
        <v>272</v>
      </c>
      <c r="AU81" s="64" t="s" ph="1">
        <v>243</v>
      </c>
      <c r="AV81" s="64" t="s" ph="1">
        <v>273</v>
      </c>
    </row>
    <row r="82" spans="34:52" ph="1">
      <c r="AJ82" s="64" t="s" ph="1">
        <v>274</v>
      </c>
      <c r="AK82" s="64" t="s" ph="1">
        <v>222</v>
      </c>
      <c r="AM82" s="64" t="s" ph="1">
        <v>275</v>
      </c>
      <c r="AN82" s="64" t="s" ph="1">
        <v>272</v>
      </c>
      <c r="AO82" s="64" t="s" ph="1">
        <v>276</v>
      </c>
      <c r="AP82" s="64" t="s" ph="1">
        <v>277</v>
      </c>
      <c r="AQ82" s="64" t="s" ph="1">
        <v>254</v>
      </c>
      <c r="AR82" s="64" t="s" ph="1">
        <v>243</v>
      </c>
      <c r="AS82" s="64" t="s" ph="1">
        <v>278</v>
      </c>
      <c r="AT82" s="64" t="s" ph="1">
        <v>229</v>
      </c>
      <c r="AU82" s="64" t="s" ph="1">
        <v>243</v>
      </c>
      <c r="AV82" s="64" t="s" ph="1">
        <v>403</v>
      </c>
      <c r="AW82" s="64" t="s" ph="1">
        <v>303</v>
      </c>
      <c r="AX82" s="64" t="s" ph="1">
        <v>400</v>
      </c>
    </row>
    <row r="83" spans="34:52" ph="1">
      <c r="AJ83" s="64" t="s" ph="1">
        <v>279</v>
      </c>
      <c r="AK83" s="64" t="s" ph="1">
        <v>296</v>
      </c>
      <c r="AM83" s="64" t="s" ph="1">
        <v>280</v>
      </c>
      <c r="AN83" s="64" t="s" ph="1">
        <v>228</v>
      </c>
      <c r="AO83" s="64" t="s" ph="1">
        <v>259</v>
      </c>
      <c r="AP83" s="64" t="s" ph="1">
        <v>281</v>
      </c>
      <c r="AQ83" s="64" t="s" ph="1">
        <v>282</v>
      </c>
      <c r="AR83" s="64" t="s" ph="1">
        <v>259</v>
      </c>
      <c r="AS83" s="64" t="s" ph="1">
        <v>405</v>
      </c>
      <c r="AT83" s="64" t="s" ph="1">
        <v>254</v>
      </c>
      <c r="AU83" s="64" t="s" ph="1">
        <v>259</v>
      </c>
      <c r="AV83" s="64" t="s" ph="1">
        <v>406</v>
      </c>
      <c r="AW83" s="64" t="s" ph="1">
        <v>303</v>
      </c>
      <c r="AX83" s="64" t="s" ph="1">
        <v>407</v>
      </c>
    </row>
    <row r="84" spans="34:52" ph="1">
      <c r="AH84" s="64" ph="1">
        <v>4</v>
      </c>
      <c r="AI84" s="64" t="s" ph="1">
        <v>286</v>
      </c>
      <c r="AJ84" s="64" t="s" ph="1">
        <v>226</v>
      </c>
      <c r="AK84" s="64" t="s" ph="1">
        <v>229</v>
      </c>
      <c r="AM84" s="64" t="s" ph="1">
        <v>230</v>
      </c>
      <c r="AN84" s="64" t="s" ph="1">
        <v>223</v>
      </c>
      <c r="AO84" s="64" t="s" ph="1">
        <v>259</v>
      </c>
      <c r="AP84" s="64" t="s" ph="1">
        <v>288</v>
      </c>
      <c r="AQ84" s="64" t="s" ph="1">
        <v>222</v>
      </c>
      <c r="AR84" s="64" t="s" ph="1">
        <v>259</v>
      </c>
      <c r="AS84" s="64" t="s" ph="1">
        <v>288</v>
      </c>
      <c r="AT84" s="64" t="s" ph="1">
        <v>224</v>
      </c>
      <c r="AU84" s="64" t="s" ph="1">
        <v>259</v>
      </c>
      <c r="AY84" s="64" t="s" ph="1">
        <v>216</v>
      </c>
      <c r="AZ84" s="64" t="s" ph="1">
        <v>408</v>
      </c>
    </row>
    <row r="85" spans="34:52" ph="1">
      <c r="AJ85" s="64" t="s" ph="1">
        <v>218</v>
      </c>
      <c r="AK85" s="64" t="s" ph="1">
        <v>222</v>
      </c>
      <c r="AM85" s="64" t="s" ph="1">
        <v>409</v>
      </c>
      <c r="AN85" s="64" t="s" ph="1">
        <v>229</v>
      </c>
      <c r="AO85" s="64" t="s" ph="1">
        <v>259</v>
      </c>
      <c r="AP85" s="64" t="s" ph="1">
        <v>410</v>
      </c>
      <c r="AQ85" s="64" t="s" ph="1">
        <v>225</v>
      </c>
      <c r="AR85" s="64" t="s" ph="1">
        <v>259</v>
      </c>
      <c r="AS85" s="64" t="s" ph="1">
        <v>411</v>
      </c>
      <c r="AT85" s="64" t="s" ph="1">
        <v>225</v>
      </c>
      <c r="AU85" s="64" t="s" ph="1">
        <v>259</v>
      </c>
    </row>
    <row r="86" spans="34:52" ph="1">
      <c r="AJ86" s="64" t="s" ph="1">
        <v>412</v>
      </c>
      <c r="AK86" s="64" t="s" ph="1">
        <v>231</v>
      </c>
      <c r="AM86" s="64" t="s" ph="1">
        <v>413</v>
      </c>
      <c r="AN86" s="64" t="s" ph="1">
        <v>272</v>
      </c>
      <c r="AO86" s="64" t="s" ph="1">
        <v>259</v>
      </c>
      <c r="AP86" s="64" t="s" ph="1">
        <v>414</v>
      </c>
      <c r="AQ86" s="64" t="s" ph="1">
        <v>219</v>
      </c>
      <c r="AR86" s="64" t="s" ph="1">
        <v>259</v>
      </c>
      <c r="AS86" s="64" t="s" ph="1">
        <v>415</v>
      </c>
      <c r="AT86" s="64" t="s" ph="1">
        <v>237</v>
      </c>
      <c r="AU86" s="64" t="s" ph="1">
        <v>259</v>
      </c>
    </row>
    <row r="87" spans="34:52" ph="1">
      <c r="AJ87" s="64" t="s" ph="1">
        <v>416</v>
      </c>
      <c r="AK87" s="64" t="s" ph="1">
        <v>272</v>
      </c>
      <c r="AM87" s="64" t="s" ph="1">
        <v>403</v>
      </c>
      <c r="AN87" s="64" t="s" ph="1">
        <v>417</v>
      </c>
      <c r="AO87" s="64" t="s" ph="1">
        <v>400</v>
      </c>
    </row>
    <row r="88" spans="34:52" ph="1">
      <c r="AH88" s="64" ph="1">
        <v>5</v>
      </c>
      <c r="AI88" s="64" t="s" ph="1">
        <v>289</v>
      </c>
      <c r="AJ88" s="64" t="s" ph="1">
        <v>418</v>
      </c>
      <c r="AK88" s="64" t="s" ph="1">
        <v>272</v>
      </c>
      <c r="AM88" s="64" t="s" ph="1">
        <v>419</v>
      </c>
      <c r="AN88" s="64" t="s" ph="1">
        <v>272</v>
      </c>
      <c r="AO88" s="64" t="s" ph="1">
        <v>259</v>
      </c>
      <c r="AP88" s="64" t="s" ph="1">
        <v>420</v>
      </c>
      <c r="AQ88" s="64" t="s" ph="1">
        <v>222</v>
      </c>
      <c r="AR88" s="64" t="s" ph="1">
        <v>259</v>
      </c>
      <c r="AS88" s="64" t="s" ph="1">
        <v>421</v>
      </c>
      <c r="AT88" s="64" t="s" ph="1">
        <v>272</v>
      </c>
      <c r="AU88" s="64" t="s" ph="1">
        <v>259</v>
      </c>
      <c r="AV88" s="64" t="s" ph="1">
        <v>422</v>
      </c>
      <c r="AW88" s="64" t="s" ph="1">
        <v>227</v>
      </c>
      <c r="AX88" s="64" t="s" ph="1">
        <v>259</v>
      </c>
      <c r="AY88" s="64" t="s" ph="1">
        <v>216</v>
      </c>
      <c r="AZ88" s="64" t="s" ph="1">
        <v>423</v>
      </c>
    </row>
    <row r="89" spans="34:52" ph="1">
      <c r="AJ89" s="64" t="s" ph="1">
        <v>424</v>
      </c>
      <c r="AK89" s="64" t="s" ph="1">
        <v>225</v>
      </c>
      <c r="AM89" s="64" t="s" ph="1">
        <v>425</v>
      </c>
      <c r="AN89" s="64" t="s" ph="1">
        <v>228</v>
      </c>
      <c r="AO89" s="64" t="s" ph="1">
        <v>259</v>
      </c>
      <c r="AP89" s="64" t="s" ph="1">
        <v>426</v>
      </c>
      <c r="AQ89" s="64" t="s" ph="1">
        <v>237</v>
      </c>
      <c r="AR89" s="64" t="s" ph="1">
        <v>259</v>
      </c>
      <c r="AS89" s="64" t="s" ph="1">
        <v>427</v>
      </c>
      <c r="AT89" s="64" t="s" ph="1">
        <v>272</v>
      </c>
      <c r="AU89" s="64" t="s" ph="1">
        <v>259</v>
      </c>
      <c r="AV89" s="64" t="s" ph="1">
        <v>428</v>
      </c>
      <c r="AW89" s="64" t="s" ph="1">
        <v>254</v>
      </c>
      <c r="AX89" s="64" t="s" ph="1">
        <v>287</v>
      </c>
    </row>
    <row r="90" spans="34:52" ph="1">
      <c r="AJ90" s="64" t="s" ph="1">
        <v>429</v>
      </c>
      <c r="AK90" s="64" t="s" ph="1">
        <v>228</v>
      </c>
      <c r="AM90" s="64" t="s" ph="1">
        <v>430</v>
      </c>
      <c r="AN90" s="64" t="s" ph="1">
        <v>225</v>
      </c>
      <c r="AO90" s="64" t="s" ph="1">
        <v>259</v>
      </c>
      <c r="AP90" s="64" t="s" ph="1">
        <v>431</v>
      </c>
      <c r="AQ90" s="64" t="s" ph="1">
        <v>294</v>
      </c>
      <c r="AR90" s="64" t="s" ph="1">
        <v>259</v>
      </c>
      <c r="AS90" s="64" t="s" ph="1">
        <v>432</v>
      </c>
      <c r="AT90" s="64" t="s" ph="1">
        <v>282</v>
      </c>
      <c r="AU90" s="64" t="s" ph="1">
        <v>259</v>
      </c>
      <c r="AV90" s="64" t="s" ph="1">
        <v>433</v>
      </c>
      <c r="AW90" s="64" t="s" ph="1">
        <v>219</v>
      </c>
      <c r="AX90" s="64" t="s" ph="1">
        <v>259</v>
      </c>
    </row>
    <row r="91" spans="34:52" ph="1">
      <c r="AJ91" s="64" t="s" ph="1">
        <v>434</v>
      </c>
      <c r="AK91" s="64" t="s" ph="1">
        <v>272</v>
      </c>
      <c r="AM91" s="64" t="s" ph="1">
        <v>435</v>
      </c>
      <c r="AN91" s="64" t="s" ph="1">
        <v>239</v>
      </c>
      <c r="AO91" s="64" t="s" ph="1">
        <v>259</v>
      </c>
      <c r="AP91" s="64" t="s" ph="1">
        <v>436</v>
      </c>
      <c r="AQ91" s="64" t="s" ph="1">
        <v>219</v>
      </c>
      <c r="AS91" s="64" t="s" ph="1">
        <v>403</v>
      </c>
      <c r="AT91" s="64" t="s" ph="1">
        <v>399</v>
      </c>
      <c r="AU91" s="64" t="s" ph="1">
        <v>400</v>
      </c>
    </row>
    <row r="92" spans="34:52" ph="1">
      <c r="AH92" s="64" ph="1">
        <v>6</v>
      </c>
      <c r="AI92" s="64" t="s" ph="1">
        <v>437</v>
      </c>
      <c r="AJ92" s="64" t="s" ph="1">
        <v>438</v>
      </c>
      <c r="AK92" s="64" t="s" ph="1">
        <v>367</v>
      </c>
      <c r="AM92" s="64" t="s" ph="1">
        <v>439</v>
      </c>
      <c r="AN92" s="64" t="s" ph="1">
        <v>227</v>
      </c>
      <c r="AO92" s="64" t="s" ph="1">
        <v>259</v>
      </c>
      <c r="AP92" s="64" t="s" ph="1">
        <v>440</v>
      </c>
      <c r="AQ92" s="64" t="s" ph="1">
        <v>299</v>
      </c>
      <c r="AR92" s="64" t="s" ph="1">
        <v>259</v>
      </c>
      <c r="AS92" s="64" t="s" ph="1">
        <v>441</v>
      </c>
      <c r="AT92" s="64" t="s" ph="1">
        <v>272</v>
      </c>
      <c r="AU92" s="64" t="s" ph="1">
        <v>259</v>
      </c>
      <c r="AV92" s="64" t="s" ph="1">
        <v>442</v>
      </c>
      <c r="AW92" s="64" t="s" ph="1">
        <v>228</v>
      </c>
      <c r="AX92" s="64" t="s" ph="1">
        <v>259</v>
      </c>
      <c r="AY92" s="64" t="s" ph="1">
        <v>216</v>
      </c>
      <c r="AZ92" s="64" t="s" ph="1">
        <v>423</v>
      </c>
    </row>
    <row r="93" spans="34:52" ph="1">
      <c r="AJ93" s="64" t="s" ph="1">
        <v>443</v>
      </c>
      <c r="AK93" s="64" t="s" ph="1">
        <v>222</v>
      </c>
      <c r="AM93" s="64" t="s" ph="1">
        <v>444</v>
      </c>
      <c r="AN93" s="64" t="s" ph="1">
        <v>227</v>
      </c>
      <c r="AO93" s="64" t="s" ph="1">
        <v>259</v>
      </c>
      <c r="AP93" s="64" t="s" ph="1">
        <v>445</v>
      </c>
      <c r="AQ93" s="64" t="s" ph="1">
        <v>231</v>
      </c>
      <c r="AR93" s="64" t="s" ph="1">
        <v>259</v>
      </c>
      <c r="AS93" s="64" t="s" ph="1">
        <v>446</v>
      </c>
      <c r="AT93" s="64" t="s" ph="1">
        <v>237</v>
      </c>
      <c r="AU93" s="64" t="s" ph="1">
        <v>259</v>
      </c>
      <c r="AV93" s="64" t="s" ph="1">
        <v>447</v>
      </c>
      <c r="AW93" s="64" t="s" ph="1">
        <v>231</v>
      </c>
      <c r="AX93" s="64" t="s" ph="1">
        <v>259</v>
      </c>
    </row>
    <row r="94" spans="34:52" ph="1">
      <c r="AJ94" s="64" t="s" ph="1">
        <v>448</v>
      </c>
      <c r="AK94" s="64" t="s" ph="1">
        <v>294</v>
      </c>
      <c r="AM94" s="64" t="s" ph="1">
        <v>449</v>
      </c>
      <c r="AN94" s="64" t="s" ph="1">
        <v>231</v>
      </c>
      <c r="AO94" s="64" t="s" ph="1">
        <v>259</v>
      </c>
      <c r="AP94" s="64" t="s" ph="1">
        <v>450</v>
      </c>
      <c r="AQ94" s="64" t="s" ph="1">
        <v>239</v>
      </c>
      <c r="AR94" s="64" t="s" ph="1">
        <v>259</v>
      </c>
      <c r="AS94" s="64" t="s" ph="1">
        <v>451</v>
      </c>
      <c r="AT94" s="64" t="s" ph="1">
        <v>225</v>
      </c>
      <c r="AU94" s="64" t="s" ph="1">
        <v>259</v>
      </c>
      <c r="AV94" s="64" t="s" ph="1">
        <v>452</v>
      </c>
      <c r="AW94" s="64" t="s" ph="1">
        <v>225</v>
      </c>
      <c r="AX94" s="64" t="s" ph="1">
        <v>259</v>
      </c>
    </row>
    <row r="95" spans="34:52" ph="1">
      <c r="AJ95" s="64" t="s" ph="1">
        <v>453</v>
      </c>
      <c r="AK95" s="64" t="s" ph="1">
        <v>299</v>
      </c>
    </row>
    <row r="96" spans="34:52" ph="1">
      <c r="AH96" s="64" ph="1">
        <v>7</v>
      </c>
      <c r="AI96" s="64" t="s" ph="1">
        <v>454</v>
      </c>
      <c r="AJ96" s="64" t="s" ph="1">
        <v>453</v>
      </c>
      <c r="AK96" s="64" t="s" ph="1">
        <v>254</v>
      </c>
      <c r="AM96" s="64" t="s" ph="1">
        <v>455</v>
      </c>
      <c r="AN96" s="64" t="s" ph="1">
        <v>228</v>
      </c>
      <c r="AO96" s="64" t="s" ph="1">
        <v>259</v>
      </c>
      <c r="AP96" s="64" t="s" ph="1">
        <v>456</v>
      </c>
      <c r="AQ96" s="64" t="s" ph="1">
        <v>272</v>
      </c>
      <c r="AR96" s="64" t="s" ph="1">
        <v>287</v>
      </c>
      <c r="AS96" s="64" t="s" ph="1">
        <v>457</v>
      </c>
      <c r="AT96" s="64" t="s" ph="1">
        <v>231</v>
      </c>
      <c r="AU96" s="64" t="s" ph="1">
        <v>287</v>
      </c>
      <c r="AV96" s="64" t="s" ph="1">
        <v>458</v>
      </c>
      <c r="AW96" s="64" t="s" ph="1">
        <v>227</v>
      </c>
      <c r="AX96" s="64" t="s" ph="1">
        <v>287</v>
      </c>
      <c r="AY96" s="64" t="s" ph="1">
        <v>216</v>
      </c>
      <c r="AZ96" s="64" t="s" ph="1">
        <v>459</v>
      </c>
    </row>
    <row r="97" spans="33:52" ph="1">
      <c r="AJ97" s="64" t="s" ph="1">
        <v>460</v>
      </c>
      <c r="AK97" s="64" t="s" ph="1">
        <v>282</v>
      </c>
      <c r="AM97" s="64" t="s" ph="1">
        <v>461</v>
      </c>
      <c r="AN97" s="64" t="s" ph="1">
        <v>225</v>
      </c>
      <c r="AO97" s="64" t="s" ph="1">
        <v>259</v>
      </c>
      <c r="AP97" s="64" t="s" ph="1">
        <v>462</v>
      </c>
      <c r="AQ97" s="64" t="s" ph="1">
        <v>219</v>
      </c>
      <c r="AR97" s="64" t="s" ph="1">
        <v>287</v>
      </c>
      <c r="AS97" s="64" t="s" ph="1">
        <v>463</v>
      </c>
      <c r="AT97" s="64" t="s" ph="1">
        <v>222</v>
      </c>
      <c r="AU97" s="64" t="s" ph="1">
        <v>287</v>
      </c>
      <c r="AV97" s="64" t="s" ph="1">
        <v>464</v>
      </c>
      <c r="AW97" s="64" t="s" ph="1">
        <v>228</v>
      </c>
      <c r="AX97" s="64" t="s" ph="1">
        <v>287</v>
      </c>
    </row>
    <row r="98" spans="33:52" ph="1">
      <c r="AJ98" s="64" t="s" ph="1">
        <v>465</v>
      </c>
      <c r="AK98" s="64" t="s" ph="1">
        <v>231</v>
      </c>
      <c r="AM98" s="64" t="s" ph="1">
        <v>466</v>
      </c>
      <c r="AN98" s="64" t="s" ph="1">
        <v>239</v>
      </c>
      <c r="AO98" s="64" t="s" ph="1">
        <v>259</v>
      </c>
      <c r="AP98" s="64" t="s" ph="1">
        <v>467</v>
      </c>
      <c r="AQ98" s="64" t="s" ph="1">
        <v>219</v>
      </c>
      <c r="AR98" s="64" t="s" ph="1">
        <v>287</v>
      </c>
      <c r="AS98" s="64" t="s" ph="1">
        <v>468</v>
      </c>
      <c r="AT98" s="64" t="s" ph="1">
        <v>299</v>
      </c>
      <c r="AU98" s="64" t="s" ph="1">
        <v>287</v>
      </c>
      <c r="AV98" s="64" t="s" ph="1">
        <v>469</v>
      </c>
      <c r="AW98" s="64" t="s" ph="1">
        <v>222</v>
      </c>
      <c r="AX98" s="64" t="s" ph="1">
        <v>287</v>
      </c>
    </row>
    <row r="99" spans="33:52" ph="1">
      <c r="AH99" s="64" ph="1">
        <v>8</v>
      </c>
      <c r="AI99" s="64" t="s" ph="1">
        <v>470</v>
      </c>
      <c r="AJ99" s="64" t="s" ph="1">
        <v>471</v>
      </c>
      <c r="AK99" s="64" t="s" ph="1">
        <v>367</v>
      </c>
      <c r="AM99" s="64" t="s" ph="1">
        <v>472</v>
      </c>
      <c r="AN99" s="64" t="s" ph="1">
        <v>254</v>
      </c>
      <c r="AO99" s="64" t="s" ph="1">
        <v>259</v>
      </c>
      <c r="AP99" s="64" t="s" ph="1">
        <v>473</v>
      </c>
      <c r="AQ99" s="64" t="s" ph="1">
        <v>224</v>
      </c>
      <c r="AR99" s="64" t="s" ph="1">
        <v>287</v>
      </c>
      <c r="AS99" s="64" t="s" ph="1">
        <v>474</v>
      </c>
      <c r="AT99" s="64" t="s" ph="1">
        <v>239</v>
      </c>
      <c r="AU99" s="64" t="s" ph="1">
        <v>287</v>
      </c>
      <c r="AV99" s="64" t="s" ph="1">
        <v>475</v>
      </c>
      <c r="AW99" s="64" t="s" ph="1">
        <v>224</v>
      </c>
      <c r="AX99" s="64" t="s" ph="1">
        <v>287</v>
      </c>
      <c r="AY99" s="64" t="s" ph="1">
        <v>216</v>
      </c>
      <c r="AZ99" s="64" t="s" ph="1">
        <v>476</v>
      </c>
    </row>
    <row r="100" spans="33:52" ph="1">
      <c r="AJ100" s="64" t="s" ph="1">
        <v>477</v>
      </c>
      <c r="AK100" s="64" t="s" ph="1">
        <v>222</v>
      </c>
      <c r="AM100" s="64" t="s" ph="1">
        <v>478</v>
      </c>
      <c r="AN100" s="64" t="s" ph="1">
        <v>294</v>
      </c>
      <c r="AO100" s="64" t="s" ph="1">
        <v>259</v>
      </c>
      <c r="AP100" s="64" t="s" ph="1">
        <v>479</v>
      </c>
      <c r="AQ100" s="64" t="s" ph="1">
        <v>300</v>
      </c>
      <c r="AR100" s="64" t="s" ph="1">
        <v>287</v>
      </c>
      <c r="AS100" s="64" t="s" ph="1">
        <v>480</v>
      </c>
      <c r="AT100" s="64" t="s" ph="1">
        <v>367</v>
      </c>
      <c r="AU100" s="64" t="s" ph="1">
        <v>259</v>
      </c>
      <c r="AV100" s="64" t="s" ph="1">
        <v>481</v>
      </c>
      <c r="AW100" s="64" t="s" ph="1">
        <v>367</v>
      </c>
      <c r="AX100" s="64" t="s" ph="1">
        <v>259</v>
      </c>
    </row>
    <row r="101" spans="33:52" ph="1">
      <c r="AJ101" s="64" t="s" ph="1">
        <v>482</v>
      </c>
      <c r="AK101" s="64" t="s" ph="1">
        <v>367</v>
      </c>
      <c r="AM101" s="64" t="s" ph="1">
        <v>483</v>
      </c>
      <c r="AN101" s="64" t="s" ph="1">
        <v>225</v>
      </c>
      <c r="AO101" s="64" t="s" ph="1">
        <v>259</v>
      </c>
      <c r="AP101" s="64" t="s" ph="1">
        <v>484</v>
      </c>
      <c r="AQ101" s="64" t="s" ph="1">
        <v>237</v>
      </c>
      <c r="AR101" s="64" t="s" ph="1">
        <v>287</v>
      </c>
      <c r="AS101" s="64" t="s" ph="1">
        <v>485</v>
      </c>
      <c r="AT101" s="64" t="s" ph="1">
        <v>294</v>
      </c>
      <c r="AU101" s="64" t="s" ph="1">
        <v>287</v>
      </c>
      <c r="AV101" s="64" t="s" ph="1">
        <v>486</v>
      </c>
      <c r="AW101" s="64" t="s" ph="1">
        <v>225</v>
      </c>
      <c r="AX101" s="64" t="s" ph="1">
        <v>259</v>
      </c>
    </row>
    <row r="102" spans="33:52" ph="1">
      <c r="AJ102" s="64" t="s" ph="1">
        <v>487</v>
      </c>
      <c r="AK102" s="64" t="s" ph="1">
        <v>222</v>
      </c>
      <c r="AM102" s="64" t="s" ph="1">
        <v>488</v>
      </c>
      <c r="AN102" s="64" t="s" ph="1">
        <v>231</v>
      </c>
      <c r="AO102" s="64" t="s" ph="1">
        <v>259</v>
      </c>
      <c r="AP102" s="64" t="s" ph="1">
        <v>489</v>
      </c>
      <c r="AQ102" s="64" t="s" ph="1">
        <v>237</v>
      </c>
      <c r="AR102" s="64" t="s" ph="1">
        <v>259</v>
      </c>
      <c r="AS102" s="64" t="s" ph="1">
        <v>490</v>
      </c>
      <c r="AT102" s="64" t="s" ph="1">
        <v>254</v>
      </c>
      <c r="AU102" s="64" t="s" ph="1">
        <v>259</v>
      </c>
      <c r="AV102" s="64" t="s" ph="1">
        <v>491</v>
      </c>
      <c r="AW102" s="64" t="s" ph="1">
        <v>272</v>
      </c>
      <c r="AX102" s="64" t="s" ph="1">
        <v>259</v>
      </c>
    </row>
    <row r="103" spans="33:52" ph="1">
      <c r="AH103" s="64" ph="1">
        <v>9</v>
      </c>
      <c r="AI103" s="64" t="s" ph="1">
        <v>492</v>
      </c>
      <c r="AJ103" s="64" t="s" ph="1">
        <v>493</v>
      </c>
      <c r="AK103" s="64" t="s" ph="1">
        <v>367</v>
      </c>
      <c r="AM103" s="64" t="s" ph="1">
        <v>494</v>
      </c>
      <c r="AN103" s="64" t="s" ph="1">
        <v>282</v>
      </c>
      <c r="AO103" s="64" t="s" ph="1">
        <v>259</v>
      </c>
      <c r="AP103" s="64" t="s" ph="1">
        <v>336</v>
      </c>
      <c r="AQ103" s="64" t="s" ph="1">
        <v>225</v>
      </c>
      <c r="AR103" s="64" t="s" ph="1">
        <v>259</v>
      </c>
      <c r="AS103" s="64" t="s" ph="1">
        <v>570</v>
      </c>
      <c r="AT103" s="64" t="s" ph="1">
        <v>367</v>
      </c>
      <c r="AU103" s="64" t="s" ph="1">
        <v>259</v>
      </c>
      <c r="AY103" s="64" t="s" ph="1">
        <v>216</v>
      </c>
      <c r="AZ103" s="64" t="s" ph="1">
        <v>224</v>
      </c>
    </row>
    <row r="104" spans="33:52" ph="1">
      <c r="AZ104" s="64" t="s" ph="1">
        <v>495</v>
      </c>
    </row>
    <row r="105" spans="33:52" ph="1">
      <c r="AG105" s="64" t="s" ph="1">
        <v>295</v>
      </c>
      <c r="AI105" s="64" t="s" ph="1">
        <v>209</v>
      </c>
      <c r="AJ105" s="64" t="s" ph="1">
        <v>210</v>
      </c>
      <c r="AK105" s="64" t="s" ph="1">
        <v>211</v>
      </c>
      <c r="AM105" s="64" t="s" ph="1">
        <v>210</v>
      </c>
      <c r="AN105" s="64" t="s" ph="1">
        <v>211</v>
      </c>
      <c r="AO105" s="64" t="s" ph="1">
        <v>212</v>
      </c>
      <c r="AP105" s="64" t="s" ph="1">
        <v>210</v>
      </c>
      <c r="AQ105" s="64" t="s" ph="1">
        <v>211</v>
      </c>
      <c r="AR105" s="64" t="s" ph="1">
        <v>212</v>
      </c>
      <c r="AS105" s="64" t="s" ph="1">
        <v>210</v>
      </c>
      <c r="AT105" s="64" t="s" ph="1">
        <v>211</v>
      </c>
      <c r="AU105" s="64" t="s" ph="1">
        <v>212</v>
      </c>
      <c r="AV105" s="64" t="s" ph="1">
        <v>210</v>
      </c>
      <c r="AW105" s="64" t="s" ph="1">
        <v>211</v>
      </c>
      <c r="AX105" s="64" t="s" ph="1">
        <v>212</v>
      </c>
      <c r="AZ105" s="64" t="s" ph="1">
        <v>213</v>
      </c>
    </row>
    <row r="106" spans="33:52" ph="1">
      <c r="AH106" s="64" ph="1">
        <v>1</v>
      </c>
      <c r="AI106" s="64" t="s" ph="1">
        <v>496</v>
      </c>
      <c r="AJ106" s="64" t="s" ph="1">
        <v>570</v>
      </c>
      <c r="AK106" s="64" t="s" ph="1">
        <v>231</v>
      </c>
      <c r="AZ106" s="64" t="s" ph="1">
        <v>231</v>
      </c>
    </row>
    <row r="107" spans="33:52" ph="1">
      <c r="AH107" s="64" ph="1">
        <v>2</v>
      </c>
      <c r="AI107" s="64" t="s" ph="1">
        <v>497</v>
      </c>
      <c r="AJ107" s="64" t="s" ph="1">
        <v>498</v>
      </c>
      <c r="AK107" s="64" t="s" ph="1">
        <v>228</v>
      </c>
      <c r="AM107" s="64" t="s" ph="1">
        <v>334</v>
      </c>
      <c r="AN107" s="64" t="s" ph="1">
        <v>499</v>
      </c>
      <c r="AO107" s="64" t="s" ph="1">
        <v>500</v>
      </c>
      <c r="AP107" s="64" t="s" ph="1">
        <v>336</v>
      </c>
      <c r="AQ107" s="64" t="s" ph="1">
        <v>304</v>
      </c>
      <c r="AR107" s="64" t="s" ph="1">
        <v>500</v>
      </c>
      <c r="AS107" s="64" t="s" ph="1">
        <v>570</v>
      </c>
      <c r="AT107" s="64" t="s" ph="1">
        <v>499</v>
      </c>
      <c r="AU107" s="64" t="s" ph="1">
        <v>500</v>
      </c>
      <c r="AY107" s="64" t="s" ph="1">
        <v>216</v>
      </c>
      <c r="AZ107" s="64" t="s" ph="1">
        <v>580</v>
      </c>
    </row>
    <row r="108" spans="33:52" ph="1">
      <c r="AH108" s="64" ph="1">
        <v>3</v>
      </c>
      <c r="AI108" s="64" t="s" ph="1">
        <v>501</v>
      </c>
      <c r="AY108" s="64" t="s" ph="1">
        <v>216</v>
      </c>
      <c r="AZ108" s="64" t="s" ph="1">
        <v>367</v>
      </c>
    </row>
    <row r="109" spans="33:52" ph="1">
      <c r="AH109" s="64" ph="1">
        <v>4</v>
      </c>
      <c r="AI109" s="64" t="s" ph="1">
        <v>502</v>
      </c>
      <c r="AY109" s="64" t="s" ph="1">
        <v>216</v>
      </c>
      <c r="AZ109" s="64" t="s" ph="1">
        <v>367</v>
      </c>
    </row>
    <row r="110" spans="33:52" ph="1">
      <c r="AH110" s="64" ph="1">
        <v>5</v>
      </c>
      <c r="AI110" s="64" t="s" ph="1">
        <v>503</v>
      </c>
      <c r="AY110" s="64" t="s" ph="1">
        <v>216</v>
      </c>
      <c r="AZ110" s="64" t="s" ph="1">
        <v>367</v>
      </c>
    </row>
    <row r="111" spans="33:52" ph="1">
      <c r="AH111" s="64" ph="1">
        <v>6</v>
      </c>
      <c r="AI111" s="64" t="s" ph="1">
        <v>581</v>
      </c>
      <c r="AJ111" s="64" t="s" ph="1">
        <v>486</v>
      </c>
      <c r="AK111" s="64" t="s" ph="1">
        <v>225</v>
      </c>
      <c r="AM111" s="64" t="s" ph="1">
        <v>487</v>
      </c>
      <c r="AN111" s="64" t="s" ph="1">
        <v>219</v>
      </c>
      <c r="AO111" s="64" t="s" ph="1">
        <v>500</v>
      </c>
      <c r="AP111" s="64" t="s" ph="1">
        <v>488</v>
      </c>
      <c r="AQ111" s="64" t="s" ph="1">
        <v>228</v>
      </c>
      <c r="AR111" s="64" t="s" ph="1">
        <v>500</v>
      </c>
      <c r="AS111" s="64" t="s" ph="1">
        <v>489</v>
      </c>
      <c r="AT111" s="64" t="s" ph="1">
        <v>237</v>
      </c>
      <c r="AU111" s="64" t="s" ph="1">
        <v>500</v>
      </c>
      <c r="AV111" s="64" t="s" ph="1">
        <v>490</v>
      </c>
      <c r="AW111" s="64" t="s" ph="1">
        <v>227</v>
      </c>
      <c r="AX111" s="64" t="s" ph="1">
        <v>500</v>
      </c>
      <c r="AY111" s="64" t="s" ph="1">
        <v>216</v>
      </c>
      <c r="AZ111" s="64" t="s" ph="1">
        <v>504</v>
      </c>
    </row>
    <row r="112" spans="33:52" ph="1">
      <c r="AJ112" s="64" t="s" ph="1">
        <v>491</v>
      </c>
      <c r="AK112" s="64" t="s" ph="1">
        <v>272</v>
      </c>
      <c r="AM112" s="64" t="s" ph="1">
        <v>493</v>
      </c>
      <c r="AN112" s="64" t="s" ph="1">
        <v>296</v>
      </c>
      <c r="AO112" s="64" t="s" ph="1">
        <v>500</v>
      </c>
      <c r="AP112" s="64" t="s" ph="1">
        <v>494</v>
      </c>
      <c r="AQ112" s="64" t="s" ph="1">
        <v>505</v>
      </c>
      <c r="AR112" s="64" t="s" ph="1">
        <v>500</v>
      </c>
      <c r="AS112" s="64" t="s" ph="1">
        <v>506</v>
      </c>
      <c r="AT112" s="64" t="s" ph="1">
        <v>248</v>
      </c>
      <c r="AU112" s="64" t="s" ph="1">
        <v>500</v>
      </c>
      <c r="AV112" s="64" t="s" ph="1">
        <v>507</v>
      </c>
      <c r="AW112" s="64" t="s" ph="1">
        <v>294</v>
      </c>
      <c r="AX112" s="64" t="s" ph="1">
        <v>500</v>
      </c>
    </row>
    <row r="113" spans="33:52" ph="1">
      <c r="AH113" s="64" ph="1">
        <v>7</v>
      </c>
      <c r="AI113" s="64" t="s" ph="1">
        <v>508</v>
      </c>
      <c r="AJ113" s="64" t="s" ph="1">
        <v>589</v>
      </c>
      <c r="AK113" s="64" t="s" ph="1">
        <v>594</v>
      </c>
      <c r="AY113" s="64" t="s" ph="1">
        <v>216</v>
      </c>
      <c r="AZ113" s="64" t="s" ph="1">
        <v>594</v>
      </c>
    </row>
    <row r="114" spans="33:52" ph="1">
      <c r="AH114" s="64" ph="1">
        <v>8</v>
      </c>
      <c r="AI114" s="64" t="s" ph="1">
        <v>509</v>
      </c>
      <c r="AJ114" s="64" t="s" ph="1">
        <v>589</v>
      </c>
      <c r="AK114" s="64" t="s" ph="1">
        <v>595</v>
      </c>
      <c r="AY114" s="64" t="s" ph="1">
        <v>216</v>
      </c>
      <c r="AZ114" s="64" t="s" ph="1">
        <v>595</v>
      </c>
    </row>
    <row r="115" spans="33:52" ph="1">
      <c r="AH115" s="64" ph="1">
        <v>9</v>
      </c>
      <c r="AI115" s="64" t="s" ph="1">
        <v>510</v>
      </c>
      <c r="AJ115" s="64" t="s" ph="1">
        <v>589</v>
      </c>
      <c r="AK115" s="64" t="s" ph="1">
        <v>595</v>
      </c>
      <c r="AY115" s="64" t="s" ph="1">
        <v>216</v>
      </c>
      <c r="AZ115" s="64" t="s" ph="1">
        <v>595</v>
      </c>
    </row>
    <row r="116" spans="33:52" ph="1">
      <c r="AH116" s="64" ph="1">
        <v>10</v>
      </c>
      <c r="AI116" s="64" t="s" ph="1">
        <v>511</v>
      </c>
      <c r="AJ116" s="64" t="s" ph="1">
        <v>589</v>
      </c>
      <c r="AK116" s="64" t="s" ph="1">
        <v>595</v>
      </c>
      <c r="AY116" s="64" t="s" ph="1">
        <v>216</v>
      </c>
      <c r="AZ116" s="64" t="s" ph="1">
        <v>595</v>
      </c>
    </row>
    <row r="117" spans="33:52" ph="1">
      <c r="AH117" s="64" ph="1">
        <v>11</v>
      </c>
      <c r="AI117" s="64" t="s" ph="1">
        <v>512</v>
      </c>
      <c r="AJ117" s="64" t="s" ph="1">
        <v>589</v>
      </c>
      <c r="AK117" s="64" t="s" ph="1">
        <v>595</v>
      </c>
      <c r="AY117" s="64" t="s" ph="1">
        <v>216</v>
      </c>
      <c r="AZ117" s="64" t="s" ph="1">
        <v>595</v>
      </c>
    </row>
    <row r="118" spans="33:52" ph="1">
      <c r="AZ118" s="64" t="s" ph="1">
        <v>596</v>
      </c>
    </row>
    <row r="119" spans="33:52" ph="1">
      <c r="AI119" s="64" t="s" ph="1">
        <v>209</v>
      </c>
      <c r="AJ119" s="64" t="s" ph="1">
        <v>210</v>
      </c>
      <c r="AK119" s="64" t="s" ph="1">
        <v>211</v>
      </c>
      <c r="AM119" s="64" t="s" ph="1">
        <v>210</v>
      </c>
      <c r="AN119" s="64" t="s" ph="1">
        <v>211</v>
      </c>
      <c r="AO119" s="64" t="s" ph="1">
        <v>212</v>
      </c>
      <c r="AP119" s="64" t="s" ph="1">
        <v>210</v>
      </c>
      <c r="AQ119" s="64" t="s" ph="1">
        <v>211</v>
      </c>
      <c r="AR119" s="64" t="s" ph="1">
        <v>212</v>
      </c>
      <c r="AS119" s="64" t="s" ph="1">
        <v>210</v>
      </c>
      <c r="AT119" s="64" t="s" ph="1">
        <v>211</v>
      </c>
      <c r="AU119" s="64" t="s" ph="1">
        <v>212</v>
      </c>
      <c r="AV119" s="64" t="s" ph="1">
        <v>210</v>
      </c>
      <c r="AW119" s="64" t="s" ph="1">
        <v>211</v>
      </c>
      <c r="AX119" s="64" t="s" ph="1">
        <v>212</v>
      </c>
      <c r="AY119" s="64" t="s" ph="1">
        <v>211</v>
      </c>
      <c r="AZ119" s="64" t="s" ph="1">
        <v>213</v>
      </c>
    </row>
    <row r="120" spans="33:52" ph="1">
      <c r="AG120" s="64" t="s" ph="1">
        <v>353</v>
      </c>
      <c r="AH120" s="64" ph="1">
        <v>1</v>
      </c>
      <c r="AI120" s="64" t="s" ph="1">
        <v>513</v>
      </c>
      <c r="AJ120" s="64" t="s" ph="1">
        <v>587</v>
      </c>
      <c r="AK120" s="64" t="s" ph="1">
        <v>367</v>
      </c>
      <c r="AY120" s="64" t="s" ph="1">
        <v>216</v>
      </c>
      <c r="AZ120" s="64" t="s" ph="1">
        <v>367</v>
      </c>
    </row>
    <row r="121" spans="33:52" ph="1">
      <c r="AH121" s="64" ph="1">
        <v>2</v>
      </c>
      <c r="AI121" s="64" t="s" ph="1">
        <v>514</v>
      </c>
      <c r="AY121" s="64" t="s" ph="1">
        <v>216</v>
      </c>
      <c r="AZ121" s="64" t="s" ph="1">
        <v>367</v>
      </c>
    </row>
    <row r="122" spans="33:52" ph="1">
      <c r="AH122" s="64" ph="1">
        <v>3</v>
      </c>
      <c r="AI122" s="64" t="s" ph="1">
        <v>515</v>
      </c>
      <c r="AJ122" s="64" t="s" ph="1">
        <v>570</v>
      </c>
      <c r="AK122" s="64" t="s" ph="1">
        <v>582</v>
      </c>
      <c r="AM122" s="64" t="s" ph="1">
        <v>597</v>
      </c>
      <c r="AN122" s="64" t="s" ph="1">
        <v>590</v>
      </c>
      <c r="AO122" s="64" t="s" ph="1">
        <v>91</v>
      </c>
      <c r="AY122" s="64" t="s" ph="1">
        <v>216</v>
      </c>
      <c r="AZ122" s="64" t="s" ph="1">
        <v>579</v>
      </c>
    </row>
    <row r="123" spans="33:52" ph="1">
      <c r="AY123" s="64" t="s" ph="1">
        <v>216</v>
      </c>
      <c r="AZ123" s="64" t="s" ph="1">
        <v>579</v>
      </c>
    </row>
    <row r="124" spans="33:52" ph="1">
      <c r="AG124" s="64" t="s" ph="1">
        <v>356</v>
      </c>
      <c r="AH124" s="64" ph="1">
        <v>4</v>
      </c>
      <c r="AI124" s="64" t="s" ph="1">
        <v>516</v>
      </c>
      <c r="AJ124" s="64" t="s" ph="1">
        <v>517</v>
      </c>
      <c r="AK124" s="64" t="s" ph="1">
        <v>518</v>
      </c>
      <c r="AY124" s="64" t="s" ph="1">
        <v>216</v>
      </c>
      <c r="AZ124" s="64" t="s" ph="1">
        <v>518</v>
      </c>
    </row>
    <row r="125" spans="33:52" ph="1">
      <c r="AH125" s="64" ph="1">
        <v>5</v>
      </c>
      <c r="AI125" s="64" t="s" ph="1">
        <v>519</v>
      </c>
      <c r="AJ125" s="64" t="s" ph="1">
        <v>517</v>
      </c>
      <c r="AK125" s="64" t="s" ph="1">
        <v>518</v>
      </c>
      <c r="AY125" s="64" t="s" ph="1">
        <v>216</v>
      </c>
      <c r="AZ125" s="64" t="s" ph="1">
        <v>518</v>
      </c>
    </row>
    <row r="126" spans="33:52" ph="1">
      <c r="AH126" s="64" ph="1">
        <v>6</v>
      </c>
      <c r="AI126" s="64" t="s" ph="1">
        <v>520</v>
      </c>
      <c r="AJ126" s="64" t="s" ph="1">
        <v>589</v>
      </c>
      <c r="AK126" s="64" t="s" ph="1">
        <v>598</v>
      </c>
      <c r="AY126" s="64" t="s" ph="1">
        <v>216</v>
      </c>
      <c r="AZ126" s="64" t="s" ph="1">
        <v>598</v>
      </c>
    </row>
    <row r="127" spans="33:52" ph="1">
      <c r="AH127" s="64" ph="1">
        <v>7</v>
      </c>
      <c r="AI127" s="64" t="s" ph="1">
        <v>521</v>
      </c>
      <c r="AJ127" s="64" t="s" ph="1">
        <v>589</v>
      </c>
      <c r="AK127" s="64" t="s" ph="1">
        <v>599</v>
      </c>
      <c r="AY127" s="64" t="s" ph="1">
        <v>216</v>
      </c>
      <c r="AZ127" s="64" t="s" ph="1">
        <v>599</v>
      </c>
    </row>
    <row r="128" spans="33:52" ph="1">
      <c r="AH128" s="64" ph="1">
        <v>8</v>
      </c>
      <c r="AI128" s="64" t="s" ph="1">
        <v>522</v>
      </c>
      <c r="AY128" s="64" t="s" ph="1">
        <v>216</v>
      </c>
      <c r="AZ128" s="64" t="s" ph="1">
        <v>367</v>
      </c>
    </row>
    <row r="129" spans="33:52" ph="1">
      <c r="AH129" s="64" ph="1">
        <v>9</v>
      </c>
      <c r="AI129" s="64" t="s" ph="1">
        <v>523</v>
      </c>
      <c r="AY129" s="64" t="s" ph="1">
        <v>216</v>
      </c>
      <c r="AZ129" s="64" t="s" ph="1">
        <v>367</v>
      </c>
    </row>
    <row r="130" spans="33:52" ph="1">
      <c r="AH130" s="64" ph="1">
        <v>10</v>
      </c>
      <c r="AI130" s="64" t="s" ph="1">
        <v>524</v>
      </c>
      <c r="AY130" s="64" t="s" ph="1">
        <v>216</v>
      </c>
      <c r="AZ130" s="64" t="s" ph="1">
        <v>367</v>
      </c>
    </row>
    <row r="131" spans="33:52" ph="1">
      <c r="AH131" s="64" ph="1">
        <v>11</v>
      </c>
      <c r="AI131" s="64" t="s" ph="1">
        <v>525</v>
      </c>
      <c r="AJ131" s="64" t="s" ph="1">
        <v>583</v>
      </c>
      <c r="AK131" s="64" t="s" ph="1">
        <v>579</v>
      </c>
      <c r="AY131" s="64" t="s" ph="1">
        <v>216</v>
      </c>
      <c r="AZ131" s="64" t="s" ph="1">
        <v>579</v>
      </c>
    </row>
    <row r="132" spans="33:52" ph="1">
      <c r="AH132" s="64" ph="1">
        <v>12</v>
      </c>
      <c r="AI132" s="64" t="s" ph="1">
        <v>526</v>
      </c>
      <c r="AJ132" s="64" t="s" ph="1">
        <v>583</v>
      </c>
      <c r="AK132" s="64" t="s" ph="1">
        <v>518</v>
      </c>
      <c r="AY132" s="64" t="s" ph="1">
        <v>216</v>
      </c>
      <c r="AZ132" s="64" t="s" ph="1">
        <v>518</v>
      </c>
    </row>
    <row r="133" spans="33:52" ph="1">
      <c r="AH133" s="64" ph="1">
        <v>13</v>
      </c>
      <c r="AI133" s="64" t="s" ph="1">
        <v>527</v>
      </c>
      <c r="AJ133" s="64" t="s" ph="1">
        <v>583</v>
      </c>
      <c r="AK133" s="64" t="s" ph="1">
        <v>584</v>
      </c>
      <c r="AY133" s="64" t="s" ph="1">
        <v>216</v>
      </c>
      <c r="AZ133" s="64" t="s" ph="1">
        <v>584</v>
      </c>
    </row>
    <row r="134" spans="33:52" ph="1">
      <c r="AH134" s="64" ph="1">
        <v>14</v>
      </c>
      <c r="AI134" s="64" t="s" ph="1">
        <v>528</v>
      </c>
      <c r="AJ134" s="64" t="s" ph="1">
        <v>583</v>
      </c>
      <c r="AK134" s="64" t="s" ph="1">
        <v>585</v>
      </c>
      <c r="AY134" s="64" t="s" ph="1">
        <v>216</v>
      </c>
      <c r="AZ134" s="64" t="s" ph="1">
        <v>585</v>
      </c>
    </row>
    <row r="135" spans="33:52" ph="1">
      <c r="AH135" s="64" ph="1">
        <v>15</v>
      </c>
      <c r="AI135" s="64" t="s" ph="1">
        <v>529</v>
      </c>
      <c r="AJ135" s="64" t="s" ph="1">
        <v>583</v>
      </c>
      <c r="AK135" s="64" t="s" ph="1">
        <v>586</v>
      </c>
      <c r="AY135" s="64" t="s" ph="1">
        <v>216</v>
      </c>
      <c r="AZ135" s="64" t="s" ph="1">
        <v>586</v>
      </c>
    </row>
    <row r="136" spans="33:52" ph="1">
      <c r="AZ136" s="64" t="s" ph="1">
        <v>600</v>
      </c>
    </row>
    <row r="137" spans="33:52" ph="1">
      <c r="AG137" s="64" t="s" ph="1">
        <v>290</v>
      </c>
      <c r="AI137" s="64" t="s" ph="1">
        <v>209</v>
      </c>
      <c r="AJ137" s="64" t="s" ph="1">
        <v>210</v>
      </c>
      <c r="AK137" s="64" t="s" ph="1">
        <v>211</v>
      </c>
      <c r="AM137" s="64" t="s" ph="1">
        <v>210</v>
      </c>
      <c r="AN137" s="64" t="s" ph="1">
        <v>211</v>
      </c>
      <c r="AO137" s="64" t="s" ph="1">
        <v>212</v>
      </c>
      <c r="AP137" s="64" t="s" ph="1">
        <v>210</v>
      </c>
      <c r="AQ137" s="64" t="s" ph="1">
        <v>211</v>
      </c>
      <c r="AR137" s="64" t="s" ph="1">
        <v>212</v>
      </c>
      <c r="AS137" s="64" t="s" ph="1">
        <v>210</v>
      </c>
      <c r="AT137" s="64" t="s" ph="1">
        <v>211</v>
      </c>
      <c r="AU137" s="64" t="s" ph="1">
        <v>212</v>
      </c>
      <c r="AV137" s="64" t="s" ph="1">
        <v>210</v>
      </c>
      <c r="AW137" s="64" t="s" ph="1">
        <v>211</v>
      </c>
      <c r="AX137" s="64" t="s" ph="1">
        <v>212</v>
      </c>
      <c r="AY137" s="64" t="s" ph="1">
        <v>211</v>
      </c>
      <c r="AZ137" s="64" t="s" ph="1">
        <v>213</v>
      </c>
    </row>
    <row r="138" spans="33:52" ph="1">
      <c r="AH138" s="64" ph="1">
        <v>1</v>
      </c>
      <c r="AI138" s="64" t="s" ph="1">
        <v>530</v>
      </c>
      <c r="AJ138" s="64" t="s" ph="1">
        <v>531</v>
      </c>
      <c r="AK138" s="64" t="s" ph="1">
        <v>532</v>
      </c>
      <c r="AY138" s="64" t="s" ph="1">
        <v>216</v>
      </c>
      <c r="AZ138" s="64" t="s" ph="1">
        <v>532</v>
      </c>
    </row>
    <row r="139" spans="33:52" ph="1">
      <c r="AH139" s="64" ph="1">
        <v>2</v>
      </c>
      <c r="AI139" s="64" t="s" ph="1">
        <v>533</v>
      </c>
      <c r="AJ139" s="64" t="s" ph="1">
        <v>589</v>
      </c>
      <c r="AK139" s="64" t="s" ph="1">
        <v>601</v>
      </c>
      <c r="AY139" s="64" t="s" ph="1">
        <v>216</v>
      </c>
      <c r="AZ139" s="64" t="s" ph="1">
        <v>601</v>
      </c>
    </row>
    <row r="140" spans="33:52" ph="1">
      <c r="AH140" s="64" ph="1">
        <v>3</v>
      </c>
      <c r="AI140" s="64" t="s" ph="1">
        <v>534</v>
      </c>
      <c r="AJ140" s="64" t="s" ph="1">
        <v>487</v>
      </c>
      <c r="AK140" s="64" t="s" ph="1">
        <v>299</v>
      </c>
      <c r="AM140" s="64" t="s" ph="1">
        <v>488</v>
      </c>
      <c r="AN140" s="64" t="s" ph="1">
        <v>219</v>
      </c>
      <c r="AO140" s="64" t="s" ph="1">
        <v>535</v>
      </c>
      <c r="AP140" s="64" t="s" ph="1">
        <v>489</v>
      </c>
      <c r="AQ140" s="64" t="s" ph="1">
        <v>236</v>
      </c>
      <c r="AR140" s="64" t="s" ph="1">
        <v>535</v>
      </c>
      <c r="AS140" s="64" t="s" ph="1">
        <v>490</v>
      </c>
      <c r="AT140" s="64" t="s" ph="1">
        <v>229</v>
      </c>
      <c r="AU140" s="64" t="s" ph="1">
        <v>535</v>
      </c>
      <c r="AV140" s="64" t="s" ph="1">
        <v>491</v>
      </c>
      <c r="AW140" s="64" t="s" ph="1">
        <v>222</v>
      </c>
      <c r="AX140" s="64" t="s" ph="1">
        <v>535</v>
      </c>
      <c r="AY140" s="64" t="s" ph="1">
        <v>216</v>
      </c>
      <c r="AZ140" s="64" t="s" ph="1">
        <v>291</v>
      </c>
    </row>
    <row r="141" spans="33:52" ph="1">
      <c r="AJ141" s="64" t="s" ph="1">
        <v>493</v>
      </c>
      <c r="AK141" s="64" t="s" ph="1">
        <v>222</v>
      </c>
      <c r="AM141" s="64" t="s" ph="1">
        <v>494</v>
      </c>
      <c r="AN141" s="64" t="s" ph="1">
        <v>225</v>
      </c>
      <c r="AO141" s="64" t="s" ph="1">
        <v>535</v>
      </c>
      <c r="AP141" s="64" t="s" ph="1">
        <v>506</v>
      </c>
      <c r="AQ141" s="64" t="s" ph="1">
        <v>294</v>
      </c>
      <c r="AR141" s="64" t="s" ph="1">
        <v>535</v>
      </c>
      <c r="AS141" s="64" t="s" ph="1">
        <v>498</v>
      </c>
      <c r="AT141" s="64" t="s" ph="1">
        <v>222</v>
      </c>
      <c r="AU141" s="64" t="s" ph="1">
        <v>535</v>
      </c>
      <c r="AV141" s="64" t="s" ph="1">
        <v>334</v>
      </c>
      <c r="AW141" s="64" t="s" ph="1">
        <v>228</v>
      </c>
      <c r="AX141" s="64" t="s" ph="1">
        <v>535</v>
      </c>
    </row>
    <row r="142" spans="33:52" ph="1">
      <c r="AJ142" s="64" t="s" ph="1">
        <v>536</v>
      </c>
      <c r="AK142" s="64" t="s" ph="1">
        <v>239</v>
      </c>
    </row>
    <row r="143" spans="33:52" ph="1">
      <c r="AH143" s="64" ph="1">
        <v>4</v>
      </c>
      <c r="AI143" s="64" t="s" ph="1">
        <v>537</v>
      </c>
      <c r="AJ143" s="64" t="s" ph="1">
        <v>517</v>
      </c>
      <c r="AK143" s="64" t="s" ph="1">
        <v>538</v>
      </c>
      <c r="AY143" s="64" t="s" ph="1">
        <v>216</v>
      </c>
      <c r="AZ143" s="64" t="s" ph="1">
        <v>538</v>
      </c>
    </row>
    <row r="144" spans="33:52" ph="1">
      <c r="AH144" s="64" ph="1">
        <v>5</v>
      </c>
      <c r="AI144" s="64" t="s" ph="1">
        <v>539</v>
      </c>
      <c r="AY144" s="64" t="s" ph="1">
        <v>216</v>
      </c>
      <c r="AZ144" s="64" t="s" ph="1">
        <v>367</v>
      </c>
    </row>
    <row r="145" spans="33:52" ph="1">
      <c r="AH145" s="64" ph="1">
        <v>6</v>
      </c>
      <c r="AI145" s="64" t="s" ph="1">
        <v>540</v>
      </c>
      <c r="AY145" s="64" t="s" ph="1">
        <v>216</v>
      </c>
      <c r="AZ145" s="64" t="s" ph="1">
        <v>367</v>
      </c>
    </row>
    <row r="146" spans="33:52" ph="1">
      <c r="AH146" s="64" ph="1">
        <v>7</v>
      </c>
      <c r="AI146" s="64" t="s" ph="1">
        <v>541</v>
      </c>
      <c r="AY146" s="64" t="s" ph="1">
        <v>216</v>
      </c>
      <c r="AZ146" s="64" t="s" ph="1">
        <v>367</v>
      </c>
    </row>
    <row r="147" spans="33:52" ph="1">
      <c r="AH147" s="64" ph="1">
        <v>8</v>
      </c>
      <c r="AI147" s="64" t="s" ph="1">
        <v>542</v>
      </c>
      <c r="AY147" s="64" t="s" ph="1">
        <v>216</v>
      </c>
      <c r="AZ147" s="64" t="s" ph="1">
        <v>367</v>
      </c>
    </row>
    <row r="148" spans="33:52" ph="1">
      <c r="AH148" s="64" ph="1">
        <v>9</v>
      </c>
      <c r="AI148" s="64" t="s" ph="1">
        <v>543</v>
      </c>
      <c r="AY148" s="64" t="s" ph="1">
        <v>216</v>
      </c>
      <c r="AZ148" s="64" t="s" ph="1">
        <v>367</v>
      </c>
    </row>
    <row r="149" spans="33:52" ph="1">
      <c r="AH149" s="64" ph="1">
        <v>10</v>
      </c>
      <c r="AI149" s="64" t="s" ph="1">
        <v>544</v>
      </c>
      <c r="AY149" s="64" t="s" ph="1">
        <v>216</v>
      </c>
      <c r="AZ149" s="64" t="s" ph="1">
        <v>367</v>
      </c>
    </row>
    <row r="150" spans="33:52" ph="1">
      <c r="AH150" s="64" ph="1">
        <v>11</v>
      </c>
      <c r="AI150" s="64" t="s" ph="1">
        <v>545</v>
      </c>
      <c r="AY150" s="64" t="s" ph="1">
        <v>216</v>
      </c>
      <c r="AZ150" s="64" t="s" ph="1">
        <v>367</v>
      </c>
    </row>
    <row r="151" spans="33:52" ph="1">
      <c r="AH151" s="64" ph="1">
        <v>12</v>
      </c>
      <c r="AI151" s="64" t="s" ph="1">
        <v>546</v>
      </c>
      <c r="AY151" s="64" t="s" ph="1">
        <v>216</v>
      </c>
      <c r="AZ151" s="64" t="s" ph="1">
        <v>367</v>
      </c>
    </row>
    <row r="152" spans="33:52" ph="1">
      <c r="AH152" s="64" ph="1">
        <v>13</v>
      </c>
      <c r="AI152" s="64" t="s" ph="1">
        <v>547</v>
      </c>
      <c r="AY152" s="64" t="s" ph="1">
        <v>216</v>
      </c>
      <c r="AZ152" s="64" t="s" ph="1">
        <v>367</v>
      </c>
    </row>
    <row r="153" spans="33:52" ph="1">
      <c r="AH153" s="64" ph="1">
        <v>14</v>
      </c>
      <c r="AI153" s="64" t="s" ph="1">
        <v>548</v>
      </c>
      <c r="AY153" s="64" t="s" ph="1">
        <v>216</v>
      </c>
      <c r="AZ153" s="64" t="s" ph="1">
        <v>367</v>
      </c>
    </row>
    <row r="154" spans="33:52" ph="1">
      <c r="AH154" s="64" ph="1">
        <v>15</v>
      </c>
      <c r="AI154" s="64" t="s" ph="1">
        <v>549</v>
      </c>
      <c r="AY154" s="64" t="s" ph="1">
        <v>216</v>
      </c>
      <c r="AZ154" s="64" t="s" ph="1">
        <v>367</v>
      </c>
    </row>
    <row r="155" spans="33:52" ph="1">
      <c r="AH155" s="64" ph="1">
        <v>16</v>
      </c>
      <c r="AI155" s="64" t="s" ph="1">
        <v>550</v>
      </c>
      <c r="AJ155" s="64" t="s" ph="1">
        <v>336</v>
      </c>
      <c r="AK155" s="64" t="s" ph="1">
        <v>231</v>
      </c>
      <c r="AM155" s="64" t="s" ph="1">
        <v>570</v>
      </c>
      <c r="AN155" s="64" t="s" ph="1">
        <v>282</v>
      </c>
      <c r="AO155" s="64" t="s" ph="1">
        <v>535</v>
      </c>
      <c r="AY155" s="64" t="s" ph="1">
        <v>216</v>
      </c>
      <c r="AZ155" s="64" t="s" ph="1">
        <v>223</v>
      </c>
    </row>
    <row r="156" spans="33:52" ph="1">
      <c r="AZ156" s="64" t="s" ph="1">
        <v>602</v>
      </c>
    </row>
    <row r="157" spans="33:52" ph="1">
      <c r="AG157" s="64" t="s" ph="1">
        <v>551</v>
      </c>
      <c r="AI157" s="64" t="s" ph="1">
        <v>209</v>
      </c>
      <c r="AJ157" s="64" t="s" ph="1">
        <v>210</v>
      </c>
      <c r="AK157" s="64" t="s" ph="1">
        <v>211</v>
      </c>
      <c r="AM157" s="64" t="s" ph="1">
        <v>210</v>
      </c>
      <c r="AN157" s="64" t="s" ph="1">
        <v>211</v>
      </c>
      <c r="AO157" s="64" t="s" ph="1">
        <v>212</v>
      </c>
      <c r="AP157" s="64" t="s" ph="1">
        <v>210</v>
      </c>
      <c r="AQ157" s="64" t="s" ph="1">
        <v>211</v>
      </c>
      <c r="AR157" s="64" t="s" ph="1">
        <v>212</v>
      </c>
      <c r="AS157" s="64" t="s" ph="1">
        <v>210</v>
      </c>
      <c r="AT157" s="64" t="s" ph="1">
        <v>211</v>
      </c>
      <c r="AU157" s="64" t="s" ph="1">
        <v>212</v>
      </c>
      <c r="AV157" s="64" t="s" ph="1">
        <v>210</v>
      </c>
      <c r="AW157" s="64" t="s" ph="1">
        <v>211</v>
      </c>
      <c r="AX157" s="64" t="s" ph="1">
        <v>212</v>
      </c>
      <c r="AY157" s="64" t="s" ph="1">
        <v>211</v>
      </c>
      <c r="AZ157" s="64" t="s" ph="1">
        <v>213</v>
      </c>
    </row>
    <row r="158" spans="33:52" ph="1">
      <c r="AH158" s="64" ph="1">
        <v>1</v>
      </c>
      <c r="AI158" s="64" t="s" ph="1">
        <v>552</v>
      </c>
      <c r="AY158" s="64" t="s" ph="1">
        <v>216</v>
      </c>
      <c r="AZ158" s="64" t="s" ph="1">
        <v>367</v>
      </c>
    </row>
    <row r="159" spans="33:52" ph="1">
      <c r="AH159" s="64" ph="1">
        <v>2</v>
      </c>
      <c r="AI159" s="64" t="s" ph="1">
        <v>553</v>
      </c>
      <c r="AY159" s="64" t="s" ph="1">
        <v>216</v>
      </c>
      <c r="AZ159" s="64" t="s" ph="1">
        <v>367</v>
      </c>
    </row>
    <row r="160" spans="33:52" ph="1">
      <c r="AZ160" s="64" t="s" ph="1">
        <v>385</v>
      </c>
    </row>
    <row r="161" spans="33:52" ph="1">
      <c r="AG161" s="64" t="s" ph="1">
        <v>361</v>
      </c>
      <c r="AI161" s="64" t="s" ph="1">
        <v>209</v>
      </c>
      <c r="AJ161" s="64" t="s" ph="1">
        <v>210</v>
      </c>
      <c r="AK161" s="64" t="s" ph="1">
        <v>211</v>
      </c>
      <c r="AM161" s="64" t="s" ph="1">
        <v>210</v>
      </c>
      <c r="AN161" s="64" t="s" ph="1">
        <v>211</v>
      </c>
      <c r="AO161" s="64" t="s" ph="1">
        <v>212</v>
      </c>
      <c r="AP161" s="64" t="s" ph="1">
        <v>210</v>
      </c>
      <c r="AQ161" s="64" t="s" ph="1">
        <v>211</v>
      </c>
      <c r="AR161" s="64" t="s" ph="1">
        <v>212</v>
      </c>
      <c r="AS161" s="64" t="s" ph="1">
        <v>210</v>
      </c>
      <c r="AT161" s="64" t="s" ph="1">
        <v>211</v>
      </c>
      <c r="AU161" s="64" t="s" ph="1">
        <v>212</v>
      </c>
      <c r="AV161" s="64" t="s" ph="1">
        <v>210</v>
      </c>
      <c r="AW161" s="64" t="s" ph="1">
        <v>211</v>
      </c>
      <c r="AX161" s="64" t="s" ph="1">
        <v>212</v>
      </c>
      <c r="AY161" s="64" t="s" ph="1">
        <v>211</v>
      </c>
      <c r="AZ161" s="64" t="s" ph="1">
        <v>213</v>
      </c>
    </row>
    <row r="162" spans="33:52" ph="1">
      <c r="AH162" s="64" ph="1">
        <v>1</v>
      </c>
      <c r="AI162" s="64" t="s" ph="1">
        <v>554</v>
      </c>
      <c r="AJ162" s="64" t="s" ph="1">
        <v>555</v>
      </c>
      <c r="AK162" s="64" t="s" ph="1">
        <v>499</v>
      </c>
      <c r="AM162" s="64" t="s" ph="1">
        <v>556</v>
      </c>
      <c r="AN162" s="64" t="s" ph="1">
        <v>220</v>
      </c>
      <c r="AO162" s="64" t="s" ph="1">
        <v>557</v>
      </c>
      <c r="AY162" s="64" t="s" ph="1">
        <v>216</v>
      </c>
      <c r="AZ162" s="64" t="s" ph="1">
        <v>292</v>
      </c>
    </row>
    <row r="163" spans="33:52" ph="1">
      <c r="AH163" s="64" ph="1">
        <v>2</v>
      </c>
      <c r="AI163" s="64" t="s" ph="1">
        <v>558</v>
      </c>
      <c r="AJ163" s="64" t="s" ph="1">
        <v>555</v>
      </c>
      <c r="AK163" s="64" t="s" ph="1">
        <v>388</v>
      </c>
      <c r="AY163" s="64" t="s" ph="1">
        <v>216</v>
      </c>
      <c r="AZ163" s="64" t="s" ph="1">
        <v>388</v>
      </c>
    </row>
    <row r="164" spans="33:52" ph="1">
      <c r="AH164" s="64" ph="1">
        <v>3</v>
      </c>
      <c r="AI164" s="64" t="s" ph="1">
        <v>559</v>
      </c>
      <c r="AJ164" s="64" t="s" ph="1">
        <v>555</v>
      </c>
      <c r="AK164" s="64" t="s" ph="1">
        <v>292</v>
      </c>
      <c r="AY164" s="64" t="s" ph="1">
        <v>216</v>
      </c>
      <c r="AZ164" s="64" t="s" ph="1">
        <v>292</v>
      </c>
    </row>
    <row r="165" spans="33:52" ph="1">
      <c r="AH165" s="64" ph="1">
        <v>4</v>
      </c>
      <c r="AI165" s="64" t="s" ph="1">
        <v>560</v>
      </c>
      <c r="AY165" s="64" t="s" ph="1">
        <v>216</v>
      </c>
      <c r="AZ165" s="64" t="s" ph="1">
        <v>367</v>
      </c>
    </row>
    <row r="166" spans="33:52" ph="1">
      <c r="AH166" s="64" ph="1">
        <v>5</v>
      </c>
      <c r="AI166" s="64" t="s" ph="1">
        <v>561</v>
      </c>
      <c r="AY166" s="64" t="s" ph="1">
        <v>216</v>
      </c>
      <c r="AZ166" s="64" t="s" ph="1">
        <v>367</v>
      </c>
    </row>
    <row r="167" spans="33:52" ph="1">
      <c r="AZ167" s="64" t="s" ph="1">
        <v>562</v>
      </c>
    </row>
    <row r="168" spans="33:52" ph="1">
      <c r="AG168" s="64" t="s" ph="1">
        <v>305</v>
      </c>
      <c r="AI168" s="64" t="s" ph="1">
        <v>209</v>
      </c>
      <c r="AJ168" s="64" t="s" ph="1">
        <v>210</v>
      </c>
      <c r="AK168" s="64" t="s" ph="1">
        <v>211</v>
      </c>
      <c r="AM168" s="64" t="s" ph="1">
        <v>210</v>
      </c>
      <c r="AN168" s="64" t="s" ph="1">
        <v>211</v>
      </c>
      <c r="AO168" s="64" t="s" ph="1">
        <v>212</v>
      </c>
      <c r="AP168" s="64" t="s" ph="1">
        <v>210</v>
      </c>
      <c r="AQ168" s="64" t="s" ph="1">
        <v>211</v>
      </c>
      <c r="AR168" s="64" t="s" ph="1">
        <v>212</v>
      </c>
      <c r="AS168" s="64" t="s" ph="1">
        <v>210</v>
      </c>
      <c r="AT168" s="64" t="s" ph="1">
        <v>211</v>
      </c>
      <c r="AU168" s="64" t="s" ph="1">
        <v>212</v>
      </c>
      <c r="AV168" s="64" t="s" ph="1">
        <v>210</v>
      </c>
      <c r="AW168" s="64" t="s" ph="1">
        <v>211</v>
      </c>
      <c r="AX168" s="64" t="s" ph="1">
        <v>212</v>
      </c>
      <c r="AY168" s="64" t="s" ph="1">
        <v>211</v>
      </c>
      <c r="AZ168" s="64" t="s" ph="1">
        <v>213</v>
      </c>
    </row>
    <row r="169" spans="33:52" ph="1">
      <c r="AH169" s="64" ph="1">
        <v>1</v>
      </c>
      <c r="AI169" s="64" t="s" ph="1">
        <v>563</v>
      </c>
      <c r="AY169" s="64" t="s" ph="1">
        <v>216</v>
      </c>
      <c r="AZ169" s="64" t="s" ph="1">
        <v>367</v>
      </c>
    </row>
    <row r="170" spans="33:52" ph="1">
      <c r="AH170" s="64" ph="1">
        <v>2</v>
      </c>
      <c r="AI170" s="64" t="s" ph="1">
        <v>564</v>
      </c>
      <c r="AY170" s="64" t="s" ph="1">
        <v>216</v>
      </c>
      <c r="AZ170" s="64" t="s" ph="1">
        <v>367</v>
      </c>
    </row>
    <row r="171" spans="33:52" ph="1">
      <c r="AH171" s="64" ph="1">
        <v>3</v>
      </c>
      <c r="AI171" s="64" t="s" ph="1">
        <v>565</v>
      </c>
      <c r="AY171" s="64" t="s" ph="1">
        <v>216</v>
      </c>
      <c r="AZ171" s="64" t="s" ph="1">
        <v>367</v>
      </c>
    </row>
    <row r="172" spans="33:52" ph="1">
      <c r="AH172" s="64" ph="1">
        <v>4</v>
      </c>
      <c r="AI172" s="64" t="s" ph="1">
        <v>566</v>
      </c>
      <c r="AY172" s="64" t="s" ph="1">
        <v>216</v>
      </c>
      <c r="AZ172" s="64" t="s" ph="1">
        <v>367</v>
      </c>
    </row>
    <row r="173" spans="33:52" ph="1">
      <c r="AH173" s="64" ph="1">
        <v>5</v>
      </c>
      <c r="AI173" s="64" t="s" ph="1">
        <v>567</v>
      </c>
      <c r="AY173" s="64" t="s" ph="1">
        <v>216</v>
      </c>
      <c r="AZ173" s="64" t="s" ph="1">
        <v>367</v>
      </c>
    </row>
    <row r="174" spans="33:52" ph="1">
      <c r="AZ174" s="64" t="s" ph="1">
        <v>385</v>
      </c>
    </row>
    <row r="175" spans="33:52" ph="1">
      <c r="AJ175" s="64" t="s" ph="1">
        <v>306</v>
      </c>
    </row>
    <row r="176" spans="33:52" ph="1">
      <c r="AJ176" s="64" t="s" ph="1">
        <v>307</v>
      </c>
      <c r="AK176" s="64" t="s" ph="1">
        <v>308</v>
      </c>
      <c r="AM176" s="64" t="s" ph="1">
        <v>309</v>
      </c>
      <c r="AO176" s="64" t="s" ph="1">
        <v>310</v>
      </c>
      <c r="AP176" s="64" t="s" ph="1">
        <v>311</v>
      </c>
      <c r="AQ176" s="64" t="s" ph="1">
        <v>301</v>
      </c>
      <c r="AR176" s="64" t="s" ph="1">
        <v>221</v>
      </c>
    </row>
    <row r="177" spans="36:56" ph="1">
      <c r="AJ177" s="64" t="s" ph="1">
        <v>603</v>
      </c>
      <c r="AK177" s="64" t="s" ph="1">
        <v>312</v>
      </c>
      <c r="AO177" s="64" t="s" ph="1">
        <v>312</v>
      </c>
      <c r="AP177" s="64" t="s" ph="1">
        <v>312</v>
      </c>
      <c r="AQ177" s="64" t="s" ph="1">
        <v>313</v>
      </c>
      <c r="AR177" s="64" t="s" ph="1">
        <v>314</v>
      </c>
    </row>
    <row r="179" spans="36:56" ph="1">
      <c r="AJ179" s="64" t="s" ph="1">
        <v>315</v>
      </c>
      <c r="AK179" s="64" t="s" ph="1">
        <v>316</v>
      </c>
      <c r="AM179" s="64" t="s" ph="1">
        <v>317</v>
      </c>
      <c r="AN179" s="64" t="s" ph="1">
        <v>293</v>
      </c>
      <c r="AO179" s="64" t="s" ph="1">
        <v>318</v>
      </c>
      <c r="AP179" s="64" t="s" ph="1">
        <v>297</v>
      </c>
      <c r="AQ179" s="64" t="s" ph="1">
        <v>319</v>
      </c>
      <c r="AR179" s="64" t="s" ph="1">
        <v>320</v>
      </c>
    </row>
    <row r="180" spans="36:56" ph="1">
      <c r="AJ180" s="64" t="s" ph="1">
        <v>312</v>
      </c>
      <c r="AK180" s="64" t="s" ph="1">
        <v>312</v>
      </c>
      <c r="AL180" s="64" ph="1">
        <v>116</v>
      </c>
      <c r="AM180" s="64" t="s" ph="1">
        <v>312</v>
      </c>
      <c r="AN180" s="64" t="s" ph="1">
        <v>321</v>
      </c>
      <c r="AO180" s="64" t="s" ph="1">
        <v>312</v>
      </c>
      <c r="AP180" s="64" t="s" ph="1">
        <v>322</v>
      </c>
      <c r="AQ180" s="64" t="s" ph="1">
        <v>323</v>
      </c>
      <c r="AR180" s="64" t="s" ph="1">
        <v>324</v>
      </c>
    </row>
    <row r="189" spans="36:56" ph="1">
      <c r="BD189" s="64" t="s" ph="1">
        <v>568</v>
      </c>
    </row>
    <row r="223" spans="18:18" ph="1">
      <c r="R223" s="135" ph="1">
        <v>45496</v>
      </c>
    </row>
  </sheetData>
  <mergeCells count="58">
    <mergeCell ref="I36:J36"/>
    <mergeCell ref="R36:S36"/>
    <mergeCell ref="AB36:AC36"/>
    <mergeCell ref="AD36:AE36"/>
    <mergeCell ref="Z33:Z34"/>
    <mergeCell ref="AA33:AA34"/>
    <mergeCell ref="AB33:AB34"/>
    <mergeCell ref="AC33:AC34"/>
    <mergeCell ref="AD33:AE34"/>
    <mergeCell ref="AC35:AE35"/>
    <mergeCell ref="T33:T34"/>
    <mergeCell ref="U33:U34"/>
    <mergeCell ref="V33:V34"/>
    <mergeCell ref="W33:W34"/>
    <mergeCell ref="X33:X34"/>
    <mergeCell ref="Y33:Y34"/>
    <mergeCell ref="S33:S34"/>
    <mergeCell ref="H33:H34"/>
    <mergeCell ref="I33:I34"/>
    <mergeCell ref="J33:J34"/>
    <mergeCell ref="K33:K34"/>
    <mergeCell ref="L33:L34"/>
    <mergeCell ref="M33:M34"/>
    <mergeCell ref="N33:N34"/>
    <mergeCell ref="O33:O34"/>
    <mergeCell ref="P33:P34"/>
    <mergeCell ref="Q33:Q34"/>
    <mergeCell ref="R33:R34"/>
    <mergeCell ref="S31:U31"/>
    <mergeCell ref="V31:X31"/>
    <mergeCell ref="Y31:AA31"/>
    <mergeCell ref="AB31:AE31"/>
    <mergeCell ref="AD32:AE32"/>
    <mergeCell ref="B33:C34"/>
    <mergeCell ref="D33:D34"/>
    <mergeCell ref="E33:E34"/>
    <mergeCell ref="F33:F34"/>
    <mergeCell ref="G33:G34"/>
    <mergeCell ref="P31:R31"/>
    <mergeCell ref="B13:B14"/>
    <mergeCell ref="B15:B17"/>
    <mergeCell ref="B18:B20"/>
    <mergeCell ref="B22:B23"/>
    <mergeCell ref="B31:C32"/>
    <mergeCell ref="D31:F31"/>
    <mergeCell ref="G31:I31"/>
    <mergeCell ref="J31:L31"/>
    <mergeCell ref="M31:O31"/>
    <mergeCell ref="Z22:AE22"/>
    <mergeCell ref="Z23:AE29"/>
    <mergeCell ref="B24:B26"/>
    <mergeCell ref="B27:B29"/>
    <mergeCell ref="B1:AE1"/>
    <mergeCell ref="B2:AE2"/>
    <mergeCell ref="B3:AE3"/>
    <mergeCell ref="B4:B5"/>
    <mergeCell ref="B6:B8"/>
    <mergeCell ref="B9:B11"/>
  </mergeCells>
  <phoneticPr fontId="2" type="noConversion"/>
  <conditionalFormatting sqref="D4:D11">
    <cfRule type="expression" dxfId="2393" priority="104">
      <formula>ABS(D$7-D$10)&gt;=1000</formula>
    </cfRule>
  </conditionalFormatting>
  <conditionalFormatting sqref="E4 E6:E11">
    <cfRule type="expression" dxfId="2392" priority="103">
      <formula>ABS(E$7-E$10)&gt;=1000</formula>
    </cfRule>
  </conditionalFormatting>
  <conditionalFormatting sqref="F4:F11">
    <cfRule type="expression" dxfId="2391" priority="102">
      <formula>ABS(F$7-F$10)&gt;=1000</formula>
    </cfRule>
  </conditionalFormatting>
  <conditionalFormatting sqref="G4:G11">
    <cfRule type="expression" dxfId="2390" priority="101">
      <formula>ABS(G$7-G$10)&gt;=1000</formula>
    </cfRule>
  </conditionalFormatting>
  <conditionalFormatting sqref="H4:H11">
    <cfRule type="expression" dxfId="2389" priority="100">
      <formula>ABS(H$7-H$10)&gt;=1000</formula>
    </cfRule>
  </conditionalFormatting>
  <conditionalFormatting sqref="I4:I11">
    <cfRule type="expression" dxfId="2388" priority="99">
      <formula>ABS(I$7-I$10)&gt;=1000</formula>
    </cfRule>
  </conditionalFormatting>
  <conditionalFormatting sqref="J4:J11">
    <cfRule type="expression" dxfId="2387" priority="98">
      <formula>ABS(J$7-J$10)&gt;=1000</formula>
    </cfRule>
  </conditionalFormatting>
  <conditionalFormatting sqref="K4:K11">
    <cfRule type="expression" dxfId="2386" priority="97">
      <formula>ABS(K$7-K$10)&gt;=1000</formula>
    </cfRule>
  </conditionalFormatting>
  <conditionalFormatting sqref="L4:L11">
    <cfRule type="expression" dxfId="2385" priority="96">
      <formula>ABS(L$7-L$10)&gt;=1000</formula>
    </cfRule>
  </conditionalFormatting>
  <conditionalFormatting sqref="M4 M6:M11">
    <cfRule type="expression" dxfId="2384" priority="95">
      <formula>ABS(M$7-M$10)&gt;=1000</formula>
    </cfRule>
  </conditionalFormatting>
  <conditionalFormatting sqref="N4 N6:N11">
    <cfRule type="expression" dxfId="2383" priority="94">
      <formula>ABS(N$7-N$10)&gt;=1000</formula>
    </cfRule>
  </conditionalFormatting>
  <conditionalFormatting sqref="O4 O6:O11">
    <cfRule type="expression" dxfId="2382" priority="93">
      <formula>ABS(O$7-O$10)&gt;=1000</formula>
    </cfRule>
  </conditionalFormatting>
  <conditionalFormatting sqref="P4 P6:P11">
    <cfRule type="expression" dxfId="2381" priority="92">
      <formula>ABS(P$7-P$10)&gt;=1000</formula>
    </cfRule>
  </conditionalFormatting>
  <conditionalFormatting sqref="Q4:Q11">
    <cfRule type="expression" dxfId="2380" priority="91">
      <formula>ABS(Q$7-Q$10)&gt;=1000</formula>
    </cfRule>
  </conditionalFormatting>
  <conditionalFormatting sqref="R4:R11">
    <cfRule type="expression" dxfId="2379" priority="90">
      <formula>ABS(R$7-R$10)&gt;=1000</formula>
    </cfRule>
  </conditionalFormatting>
  <conditionalFormatting sqref="S4:S11">
    <cfRule type="expression" dxfId="2378" priority="89">
      <formula>ABS(S$7-S$10)&gt;=1000</formula>
    </cfRule>
  </conditionalFormatting>
  <conditionalFormatting sqref="T4:T9 T11">
    <cfRule type="expression" dxfId="2377" priority="88">
      <formula>ABS(T$7-T$10)&gt;=1000</formula>
    </cfRule>
  </conditionalFormatting>
  <conditionalFormatting sqref="U4:U9 U11">
    <cfRule type="expression" dxfId="2376" priority="87">
      <formula>ABS(U$7-U$10)&gt;=1000</formula>
    </cfRule>
  </conditionalFormatting>
  <conditionalFormatting sqref="V4:V9 V11">
    <cfRule type="expression" dxfId="2375" priority="86">
      <formula>ABS(V$7-V$10)&gt;=1000</formula>
    </cfRule>
  </conditionalFormatting>
  <conditionalFormatting sqref="W4:W9 W11">
    <cfRule type="expression" dxfId="2374" priority="85">
      <formula>ABS(W$7-W$10)&gt;=1000</formula>
    </cfRule>
  </conditionalFormatting>
  <conditionalFormatting sqref="X4:X9 X11">
    <cfRule type="expression" dxfId="2373" priority="84">
      <formula>ABS(X$7-X$10)&gt;=1000</formula>
    </cfRule>
  </conditionalFormatting>
  <conditionalFormatting sqref="Y4:Y9 Y11">
    <cfRule type="expression" dxfId="2372" priority="83">
      <formula>ABS(Y$7-Y$10)&gt;=1000</formula>
    </cfRule>
  </conditionalFormatting>
  <conditionalFormatting sqref="Z4:Z11">
    <cfRule type="expression" dxfId="2371" priority="82">
      <formula>ABS(Z$7-Z$10)&gt;=1000</formula>
    </cfRule>
  </conditionalFormatting>
  <conditionalFormatting sqref="AA4:AA11">
    <cfRule type="expression" dxfId="2370" priority="81">
      <formula>ABS(AA$7-AA$10)&gt;=1000</formula>
    </cfRule>
  </conditionalFormatting>
  <conditionalFormatting sqref="AB4:AB11">
    <cfRule type="expression" dxfId="2369" priority="80">
      <formula>ABS(AB$7-AB$10)&gt;=1000</formula>
    </cfRule>
  </conditionalFormatting>
  <conditionalFormatting sqref="AC4 AC6:AC11">
    <cfRule type="expression" dxfId="2368" priority="79">
      <formula>ABS(AC$7-AC$10)&gt;=1000</formula>
    </cfRule>
  </conditionalFormatting>
  <conditionalFormatting sqref="AD4 AD6:AD11">
    <cfRule type="expression" dxfId="2367" priority="78">
      <formula>ABS(AD$7-AD$10)&gt;=1000</formula>
    </cfRule>
  </conditionalFormatting>
  <conditionalFormatting sqref="AE4 AE6:AE11">
    <cfRule type="expression" dxfId="2366" priority="77">
      <formula>ABS(AE$7-AE$10)&gt;=1000</formula>
    </cfRule>
  </conditionalFormatting>
  <conditionalFormatting sqref="D13:D20">
    <cfRule type="expression" dxfId="2365" priority="76">
      <formula>ABS(D$16-D$19)&gt;=1000</formula>
    </cfRule>
  </conditionalFormatting>
  <conditionalFormatting sqref="E13:E20">
    <cfRule type="expression" dxfId="2364" priority="75">
      <formula>ABS(E$16-E$19)&gt;=1000</formula>
    </cfRule>
  </conditionalFormatting>
  <conditionalFormatting sqref="F13 F15:F20">
    <cfRule type="expression" dxfId="2363" priority="74">
      <formula>ABS(F$16-F$19)&gt;=1000</formula>
    </cfRule>
  </conditionalFormatting>
  <conditionalFormatting sqref="G13:G20">
    <cfRule type="expression" dxfId="2362" priority="73">
      <formula>ABS(G$16-G$19)&gt;=1000</formula>
    </cfRule>
  </conditionalFormatting>
  <conditionalFormatting sqref="H13 H15:H20">
    <cfRule type="expression" dxfId="2361" priority="72">
      <formula>ABS(H$16-H$19)&gt;=1000</formula>
    </cfRule>
  </conditionalFormatting>
  <conditionalFormatting sqref="I13:I20">
    <cfRule type="expression" dxfId="2360" priority="71">
      <formula>ABS(I$16-I$19)&gt;=1000</formula>
    </cfRule>
  </conditionalFormatting>
  <conditionalFormatting sqref="J13:J20">
    <cfRule type="expression" dxfId="2359" priority="70">
      <formula>ABS(J$16-J$19)&gt;=1000</formula>
    </cfRule>
  </conditionalFormatting>
  <conditionalFormatting sqref="L13:L20">
    <cfRule type="expression" dxfId="2358" priority="69">
      <formula>ABS(L$16-L$19)&gt;=1000</formula>
    </cfRule>
  </conditionalFormatting>
  <conditionalFormatting sqref="M13 M15 M17:M18 M20">
    <cfRule type="expression" dxfId="2357" priority="68">
      <formula>ABS(M$16-M$19)&gt;=1000</formula>
    </cfRule>
  </conditionalFormatting>
  <conditionalFormatting sqref="N13:N20">
    <cfRule type="expression" dxfId="2356" priority="67">
      <formula>ABS(N$16-N$19)&gt;=1000</formula>
    </cfRule>
  </conditionalFormatting>
  <conditionalFormatting sqref="O13:O20">
    <cfRule type="expression" dxfId="2355" priority="66">
      <formula>ABS(O$16-O$19)&gt;=1000</formula>
    </cfRule>
  </conditionalFormatting>
  <conditionalFormatting sqref="P13:P20">
    <cfRule type="expression" dxfId="2354" priority="65">
      <formula>ABS(P$16-P$19)&gt;=1000</formula>
    </cfRule>
  </conditionalFormatting>
  <conditionalFormatting sqref="Q13 Q15:Q20">
    <cfRule type="expression" dxfId="2353" priority="64">
      <formula>ABS(Q$16-Q$19)&gt;=1000</formula>
    </cfRule>
  </conditionalFormatting>
  <conditionalFormatting sqref="R13 R15:R20">
    <cfRule type="expression" dxfId="2352" priority="63">
      <formula>ABS(R$16-R$19)&gt;=1000</formula>
    </cfRule>
  </conditionalFormatting>
  <conditionalFormatting sqref="S13:S20">
    <cfRule type="expression" dxfId="2351" priority="62">
      <formula>ABS(S$16-S$19)&gt;=1000</formula>
    </cfRule>
  </conditionalFormatting>
  <conditionalFormatting sqref="T13:T15 T17:T20">
    <cfRule type="expression" dxfId="2350" priority="61">
      <formula>ABS(T$16-T$19)&gt;=1000</formula>
    </cfRule>
  </conditionalFormatting>
  <conditionalFormatting sqref="U13:U20">
    <cfRule type="expression" dxfId="2349" priority="60">
      <formula>ABS(U$16-U$19)&gt;=1000</formula>
    </cfRule>
  </conditionalFormatting>
  <conditionalFormatting sqref="V13:V20">
    <cfRule type="expression" dxfId="2348" priority="59">
      <formula>ABS(V$16-V$19)&gt;=1000</formula>
    </cfRule>
  </conditionalFormatting>
  <conditionalFormatting sqref="W13 W20 W15:W18">
    <cfRule type="expression" dxfId="2347" priority="58">
      <formula>ABS(W$16-W$19)&gt;=1000</formula>
    </cfRule>
  </conditionalFormatting>
  <conditionalFormatting sqref="X13 X15:X20 Y19">
    <cfRule type="expression" dxfId="2346" priority="57">
      <formula>ABS(X$16-X$19)&gt;=1000</formula>
    </cfRule>
  </conditionalFormatting>
  <conditionalFormatting sqref="Y13 Y15:Y18 Y20">
    <cfRule type="expression" dxfId="2345" priority="56">
      <formula>ABS(Y$16-Y$19)&gt;=1000</formula>
    </cfRule>
  </conditionalFormatting>
  <conditionalFormatting sqref="Z13:Z20">
    <cfRule type="expression" dxfId="2344" priority="55">
      <formula>ABS(Z$16-Z$19)&gt;=1000</formula>
    </cfRule>
  </conditionalFormatting>
  <conditionalFormatting sqref="AA13:AA20">
    <cfRule type="expression" dxfId="2343" priority="54">
      <formula>ABS(AA$16-AA$19)&gt;=1000</formula>
    </cfRule>
  </conditionalFormatting>
  <conditionalFormatting sqref="AB13 AB15:AB20">
    <cfRule type="expression" dxfId="2342" priority="53">
      <formula>ABS(AB$16-AB$19)&gt;=1000</formula>
    </cfRule>
  </conditionalFormatting>
  <conditionalFormatting sqref="AC13 AC15:AC20">
    <cfRule type="expression" dxfId="2341" priority="52">
      <formula>ABS(AC$16-AC$19)&gt;=1000</formula>
    </cfRule>
  </conditionalFormatting>
  <conditionalFormatting sqref="AD13:AD20">
    <cfRule type="expression" dxfId="2340" priority="51">
      <formula>ABS(AD$16-AD$19)&gt;=1000</formula>
    </cfRule>
  </conditionalFormatting>
  <conditionalFormatting sqref="AE13:AE20">
    <cfRule type="expression" dxfId="2339" priority="50">
      <formula>ABS(AE$16-AE$19)&gt;=1000</formula>
    </cfRule>
  </conditionalFormatting>
  <conditionalFormatting sqref="D22:D29">
    <cfRule type="expression" dxfId="2338" priority="49">
      <formula>ABS(D$25-D$28)&gt;=1000</formula>
    </cfRule>
  </conditionalFormatting>
  <conditionalFormatting sqref="E22:E29">
    <cfRule type="expression" dxfId="2337" priority="48">
      <formula>ABS(E$25-E$28)&gt;=1000</formula>
    </cfRule>
  </conditionalFormatting>
  <conditionalFormatting sqref="F22:F29">
    <cfRule type="expression" dxfId="2336" priority="47">
      <formula>ABS(F$25-F$28)&gt;=1000</formula>
    </cfRule>
  </conditionalFormatting>
  <conditionalFormatting sqref="G22:G29">
    <cfRule type="expression" dxfId="2335" priority="46">
      <formula>ABS(G$25-G$28)&gt;=1000</formula>
    </cfRule>
  </conditionalFormatting>
  <conditionalFormatting sqref="H22:H29">
    <cfRule type="expression" dxfId="2334" priority="45">
      <formula>ABS(H$25-H$28)&gt;=1000</formula>
    </cfRule>
  </conditionalFormatting>
  <conditionalFormatting sqref="I22 I24:I29">
    <cfRule type="expression" dxfId="2333" priority="44">
      <formula>ABS(I$25-I$28)&gt;=1000</formula>
    </cfRule>
  </conditionalFormatting>
  <conditionalFormatting sqref="J22:J29 K22">
    <cfRule type="expression" dxfId="2332" priority="43">
      <formula>ABS(J$25-J$28)&gt;=1000</formula>
    </cfRule>
  </conditionalFormatting>
  <conditionalFormatting sqref="K23:K29 L25 L28">
    <cfRule type="expression" dxfId="2331" priority="42">
      <formula>ABS(K$25-K$28)&gt;=1000</formula>
    </cfRule>
  </conditionalFormatting>
  <conditionalFormatting sqref="L22 L26:L27 L29 L24">
    <cfRule type="expression" dxfId="2330" priority="41">
      <formula>ABS(L$25-L$28)&gt;=1000</formula>
    </cfRule>
  </conditionalFormatting>
  <conditionalFormatting sqref="M22:M29">
    <cfRule type="expression" dxfId="2329" priority="40">
      <formula>ABS(M$25-M$28)&gt;=1000</formula>
    </cfRule>
  </conditionalFormatting>
  <conditionalFormatting sqref="N22:N29">
    <cfRule type="expression" dxfId="2328" priority="39">
      <formula>ABS(N$25-N$28)&gt;=1000</formula>
    </cfRule>
  </conditionalFormatting>
  <conditionalFormatting sqref="O22 O24:O29">
    <cfRule type="expression" dxfId="2327" priority="38">
      <formula>ABS(O$25-O$28)&gt;=1000</formula>
    </cfRule>
  </conditionalFormatting>
  <conditionalFormatting sqref="P22:P29">
    <cfRule type="expression" dxfId="2326" priority="37">
      <formula>ABS(P$25-P$28)&gt;=1000</formula>
    </cfRule>
  </conditionalFormatting>
  <conditionalFormatting sqref="Q22:Q29">
    <cfRule type="expression" dxfId="2325" priority="36">
      <formula>ABS(Q$25-Q$28)&gt;=1000</formula>
    </cfRule>
  </conditionalFormatting>
  <conditionalFormatting sqref="R22:R29">
    <cfRule type="expression" dxfId="2324" priority="35">
      <formula>ABS(R$25-R$28)&gt;=1000</formula>
    </cfRule>
  </conditionalFormatting>
  <conditionalFormatting sqref="S22:S29">
    <cfRule type="expression" dxfId="2323" priority="34">
      <formula>ABS(S$25-S$28)&gt;=1000</formula>
    </cfRule>
  </conditionalFormatting>
  <conditionalFormatting sqref="T22:T29">
    <cfRule type="expression" dxfId="2322" priority="33">
      <formula>ABS(T$25-T$28)&gt;=1000</formula>
    </cfRule>
  </conditionalFormatting>
  <conditionalFormatting sqref="U22:U29">
    <cfRule type="expression" dxfId="2321" priority="32">
      <formula>ABS(U$25-U$28)&gt;=1000</formula>
    </cfRule>
  </conditionalFormatting>
  <conditionalFormatting sqref="V22:V29">
    <cfRule type="expression" dxfId="2320" priority="31">
      <formula>ABS(V$25-V$28)&gt;=1000</formula>
    </cfRule>
  </conditionalFormatting>
  <conditionalFormatting sqref="W22:W29">
    <cfRule type="expression" dxfId="2319" priority="30">
      <formula>ABS(W$25-W$28)&gt;=1000</formula>
    </cfRule>
  </conditionalFormatting>
  <conditionalFormatting sqref="X22:X29">
    <cfRule type="expression" dxfId="2318" priority="29">
      <formula>ABS(X$25-X$28)&gt;=1000</formula>
    </cfRule>
  </conditionalFormatting>
  <conditionalFormatting sqref="Y22:Y29">
    <cfRule type="expression" dxfId="2317" priority="28">
      <formula>ABS(Y$25-Y$28)&gt;=1000</formula>
    </cfRule>
  </conditionalFormatting>
  <conditionalFormatting sqref="I23">
    <cfRule type="expression" dxfId="2316" priority="27">
      <formula>ABS(I$25-I$28)&gt;=1000</formula>
    </cfRule>
  </conditionalFormatting>
  <conditionalFormatting sqref="Q14">
    <cfRule type="expression" dxfId="2315" priority="26">
      <formula>ABS(Q$16-Q$19)&gt;=1000</formula>
    </cfRule>
  </conditionalFormatting>
  <conditionalFormatting sqref="W14">
    <cfRule type="expression" dxfId="2314" priority="25">
      <formula>ABS(W$16-W$19)&gt;=1000</formula>
    </cfRule>
  </conditionalFormatting>
  <conditionalFormatting sqref="X14">
    <cfRule type="expression" dxfId="2313" priority="24">
      <formula>ABS(X$16-X$19)&gt;=1000</formula>
    </cfRule>
  </conditionalFormatting>
  <conditionalFormatting sqref="T10:Y10">
    <cfRule type="expression" dxfId="2312" priority="23">
      <formula>ABS(T$7-T$10)&gt;=1000</formula>
    </cfRule>
  </conditionalFormatting>
  <conditionalFormatting sqref="W19">
    <cfRule type="expression" dxfId="2311" priority="22">
      <formula>ABS(W$16-W$19)&gt;=1000</formula>
    </cfRule>
  </conditionalFormatting>
  <conditionalFormatting sqref="AC5">
    <cfRule type="expression" dxfId="2310" priority="21">
      <formula>ABS(AC$7-AC$10)&gt;=1000</formula>
    </cfRule>
  </conditionalFormatting>
  <conditionalFormatting sqref="M14">
    <cfRule type="expression" dxfId="2309" priority="20">
      <formula>ABS(M$16-M$19)&gt;=1000</formula>
    </cfRule>
  </conditionalFormatting>
  <conditionalFormatting sqref="M16">
    <cfRule type="expression" dxfId="2308" priority="19">
      <formula>ABS(M$16-M$19)&gt;=1000</formula>
    </cfRule>
  </conditionalFormatting>
  <conditionalFormatting sqref="M19">
    <cfRule type="expression" dxfId="2307" priority="18">
      <formula>ABS(M$16-M$19)&gt;=1000</formula>
    </cfRule>
  </conditionalFormatting>
  <conditionalFormatting sqref="K13:K20">
    <cfRule type="expression" dxfId="2306" priority="17">
      <formula>ABS(K$16-K$19)&gt;=1000</formula>
    </cfRule>
  </conditionalFormatting>
  <conditionalFormatting sqref="E5">
    <cfRule type="expression" dxfId="2305" priority="16">
      <formula>ABS(E$7-E$10)&gt;=1000</formula>
    </cfRule>
  </conditionalFormatting>
  <conditionalFormatting sqref="AB14:AC14">
    <cfRule type="expression" dxfId="2304" priority="15">
      <formula>ABS(AB$16-AB$19)&gt;=1000</formula>
    </cfRule>
  </conditionalFormatting>
  <conditionalFormatting sqref="M5">
    <cfRule type="expression" dxfId="2303" priority="14">
      <formula>ABS(M$7-M$10)&gt;=1000</formula>
    </cfRule>
  </conditionalFormatting>
  <conditionalFormatting sqref="N5">
    <cfRule type="expression" dxfId="2302" priority="13">
      <formula>ABS(N$7-N$10)&gt;=1000</formula>
    </cfRule>
  </conditionalFormatting>
  <conditionalFormatting sqref="O5">
    <cfRule type="expression" dxfId="2301" priority="12">
      <formula>ABS(O$7-O$10)&gt;=1000</formula>
    </cfRule>
  </conditionalFormatting>
  <conditionalFormatting sqref="P5">
    <cfRule type="expression" dxfId="2300" priority="11">
      <formula>ABS(P$7-P$10)&gt;=1000</formula>
    </cfRule>
  </conditionalFormatting>
  <conditionalFormatting sqref="L23">
    <cfRule type="expression" dxfId="2299" priority="10">
      <formula>ABS(L$25-L$28)&gt;=1000</formula>
    </cfRule>
  </conditionalFormatting>
  <conditionalFormatting sqref="Y14">
    <cfRule type="expression" dxfId="2298" priority="9">
      <formula>ABS(Y$16-Y$19)&gt;=1000</formula>
    </cfRule>
  </conditionalFormatting>
  <conditionalFormatting sqref="H14">
    <cfRule type="expression" dxfId="2297" priority="8">
      <formula>ABS(H$16-H$19)&gt;=1000</formula>
    </cfRule>
  </conditionalFormatting>
  <conditionalFormatting sqref="AD5">
    <cfRule type="expression" dxfId="2296" priority="7">
      <formula>ABS(AD$7-AD$10)&gt;=1000</formula>
    </cfRule>
  </conditionalFormatting>
  <conditionalFormatting sqref="AE5">
    <cfRule type="expression" dxfId="2295" priority="6">
      <formula>ABS(AE$7-AE$10)&gt;=1000</formula>
    </cfRule>
  </conditionalFormatting>
  <conditionalFormatting sqref="T16">
    <cfRule type="expression" dxfId="2294" priority="5">
      <formula>ABS(T$16-T$19)&gt;=1000</formula>
    </cfRule>
  </conditionalFormatting>
  <conditionalFormatting sqref="F14">
    <cfRule type="expression" dxfId="2293" priority="3">
      <formula>ABS(F$16-F$19)&gt;=1000</formula>
    </cfRule>
  </conditionalFormatting>
  <conditionalFormatting sqref="R14">
    <cfRule type="expression" dxfId="2292" priority="2">
      <formula>ABS(R$16-R$19)&gt;=1000</formula>
    </cfRule>
  </conditionalFormatting>
  <conditionalFormatting sqref="O23">
    <cfRule type="expression" dxfId="2291" priority="1">
      <formula>ABS(O$25-O$28)&gt;=1000</formula>
    </cfRule>
  </conditionalFormatting>
  <dataValidations count="1">
    <dataValidation operator="greaterThanOrEqual" allowBlank="1" showErrorMessage="1" sqref="D6"/>
  </dataValidations>
  <printOptions horizontalCentered="1"/>
  <pageMargins left="0.39370078740157483" right="0.39370078740157483" top="0.39370078740157483" bottom="0.39370078740157483" header="0.51181102362204722" footer="0.51181102362204722"/>
  <pageSetup paperSize="9" scale="60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56289" r:id="rId4" name="Button 1">
              <controlPr defaultSize="0" print="0" autoFill="0" autoPict="0">
                <anchor moveWithCells="1">
                  <from>
                    <xdr:col>31</xdr:col>
                    <xdr:colOff>0</xdr:colOff>
                    <xdr:row>0</xdr:row>
                    <xdr:rowOff>342900</xdr:rowOff>
                  </from>
                  <to>
                    <xdr:col>32</xdr:col>
                    <xdr:colOff>411480</xdr:colOff>
                    <xdr:row>3</xdr:row>
                    <xdr:rowOff>30480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969">
    <pageSetUpPr fitToPage="1"/>
  </sheetPr>
  <dimension ref="A1:CU223"/>
  <sheetViews>
    <sheetView view="pageBreakPreview" topLeftCell="B19" zoomScale="85" zoomScaleNormal="100" zoomScaleSheetLayoutView="85" workbookViewId="0">
      <selection activeCell="O23" sqref="O23"/>
    </sheetView>
  </sheetViews>
  <sheetFormatPr defaultColWidth="8.109375" defaultRowHeight="25.8"/>
  <cols>
    <col min="1" max="1" width="11.6640625" style="64" customWidth="1" phonetic="1"/>
    <col min="2" max="2" width="7.6640625" style="64" customWidth="1" phonetic="1"/>
    <col min="3" max="3" width="8" style="64" customWidth="1" phonetic="1"/>
    <col min="4" max="8" width="7.6640625" style="64" customWidth="1" phonetic="1"/>
    <col min="9" max="9" width="8" style="64" customWidth="1" phonetic="1"/>
    <col min="10" max="12" width="7.6640625" style="64" customWidth="1" phonetic="1"/>
    <col min="13" max="13" width="7.77734375" style="64" bestFit="1" customWidth="1" phonetic="1"/>
    <col min="14" max="30" width="7.6640625" style="64" customWidth="1" phonetic="1"/>
    <col min="31" max="31" width="7.6640625" style="75" customWidth="1" phonetic="1"/>
    <col min="32" max="32" width="11.6640625" style="64" bestFit="1" customWidth="1" phonetic="1"/>
    <col min="33" max="33" width="22.109375" style="64" customWidth="1" phonetic="1"/>
    <col min="34" max="34" width="5.6640625" style="64" customWidth="1" phonetic="1"/>
    <col min="35" max="35" width="18.21875" style="64" customWidth="1" phonetic="1"/>
    <col min="36" max="36" width="12" style="64" bestFit="1" customWidth="1" phonetic="1"/>
    <col min="37" max="37" width="11.6640625" style="64" bestFit="1" customWidth="1" phonetic="1"/>
    <col min="38" max="38" width="5.6640625" style="64" customWidth="1" phonetic="1"/>
    <col min="39" max="39" width="11.44140625" style="64" bestFit="1" customWidth="1" phonetic="1"/>
    <col min="40" max="40" width="6.21875" style="64" customWidth="1" phonetic="1"/>
    <col min="41" max="41" width="8.6640625" style="64" customWidth="1" phonetic="1"/>
    <col min="42" max="42" width="11.21875" style="64" customWidth="1" phonetic="1"/>
    <col min="43" max="43" width="11.77734375" style="64" customWidth="1" phonetic="1"/>
    <col min="44" max="44" width="11.21875" style="64" customWidth="1" phonetic="1"/>
    <col min="45" max="45" width="11.21875" style="64" bestFit="1" customWidth="1" phonetic="1"/>
    <col min="46" max="46" width="41.77734375" style="64" customWidth="1" phonetic="1"/>
    <col min="47" max="47" width="7.77734375" style="64" customWidth="1" phonetic="1"/>
    <col min="48" max="48" width="17.109375" style="64" customWidth="1" phonetic="1"/>
    <col min="49" max="49" width="6.21875" style="64" customWidth="1" phonetic="1"/>
    <col min="50" max="50" width="10" style="64" customWidth="1" phonetic="1"/>
    <col min="51" max="51" width="6.21875" style="64" customWidth="1" phonetic="1"/>
    <col min="52" max="52" width="6.88671875" style="64" customWidth="1" phonetic="1"/>
    <col min="53" max="53" width="6.44140625" style="64" customWidth="1" phonetic="1"/>
    <col min="54" max="54" width="15.44140625" style="64" customWidth="1" phonetic="1"/>
    <col min="55" max="55" width="6.21875" style="64" customWidth="1" phonetic="1"/>
    <col min="56" max="56" width="22.109375" style="64" bestFit="1" customWidth="1" phonetic="1"/>
    <col min="57" max="57" width="6.44140625" style="64" customWidth="1" phonetic="1"/>
    <col min="58" max="60" width="6.21875" style="64" customWidth="1" phonetic="1"/>
    <col min="61" max="16384" width="8.109375" style="64" phonetic="1"/>
  </cols>
  <sheetData>
    <row r="1" spans="1:99" ht="31.2" ph="1">
      <c r="A1" s="64"/>
      <c r="B1" s="238" t="s" ph="1">
        <v>161</v>
      </c>
      <c r="C1" s="238" ph="1"/>
      <c r="D1" s="238" ph="1"/>
      <c r="E1" s="238" ph="1"/>
      <c r="F1" s="238" ph="1"/>
      <c r="G1" s="238" ph="1"/>
      <c r="H1" s="238" ph="1"/>
      <c r="I1" s="238" ph="1"/>
      <c r="J1" s="238" ph="1"/>
      <c r="K1" s="238" ph="1"/>
      <c r="L1" s="238" ph="1"/>
      <c r="M1" s="238" ph="1"/>
      <c r="N1" s="238" ph="1"/>
      <c r="O1" s="238" ph="1"/>
      <c r="P1" s="238" ph="1"/>
      <c r="Q1" s="238" ph="1"/>
      <c r="R1" s="238" ph="1"/>
      <c r="S1" s="238" ph="1"/>
      <c r="T1" s="238" ph="1"/>
      <c r="U1" s="238" ph="1"/>
      <c r="V1" s="238" ph="1"/>
      <c r="W1" s="238" ph="1"/>
      <c r="X1" s="238" ph="1"/>
      <c r="Y1" s="238" ph="1"/>
      <c r="Z1" s="238" ph="1"/>
      <c r="AA1" s="238" ph="1"/>
      <c r="AB1" s="238" ph="1"/>
      <c r="AC1" s="238" ph="1"/>
      <c r="AD1" s="238" ph="1"/>
      <c r="AE1" s="238" ph="1"/>
    </row>
    <row r="2" spans="1:99" s="66" customFormat="1" ht="24" customHeight="1" ph="1">
      <c r="B2" s="239" t="s" ph="1">
        <v>82</v>
      </c>
      <c r="C2" s="239" ph="1"/>
      <c r="D2" s="239" ph="1"/>
      <c r="E2" s="239" ph="1"/>
      <c r="F2" s="239" ph="1"/>
      <c r="G2" s="239" ph="1"/>
      <c r="H2" s="239" ph="1"/>
      <c r="I2" s="239" ph="1"/>
      <c r="J2" s="239" ph="1"/>
      <c r="K2" s="239" ph="1"/>
      <c r="L2" s="239" ph="1"/>
      <c r="M2" s="239" ph="1"/>
      <c r="N2" s="239" ph="1"/>
      <c r="O2" s="239" ph="1"/>
      <c r="P2" s="239" ph="1"/>
      <c r="Q2" s="239" ph="1"/>
      <c r="R2" s="239" ph="1"/>
      <c r="S2" s="239" ph="1"/>
      <c r="T2" s="239" ph="1"/>
      <c r="U2" s="239" ph="1"/>
      <c r="V2" s="239" ph="1"/>
      <c r="W2" s="239" ph="1"/>
      <c r="X2" s="239" ph="1"/>
      <c r="Y2" s="239" ph="1"/>
      <c r="Z2" s="239" ph="1"/>
      <c r="AA2" s="239" ph="1"/>
      <c r="AB2" s="239" ph="1"/>
      <c r="AC2" s="239" ph="1"/>
      <c r="AD2" s="239" ph="1"/>
      <c r="AE2" s="239" ph="1"/>
    </row>
    <row r="3" spans="1:99" ht="21" customHeight="1" ph="1">
      <c r="B3" s="240" ph="1">
        <v>46269</v>
      </c>
      <c r="C3" s="240"/>
      <c r="D3" s="240"/>
      <c r="E3" s="240"/>
      <c r="F3" s="240"/>
      <c r="G3" s="240"/>
      <c r="H3" s="240"/>
      <c r="I3" s="240"/>
      <c r="J3" s="240"/>
      <c r="K3" s="240"/>
      <c r="L3" s="240"/>
      <c r="M3" s="240"/>
      <c r="N3" s="240"/>
      <c r="O3" s="240"/>
      <c r="P3" s="240"/>
      <c r="Q3" s="240"/>
      <c r="R3" s="240"/>
      <c r="S3" s="240"/>
      <c r="T3" s="240"/>
      <c r="U3" s="240"/>
      <c r="V3" s="240"/>
      <c r="W3" s="240"/>
      <c r="X3" s="240"/>
      <c r="Y3" s="240"/>
      <c r="Z3" s="240"/>
      <c r="AA3" s="240"/>
      <c r="AB3" s="240"/>
      <c r="AC3" s="240"/>
      <c r="AD3" s="240"/>
      <c r="AE3" s="240"/>
    </row>
    <row r="4" spans="1:99" s="69" customFormat="1" ph="1">
      <c r="A4" s="65" ph="1"/>
      <c r="B4" s="219" t="s" ph="1">
        <v>37</v>
      </c>
      <c r="C4" s="67" t="s" ph="1">
        <v>176</v>
      </c>
      <c r="D4" s="68" t="s" ph="1">
        <v>44</v>
      </c>
      <c r="E4" s="68" t="s" ph="1">
        <v>45</v>
      </c>
      <c r="F4" s="68" t="s" ph="1">
        <v>39</v>
      </c>
      <c r="G4" s="68" t="s" ph="1">
        <v>46</v>
      </c>
      <c r="H4" s="68" t="s" ph="1">
        <v>47</v>
      </c>
      <c r="I4" s="68" t="s" ph="1">
        <v>110</v>
      </c>
      <c r="J4" s="68" t="s" ph="1">
        <v>48</v>
      </c>
      <c r="K4" s="68" t="s" ph="1">
        <v>111</v>
      </c>
      <c r="L4" s="68" t="s" ph="1">
        <v>112</v>
      </c>
      <c r="M4" s="68" t="s" ph="1">
        <v>49</v>
      </c>
      <c r="N4" s="68" t="s" ph="1">
        <v>50</v>
      </c>
      <c r="O4" s="68" t="s" ph="1">
        <v>113</v>
      </c>
      <c r="P4" s="68" t="s" ph="1">
        <v>114</v>
      </c>
      <c r="Q4" s="68" t="s" ph="1">
        <v>115</v>
      </c>
      <c r="R4" s="68" t="s" ph="1">
        <v>116</v>
      </c>
      <c r="S4" s="68" t="s" ph="1">
        <v>117</v>
      </c>
      <c r="T4" s="68" t="s" ph="1">
        <v>118</v>
      </c>
      <c r="U4" s="68" t="s" ph="1">
        <v>119</v>
      </c>
      <c r="V4" s="68" t="s" ph="1">
        <v>120</v>
      </c>
      <c r="W4" s="68" t="s" ph="1">
        <v>121</v>
      </c>
      <c r="X4" s="68" t="s" ph="1">
        <v>122</v>
      </c>
      <c r="Y4" s="68" t="s" ph="1">
        <v>123</v>
      </c>
      <c r="Z4" s="68" t="s" ph="1">
        <v>51</v>
      </c>
      <c r="AA4" s="68" t="s" ph="1">
        <v>124</v>
      </c>
      <c r="AB4" s="68" t="s" ph="1">
        <v>125</v>
      </c>
      <c r="AC4" s="68" t="s" ph="1">
        <v>126</v>
      </c>
      <c r="AD4" s="68" t="s" ph="1">
        <v>40</v>
      </c>
      <c r="AE4" s="68" t="s" ph="1">
        <v>127</v>
      </c>
      <c r="AF4" s="65" ph="1"/>
      <c r="AG4" s="65" ph="1"/>
      <c r="AH4" s="65" ph="1"/>
      <c r="AI4" s="65" ph="1"/>
      <c r="AJ4" s="65" ph="1"/>
      <c r="AK4" s="65" ph="1"/>
      <c r="AL4" s="65" ph="1"/>
      <c r="AM4" s="65" ph="1"/>
      <c r="AN4" s="65" ph="1"/>
      <c r="AO4" s="65" ph="1"/>
      <c r="AP4" s="65" ph="1"/>
      <c r="AQ4" s="65" ph="1"/>
      <c r="AR4" s="65" ph="1"/>
      <c r="AS4" s="65" ph="1"/>
      <c r="AT4" s="65" ph="1"/>
      <c r="AU4" s="65" ph="1"/>
      <c r="AV4" s="65" ph="1"/>
      <c r="AW4" s="65" ph="1"/>
      <c r="AX4" s="65" ph="1"/>
      <c r="AY4" s="65" ph="1"/>
      <c r="AZ4" s="65" ph="1"/>
      <c r="BA4" s="65" ph="1"/>
      <c r="BB4" s="65" ph="1"/>
      <c r="BC4" s="65" ph="1"/>
      <c r="BD4" s="65" ph="1"/>
      <c r="BE4" s="65" ph="1"/>
      <c r="BF4" s="65" ph="1"/>
      <c r="BG4" s="65" ph="1"/>
      <c r="BH4" s="65" ph="1"/>
      <c r="BI4" s="65" ph="1"/>
      <c r="BJ4" s="65" ph="1"/>
      <c r="BK4" s="65" ph="1"/>
      <c r="BL4" s="65" ph="1"/>
      <c r="BM4" s="65" ph="1"/>
      <c r="BN4" s="65" ph="1"/>
      <c r="BO4" s="65" ph="1"/>
      <c r="BP4" s="65" ph="1"/>
      <c r="BQ4" s="65" ph="1"/>
      <c r="BR4" s="65" ph="1"/>
      <c r="BS4" s="65" ph="1"/>
      <c r="BT4" s="65" ph="1"/>
      <c r="BU4" s="65" ph="1"/>
      <c r="BV4" s="65" ph="1"/>
      <c r="BW4" s="65" ph="1"/>
      <c r="BX4" s="65" ph="1"/>
      <c r="BY4" s="65" ph="1"/>
      <c r="BZ4" s="65" ph="1"/>
      <c r="CA4" s="65" ph="1"/>
      <c r="CB4" s="65" ph="1"/>
      <c r="CC4" s="65" ph="1"/>
      <c r="CD4" s="65" ph="1"/>
      <c r="CE4" s="65" ph="1"/>
      <c r="CF4" s="65" ph="1"/>
      <c r="CG4" s="65" ph="1"/>
      <c r="CH4" s="65" ph="1"/>
      <c r="CI4" s="65" ph="1"/>
      <c r="CJ4" s="65" ph="1"/>
      <c r="CK4" s="65" ph="1"/>
      <c r="CL4" s="65" ph="1"/>
      <c r="CM4" s="65" ph="1"/>
      <c r="CN4" s="65" ph="1"/>
      <c r="CO4" s="65" ph="1"/>
      <c r="CP4" s="65" ph="1"/>
      <c r="CQ4" s="65" ph="1"/>
      <c r="CR4" s="65" ph="1"/>
      <c r="CS4" s="65" ph="1"/>
      <c r="CT4" s="65" ph="1"/>
      <c r="CU4" s="65" ph="1"/>
    </row>
    <row r="5" spans="1:99" s="69" customFormat="1" ht="29.25" customHeight="1" ph="1">
      <c r="A5" s="65" ph="1"/>
      <c r="B5" s="219" ph="1"/>
      <c r="C5" s="67" t="s" ph="1">
        <v>36</v>
      </c>
      <c r="D5" s="70" t="s" ph="1">
        <v>160</v>
      </c>
      <c r="E5" s="142" t="s" ph="1">
        <v>642</v>
      </c>
      <c r="F5" s="142" t="s" ph="1">
        <v>1</v>
      </c>
      <c r="G5" s="142" t="s" ph="1">
        <v>7</v>
      </c>
      <c r="H5" s="142" t="s" ph="1">
        <v>7</v>
      </c>
      <c r="I5" s="141" t="s" ph="1">
        <v>608</v>
      </c>
      <c r="J5" s="141" t="s" ph="1">
        <v>609</v>
      </c>
      <c r="K5" s="141" t="s" ph="1">
        <v>611</v>
      </c>
      <c r="L5" s="141" t="s" ph="1">
        <v>613</v>
      </c>
      <c r="M5" s="141" t="s" ph="1">
        <v>608</v>
      </c>
      <c r="N5" s="70" t="s" ph="1">
        <v>609</v>
      </c>
      <c r="O5" s="70" t="s" ph="1">
        <v>611</v>
      </c>
      <c r="P5" s="70" t="s" ph="1">
        <v>613</v>
      </c>
      <c r="Q5" s="70" t="s" ph="1">
        <v>607</v>
      </c>
      <c r="R5" s="70" t="s" ph="1">
        <v>607</v>
      </c>
      <c r="S5" s="70" t="s" ph="1">
        <v>607</v>
      </c>
      <c r="T5" s="70" t="s" ph="1">
        <v>607</v>
      </c>
      <c r="U5" s="70" t="s" ph="1">
        <v>607</v>
      </c>
      <c r="V5" s="70" t="s" ph="1">
        <v>607</v>
      </c>
      <c r="W5" s="70" t="s" ph="1">
        <v>607</v>
      </c>
      <c r="X5" s="70" t="s" ph="1">
        <v>607</v>
      </c>
      <c r="Y5" s="70" t="s" ph="1">
        <v>607</v>
      </c>
      <c r="Z5" s="70" t="s" ph="1">
        <v>614</v>
      </c>
      <c r="AA5" s="70" t="s" ph="1">
        <v>54</v>
      </c>
      <c r="AB5" s="70" t="s" ph="1">
        <v>54</v>
      </c>
      <c r="AC5" s="70" t="s" ph="1">
        <v>615</v>
      </c>
      <c r="AD5" s="71" t="s">
        <v>72</v>
      </c>
      <c r="AE5" s="71" t="s">
        <v>635</v>
      </c>
      <c r="AF5" s="65" ph="1"/>
      <c r="AG5" s="65" ph="1"/>
      <c r="AH5" s="65" ph="1"/>
      <c r="AI5" s="65" ph="1"/>
      <c r="AJ5" s="65" ph="1"/>
      <c r="AK5" s="65" ph="1"/>
      <c r="AL5" s="65" ph="1"/>
      <c r="AM5" s="65" ph="1"/>
      <c r="AN5" s="65" ph="1"/>
      <c r="AO5" s="65" ph="1"/>
      <c r="AP5" s="65" ph="1"/>
      <c r="AQ5" s="65" ph="1"/>
      <c r="AR5" s="65" ph="1"/>
      <c r="AS5" s="65" ph="1"/>
      <c r="AT5" s="65" ph="1"/>
      <c r="AU5" s="65" ph="1"/>
      <c r="AV5" s="65" ph="1"/>
      <c r="AW5" s="65" ph="1"/>
      <c r="AX5" s="65" ph="1"/>
      <c r="AY5" s="65" ph="1"/>
      <c r="AZ5" s="65" ph="1"/>
      <c r="BA5" s="65" ph="1"/>
      <c r="BB5" s="65" ph="1"/>
      <c r="BC5" s="65" ph="1"/>
      <c r="BD5" s="65" ph="1"/>
      <c r="BE5" s="65" ph="1"/>
      <c r="BF5" s="65" ph="1"/>
      <c r="BG5" s="65" ph="1"/>
      <c r="BH5" s="65" ph="1"/>
      <c r="BI5" s="65" ph="1"/>
      <c r="BJ5" s="65" ph="1"/>
      <c r="BK5" s="65" ph="1"/>
      <c r="BL5" s="65" ph="1"/>
      <c r="BM5" s="65" ph="1"/>
      <c r="BN5" s="65" ph="1"/>
      <c r="BO5" s="65" ph="1"/>
      <c r="BP5" s="65" ph="1"/>
      <c r="BQ5" s="65" ph="1"/>
      <c r="BR5" s="65" ph="1"/>
      <c r="BS5" s="65" ph="1"/>
      <c r="BT5" s="65" ph="1"/>
      <c r="BU5" s="65" ph="1"/>
      <c r="BV5" s="65" ph="1"/>
      <c r="BW5" s="65" ph="1"/>
      <c r="BX5" s="65" ph="1"/>
      <c r="BY5" s="65" ph="1"/>
      <c r="BZ5" s="65" ph="1"/>
      <c r="CA5" s="65" ph="1"/>
      <c r="CB5" s="65" ph="1"/>
      <c r="CC5" s="65" ph="1"/>
      <c r="CD5" s="65" ph="1"/>
      <c r="CE5" s="65" ph="1"/>
      <c r="CF5" s="65" ph="1"/>
      <c r="CG5" s="65" ph="1"/>
      <c r="CH5" s="65" ph="1"/>
      <c r="CI5" s="65" ph="1"/>
      <c r="CJ5" s="65" ph="1"/>
      <c r="CK5" s="65" ph="1"/>
      <c r="CL5" s="65" ph="1"/>
      <c r="CM5" s="65" ph="1"/>
      <c r="CN5" s="65" ph="1"/>
      <c r="CO5" s="65" ph="1"/>
      <c r="CP5" s="65" ph="1"/>
      <c r="CQ5" s="65" ph="1"/>
      <c r="CR5" s="65" ph="1"/>
      <c r="CS5" s="65" ph="1"/>
      <c r="CT5" s="65" ph="1"/>
      <c r="CU5" s="65" ph="1"/>
    </row>
    <row r="6" spans="1:99" ph="1">
      <c r="B6" s="237" ph="1">
        <v>0.33333333333333331</v>
      </c>
      <c r="C6" s="150" t="s" ph="1">
        <v>177</v>
      </c>
      <c r="D6" s="71">
        <v>129</v>
      </c>
      <c r="E6" s="71">
        <v>3441</v>
      </c>
      <c r="F6" s="71">
        <v>3293</v>
      </c>
      <c r="G6" s="71">
        <v>5758</v>
      </c>
      <c r="H6" s="71">
        <v>2085</v>
      </c>
      <c r="I6" s="71">
        <v>17.53</v>
      </c>
      <c r="J6" s="71">
        <v>76.72</v>
      </c>
      <c r="K6" s="71">
        <v>7.74</v>
      </c>
      <c r="L6" s="71">
        <v>7.17</v>
      </c>
      <c r="M6" s="71">
        <v>3647</v>
      </c>
      <c r="N6" s="71">
        <v>2151</v>
      </c>
      <c r="O6" s="71">
        <v>4016</v>
      </c>
      <c r="P6" s="71">
        <v>1654</v>
      </c>
      <c r="Q6" s="71">
        <v>5714</v>
      </c>
      <c r="R6" s="71">
        <v>0</v>
      </c>
      <c r="S6" s="71">
        <v>0</v>
      </c>
      <c r="T6" s="71">
        <v>0</v>
      </c>
      <c r="U6" s="71">
        <v>0</v>
      </c>
      <c r="V6" s="71">
        <v>0</v>
      </c>
      <c r="W6" s="71">
        <v>5767</v>
      </c>
      <c r="X6" s="71">
        <v>6730</v>
      </c>
      <c r="Y6" s="71">
        <v>5143</v>
      </c>
      <c r="Z6" s="71">
        <v>429</v>
      </c>
      <c r="AA6" s="71">
        <v>1302</v>
      </c>
      <c r="AB6" s="71">
        <v>1596</v>
      </c>
      <c r="AC6" s="71">
        <v>6488</v>
      </c>
      <c r="AD6" s="71">
        <v>3588</v>
      </c>
      <c r="AE6" s="71">
        <v>5517</v>
      </c>
    </row>
    <row r="7" spans="1:99" s="72" customFormat="1" ht="22.2" ph="1">
      <c r="B7" s="237" ph="1"/>
      <c r="C7" s="68" t="s" ph="1">
        <v>178</v>
      </c>
      <c r="D7" s="73" ph="1">
        <f>D6*33.183*LOOKUP(D8,密度!$A$2:$A$50,密度!$Q$2:$Q$50)</f>
        <v>4049.5826402100001</v>
      </c>
      <c r="E7" s="73" ph="1">
        <f>E6*51.53*LOOKUP(E8,密度!$A$2:$A$50,密度!$B$2:$B$50)</f>
        <v>138234.56350799999</v>
      </c>
      <c r="F7" s="73" ph="1">
        <f>F6*33.183*LOOKUP(F8,密度!$A$2:$A$50,密度!$C$2:$C$50)</f>
        <v>121171.29830910001</v>
      </c>
      <c r="G7" s="73" ph="1">
        <f xml:space="preserve"> (G6+2)*51.53*LOOKUP(G8,密度!$A$2:$A$50,密度!$B$2:$B$50)</f>
        <v>231662.39039999997</v>
      </c>
      <c r="H7" s="73" ph="1">
        <f>(H6)*51.53*LOOKUP(H8,密度!$A$2:$A$50,密度!$B$2:$B$50)</f>
        <v>83760.26298</v>
      </c>
      <c r="I7" s="73" ph="1">
        <f>I6*290.8*1.0267</f>
        <v>5233.8332307999999</v>
      </c>
      <c r="J7" s="73" ph="1">
        <f>J6*290.8*0.7892</f>
        <v>17607.190899199999</v>
      </c>
      <c r="K7" s="73" ph="1">
        <f>K6*290.8*1.1126</f>
        <v>2504.2311792000005</v>
      </c>
      <c r="L7" s="73" ph="1">
        <f>L6*290.8*0.777</f>
        <v>1620.0729720000002</v>
      </c>
      <c r="M7" s="73" ph="1">
        <f>M6*33.183*LOOKUP(M8,密度!$A$2:$A$50,密度!$D$2:$D$50)</f>
        <v>124140.67574580001</v>
      </c>
      <c r="N7" s="73" ph="1">
        <f>N6*33.183*LOOKUP(N8,密度!$A$2:$A$50,密度!$E$2:$E$50)</f>
        <v>55745.150373000004</v>
      </c>
      <c r="O7" s="73" ph="1">
        <f>O6*20.428*LOOKUP(O8,密度!$A$2:$A$50,密度!$C$2:$C$50)</f>
        <v>90661.130924799989</v>
      </c>
      <c r="P7" s="73" ph="1">
        <f>P6*51.53*LOOKUP(P8,密度!$A$2:$A$50,密度!$B$2:$B$50)</f>
        <v>66369.083793999991</v>
      </c>
      <c r="Q7" s="73" ph="1">
        <f>Q6*1.5*1.5*3.1416*LOOKUP(W8,密度!$A$2:$A$50,密度!$L$2:$L$50)</f>
        <v>37764.631674000004</v>
      </c>
      <c r="R7" s="73" ph="1">
        <f>R6*1.5*1.5*3.1416*LOOKUP(R8,密度!$A$2:$A$50,密度!$L$2:$L$50)</f>
        <v>0</v>
      </c>
      <c r="S7" s="73" ph="1">
        <f>S6*1.5*1.5*3.1416*LOOKUP(S8,密度!$A$2:$A$50,密度!$L$2:$L$50)</f>
        <v>0</v>
      </c>
      <c r="T7" s="73" ph="1">
        <f>T6*1.5*1.5*3.1416*LOOKUP(T8,密度!$A$2:$A$50,密度!$L$2:$L$50)</f>
        <v>0</v>
      </c>
      <c r="U7" s="73" ph="1">
        <f>U6*1.5*1.5*3.1416*LOOKUP(U8,密度!$A$2:$A$50,密度!$L$2:$L$50)</f>
        <v>0</v>
      </c>
      <c r="V7" s="73" ph="1">
        <f>V6*1.5*1.5*3.1416*LOOKUP(V8,密度!$A$2:$A$50,密度!$L$2:$L$50)</f>
        <v>0</v>
      </c>
      <c r="W7" s="73" ph="1">
        <f>W6*1.5*1.5*3.1416*LOOKUP(W8,密度!$A$2:$A$50,密度!$L$2:$L$50)</f>
        <v>38114.916146999996</v>
      </c>
      <c r="X7" s="73" ph="1">
        <f>X6*1.5*1.5*3.1416*LOOKUP(X8,密度!$A$2:$A$50,密度!$L$2:$L$50)</f>
        <v>44955.235710000001</v>
      </c>
      <c r="Y7" s="73" ph="1">
        <f>Y6*1.5*1.5*3.1416*LOOKUP(Y8,密度!$A$2:$A$50,密度!$L$2:$L$50)</f>
        <v>34027.165972800001</v>
      </c>
      <c r="Z7" s="73" ph="1">
        <f>Z6*33.183*LOOKUP(Z8,密度!$A$2:$A$50,密度!$L$2:$L$50)</f>
        <v>13409.847593999999</v>
      </c>
      <c r="AA7" s="73" ph="1">
        <f>AA6*33.183*LOOKUP(AA8,密度!$A$2:$A$50,密度!$D$2:$D$50)</f>
        <v>44318.936062800007</v>
      </c>
      <c r="AB7" s="73" ph="1">
        <f>AB6*20.428*LOOKUP(AB8,密度!$A$2:$A$50,密度!$D$2:$D$50)</f>
        <v>33597.482184</v>
      </c>
      <c r="AC7" s="73" ph="1">
        <f>AC6*51.53*LOOKUP(AC8,密度!$A$2:$A$50,密度!$Q$2:$Q$50)</f>
        <v>316045.65932480001</v>
      </c>
      <c r="AD7" s="73" ph="1">
        <f>AD6*20.428*LOOKUP(AD8,密度!$A$2:$A$50,密度!$V$2:$V$50)</f>
        <v>70187.927846400009</v>
      </c>
      <c r="AE7" s="73" ph="1">
        <f>AE6*20.428</f>
        <v>112701.276</v>
      </c>
    </row>
    <row r="8" spans="1:99" ph="1">
      <c r="B8" s="237" ph="1"/>
      <c r="C8" s="68" t="s" ph="1">
        <v>179</v>
      </c>
      <c r="D8" s="74">
        <v>26</v>
      </c>
      <c r="E8" s="74">
        <v>25</v>
      </c>
      <c r="F8" s="74">
        <v>25</v>
      </c>
      <c r="G8" s="74">
        <v>24</v>
      </c>
      <c r="H8" s="74">
        <v>25</v>
      </c>
      <c r="I8" s="74">
        <v>25</v>
      </c>
      <c r="J8" s="74">
        <v>25</v>
      </c>
      <c r="K8" s="74">
        <v>25</v>
      </c>
      <c r="L8" s="74">
        <v>25</v>
      </c>
      <c r="M8" s="74">
        <v>26</v>
      </c>
      <c r="N8" s="74">
        <v>27</v>
      </c>
      <c r="O8" s="74">
        <v>30</v>
      </c>
      <c r="P8" s="74">
        <v>26</v>
      </c>
      <c r="Q8" s="74">
        <v>31</v>
      </c>
      <c r="R8" s="74">
        <v>34</v>
      </c>
      <c r="S8" s="74">
        <v>25</v>
      </c>
      <c r="T8" s="74">
        <v>22</v>
      </c>
      <c r="U8" s="74">
        <v>26</v>
      </c>
      <c r="V8" s="74">
        <v>27</v>
      </c>
      <c r="W8" s="74">
        <v>27</v>
      </c>
      <c r="X8" s="74">
        <v>17</v>
      </c>
      <c r="Y8" s="74">
        <v>26</v>
      </c>
      <c r="Z8" s="74">
        <v>20</v>
      </c>
      <c r="AA8" s="74">
        <v>26</v>
      </c>
      <c r="AB8" s="74">
        <v>21</v>
      </c>
      <c r="AC8" s="74">
        <v>27</v>
      </c>
      <c r="AD8" s="74">
        <v>31</v>
      </c>
      <c r="AE8" s="74">
        <v>27</v>
      </c>
    </row>
    <row r="9" spans="1:99" ht="26.4" ph="1">
      <c r="B9" s="237" ph="1">
        <v>0.66666666666666663</v>
      </c>
      <c r="C9" s="150" t="s" ph="1">
        <v>180</v>
      </c>
      <c r="D9" s="71">
        <v>126</v>
      </c>
      <c r="E9" s="71">
        <v>3439</v>
      </c>
      <c r="F9" s="71">
        <v>3024</v>
      </c>
      <c r="G9" s="71">
        <v>7521</v>
      </c>
      <c r="H9" s="71">
        <v>1810</v>
      </c>
      <c r="I9" s="71">
        <v>17.510000000000002</v>
      </c>
      <c r="J9" s="71">
        <v>76.86</v>
      </c>
      <c r="K9" s="71">
        <v>7.85</v>
      </c>
      <c r="L9" s="71">
        <v>6.03</v>
      </c>
      <c r="M9" s="71">
        <v>3647</v>
      </c>
      <c r="N9" s="71">
        <v>1886</v>
      </c>
      <c r="O9" s="71">
        <v>4000</v>
      </c>
      <c r="P9" s="71">
        <v>1551</v>
      </c>
      <c r="Q9" s="71">
        <v>7138</v>
      </c>
      <c r="R9" s="71">
        <v>7057</v>
      </c>
      <c r="S9" s="71">
        <v>1862</v>
      </c>
      <c r="T9" s="71">
        <v>0</v>
      </c>
      <c r="U9" s="71">
        <v>0</v>
      </c>
      <c r="V9" s="71">
        <v>0</v>
      </c>
      <c r="W9" s="71">
        <v>657</v>
      </c>
      <c r="X9" s="71">
        <v>6735</v>
      </c>
      <c r="Y9" s="71">
        <v>5149</v>
      </c>
      <c r="Z9" s="71">
        <v>1460</v>
      </c>
      <c r="AA9" s="71">
        <v>1303</v>
      </c>
      <c r="AB9" s="71">
        <v>1497</v>
      </c>
      <c r="AC9" s="71">
        <v>6832</v>
      </c>
      <c r="AD9" s="71">
        <v>3587</v>
      </c>
      <c r="AE9" s="71">
        <v>5439</v>
      </c>
    </row>
    <row r="10" spans="1:99" s="72" customFormat="1" ht="22.2" ph="1">
      <c r="B10" s="237" ph="1"/>
      <c r="C10" s="150" t="s" ph="1">
        <v>178</v>
      </c>
      <c r="D10" s="73" ph="1">
        <f>D9*33.183*LOOKUP(D11,密度!$A$2:$A$50,密度!$Q$2:$Q$50)</f>
        <v>3944.11744314</v>
      </c>
      <c r="E10" s="73" ph="1">
        <f>E9*51.53*LOOKUP(E11,密度!$A$2:$A$50,密度!$B$2:$B$50)</f>
        <v>137551.69825400002</v>
      </c>
      <c r="F10" s="73" ph="1">
        <f>F9*33.183*LOOKUP(F11,密度!$A$2:$A$50,密度!$C$2:$C$50)</f>
        <v>111192.7288752</v>
      </c>
      <c r="G10" s="73" ph="1">
        <f xml:space="preserve"> (G9+2)*51.53*LOOKUP(G11,密度!$A$2:$A$50,密度!$B$2:$B$50)</f>
        <v>300901.83947800001</v>
      </c>
      <c r="H10" s="73" ph="1">
        <f>(H9)*51.53*LOOKUP(H11,密度!$A$2:$A$50,密度!$B$2:$B$50)</f>
        <v>72395.630659999995</v>
      </c>
      <c r="I10" s="73" ph="1">
        <f>I9*290.8*1.0267</f>
        <v>5227.8619435999999</v>
      </c>
      <c r="J10" s="73" ph="1">
        <f>J9*290.8*0.7892</f>
        <v>17639.320809599998</v>
      </c>
      <c r="K10" s="73" ph="1">
        <f>K9*290.8*1.1126</f>
        <v>2539.8210280000003</v>
      </c>
      <c r="L10" s="73" ph="1">
        <f>L9*290.8*0.777</f>
        <v>1362.4881480000001</v>
      </c>
      <c r="M10" s="73" ph="1">
        <f>M9*33.183*LOOKUP(M11,密度!$A$2:$A$50,密度!$D$2:$D$50)</f>
        <v>123680.80582199999</v>
      </c>
      <c r="N10" s="73" ph="1">
        <f>N9*33.183*LOOKUP(N11,密度!$A$2:$A$50,密度!$E$2:$E$50)</f>
        <v>48733.489560599999</v>
      </c>
      <c r="O10" s="73" ph="1">
        <f>O9*20.428*LOOKUP(O11,密度!$A$2:$A$50,密度!$C$2:$C$50)</f>
        <v>90128.335999999996</v>
      </c>
      <c r="P10" s="73" ph="1">
        <f>P9*51.53*LOOKUP(P11,密度!$A$2:$A$50,密度!$B$2:$B$50)</f>
        <v>62036.255885999999</v>
      </c>
      <c r="Q10" s="73" ph="1">
        <f>Q9*1.5*1.5*3.1416*LOOKUP(W11,密度!$A$2:$A$50,密度!$L$2:$L$50)</f>
        <v>47024.681457600003</v>
      </c>
      <c r="R10" s="73" ph="1">
        <f>R9*1.5*1.5*3.1416*LOOKUP(R11,密度!$A$2:$A$50,密度!$L$2:$L$50)</f>
        <v>46241.643155400008</v>
      </c>
      <c r="S10" s="73" ph="1">
        <f>S9*1.5*1.5*3.1416*LOOKUP(S11,密度!$A$2:$A$50,密度!$L$2:$L$50)</f>
        <v>12332.544008400002</v>
      </c>
      <c r="T10" s="73" ph="1">
        <f>T9*1.5*1.5*3.1416*LOOKUP(T11,密度!$A$2:$A$50,密度!$L$2:$L$50)</f>
        <v>0</v>
      </c>
      <c r="U10" s="73" ph="1">
        <f>U9*1.5*1.5*3.1416*LOOKUP(U11,密度!$A$2:$A$50,密度!$L$2:$L$50)</f>
        <v>0</v>
      </c>
      <c r="V10" s="73" ph="1">
        <f>V9*1.5*1.5*3.1416*LOOKUP(V11,密度!$A$2:$A$50,密度!$L$2:$L$50)</f>
        <v>0</v>
      </c>
      <c r="W10" s="73" ph="1">
        <f>W9*1.5*1.5*3.1416*LOOKUP(W11,密度!$A$2:$A$50,密度!$L$2:$L$50)</f>
        <v>4328.2734264000001</v>
      </c>
      <c r="X10" s="73" ph="1">
        <f>X9*1.5*1.5*3.1416*LOOKUP(X11,密度!$A$2:$A$50,密度!$L$2:$L$50)</f>
        <v>44845.813781999997</v>
      </c>
      <c r="Y10" s="73" ph="1">
        <f>Y9*1.5*1.5*3.1416*LOOKUP(Y11,密度!$A$2:$A$50,密度!$L$2:$L$50)</f>
        <v>34030.467009000007</v>
      </c>
      <c r="Z10" s="73" ph="1">
        <f>Z9*33.183*LOOKUP(Z11,密度!$A$2:$A$50,密度!$L$2:$L$50)</f>
        <v>45201.218940000006</v>
      </c>
      <c r="AA10" s="73" ph="1">
        <f>AA9*33.183*LOOKUP(AA11,密度!$A$2:$A$50,密度!$D$2:$D$50)</f>
        <v>44188.672878000005</v>
      </c>
      <c r="AB10" s="73" ph="1">
        <f>AB9*20.428*LOOKUP(AB11,密度!$A$2:$A$50,密度!$D$2:$D$50)</f>
        <v>31397.221117199999</v>
      </c>
      <c r="AC10" s="73" ph="1">
        <f>AC9*51.53*LOOKUP(AC11,密度!$A$2:$A$50,密度!$Q$2:$Q$50)</f>
        <v>332102.11875680002</v>
      </c>
      <c r="AD10" s="73" ph="1">
        <f>AD9*20.428*LOOKUP(AD11,密度!$A$2:$A$50,密度!$V$2:$V$50)</f>
        <v>70168.365993600004</v>
      </c>
      <c r="AE10" s="73" ph="1">
        <f>AE9*20.428</f>
        <v>111107.89200000001</v>
      </c>
    </row>
    <row r="11" spans="1:99" ph="1">
      <c r="A11" s="64" t="s" ph="1">
        <v>162</v>
      </c>
      <c r="B11" s="237" ph="1"/>
      <c r="C11" s="150" t="s" ph="1">
        <v>179</v>
      </c>
      <c r="D11" s="74">
        <v>30</v>
      </c>
      <c r="E11" s="74">
        <v>29</v>
      </c>
      <c r="F11" s="74">
        <v>26</v>
      </c>
      <c r="G11" s="74">
        <v>29</v>
      </c>
      <c r="H11" s="74">
        <v>29</v>
      </c>
      <c r="I11" s="74">
        <v>25</v>
      </c>
      <c r="J11" s="74">
        <v>25</v>
      </c>
      <c r="K11" s="74">
        <v>25</v>
      </c>
      <c r="L11" s="74">
        <v>25</v>
      </c>
      <c r="M11" s="74">
        <v>30</v>
      </c>
      <c r="N11" s="74">
        <v>29</v>
      </c>
      <c r="O11" s="74">
        <v>32</v>
      </c>
      <c r="P11" s="74">
        <v>29</v>
      </c>
      <c r="Q11" s="74">
        <v>31</v>
      </c>
      <c r="R11" s="74">
        <v>35</v>
      </c>
      <c r="S11" s="74">
        <v>25</v>
      </c>
      <c r="T11" s="74">
        <v>27</v>
      </c>
      <c r="U11" s="74">
        <v>29</v>
      </c>
      <c r="V11" s="74">
        <v>28</v>
      </c>
      <c r="W11" s="74">
        <v>30</v>
      </c>
      <c r="X11" s="74">
        <v>20</v>
      </c>
      <c r="Y11" s="74">
        <v>27</v>
      </c>
      <c r="Z11" s="74">
        <v>29</v>
      </c>
      <c r="AA11" s="74">
        <v>30</v>
      </c>
      <c r="AB11" s="74">
        <v>25</v>
      </c>
      <c r="AC11" s="74">
        <v>30</v>
      </c>
      <c r="AD11" s="74">
        <v>32</v>
      </c>
      <c r="AE11" s="74">
        <v>29</v>
      </c>
    </row>
    <row r="12" spans="1:99" ht="9.9" customHeight="1" ph="1"/>
    <row r="13" spans="1:99" s="72" customFormat="1" ht="29.25" customHeight="1" ph="1">
      <c r="B13" s="214" t="s" ph="1">
        <v>37</v>
      </c>
      <c r="C13" s="150" t="s" ph="1">
        <v>176</v>
      </c>
      <c r="D13" s="76" t="s" ph="1">
        <v>52</v>
      </c>
      <c r="E13" s="76" t="s" ph="1">
        <v>53</v>
      </c>
      <c r="F13" s="76" t="s" ph="1">
        <v>57</v>
      </c>
      <c r="G13" s="76" t="s" ph="1">
        <v>58</v>
      </c>
      <c r="H13" s="76" t="s" ph="1">
        <v>128</v>
      </c>
      <c r="I13" s="76" t="s" ph="1">
        <v>59</v>
      </c>
      <c r="J13" s="76" t="s" ph="1">
        <v>129</v>
      </c>
      <c r="K13" s="76" t="s" ph="1">
        <v>55</v>
      </c>
      <c r="L13" s="76" t="s" ph="1">
        <v>60</v>
      </c>
      <c r="M13" s="76" t="s" ph="1">
        <v>61</v>
      </c>
      <c r="N13" s="76" t="s" ph="1">
        <v>130</v>
      </c>
      <c r="O13" s="76" t="s" ph="1">
        <v>56</v>
      </c>
      <c r="P13" s="76" t="s" ph="1">
        <v>62</v>
      </c>
      <c r="Q13" s="76" t="s" ph="1">
        <v>63</v>
      </c>
      <c r="R13" s="76" t="s" ph="1">
        <v>64</v>
      </c>
      <c r="S13" s="76" t="s" ph="1">
        <v>65</v>
      </c>
      <c r="T13" s="76" t="s" ph="1">
        <v>66</v>
      </c>
      <c r="U13" s="76" t="s" ph="1">
        <v>67</v>
      </c>
      <c r="V13" s="76" t="s" ph="1">
        <v>131</v>
      </c>
      <c r="W13" s="76" t="s" ph="1">
        <v>132</v>
      </c>
      <c r="X13" s="76" t="s" ph="1">
        <v>133</v>
      </c>
      <c r="Y13" s="105" t="s" ph="1">
        <v>68</v>
      </c>
      <c r="Z13" s="76" t="s" ph="1">
        <v>74</v>
      </c>
      <c r="AA13" s="76" t="s" ph="1">
        <v>134</v>
      </c>
      <c r="AB13" s="76" t="s" ph="1">
        <v>135</v>
      </c>
      <c r="AC13" s="76" t="s" ph="1">
        <v>136</v>
      </c>
      <c r="AD13" s="76" t="s" ph="1">
        <v>137</v>
      </c>
      <c r="AE13" s="76" t="s" ph="1">
        <v>138</v>
      </c>
      <c r="AG13" s="72" t="s" ph="1">
        <v>325</v>
      </c>
      <c r="AH13" s="72" t="s" ph="1">
        <v>188</v>
      </c>
      <c r="AI13" s="72" t="s" ph="1">
        <v>189</v>
      </c>
      <c r="AJ13" s="72" t="s" ph="1">
        <v>190</v>
      </c>
      <c r="AK13" s="72" t="s" ph="1">
        <v>191</v>
      </c>
      <c r="AL13" s="72" t="s" ph="1">
        <v>192</v>
      </c>
      <c r="AM13" s="72" t="s" ph="1">
        <v>193</v>
      </c>
      <c r="AN13" s="72" t="s" ph="1">
        <v>194</v>
      </c>
      <c r="AO13" s="72" t="s" ph="1">
        <v>195</v>
      </c>
      <c r="AP13" s="72" t="s" ph="1">
        <v>196</v>
      </c>
      <c r="AQ13" s="72" t="s" ph="1">
        <v>197</v>
      </c>
      <c r="AR13" s="72" t="s" ph="1">
        <v>198</v>
      </c>
      <c r="AS13" s="72" t="s" ph="1">
        <v>199</v>
      </c>
      <c r="AT13" s="72" t="s" ph="1">
        <v>200</v>
      </c>
      <c r="AU13" s="72" t="s" ph="1">
        <v>201</v>
      </c>
      <c r="AV13" s="72" t="s" ph="1">
        <v>202</v>
      </c>
      <c r="AW13" s="72" t="s" ph="1">
        <v>203</v>
      </c>
      <c r="AX13" s="72" t="s" ph="1">
        <v>204</v>
      </c>
      <c r="AY13" s="72" t="s" ph="1">
        <v>326</v>
      </c>
      <c r="AZ13" s="72" t="s" ph="1">
        <v>205</v>
      </c>
      <c r="BA13" s="72" t="s" ph="1">
        <v>206</v>
      </c>
      <c r="BB13" s="72" t="s" ph="1">
        <v>591</v>
      </c>
      <c r="BC13" s="72" t="s" ph="1">
        <v>207</v>
      </c>
      <c r="BD13" s="72" t="s" ph="1">
        <v>327</v>
      </c>
      <c r="BE13" s="72" t="s" ph="1">
        <v>328</v>
      </c>
      <c r="BF13" s="72" t="s" ph="1">
        <v>329</v>
      </c>
      <c r="BG13" s="72" t="s" ph="1">
        <v>330</v>
      </c>
      <c r="BH13" s="72" t="s" ph="1">
        <v>331</v>
      </c>
    </row>
    <row r="14" spans="1:99" s="72" customFormat="1" ht="24" ph="1">
      <c r="B14" s="215" ph="1"/>
      <c r="C14" s="67" t="s" ph="1">
        <v>36</v>
      </c>
      <c r="D14" s="77" t="s" ph="1">
        <v>616</v>
      </c>
      <c r="E14" s="77" t="s" ph="1">
        <v>616</v>
      </c>
      <c r="F14" s="77" t="s" ph="1">
        <v>639</v>
      </c>
      <c r="G14" s="77" t="s" ph="1">
        <v>617</v>
      </c>
      <c r="H14" s="77" t="s" ph="1">
        <v>636</v>
      </c>
      <c r="I14" s="138" t="s" ph="1">
        <v>618</v>
      </c>
      <c r="J14" s="77" t="s" ph="1">
        <v>619</v>
      </c>
      <c r="K14" s="77" t="s" ph="1">
        <v>186</v>
      </c>
      <c r="L14" s="77" t="s" ph="1">
        <v>41</v>
      </c>
      <c r="M14" s="104" t="s" ph="1">
        <v>620</v>
      </c>
      <c r="N14" s="104" t="s" ph="1">
        <v>621</v>
      </c>
      <c r="O14" s="104" t="s" ph="1">
        <v>637</v>
      </c>
      <c r="P14" s="77" t="s" ph="1">
        <v>622</v>
      </c>
      <c r="Q14" s="77" t="s" ph="1">
        <v>622</v>
      </c>
      <c r="R14" s="77" t="s" ph="1">
        <v>622</v>
      </c>
      <c r="S14" s="77" t="s" ph="1">
        <v>622</v>
      </c>
      <c r="T14" s="77" t="s" ph="1">
        <v>624</v>
      </c>
      <c r="U14" s="77" t="s" ph="1">
        <v>605</v>
      </c>
      <c r="V14" s="77" t="s" ph="1">
        <v>633</v>
      </c>
      <c r="W14" s="77" t="s" ph="1">
        <v>622</v>
      </c>
      <c r="X14" s="77" t="s" ph="1">
        <v>625</v>
      </c>
      <c r="Y14" s="143" t="s" ph="1">
        <v>0</v>
      </c>
      <c r="Z14" s="77" t="s" ph="1">
        <v>54</v>
      </c>
      <c r="AA14" s="77" t="s" ph="1">
        <v>613</v>
      </c>
      <c r="AB14" s="77" t="s" ph="1">
        <v>632</v>
      </c>
      <c r="AC14" s="77" t="s" ph="1">
        <v>632</v>
      </c>
      <c r="AD14" s="77" t="s" ph="1">
        <v>612</v>
      </c>
      <c r="AE14" s="77" t="s" ph="1">
        <v>612</v>
      </c>
      <c r="AG14" s="72" t="s" ph="1">
        <v>208</v>
      </c>
      <c r="AI14" s="72" t="s" ph="1">
        <v>209</v>
      </c>
      <c r="AJ14" s="72" t="s" ph="1">
        <v>332</v>
      </c>
      <c r="AK14" s="72" t="s" ph="1">
        <v>210</v>
      </c>
      <c r="AM14" s="72" t="s" ph="1">
        <v>212</v>
      </c>
      <c r="AN14" s="72" t="s" ph="1">
        <v>210</v>
      </c>
      <c r="AO14" s="72" t="s" ph="1">
        <v>211</v>
      </c>
      <c r="AP14" s="72" t="s" ph="1">
        <v>212</v>
      </c>
      <c r="AQ14" s="72" t="s" ph="1">
        <v>210</v>
      </c>
      <c r="AR14" s="72" t="s" ph="1">
        <v>211</v>
      </c>
      <c r="AS14" s="72" t="s" ph="1">
        <v>212</v>
      </c>
      <c r="AT14" s="72" t="s" ph="1">
        <v>210</v>
      </c>
      <c r="AU14" s="72" t="s" ph="1">
        <v>211</v>
      </c>
      <c r="AV14" s="72" t="s" ph="1">
        <v>212</v>
      </c>
      <c r="AW14" s="72" t="s" ph="1">
        <v>210</v>
      </c>
      <c r="AX14" s="72" t="s" ph="1">
        <v>211</v>
      </c>
      <c r="AY14" s="72" t="s" ph="1">
        <v>212</v>
      </c>
      <c r="AZ14" s="72" t="s" ph="1">
        <v>211</v>
      </c>
    </row>
    <row r="15" spans="1:99" ph="1">
      <c r="B15" s="216" ph="1">
        <v>0.33333333333333331</v>
      </c>
      <c r="C15" s="150" t="s" ph="1">
        <v>177</v>
      </c>
      <c r="D15" s="78">
        <v>2153</v>
      </c>
      <c r="E15" s="78">
        <v>4234</v>
      </c>
      <c r="F15" s="78">
        <v>1916</v>
      </c>
      <c r="G15" s="78">
        <v>2635</v>
      </c>
      <c r="H15" s="78">
        <v>2183</v>
      </c>
      <c r="I15" s="78">
        <v>5066</v>
      </c>
      <c r="J15" s="78">
        <v>5075</v>
      </c>
      <c r="K15" s="78">
        <v>3682</v>
      </c>
      <c r="L15" s="78">
        <v>5337</v>
      </c>
      <c r="M15" s="78">
        <v>3679</v>
      </c>
      <c r="N15" s="78">
        <v>513</v>
      </c>
      <c r="O15" s="78">
        <v>1905</v>
      </c>
      <c r="P15" s="78">
        <v>7034</v>
      </c>
      <c r="Q15" s="78">
        <v>6656</v>
      </c>
      <c r="R15" s="78">
        <v>0</v>
      </c>
      <c r="S15" s="78">
        <v>3926</v>
      </c>
      <c r="T15" s="78">
        <v>557</v>
      </c>
      <c r="U15" s="78">
        <v>5749</v>
      </c>
      <c r="V15" s="78">
        <v>-217</v>
      </c>
      <c r="W15" s="71">
        <v>2431</v>
      </c>
      <c r="X15" s="78">
        <v>858</v>
      </c>
      <c r="Y15" s="106">
        <v>-9906</v>
      </c>
      <c r="Z15" s="78">
        <v>0</v>
      </c>
      <c r="AA15" s="78">
        <v>2470</v>
      </c>
      <c r="AB15" s="78" ph="1">
        <v>0</v>
      </c>
      <c r="AC15" s="78" ph="1">
        <v>0</v>
      </c>
      <c r="AD15" s="78">
        <v>5.84</v>
      </c>
      <c r="AE15" s="78">
        <v>43.78</v>
      </c>
      <c r="AG15" s="64" t="s" ph="1">
        <v>214</v>
      </c>
      <c r="AH15" s="64" ph="1">
        <v>1</v>
      </c>
      <c r="AI15" s="64" t="s" ph="1">
        <v>333</v>
      </c>
      <c r="AK15" s="64" t="s" ph="1">
        <v>587</v>
      </c>
      <c r="AM15" s="64" t="s" ph="1">
        <v>335</v>
      </c>
      <c r="AZ15" s="64" t="s" ph="1">
        <v>216</v>
      </c>
      <c r="BA15" s="64" ph="1">
        <v>0</v>
      </c>
    </row>
    <row r="16" spans="1:99" s="72" customFormat="1" ht="22.2" ph="1">
      <c r="B16" s="217" ph="1"/>
      <c r="C16" s="150" t="s" ph="1">
        <v>178</v>
      </c>
      <c r="D16" s="73" ph="1">
        <f>D15*7.0686*LOOKUP(D17,密度!$A$2:$A$50,密度!$L$2:$L$50)</f>
        <v>14199.0431814</v>
      </c>
      <c r="E16" s="73" ph="1">
        <f>E15*7.0686*LOOKUP(E17,密度!$A$2:$A$50,密度!$L$2:$L$50)</f>
        <v>27923.246089200002</v>
      </c>
      <c r="F16" s="73" ph="1">
        <f>F15*9.0746*LOOKUP(F17,密度!$A$2:$A$50,密度!$L$2:$L$50)</f>
        <v>16187.235181600001</v>
      </c>
      <c r="G16" s="73" ph="1">
        <f>G15*9.0746*LOOKUP(G17,密度!$A$2:$A$50,密度!$B$2:$B$50)</f>
        <v>18619.940337699998</v>
      </c>
      <c r="H16" s="73" ph="1">
        <f>H15*9.0746*LOOKUP(H17,密度!$A$2:$A$50,密度!$L$2:$L$50)</f>
        <v>18601.450840199999</v>
      </c>
      <c r="I16" s="73" ph="1">
        <f>I15*9.0746*LOOKUP(I17,密度!$A$2:$A$50,密度!$U$2:$U$50)</f>
        <v>47075.249766400004</v>
      </c>
      <c r="J16" s="73" ph="1">
        <f>J15*9.0746*LOOKUP(J17,密度!$A$2:$A$50,密度!$L$2:$L$50)</f>
        <v>43060.111325000005</v>
      </c>
      <c r="K16" s="73" ph="1">
        <f>K15*9.0746*LOOKUP(K17,密度!$A$2:$A$50,密度!$C$2:$C$50)</f>
        <v>37001.198731279997</v>
      </c>
      <c r="L16" s="73" ph="1">
        <f>L15*9.0746*LOOKUP(L17,密度!$A$2:$A$50,密度!$E$2:$E$50)</f>
        <v>37824.720496200003</v>
      </c>
      <c r="M16" s="73" ph="1">
        <f>M15*9.0746*LOOKUP(M17,密度!$A$2:$A$50,密度!$M$2:$M$50)</f>
        <v>29078.729911399998</v>
      </c>
      <c r="N16" s="73" ph="1">
        <f>N15*9.0746*LOOKUP(N17,密度!$A$2:$A$50,密度!$M$2:$M$50)</f>
        <v>4069.1713321799998</v>
      </c>
      <c r="O16" s="73" ph="1">
        <f>O15*9.0746*LOOKUP(O17,密度!$A$2:$A$50,密度!$G$2:$G$50)</f>
        <v>16561.054253999999</v>
      </c>
      <c r="P16" s="73" ph="1">
        <f ca="1">P15*9.0746*LOOKUP(P17,密度!$A$2:$A$51,密度!$Q$2:$Q$50)</f>
        <v>60385.791556492004</v>
      </c>
      <c r="Q16" s="73" ph="1">
        <f>Q15*9.0746*LOOKUP(Q17,密度!$A$2:$A$50,密度!$Q$2:$Q$50)</f>
        <v>57013.879456768009</v>
      </c>
      <c r="R16" s="73" ph="1">
        <f>MAX(R15*9.0746*LOOKUP(R17,密度!$A$2:$A$50,密度!$Q$2:$Q$50),0)</f>
        <v>0</v>
      </c>
      <c r="S16" s="73" ph="1">
        <f>S15*9.0746*LOOKUP(S17,密度!$A$2:$A$50,密度!$Q$2:$Q$50)</f>
        <v>33581.184173367998</v>
      </c>
      <c r="T16" s="73" ph="1">
        <f>T15*9.0746*LOOKUP(T17,密度!$A$2:$A$50,密度!$O$2:$O$50)</f>
        <v>4680.5153372000004</v>
      </c>
      <c r="U16" s="73" ph="1">
        <f>U15*9.0746*LOOKUP(U17,密度!$A$2:$A$50,密度!$H$2:$H$50)</f>
        <v>47771.954903780002</v>
      </c>
      <c r="V16" s="73" ph="1">
        <f>MAX(5600*LOOKUP(V17,密度!$A$2:$A$50,密度!$Q$2:$Q$50)+V15*9.0476*LOOKUP(V17,密度!$A$2:$A$50,密度!$Q$2:$Q$50),0)</f>
        <v>3435.2719710960005</v>
      </c>
      <c r="W16" s="73" ph="1">
        <f>MAX(5600*LOOKUP(W17,密度!$A$2:$A$50,密度!$Q$2:$Q$50)+W15*9.0476*LOOKUP(W17,密度!$A$2:$A$50,密度!$Q$2:$Q$50),0)</f>
        <v>26047.479896308003</v>
      </c>
      <c r="X16" s="73" ph="1">
        <f>MAX(5600*LOOKUP(X17,密度!$A$2:$A$50,密度!$I$2:$I$50)+X15*9.0476*LOOKUP(X17,密度!$A$2:$A$50,密度!$I$2:$I$50),0)</f>
        <v>13867.956182239999</v>
      </c>
      <c r="Y16" s="107" ph="1">
        <v>0</v>
      </c>
      <c r="Z16" s="73" ph="1">
        <f>Z15*9.0746*LOOKUP(Z17,密度!$A$2:$A$50,密度!$D$2:$D$50)</f>
        <v>0</v>
      </c>
      <c r="AA16" s="73" ph="1">
        <f>AA15*9.0746*LOOKUP(AA17,密度!$A$2:$A$50,密度!$B$2:$B$50)</f>
        <v>17453.985819399997</v>
      </c>
      <c r="AB16" s="73" ph="1">
        <f>AB15*9.0746*LOOKUP(AB17,密度!$A$2:$A$50,密度!$L$2:$L$50)</f>
        <v>0</v>
      </c>
      <c r="AC16" s="73" ph="1">
        <f>AC15*9.0746*LOOKUP(AC17,密度!$A$2:$A$50,密度!$L$2:$L$50)</f>
        <v>0</v>
      </c>
      <c r="AD16" s="73" ph="1">
        <f>AD15*268.68*LOOKUP(AD17,密度!$A$2:$A$50,密度!B2:B50)+IF(AD15&lt;=0,0,1566*LOOKUP(AD17,密度!$A$2:$A$50,密度!B2:B50))</f>
        <v>2444.11709952</v>
      </c>
      <c r="AE16" s="73" ph="1">
        <f>AE15*268.68*LOOKUP(AE17,密度!$A$2:$A$50,密度!B2:B50)+IF(AE15&lt;=0,0,1566*LOOKUP(AE17,密度!$A$2:$A$50,密度!B2:B50))</f>
        <v>10391.14058784</v>
      </c>
      <c r="AH16" s="72" ph="1">
        <v>2</v>
      </c>
      <c r="AI16" s="72" t="s" ph="1">
        <v>337</v>
      </c>
      <c r="AZ16" s="72" t="s" ph="1">
        <v>216</v>
      </c>
      <c r="BA16" s="72" ph="1">
        <v>0</v>
      </c>
    </row>
    <row r="17" spans="1:57" ph="1">
      <c r="A17" s="64" t="s" ph="1">
        <v>73</v>
      </c>
      <c r="B17" s="218" ph="1"/>
      <c r="C17" s="79" t="s" ph="1">
        <v>179</v>
      </c>
      <c r="D17" s="74">
        <v>29</v>
      </c>
      <c r="E17" s="74">
        <v>29</v>
      </c>
      <c r="F17" s="74">
        <v>31</v>
      </c>
      <c r="G17" s="74">
        <v>26</v>
      </c>
      <c r="H17" s="74">
        <v>23</v>
      </c>
      <c r="I17" s="74">
        <v>26</v>
      </c>
      <c r="J17" s="74">
        <v>27</v>
      </c>
      <c r="K17" s="74">
        <v>27</v>
      </c>
      <c r="L17" s="74">
        <v>27</v>
      </c>
      <c r="M17" s="74">
        <v>29</v>
      </c>
      <c r="N17" s="74">
        <v>26</v>
      </c>
      <c r="O17" s="74">
        <v>27</v>
      </c>
      <c r="P17" s="74">
        <v>26</v>
      </c>
      <c r="Q17" s="74">
        <v>29</v>
      </c>
      <c r="R17" s="74">
        <v>28</v>
      </c>
      <c r="S17" s="74">
        <v>31</v>
      </c>
      <c r="T17" s="74">
        <v>26</v>
      </c>
      <c r="U17" s="74">
        <v>24</v>
      </c>
      <c r="V17" s="74">
        <v>28</v>
      </c>
      <c r="W17" s="74">
        <v>29</v>
      </c>
      <c r="X17" s="74">
        <v>29</v>
      </c>
      <c r="Y17" s="108">
        <v>29</v>
      </c>
      <c r="Z17" s="74">
        <v>27</v>
      </c>
      <c r="AA17" s="74">
        <v>26</v>
      </c>
      <c r="AB17" s="74">
        <v>26</v>
      </c>
      <c r="AC17" s="74">
        <v>24</v>
      </c>
      <c r="AD17" s="74">
        <v>25</v>
      </c>
      <c r="AE17" s="74">
        <v>25</v>
      </c>
      <c r="AH17" s="64" ph="1">
        <v>3</v>
      </c>
      <c r="AI17" s="64" t="s" ph="1">
        <v>338</v>
      </c>
      <c r="AK17" s="64" t="s" ph="1">
        <v>570</v>
      </c>
      <c r="AL17" s="64" ph="1">
        <v>80</v>
      </c>
      <c r="AM17" s="64" t="s" ph="1">
        <v>335</v>
      </c>
      <c r="AZ17" s="64" t="s" ph="1">
        <v>216</v>
      </c>
      <c r="BA17" s="64" ph="1">
        <v>80</v>
      </c>
      <c r="BD17" s="64" t="s" ph="1">
        <v>214</v>
      </c>
      <c r="BE17" s="64" ph="1">
        <v>2270</v>
      </c>
    </row>
    <row r="18" spans="1:57" ht="26.4" ph="1">
      <c r="B18" s="216" ph="1">
        <v>0.66666666666666663</v>
      </c>
      <c r="C18" s="79" t="s" ph="1">
        <v>180</v>
      </c>
      <c r="D18" s="71">
        <v>0</v>
      </c>
      <c r="E18" s="71">
        <v>5101</v>
      </c>
      <c r="F18" s="71">
        <v>1914</v>
      </c>
      <c r="G18" s="71">
        <v>2773</v>
      </c>
      <c r="H18" s="71">
        <v>2184</v>
      </c>
      <c r="I18" s="71">
        <v>5069</v>
      </c>
      <c r="J18" s="71">
        <v>5078</v>
      </c>
      <c r="K18" s="71">
        <v>3682</v>
      </c>
      <c r="L18" s="71">
        <v>5345</v>
      </c>
      <c r="M18" s="71">
        <v>831</v>
      </c>
      <c r="N18" s="71">
        <v>2666</v>
      </c>
      <c r="O18" s="71">
        <v>1905</v>
      </c>
      <c r="P18" s="71">
        <v>7041</v>
      </c>
      <c r="Q18" s="71">
        <v>6660</v>
      </c>
      <c r="R18" s="71">
        <v>0</v>
      </c>
      <c r="S18" s="71">
        <v>4067</v>
      </c>
      <c r="T18" s="71">
        <v>554</v>
      </c>
      <c r="U18" s="71">
        <v>5752</v>
      </c>
      <c r="V18" s="71">
        <v>-817</v>
      </c>
      <c r="W18" s="71">
        <v>1543</v>
      </c>
      <c r="X18" s="71">
        <v>856</v>
      </c>
      <c r="Y18" s="109">
        <v>-9908</v>
      </c>
      <c r="Z18" s="71">
        <v>0</v>
      </c>
      <c r="AA18" s="71">
        <v>2471</v>
      </c>
      <c r="AB18" s="71">
        <v>0</v>
      </c>
      <c r="AC18" s="71">
        <v>0</v>
      </c>
      <c r="AD18" s="71">
        <v>13.28</v>
      </c>
      <c r="AE18" s="71">
        <v>84.63</v>
      </c>
      <c r="AH18" s="64" ph="1">
        <v>4</v>
      </c>
      <c r="AI18" s="64" t="s" ph="1">
        <v>340</v>
      </c>
      <c r="AJ18" s="64" t="s" ph="1">
        <v>588</v>
      </c>
      <c r="AK18" s="64" t="s" ph="1">
        <v>587</v>
      </c>
      <c r="AL18" s="64" ph="1">
        <v>740</v>
      </c>
      <c r="AM18" s="64" t="s" ph="1">
        <v>339</v>
      </c>
      <c r="AZ18" s="64" t="s" ph="1">
        <v>216</v>
      </c>
      <c r="BA18" s="64" ph="1">
        <v>740</v>
      </c>
    </row>
    <row r="19" spans="1:57" s="72" customFormat="1" ht="22.2" ph="1">
      <c r="B19" s="217" ph="1"/>
      <c r="C19" s="150" t="s" ph="1">
        <v>178</v>
      </c>
      <c r="D19" s="73" ph="1">
        <f>D18*7.0686*LOOKUP(D20,密度!$A$2:$A$50,密度!$L$2:$L$50)</f>
        <v>0</v>
      </c>
      <c r="E19" s="73" ph="1">
        <f>E18*7.0686*LOOKUP(E20,密度!$A$2:$A$50,密度!$L$2:$L$50)</f>
        <v>33605.057455200003</v>
      </c>
      <c r="F19" s="73" ph="1">
        <f>F18*9.0746*LOOKUP(F20,密度!$A$2:$A$50,密度!$L$2:$L$50)</f>
        <v>16100.863138800001</v>
      </c>
      <c r="G19" s="73" ph="1">
        <f>G18*9.0746*LOOKUP(G20,密度!$A$2:$A$50,密度!$B$2:$B$50)</f>
        <v>19595.102298459999</v>
      </c>
      <c r="H19" s="73" ph="1">
        <f>H18*9.0746*LOOKUP(H20,密度!$A$2:$A$50,密度!$L$2:$L$50)</f>
        <v>18590.152963199998</v>
      </c>
      <c r="I19" s="73" ph="1">
        <f>I18*9.0746*LOOKUP(I20,密度!$A$2:$A$50,密度!$U$2:$U$50)</f>
        <v>46873.131200600001</v>
      </c>
      <c r="J19" s="73" ph="1">
        <f>J18*9.0746*LOOKUP(J20,密度!$A$2:$A$50,密度!$L$2:$L$50)</f>
        <v>42947.323121600006</v>
      </c>
      <c r="K19" s="73" ph="1">
        <f>K18*9.0746*LOOKUP(K20,密度!$A$2:$A$50,密度!$C$2:$C$50)</f>
        <v>36951.079715480002</v>
      </c>
      <c r="L19" s="73" ph="1">
        <f>L18*9.0746*LOOKUP(L20,密度!$A$2:$A$50,密度!$E$2:$E$50)</f>
        <v>37769.8600019</v>
      </c>
      <c r="M19" s="73" ph="1">
        <f>M18*9.0746*LOOKUP(M20,密度!$A$2:$A$50,密度!$M$2:$M$50)</f>
        <v>6528.3881136720011</v>
      </c>
      <c r="N19" s="73" ph="1">
        <f>N18*9.0746*LOOKUP(N20,密度!$A$2:$A$50,密度!$M$2:$M$50)</f>
        <v>21122.80667116</v>
      </c>
      <c r="O19" s="73" ph="1">
        <f>O18*9.0746*LOOKUP(O20,密度!$A$2:$A$50,密度!$G$2:$G$50)</f>
        <v>16504.006781100001</v>
      </c>
      <c r="P19" s="73" ph="1">
        <f ca="1">P18*9.0746*LOOKUP(P20,密度!$A$2:$A$51,密度!$Q$2:$Q$50)</f>
        <v>60311.707520298005</v>
      </c>
      <c r="Q19" s="73" ph="1">
        <f>Q18*9.0746*LOOKUP(Q20,密度!$A$2:$A$50,密度!$Q$2:$Q$50)</f>
        <v>57011.880503880006</v>
      </c>
      <c r="R19" s="73" ph="1">
        <f>MAX(R18*9.0746*LOOKUP(R20,密度!$A$2:$A$50,密度!$Q$2:$Q$50),0)</f>
        <v>0</v>
      </c>
      <c r="S19" s="73" ph="1">
        <f>S18*9.0746*LOOKUP(S20,密度!$A$2:$A$50,密度!$Q$2:$Q$50)</f>
        <v>34787.232815356001</v>
      </c>
      <c r="T19" s="73" ph="1">
        <f>T18*9.0746*LOOKUP(T20,密度!$A$2:$A$50,密度!$O$2:$O$50)</f>
        <v>4627.15305936</v>
      </c>
      <c r="U19" s="73" ph="1">
        <f>U18*9.0746*LOOKUP(U20,密度!$A$2:$A$50,密度!$H$2:$H$50)</f>
        <v>47702.928958880009</v>
      </c>
      <c r="V19" s="73" ph="1">
        <f>MAX(5600*LOOKUP(V20,密度!$A$2:$A$50,密度!$Q$2:$Q$50)+V18*9.0476*LOOKUP(V20,密度!$A$2:$A$50,密度!$Q$2:$Q$50),0)</f>
        <v>0</v>
      </c>
      <c r="W19" s="73" ph="1">
        <f>MAX(5600*LOOKUP(W20,密度!$A$2:$A$50,密度!$Q$2:$Q$50)+W18*9.0476*LOOKUP(W20,密度!$A$2:$A$50,密度!$Q$2:$Q$50),0)</f>
        <v>18437.285944743999</v>
      </c>
      <c r="X19" s="73" ph="1">
        <f>MAX(5600*LOOKUP(X20,密度!$A$2:$A$50,密度!$I$2:$I$50)+X18*9.0476*LOOKUP(X20,密度!$A$2:$A$50,密度!$I$2:$I$50),0)</f>
        <v>13834.497763519998</v>
      </c>
      <c r="Y19" s="73" ph="1">
        <f>MAX(5600*LOOKUP(Y20,密度!$A$2:$A$50,密度!$I$2:$I$50)+Y18*9.0476*LOOKUP(Y20,密度!$A$2:$A$50,密度!$I$2:$I$50),0)</f>
        <v>0</v>
      </c>
      <c r="Z19" s="73" ph="1">
        <f>Z18*9.0746*LOOKUP(Z20,密度!$A$2:$A$50,密度!$D$2:$D$50)</f>
        <v>0</v>
      </c>
      <c r="AA19" s="73" ph="1">
        <f>AA18*9.0746*LOOKUP(AA20,密度!$A$2:$A$50,密度!$B$2:$B$50)</f>
        <v>17461.052210419999</v>
      </c>
      <c r="AB19" s="73" ph="1">
        <f>AB18*9.0746*LOOKUP(AB20,密度!$A$2:$A$50,密度!$L$2:$L$50)</f>
        <v>0</v>
      </c>
      <c r="AC19" s="73" ph="1">
        <f>AC18*9.0746*LOOKUP(AC20,密度!$A$2:$A$50,密度!$L$2:$L$50)</f>
        <v>0</v>
      </c>
      <c r="AD19" s="73" ph="1">
        <f>AD18*268.68*LOOKUP(AD20,密度!$A$2:$A$50,密度!B5:B53)+IF(AD18&lt;=0,0,1566*LOOKUP(AD20,密度!$A$2:$A$50,密度!B5:B53))</f>
        <v>3989.1727007999998</v>
      </c>
      <c r="AE19" s="73" ph="1">
        <f>AE18*268.68*LOOKUP(AE20,密度!$A$2:$A$50,密度!B5:B53)+IF(AE18&lt;=0,0,1566*LOOKUP(AE20,密度!$A$2:$A$50,密度!B5:B53))</f>
        <v>18884.509786800001</v>
      </c>
      <c r="AH19" s="72" ph="1">
        <v>5</v>
      </c>
      <c r="AI19" s="72" t="s" ph="1">
        <v>341</v>
      </c>
      <c r="AZ19" s="72" t="s" ph="1">
        <v>216</v>
      </c>
      <c r="BA19" s="72" ph="1">
        <v>0</v>
      </c>
      <c r="BD19" s="72" t="s" ph="1">
        <v>342</v>
      </c>
      <c r="BE19" s="72" ph="1">
        <v>1440</v>
      </c>
    </row>
    <row r="20" spans="1:57" ph="1">
      <c r="A20" s="72" ph="1"/>
      <c r="B20" s="217" ph="1"/>
      <c r="C20" s="80" t="s" ph="1">
        <v>179</v>
      </c>
      <c r="D20" s="81">
        <v>30</v>
      </c>
      <c r="E20" s="81">
        <v>30</v>
      </c>
      <c r="F20" s="81">
        <v>35</v>
      </c>
      <c r="G20" s="81">
        <v>26</v>
      </c>
      <c r="H20" s="81">
        <v>24</v>
      </c>
      <c r="I20" s="81">
        <v>31</v>
      </c>
      <c r="J20" s="81">
        <v>30</v>
      </c>
      <c r="K20" s="81">
        <v>29</v>
      </c>
      <c r="L20" s="81">
        <v>29</v>
      </c>
      <c r="M20" s="81">
        <v>34</v>
      </c>
      <c r="N20" s="81">
        <v>27</v>
      </c>
      <c r="O20" s="81">
        <v>30</v>
      </c>
      <c r="P20" s="81">
        <v>29</v>
      </c>
      <c r="Q20" s="81">
        <v>30</v>
      </c>
      <c r="R20" s="81">
        <v>34</v>
      </c>
      <c r="S20" s="81">
        <v>31</v>
      </c>
      <c r="T20" s="81">
        <v>34</v>
      </c>
      <c r="U20" s="81">
        <v>26</v>
      </c>
      <c r="V20" s="81">
        <v>31</v>
      </c>
      <c r="W20" s="81">
        <v>31</v>
      </c>
      <c r="X20" s="81">
        <v>30</v>
      </c>
      <c r="Y20" s="110">
        <v>30</v>
      </c>
      <c r="Z20" s="81">
        <v>31</v>
      </c>
      <c r="AA20" s="81">
        <v>26</v>
      </c>
      <c r="AB20" s="81">
        <v>34</v>
      </c>
      <c r="AC20" s="81">
        <v>31</v>
      </c>
      <c r="AD20" s="81">
        <v>25</v>
      </c>
      <c r="AE20" s="81">
        <v>25</v>
      </c>
      <c r="AF20" s="64" t="s" ph="1">
        <v>35</v>
      </c>
      <c r="AH20" s="64" ph="1">
        <v>6</v>
      </c>
      <c r="AI20" s="64" t="s" ph="1">
        <v>343</v>
      </c>
      <c r="AZ20" s="64" t="s" ph="1">
        <v>216</v>
      </c>
      <c r="BA20" s="64" ph="1">
        <v>0</v>
      </c>
    </row>
    <row r="21" spans="1:57" ph="1">
      <c r="A21" s="72" ph="1"/>
      <c r="B21" s="82" ph="1"/>
      <c r="C21" s="83" ph="1"/>
      <c r="D21" s="84"/>
      <c r="E21" s="84"/>
      <c r="F21" s="84"/>
      <c r="G21" s="84"/>
      <c r="H21" s="84"/>
      <c r="I21" s="84"/>
      <c r="J21" s="84"/>
      <c r="K21" s="84"/>
      <c r="L21" s="84"/>
      <c r="M21" s="84"/>
      <c r="N21" s="84"/>
      <c r="O21" s="84"/>
      <c r="P21" s="84"/>
      <c r="Q21" s="84"/>
      <c r="R21" s="84"/>
      <c r="S21" s="84"/>
      <c r="T21" s="84"/>
      <c r="U21" s="84"/>
      <c r="V21" s="84"/>
      <c r="W21" s="84"/>
      <c r="X21" s="84"/>
      <c r="Y21" s="84"/>
      <c r="Z21" s="84"/>
      <c r="AA21" s="84"/>
      <c r="AB21" s="84"/>
      <c r="AC21" s="84"/>
      <c r="AD21" s="84"/>
      <c r="AE21" s="84"/>
      <c r="AH21" s="64" ph="1">
        <v>7</v>
      </c>
      <c r="AI21" s="64" t="s" ph="1">
        <v>344</v>
      </c>
      <c r="AZ21" s="64" t="s" ph="1">
        <v>216</v>
      </c>
      <c r="BA21" s="64" ph="1">
        <v>0</v>
      </c>
      <c r="BD21" s="64" t="s" ph="1">
        <v>232</v>
      </c>
      <c r="BE21" s="64" ph="1">
        <v>730</v>
      </c>
    </row>
    <row r="22" spans="1:57" ph="1">
      <c r="A22" s="72" ph="1"/>
      <c r="B22" s="215" t="s" ph="1">
        <v>37</v>
      </c>
      <c r="C22" s="85" t="s" ph="1">
        <v>176</v>
      </c>
      <c r="D22" s="86" t="s" ph="1">
        <v>86</v>
      </c>
      <c r="E22" s="86" t="s" ph="1">
        <v>87</v>
      </c>
      <c r="F22" s="86" t="s" ph="1">
        <v>88</v>
      </c>
      <c r="G22" s="86" t="s" ph="1">
        <v>89</v>
      </c>
      <c r="H22" s="86" t="s" ph="1">
        <v>90</v>
      </c>
      <c r="I22" s="86" t="s" ph="1">
        <v>91</v>
      </c>
      <c r="J22" s="86" t="s" ph="1">
        <v>92</v>
      </c>
      <c r="K22" s="86" t="s" ph="1">
        <v>93</v>
      </c>
      <c r="L22" s="86" t="s" ph="1">
        <v>94</v>
      </c>
      <c r="M22" s="86" t="s" ph="1">
        <v>95</v>
      </c>
      <c r="N22" s="86" t="s" ph="1">
        <v>96</v>
      </c>
      <c r="O22" s="86" t="s" ph="1">
        <v>97</v>
      </c>
      <c r="P22" s="86" t="s" ph="1">
        <v>98</v>
      </c>
      <c r="Q22" s="87" t="s" ph="1">
        <v>99</v>
      </c>
      <c r="R22" s="86" t="s" ph="1">
        <v>100</v>
      </c>
      <c r="S22" s="86" t="s" ph="1">
        <v>101</v>
      </c>
      <c r="T22" s="86" t="s" ph="1">
        <v>102</v>
      </c>
      <c r="U22" s="86" t="s" ph="1">
        <v>103</v>
      </c>
      <c r="V22" s="86" t="s" ph="1">
        <v>104</v>
      </c>
      <c r="W22" s="86" t="s" ph="1">
        <v>105</v>
      </c>
      <c r="X22" s="86" t="s" ph="1">
        <v>106</v>
      </c>
      <c r="Y22" s="86" t="s" ph="1">
        <v>108</v>
      </c>
      <c r="Z22" s="225" t="s" ph="1">
        <v>69</v>
      </c>
      <c r="AA22" s="226"/>
      <c r="AB22" s="226"/>
      <c r="AC22" s="226"/>
      <c r="AD22" s="226"/>
      <c r="AE22" s="227"/>
      <c r="AH22" s="64" ph="1">
        <v>8</v>
      </c>
      <c r="AI22" s="64" t="s" ph="1">
        <v>345</v>
      </c>
      <c r="AZ22" s="64" t="s" ph="1">
        <v>216</v>
      </c>
      <c r="BA22" s="64" ph="1">
        <v>0</v>
      </c>
    </row>
    <row r="23" spans="1:57" ph="1">
      <c r="A23" s="72" ph="1"/>
      <c r="B23" s="219" ph="1"/>
      <c r="C23" s="67" t="s" ph="1">
        <v>36</v>
      </c>
      <c r="D23" s="88" t="s" ph="1">
        <v>109</v>
      </c>
      <c r="E23" s="88" t="s" ph="1">
        <v>107</v>
      </c>
      <c r="F23" s="88" t="s" ph="1">
        <v>109</v>
      </c>
      <c r="G23" s="88" t="s" ph="1">
        <v>626</v>
      </c>
      <c r="H23" s="88" t="s" ph="1">
        <v>626</v>
      </c>
      <c r="I23" s="88" t="s" ph="1">
        <v>627</v>
      </c>
      <c r="J23" s="88" t="s" ph="1">
        <v>628</v>
      </c>
      <c r="K23" s="88" t="s" ph="1">
        <v>628</v>
      </c>
      <c r="L23" s="88" t="s" ph="1">
        <v>628</v>
      </c>
      <c r="M23" s="88" t="s" ph="1">
        <v>623</v>
      </c>
      <c r="N23" s="88" t="s" ph="1">
        <v>623</v>
      </c>
      <c r="O23" s="88" t="s" ph="1">
        <v>645</v>
      </c>
      <c r="P23" s="88" t="s" ph="1">
        <v>629</v>
      </c>
      <c r="Q23" s="89" t="s" ph="1">
        <v>629</v>
      </c>
      <c r="R23" s="88" t="s" ph="1">
        <v>610</v>
      </c>
      <c r="S23" s="88" t="s" ph="1">
        <v>629</v>
      </c>
      <c r="T23" s="88" t="s" ph="1">
        <v>604</v>
      </c>
      <c r="U23" s="104" t="s" ph="1">
        <v>606</v>
      </c>
      <c r="V23" s="88" t="s" ph="1">
        <v>629</v>
      </c>
      <c r="W23" s="88" t="s" ph="1">
        <v>629</v>
      </c>
      <c r="X23" s="88" t="s" ph="1">
        <v>187</v>
      </c>
      <c r="Y23" s="88" t="s" ph="1">
        <v>630</v>
      </c>
      <c r="Z23" s="228" t="s" ph="1">
        <v>641</v>
      </c>
      <c r="AA23" s="229"/>
      <c r="AB23" s="229"/>
      <c r="AC23" s="229"/>
      <c r="AD23" s="229"/>
      <c r="AE23" s="230"/>
      <c r="AH23" s="64" ph="1">
        <v>9</v>
      </c>
      <c r="AI23" s="64" t="s" ph="1">
        <v>346</v>
      </c>
      <c r="AZ23" s="64" t="s" ph="1">
        <v>216</v>
      </c>
      <c r="BA23" s="64" ph="1">
        <v>0</v>
      </c>
      <c r="BD23" s="64" t="s" ph="1">
        <v>238</v>
      </c>
      <c r="BE23" s="64" ph="1">
        <v>890</v>
      </c>
    </row>
    <row r="24" spans="1:57" ph="1">
      <c r="A24" s="72" ph="1"/>
      <c r="B24" s="237" ph="1">
        <v>0.33333333333333331</v>
      </c>
      <c r="C24" s="150" t="s" ph="1">
        <v>177</v>
      </c>
      <c r="D24" s="71">
        <v>3.29</v>
      </c>
      <c r="E24" s="71">
        <v>53.29</v>
      </c>
      <c r="F24" s="71">
        <v>0</v>
      </c>
      <c r="G24" s="71">
        <v>2847</v>
      </c>
      <c r="H24" s="71">
        <v>2453</v>
      </c>
      <c r="I24" s="71">
        <v>1276</v>
      </c>
      <c r="J24" s="71">
        <v>298</v>
      </c>
      <c r="K24" s="71">
        <v>210</v>
      </c>
      <c r="L24" s="71">
        <v>301</v>
      </c>
      <c r="M24" s="71">
        <v>4956</v>
      </c>
      <c r="N24" s="71">
        <v>4771</v>
      </c>
      <c r="O24" s="71">
        <v>316</v>
      </c>
      <c r="P24" s="71">
        <v>662</v>
      </c>
      <c r="Q24" s="90">
        <v>3841</v>
      </c>
      <c r="R24" s="71">
        <v>2752</v>
      </c>
      <c r="S24" s="71">
        <v>433</v>
      </c>
      <c r="T24" s="71">
        <v>13</v>
      </c>
      <c r="U24" s="71">
        <v>5915</v>
      </c>
      <c r="V24" s="71">
        <v>737</v>
      </c>
      <c r="W24" s="71">
        <v>432</v>
      </c>
      <c r="X24" s="71">
        <v>2958</v>
      </c>
      <c r="Y24" s="71">
        <v>5008</v>
      </c>
      <c r="Z24" s="231"/>
      <c r="AA24" s="232"/>
      <c r="AB24" s="232"/>
      <c r="AC24" s="232"/>
      <c r="AD24" s="232"/>
      <c r="AE24" s="233"/>
      <c r="AH24" s="64" ph="1">
        <v>10</v>
      </c>
      <c r="AI24" s="64" t="s" ph="1">
        <v>347</v>
      </c>
      <c r="AZ24" s="64" t="s" ph="1">
        <v>216</v>
      </c>
      <c r="BA24" s="64" ph="1">
        <v>0</v>
      </c>
    </row>
    <row r="25" spans="1:57" ph="1">
      <c r="A25" s="72" ph="1"/>
      <c r="B25" s="237" ph="1"/>
      <c r="C25" s="68" t="s" ph="1">
        <v>178</v>
      </c>
      <c r="D25" s="91" ph="1">
        <f>D24*268.68*LOOKUP(D26,密度!$A$2:$A$50,密度!$Q$2:$Q$50)+IF(D24&lt;=0,0,1566*LOOKUP(D26,密度!$A$2:$A$50,密度!$Q$2:$Q$50))</f>
        <v>2319.4724795279999</v>
      </c>
      <c r="E25" s="91" ph="1">
        <f>E24*268.68*LOOKUP(E26,密度!$A$2:$A$50,密度!$C$2:$C$50)+IF(E24&lt;=0,0,1566*LOOKUP(E26,密度!$A$2:$A$50,密度!$C$2:$C$50))</f>
        <v>17613.72013908</v>
      </c>
      <c r="F25" s="91" ph="1">
        <f>F24*11.702*LOOKUP(F26,密度!$A$2:$A$50,密度!$Q$2:$Q$50)</f>
        <v>0</v>
      </c>
      <c r="G25" s="91" ph="1">
        <f>G24*18.322*LOOKUP(G26,密度!$A$2:$A$50,密度!$B$2:$B$50)</f>
        <v>40577.390778599998</v>
      </c>
      <c r="H25" s="91" ph="1">
        <f>H24*18.322*LOOKUP(H26,密度!$A$2:$A$50,密度!$B$2:$B$50)</f>
        <v>34997.788454199996</v>
      </c>
      <c r="I25" s="91" ph="1">
        <f>I24*18.322*LOOKUP(I26,密度!$A$2:$A$50,密度!$Q$2:$Q$50)</f>
        <v>22084.15006864</v>
      </c>
      <c r="J25" s="91" ph="1">
        <f>J24*18.322*LOOKUP(J26,密度!$A$2:$A$50,密度!$Q$2:$Q$50)</f>
        <v>5165.28217468</v>
      </c>
      <c r="K25" s="91" ph="1">
        <f>K24*18.322*LOOKUP(K26,密度!$A$2:$A$50,密度!$Q$2:$Q$50)</f>
        <v>3639.9639486000001</v>
      </c>
      <c r="L25" s="91" ph="1">
        <f>L24*18.322*LOOKUP(L26,密度!$A$2:$A$50,密度!$Q$2:$Q$50)</f>
        <v>5209.5056196400001</v>
      </c>
      <c r="M25" s="91" ph="1">
        <f>M24*18.322*LOOKUP(M26,密度!$A$2:$A$50,密度!$Q$2:$Q$50)</f>
        <v>85775.115783839996</v>
      </c>
      <c r="N25" s="91" ph="1">
        <f>N24*18.322*LOOKUP(N26,密度!$A$2:$A$50,密度!$Q$2:$Q$50)</f>
        <v>82696.514279859999</v>
      </c>
      <c r="O25" s="91" ph="1">
        <f>O24*18.322*LOOKUP(O26,密度!$A$2:$A$50,密度!$C$2:$C$50)</f>
        <v>6411.5713647999992</v>
      </c>
      <c r="P25" s="91" ph="1">
        <f>P24*11.702*LOOKUP(P26,密度!$A$2:$A$50,密度!$B$2:$B$50)</f>
        <v>6026.1765996000004</v>
      </c>
      <c r="Q25" s="92" ph="1">
        <f>Q24*18.322*LOOKUP(Q26,密度!$A$2:$A$50,密度!$B$2:$B$50)</f>
        <v>54681.221153999999</v>
      </c>
      <c r="R25" s="91" ph="1">
        <f>R24*35.891*LOOKUP(R26,密度!$A$2:$A$50,密度!$C$2:$C$50)</f>
        <v>109301.13061119999</v>
      </c>
      <c r="S25" s="91" ph="1">
        <f>S24*35.891*LOOKUP(S26,密度!$A$2:$A$50,密度!$B$2:$B$50)</f>
        <v>12101.623296099999</v>
      </c>
      <c r="T25" s="91" ph="1">
        <f>T24*35.891*LOOKUP(T26,密度!$A$2:$A$50,密度!$Q$2:$Q$50)</f>
        <v>441.07024156</v>
      </c>
      <c r="U25" s="91" ph="1">
        <f>U24*35.891</f>
        <v>212295.26499999998</v>
      </c>
      <c r="V25" s="91" ph="1">
        <f>V24*47.051*LOOKUP(V26,密度!$A$2:$A$50,密度!$B$2:$B$50)</f>
        <v>26943.708098999999</v>
      </c>
      <c r="W25" s="91" ph="1">
        <f>W24*47.051*LOOKUP(W26,密度!$A$2:$A$50,密度!$B$2:$B$50)</f>
        <v>15793.326864000001</v>
      </c>
      <c r="X25" s="91" ph="1">
        <f>X24*47.051*LOOKUP(X26,密度!$A$2:$A$61,密度!$I$2:$I$61)</f>
        <v>144284.64868859999</v>
      </c>
      <c r="Y25" s="91" ph="1">
        <f>Y24*47.051*LOOKUP(Y26,密度!$A$2:$A$50,密度!$L$2:$L$50)</f>
        <v>219844.10366399999</v>
      </c>
      <c r="Z25" s="231"/>
      <c r="AA25" s="232"/>
      <c r="AB25" s="232"/>
      <c r="AC25" s="232"/>
      <c r="AD25" s="232"/>
      <c r="AE25" s="233"/>
      <c r="AH25" s="64" ph="1">
        <v>11</v>
      </c>
      <c r="AI25" s="64" t="s" ph="1">
        <v>348</v>
      </c>
      <c r="AZ25" s="64" t="s" ph="1">
        <v>216</v>
      </c>
      <c r="BA25" s="64" ph="1">
        <v>0</v>
      </c>
      <c r="BD25" s="64" t="s" ph="1">
        <v>241</v>
      </c>
      <c r="BE25" s="64" ph="1">
        <v>8920</v>
      </c>
    </row>
    <row r="26" spans="1:57" ph="1">
      <c r="A26" s="72" ph="1"/>
      <c r="B26" s="237" ph="1"/>
      <c r="C26" s="68" t="s" ph="1">
        <v>179</v>
      </c>
      <c r="D26" s="74">
        <v>25</v>
      </c>
      <c r="E26" s="74">
        <v>25</v>
      </c>
      <c r="F26" s="74">
        <v>26</v>
      </c>
      <c r="G26" s="74">
        <v>27</v>
      </c>
      <c r="H26" s="74">
        <v>26</v>
      </c>
      <c r="I26" s="74">
        <v>28</v>
      </c>
      <c r="J26" s="74">
        <v>26</v>
      </c>
      <c r="K26" s="74">
        <v>26</v>
      </c>
      <c r="L26" s="74">
        <v>28</v>
      </c>
      <c r="M26" s="74">
        <v>28</v>
      </c>
      <c r="N26" s="74">
        <v>26</v>
      </c>
      <c r="O26" s="74">
        <v>27</v>
      </c>
      <c r="P26" s="74">
        <v>27</v>
      </c>
      <c r="Q26" s="93">
        <v>28</v>
      </c>
      <c r="R26" s="74">
        <v>28</v>
      </c>
      <c r="S26" s="74">
        <v>26</v>
      </c>
      <c r="T26" s="74">
        <v>27</v>
      </c>
      <c r="U26" s="74">
        <v>27</v>
      </c>
      <c r="V26" s="74">
        <v>28</v>
      </c>
      <c r="W26" s="74">
        <v>28</v>
      </c>
      <c r="X26" s="74">
        <v>30</v>
      </c>
      <c r="Y26" s="74">
        <v>29</v>
      </c>
      <c r="Z26" s="231"/>
      <c r="AA26" s="232"/>
      <c r="AB26" s="232"/>
      <c r="AC26" s="232"/>
      <c r="AD26" s="232"/>
      <c r="AE26" s="233"/>
      <c r="AH26" s="64" ph="1">
        <v>12</v>
      </c>
      <c r="AI26" s="64" t="s" ph="1">
        <v>349</v>
      </c>
      <c r="AZ26" s="64" t="s" ph="1">
        <v>216</v>
      </c>
      <c r="BA26" s="64" ph="1">
        <v>0</v>
      </c>
    </row>
    <row r="27" spans="1:57" ht="26.4" ph="1">
      <c r="A27" s="72" ph="1"/>
      <c r="B27" s="237" ph="1">
        <v>0.66666666666666663</v>
      </c>
      <c r="C27" s="150" t="s" ph="1">
        <v>180</v>
      </c>
      <c r="D27" s="71">
        <v>3.33</v>
      </c>
      <c r="E27" s="71">
        <v>17.14</v>
      </c>
      <c r="F27" s="71">
        <v>0</v>
      </c>
      <c r="G27" s="71">
        <v>2409</v>
      </c>
      <c r="H27" s="71">
        <v>1987</v>
      </c>
      <c r="I27" s="71">
        <v>962</v>
      </c>
      <c r="J27" s="71">
        <v>294</v>
      </c>
      <c r="K27" s="71">
        <v>207</v>
      </c>
      <c r="L27" s="71">
        <v>297</v>
      </c>
      <c r="M27" s="71">
        <v>4957</v>
      </c>
      <c r="N27" s="71">
        <v>4769</v>
      </c>
      <c r="O27" s="71">
        <v>313</v>
      </c>
      <c r="P27" s="71">
        <v>659</v>
      </c>
      <c r="Q27" s="90">
        <v>412</v>
      </c>
      <c r="R27" s="71">
        <v>3255</v>
      </c>
      <c r="S27" s="71">
        <v>2273</v>
      </c>
      <c r="T27" s="71">
        <v>12</v>
      </c>
      <c r="U27" s="71">
        <v>5886</v>
      </c>
      <c r="V27" s="71">
        <v>733</v>
      </c>
      <c r="W27" s="71">
        <v>430</v>
      </c>
      <c r="X27" s="71">
        <v>2958</v>
      </c>
      <c r="Y27" s="71">
        <v>3374</v>
      </c>
      <c r="Z27" s="231"/>
      <c r="AA27" s="232"/>
      <c r="AB27" s="232"/>
      <c r="AC27" s="232"/>
      <c r="AD27" s="232"/>
      <c r="AE27" s="233"/>
      <c r="AH27" s="64" ph="1">
        <v>13</v>
      </c>
      <c r="AI27" s="64" t="s" ph="1">
        <v>350</v>
      </c>
      <c r="AZ27" s="64" t="s" ph="1">
        <v>216</v>
      </c>
      <c r="BA27" s="64" ph="1">
        <v>0</v>
      </c>
      <c r="BD27" s="64" t="s" ph="1">
        <v>295</v>
      </c>
      <c r="BE27" s="64" ph="1">
        <v>7100</v>
      </c>
    </row>
    <row r="28" spans="1:57" ph="1">
      <c r="A28" s="72" ph="1"/>
      <c r="B28" s="237" ph="1"/>
      <c r="C28" s="150" t="s" ph="1">
        <v>178</v>
      </c>
      <c r="D28" s="91" ph="1">
        <f>D27*268.68*LOOKUP(D29,密度!$A$2:$A$50,密度!$Q$2:$Q$50)+IF(D27&lt;=0,0,1566*LOOKUP(D29,密度!$A$2:$A$50,密度!$Q$2:$Q$50))</f>
        <v>2329.6472836560001</v>
      </c>
      <c r="E28" s="91" ph="1">
        <f>E27*268.68*LOOKUP(E29,密度!$A$2:$A$50,密度!$C$2:$C$50)+IF(E27&lt;=0,0,1566*LOOKUP(E29,密度!$A$2:$A$50,密度!$C$2:$C$50))</f>
        <v>6843.2161792800007</v>
      </c>
      <c r="F28" s="91" ph="1">
        <f>F27*11.702*LOOKUP(F29,密度!$A$2:$A$50,密度!$Q$2:$Q$50)</f>
        <v>0</v>
      </c>
      <c r="G28" s="91" ph="1">
        <f>G27*18.322*LOOKUP(G29,密度!$A$2:$A$50,密度!$B$2:$B$50)</f>
        <v>34259.681187599999</v>
      </c>
      <c r="H28" s="91" ph="1">
        <f>H27*18.322*LOOKUP(H29,密度!$A$2:$A$50,密度!$B$2:$B$50)</f>
        <v>28320.0827106</v>
      </c>
      <c r="I28" s="91" ph="1">
        <f>I27*18.322*LOOKUP(I29,密度!$A$2:$A$50,密度!$Q$2:$Q$50)</f>
        <v>16626.911954119998</v>
      </c>
      <c r="J28" s="91" ph="1">
        <f>J27*18.322*LOOKUP(J29,密度!$A$2:$A$50,密度!$Q$2:$Q$50)</f>
        <v>5077.3655234399994</v>
      </c>
      <c r="K28" s="91" ph="1">
        <f>K27*18.322*LOOKUP(K29,密度!$A$2:$A$50,密度!$Q$2:$Q$50)</f>
        <v>3579.99989022</v>
      </c>
      <c r="L28" s="91" ph="1">
        <f>L27*18.322*LOOKUP(L29,密度!$A$2:$A$50,密度!$Q$2:$Q$50)</f>
        <v>5129.1753757199995</v>
      </c>
      <c r="M28" s="91" ph="1">
        <f>M27*18.322*LOOKUP(M29,密度!$A$2:$A$50,密度!$Q$2:$Q$50)</f>
        <v>85607.145917319998</v>
      </c>
      <c r="N28" s="91" ph="1">
        <f>N27*18.322*LOOKUP(N29,密度!$A$2:$A$50,密度!$Q$2:$Q$50)</f>
        <v>82425.928387940003</v>
      </c>
      <c r="O28" s="91" ph="1">
        <f>O27*18.322*LOOKUP(O29,密度!$A$2:$A$50,密度!$C$2:$C$50)</f>
        <v>6337.5120085999997</v>
      </c>
      <c r="P28" s="91" ph="1">
        <f>P27*11.702*LOOKUP(P29,密度!$A$2:$A$50,密度!$B$2:$B$50)</f>
        <v>5971.8769792000003</v>
      </c>
      <c r="Q28" s="92" ph="1">
        <f>Q27*18.322*LOOKUP(Q29,密度!$A$2:$A$50,密度!$B$2:$B$50)</f>
        <v>5865.3119280000001</v>
      </c>
      <c r="R28" s="91" ph="1">
        <f>R27*35.891*LOOKUP(R29,密度!$A$2:$A$50,密度!$C$2:$C$50)</f>
        <v>129278.77185299998</v>
      </c>
      <c r="S28" s="91" ph="1">
        <f>S27*35.891*LOOKUP(S29,密度!$A$2:$A$50,密度!$B$2:$B$50)</f>
        <v>63322.584616600005</v>
      </c>
      <c r="T28" s="91" ph="1">
        <f>T27*35.891*LOOKUP(T29,密度!$A$2:$A$50,密度!$Q$2:$Q$50)</f>
        <v>405.96166535999998</v>
      </c>
      <c r="U28" s="91" ph="1">
        <f>U27*35.891</f>
        <v>211254.42599999998</v>
      </c>
      <c r="V28" s="91" ph="1">
        <f>V27*47.051*LOOKUP(V29,密度!$A$2:$A$50,密度!$B$2:$B$50)</f>
        <v>26769.8828846</v>
      </c>
      <c r="W28" s="91" ph="1">
        <f>W27*47.051*LOOKUP(W29,密度!$A$2:$A$50,密度!$B$2:$B$50)</f>
        <v>15685.815328999999</v>
      </c>
      <c r="X28" s="91" ph="1">
        <f>X27*47.051*LOOKUP(X29,密度!$A$2:$A$61,密度!$I$2:$I$61)</f>
        <v>143825.36505720002</v>
      </c>
      <c r="Y28" s="91" ph="1">
        <f>Y27*47.051*LOOKUP(Y29,密度!$A$2:$A$50,密度!$L$2:$L$50)</f>
        <v>147955.06896800001</v>
      </c>
      <c r="Z28" s="231"/>
      <c r="AA28" s="232"/>
      <c r="AB28" s="232"/>
      <c r="AC28" s="232"/>
      <c r="AD28" s="232"/>
      <c r="AE28" s="233"/>
      <c r="AH28" s="64" ph="1">
        <v>14</v>
      </c>
      <c r="AI28" s="64" t="s" ph="1">
        <v>351</v>
      </c>
      <c r="AZ28" s="64" t="s" ph="1">
        <v>216</v>
      </c>
      <c r="BA28" s="64" ph="1">
        <v>0</v>
      </c>
    </row>
    <row r="29" spans="1:57" ph="1">
      <c r="A29" s="72" ph="1"/>
      <c r="B29" s="237" ph="1"/>
      <c r="C29" s="150" t="s" ph="1">
        <v>179</v>
      </c>
      <c r="D29" s="74">
        <v>25</v>
      </c>
      <c r="E29" s="74">
        <v>25</v>
      </c>
      <c r="F29" s="74">
        <v>29</v>
      </c>
      <c r="G29" s="74">
        <v>29</v>
      </c>
      <c r="H29" s="74">
        <v>27</v>
      </c>
      <c r="I29" s="74">
        <v>30</v>
      </c>
      <c r="J29" s="74">
        <v>31</v>
      </c>
      <c r="K29" s="74">
        <v>29</v>
      </c>
      <c r="L29" s="74">
        <v>31</v>
      </c>
      <c r="M29" s="74">
        <v>31</v>
      </c>
      <c r="N29" s="74">
        <v>30</v>
      </c>
      <c r="O29" s="74">
        <v>30</v>
      </c>
      <c r="P29" s="74">
        <v>31</v>
      </c>
      <c r="Q29" s="93">
        <v>28</v>
      </c>
      <c r="R29" s="74">
        <v>28</v>
      </c>
      <c r="S29" s="74">
        <v>29</v>
      </c>
      <c r="T29" s="74">
        <v>31</v>
      </c>
      <c r="U29" s="74">
        <v>30</v>
      </c>
      <c r="V29" s="74">
        <v>29</v>
      </c>
      <c r="W29" s="74">
        <v>30</v>
      </c>
      <c r="X29" s="74">
        <v>33</v>
      </c>
      <c r="Y29" s="74">
        <v>30</v>
      </c>
      <c r="Z29" s="234"/>
      <c r="AA29" s="235"/>
      <c r="AB29" s="235"/>
      <c r="AC29" s="235"/>
      <c r="AD29" s="235"/>
      <c r="AE29" s="236"/>
      <c r="AH29" s="64" ph="1">
        <v>15</v>
      </c>
      <c r="AI29" s="64" t="s" ph="1">
        <v>352</v>
      </c>
      <c r="AZ29" s="64" t="s" ph="1">
        <v>216</v>
      </c>
      <c r="BA29" s="64" ph="1">
        <v>0</v>
      </c>
      <c r="BD29" s="64" t="s" ph="1">
        <v>353</v>
      </c>
      <c r="BE29" s="64" ph="1">
        <v>890</v>
      </c>
    </row>
    <row r="30" spans="1:57" ph="1">
      <c r="D30" s="94" ph="1"/>
      <c r="Z30" s="64" t="s" ph="1">
        <v>35</v>
      </c>
      <c r="AE30" s="95" ph="1"/>
      <c r="AH30" s="64" ph="1">
        <v>16</v>
      </c>
      <c r="AI30" s="64" t="s" ph="1">
        <v>354</v>
      </c>
      <c r="AZ30" s="64" t="s" ph="1">
        <v>216</v>
      </c>
      <c r="BA30" s="64" ph="1">
        <v>0</v>
      </c>
    </row>
    <row r="31" spans="1:57" ht="28.2" ph="1">
      <c r="A31" s="64"/>
      <c r="B31" s="220" t="s" ph="1">
        <v>35</v>
      </c>
      <c r="C31" s="221" ph="1"/>
      <c r="D31" s="224" t="s" ph="1">
        <v>9</v>
      </c>
      <c r="E31" s="199" ph="1"/>
      <c r="F31" s="200" ph="1"/>
      <c r="G31" s="224" t="s" ph="1">
        <v>18</v>
      </c>
      <c r="H31" s="199" ph="1"/>
      <c r="I31" s="200" ph="1"/>
      <c r="J31" s="198" t="s" ph="1">
        <v>1</v>
      </c>
      <c r="K31" s="199" ph="1"/>
      <c r="L31" s="200" ph="1"/>
      <c r="M31" s="198" t="s" ph="1">
        <v>7</v>
      </c>
      <c r="N31" s="199" ph="1"/>
      <c r="O31" s="200" ph="1"/>
      <c r="P31" s="198" t="s" ph="1">
        <v>41</v>
      </c>
      <c r="Q31" s="199"/>
      <c r="R31" s="200"/>
      <c r="S31" s="198" t="s" ph="1">
        <v>2</v>
      </c>
      <c r="T31" s="199"/>
      <c r="U31" s="200"/>
      <c r="V31" s="198" t="s" ph="1">
        <v>71</v>
      </c>
      <c r="W31" s="199" ph="1"/>
      <c r="X31" s="200" ph="1"/>
      <c r="Y31" s="198" t="s" ph="1">
        <v>3</v>
      </c>
      <c r="Z31" s="199" ph="1"/>
      <c r="AA31" s="200" ph="1"/>
      <c r="AB31" s="201" t="s">
        <v>42</v>
      </c>
      <c r="AC31" s="202"/>
      <c r="AD31" s="202"/>
      <c r="AE31" s="203"/>
      <c r="AH31" s="64" ph="1">
        <v>17</v>
      </c>
      <c r="AI31" s="64" t="s" ph="1">
        <v>355</v>
      </c>
      <c r="AZ31" s="64" t="s" ph="1">
        <v>216</v>
      </c>
      <c r="BA31" s="64" ph="1">
        <v>0</v>
      </c>
      <c r="BD31" s="64" t="s" ph="1">
        <v>356</v>
      </c>
      <c r="BE31" s="64" ph="1">
        <v>9310</v>
      </c>
    </row>
    <row r="32" spans="1:57" ph="1">
      <c r="A32" s="64"/>
      <c r="B32" s="222" ph="1"/>
      <c r="C32" s="223" ph="1"/>
      <c r="D32" s="96" t="s" ph="1">
        <v>4</v>
      </c>
      <c r="E32" s="150" t="s" ph="1">
        <v>5</v>
      </c>
      <c r="F32" s="151" t="s" ph="1">
        <v>43</v>
      </c>
      <c r="G32" s="97" t="s" ph="1">
        <v>4</v>
      </c>
      <c r="H32" s="150" t="s" ph="1">
        <v>5</v>
      </c>
      <c r="I32" s="151" t="s" ph="1">
        <v>43</v>
      </c>
      <c r="J32" s="97" t="s" ph="1">
        <v>4</v>
      </c>
      <c r="K32" s="150" t="s" ph="1">
        <v>5</v>
      </c>
      <c r="L32" s="151" t="s" ph="1">
        <v>43</v>
      </c>
      <c r="M32" s="97" t="s" ph="1">
        <v>4</v>
      </c>
      <c r="N32" s="150" t="s" ph="1">
        <v>5</v>
      </c>
      <c r="O32" s="151" t="s" ph="1">
        <v>43</v>
      </c>
      <c r="P32" s="97" t="s" ph="1">
        <v>4</v>
      </c>
      <c r="Q32" s="98" t="s" ph="1">
        <v>5</v>
      </c>
      <c r="R32" s="99" t="s" ph="1">
        <v>43</v>
      </c>
      <c r="S32" s="97" t="s" ph="1">
        <v>4</v>
      </c>
      <c r="T32" s="150" t="s" ph="1">
        <v>5</v>
      </c>
      <c r="U32" s="99" t="s" ph="1">
        <v>43</v>
      </c>
      <c r="V32" s="97" t="s" ph="1">
        <v>4</v>
      </c>
      <c r="W32" s="150" t="s" ph="1">
        <v>5</v>
      </c>
      <c r="X32" s="99" t="s" ph="1">
        <v>43</v>
      </c>
      <c r="Y32" s="100" t="s" ph="1">
        <v>4</v>
      </c>
      <c r="Z32" s="150" t="s" ph="1">
        <v>5</v>
      </c>
      <c r="AA32" s="151" t="s" ph="1">
        <v>43</v>
      </c>
      <c r="AB32" s="97" t="s" ph="1">
        <v>85</v>
      </c>
      <c r="AC32" s="150" t="s" ph="1">
        <v>84</v>
      </c>
      <c r="AD32" s="204" t="s" ph="1">
        <v>83</v>
      </c>
      <c r="AE32" s="205"/>
      <c r="AH32" s="64" ph="1">
        <v>18</v>
      </c>
      <c r="AI32" s="64" t="s" ph="1">
        <v>357</v>
      </c>
      <c r="AZ32" s="64" t="s" ph="1">
        <v>216</v>
      </c>
      <c r="BA32" s="64" ph="1">
        <v>0</v>
      </c>
    </row>
    <row r="33" spans="1:57" ph="1">
      <c r="A33" s="64"/>
      <c r="B33" s="206" t="s" ph="1">
        <v>181</v>
      </c>
      <c r="C33" s="207" ph="1"/>
      <c r="D33" s="186" ph="1">
        <f>AA10+AB10+Z19</f>
        <v>75585.893995200007</v>
      </c>
      <c r="E33" s="186" ph="1">
        <f>M10+I10</f>
        <v>128908.6677656</v>
      </c>
      <c r="F33" s="210" ph="1">
        <f>表格_取樣回收每月庫存表_0620更新1522252632456786910111213141516171819202123456789101112131415161718192022232424356789101112131415161718192021222345678910111213141516171819202345678910111213149101516171819222123234567891012131415161711181920212224252345678910111213126[[#This Row],[F25]]</f>
        <v>3880</v>
      </c>
      <c r="G33" s="212" ph="1">
        <f>N19</f>
        <v>21122.80667116</v>
      </c>
      <c r="H33" s="186" ph="1">
        <f>M19</f>
        <v>6528.3881136720011</v>
      </c>
      <c r="I33" s="190" ph="1">
        <v>0</v>
      </c>
      <c r="J33" s="194" ph="1">
        <f>F10+O28</f>
        <v>117530.2408838</v>
      </c>
      <c r="K33" s="186" ph="1">
        <f>O10+K10+E28+R28</f>
        <v>228790.14506027999</v>
      </c>
      <c r="L33" s="196" ph="1">
        <f>K19</f>
        <v>36951.079715480002</v>
      </c>
      <c r="M33" s="194" ph="1">
        <f>G10+H10+W28+S28+V28+E10+R19+P28+Q28</f>
        <v>628464.64012940007</v>
      </c>
      <c r="N33" s="186" ph="1">
        <f>L10+P10++G28+H28+AD19+AE19</f>
        <v>148852.1904198</v>
      </c>
      <c r="O33" s="190" ph="1">
        <f>G19</f>
        <v>19595.102298459999</v>
      </c>
      <c r="P33" s="194" ph="1">
        <f>L19</f>
        <v>37769.8600019</v>
      </c>
      <c r="Q33" s="186" ph="1">
        <f>J10+N10</f>
        <v>66372.810370199993</v>
      </c>
      <c r="R33" s="190" ph="1">
        <f>BE23</f>
        <v>890</v>
      </c>
      <c r="S33" s="194" ph="1">
        <f>X28</f>
        <v>143825.36505720002</v>
      </c>
      <c r="T33" s="186" ph="1">
        <f>X19</f>
        <v>13834.497763519998</v>
      </c>
      <c r="U33" s="175" ph="1">
        <f>BE21</f>
        <v>730</v>
      </c>
      <c r="V33" s="188" ph="1">
        <f ca="1">P19+Q19+S19+M28+N28+J28+D10+AC10+D19+E19+H19+J19+O19+V19+W19+K28+L28</f>
        <v>800060.49839995801</v>
      </c>
      <c r="W33" s="188" ph="1">
        <f>D28+F28+T28+I28</f>
        <v>19362.520903135999</v>
      </c>
      <c r="X33" s="190" ph="1">
        <f>BE29+BE31</f>
        <v>10200</v>
      </c>
      <c r="Y33" s="192" ph="1">
        <f>+Q10+R10+S10+T10+U10+V10+W10+X10+Y10</f>
        <v>188803.4228388</v>
      </c>
      <c r="Z33" s="173" ph="1">
        <f>T19+U19+Y28+Z10</f>
        <v>245486.36992624</v>
      </c>
      <c r="AA33" s="175" ph="1">
        <f>BE19</f>
        <v>1440</v>
      </c>
      <c r="AB33" s="177" ph="1">
        <f>I19</f>
        <v>46873.131200600001</v>
      </c>
      <c r="AC33" s="179" ph="1">
        <f>AD10+AB19</f>
        <v>70168.365993600004</v>
      </c>
      <c r="AD33" s="181" ph="1">
        <v>0</v>
      </c>
      <c r="AE33" s="182"/>
      <c r="AH33" s="64" ph="1">
        <v>19</v>
      </c>
      <c r="AI33" s="64" t="s" ph="1">
        <v>358</v>
      </c>
      <c r="AJ33" s="64" t="s" ph="1">
        <v>592</v>
      </c>
      <c r="AK33" s="64" t="s" ph="1">
        <v>589</v>
      </c>
      <c r="AL33" s="64" ph="1">
        <v>730</v>
      </c>
      <c r="AM33" s="64" t="s" ph="1">
        <v>339</v>
      </c>
      <c r="AZ33" s="64" t="s" ph="1">
        <v>216</v>
      </c>
      <c r="BA33" s="64" ph="1">
        <v>730</v>
      </c>
      <c r="BD33" s="64" t="s" ph="1">
        <v>290</v>
      </c>
      <c r="BE33" s="64" ph="1">
        <v>3880</v>
      </c>
    </row>
    <row r="34" spans="1:57" ph="1">
      <c r="A34" s="64"/>
      <c r="B34" s="208" ph="1"/>
      <c r="C34" s="209" ph="1"/>
      <c r="D34" s="187" ph="1"/>
      <c r="E34" s="187" ph="1"/>
      <c r="F34" s="211" ph="1"/>
      <c r="G34" s="213" ph="1"/>
      <c r="H34" s="187" ph="1"/>
      <c r="I34" s="191" ph="1"/>
      <c r="J34" s="195" ph="1"/>
      <c r="K34" s="187" ph="1"/>
      <c r="L34" s="197" ph="1"/>
      <c r="M34" s="195" ph="1"/>
      <c r="N34" s="187" ph="1"/>
      <c r="O34" s="191" ph="1"/>
      <c r="P34" s="195" ph="1"/>
      <c r="Q34" s="187" ph="1"/>
      <c r="R34" s="191" ph="1"/>
      <c r="S34" s="195" ph="1"/>
      <c r="T34" s="187"/>
      <c r="U34" s="176"/>
      <c r="V34" s="189" ph="1"/>
      <c r="W34" s="189" ph="1"/>
      <c r="X34" s="191" ph="1"/>
      <c r="Y34" s="193" ph="1"/>
      <c r="Z34" s="174" ph="1"/>
      <c r="AA34" s="176" ph="1"/>
      <c r="AB34" s="178"/>
      <c r="AC34" s="180"/>
      <c r="AD34" s="183"/>
      <c r="AE34" s="184"/>
      <c r="AH34" s="64" ph="1">
        <v>20</v>
      </c>
      <c r="AI34" s="64" t="s" ph="1">
        <v>359</v>
      </c>
      <c r="AJ34" s="64" t="s" ph="1">
        <v>593</v>
      </c>
      <c r="AK34" s="64" t="s" ph="1">
        <v>589</v>
      </c>
      <c r="AL34" s="64" ph="1">
        <v>720</v>
      </c>
      <c r="AM34" s="64" t="s" ph="1">
        <v>339</v>
      </c>
      <c r="AZ34" s="64" t="s" ph="1">
        <v>216</v>
      </c>
      <c r="BA34" s="64" ph="1">
        <v>720</v>
      </c>
    </row>
    <row r="35" spans="1:57" ph="1">
      <c r="A35" s="64"/>
      <c r="AC35" s="185" t="s" ph="1">
        <v>631</v>
      </c>
      <c r="AD35" s="185"/>
      <c r="AE35" s="185"/>
      <c r="AH35" s="64" ph="1">
        <v>21</v>
      </c>
      <c r="AI35" s="64" t="s" ph="1">
        <v>360</v>
      </c>
      <c r="AZ35" s="64" t="s" ph="1">
        <v>216</v>
      </c>
      <c r="BA35" s="64" ph="1">
        <v>0</v>
      </c>
      <c r="BD35" s="64" t="s" ph="1">
        <v>361</v>
      </c>
      <c r="BE35" s="64" ph="1">
        <v>2030</v>
      </c>
    </row>
    <row r="36" spans="1:57" ht="28.2" ph="1">
      <c r="A36" s="64"/>
      <c r="B36" s="103" t="s" ph="1">
        <v>182</v>
      </c>
      <c r="I36" s="171" t="s" ph="1">
        <v>183</v>
      </c>
      <c r="J36" s="171" ph="1"/>
      <c r="K36" s="101" ph="1"/>
      <c r="P36" s="101" ph="1"/>
      <c r="R36" s="171" t="s" ph="1">
        <v>184</v>
      </c>
      <c r="S36" s="171" ph="1"/>
      <c r="Y36" s="102" ph="1"/>
      <c r="Z36" s="152" t="s" ph="1">
        <v>185</v>
      </c>
      <c r="AA36" s="152" ph="1"/>
      <c r="AB36" s="172" t="s" ph="1">
        <v>640</v>
      </c>
      <c r="AC36" s="172" ph="1"/>
      <c r="AD36" s="172" ph="1"/>
      <c r="AE36" s="172" ph="1"/>
      <c r="BA36" s="64" ph="1">
        <v>2270</v>
      </c>
    </row>
    <row r="37" spans="1:57" s="152" customFormat="1" ph="1">
      <c r="A37" s="64" ph="1"/>
      <c r="B37" s="64" ph="1"/>
      <c r="C37" s="64" ph="1"/>
      <c r="D37" s="64" ph="1"/>
      <c r="E37" s="64" ph="1"/>
      <c r="F37" s="64" ph="1"/>
      <c r="G37" s="64" ph="1"/>
      <c r="H37" s="64" ph="1"/>
      <c r="I37" s="64" ph="1"/>
      <c r="J37" s="64" ph="1"/>
      <c r="K37" s="64" ph="1"/>
      <c r="L37" s="64" ph="1"/>
      <c r="M37" s="64" ph="1"/>
      <c r="N37" s="64" ph="1"/>
      <c r="O37" s="64" ph="1"/>
      <c r="P37" s="64" ph="1"/>
      <c r="Q37" s="64" ph="1"/>
      <c r="R37" s="64" ph="1"/>
      <c r="S37" s="64" ph="1"/>
      <c r="T37" s="64" ph="1"/>
      <c r="U37" s="64" ph="1"/>
      <c r="V37" s="64" ph="1"/>
      <c r="W37" s="64" ph="1"/>
      <c r="X37" s="64" ph="1"/>
      <c r="Y37" s="64" ph="1"/>
      <c r="Z37" s="64" ph="1"/>
      <c r="AA37" s="64" ph="1"/>
      <c r="AB37" s="64" ph="1"/>
      <c r="AC37" s="64" ph="1"/>
      <c r="AD37" s="64" ph="1"/>
      <c r="AE37" s="64" ph="1"/>
      <c r="AG37" s="152" t="s" ph="1">
        <v>342</v>
      </c>
      <c r="AI37" s="152" t="s" ph="1">
        <v>209</v>
      </c>
      <c r="AJ37" s="152" t="s" ph="1">
        <v>210</v>
      </c>
      <c r="AK37" s="152" t="s" ph="1">
        <v>211</v>
      </c>
      <c r="AM37" s="152" t="s" ph="1">
        <v>210</v>
      </c>
      <c r="AN37" s="152" t="s" ph="1">
        <v>211</v>
      </c>
      <c r="AO37" s="152" t="s" ph="1">
        <v>212</v>
      </c>
      <c r="AP37" s="152" t="s" ph="1">
        <v>210</v>
      </c>
      <c r="AQ37" s="152" t="s" ph="1">
        <v>211</v>
      </c>
      <c r="AR37" s="152" t="s" ph="1">
        <v>212</v>
      </c>
      <c r="AS37" s="152" t="s" ph="1">
        <v>210</v>
      </c>
      <c r="AT37" s="152" t="s" ph="1">
        <v>211</v>
      </c>
      <c r="AU37" s="152" t="s" ph="1">
        <v>212</v>
      </c>
      <c r="AV37" s="152" t="s" ph="1">
        <v>210</v>
      </c>
      <c r="AW37" s="152" t="s" ph="1">
        <v>211</v>
      </c>
      <c r="AX37" s="152" t="s" ph="1">
        <v>212</v>
      </c>
      <c r="AY37" s="152" t="s" ph="1">
        <v>211</v>
      </c>
      <c r="AZ37" s="152" t="s" ph="1">
        <v>213</v>
      </c>
      <c r="BD37" s="152" t="s" ph="1">
        <v>305</v>
      </c>
      <c r="BE37" s="152" ph="1">
        <v>0</v>
      </c>
    </row>
    <row r="38" spans="1:57" ph="1">
      <c r="AE38" s="64" ph="1"/>
      <c r="AH38" s="64" ph="1">
        <v>1</v>
      </c>
      <c r="AI38" s="64" t="s" ph="1">
        <v>362</v>
      </c>
      <c r="AY38" s="64" t="s" ph="1">
        <v>216</v>
      </c>
      <c r="AZ38" s="64" t="s" ph="1">
        <v>367</v>
      </c>
    </row>
    <row r="39" spans="1:57" ph="1">
      <c r="AH39" s="64" ph="1">
        <v>2</v>
      </c>
      <c r="AI39" s="64" t="s" ph="1">
        <v>364</v>
      </c>
      <c r="AJ39" s="64" t="s" ph="1">
        <v>336</v>
      </c>
      <c r="AK39" s="64" t="s" ph="1">
        <v>365</v>
      </c>
      <c r="AM39" s="64" t="s" ph="1">
        <v>570</v>
      </c>
      <c r="AN39" s="64" t="s" ph="1">
        <v>228</v>
      </c>
      <c r="AO39" s="64" t="s" ph="1">
        <v>363</v>
      </c>
      <c r="AY39" s="64" t="s" ph="1">
        <v>216</v>
      </c>
      <c r="AZ39" s="64" t="s" ph="1">
        <v>499</v>
      </c>
    </row>
    <row r="40" spans="1:57" ph="1">
      <c r="AH40" s="64" ph="1">
        <v>3</v>
      </c>
      <c r="AI40" s="64" t="s" ph="1">
        <v>366</v>
      </c>
      <c r="AJ40" s="64" t="s" ph="1">
        <v>570</v>
      </c>
      <c r="AK40" s="64" t="s" ph="1">
        <v>571</v>
      </c>
      <c r="AY40" s="64" t="s" ph="1">
        <v>216</v>
      </c>
      <c r="AZ40" s="64" t="s" ph="1">
        <v>571</v>
      </c>
    </row>
    <row r="41" spans="1:57" ph="1">
      <c r="AH41" s="64" ph="1">
        <v>4</v>
      </c>
      <c r="AI41" s="64" t="s" ph="1">
        <v>368</v>
      </c>
      <c r="AJ41" s="64" t="s" ph="1">
        <v>572</v>
      </c>
      <c r="AK41" s="64" t="s" ph="1">
        <v>573</v>
      </c>
      <c r="AM41" s="64" t="s" ph="1">
        <v>574</v>
      </c>
      <c r="AY41" s="64" t="s" ph="1">
        <v>216</v>
      </c>
      <c r="AZ41" s="64" t="s" ph="1">
        <v>573</v>
      </c>
    </row>
    <row r="42" spans="1:57" ph="1">
      <c r="P42" s="64"/>
      <c r="Q42" s="64"/>
      <c r="R42" s="64"/>
      <c r="S42" s="64"/>
      <c r="T42" s="64"/>
      <c r="U42" s="64"/>
      <c r="V42" s="64"/>
      <c r="W42" s="64"/>
      <c r="X42" s="64"/>
      <c r="Y42" s="64"/>
      <c r="Z42" s="64"/>
      <c r="AA42" s="64"/>
      <c r="AB42" s="64"/>
      <c r="AC42" s="64"/>
      <c r="AD42" s="64"/>
      <c r="AE42" s="75"/>
      <c r="AH42" s="64" ph="1">
        <v>5</v>
      </c>
      <c r="AI42" s="64" t="s" ph="1">
        <v>369</v>
      </c>
      <c r="AY42" s="64" t="s" ph="1">
        <v>216</v>
      </c>
      <c r="AZ42" s="64" t="s" ph="1">
        <v>367</v>
      </c>
    </row>
    <row r="43" spans="1:57" ph="1">
      <c r="C43" s="64"/>
      <c r="D43" s="64"/>
      <c r="E43" s="64"/>
      <c r="F43" s="64"/>
      <c r="G43" s="64"/>
      <c r="H43" s="64"/>
      <c r="I43" s="64"/>
      <c r="J43" s="64"/>
      <c r="K43" s="64"/>
      <c r="L43" s="64"/>
      <c r="M43" s="64"/>
      <c r="N43" s="64"/>
      <c r="O43" s="64"/>
      <c r="P43" s="64"/>
      <c r="R43" s="64"/>
      <c r="S43" s="64"/>
      <c r="T43" s="64"/>
      <c r="U43" s="64"/>
      <c r="V43" s="64"/>
      <c r="W43" s="64"/>
      <c r="X43" s="64"/>
      <c r="Y43" s="64"/>
      <c r="Z43" s="64"/>
      <c r="AA43" s="64"/>
      <c r="AB43" s="64"/>
      <c r="AC43" s="64"/>
      <c r="AD43" s="64"/>
      <c r="AE43" s="75"/>
      <c r="AH43" s="64" ph="1">
        <v>6</v>
      </c>
      <c r="AI43" s="64" t="s" ph="1">
        <v>370</v>
      </c>
      <c r="AY43" s="64" t="s" ph="1">
        <v>216</v>
      </c>
      <c r="AZ43" s="64" t="s" ph="1">
        <v>367</v>
      </c>
    </row>
    <row r="44" spans="1:57" ph="1">
      <c r="R44" s="64"/>
      <c r="S44" s="64"/>
      <c r="T44" s="64"/>
      <c r="U44" s="64"/>
      <c r="V44" s="64"/>
      <c r="W44" s="64"/>
      <c r="X44" s="64"/>
      <c r="Y44" s="64"/>
      <c r="Z44" s="64"/>
      <c r="AA44" s="64"/>
      <c r="AB44" s="64"/>
      <c r="AC44" s="64"/>
      <c r="AD44" s="64"/>
      <c r="AE44" s="75"/>
      <c r="AH44" s="64" ph="1">
        <v>7</v>
      </c>
      <c r="AI44" s="64" t="s" ph="1">
        <v>371</v>
      </c>
      <c r="AV44" s="64" t="s" ph="1">
        <v>217</v>
      </c>
      <c r="AY44" s="64" t="s" ph="1">
        <v>216</v>
      </c>
      <c r="AZ44" s="64" t="s" ph="1">
        <v>367</v>
      </c>
    </row>
    <row r="45" spans="1:57" ph="1">
      <c r="R45" s="64"/>
      <c r="S45" s="64"/>
      <c r="T45" s="64"/>
      <c r="U45" s="64"/>
      <c r="V45" s="64"/>
      <c r="W45" s="64"/>
      <c r="X45" s="64"/>
      <c r="Y45" s="64"/>
      <c r="Z45" s="64"/>
      <c r="AA45" s="64"/>
      <c r="AB45" s="64"/>
      <c r="AC45" s="64"/>
      <c r="AD45" s="64"/>
      <c r="AE45" s="75"/>
      <c r="AH45" s="64" ph="1">
        <v>8</v>
      </c>
      <c r="AI45" s="64" t="s" ph="1">
        <v>372</v>
      </c>
      <c r="AV45" s="64" t="s" ph="1">
        <v>217</v>
      </c>
      <c r="AY45" s="64" t="s" ph="1">
        <v>216</v>
      </c>
      <c r="AZ45" s="64" t="s" ph="1">
        <v>367</v>
      </c>
    </row>
    <row r="46" spans="1:57" ph="1">
      <c r="R46" s="64"/>
      <c r="S46" s="64"/>
      <c r="T46" s="64"/>
      <c r="U46" s="64"/>
      <c r="V46" s="64"/>
      <c r="W46" s="64"/>
      <c r="X46" s="64"/>
      <c r="Y46" s="64"/>
      <c r="Z46" s="64"/>
      <c r="AA46" s="64"/>
      <c r="AB46" s="64"/>
      <c r="AC46" s="64"/>
      <c r="AD46" s="64"/>
      <c r="AE46" s="75"/>
      <c r="AH46" s="64" ph="1">
        <v>9</v>
      </c>
      <c r="AI46" s="64" t="s" ph="1">
        <v>373</v>
      </c>
      <c r="AV46" s="64" t="s" ph="1">
        <v>217</v>
      </c>
      <c r="AY46" s="64" t="s" ph="1">
        <v>216</v>
      </c>
      <c r="AZ46" s="64" t="s" ph="1">
        <v>367</v>
      </c>
    </row>
    <row r="47" spans="1:57" ph="1">
      <c r="R47" s="64"/>
      <c r="S47" s="64"/>
      <c r="T47" s="64"/>
      <c r="U47" s="64"/>
      <c r="V47" s="64"/>
      <c r="W47" s="64"/>
      <c r="X47" s="64"/>
      <c r="Y47" s="64"/>
      <c r="Z47" s="64"/>
      <c r="AA47" s="64"/>
      <c r="AB47" s="64"/>
      <c r="AC47" s="64"/>
      <c r="AD47" s="64"/>
      <c r="AE47" s="75"/>
      <c r="AH47" s="64" ph="1">
        <v>10</v>
      </c>
      <c r="AI47" s="64" t="s" ph="1">
        <v>374</v>
      </c>
      <c r="AV47" s="64" t="s" ph="1">
        <v>217</v>
      </c>
      <c r="AY47" s="64" t="s" ph="1">
        <v>216</v>
      </c>
      <c r="AZ47" s="64" t="s" ph="1">
        <v>367</v>
      </c>
    </row>
    <row r="48" spans="1:57" ph="1">
      <c r="R48" s="64"/>
      <c r="S48" s="64"/>
      <c r="T48" s="64"/>
      <c r="U48" s="64"/>
      <c r="V48" s="64"/>
      <c r="W48" s="64"/>
      <c r="X48" s="64"/>
      <c r="Y48" s="64"/>
      <c r="Z48" s="64"/>
      <c r="AA48" s="64"/>
      <c r="AB48" s="64"/>
      <c r="AC48" s="64"/>
      <c r="AD48" s="64"/>
      <c r="AE48" s="75"/>
      <c r="AZ48" s="64" t="s" ph="1">
        <v>575</v>
      </c>
    </row>
    <row r="49" spans="16:52" ph="1">
      <c r="R49" s="64"/>
      <c r="S49" s="64"/>
      <c r="T49" s="64"/>
      <c r="U49" s="64"/>
      <c r="V49" s="64"/>
      <c r="W49" s="64"/>
      <c r="X49" s="64"/>
      <c r="Y49" s="64"/>
      <c r="Z49" s="64"/>
      <c r="AA49" s="64"/>
      <c r="AB49" s="64"/>
      <c r="AC49" s="64"/>
      <c r="AD49" s="64"/>
      <c r="AE49" s="75"/>
      <c r="AG49" s="64" t="s" ph="1">
        <v>232</v>
      </c>
      <c r="AI49" s="64" t="s" ph="1">
        <v>209</v>
      </c>
      <c r="AJ49" s="64" t="s" ph="1">
        <v>210</v>
      </c>
      <c r="AK49" s="64" t="s" ph="1">
        <v>211</v>
      </c>
      <c r="AM49" s="64" t="s" ph="1">
        <v>210</v>
      </c>
      <c r="AN49" s="64" t="s" ph="1">
        <v>211</v>
      </c>
      <c r="AO49" s="64" t="s" ph="1">
        <v>212</v>
      </c>
      <c r="AP49" s="64" t="s" ph="1">
        <v>210</v>
      </c>
      <c r="AQ49" s="64" t="s" ph="1">
        <v>211</v>
      </c>
      <c r="AR49" s="64" t="s" ph="1">
        <v>212</v>
      </c>
      <c r="AS49" s="64" t="s" ph="1">
        <v>210</v>
      </c>
      <c r="AT49" s="64" t="s" ph="1">
        <v>211</v>
      </c>
      <c r="AU49" s="64" t="s" ph="1">
        <v>212</v>
      </c>
      <c r="AV49" s="64" t="s" ph="1">
        <v>210</v>
      </c>
      <c r="AW49" s="64" t="s" ph="1">
        <v>211</v>
      </c>
      <c r="AX49" s="64" t="s" ph="1">
        <v>212</v>
      </c>
      <c r="AY49" s="64" t="s" ph="1">
        <v>211</v>
      </c>
      <c r="AZ49" s="64" t="s" ph="1">
        <v>213</v>
      </c>
    </row>
    <row r="50" spans="16:52" ph="1">
      <c r="R50" s="64"/>
      <c r="S50" s="64"/>
      <c r="T50" s="64"/>
      <c r="U50" s="64"/>
      <c r="V50" s="64"/>
      <c r="W50" s="64"/>
      <c r="X50" s="64"/>
      <c r="Y50" s="64"/>
      <c r="Z50" s="64"/>
      <c r="AA50" s="64"/>
      <c r="AB50" s="64"/>
      <c r="AC50" s="64"/>
      <c r="AD50" s="64"/>
      <c r="AE50" s="75"/>
      <c r="AH50" s="64" ph="1">
        <v>1</v>
      </c>
      <c r="AI50" s="64" t="s" ph="1">
        <v>375</v>
      </c>
      <c r="AY50" s="64" t="s" ph="1">
        <v>216</v>
      </c>
      <c r="AZ50" s="64" t="s" ph="1">
        <v>367</v>
      </c>
    </row>
    <row r="51" spans="16:52" ph="1">
      <c r="R51" s="64"/>
      <c r="S51" s="64"/>
      <c r="T51" s="64"/>
      <c r="U51" s="64"/>
      <c r="V51" s="64"/>
      <c r="W51" s="64"/>
      <c r="X51" s="64"/>
      <c r="Y51" s="64"/>
      <c r="Z51" s="64"/>
      <c r="AA51" s="64"/>
      <c r="AB51" s="64"/>
      <c r="AC51" s="64"/>
      <c r="AD51" s="64"/>
      <c r="AE51" s="75"/>
      <c r="AH51" s="64" ph="1">
        <v>2</v>
      </c>
      <c r="AI51" s="64" t="s" ph="1">
        <v>376</v>
      </c>
      <c r="AY51" s="64" t="s" ph="1">
        <v>216</v>
      </c>
      <c r="AZ51" s="64" t="s" ph="1">
        <v>367</v>
      </c>
    </row>
    <row r="52" spans="16:52" ph="1">
      <c r="R52" s="64"/>
      <c r="S52" s="64"/>
      <c r="T52" s="64"/>
      <c r="U52" s="64"/>
      <c r="V52" s="64"/>
      <c r="W52" s="64"/>
      <c r="X52" s="64"/>
      <c r="Y52" s="64"/>
      <c r="Z52" s="64"/>
      <c r="AA52" s="64"/>
      <c r="AB52" s="64"/>
      <c r="AC52" s="64"/>
      <c r="AD52" s="64"/>
      <c r="AE52" s="75"/>
      <c r="AH52" s="64" ph="1">
        <v>3</v>
      </c>
      <c r="AI52" s="64" t="s" ph="1">
        <v>377</v>
      </c>
      <c r="AJ52" s="64" t="s" ph="1">
        <v>334</v>
      </c>
      <c r="AK52" s="64" t="s" ph="1">
        <v>228</v>
      </c>
      <c r="AM52" s="64" t="s" ph="1">
        <v>336</v>
      </c>
      <c r="AN52" s="64" t="s" ph="1">
        <v>300</v>
      </c>
      <c r="AO52" s="64" t="s" ph="1">
        <v>233</v>
      </c>
      <c r="AP52" s="64" t="s" ph="1">
        <v>570</v>
      </c>
      <c r="AQ52" s="64" t="s" ph="1">
        <v>282</v>
      </c>
      <c r="AR52" s="64" t="s" ph="1">
        <v>233</v>
      </c>
      <c r="AY52" s="64" t="s" ph="1">
        <v>216</v>
      </c>
      <c r="AZ52" s="64" t="s" ph="1">
        <v>576</v>
      </c>
    </row>
    <row r="53" spans="16:52" ph="1">
      <c r="R53" s="64"/>
      <c r="S53" s="64"/>
      <c r="T53" s="64"/>
      <c r="U53" s="64"/>
      <c r="W53" s="64"/>
      <c r="X53" s="64"/>
      <c r="Y53" s="64"/>
      <c r="Z53" s="64"/>
      <c r="AA53" s="64"/>
      <c r="AB53" s="64"/>
      <c r="AC53" s="64"/>
      <c r="AD53" s="64"/>
      <c r="AH53" s="64" ph="1">
        <v>4</v>
      </c>
      <c r="AI53" s="64" t="s" ph="1">
        <v>378</v>
      </c>
      <c r="AY53" s="64" t="s" ph="1">
        <v>216</v>
      </c>
      <c r="AZ53" s="64" t="s" ph="1">
        <v>367</v>
      </c>
    </row>
    <row r="54" spans="16:52" ph="1">
      <c r="R54" s="64"/>
      <c r="S54" s="64"/>
      <c r="T54" s="64"/>
      <c r="U54" s="64"/>
      <c r="W54" s="64"/>
      <c r="X54" s="64"/>
      <c r="Y54" s="64"/>
      <c r="Z54" s="64"/>
      <c r="AA54" s="64"/>
      <c r="AC54" s="64"/>
      <c r="AD54" s="64"/>
      <c r="AH54" s="64" ph="1">
        <v>5</v>
      </c>
      <c r="AI54" s="64" t="s" ph="1">
        <v>379</v>
      </c>
      <c r="AJ54" s="64" t="s" ph="1">
        <v>334</v>
      </c>
      <c r="AK54" s="64" t="s" ph="1">
        <v>219</v>
      </c>
      <c r="AM54" s="64" t="s" ph="1">
        <v>336</v>
      </c>
      <c r="AN54" s="64" t="s" ph="1">
        <v>224</v>
      </c>
      <c r="AO54" s="64" t="s" ph="1">
        <v>233</v>
      </c>
      <c r="AP54" s="64" t="s" ph="1">
        <v>570</v>
      </c>
      <c r="AQ54" s="64" t="s" ph="1">
        <v>240</v>
      </c>
      <c r="AR54" s="64" t="s" ph="1">
        <v>233</v>
      </c>
      <c r="AY54" s="64" t="s" ph="1">
        <v>216</v>
      </c>
      <c r="AZ54" s="64" t="s" ph="1">
        <v>234</v>
      </c>
    </row>
    <row r="55" spans="16:52" ph="1">
      <c r="R55" s="64"/>
      <c r="S55" s="64"/>
      <c r="T55" s="64"/>
      <c r="U55" s="64"/>
      <c r="V55" s="64"/>
      <c r="W55" s="64"/>
      <c r="X55" s="64"/>
      <c r="Z55" s="64"/>
      <c r="AC55" s="64"/>
      <c r="AD55" s="64"/>
      <c r="AE55" s="75"/>
      <c r="AH55" s="64" ph="1">
        <v>6</v>
      </c>
      <c r="AI55" s="64" t="s" ph="1">
        <v>380</v>
      </c>
      <c r="AY55" s="64" t="s" ph="1">
        <v>216</v>
      </c>
      <c r="AZ55" s="64" t="s" ph="1">
        <v>367</v>
      </c>
    </row>
    <row r="56" spans="16:52" ph="1">
      <c r="P56" s="64" ph="1">
        <v>20260804</v>
      </c>
      <c r="R56" s="64"/>
      <c r="S56" s="64"/>
      <c r="T56" s="64"/>
      <c r="U56" s="64"/>
      <c r="V56" s="64"/>
      <c r="W56" s="64"/>
      <c r="X56" s="64"/>
      <c r="Z56" s="64"/>
      <c r="AA56" s="64"/>
      <c r="AB56" s="64"/>
      <c r="AC56" s="64"/>
      <c r="AD56" s="64"/>
      <c r="AE56" s="75"/>
      <c r="AH56" s="64" ph="1">
        <v>7</v>
      </c>
      <c r="AI56" s="64" t="s" ph="1">
        <v>381</v>
      </c>
      <c r="AY56" s="64" t="s" ph="1">
        <v>216</v>
      </c>
      <c r="AZ56" s="64" t="s" ph="1">
        <v>367</v>
      </c>
    </row>
    <row r="57" spans="16:52" ph="1">
      <c r="R57" s="64"/>
      <c r="S57" s="64"/>
      <c r="T57" s="64"/>
      <c r="U57" s="64"/>
      <c r="V57" s="64"/>
      <c r="W57" s="64"/>
      <c r="AA57" s="64"/>
      <c r="AB57" s="64"/>
      <c r="AC57" s="64"/>
      <c r="AD57" s="64"/>
      <c r="AE57" s="75"/>
      <c r="AH57" s="64" ph="1">
        <v>8</v>
      </c>
      <c r="AI57" s="64" t="s" ph="1">
        <v>382</v>
      </c>
      <c r="AY57" s="64" t="s" ph="1">
        <v>216</v>
      </c>
      <c r="AZ57" s="64" t="s" ph="1">
        <v>367</v>
      </c>
    </row>
    <row r="58" spans="16:52" ph="1">
      <c r="P58" s="64"/>
      <c r="AN58" s="64" t="s" ph="1">
        <v>217</v>
      </c>
      <c r="AZ58" s="64" t="s" ph="1">
        <v>577</v>
      </c>
    </row>
    <row r="59" spans="16:52" ph="1">
      <c r="V59" s="64"/>
      <c r="AG59" s="64" t="s" ph="1">
        <v>235</v>
      </c>
      <c r="AI59" s="64" t="s" ph="1">
        <v>209</v>
      </c>
      <c r="AJ59" s="64" t="s" ph="1">
        <v>210</v>
      </c>
      <c r="AK59" s="64" t="s" ph="1">
        <v>211</v>
      </c>
      <c r="AM59" s="64" t="s" ph="1">
        <v>210</v>
      </c>
      <c r="AN59" s="64" t="s" ph="1">
        <v>211</v>
      </c>
      <c r="AO59" s="64" t="s" ph="1">
        <v>212</v>
      </c>
      <c r="AP59" s="64" t="s" ph="1">
        <v>210</v>
      </c>
      <c r="AQ59" s="64" t="s" ph="1">
        <v>211</v>
      </c>
      <c r="AR59" s="64" t="s" ph="1">
        <v>212</v>
      </c>
      <c r="AS59" s="64" t="s" ph="1">
        <v>210</v>
      </c>
      <c r="AT59" s="64" t="s" ph="1">
        <v>211</v>
      </c>
      <c r="AU59" s="64" t="s" ph="1">
        <v>212</v>
      </c>
      <c r="AV59" s="64" t="s" ph="1">
        <v>210</v>
      </c>
      <c r="AW59" s="64" t="s" ph="1">
        <v>211</v>
      </c>
      <c r="AX59" s="64" t="s" ph="1">
        <v>212</v>
      </c>
      <c r="AY59" s="64" t="s" ph="1">
        <v>211</v>
      </c>
      <c r="AZ59" s="64" t="s" ph="1">
        <v>213</v>
      </c>
    </row>
    <row r="60" spans="16:52" ph="1">
      <c r="R60" s="64"/>
      <c r="S60" s="64"/>
      <c r="T60" s="64"/>
      <c r="AH60" s="64" ph="1">
        <v>1</v>
      </c>
      <c r="AI60" s="64" t="s" ph="1">
        <v>383</v>
      </c>
      <c r="AY60" s="64" t="s" ph="1">
        <v>216</v>
      </c>
      <c r="AZ60" s="64" t="s" ph="1">
        <v>367</v>
      </c>
    </row>
    <row r="61" spans="16:52" ph="1">
      <c r="AH61" s="64" ph="1">
        <v>2</v>
      </c>
      <c r="AI61" s="64" t="s" ph="1">
        <v>384</v>
      </c>
      <c r="AS61" s="64" t="s" ph="1">
        <v>217</v>
      </c>
      <c r="AY61" s="64" t="s" ph="1">
        <v>216</v>
      </c>
      <c r="AZ61" s="64" t="s" ph="1">
        <v>367</v>
      </c>
    </row>
    <row r="62" spans="16:52" ph="1">
      <c r="AZ62" s="64" t="s" ph="1">
        <v>385</v>
      </c>
    </row>
    <row r="63" spans="16:52" ph="1">
      <c r="AG63" s="64" t="s" ph="1">
        <v>238</v>
      </c>
      <c r="AI63" s="64" t="s" ph="1">
        <v>209</v>
      </c>
      <c r="AJ63" s="64" t="s" ph="1">
        <v>210</v>
      </c>
      <c r="AK63" s="64" t="s" ph="1">
        <v>211</v>
      </c>
      <c r="AM63" s="64" t="s" ph="1">
        <v>210</v>
      </c>
      <c r="AN63" s="64" t="s" ph="1">
        <v>211</v>
      </c>
      <c r="AO63" s="64" t="s" ph="1">
        <v>212</v>
      </c>
      <c r="AP63" s="64" t="s" ph="1">
        <v>210</v>
      </c>
      <c r="AQ63" s="64" t="s" ph="1">
        <v>211</v>
      </c>
      <c r="AR63" s="64" t="s" ph="1">
        <v>212</v>
      </c>
      <c r="AS63" s="64" t="s" ph="1">
        <v>210</v>
      </c>
      <c r="AT63" s="64" t="s" ph="1">
        <v>211</v>
      </c>
      <c r="AU63" s="64" t="s" ph="1">
        <v>212</v>
      </c>
      <c r="AV63" s="64" t="s" ph="1">
        <v>210</v>
      </c>
      <c r="AW63" s="64" t="s" ph="1">
        <v>211</v>
      </c>
      <c r="AX63" s="64" t="s" ph="1">
        <v>212</v>
      </c>
      <c r="AY63" s="64" t="s" ph="1">
        <v>211</v>
      </c>
      <c r="AZ63" s="64" t="s" ph="1">
        <v>213</v>
      </c>
    </row>
    <row r="64" spans="16:52" ph="1">
      <c r="AH64" s="64" ph="1">
        <v>1</v>
      </c>
      <c r="AI64" s="64" t="s" ph="1">
        <v>386</v>
      </c>
      <c r="AJ64" s="64" t="s" ph="1">
        <v>387</v>
      </c>
      <c r="AK64" s="64" t="s" ph="1">
        <v>388</v>
      </c>
      <c r="AY64" s="64" t="s" ph="1">
        <v>216</v>
      </c>
      <c r="AZ64" s="64" t="s" ph="1">
        <v>388</v>
      </c>
    </row>
    <row r="65" spans="33:52" ph="1">
      <c r="AH65" s="64" ph="1">
        <v>2</v>
      </c>
      <c r="AI65" s="64" t="s" ph="1">
        <v>389</v>
      </c>
      <c r="AY65" s="64" t="s" ph="1">
        <v>216</v>
      </c>
      <c r="AZ65" s="64" t="s" ph="1">
        <v>367</v>
      </c>
    </row>
    <row r="66" spans="33:52" ph="1">
      <c r="AH66" s="64" ph="1">
        <v>3</v>
      </c>
      <c r="AI66" s="64" t="s" ph="1">
        <v>390</v>
      </c>
      <c r="AY66" s="64" t="s" ph="1">
        <v>216</v>
      </c>
      <c r="AZ66" s="64" t="s" ph="1">
        <v>367</v>
      </c>
    </row>
    <row r="67" spans="33:52" ph="1">
      <c r="AH67" s="64" ph="1">
        <v>4</v>
      </c>
      <c r="AI67" s="64" t="s" ph="1">
        <v>391</v>
      </c>
      <c r="AY67" s="64" t="s" ph="1">
        <v>216</v>
      </c>
      <c r="AZ67" s="64" t="s" ph="1">
        <v>367</v>
      </c>
    </row>
    <row r="68" spans="33:52" ph="1">
      <c r="AH68" s="64" ph="1">
        <v>5</v>
      </c>
      <c r="AI68" s="64" t="s" ph="1">
        <v>392</v>
      </c>
      <c r="AY68" s="64" t="s" ph="1">
        <v>216</v>
      </c>
      <c r="AZ68" s="64" t="s" ph="1">
        <v>367</v>
      </c>
    </row>
    <row r="69" spans="33:52" ph="1">
      <c r="AH69" s="64" ph="1">
        <v>6</v>
      </c>
      <c r="AI69" s="64" t="s" ph="1">
        <v>393</v>
      </c>
      <c r="AY69" s="64" t="s" ph="1">
        <v>216</v>
      </c>
      <c r="AZ69" s="64" t="s" ph="1">
        <v>367</v>
      </c>
    </row>
    <row r="70" spans="33:52" ph="1">
      <c r="AI70" s="64" t="s" ph="1">
        <v>394</v>
      </c>
      <c r="AY70" s="64" t="s" ph="1">
        <v>216</v>
      </c>
      <c r="AZ70" s="64" t="s" ph="1">
        <v>367</v>
      </c>
    </row>
    <row r="71" spans="33:52" ph="1">
      <c r="AH71" s="64" ph="1">
        <v>7</v>
      </c>
      <c r="AI71" s="64" t="s" ph="1">
        <v>395</v>
      </c>
      <c r="AJ71" s="64" t="s" ph="1">
        <v>334</v>
      </c>
      <c r="AK71" s="64" t="s" ph="1">
        <v>228</v>
      </c>
      <c r="AM71" s="64" t="s" ph="1">
        <v>336</v>
      </c>
      <c r="AN71" s="64" t="s" ph="1">
        <v>228</v>
      </c>
      <c r="AO71" s="64" t="s" ph="1">
        <v>396</v>
      </c>
      <c r="AP71" s="64" t="s" ph="1">
        <v>570</v>
      </c>
      <c r="AQ71" s="64" t="s" ph="1">
        <v>219</v>
      </c>
      <c r="AR71" s="64" t="s" ph="1">
        <v>396</v>
      </c>
      <c r="AY71" s="64" t="s" ph="1">
        <v>216</v>
      </c>
      <c r="AZ71" s="64" t="s" ph="1">
        <v>578</v>
      </c>
    </row>
    <row r="72" spans="33:52" ph="1">
      <c r="AZ72" s="64" t="s" ph="1">
        <v>579</v>
      </c>
    </row>
    <row r="73" spans="33:52" ph="1">
      <c r="AG73" s="64" t="s" ph="1">
        <v>241</v>
      </c>
      <c r="AI73" s="64" t="s" ph="1">
        <v>209</v>
      </c>
      <c r="AJ73" s="64" t="s" ph="1">
        <v>210</v>
      </c>
      <c r="AK73" s="64" t="s" ph="1">
        <v>211</v>
      </c>
      <c r="AM73" s="64" t="s" ph="1">
        <v>210</v>
      </c>
      <c r="AN73" s="64" t="s" ph="1">
        <v>211</v>
      </c>
      <c r="AO73" s="64" t="s" ph="1">
        <v>212</v>
      </c>
      <c r="AP73" s="64" t="s" ph="1">
        <v>210</v>
      </c>
      <c r="AQ73" s="64" t="s" ph="1">
        <v>211</v>
      </c>
      <c r="AR73" s="64" t="s" ph="1">
        <v>212</v>
      </c>
      <c r="AS73" s="64" t="s" ph="1">
        <v>210</v>
      </c>
      <c r="AT73" s="64" t="s" ph="1">
        <v>211</v>
      </c>
      <c r="AU73" s="64" t="s" ph="1">
        <v>212</v>
      </c>
      <c r="AV73" s="64" t="s" ph="1">
        <v>210</v>
      </c>
      <c r="AW73" s="64" t="s" ph="1">
        <v>211</v>
      </c>
      <c r="AX73" s="64" t="s" ph="1">
        <v>212</v>
      </c>
      <c r="AY73" s="64" t="s" ph="1">
        <v>211</v>
      </c>
      <c r="AZ73" s="64" t="s" ph="1">
        <v>213</v>
      </c>
    </row>
    <row r="74" spans="33:52" ph="1">
      <c r="AH74" s="64" ph="1">
        <v>1</v>
      </c>
      <c r="AI74" s="64" t="s" ph="1">
        <v>397</v>
      </c>
      <c r="AJ74" s="64" t="s" ph="1">
        <v>242</v>
      </c>
      <c r="AK74" s="64" t="s" ph="1">
        <v>224</v>
      </c>
      <c r="AM74" s="64" t="s" ph="1">
        <v>244</v>
      </c>
      <c r="AN74" s="64" t="s" ph="1">
        <v>254</v>
      </c>
      <c r="AO74" s="64" t="s" ph="1">
        <v>243</v>
      </c>
      <c r="AP74" s="64" t="s" ph="1">
        <v>245</v>
      </c>
      <c r="AQ74" s="64" t="s" ph="1">
        <v>222</v>
      </c>
      <c r="AR74" s="64" t="s" ph="1">
        <v>243</v>
      </c>
      <c r="AS74" s="64" t="s" ph="1">
        <v>215</v>
      </c>
      <c r="AT74" s="64" t="s" ph="1">
        <v>217</v>
      </c>
      <c r="AV74" s="64" t="s" ph="1">
        <v>398</v>
      </c>
      <c r="AW74" s="64" t="s" ph="1">
        <v>399</v>
      </c>
      <c r="AX74" s="64" t="s" ph="1">
        <v>400</v>
      </c>
      <c r="AY74" s="64" t="s" ph="1">
        <v>216</v>
      </c>
      <c r="AZ74" s="64" t="s" ph="1">
        <v>401</v>
      </c>
    </row>
    <row r="75" spans="33:52" ph="1">
      <c r="AJ75" s="64" t="s" ph="1">
        <v>247</v>
      </c>
      <c r="AK75" s="64" t="s" ph="1">
        <v>300</v>
      </c>
      <c r="AM75" s="64" t="s" ph="1">
        <v>245</v>
      </c>
      <c r="AN75" s="64" t="s" ph="1">
        <v>225</v>
      </c>
      <c r="AO75" s="64" t="s" ph="1">
        <v>243</v>
      </c>
      <c r="AS75" s="64" t="s" ph="1">
        <v>215</v>
      </c>
      <c r="AT75" s="64" t="s" ph="1">
        <v>246</v>
      </c>
    </row>
    <row r="76" spans="33:52" ph="1">
      <c r="AJ76" s="64" t="s" ph="1">
        <v>247</v>
      </c>
      <c r="AK76" s="64" t="s" ph="1">
        <v>240</v>
      </c>
      <c r="AM76" s="64" t="s" ph="1">
        <v>245</v>
      </c>
      <c r="AN76" s="64" t="s" ph="1">
        <v>228</v>
      </c>
      <c r="AO76" s="64" t="s" ph="1">
        <v>243</v>
      </c>
      <c r="AS76" s="64" t="s" ph="1">
        <v>215</v>
      </c>
      <c r="AT76" s="64" t="s" ph="1">
        <v>246</v>
      </c>
    </row>
    <row r="77" spans="33:52" ph="1">
      <c r="AJ77" s="64" t="s" ph="1">
        <v>283</v>
      </c>
      <c r="AK77" s="64" t="s" ph="1">
        <v>240</v>
      </c>
      <c r="AM77" s="64" t="s" ph="1">
        <v>284</v>
      </c>
      <c r="AN77" s="64" t="s" ph="1">
        <v>223</v>
      </c>
      <c r="AO77" s="64" t="s" ph="1">
        <v>243</v>
      </c>
      <c r="AS77" s="64" t="s" ph="1">
        <v>215</v>
      </c>
      <c r="AT77" s="64" t="s" ph="1">
        <v>285</v>
      </c>
    </row>
    <row r="78" spans="33:52" ph="1">
      <c r="AH78" s="64" ph="1">
        <v>2</v>
      </c>
      <c r="AI78" s="64" t="s" ph="1">
        <v>249</v>
      </c>
      <c r="AJ78" s="64" t="s" ph="1">
        <v>250</v>
      </c>
      <c r="AK78" s="64" t="s" ph="1">
        <v>219</v>
      </c>
      <c r="AM78" s="64" t="s" ph="1">
        <v>251</v>
      </c>
      <c r="AN78" s="64" t="s" ph="1">
        <v>254</v>
      </c>
      <c r="AO78" s="64" t="s" ph="1">
        <v>243</v>
      </c>
      <c r="AP78" s="64" t="s" ph="1">
        <v>252</v>
      </c>
      <c r="AQ78" s="64" t="s" ph="1">
        <v>298</v>
      </c>
      <c r="AR78" s="64" t="s" ph="1">
        <v>243</v>
      </c>
      <c r="AS78" s="64" t="s" ph="1">
        <v>253</v>
      </c>
      <c r="AT78" s="64" t="s" ph="1">
        <v>254</v>
      </c>
      <c r="AU78" s="64" t="s" ph="1">
        <v>243</v>
      </c>
      <c r="AV78" s="64" t="s" ph="1">
        <v>255</v>
      </c>
      <c r="AW78" s="64" t="s" ph="1">
        <v>243</v>
      </c>
      <c r="AY78" s="64" t="s" ph="1">
        <v>216</v>
      </c>
      <c r="AZ78" s="64" t="s" ph="1">
        <v>402</v>
      </c>
    </row>
    <row r="79" spans="33:52" ph="1">
      <c r="AJ79" s="64" t="s" ph="1">
        <v>245</v>
      </c>
      <c r="AK79" s="64" t="s" ph="1">
        <v>256</v>
      </c>
      <c r="AM79" s="64" t="s" ph="1">
        <v>257</v>
      </c>
      <c r="AN79" s="64" t="s" ph="1">
        <v>225</v>
      </c>
      <c r="AO79" s="64" t="s" ph="1">
        <v>243</v>
      </c>
      <c r="AP79" s="64" t="s" ph="1">
        <v>258</v>
      </c>
      <c r="AQ79" s="64" t="s" ph="1">
        <v>223</v>
      </c>
      <c r="AR79" s="64" t="s" ph="1">
        <v>259</v>
      </c>
      <c r="AS79" s="64" t="s" ph="1">
        <v>215</v>
      </c>
      <c r="AT79" s="64" t="s" ph="1">
        <v>260</v>
      </c>
      <c r="AV79" s="64" t="s" ph="1">
        <v>403</v>
      </c>
      <c r="AW79" s="64" t="s" ph="1">
        <v>302</v>
      </c>
      <c r="AX79" s="64" t="s" ph="1">
        <v>400</v>
      </c>
    </row>
    <row r="80" spans="33:52" ph="1">
      <c r="AH80" s="64" ph="1">
        <v>3</v>
      </c>
      <c r="AI80" s="64" t="s" ph="1">
        <v>261</v>
      </c>
      <c r="AJ80" s="64" t="s" ph="1">
        <v>262</v>
      </c>
      <c r="AK80" s="64" t="s" ph="1">
        <v>263</v>
      </c>
      <c r="AM80" s="64" t="s" ph="1">
        <v>264</v>
      </c>
      <c r="AN80" s="64" t="s" ph="1">
        <v>254</v>
      </c>
      <c r="AO80" s="64" t="s" ph="1">
        <v>243</v>
      </c>
      <c r="AP80" s="64" t="s" ph="1">
        <v>265</v>
      </c>
      <c r="AQ80" s="64" t="s" ph="1">
        <v>228</v>
      </c>
      <c r="AR80" s="64" t="s" ph="1">
        <v>243</v>
      </c>
      <c r="AS80" s="64" t="s" ph="1">
        <v>266</v>
      </c>
      <c r="AT80" s="64" t="s" ph="1">
        <v>227</v>
      </c>
      <c r="AU80" s="64" t="s" ph="1">
        <v>243</v>
      </c>
      <c r="AV80" s="64" t="s" ph="1">
        <v>267</v>
      </c>
      <c r="AW80" s="64" t="s" ph="1">
        <v>243</v>
      </c>
      <c r="AY80" s="64" t="s" ph="1">
        <v>216</v>
      </c>
      <c r="AZ80" s="64" t="s" ph="1">
        <v>404</v>
      </c>
    </row>
    <row r="81" spans="34:52" ph="1">
      <c r="AJ81" s="64" t="s" ph="1">
        <v>268</v>
      </c>
      <c r="AK81" s="64" t="s" ph="1">
        <v>222</v>
      </c>
      <c r="AM81" s="64" t="s" ph="1">
        <v>269</v>
      </c>
      <c r="AN81" s="64" t="s" ph="1">
        <v>225</v>
      </c>
      <c r="AO81" s="64" t="s" ph="1">
        <v>243</v>
      </c>
      <c r="AP81" s="64" t="s" ph="1">
        <v>270</v>
      </c>
      <c r="AQ81" s="64" t="s" ph="1">
        <v>254</v>
      </c>
      <c r="AR81" s="64" t="s" ph="1">
        <v>243</v>
      </c>
      <c r="AS81" s="64" t="s" ph="1">
        <v>271</v>
      </c>
      <c r="AT81" s="64" t="s" ph="1">
        <v>272</v>
      </c>
      <c r="AU81" s="64" t="s" ph="1">
        <v>243</v>
      </c>
      <c r="AV81" s="64" t="s" ph="1">
        <v>273</v>
      </c>
    </row>
    <row r="82" spans="34:52" ph="1">
      <c r="AJ82" s="64" t="s" ph="1">
        <v>274</v>
      </c>
      <c r="AK82" s="64" t="s" ph="1">
        <v>222</v>
      </c>
      <c r="AM82" s="64" t="s" ph="1">
        <v>275</v>
      </c>
      <c r="AN82" s="64" t="s" ph="1">
        <v>272</v>
      </c>
      <c r="AO82" s="64" t="s" ph="1">
        <v>276</v>
      </c>
      <c r="AP82" s="64" t="s" ph="1">
        <v>277</v>
      </c>
      <c r="AQ82" s="64" t="s" ph="1">
        <v>254</v>
      </c>
      <c r="AR82" s="64" t="s" ph="1">
        <v>243</v>
      </c>
      <c r="AS82" s="64" t="s" ph="1">
        <v>278</v>
      </c>
      <c r="AT82" s="64" t="s" ph="1">
        <v>229</v>
      </c>
      <c r="AU82" s="64" t="s" ph="1">
        <v>243</v>
      </c>
      <c r="AV82" s="64" t="s" ph="1">
        <v>403</v>
      </c>
      <c r="AW82" s="64" t="s" ph="1">
        <v>303</v>
      </c>
      <c r="AX82" s="64" t="s" ph="1">
        <v>400</v>
      </c>
    </row>
    <row r="83" spans="34:52" ph="1">
      <c r="AJ83" s="64" t="s" ph="1">
        <v>279</v>
      </c>
      <c r="AK83" s="64" t="s" ph="1">
        <v>296</v>
      </c>
      <c r="AM83" s="64" t="s" ph="1">
        <v>280</v>
      </c>
      <c r="AN83" s="64" t="s" ph="1">
        <v>228</v>
      </c>
      <c r="AO83" s="64" t="s" ph="1">
        <v>259</v>
      </c>
      <c r="AP83" s="64" t="s" ph="1">
        <v>281</v>
      </c>
      <c r="AQ83" s="64" t="s" ph="1">
        <v>282</v>
      </c>
      <c r="AR83" s="64" t="s" ph="1">
        <v>259</v>
      </c>
      <c r="AS83" s="64" t="s" ph="1">
        <v>405</v>
      </c>
      <c r="AT83" s="64" t="s" ph="1">
        <v>254</v>
      </c>
      <c r="AU83" s="64" t="s" ph="1">
        <v>259</v>
      </c>
      <c r="AV83" s="64" t="s" ph="1">
        <v>406</v>
      </c>
      <c r="AW83" s="64" t="s" ph="1">
        <v>303</v>
      </c>
      <c r="AX83" s="64" t="s" ph="1">
        <v>407</v>
      </c>
    </row>
    <row r="84" spans="34:52" ph="1">
      <c r="AH84" s="64" ph="1">
        <v>4</v>
      </c>
      <c r="AI84" s="64" t="s" ph="1">
        <v>286</v>
      </c>
      <c r="AJ84" s="64" t="s" ph="1">
        <v>226</v>
      </c>
      <c r="AK84" s="64" t="s" ph="1">
        <v>229</v>
      </c>
      <c r="AM84" s="64" t="s" ph="1">
        <v>230</v>
      </c>
      <c r="AN84" s="64" t="s" ph="1">
        <v>223</v>
      </c>
      <c r="AO84" s="64" t="s" ph="1">
        <v>259</v>
      </c>
      <c r="AP84" s="64" t="s" ph="1">
        <v>288</v>
      </c>
      <c r="AQ84" s="64" t="s" ph="1">
        <v>222</v>
      </c>
      <c r="AR84" s="64" t="s" ph="1">
        <v>259</v>
      </c>
      <c r="AS84" s="64" t="s" ph="1">
        <v>288</v>
      </c>
      <c r="AT84" s="64" t="s" ph="1">
        <v>224</v>
      </c>
      <c r="AU84" s="64" t="s" ph="1">
        <v>259</v>
      </c>
      <c r="AY84" s="64" t="s" ph="1">
        <v>216</v>
      </c>
      <c r="AZ84" s="64" t="s" ph="1">
        <v>408</v>
      </c>
    </row>
    <row r="85" spans="34:52" ph="1">
      <c r="AJ85" s="64" t="s" ph="1">
        <v>218</v>
      </c>
      <c r="AK85" s="64" t="s" ph="1">
        <v>222</v>
      </c>
      <c r="AM85" s="64" t="s" ph="1">
        <v>409</v>
      </c>
      <c r="AN85" s="64" t="s" ph="1">
        <v>229</v>
      </c>
      <c r="AO85" s="64" t="s" ph="1">
        <v>259</v>
      </c>
      <c r="AP85" s="64" t="s" ph="1">
        <v>410</v>
      </c>
      <c r="AQ85" s="64" t="s" ph="1">
        <v>225</v>
      </c>
      <c r="AR85" s="64" t="s" ph="1">
        <v>259</v>
      </c>
      <c r="AS85" s="64" t="s" ph="1">
        <v>411</v>
      </c>
      <c r="AT85" s="64" t="s" ph="1">
        <v>225</v>
      </c>
      <c r="AU85" s="64" t="s" ph="1">
        <v>259</v>
      </c>
    </row>
    <row r="86" spans="34:52" ph="1">
      <c r="AJ86" s="64" t="s" ph="1">
        <v>412</v>
      </c>
      <c r="AK86" s="64" t="s" ph="1">
        <v>231</v>
      </c>
      <c r="AM86" s="64" t="s" ph="1">
        <v>413</v>
      </c>
      <c r="AN86" s="64" t="s" ph="1">
        <v>272</v>
      </c>
      <c r="AO86" s="64" t="s" ph="1">
        <v>259</v>
      </c>
      <c r="AP86" s="64" t="s" ph="1">
        <v>414</v>
      </c>
      <c r="AQ86" s="64" t="s" ph="1">
        <v>219</v>
      </c>
      <c r="AR86" s="64" t="s" ph="1">
        <v>259</v>
      </c>
      <c r="AS86" s="64" t="s" ph="1">
        <v>415</v>
      </c>
      <c r="AT86" s="64" t="s" ph="1">
        <v>237</v>
      </c>
      <c r="AU86" s="64" t="s" ph="1">
        <v>259</v>
      </c>
    </row>
    <row r="87" spans="34:52" ph="1">
      <c r="AJ87" s="64" t="s" ph="1">
        <v>416</v>
      </c>
      <c r="AK87" s="64" t="s" ph="1">
        <v>272</v>
      </c>
      <c r="AM87" s="64" t="s" ph="1">
        <v>403</v>
      </c>
      <c r="AN87" s="64" t="s" ph="1">
        <v>417</v>
      </c>
      <c r="AO87" s="64" t="s" ph="1">
        <v>400</v>
      </c>
    </row>
    <row r="88" spans="34:52" ph="1">
      <c r="AH88" s="64" ph="1">
        <v>5</v>
      </c>
      <c r="AI88" s="64" t="s" ph="1">
        <v>289</v>
      </c>
      <c r="AJ88" s="64" t="s" ph="1">
        <v>418</v>
      </c>
      <c r="AK88" s="64" t="s" ph="1">
        <v>272</v>
      </c>
      <c r="AM88" s="64" t="s" ph="1">
        <v>419</v>
      </c>
      <c r="AN88" s="64" t="s" ph="1">
        <v>272</v>
      </c>
      <c r="AO88" s="64" t="s" ph="1">
        <v>259</v>
      </c>
      <c r="AP88" s="64" t="s" ph="1">
        <v>420</v>
      </c>
      <c r="AQ88" s="64" t="s" ph="1">
        <v>222</v>
      </c>
      <c r="AR88" s="64" t="s" ph="1">
        <v>259</v>
      </c>
      <c r="AS88" s="64" t="s" ph="1">
        <v>421</v>
      </c>
      <c r="AT88" s="64" t="s" ph="1">
        <v>272</v>
      </c>
      <c r="AU88" s="64" t="s" ph="1">
        <v>259</v>
      </c>
      <c r="AV88" s="64" t="s" ph="1">
        <v>422</v>
      </c>
      <c r="AW88" s="64" t="s" ph="1">
        <v>227</v>
      </c>
      <c r="AX88" s="64" t="s" ph="1">
        <v>259</v>
      </c>
      <c r="AY88" s="64" t="s" ph="1">
        <v>216</v>
      </c>
      <c r="AZ88" s="64" t="s" ph="1">
        <v>423</v>
      </c>
    </row>
    <row r="89" spans="34:52" ph="1">
      <c r="AJ89" s="64" t="s" ph="1">
        <v>424</v>
      </c>
      <c r="AK89" s="64" t="s" ph="1">
        <v>225</v>
      </c>
      <c r="AM89" s="64" t="s" ph="1">
        <v>425</v>
      </c>
      <c r="AN89" s="64" t="s" ph="1">
        <v>228</v>
      </c>
      <c r="AO89" s="64" t="s" ph="1">
        <v>259</v>
      </c>
      <c r="AP89" s="64" t="s" ph="1">
        <v>426</v>
      </c>
      <c r="AQ89" s="64" t="s" ph="1">
        <v>237</v>
      </c>
      <c r="AR89" s="64" t="s" ph="1">
        <v>259</v>
      </c>
      <c r="AS89" s="64" t="s" ph="1">
        <v>427</v>
      </c>
      <c r="AT89" s="64" t="s" ph="1">
        <v>272</v>
      </c>
      <c r="AU89" s="64" t="s" ph="1">
        <v>259</v>
      </c>
      <c r="AV89" s="64" t="s" ph="1">
        <v>428</v>
      </c>
      <c r="AW89" s="64" t="s" ph="1">
        <v>254</v>
      </c>
      <c r="AX89" s="64" t="s" ph="1">
        <v>287</v>
      </c>
    </row>
    <row r="90" spans="34:52" ph="1">
      <c r="AJ90" s="64" t="s" ph="1">
        <v>429</v>
      </c>
      <c r="AK90" s="64" t="s" ph="1">
        <v>228</v>
      </c>
      <c r="AM90" s="64" t="s" ph="1">
        <v>430</v>
      </c>
      <c r="AN90" s="64" t="s" ph="1">
        <v>225</v>
      </c>
      <c r="AO90" s="64" t="s" ph="1">
        <v>259</v>
      </c>
      <c r="AP90" s="64" t="s" ph="1">
        <v>431</v>
      </c>
      <c r="AQ90" s="64" t="s" ph="1">
        <v>294</v>
      </c>
      <c r="AR90" s="64" t="s" ph="1">
        <v>259</v>
      </c>
      <c r="AS90" s="64" t="s" ph="1">
        <v>432</v>
      </c>
      <c r="AT90" s="64" t="s" ph="1">
        <v>282</v>
      </c>
      <c r="AU90" s="64" t="s" ph="1">
        <v>259</v>
      </c>
      <c r="AV90" s="64" t="s" ph="1">
        <v>433</v>
      </c>
      <c r="AW90" s="64" t="s" ph="1">
        <v>219</v>
      </c>
      <c r="AX90" s="64" t="s" ph="1">
        <v>259</v>
      </c>
    </row>
    <row r="91" spans="34:52" ph="1">
      <c r="AJ91" s="64" t="s" ph="1">
        <v>434</v>
      </c>
      <c r="AK91" s="64" t="s" ph="1">
        <v>272</v>
      </c>
      <c r="AM91" s="64" t="s" ph="1">
        <v>435</v>
      </c>
      <c r="AN91" s="64" t="s" ph="1">
        <v>239</v>
      </c>
      <c r="AO91" s="64" t="s" ph="1">
        <v>259</v>
      </c>
      <c r="AP91" s="64" t="s" ph="1">
        <v>436</v>
      </c>
      <c r="AQ91" s="64" t="s" ph="1">
        <v>219</v>
      </c>
      <c r="AS91" s="64" t="s" ph="1">
        <v>403</v>
      </c>
      <c r="AT91" s="64" t="s" ph="1">
        <v>399</v>
      </c>
      <c r="AU91" s="64" t="s" ph="1">
        <v>400</v>
      </c>
    </row>
    <row r="92" spans="34:52" ph="1">
      <c r="AH92" s="64" ph="1">
        <v>6</v>
      </c>
      <c r="AI92" s="64" t="s" ph="1">
        <v>437</v>
      </c>
      <c r="AJ92" s="64" t="s" ph="1">
        <v>438</v>
      </c>
      <c r="AK92" s="64" t="s" ph="1">
        <v>367</v>
      </c>
      <c r="AM92" s="64" t="s" ph="1">
        <v>439</v>
      </c>
      <c r="AN92" s="64" t="s" ph="1">
        <v>227</v>
      </c>
      <c r="AO92" s="64" t="s" ph="1">
        <v>259</v>
      </c>
      <c r="AP92" s="64" t="s" ph="1">
        <v>440</v>
      </c>
      <c r="AQ92" s="64" t="s" ph="1">
        <v>299</v>
      </c>
      <c r="AR92" s="64" t="s" ph="1">
        <v>259</v>
      </c>
      <c r="AS92" s="64" t="s" ph="1">
        <v>441</v>
      </c>
      <c r="AT92" s="64" t="s" ph="1">
        <v>272</v>
      </c>
      <c r="AU92" s="64" t="s" ph="1">
        <v>259</v>
      </c>
      <c r="AV92" s="64" t="s" ph="1">
        <v>442</v>
      </c>
      <c r="AW92" s="64" t="s" ph="1">
        <v>228</v>
      </c>
      <c r="AX92" s="64" t="s" ph="1">
        <v>259</v>
      </c>
      <c r="AY92" s="64" t="s" ph="1">
        <v>216</v>
      </c>
      <c r="AZ92" s="64" t="s" ph="1">
        <v>423</v>
      </c>
    </row>
    <row r="93" spans="34:52" ph="1">
      <c r="AJ93" s="64" t="s" ph="1">
        <v>443</v>
      </c>
      <c r="AK93" s="64" t="s" ph="1">
        <v>222</v>
      </c>
      <c r="AM93" s="64" t="s" ph="1">
        <v>444</v>
      </c>
      <c r="AN93" s="64" t="s" ph="1">
        <v>227</v>
      </c>
      <c r="AO93" s="64" t="s" ph="1">
        <v>259</v>
      </c>
      <c r="AP93" s="64" t="s" ph="1">
        <v>445</v>
      </c>
      <c r="AQ93" s="64" t="s" ph="1">
        <v>231</v>
      </c>
      <c r="AR93" s="64" t="s" ph="1">
        <v>259</v>
      </c>
      <c r="AS93" s="64" t="s" ph="1">
        <v>446</v>
      </c>
      <c r="AT93" s="64" t="s" ph="1">
        <v>237</v>
      </c>
      <c r="AU93" s="64" t="s" ph="1">
        <v>259</v>
      </c>
      <c r="AV93" s="64" t="s" ph="1">
        <v>447</v>
      </c>
      <c r="AW93" s="64" t="s" ph="1">
        <v>231</v>
      </c>
      <c r="AX93" s="64" t="s" ph="1">
        <v>259</v>
      </c>
    </row>
    <row r="94" spans="34:52" ph="1">
      <c r="AJ94" s="64" t="s" ph="1">
        <v>448</v>
      </c>
      <c r="AK94" s="64" t="s" ph="1">
        <v>294</v>
      </c>
      <c r="AM94" s="64" t="s" ph="1">
        <v>449</v>
      </c>
      <c r="AN94" s="64" t="s" ph="1">
        <v>231</v>
      </c>
      <c r="AO94" s="64" t="s" ph="1">
        <v>259</v>
      </c>
      <c r="AP94" s="64" t="s" ph="1">
        <v>450</v>
      </c>
      <c r="AQ94" s="64" t="s" ph="1">
        <v>239</v>
      </c>
      <c r="AR94" s="64" t="s" ph="1">
        <v>259</v>
      </c>
      <c r="AS94" s="64" t="s" ph="1">
        <v>451</v>
      </c>
      <c r="AT94" s="64" t="s" ph="1">
        <v>225</v>
      </c>
      <c r="AU94" s="64" t="s" ph="1">
        <v>259</v>
      </c>
      <c r="AV94" s="64" t="s" ph="1">
        <v>452</v>
      </c>
      <c r="AW94" s="64" t="s" ph="1">
        <v>225</v>
      </c>
      <c r="AX94" s="64" t="s" ph="1">
        <v>259</v>
      </c>
    </row>
    <row r="95" spans="34:52" ph="1">
      <c r="AJ95" s="64" t="s" ph="1">
        <v>453</v>
      </c>
      <c r="AK95" s="64" t="s" ph="1">
        <v>299</v>
      </c>
    </row>
    <row r="96" spans="34:52" ph="1">
      <c r="AH96" s="64" ph="1">
        <v>7</v>
      </c>
      <c r="AI96" s="64" t="s" ph="1">
        <v>454</v>
      </c>
      <c r="AJ96" s="64" t="s" ph="1">
        <v>453</v>
      </c>
      <c r="AK96" s="64" t="s" ph="1">
        <v>254</v>
      </c>
      <c r="AM96" s="64" t="s" ph="1">
        <v>455</v>
      </c>
      <c r="AN96" s="64" t="s" ph="1">
        <v>228</v>
      </c>
      <c r="AO96" s="64" t="s" ph="1">
        <v>259</v>
      </c>
      <c r="AP96" s="64" t="s" ph="1">
        <v>456</v>
      </c>
      <c r="AQ96" s="64" t="s" ph="1">
        <v>272</v>
      </c>
      <c r="AR96" s="64" t="s" ph="1">
        <v>287</v>
      </c>
      <c r="AS96" s="64" t="s" ph="1">
        <v>457</v>
      </c>
      <c r="AT96" s="64" t="s" ph="1">
        <v>231</v>
      </c>
      <c r="AU96" s="64" t="s" ph="1">
        <v>287</v>
      </c>
      <c r="AV96" s="64" t="s" ph="1">
        <v>458</v>
      </c>
      <c r="AW96" s="64" t="s" ph="1">
        <v>227</v>
      </c>
      <c r="AX96" s="64" t="s" ph="1">
        <v>287</v>
      </c>
      <c r="AY96" s="64" t="s" ph="1">
        <v>216</v>
      </c>
      <c r="AZ96" s="64" t="s" ph="1">
        <v>459</v>
      </c>
    </row>
    <row r="97" spans="33:52" ph="1">
      <c r="AJ97" s="64" t="s" ph="1">
        <v>460</v>
      </c>
      <c r="AK97" s="64" t="s" ph="1">
        <v>282</v>
      </c>
      <c r="AM97" s="64" t="s" ph="1">
        <v>461</v>
      </c>
      <c r="AN97" s="64" t="s" ph="1">
        <v>225</v>
      </c>
      <c r="AO97" s="64" t="s" ph="1">
        <v>259</v>
      </c>
      <c r="AP97" s="64" t="s" ph="1">
        <v>462</v>
      </c>
      <c r="AQ97" s="64" t="s" ph="1">
        <v>219</v>
      </c>
      <c r="AR97" s="64" t="s" ph="1">
        <v>287</v>
      </c>
      <c r="AS97" s="64" t="s" ph="1">
        <v>463</v>
      </c>
      <c r="AT97" s="64" t="s" ph="1">
        <v>222</v>
      </c>
      <c r="AU97" s="64" t="s" ph="1">
        <v>287</v>
      </c>
      <c r="AV97" s="64" t="s" ph="1">
        <v>464</v>
      </c>
      <c r="AW97" s="64" t="s" ph="1">
        <v>228</v>
      </c>
      <c r="AX97" s="64" t="s" ph="1">
        <v>287</v>
      </c>
    </row>
    <row r="98" spans="33:52" ph="1">
      <c r="AJ98" s="64" t="s" ph="1">
        <v>465</v>
      </c>
      <c r="AK98" s="64" t="s" ph="1">
        <v>231</v>
      </c>
      <c r="AM98" s="64" t="s" ph="1">
        <v>466</v>
      </c>
      <c r="AN98" s="64" t="s" ph="1">
        <v>239</v>
      </c>
      <c r="AO98" s="64" t="s" ph="1">
        <v>259</v>
      </c>
      <c r="AP98" s="64" t="s" ph="1">
        <v>467</v>
      </c>
      <c r="AQ98" s="64" t="s" ph="1">
        <v>219</v>
      </c>
      <c r="AR98" s="64" t="s" ph="1">
        <v>287</v>
      </c>
      <c r="AS98" s="64" t="s" ph="1">
        <v>468</v>
      </c>
      <c r="AT98" s="64" t="s" ph="1">
        <v>299</v>
      </c>
      <c r="AU98" s="64" t="s" ph="1">
        <v>287</v>
      </c>
      <c r="AV98" s="64" t="s" ph="1">
        <v>469</v>
      </c>
      <c r="AW98" s="64" t="s" ph="1">
        <v>222</v>
      </c>
      <c r="AX98" s="64" t="s" ph="1">
        <v>287</v>
      </c>
    </row>
    <row r="99" spans="33:52" ph="1">
      <c r="AH99" s="64" ph="1">
        <v>8</v>
      </c>
      <c r="AI99" s="64" t="s" ph="1">
        <v>470</v>
      </c>
      <c r="AJ99" s="64" t="s" ph="1">
        <v>471</v>
      </c>
      <c r="AK99" s="64" t="s" ph="1">
        <v>367</v>
      </c>
      <c r="AM99" s="64" t="s" ph="1">
        <v>472</v>
      </c>
      <c r="AN99" s="64" t="s" ph="1">
        <v>254</v>
      </c>
      <c r="AO99" s="64" t="s" ph="1">
        <v>259</v>
      </c>
      <c r="AP99" s="64" t="s" ph="1">
        <v>473</v>
      </c>
      <c r="AQ99" s="64" t="s" ph="1">
        <v>224</v>
      </c>
      <c r="AR99" s="64" t="s" ph="1">
        <v>287</v>
      </c>
      <c r="AS99" s="64" t="s" ph="1">
        <v>474</v>
      </c>
      <c r="AT99" s="64" t="s" ph="1">
        <v>239</v>
      </c>
      <c r="AU99" s="64" t="s" ph="1">
        <v>287</v>
      </c>
      <c r="AV99" s="64" t="s" ph="1">
        <v>475</v>
      </c>
      <c r="AW99" s="64" t="s" ph="1">
        <v>224</v>
      </c>
      <c r="AX99" s="64" t="s" ph="1">
        <v>287</v>
      </c>
      <c r="AY99" s="64" t="s" ph="1">
        <v>216</v>
      </c>
      <c r="AZ99" s="64" t="s" ph="1">
        <v>476</v>
      </c>
    </row>
    <row r="100" spans="33:52" ph="1">
      <c r="AJ100" s="64" t="s" ph="1">
        <v>477</v>
      </c>
      <c r="AK100" s="64" t="s" ph="1">
        <v>222</v>
      </c>
      <c r="AM100" s="64" t="s" ph="1">
        <v>478</v>
      </c>
      <c r="AN100" s="64" t="s" ph="1">
        <v>294</v>
      </c>
      <c r="AO100" s="64" t="s" ph="1">
        <v>259</v>
      </c>
      <c r="AP100" s="64" t="s" ph="1">
        <v>479</v>
      </c>
      <c r="AQ100" s="64" t="s" ph="1">
        <v>300</v>
      </c>
      <c r="AR100" s="64" t="s" ph="1">
        <v>287</v>
      </c>
      <c r="AS100" s="64" t="s" ph="1">
        <v>480</v>
      </c>
      <c r="AT100" s="64" t="s" ph="1">
        <v>367</v>
      </c>
      <c r="AU100" s="64" t="s" ph="1">
        <v>259</v>
      </c>
      <c r="AV100" s="64" t="s" ph="1">
        <v>481</v>
      </c>
      <c r="AW100" s="64" t="s" ph="1">
        <v>367</v>
      </c>
      <c r="AX100" s="64" t="s" ph="1">
        <v>259</v>
      </c>
    </row>
    <row r="101" spans="33:52" ph="1">
      <c r="AJ101" s="64" t="s" ph="1">
        <v>482</v>
      </c>
      <c r="AK101" s="64" t="s" ph="1">
        <v>367</v>
      </c>
      <c r="AM101" s="64" t="s" ph="1">
        <v>483</v>
      </c>
      <c r="AN101" s="64" t="s" ph="1">
        <v>225</v>
      </c>
      <c r="AO101" s="64" t="s" ph="1">
        <v>259</v>
      </c>
      <c r="AP101" s="64" t="s" ph="1">
        <v>484</v>
      </c>
      <c r="AQ101" s="64" t="s" ph="1">
        <v>237</v>
      </c>
      <c r="AR101" s="64" t="s" ph="1">
        <v>287</v>
      </c>
      <c r="AS101" s="64" t="s" ph="1">
        <v>485</v>
      </c>
      <c r="AT101" s="64" t="s" ph="1">
        <v>294</v>
      </c>
      <c r="AU101" s="64" t="s" ph="1">
        <v>287</v>
      </c>
      <c r="AV101" s="64" t="s" ph="1">
        <v>486</v>
      </c>
      <c r="AW101" s="64" t="s" ph="1">
        <v>225</v>
      </c>
      <c r="AX101" s="64" t="s" ph="1">
        <v>259</v>
      </c>
    </row>
    <row r="102" spans="33:52" ph="1">
      <c r="AJ102" s="64" t="s" ph="1">
        <v>487</v>
      </c>
      <c r="AK102" s="64" t="s" ph="1">
        <v>222</v>
      </c>
      <c r="AM102" s="64" t="s" ph="1">
        <v>488</v>
      </c>
      <c r="AN102" s="64" t="s" ph="1">
        <v>231</v>
      </c>
      <c r="AO102" s="64" t="s" ph="1">
        <v>259</v>
      </c>
      <c r="AP102" s="64" t="s" ph="1">
        <v>489</v>
      </c>
      <c r="AQ102" s="64" t="s" ph="1">
        <v>237</v>
      </c>
      <c r="AR102" s="64" t="s" ph="1">
        <v>259</v>
      </c>
      <c r="AS102" s="64" t="s" ph="1">
        <v>490</v>
      </c>
      <c r="AT102" s="64" t="s" ph="1">
        <v>254</v>
      </c>
      <c r="AU102" s="64" t="s" ph="1">
        <v>259</v>
      </c>
      <c r="AV102" s="64" t="s" ph="1">
        <v>491</v>
      </c>
      <c r="AW102" s="64" t="s" ph="1">
        <v>272</v>
      </c>
      <c r="AX102" s="64" t="s" ph="1">
        <v>259</v>
      </c>
    </row>
    <row r="103" spans="33:52" ph="1">
      <c r="AH103" s="64" ph="1">
        <v>9</v>
      </c>
      <c r="AI103" s="64" t="s" ph="1">
        <v>492</v>
      </c>
      <c r="AJ103" s="64" t="s" ph="1">
        <v>493</v>
      </c>
      <c r="AK103" s="64" t="s" ph="1">
        <v>367</v>
      </c>
      <c r="AM103" s="64" t="s" ph="1">
        <v>494</v>
      </c>
      <c r="AN103" s="64" t="s" ph="1">
        <v>282</v>
      </c>
      <c r="AO103" s="64" t="s" ph="1">
        <v>259</v>
      </c>
      <c r="AP103" s="64" t="s" ph="1">
        <v>336</v>
      </c>
      <c r="AQ103" s="64" t="s" ph="1">
        <v>225</v>
      </c>
      <c r="AR103" s="64" t="s" ph="1">
        <v>259</v>
      </c>
      <c r="AS103" s="64" t="s" ph="1">
        <v>570</v>
      </c>
      <c r="AT103" s="64" t="s" ph="1">
        <v>367</v>
      </c>
      <c r="AU103" s="64" t="s" ph="1">
        <v>259</v>
      </c>
      <c r="AY103" s="64" t="s" ph="1">
        <v>216</v>
      </c>
      <c r="AZ103" s="64" t="s" ph="1">
        <v>224</v>
      </c>
    </row>
    <row r="104" spans="33:52" ph="1">
      <c r="AZ104" s="64" t="s" ph="1">
        <v>495</v>
      </c>
    </row>
    <row r="105" spans="33:52" ph="1">
      <c r="AG105" s="64" t="s" ph="1">
        <v>295</v>
      </c>
      <c r="AI105" s="64" t="s" ph="1">
        <v>209</v>
      </c>
      <c r="AJ105" s="64" t="s" ph="1">
        <v>210</v>
      </c>
      <c r="AK105" s="64" t="s" ph="1">
        <v>211</v>
      </c>
      <c r="AM105" s="64" t="s" ph="1">
        <v>210</v>
      </c>
      <c r="AN105" s="64" t="s" ph="1">
        <v>211</v>
      </c>
      <c r="AO105" s="64" t="s" ph="1">
        <v>212</v>
      </c>
      <c r="AP105" s="64" t="s" ph="1">
        <v>210</v>
      </c>
      <c r="AQ105" s="64" t="s" ph="1">
        <v>211</v>
      </c>
      <c r="AR105" s="64" t="s" ph="1">
        <v>212</v>
      </c>
      <c r="AS105" s="64" t="s" ph="1">
        <v>210</v>
      </c>
      <c r="AT105" s="64" t="s" ph="1">
        <v>211</v>
      </c>
      <c r="AU105" s="64" t="s" ph="1">
        <v>212</v>
      </c>
      <c r="AV105" s="64" t="s" ph="1">
        <v>210</v>
      </c>
      <c r="AW105" s="64" t="s" ph="1">
        <v>211</v>
      </c>
      <c r="AX105" s="64" t="s" ph="1">
        <v>212</v>
      </c>
      <c r="AZ105" s="64" t="s" ph="1">
        <v>213</v>
      </c>
    </row>
    <row r="106" spans="33:52" ph="1">
      <c r="AH106" s="64" ph="1">
        <v>1</v>
      </c>
      <c r="AI106" s="64" t="s" ph="1">
        <v>496</v>
      </c>
      <c r="AJ106" s="64" t="s" ph="1">
        <v>570</v>
      </c>
      <c r="AK106" s="64" t="s" ph="1">
        <v>231</v>
      </c>
      <c r="AZ106" s="64" t="s" ph="1">
        <v>231</v>
      </c>
    </row>
    <row r="107" spans="33:52" ph="1">
      <c r="AH107" s="64" ph="1">
        <v>2</v>
      </c>
      <c r="AI107" s="64" t="s" ph="1">
        <v>497</v>
      </c>
      <c r="AJ107" s="64" t="s" ph="1">
        <v>498</v>
      </c>
      <c r="AK107" s="64" t="s" ph="1">
        <v>228</v>
      </c>
      <c r="AM107" s="64" t="s" ph="1">
        <v>334</v>
      </c>
      <c r="AN107" s="64" t="s" ph="1">
        <v>499</v>
      </c>
      <c r="AO107" s="64" t="s" ph="1">
        <v>500</v>
      </c>
      <c r="AP107" s="64" t="s" ph="1">
        <v>336</v>
      </c>
      <c r="AQ107" s="64" t="s" ph="1">
        <v>304</v>
      </c>
      <c r="AR107" s="64" t="s" ph="1">
        <v>500</v>
      </c>
      <c r="AS107" s="64" t="s" ph="1">
        <v>570</v>
      </c>
      <c r="AT107" s="64" t="s" ph="1">
        <v>499</v>
      </c>
      <c r="AU107" s="64" t="s" ph="1">
        <v>500</v>
      </c>
      <c r="AY107" s="64" t="s" ph="1">
        <v>216</v>
      </c>
      <c r="AZ107" s="64" t="s" ph="1">
        <v>580</v>
      </c>
    </row>
    <row r="108" spans="33:52" ph="1">
      <c r="AH108" s="64" ph="1">
        <v>3</v>
      </c>
      <c r="AI108" s="64" t="s" ph="1">
        <v>501</v>
      </c>
      <c r="AY108" s="64" t="s" ph="1">
        <v>216</v>
      </c>
      <c r="AZ108" s="64" t="s" ph="1">
        <v>367</v>
      </c>
    </row>
    <row r="109" spans="33:52" ph="1">
      <c r="AH109" s="64" ph="1">
        <v>4</v>
      </c>
      <c r="AI109" s="64" t="s" ph="1">
        <v>502</v>
      </c>
      <c r="AY109" s="64" t="s" ph="1">
        <v>216</v>
      </c>
      <c r="AZ109" s="64" t="s" ph="1">
        <v>367</v>
      </c>
    </row>
    <row r="110" spans="33:52" ph="1">
      <c r="AH110" s="64" ph="1">
        <v>5</v>
      </c>
      <c r="AI110" s="64" t="s" ph="1">
        <v>503</v>
      </c>
      <c r="AY110" s="64" t="s" ph="1">
        <v>216</v>
      </c>
      <c r="AZ110" s="64" t="s" ph="1">
        <v>367</v>
      </c>
    </row>
    <row r="111" spans="33:52" ph="1">
      <c r="AH111" s="64" ph="1">
        <v>6</v>
      </c>
      <c r="AI111" s="64" t="s" ph="1">
        <v>581</v>
      </c>
      <c r="AJ111" s="64" t="s" ph="1">
        <v>486</v>
      </c>
      <c r="AK111" s="64" t="s" ph="1">
        <v>225</v>
      </c>
      <c r="AM111" s="64" t="s" ph="1">
        <v>487</v>
      </c>
      <c r="AN111" s="64" t="s" ph="1">
        <v>219</v>
      </c>
      <c r="AO111" s="64" t="s" ph="1">
        <v>500</v>
      </c>
      <c r="AP111" s="64" t="s" ph="1">
        <v>488</v>
      </c>
      <c r="AQ111" s="64" t="s" ph="1">
        <v>228</v>
      </c>
      <c r="AR111" s="64" t="s" ph="1">
        <v>500</v>
      </c>
      <c r="AS111" s="64" t="s" ph="1">
        <v>489</v>
      </c>
      <c r="AT111" s="64" t="s" ph="1">
        <v>237</v>
      </c>
      <c r="AU111" s="64" t="s" ph="1">
        <v>500</v>
      </c>
      <c r="AV111" s="64" t="s" ph="1">
        <v>490</v>
      </c>
      <c r="AW111" s="64" t="s" ph="1">
        <v>227</v>
      </c>
      <c r="AX111" s="64" t="s" ph="1">
        <v>500</v>
      </c>
      <c r="AY111" s="64" t="s" ph="1">
        <v>216</v>
      </c>
      <c r="AZ111" s="64" t="s" ph="1">
        <v>504</v>
      </c>
    </row>
    <row r="112" spans="33:52" ph="1">
      <c r="AJ112" s="64" t="s" ph="1">
        <v>491</v>
      </c>
      <c r="AK112" s="64" t="s" ph="1">
        <v>272</v>
      </c>
      <c r="AM112" s="64" t="s" ph="1">
        <v>493</v>
      </c>
      <c r="AN112" s="64" t="s" ph="1">
        <v>296</v>
      </c>
      <c r="AO112" s="64" t="s" ph="1">
        <v>500</v>
      </c>
      <c r="AP112" s="64" t="s" ph="1">
        <v>494</v>
      </c>
      <c r="AQ112" s="64" t="s" ph="1">
        <v>505</v>
      </c>
      <c r="AR112" s="64" t="s" ph="1">
        <v>500</v>
      </c>
      <c r="AS112" s="64" t="s" ph="1">
        <v>506</v>
      </c>
      <c r="AT112" s="64" t="s" ph="1">
        <v>248</v>
      </c>
      <c r="AU112" s="64" t="s" ph="1">
        <v>500</v>
      </c>
      <c r="AV112" s="64" t="s" ph="1">
        <v>507</v>
      </c>
      <c r="AW112" s="64" t="s" ph="1">
        <v>294</v>
      </c>
      <c r="AX112" s="64" t="s" ph="1">
        <v>500</v>
      </c>
    </row>
    <row r="113" spans="33:52" ph="1">
      <c r="AH113" s="64" ph="1">
        <v>7</v>
      </c>
      <c r="AI113" s="64" t="s" ph="1">
        <v>508</v>
      </c>
      <c r="AJ113" s="64" t="s" ph="1">
        <v>589</v>
      </c>
      <c r="AK113" s="64" t="s" ph="1">
        <v>594</v>
      </c>
      <c r="AY113" s="64" t="s" ph="1">
        <v>216</v>
      </c>
      <c r="AZ113" s="64" t="s" ph="1">
        <v>594</v>
      </c>
    </row>
    <row r="114" spans="33:52" ph="1">
      <c r="AH114" s="64" ph="1">
        <v>8</v>
      </c>
      <c r="AI114" s="64" t="s" ph="1">
        <v>509</v>
      </c>
      <c r="AJ114" s="64" t="s" ph="1">
        <v>589</v>
      </c>
      <c r="AK114" s="64" t="s" ph="1">
        <v>595</v>
      </c>
      <c r="AY114" s="64" t="s" ph="1">
        <v>216</v>
      </c>
      <c r="AZ114" s="64" t="s" ph="1">
        <v>595</v>
      </c>
    </row>
    <row r="115" spans="33:52" ph="1">
      <c r="AH115" s="64" ph="1">
        <v>9</v>
      </c>
      <c r="AI115" s="64" t="s" ph="1">
        <v>510</v>
      </c>
      <c r="AJ115" s="64" t="s" ph="1">
        <v>589</v>
      </c>
      <c r="AK115" s="64" t="s" ph="1">
        <v>595</v>
      </c>
      <c r="AY115" s="64" t="s" ph="1">
        <v>216</v>
      </c>
      <c r="AZ115" s="64" t="s" ph="1">
        <v>595</v>
      </c>
    </row>
    <row r="116" spans="33:52" ph="1">
      <c r="AH116" s="64" ph="1">
        <v>10</v>
      </c>
      <c r="AI116" s="64" t="s" ph="1">
        <v>511</v>
      </c>
      <c r="AJ116" s="64" t="s" ph="1">
        <v>589</v>
      </c>
      <c r="AK116" s="64" t="s" ph="1">
        <v>595</v>
      </c>
      <c r="AY116" s="64" t="s" ph="1">
        <v>216</v>
      </c>
      <c r="AZ116" s="64" t="s" ph="1">
        <v>595</v>
      </c>
    </row>
    <row r="117" spans="33:52" ph="1">
      <c r="AH117" s="64" ph="1">
        <v>11</v>
      </c>
      <c r="AI117" s="64" t="s" ph="1">
        <v>512</v>
      </c>
      <c r="AJ117" s="64" t="s" ph="1">
        <v>589</v>
      </c>
      <c r="AK117" s="64" t="s" ph="1">
        <v>595</v>
      </c>
      <c r="AY117" s="64" t="s" ph="1">
        <v>216</v>
      </c>
      <c r="AZ117" s="64" t="s" ph="1">
        <v>595</v>
      </c>
    </row>
    <row r="118" spans="33:52" ph="1">
      <c r="AZ118" s="64" t="s" ph="1">
        <v>596</v>
      </c>
    </row>
    <row r="119" spans="33:52" ph="1">
      <c r="AI119" s="64" t="s" ph="1">
        <v>209</v>
      </c>
      <c r="AJ119" s="64" t="s" ph="1">
        <v>210</v>
      </c>
      <c r="AK119" s="64" t="s" ph="1">
        <v>211</v>
      </c>
      <c r="AM119" s="64" t="s" ph="1">
        <v>210</v>
      </c>
      <c r="AN119" s="64" t="s" ph="1">
        <v>211</v>
      </c>
      <c r="AO119" s="64" t="s" ph="1">
        <v>212</v>
      </c>
      <c r="AP119" s="64" t="s" ph="1">
        <v>210</v>
      </c>
      <c r="AQ119" s="64" t="s" ph="1">
        <v>211</v>
      </c>
      <c r="AR119" s="64" t="s" ph="1">
        <v>212</v>
      </c>
      <c r="AS119" s="64" t="s" ph="1">
        <v>210</v>
      </c>
      <c r="AT119" s="64" t="s" ph="1">
        <v>211</v>
      </c>
      <c r="AU119" s="64" t="s" ph="1">
        <v>212</v>
      </c>
      <c r="AV119" s="64" t="s" ph="1">
        <v>210</v>
      </c>
      <c r="AW119" s="64" t="s" ph="1">
        <v>211</v>
      </c>
      <c r="AX119" s="64" t="s" ph="1">
        <v>212</v>
      </c>
      <c r="AY119" s="64" t="s" ph="1">
        <v>211</v>
      </c>
      <c r="AZ119" s="64" t="s" ph="1">
        <v>213</v>
      </c>
    </row>
    <row r="120" spans="33:52" ph="1">
      <c r="AG120" s="64" t="s" ph="1">
        <v>353</v>
      </c>
      <c r="AH120" s="64" ph="1">
        <v>1</v>
      </c>
      <c r="AI120" s="64" t="s" ph="1">
        <v>513</v>
      </c>
      <c r="AJ120" s="64" t="s" ph="1">
        <v>587</v>
      </c>
      <c r="AK120" s="64" t="s" ph="1">
        <v>367</v>
      </c>
      <c r="AY120" s="64" t="s" ph="1">
        <v>216</v>
      </c>
      <c r="AZ120" s="64" t="s" ph="1">
        <v>367</v>
      </c>
    </row>
    <row r="121" spans="33:52" ph="1">
      <c r="AH121" s="64" ph="1">
        <v>2</v>
      </c>
      <c r="AI121" s="64" t="s" ph="1">
        <v>514</v>
      </c>
      <c r="AY121" s="64" t="s" ph="1">
        <v>216</v>
      </c>
      <c r="AZ121" s="64" t="s" ph="1">
        <v>367</v>
      </c>
    </row>
    <row r="122" spans="33:52" ph="1">
      <c r="AH122" s="64" ph="1">
        <v>3</v>
      </c>
      <c r="AI122" s="64" t="s" ph="1">
        <v>515</v>
      </c>
      <c r="AJ122" s="64" t="s" ph="1">
        <v>570</v>
      </c>
      <c r="AK122" s="64" t="s" ph="1">
        <v>582</v>
      </c>
      <c r="AM122" s="64" t="s" ph="1">
        <v>597</v>
      </c>
      <c r="AN122" s="64" t="s" ph="1">
        <v>590</v>
      </c>
      <c r="AO122" s="64" t="s" ph="1">
        <v>91</v>
      </c>
      <c r="AY122" s="64" t="s" ph="1">
        <v>216</v>
      </c>
      <c r="AZ122" s="64" t="s" ph="1">
        <v>579</v>
      </c>
    </row>
    <row r="123" spans="33:52" ph="1">
      <c r="AY123" s="64" t="s" ph="1">
        <v>216</v>
      </c>
      <c r="AZ123" s="64" t="s" ph="1">
        <v>579</v>
      </c>
    </row>
    <row r="124" spans="33:52" ph="1">
      <c r="AG124" s="64" t="s" ph="1">
        <v>356</v>
      </c>
      <c r="AH124" s="64" ph="1">
        <v>4</v>
      </c>
      <c r="AI124" s="64" t="s" ph="1">
        <v>516</v>
      </c>
      <c r="AJ124" s="64" t="s" ph="1">
        <v>517</v>
      </c>
      <c r="AK124" s="64" t="s" ph="1">
        <v>518</v>
      </c>
      <c r="AY124" s="64" t="s" ph="1">
        <v>216</v>
      </c>
      <c r="AZ124" s="64" t="s" ph="1">
        <v>518</v>
      </c>
    </row>
    <row r="125" spans="33:52" ph="1">
      <c r="AH125" s="64" ph="1">
        <v>5</v>
      </c>
      <c r="AI125" s="64" t="s" ph="1">
        <v>519</v>
      </c>
      <c r="AJ125" s="64" t="s" ph="1">
        <v>517</v>
      </c>
      <c r="AK125" s="64" t="s" ph="1">
        <v>518</v>
      </c>
      <c r="AY125" s="64" t="s" ph="1">
        <v>216</v>
      </c>
      <c r="AZ125" s="64" t="s" ph="1">
        <v>518</v>
      </c>
    </row>
    <row r="126" spans="33:52" ph="1">
      <c r="AH126" s="64" ph="1">
        <v>6</v>
      </c>
      <c r="AI126" s="64" t="s" ph="1">
        <v>520</v>
      </c>
      <c r="AJ126" s="64" t="s" ph="1">
        <v>589</v>
      </c>
      <c r="AK126" s="64" t="s" ph="1">
        <v>598</v>
      </c>
      <c r="AY126" s="64" t="s" ph="1">
        <v>216</v>
      </c>
      <c r="AZ126" s="64" t="s" ph="1">
        <v>598</v>
      </c>
    </row>
    <row r="127" spans="33:52" ph="1">
      <c r="AH127" s="64" ph="1">
        <v>7</v>
      </c>
      <c r="AI127" s="64" t="s" ph="1">
        <v>521</v>
      </c>
      <c r="AJ127" s="64" t="s" ph="1">
        <v>589</v>
      </c>
      <c r="AK127" s="64" t="s" ph="1">
        <v>599</v>
      </c>
      <c r="AY127" s="64" t="s" ph="1">
        <v>216</v>
      </c>
      <c r="AZ127" s="64" t="s" ph="1">
        <v>599</v>
      </c>
    </row>
    <row r="128" spans="33:52" ph="1">
      <c r="AH128" s="64" ph="1">
        <v>8</v>
      </c>
      <c r="AI128" s="64" t="s" ph="1">
        <v>522</v>
      </c>
      <c r="AY128" s="64" t="s" ph="1">
        <v>216</v>
      </c>
      <c r="AZ128" s="64" t="s" ph="1">
        <v>367</v>
      </c>
    </row>
    <row r="129" spans="33:52" ph="1">
      <c r="AH129" s="64" ph="1">
        <v>9</v>
      </c>
      <c r="AI129" s="64" t="s" ph="1">
        <v>523</v>
      </c>
      <c r="AY129" s="64" t="s" ph="1">
        <v>216</v>
      </c>
      <c r="AZ129" s="64" t="s" ph="1">
        <v>367</v>
      </c>
    </row>
    <row r="130" spans="33:52" ph="1">
      <c r="AH130" s="64" ph="1">
        <v>10</v>
      </c>
      <c r="AI130" s="64" t="s" ph="1">
        <v>524</v>
      </c>
      <c r="AY130" s="64" t="s" ph="1">
        <v>216</v>
      </c>
      <c r="AZ130" s="64" t="s" ph="1">
        <v>367</v>
      </c>
    </row>
    <row r="131" spans="33:52" ph="1">
      <c r="AH131" s="64" ph="1">
        <v>11</v>
      </c>
      <c r="AI131" s="64" t="s" ph="1">
        <v>525</v>
      </c>
      <c r="AJ131" s="64" t="s" ph="1">
        <v>583</v>
      </c>
      <c r="AK131" s="64" t="s" ph="1">
        <v>579</v>
      </c>
      <c r="AY131" s="64" t="s" ph="1">
        <v>216</v>
      </c>
      <c r="AZ131" s="64" t="s" ph="1">
        <v>579</v>
      </c>
    </row>
    <row r="132" spans="33:52" ph="1">
      <c r="AH132" s="64" ph="1">
        <v>12</v>
      </c>
      <c r="AI132" s="64" t="s" ph="1">
        <v>526</v>
      </c>
      <c r="AJ132" s="64" t="s" ph="1">
        <v>583</v>
      </c>
      <c r="AK132" s="64" t="s" ph="1">
        <v>518</v>
      </c>
      <c r="AY132" s="64" t="s" ph="1">
        <v>216</v>
      </c>
      <c r="AZ132" s="64" t="s" ph="1">
        <v>518</v>
      </c>
    </row>
    <row r="133" spans="33:52" ph="1">
      <c r="AH133" s="64" ph="1">
        <v>13</v>
      </c>
      <c r="AI133" s="64" t="s" ph="1">
        <v>527</v>
      </c>
      <c r="AJ133" s="64" t="s" ph="1">
        <v>583</v>
      </c>
      <c r="AK133" s="64" t="s" ph="1">
        <v>584</v>
      </c>
      <c r="AY133" s="64" t="s" ph="1">
        <v>216</v>
      </c>
      <c r="AZ133" s="64" t="s" ph="1">
        <v>584</v>
      </c>
    </row>
    <row r="134" spans="33:52" ph="1">
      <c r="AH134" s="64" ph="1">
        <v>14</v>
      </c>
      <c r="AI134" s="64" t="s" ph="1">
        <v>528</v>
      </c>
      <c r="AJ134" s="64" t="s" ph="1">
        <v>583</v>
      </c>
      <c r="AK134" s="64" t="s" ph="1">
        <v>585</v>
      </c>
      <c r="AY134" s="64" t="s" ph="1">
        <v>216</v>
      </c>
      <c r="AZ134" s="64" t="s" ph="1">
        <v>585</v>
      </c>
    </row>
    <row r="135" spans="33:52" ph="1">
      <c r="AH135" s="64" ph="1">
        <v>15</v>
      </c>
      <c r="AI135" s="64" t="s" ph="1">
        <v>529</v>
      </c>
      <c r="AJ135" s="64" t="s" ph="1">
        <v>583</v>
      </c>
      <c r="AK135" s="64" t="s" ph="1">
        <v>586</v>
      </c>
      <c r="AY135" s="64" t="s" ph="1">
        <v>216</v>
      </c>
      <c r="AZ135" s="64" t="s" ph="1">
        <v>586</v>
      </c>
    </row>
    <row r="136" spans="33:52" ph="1">
      <c r="AZ136" s="64" t="s" ph="1">
        <v>600</v>
      </c>
    </row>
    <row r="137" spans="33:52" ph="1">
      <c r="AG137" s="64" t="s" ph="1">
        <v>290</v>
      </c>
      <c r="AI137" s="64" t="s" ph="1">
        <v>209</v>
      </c>
      <c r="AJ137" s="64" t="s" ph="1">
        <v>210</v>
      </c>
      <c r="AK137" s="64" t="s" ph="1">
        <v>211</v>
      </c>
      <c r="AM137" s="64" t="s" ph="1">
        <v>210</v>
      </c>
      <c r="AN137" s="64" t="s" ph="1">
        <v>211</v>
      </c>
      <c r="AO137" s="64" t="s" ph="1">
        <v>212</v>
      </c>
      <c r="AP137" s="64" t="s" ph="1">
        <v>210</v>
      </c>
      <c r="AQ137" s="64" t="s" ph="1">
        <v>211</v>
      </c>
      <c r="AR137" s="64" t="s" ph="1">
        <v>212</v>
      </c>
      <c r="AS137" s="64" t="s" ph="1">
        <v>210</v>
      </c>
      <c r="AT137" s="64" t="s" ph="1">
        <v>211</v>
      </c>
      <c r="AU137" s="64" t="s" ph="1">
        <v>212</v>
      </c>
      <c r="AV137" s="64" t="s" ph="1">
        <v>210</v>
      </c>
      <c r="AW137" s="64" t="s" ph="1">
        <v>211</v>
      </c>
      <c r="AX137" s="64" t="s" ph="1">
        <v>212</v>
      </c>
      <c r="AY137" s="64" t="s" ph="1">
        <v>211</v>
      </c>
      <c r="AZ137" s="64" t="s" ph="1">
        <v>213</v>
      </c>
    </row>
    <row r="138" spans="33:52" ph="1">
      <c r="AH138" s="64" ph="1">
        <v>1</v>
      </c>
      <c r="AI138" s="64" t="s" ph="1">
        <v>530</v>
      </c>
      <c r="AJ138" s="64" t="s" ph="1">
        <v>531</v>
      </c>
      <c r="AK138" s="64" t="s" ph="1">
        <v>532</v>
      </c>
      <c r="AY138" s="64" t="s" ph="1">
        <v>216</v>
      </c>
      <c r="AZ138" s="64" t="s" ph="1">
        <v>532</v>
      </c>
    </row>
    <row r="139" spans="33:52" ph="1">
      <c r="AH139" s="64" ph="1">
        <v>2</v>
      </c>
      <c r="AI139" s="64" t="s" ph="1">
        <v>533</v>
      </c>
      <c r="AJ139" s="64" t="s" ph="1">
        <v>589</v>
      </c>
      <c r="AK139" s="64" t="s" ph="1">
        <v>601</v>
      </c>
      <c r="AY139" s="64" t="s" ph="1">
        <v>216</v>
      </c>
      <c r="AZ139" s="64" t="s" ph="1">
        <v>601</v>
      </c>
    </row>
    <row r="140" spans="33:52" ph="1">
      <c r="AH140" s="64" ph="1">
        <v>3</v>
      </c>
      <c r="AI140" s="64" t="s" ph="1">
        <v>534</v>
      </c>
      <c r="AJ140" s="64" t="s" ph="1">
        <v>487</v>
      </c>
      <c r="AK140" s="64" t="s" ph="1">
        <v>299</v>
      </c>
      <c r="AM140" s="64" t="s" ph="1">
        <v>488</v>
      </c>
      <c r="AN140" s="64" t="s" ph="1">
        <v>219</v>
      </c>
      <c r="AO140" s="64" t="s" ph="1">
        <v>535</v>
      </c>
      <c r="AP140" s="64" t="s" ph="1">
        <v>489</v>
      </c>
      <c r="AQ140" s="64" t="s" ph="1">
        <v>236</v>
      </c>
      <c r="AR140" s="64" t="s" ph="1">
        <v>535</v>
      </c>
      <c r="AS140" s="64" t="s" ph="1">
        <v>490</v>
      </c>
      <c r="AT140" s="64" t="s" ph="1">
        <v>229</v>
      </c>
      <c r="AU140" s="64" t="s" ph="1">
        <v>535</v>
      </c>
      <c r="AV140" s="64" t="s" ph="1">
        <v>491</v>
      </c>
      <c r="AW140" s="64" t="s" ph="1">
        <v>222</v>
      </c>
      <c r="AX140" s="64" t="s" ph="1">
        <v>535</v>
      </c>
      <c r="AY140" s="64" t="s" ph="1">
        <v>216</v>
      </c>
      <c r="AZ140" s="64" t="s" ph="1">
        <v>291</v>
      </c>
    </row>
    <row r="141" spans="33:52" ph="1">
      <c r="AJ141" s="64" t="s" ph="1">
        <v>493</v>
      </c>
      <c r="AK141" s="64" t="s" ph="1">
        <v>222</v>
      </c>
      <c r="AM141" s="64" t="s" ph="1">
        <v>494</v>
      </c>
      <c r="AN141" s="64" t="s" ph="1">
        <v>225</v>
      </c>
      <c r="AO141" s="64" t="s" ph="1">
        <v>535</v>
      </c>
      <c r="AP141" s="64" t="s" ph="1">
        <v>506</v>
      </c>
      <c r="AQ141" s="64" t="s" ph="1">
        <v>294</v>
      </c>
      <c r="AR141" s="64" t="s" ph="1">
        <v>535</v>
      </c>
      <c r="AS141" s="64" t="s" ph="1">
        <v>498</v>
      </c>
      <c r="AT141" s="64" t="s" ph="1">
        <v>222</v>
      </c>
      <c r="AU141" s="64" t="s" ph="1">
        <v>535</v>
      </c>
      <c r="AV141" s="64" t="s" ph="1">
        <v>334</v>
      </c>
      <c r="AW141" s="64" t="s" ph="1">
        <v>228</v>
      </c>
      <c r="AX141" s="64" t="s" ph="1">
        <v>535</v>
      </c>
    </row>
    <row r="142" spans="33:52" ph="1">
      <c r="AJ142" s="64" t="s" ph="1">
        <v>536</v>
      </c>
      <c r="AK142" s="64" t="s" ph="1">
        <v>239</v>
      </c>
    </row>
    <row r="143" spans="33:52" ph="1">
      <c r="AH143" s="64" ph="1">
        <v>4</v>
      </c>
      <c r="AI143" s="64" t="s" ph="1">
        <v>537</v>
      </c>
      <c r="AJ143" s="64" t="s" ph="1">
        <v>517</v>
      </c>
      <c r="AK143" s="64" t="s" ph="1">
        <v>538</v>
      </c>
      <c r="AY143" s="64" t="s" ph="1">
        <v>216</v>
      </c>
      <c r="AZ143" s="64" t="s" ph="1">
        <v>538</v>
      </c>
    </row>
    <row r="144" spans="33:52" ph="1">
      <c r="AH144" s="64" ph="1">
        <v>5</v>
      </c>
      <c r="AI144" s="64" t="s" ph="1">
        <v>539</v>
      </c>
      <c r="AY144" s="64" t="s" ph="1">
        <v>216</v>
      </c>
      <c r="AZ144" s="64" t="s" ph="1">
        <v>367</v>
      </c>
    </row>
    <row r="145" spans="33:52" ph="1">
      <c r="AH145" s="64" ph="1">
        <v>6</v>
      </c>
      <c r="AI145" s="64" t="s" ph="1">
        <v>540</v>
      </c>
      <c r="AY145" s="64" t="s" ph="1">
        <v>216</v>
      </c>
      <c r="AZ145" s="64" t="s" ph="1">
        <v>367</v>
      </c>
    </row>
    <row r="146" spans="33:52" ph="1">
      <c r="AH146" s="64" ph="1">
        <v>7</v>
      </c>
      <c r="AI146" s="64" t="s" ph="1">
        <v>541</v>
      </c>
      <c r="AY146" s="64" t="s" ph="1">
        <v>216</v>
      </c>
      <c r="AZ146" s="64" t="s" ph="1">
        <v>367</v>
      </c>
    </row>
    <row r="147" spans="33:52" ph="1">
      <c r="AH147" s="64" ph="1">
        <v>8</v>
      </c>
      <c r="AI147" s="64" t="s" ph="1">
        <v>542</v>
      </c>
      <c r="AY147" s="64" t="s" ph="1">
        <v>216</v>
      </c>
      <c r="AZ147" s="64" t="s" ph="1">
        <v>367</v>
      </c>
    </row>
    <row r="148" spans="33:52" ph="1">
      <c r="AH148" s="64" ph="1">
        <v>9</v>
      </c>
      <c r="AI148" s="64" t="s" ph="1">
        <v>543</v>
      </c>
      <c r="AY148" s="64" t="s" ph="1">
        <v>216</v>
      </c>
      <c r="AZ148" s="64" t="s" ph="1">
        <v>367</v>
      </c>
    </row>
    <row r="149" spans="33:52" ph="1">
      <c r="AH149" s="64" ph="1">
        <v>10</v>
      </c>
      <c r="AI149" s="64" t="s" ph="1">
        <v>544</v>
      </c>
      <c r="AY149" s="64" t="s" ph="1">
        <v>216</v>
      </c>
      <c r="AZ149" s="64" t="s" ph="1">
        <v>367</v>
      </c>
    </row>
    <row r="150" spans="33:52" ph="1">
      <c r="AH150" s="64" ph="1">
        <v>11</v>
      </c>
      <c r="AI150" s="64" t="s" ph="1">
        <v>545</v>
      </c>
      <c r="AY150" s="64" t="s" ph="1">
        <v>216</v>
      </c>
      <c r="AZ150" s="64" t="s" ph="1">
        <v>367</v>
      </c>
    </row>
    <row r="151" spans="33:52" ph="1">
      <c r="AH151" s="64" ph="1">
        <v>12</v>
      </c>
      <c r="AI151" s="64" t="s" ph="1">
        <v>546</v>
      </c>
      <c r="AY151" s="64" t="s" ph="1">
        <v>216</v>
      </c>
      <c r="AZ151" s="64" t="s" ph="1">
        <v>367</v>
      </c>
    </row>
    <row r="152" spans="33:52" ph="1">
      <c r="AH152" s="64" ph="1">
        <v>13</v>
      </c>
      <c r="AI152" s="64" t="s" ph="1">
        <v>547</v>
      </c>
      <c r="AY152" s="64" t="s" ph="1">
        <v>216</v>
      </c>
      <c r="AZ152" s="64" t="s" ph="1">
        <v>367</v>
      </c>
    </row>
    <row r="153" spans="33:52" ph="1">
      <c r="AH153" s="64" ph="1">
        <v>14</v>
      </c>
      <c r="AI153" s="64" t="s" ph="1">
        <v>548</v>
      </c>
      <c r="AY153" s="64" t="s" ph="1">
        <v>216</v>
      </c>
      <c r="AZ153" s="64" t="s" ph="1">
        <v>367</v>
      </c>
    </row>
    <row r="154" spans="33:52" ph="1">
      <c r="AH154" s="64" ph="1">
        <v>15</v>
      </c>
      <c r="AI154" s="64" t="s" ph="1">
        <v>549</v>
      </c>
      <c r="AY154" s="64" t="s" ph="1">
        <v>216</v>
      </c>
      <c r="AZ154" s="64" t="s" ph="1">
        <v>367</v>
      </c>
    </row>
    <row r="155" spans="33:52" ph="1">
      <c r="AH155" s="64" ph="1">
        <v>16</v>
      </c>
      <c r="AI155" s="64" t="s" ph="1">
        <v>550</v>
      </c>
      <c r="AJ155" s="64" t="s" ph="1">
        <v>336</v>
      </c>
      <c r="AK155" s="64" t="s" ph="1">
        <v>231</v>
      </c>
      <c r="AM155" s="64" t="s" ph="1">
        <v>570</v>
      </c>
      <c r="AN155" s="64" t="s" ph="1">
        <v>282</v>
      </c>
      <c r="AO155" s="64" t="s" ph="1">
        <v>535</v>
      </c>
      <c r="AY155" s="64" t="s" ph="1">
        <v>216</v>
      </c>
      <c r="AZ155" s="64" t="s" ph="1">
        <v>223</v>
      </c>
    </row>
    <row r="156" spans="33:52" ph="1">
      <c r="AZ156" s="64" t="s" ph="1">
        <v>602</v>
      </c>
    </row>
    <row r="157" spans="33:52" ph="1">
      <c r="AG157" s="64" t="s" ph="1">
        <v>551</v>
      </c>
      <c r="AI157" s="64" t="s" ph="1">
        <v>209</v>
      </c>
      <c r="AJ157" s="64" t="s" ph="1">
        <v>210</v>
      </c>
      <c r="AK157" s="64" t="s" ph="1">
        <v>211</v>
      </c>
      <c r="AM157" s="64" t="s" ph="1">
        <v>210</v>
      </c>
      <c r="AN157" s="64" t="s" ph="1">
        <v>211</v>
      </c>
      <c r="AO157" s="64" t="s" ph="1">
        <v>212</v>
      </c>
      <c r="AP157" s="64" t="s" ph="1">
        <v>210</v>
      </c>
      <c r="AQ157" s="64" t="s" ph="1">
        <v>211</v>
      </c>
      <c r="AR157" s="64" t="s" ph="1">
        <v>212</v>
      </c>
      <c r="AS157" s="64" t="s" ph="1">
        <v>210</v>
      </c>
      <c r="AT157" s="64" t="s" ph="1">
        <v>211</v>
      </c>
      <c r="AU157" s="64" t="s" ph="1">
        <v>212</v>
      </c>
      <c r="AV157" s="64" t="s" ph="1">
        <v>210</v>
      </c>
      <c r="AW157" s="64" t="s" ph="1">
        <v>211</v>
      </c>
      <c r="AX157" s="64" t="s" ph="1">
        <v>212</v>
      </c>
      <c r="AY157" s="64" t="s" ph="1">
        <v>211</v>
      </c>
      <c r="AZ157" s="64" t="s" ph="1">
        <v>213</v>
      </c>
    </row>
    <row r="158" spans="33:52" ph="1">
      <c r="AH158" s="64" ph="1">
        <v>1</v>
      </c>
      <c r="AI158" s="64" t="s" ph="1">
        <v>552</v>
      </c>
      <c r="AY158" s="64" t="s" ph="1">
        <v>216</v>
      </c>
      <c r="AZ158" s="64" t="s" ph="1">
        <v>367</v>
      </c>
    </row>
    <row r="159" spans="33:52" ph="1">
      <c r="AH159" s="64" ph="1">
        <v>2</v>
      </c>
      <c r="AI159" s="64" t="s" ph="1">
        <v>553</v>
      </c>
      <c r="AY159" s="64" t="s" ph="1">
        <v>216</v>
      </c>
      <c r="AZ159" s="64" t="s" ph="1">
        <v>367</v>
      </c>
    </row>
    <row r="160" spans="33:52" ph="1">
      <c r="AZ160" s="64" t="s" ph="1">
        <v>385</v>
      </c>
    </row>
    <row r="161" spans="33:52" ph="1">
      <c r="AG161" s="64" t="s" ph="1">
        <v>361</v>
      </c>
      <c r="AI161" s="64" t="s" ph="1">
        <v>209</v>
      </c>
      <c r="AJ161" s="64" t="s" ph="1">
        <v>210</v>
      </c>
      <c r="AK161" s="64" t="s" ph="1">
        <v>211</v>
      </c>
      <c r="AM161" s="64" t="s" ph="1">
        <v>210</v>
      </c>
      <c r="AN161" s="64" t="s" ph="1">
        <v>211</v>
      </c>
      <c r="AO161" s="64" t="s" ph="1">
        <v>212</v>
      </c>
      <c r="AP161" s="64" t="s" ph="1">
        <v>210</v>
      </c>
      <c r="AQ161" s="64" t="s" ph="1">
        <v>211</v>
      </c>
      <c r="AR161" s="64" t="s" ph="1">
        <v>212</v>
      </c>
      <c r="AS161" s="64" t="s" ph="1">
        <v>210</v>
      </c>
      <c r="AT161" s="64" t="s" ph="1">
        <v>211</v>
      </c>
      <c r="AU161" s="64" t="s" ph="1">
        <v>212</v>
      </c>
      <c r="AV161" s="64" t="s" ph="1">
        <v>210</v>
      </c>
      <c r="AW161" s="64" t="s" ph="1">
        <v>211</v>
      </c>
      <c r="AX161" s="64" t="s" ph="1">
        <v>212</v>
      </c>
      <c r="AY161" s="64" t="s" ph="1">
        <v>211</v>
      </c>
      <c r="AZ161" s="64" t="s" ph="1">
        <v>213</v>
      </c>
    </row>
    <row r="162" spans="33:52" ph="1">
      <c r="AH162" s="64" ph="1">
        <v>1</v>
      </c>
      <c r="AI162" s="64" t="s" ph="1">
        <v>554</v>
      </c>
      <c r="AJ162" s="64" t="s" ph="1">
        <v>555</v>
      </c>
      <c r="AK162" s="64" t="s" ph="1">
        <v>499</v>
      </c>
      <c r="AM162" s="64" t="s" ph="1">
        <v>556</v>
      </c>
      <c r="AN162" s="64" t="s" ph="1">
        <v>220</v>
      </c>
      <c r="AO162" s="64" t="s" ph="1">
        <v>557</v>
      </c>
      <c r="AY162" s="64" t="s" ph="1">
        <v>216</v>
      </c>
      <c r="AZ162" s="64" t="s" ph="1">
        <v>292</v>
      </c>
    </row>
    <row r="163" spans="33:52" ph="1">
      <c r="AH163" s="64" ph="1">
        <v>2</v>
      </c>
      <c r="AI163" s="64" t="s" ph="1">
        <v>558</v>
      </c>
      <c r="AJ163" s="64" t="s" ph="1">
        <v>555</v>
      </c>
      <c r="AK163" s="64" t="s" ph="1">
        <v>388</v>
      </c>
      <c r="AY163" s="64" t="s" ph="1">
        <v>216</v>
      </c>
      <c r="AZ163" s="64" t="s" ph="1">
        <v>388</v>
      </c>
    </row>
    <row r="164" spans="33:52" ph="1">
      <c r="AH164" s="64" ph="1">
        <v>3</v>
      </c>
      <c r="AI164" s="64" t="s" ph="1">
        <v>559</v>
      </c>
      <c r="AJ164" s="64" t="s" ph="1">
        <v>555</v>
      </c>
      <c r="AK164" s="64" t="s" ph="1">
        <v>292</v>
      </c>
      <c r="AY164" s="64" t="s" ph="1">
        <v>216</v>
      </c>
      <c r="AZ164" s="64" t="s" ph="1">
        <v>292</v>
      </c>
    </row>
    <row r="165" spans="33:52" ph="1">
      <c r="AH165" s="64" ph="1">
        <v>4</v>
      </c>
      <c r="AI165" s="64" t="s" ph="1">
        <v>560</v>
      </c>
      <c r="AY165" s="64" t="s" ph="1">
        <v>216</v>
      </c>
      <c r="AZ165" s="64" t="s" ph="1">
        <v>367</v>
      </c>
    </row>
    <row r="166" spans="33:52" ph="1">
      <c r="AH166" s="64" ph="1">
        <v>5</v>
      </c>
      <c r="AI166" s="64" t="s" ph="1">
        <v>561</v>
      </c>
      <c r="AY166" s="64" t="s" ph="1">
        <v>216</v>
      </c>
      <c r="AZ166" s="64" t="s" ph="1">
        <v>367</v>
      </c>
    </row>
    <row r="167" spans="33:52" ph="1">
      <c r="AZ167" s="64" t="s" ph="1">
        <v>562</v>
      </c>
    </row>
    <row r="168" spans="33:52" ph="1">
      <c r="AG168" s="64" t="s" ph="1">
        <v>305</v>
      </c>
      <c r="AI168" s="64" t="s" ph="1">
        <v>209</v>
      </c>
      <c r="AJ168" s="64" t="s" ph="1">
        <v>210</v>
      </c>
      <c r="AK168" s="64" t="s" ph="1">
        <v>211</v>
      </c>
      <c r="AM168" s="64" t="s" ph="1">
        <v>210</v>
      </c>
      <c r="AN168" s="64" t="s" ph="1">
        <v>211</v>
      </c>
      <c r="AO168" s="64" t="s" ph="1">
        <v>212</v>
      </c>
      <c r="AP168" s="64" t="s" ph="1">
        <v>210</v>
      </c>
      <c r="AQ168" s="64" t="s" ph="1">
        <v>211</v>
      </c>
      <c r="AR168" s="64" t="s" ph="1">
        <v>212</v>
      </c>
      <c r="AS168" s="64" t="s" ph="1">
        <v>210</v>
      </c>
      <c r="AT168" s="64" t="s" ph="1">
        <v>211</v>
      </c>
      <c r="AU168" s="64" t="s" ph="1">
        <v>212</v>
      </c>
      <c r="AV168" s="64" t="s" ph="1">
        <v>210</v>
      </c>
      <c r="AW168" s="64" t="s" ph="1">
        <v>211</v>
      </c>
      <c r="AX168" s="64" t="s" ph="1">
        <v>212</v>
      </c>
      <c r="AY168" s="64" t="s" ph="1">
        <v>211</v>
      </c>
      <c r="AZ168" s="64" t="s" ph="1">
        <v>213</v>
      </c>
    </row>
    <row r="169" spans="33:52" ph="1">
      <c r="AH169" s="64" ph="1">
        <v>1</v>
      </c>
      <c r="AI169" s="64" t="s" ph="1">
        <v>563</v>
      </c>
      <c r="AY169" s="64" t="s" ph="1">
        <v>216</v>
      </c>
      <c r="AZ169" s="64" t="s" ph="1">
        <v>367</v>
      </c>
    </row>
    <row r="170" spans="33:52" ph="1">
      <c r="AH170" s="64" ph="1">
        <v>2</v>
      </c>
      <c r="AI170" s="64" t="s" ph="1">
        <v>564</v>
      </c>
      <c r="AY170" s="64" t="s" ph="1">
        <v>216</v>
      </c>
      <c r="AZ170" s="64" t="s" ph="1">
        <v>367</v>
      </c>
    </row>
    <row r="171" spans="33:52" ph="1">
      <c r="AH171" s="64" ph="1">
        <v>3</v>
      </c>
      <c r="AI171" s="64" t="s" ph="1">
        <v>565</v>
      </c>
      <c r="AY171" s="64" t="s" ph="1">
        <v>216</v>
      </c>
      <c r="AZ171" s="64" t="s" ph="1">
        <v>367</v>
      </c>
    </row>
    <row r="172" spans="33:52" ph="1">
      <c r="AH172" s="64" ph="1">
        <v>4</v>
      </c>
      <c r="AI172" s="64" t="s" ph="1">
        <v>566</v>
      </c>
      <c r="AY172" s="64" t="s" ph="1">
        <v>216</v>
      </c>
      <c r="AZ172" s="64" t="s" ph="1">
        <v>367</v>
      </c>
    </row>
    <row r="173" spans="33:52" ph="1">
      <c r="AH173" s="64" ph="1">
        <v>5</v>
      </c>
      <c r="AI173" s="64" t="s" ph="1">
        <v>567</v>
      </c>
      <c r="AY173" s="64" t="s" ph="1">
        <v>216</v>
      </c>
      <c r="AZ173" s="64" t="s" ph="1">
        <v>367</v>
      </c>
    </row>
    <row r="174" spans="33:52" ph="1">
      <c r="AZ174" s="64" t="s" ph="1">
        <v>385</v>
      </c>
    </row>
    <row r="175" spans="33:52" ph="1">
      <c r="AJ175" s="64" t="s" ph="1">
        <v>306</v>
      </c>
    </row>
    <row r="176" spans="33:52" ph="1">
      <c r="AJ176" s="64" t="s" ph="1">
        <v>307</v>
      </c>
      <c r="AK176" s="64" t="s" ph="1">
        <v>308</v>
      </c>
      <c r="AM176" s="64" t="s" ph="1">
        <v>309</v>
      </c>
      <c r="AO176" s="64" t="s" ph="1">
        <v>310</v>
      </c>
      <c r="AP176" s="64" t="s" ph="1">
        <v>311</v>
      </c>
      <c r="AQ176" s="64" t="s" ph="1">
        <v>301</v>
      </c>
      <c r="AR176" s="64" t="s" ph="1">
        <v>221</v>
      </c>
    </row>
    <row r="177" spans="36:56" ph="1">
      <c r="AJ177" s="64" t="s" ph="1">
        <v>603</v>
      </c>
      <c r="AK177" s="64" t="s" ph="1">
        <v>312</v>
      </c>
      <c r="AO177" s="64" t="s" ph="1">
        <v>312</v>
      </c>
      <c r="AP177" s="64" t="s" ph="1">
        <v>312</v>
      </c>
      <c r="AQ177" s="64" t="s" ph="1">
        <v>313</v>
      </c>
      <c r="AR177" s="64" t="s" ph="1">
        <v>314</v>
      </c>
    </row>
    <row r="179" spans="36:56" ph="1">
      <c r="AJ179" s="64" t="s" ph="1">
        <v>315</v>
      </c>
      <c r="AK179" s="64" t="s" ph="1">
        <v>316</v>
      </c>
      <c r="AM179" s="64" t="s" ph="1">
        <v>317</v>
      </c>
      <c r="AN179" s="64" t="s" ph="1">
        <v>293</v>
      </c>
      <c r="AO179" s="64" t="s" ph="1">
        <v>318</v>
      </c>
      <c r="AP179" s="64" t="s" ph="1">
        <v>297</v>
      </c>
      <c r="AQ179" s="64" t="s" ph="1">
        <v>319</v>
      </c>
      <c r="AR179" s="64" t="s" ph="1">
        <v>320</v>
      </c>
    </row>
    <row r="180" spans="36:56" ph="1">
      <c r="AJ180" s="64" t="s" ph="1">
        <v>312</v>
      </c>
      <c r="AK180" s="64" t="s" ph="1">
        <v>312</v>
      </c>
      <c r="AL180" s="64" ph="1">
        <v>116</v>
      </c>
      <c r="AM180" s="64" t="s" ph="1">
        <v>312</v>
      </c>
      <c r="AN180" s="64" t="s" ph="1">
        <v>321</v>
      </c>
      <c r="AO180" s="64" t="s" ph="1">
        <v>312</v>
      </c>
      <c r="AP180" s="64" t="s" ph="1">
        <v>322</v>
      </c>
      <c r="AQ180" s="64" t="s" ph="1">
        <v>323</v>
      </c>
      <c r="AR180" s="64" t="s" ph="1">
        <v>324</v>
      </c>
    </row>
    <row r="189" spans="36:56" ph="1">
      <c r="BD189" s="64" t="s" ph="1">
        <v>568</v>
      </c>
    </row>
    <row r="223" spans="18:18" ph="1">
      <c r="R223" s="135" ph="1">
        <v>45496</v>
      </c>
    </row>
  </sheetData>
  <mergeCells count="58">
    <mergeCell ref="I36:J36"/>
    <mergeCell ref="R36:S36"/>
    <mergeCell ref="AB36:AC36"/>
    <mergeCell ref="AD36:AE36"/>
    <mergeCell ref="Z33:Z34"/>
    <mergeCell ref="AA33:AA34"/>
    <mergeCell ref="AB33:AB34"/>
    <mergeCell ref="AC33:AC34"/>
    <mergeCell ref="AD33:AE34"/>
    <mergeCell ref="AC35:AE35"/>
    <mergeCell ref="T33:T34"/>
    <mergeCell ref="U33:U34"/>
    <mergeCell ref="V33:V34"/>
    <mergeCell ref="W33:W34"/>
    <mergeCell ref="X33:X34"/>
    <mergeCell ref="Y33:Y34"/>
    <mergeCell ref="S33:S34"/>
    <mergeCell ref="H33:H34"/>
    <mergeCell ref="I33:I34"/>
    <mergeCell ref="J33:J34"/>
    <mergeCell ref="K33:K34"/>
    <mergeCell ref="L33:L34"/>
    <mergeCell ref="M33:M34"/>
    <mergeCell ref="N33:N34"/>
    <mergeCell ref="O33:O34"/>
    <mergeCell ref="P33:P34"/>
    <mergeCell ref="Q33:Q34"/>
    <mergeCell ref="R33:R34"/>
    <mergeCell ref="S31:U31"/>
    <mergeCell ref="V31:X31"/>
    <mergeCell ref="Y31:AA31"/>
    <mergeCell ref="AB31:AE31"/>
    <mergeCell ref="AD32:AE32"/>
    <mergeCell ref="B33:C34"/>
    <mergeCell ref="D33:D34"/>
    <mergeCell ref="E33:E34"/>
    <mergeCell ref="F33:F34"/>
    <mergeCell ref="G33:G34"/>
    <mergeCell ref="P31:R31"/>
    <mergeCell ref="B13:B14"/>
    <mergeCell ref="B15:B17"/>
    <mergeCell ref="B18:B20"/>
    <mergeCell ref="B22:B23"/>
    <mergeCell ref="B31:C32"/>
    <mergeCell ref="D31:F31"/>
    <mergeCell ref="G31:I31"/>
    <mergeCell ref="J31:L31"/>
    <mergeCell ref="M31:O31"/>
    <mergeCell ref="Z22:AE22"/>
    <mergeCell ref="Z23:AE29"/>
    <mergeCell ref="B24:B26"/>
    <mergeCell ref="B27:B29"/>
    <mergeCell ref="B1:AE1"/>
    <mergeCell ref="B2:AE2"/>
    <mergeCell ref="B3:AE3"/>
    <mergeCell ref="B4:B5"/>
    <mergeCell ref="B6:B8"/>
    <mergeCell ref="B9:B11"/>
  </mergeCells>
  <phoneticPr fontId="2" type="noConversion"/>
  <conditionalFormatting sqref="D4:D11">
    <cfRule type="expression" dxfId="2260" priority="104">
      <formula>ABS(D$7-D$10)&gt;=1000</formula>
    </cfRule>
  </conditionalFormatting>
  <conditionalFormatting sqref="E4 E6:E11">
    <cfRule type="expression" dxfId="2259" priority="103">
      <formula>ABS(E$7-E$10)&gt;=1000</formula>
    </cfRule>
  </conditionalFormatting>
  <conditionalFormatting sqref="F4:F11">
    <cfRule type="expression" dxfId="2258" priority="102">
      <formula>ABS(F$7-F$10)&gt;=1000</formula>
    </cfRule>
  </conditionalFormatting>
  <conditionalFormatting sqref="G4:G11">
    <cfRule type="expression" dxfId="2257" priority="101">
      <formula>ABS(G$7-G$10)&gt;=1000</formula>
    </cfRule>
  </conditionalFormatting>
  <conditionalFormatting sqref="H4:H11">
    <cfRule type="expression" dxfId="2256" priority="100">
      <formula>ABS(H$7-H$10)&gt;=1000</formula>
    </cfRule>
  </conditionalFormatting>
  <conditionalFormatting sqref="I4:I11">
    <cfRule type="expression" dxfId="2255" priority="99">
      <formula>ABS(I$7-I$10)&gt;=1000</formula>
    </cfRule>
  </conditionalFormatting>
  <conditionalFormatting sqref="J4:J11">
    <cfRule type="expression" dxfId="2254" priority="98">
      <formula>ABS(J$7-J$10)&gt;=1000</formula>
    </cfRule>
  </conditionalFormatting>
  <conditionalFormatting sqref="K4:K11">
    <cfRule type="expression" dxfId="2253" priority="97">
      <formula>ABS(K$7-K$10)&gt;=1000</formula>
    </cfRule>
  </conditionalFormatting>
  <conditionalFormatting sqref="L4:L11">
    <cfRule type="expression" dxfId="2252" priority="96">
      <formula>ABS(L$7-L$10)&gt;=1000</formula>
    </cfRule>
  </conditionalFormatting>
  <conditionalFormatting sqref="M4 M6:M11">
    <cfRule type="expression" dxfId="2251" priority="95">
      <formula>ABS(M$7-M$10)&gt;=1000</formula>
    </cfRule>
  </conditionalFormatting>
  <conditionalFormatting sqref="N4 N6:N11">
    <cfRule type="expression" dxfId="2250" priority="94">
      <formula>ABS(N$7-N$10)&gt;=1000</formula>
    </cfRule>
  </conditionalFormatting>
  <conditionalFormatting sqref="O4 O6:O11">
    <cfRule type="expression" dxfId="2249" priority="93">
      <formula>ABS(O$7-O$10)&gt;=1000</formula>
    </cfRule>
  </conditionalFormatting>
  <conditionalFormatting sqref="P4 P6:P11">
    <cfRule type="expression" dxfId="2248" priority="92">
      <formula>ABS(P$7-P$10)&gt;=1000</formula>
    </cfRule>
  </conditionalFormatting>
  <conditionalFormatting sqref="Q4:Q11">
    <cfRule type="expression" dxfId="2247" priority="91">
      <formula>ABS(Q$7-Q$10)&gt;=1000</formula>
    </cfRule>
  </conditionalFormatting>
  <conditionalFormatting sqref="R4:R11">
    <cfRule type="expression" dxfId="2246" priority="90">
      <formula>ABS(R$7-R$10)&gt;=1000</formula>
    </cfRule>
  </conditionalFormatting>
  <conditionalFormatting sqref="S4:S11">
    <cfRule type="expression" dxfId="2245" priority="89">
      <formula>ABS(S$7-S$10)&gt;=1000</formula>
    </cfRule>
  </conditionalFormatting>
  <conditionalFormatting sqref="T4:T9 T11">
    <cfRule type="expression" dxfId="2244" priority="88">
      <formula>ABS(T$7-T$10)&gt;=1000</formula>
    </cfRule>
  </conditionalFormatting>
  <conditionalFormatting sqref="U4:U9 U11">
    <cfRule type="expression" dxfId="2243" priority="87">
      <formula>ABS(U$7-U$10)&gt;=1000</formula>
    </cfRule>
  </conditionalFormatting>
  <conditionalFormatting sqref="V4:V9 V11">
    <cfRule type="expression" dxfId="2242" priority="86">
      <formula>ABS(V$7-V$10)&gt;=1000</formula>
    </cfRule>
  </conditionalFormatting>
  <conditionalFormatting sqref="W4:W9 W11">
    <cfRule type="expression" dxfId="2241" priority="85">
      <formula>ABS(W$7-W$10)&gt;=1000</formula>
    </cfRule>
  </conditionalFormatting>
  <conditionalFormatting sqref="X4:X9 X11">
    <cfRule type="expression" dxfId="2240" priority="84">
      <formula>ABS(X$7-X$10)&gt;=1000</formula>
    </cfRule>
  </conditionalFormatting>
  <conditionalFormatting sqref="Y4:Y9 Y11">
    <cfRule type="expression" dxfId="2239" priority="83">
      <formula>ABS(Y$7-Y$10)&gt;=1000</formula>
    </cfRule>
  </conditionalFormatting>
  <conditionalFormatting sqref="Z4:Z11">
    <cfRule type="expression" dxfId="2238" priority="82">
      <formula>ABS(Z$7-Z$10)&gt;=1000</formula>
    </cfRule>
  </conditionalFormatting>
  <conditionalFormatting sqref="AA4:AA11">
    <cfRule type="expression" dxfId="2237" priority="81">
      <formula>ABS(AA$7-AA$10)&gt;=1000</formula>
    </cfRule>
  </conditionalFormatting>
  <conditionalFormatting sqref="AB4:AB11">
    <cfRule type="expression" dxfId="2236" priority="80">
      <formula>ABS(AB$7-AB$10)&gt;=1000</formula>
    </cfRule>
  </conditionalFormatting>
  <conditionalFormatting sqref="AC4 AC6:AC11">
    <cfRule type="expression" dxfId="2235" priority="79">
      <formula>ABS(AC$7-AC$10)&gt;=1000</formula>
    </cfRule>
  </conditionalFormatting>
  <conditionalFormatting sqref="AD4 AD6:AD11">
    <cfRule type="expression" dxfId="2234" priority="78">
      <formula>ABS(AD$7-AD$10)&gt;=1000</formula>
    </cfRule>
  </conditionalFormatting>
  <conditionalFormatting sqref="AE4 AE6:AE11">
    <cfRule type="expression" dxfId="2233" priority="77">
      <formula>ABS(AE$7-AE$10)&gt;=1000</formula>
    </cfRule>
  </conditionalFormatting>
  <conditionalFormatting sqref="D13:D20">
    <cfRule type="expression" dxfId="2232" priority="76">
      <formula>ABS(D$16-D$19)&gt;=1000</formula>
    </cfRule>
  </conditionalFormatting>
  <conditionalFormatting sqref="E13:E20">
    <cfRule type="expression" dxfId="2231" priority="75">
      <formula>ABS(E$16-E$19)&gt;=1000</formula>
    </cfRule>
  </conditionalFormatting>
  <conditionalFormatting sqref="F13 F15:F20">
    <cfRule type="expression" dxfId="2230" priority="74">
      <formula>ABS(F$16-F$19)&gt;=1000</formula>
    </cfRule>
  </conditionalFormatting>
  <conditionalFormatting sqref="G13:G20">
    <cfRule type="expression" dxfId="2229" priority="73">
      <formula>ABS(G$16-G$19)&gt;=1000</formula>
    </cfRule>
  </conditionalFormatting>
  <conditionalFormatting sqref="H13 H15:H20">
    <cfRule type="expression" dxfId="2228" priority="72">
      <formula>ABS(H$16-H$19)&gt;=1000</formula>
    </cfRule>
  </conditionalFormatting>
  <conditionalFormatting sqref="I13:I20">
    <cfRule type="expression" dxfId="2227" priority="71">
      <formula>ABS(I$16-I$19)&gt;=1000</formula>
    </cfRule>
  </conditionalFormatting>
  <conditionalFormatting sqref="J13:J20">
    <cfRule type="expression" dxfId="2226" priority="70">
      <formula>ABS(J$16-J$19)&gt;=1000</formula>
    </cfRule>
  </conditionalFormatting>
  <conditionalFormatting sqref="L13:L20">
    <cfRule type="expression" dxfId="2225" priority="69">
      <formula>ABS(L$16-L$19)&gt;=1000</formula>
    </cfRule>
  </conditionalFormatting>
  <conditionalFormatting sqref="M13 M15 M17:M18 M20">
    <cfRule type="expression" dxfId="2224" priority="68">
      <formula>ABS(M$16-M$19)&gt;=1000</formula>
    </cfRule>
  </conditionalFormatting>
  <conditionalFormatting sqref="N13:N20">
    <cfRule type="expression" dxfId="2223" priority="67">
      <formula>ABS(N$16-N$19)&gt;=1000</formula>
    </cfRule>
  </conditionalFormatting>
  <conditionalFormatting sqref="O13:O20">
    <cfRule type="expression" dxfId="2222" priority="66">
      <formula>ABS(O$16-O$19)&gt;=1000</formula>
    </cfRule>
  </conditionalFormatting>
  <conditionalFormatting sqref="P13:P20">
    <cfRule type="expression" dxfId="2221" priority="65">
      <formula>ABS(P$16-P$19)&gt;=1000</formula>
    </cfRule>
  </conditionalFormatting>
  <conditionalFormatting sqref="Q13 Q15:Q20">
    <cfRule type="expression" dxfId="2220" priority="64">
      <formula>ABS(Q$16-Q$19)&gt;=1000</formula>
    </cfRule>
  </conditionalFormatting>
  <conditionalFormatting sqref="R13 R15:R20">
    <cfRule type="expression" dxfId="2219" priority="63">
      <formula>ABS(R$16-R$19)&gt;=1000</formula>
    </cfRule>
  </conditionalFormatting>
  <conditionalFormatting sqref="S13:S20">
    <cfRule type="expression" dxfId="2218" priority="62">
      <formula>ABS(S$16-S$19)&gt;=1000</formula>
    </cfRule>
  </conditionalFormatting>
  <conditionalFormatting sqref="T13:T15 T17:T20">
    <cfRule type="expression" dxfId="2217" priority="61">
      <formula>ABS(T$16-T$19)&gt;=1000</formula>
    </cfRule>
  </conditionalFormatting>
  <conditionalFormatting sqref="U13:U20">
    <cfRule type="expression" dxfId="2216" priority="60">
      <formula>ABS(U$16-U$19)&gt;=1000</formula>
    </cfRule>
  </conditionalFormatting>
  <conditionalFormatting sqref="V13:V20">
    <cfRule type="expression" dxfId="2215" priority="59">
      <formula>ABS(V$16-V$19)&gt;=1000</formula>
    </cfRule>
  </conditionalFormatting>
  <conditionalFormatting sqref="W13 W20 W15:W18">
    <cfRule type="expression" dxfId="2214" priority="58">
      <formula>ABS(W$16-W$19)&gt;=1000</formula>
    </cfRule>
  </conditionalFormatting>
  <conditionalFormatting sqref="X13 X15:X20 Y19">
    <cfRule type="expression" dxfId="2213" priority="57">
      <formula>ABS(X$16-X$19)&gt;=1000</formula>
    </cfRule>
  </conditionalFormatting>
  <conditionalFormatting sqref="Y13 Y15:Y18 Y20">
    <cfRule type="expression" dxfId="2212" priority="56">
      <formula>ABS(Y$16-Y$19)&gt;=1000</formula>
    </cfRule>
  </conditionalFormatting>
  <conditionalFormatting sqref="Z13:Z20">
    <cfRule type="expression" dxfId="2211" priority="55">
      <formula>ABS(Z$16-Z$19)&gt;=1000</formula>
    </cfRule>
  </conditionalFormatting>
  <conditionalFormatting sqref="AA13:AA20">
    <cfRule type="expression" dxfId="2210" priority="54">
      <formula>ABS(AA$16-AA$19)&gt;=1000</formula>
    </cfRule>
  </conditionalFormatting>
  <conditionalFormatting sqref="AB13 AB15:AB20">
    <cfRule type="expression" dxfId="2209" priority="53">
      <formula>ABS(AB$16-AB$19)&gt;=1000</formula>
    </cfRule>
  </conditionalFormatting>
  <conditionalFormatting sqref="AC13 AC15:AC20">
    <cfRule type="expression" dxfId="2208" priority="52">
      <formula>ABS(AC$16-AC$19)&gt;=1000</formula>
    </cfRule>
  </conditionalFormatting>
  <conditionalFormatting sqref="AD13:AD20">
    <cfRule type="expression" dxfId="2207" priority="51">
      <formula>ABS(AD$16-AD$19)&gt;=1000</formula>
    </cfRule>
  </conditionalFormatting>
  <conditionalFormatting sqref="AE13:AE20">
    <cfRule type="expression" dxfId="2206" priority="50">
      <formula>ABS(AE$16-AE$19)&gt;=1000</formula>
    </cfRule>
  </conditionalFormatting>
  <conditionalFormatting sqref="D22:D29">
    <cfRule type="expression" dxfId="2205" priority="49">
      <formula>ABS(D$25-D$28)&gt;=1000</formula>
    </cfRule>
  </conditionalFormatting>
  <conditionalFormatting sqref="E22:E29">
    <cfRule type="expression" dxfId="2204" priority="48">
      <formula>ABS(E$25-E$28)&gt;=1000</formula>
    </cfRule>
  </conditionalFormatting>
  <conditionalFormatting sqref="F22:F29">
    <cfRule type="expression" dxfId="2203" priority="47">
      <formula>ABS(F$25-F$28)&gt;=1000</formula>
    </cfRule>
  </conditionalFormatting>
  <conditionalFormatting sqref="G22:G29">
    <cfRule type="expression" dxfId="2202" priority="46">
      <formula>ABS(G$25-G$28)&gt;=1000</formula>
    </cfRule>
  </conditionalFormatting>
  <conditionalFormatting sqref="H22:H29">
    <cfRule type="expression" dxfId="2201" priority="45">
      <formula>ABS(H$25-H$28)&gt;=1000</formula>
    </cfRule>
  </conditionalFormatting>
  <conditionalFormatting sqref="I22 I24:I29">
    <cfRule type="expression" dxfId="2200" priority="44">
      <formula>ABS(I$25-I$28)&gt;=1000</formula>
    </cfRule>
  </conditionalFormatting>
  <conditionalFormatting sqref="J22:J29 K22">
    <cfRule type="expression" dxfId="2199" priority="43">
      <formula>ABS(J$25-J$28)&gt;=1000</formula>
    </cfRule>
  </conditionalFormatting>
  <conditionalFormatting sqref="K23:K29 L25 L28">
    <cfRule type="expression" dxfId="2198" priority="42">
      <formula>ABS(K$25-K$28)&gt;=1000</formula>
    </cfRule>
  </conditionalFormatting>
  <conditionalFormatting sqref="L22 L26:L27 L29 L24">
    <cfRule type="expression" dxfId="2197" priority="41">
      <formula>ABS(L$25-L$28)&gt;=1000</formula>
    </cfRule>
  </conditionalFormatting>
  <conditionalFormatting sqref="M22:M29">
    <cfRule type="expression" dxfId="2196" priority="40">
      <formula>ABS(M$25-M$28)&gt;=1000</formula>
    </cfRule>
  </conditionalFormatting>
  <conditionalFormatting sqref="N22:N29">
    <cfRule type="expression" dxfId="2195" priority="39">
      <formula>ABS(N$25-N$28)&gt;=1000</formula>
    </cfRule>
  </conditionalFormatting>
  <conditionalFormatting sqref="O22 O24:O29">
    <cfRule type="expression" dxfId="2194" priority="38">
      <formula>ABS(O$25-O$28)&gt;=1000</formula>
    </cfRule>
  </conditionalFormatting>
  <conditionalFormatting sqref="P22:P29">
    <cfRule type="expression" dxfId="2193" priority="37">
      <formula>ABS(P$25-P$28)&gt;=1000</formula>
    </cfRule>
  </conditionalFormatting>
  <conditionalFormatting sqref="Q22:Q29">
    <cfRule type="expression" dxfId="2192" priority="36">
      <formula>ABS(Q$25-Q$28)&gt;=1000</formula>
    </cfRule>
  </conditionalFormatting>
  <conditionalFormatting sqref="R22:R29">
    <cfRule type="expression" dxfId="2191" priority="35">
      <formula>ABS(R$25-R$28)&gt;=1000</formula>
    </cfRule>
  </conditionalFormatting>
  <conditionalFormatting sqref="S22:S29">
    <cfRule type="expression" dxfId="2190" priority="34">
      <formula>ABS(S$25-S$28)&gt;=1000</formula>
    </cfRule>
  </conditionalFormatting>
  <conditionalFormatting sqref="T22:T29">
    <cfRule type="expression" dxfId="2189" priority="33">
      <formula>ABS(T$25-T$28)&gt;=1000</formula>
    </cfRule>
  </conditionalFormatting>
  <conditionalFormatting sqref="U22:U29">
    <cfRule type="expression" dxfId="2188" priority="32">
      <formula>ABS(U$25-U$28)&gt;=1000</formula>
    </cfRule>
  </conditionalFormatting>
  <conditionalFormatting sqref="V22:V29">
    <cfRule type="expression" dxfId="2187" priority="31">
      <formula>ABS(V$25-V$28)&gt;=1000</formula>
    </cfRule>
  </conditionalFormatting>
  <conditionalFormatting sqref="W22:W29">
    <cfRule type="expression" dxfId="2186" priority="30">
      <formula>ABS(W$25-W$28)&gt;=1000</formula>
    </cfRule>
  </conditionalFormatting>
  <conditionalFormatting sqref="X22:X29">
    <cfRule type="expression" dxfId="2185" priority="29">
      <formula>ABS(X$25-X$28)&gt;=1000</formula>
    </cfRule>
  </conditionalFormatting>
  <conditionalFormatting sqref="Y22:Y29">
    <cfRule type="expression" dxfId="2184" priority="28">
      <formula>ABS(Y$25-Y$28)&gt;=1000</formula>
    </cfRule>
  </conditionalFormatting>
  <conditionalFormatting sqref="I23">
    <cfRule type="expression" dxfId="2183" priority="27">
      <formula>ABS(I$25-I$28)&gt;=1000</formula>
    </cfRule>
  </conditionalFormatting>
  <conditionalFormatting sqref="Q14">
    <cfRule type="expression" dxfId="2182" priority="26">
      <formula>ABS(Q$16-Q$19)&gt;=1000</formula>
    </cfRule>
  </conditionalFormatting>
  <conditionalFormatting sqref="W14">
    <cfRule type="expression" dxfId="2181" priority="25">
      <formula>ABS(W$16-W$19)&gt;=1000</formula>
    </cfRule>
  </conditionalFormatting>
  <conditionalFormatting sqref="X14">
    <cfRule type="expression" dxfId="2180" priority="24">
      <formula>ABS(X$16-X$19)&gt;=1000</formula>
    </cfRule>
  </conditionalFormatting>
  <conditionalFormatting sqref="T10:Y10">
    <cfRule type="expression" dxfId="2179" priority="23">
      <formula>ABS(T$7-T$10)&gt;=1000</formula>
    </cfRule>
  </conditionalFormatting>
  <conditionalFormatting sqref="W19">
    <cfRule type="expression" dxfId="2178" priority="22">
      <formula>ABS(W$16-W$19)&gt;=1000</formula>
    </cfRule>
  </conditionalFormatting>
  <conditionalFormatting sqref="AC5">
    <cfRule type="expression" dxfId="2177" priority="21">
      <formula>ABS(AC$7-AC$10)&gt;=1000</formula>
    </cfRule>
  </conditionalFormatting>
  <conditionalFormatting sqref="M14">
    <cfRule type="expression" dxfId="2176" priority="20">
      <formula>ABS(M$16-M$19)&gt;=1000</formula>
    </cfRule>
  </conditionalFormatting>
  <conditionalFormatting sqref="M16">
    <cfRule type="expression" dxfId="2175" priority="19">
      <formula>ABS(M$16-M$19)&gt;=1000</formula>
    </cfRule>
  </conditionalFormatting>
  <conditionalFormatting sqref="M19">
    <cfRule type="expression" dxfId="2174" priority="18">
      <formula>ABS(M$16-M$19)&gt;=1000</formula>
    </cfRule>
  </conditionalFormatting>
  <conditionalFormatting sqref="K13:K20">
    <cfRule type="expression" dxfId="2173" priority="17">
      <formula>ABS(K$16-K$19)&gt;=1000</formula>
    </cfRule>
  </conditionalFormatting>
  <conditionalFormatting sqref="E5">
    <cfRule type="expression" dxfId="2172" priority="16">
      <formula>ABS(E$7-E$10)&gt;=1000</formula>
    </cfRule>
  </conditionalFormatting>
  <conditionalFormatting sqref="AB14:AC14">
    <cfRule type="expression" dxfId="2171" priority="15">
      <formula>ABS(AB$16-AB$19)&gt;=1000</formula>
    </cfRule>
  </conditionalFormatting>
  <conditionalFormatting sqref="M5">
    <cfRule type="expression" dxfId="2170" priority="14">
      <formula>ABS(M$7-M$10)&gt;=1000</formula>
    </cfRule>
  </conditionalFormatting>
  <conditionalFormatting sqref="N5">
    <cfRule type="expression" dxfId="2169" priority="13">
      <formula>ABS(N$7-N$10)&gt;=1000</formula>
    </cfRule>
  </conditionalFormatting>
  <conditionalFormatting sqref="O5">
    <cfRule type="expression" dxfId="2168" priority="12">
      <formula>ABS(O$7-O$10)&gt;=1000</formula>
    </cfRule>
  </conditionalFormatting>
  <conditionalFormatting sqref="P5">
    <cfRule type="expression" dxfId="2167" priority="11">
      <formula>ABS(P$7-P$10)&gt;=1000</formula>
    </cfRule>
  </conditionalFormatting>
  <conditionalFormatting sqref="L23">
    <cfRule type="expression" dxfId="2166" priority="10">
      <formula>ABS(L$25-L$28)&gt;=1000</formula>
    </cfRule>
  </conditionalFormatting>
  <conditionalFormatting sqref="Y14">
    <cfRule type="expression" dxfId="2165" priority="9">
      <formula>ABS(Y$16-Y$19)&gt;=1000</formula>
    </cfRule>
  </conditionalFormatting>
  <conditionalFormatting sqref="H14">
    <cfRule type="expression" dxfId="2164" priority="8">
      <formula>ABS(H$16-H$19)&gt;=1000</formula>
    </cfRule>
  </conditionalFormatting>
  <conditionalFormatting sqref="AD5">
    <cfRule type="expression" dxfId="2163" priority="7">
      <formula>ABS(AD$7-AD$10)&gt;=1000</formula>
    </cfRule>
  </conditionalFormatting>
  <conditionalFormatting sqref="AE5">
    <cfRule type="expression" dxfId="2162" priority="6">
      <formula>ABS(AE$7-AE$10)&gt;=1000</formula>
    </cfRule>
  </conditionalFormatting>
  <conditionalFormatting sqref="T16">
    <cfRule type="expression" dxfId="2161" priority="5">
      <formula>ABS(T$16-T$19)&gt;=1000</formula>
    </cfRule>
  </conditionalFormatting>
  <conditionalFormatting sqref="F14">
    <cfRule type="expression" dxfId="2160" priority="3">
      <formula>ABS(F$16-F$19)&gt;=1000</formula>
    </cfRule>
  </conditionalFormatting>
  <conditionalFormatting sqref="R14">
    <cfRule type="expression" dxfId="2159" priority="2">
      <formula>ABS(R$16-R$19)&gt;=1000</formula>
    </cfRule>
  </conditionalFormatting>
  <conditionalFormatting sqref="O23">
    <cfRule type="expression" dxfId="2158" priority="1">
      <formula>ABS(O$25-O$28)&gt;=1000</formula>
    </cfRule>
  </conditionalFormatting>
  <dataValidations count="1">
    <dataValidation operator="greaterThanOrEqual" allowBlank="1" showErrorMessage="1" sqref="D6"/>
  </dataValidations>
  <printOptions horizontalCentered="1"/>
  <pageMargins left="0.39370078740157483" right="0.39370078740157483" top="0.39370078740157483" bottom="0.39370078740157483" header="0.51181102362204722" footer="0.51181102362204722"/>
  <pageSetup paperSize="9" scale="60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57313" r:id="rId4" name="Button 1">
              <controlPr defaultSize="0" print="0" autoFill="0" autoPict="0">
                <anchor moveWithCells="1">
                  <from>
                    <xdr:col>31</xdr:col>
                    <xdr:colOff>0</xdr:colOff>
                    <xdr:row>0</xdr:row>
                    <xdr:rowOff>342900</xdr:rowOff>
                  </from>
                  <to>
                    <xdr:col>32</xdr:col>
                    <xdr:colOff>411480</xdr:colOff>
                    <xdr:row>3</xdr:row>
                    <xdr:rowOff>30480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970">
    <pageSetUpPr fitToPage="1"/>
  </sheetPr>
  <dimension ref="A1:CU223"/>
  <sheetViews>
    <sheetView view="pageBreakPreview" topLeftCell="B13" zoomScale="85" zoomScaleNormal="100" zoomScaleSheetLayoutView="85" workbookViewId="0">
      <selection activeCell="O23" sqref="O23"/>
    </sheetView>
  </sheetViews>
  <sheetFormatPr defaultColWidth="8.109375" defaultRowHeight="25.8"/>
  <cols>
    <col min="1" max="1" width="11.6640625" style="64" customWidth="1" phonetic="1"/>
    <col min="2" max="2" width="7.6640625" style="64" customWidth="1" phonetic="1"/>
    <col min="3" max="3" width="8" style="64" customWidth="1" phonetic="1"/>
    <col min="4" max="8" width="7.6640625" style="64" customWidth="1" phonetic="1"/>
    <col min="9" max="9" width="8" style="64" customWidth="1" phonetic="1"/>
    <col min="10" max="12" width="7.6640625" style="64" customWidth="1" phonetic="1"/>
    <col min="13" max="13" width="7.77734375" style="64" bestFit="1" customWidth="1" phonetic="1"/>
    <col min="14" max="30" width="7.6640625" style="64" customWidth="1" phonetic="1"/>
    <col min="31" max="31" width="7.6640625" style="75" customWidth="1" phonetic="1"/>
    <col min="32" max="32" width="11.6640625" style="64" bestFit="1" customWidth="1" phonetic="1"/>
    <col min="33" max="33" width="22.109375" style="64" customWidth="1" phonetic="1"/>
    <col min="34" max="34" width="5.6640625" style="64" customWidth="1" phonetic="1"/>
    <col min="35" max="35" width="18.21875" style="64" customWidth="1" phonetic="1"/>
    <col min="36" max="36" width="12" style="64" bestFit="1" customWidth="1" phonetic="1"/>
    <col min="37" max="37" width="11.6640625" style="64" bestFit="1" customWidth="1" phonetic="1"/>
    <col min="38" max="38" width="5.6640625" style="64" customWidth="1" phonetic="1"/>
    <col min="39" max="39" width="11.44140625" style="64" bestFit="1" customWidth="1" phonetic="1"/>
    <col min="40" max="40" width="6.21875" style="64" customWidth="1" phonetic="1"/>
    <col min="41" max="41" width="8.6640625" style="64" customWidth="1" phonetic="1"/>
    <col min="42" max="42" width="11.21875" style="64" customWidth="1" phonetic="1"/>
    <col min="43" max="43" width="11.77734375" style="64" customWidth="1" phonetic="1"/>
    <col min="44" max="44" width="11.21875" style="64" customWidth="1" phonetic="1"/>
    <col min="45" max="45" width="11.21875" style="64" bestFit="1" customWidth="1" phonetic="1"/>
    <col min="46" max="46" width="41.77734375" style="64" customWidth="1" phonetic="1"/>
    <col min="47" max="47" width="7.77734375" style="64" customWidth="1" phonetic="1"/>
    <col min="48" max="48" width="17.109375" style="64" customWidth="1" phonetic="1"/>
    <col min="49" max="49" width="6.21875" style="64" customWidth="1" phonetic="1"/>
    <col min="50" max="50" width="10" style="64" customWidth="1" phonetic="1"/>
    <col min="51" max="51" width="6.21875" style="64" customWidth="1" phonetic="1"/>
    <col min="52" max="52" width="6.88671875" style="64" customWidth="1" phonetic="1"/>
    <col min="53" max="53" width="6.44140625" style="64" customWidth="1" phonetic="1"/>
    <col min="54" max="54" width="15.44140625" style="64" customWidth="1" phonetic="1"/>
    <col min="55" max="55" width="6.21875" style="64" customWidth="1" phonetic="1"/>
    <col min="56" max="56" width="22.109375" style="64" bestFit="1" customWidth="1" phonetic="1"/>
    <col min="57" max="57" width="6.44140625" style="64" customWidth="1" phonetic="1"/>
    <col min="58" max="60" width="6.21875" style="64" customWidth="1" phonetic="1"/>
    <col min="61" max="16384" width="8.109375" style="64" phonetic="1"/>
  </cols>
  <sheetData>
    <row r="1" spans="1:99" ht="31.2" ph="1">
      <c r="A1" s="64"/>
      <c r="B1" s="238" t="s" ph="1">
        <v>161</v>
      </c>
      <c r="C1" s="238" ph="1"/>
      <c r="D1" s="238" ph="1"/>
      <c r="E1" s="238" ph="1"/>
      <c r="F1" s="238" ph="1"/>
      <c r="G1" s="238" ph="1"/>
      <c r="H1" s="238" ph="1"/>
      <c r="I1" s="238" ph="1"/>
      <c r="J1" s="238" ph="1"/>
      <c r="K1" s="238" ph="1"/>
      <c r="L1" s="238" ph="1"/>
      <c r="M1" s="238" ph="1"/>
      <c r="N1" s="238" ph="1"/>
      <c r="O1" s="238" ph="1"/>
      <c r="P1" s="238" ph="1"/>
      <c r="Q1" s="238" ph="1"/>
      <c r="R1" s="238" ph="1"/>
      <c r="S1" s="238" ph="1"/>
      <c r="T1" s="238" ph="1"/>
      <c r="U1" s="238" ph="1"/>
      <c r="V1" s="238" ph="1"/>
      <c r="W1" s="238" ph="1"/>
      <c r="X1" s="238" ph="1"/>
      <c r="Y1" s="238" ph="1"/>
      <c r="Z1" s="238" ph="1"/>
      <c r="AA1" s="238" ph="1"/>
      <c r="AB1" s="238" ph="1"/>
      <c r="AC1" s="238" ph="1"/>
      <c r="AD1" s="238" ph="1"/>
      <c r="AE1" s="238" ph="1"/>
    </row>
    <row r="2" spans="1:99" s="66" customFormat="1" ht="24" customHeight="1" ph="1">
      <c r="B2" s="239" t="s" ph="1">
        <v>82</v>
      </c>
      <c r="C2" s="239" ph="1"/>
      <c r="D2" s="239" ph="1"/>
      <c r="E2" s="239" ph="1"/>
      <c r="F2" s="239" ph="1"/>
      <c r="G2" s="239" ph="1"/>
      <c r="H2" s="239" ph="1"/>
      <c r="I2" s="239" ph="1"/>
      <c r="J2" s="239" ph="1"/>
      <c r="K2" s="239" ph="1"/>
      <c r="L2" s="239" ph="1"/>
      <c r="M2" s="239" ph="1"/>
      <c r="N2" s="239" ph="1"/>
      <c r="O2" s="239" ph="1"/>
      <c r="P2" s="239" ph="1"/>
      <c r="Q2" s="239" ph="1"/>
      <c r="R2" s="239" ph="1"/>
      <c r="S2" s="239" ph="1"/>
      <c r="T2" s="239" ph="1"/>
      <c r="U2" s="239" ph="1"/>
      <c r="V2" s="239" ph="1"/>
      <c r="W2" s="239" ph="1"/>
      <c r="X2" s="239" ph="1"/>
      <c r="Y2" s="239" ph="1"/>
      <c r="Z2" s="239" ph="1"/>
      <c r="AA2" s="239" ph="1"/>
      <c r="AB2" s="239" ph="1"/>
      <c r="AC2" s="239" ph="1"/>
      <c r="AD2" s="239" ph="1"/>
      <c r="AE2" s="239" ph="1"/>
    </row>
    <row r="3" spans="1:99" ht="21" customHeight="1" ph="1">
      <c r="B3" s="240" ph="1">
        <v>46272</v>
      </c>
      <c r="C3" s="240"/>
      <c r="D3" s="240"/>
      <c r="E3" s="240"/>
      <c r="F3" s="240"/>
      <c r="G3" s="240"/>
      <c r="H3" s="240"/>
      <c r="I3" s="240"/>
      <c r="J3" s="240"/>
      <c r="K3" s="240"/>
      <c r="L3" s="240"/>
      <c r="M3" s="240"/>
      <c r="N3" s="240"/>
      <c r="O3" s="240"/>
      <c r="P3" s="240"/>
      <c r="Q3" s="240"/>
      <c r="R3" s="240"/>
      <c r="S3" s="240"/>
      <c r="T3" s="240"/>
      <c r="U3" s="240"/>
      <c r="V3" s="240"/>
      <c r="W3" s="240"/>
      <c r="X3" s="240"/>
      <c r="Y3" s="240"/>
      <c r="Z3" s="240"/>
      <c r="AA3" s="240"/>
      <c r="AB3" s="240"/>
      <c r="AC3" s="240"/>
      <c r="AD3" s="240"/>
      <c r="AE3" s="240"/>
    </row>
    <row r="4" spans="1:99" s="69" customFormat="1" ph="1">
      <c r="A4" s="65" ph="1"/>
      <c r="B4" s="219" t="s" ph="1">
        <v>37</v>
      </c>
      <c r="C4" s="67" t="s" ph="1">
        <v>176</v>
      </c>
      <c r="D4" s="68" t="s" ph="1">
        <v>44</v>
      </c>
      <c r="E4" s="68" t="s" ph="1">
        <v>45</v>
      </c>
      <c r="F4" s="68" t="s" ph="1">
        <v>39</v>
      </c>
      <c r="G4" s="68" t="s" ph="1">
        <v>46</v>
      </c>
      <c r="H4" s="68" t="s" ph="1">
        <v>47</v>
      </c>
      <c r="I4" s="68" t="s" ph="1">
        <v>110</v>
      </c>
      <c r="J4" s="68" t="s" ph="1">
        <v>48</v>
      </c>
      <c r="K4" s="68" t="s" ph="1">
        <v>111</v>
      </c>
      <c r="L4" s="68" t="s" ph="1">
        <v>112</v>
      </c>
      <c r="M4" s="68" t="s" ph="1">
        <v>49</v>
      </c>
      <c r="N4" s="68" t="s" ph="1">
        <v>50</v>
      </c>
      <c r="O4" s="68" t="s" ph="1">
        <v>113</v>
      </c>
      <c r="P4" s="68" t="s" ph="1">
        <v>114</v>
      </c>
      <c r="Q4" s="68" t="s" ph="1">
        <v>115</v>
      </c>
      <c r="R4" s="68" t="s" ph="1">
        <v>116</v>
      </c>
      <c r="S4" s="68" t="s" ph="1">
        <v>117</v>
      </c>
      <c r="T4" s="68" t="s" ph="1">
        <v>118</v>
      </c>
      <c r="U4" s="68" t="s" ph="1">
        <v>119</v>
      </c>
      <c r="V4" s="68" t="s" ph="1">
        <v>120</v>
      </c>
      <c r="W4" s="68" t="s" ph="1">
        <v>121</v>
      </c>
      <c r="X4" s="68" t="s" ph="1">
        <v>122</v>
      </c>
      <c r="Y4" s="68" t="s" ph="1">
        <v>123</v>
      </c>
      <c r="Z4" s="68" t="s" ph="1">
        <v>51</v>
      </c>
      <c r="AA4" s="68" t="s" ph="1">
        <v>124</v>
      </c>
      <c r="AB4" s="68" t="s" ph="1">
        <v>125</v>
      </c>
      <c r="AC4" s="68" t="s" ph="1">
        <v>126</v>
      </c>
      <c r="AD4" s="68" t="s" ph="1">
        <v>40</v>
      </c>
      <c r="AE4" s="68" t="s" ph="1">
        <v>127</v>
      </c>
      <c r="AF4" s="65" ph="1"/>
      <c r="AG4" s="65" ph="1"/>
      <c r="AH4" s="65" ph="1"/>
      <c r="AI4" s="65" ph="1"/>
      <c r="AJ4" s="65" ph="1"/>
      <c r="AK4" s="65" ph="1"/>
      <c r="AL4" s="65" ph="1"/>
      <c r="AM4" s="65" ph="1"/>
      <c r="AN4" s="65" ph="1"/>
      <c r="AO4" s="65" ph="1"/>
      <c r="AP4" s="65" ph="1"/>
      <c r="AQ4" s="65" ph="1"/>
      <c r="AR4" s="65" ph="1"/>
      <c r="AS4" s="65" ph="1"/>
      <c r="AT4" s="65" ph="1"/>
      <c r="AU4" s="65" ph="1"/>
      <c r="AV4" s="65" ph="1"/>
      <c r="AW4" s="65" ph="1"/>
      <c r="AX4" s="65" ph="1"/>
      <c r="AY4" s="65" ph="1"/>
      <c r="AZ4" s="65" ph="1"/>
      <c r="BA4" s="65" ph="1"/>
      <c r="BB4" s="65" ph="1"/>
      <c r="BC4" s="65" ph="1"/>
      <c r="BD4" s="65" ph="1"/>
      <c r="BE4" s="65" ph="1"/>
      <c r="BF4" s="65" ph="1"/>
      <c r="BG4" s="65" ph="1"/>
      <c r="BH4" s="65" ph="1"/>
      <c r="BI4" s="65" ph="1"/>
      <c r="BJ4" s="65" ph="1"/>
      <c r="BK4" s="65" ph="1"/>
      <c r="BL4" s="65" ph="1"/>
      <c r="BM4" s="65" ph="1"/>
      <c r="BN4" s="65" ph="1"/>
      <c r="BO4" s="65" ph="1"/>
      <c r="BP4" s="65" ph="1"/>
      <c r="BQ4" s="65" ph="1"/>
      <c r="BR4" s="65" ph="1"/>
      <c r="BS4" s="65" ph="1"/>
      <c r="BT4" s="65" ph="1"/>
      <c r="BU4" s="65" ph="1"/>
      <c r="BV4" s="65" ph="1"/>
      <c r="BW4" s="65" ph="1"/>
      <c r="BX4" s="65" ph="1"/>
      <c r="BY4" s="65" ph="1"/>
      <c r="BZ4" s="65" ph="1"/>
      <c r="CA4" s="65" ph="1"/>
      <c r="CB4" s="65" ph="1"/>
      <c r="CC4" s="65" ph="1"/>
      <c r="CD4" s="65" ph="1"/>
      <c r="CE4" s="65" ph="1"/>
      <c r="CF4" s="65" ph="1"/>
      <c r="CG4" s="65" ph="1"/>
      <c r="CH4" s="65" ph="1"/>
      <c r="CI4" s="65" ph="1"/>
      <c r="CJ4" s="65" ph="1"/>
      <c r="CK4" s="65" ph="1"/>
      <c r="CL4" s="65" ph="1"/>
      <c r="CM4" s="65" ph="1"/>
      <c r="CN4" s="65" ph="1"/>
      <c r="CO4" s="65" ph="1"/>
      <c r="CP4" s="65" ph="1"/>
      <c r="CQ4" s="65" ph="1"/>
      <c r="CR4" s="65" ph="1"/>
      <c r="CS4" s="65" ph="1"/>
      <c r="CT4" s="65" ph="1"/>
      <c r="CU4" s="65" ph="1"/>
    </row>
    <row r="5" spans="1:99" s="69" customFormat="1" ht="29.25" customHeight="1" ph="1">
      <c r="A5" s="65" ph="1"/>
      <c r="B5" s="219" ph="1"/>
      <c r="C5" s="67" t="s" ph="1">
        <v>36</v>
      </c>
      <c r="D5" s="70" t="s" ph="1">
        <v>160</v>
      </c>
      <c r="E5" s="142" t="s" ph="1">
        <v>642</v>
      </c>
      <c r="F5" s="142" t="s" ph="1">
        <v>1</v>
      </c>
      <c r="G5" s="142" t="s" ph="1">
        <v>7</v>
      </c>
      <c r="H5" s="142" t="s" ph="1">
        <v>7</v>
      </c>
      <c r="I5" s="141" t="s" ph="1">
        <v>608</v>
      </c>
      <c r="J5" s="141" t="s" ph="1">
        <v>609</v>
      </c>
      <c r="K5" s="141" t="s" ph="1">
        <v>611</v>
      </c>
      <c r="L5" s="141" t="s" ph="1">
        <v>613</v>
      </c>
      <c r="M5" s="141" t="s" ph="1">
        <v>608</v>
      </c>
      <c r="N5" s="70" t="s" ph="1">
        <v>609</v>
      </c>
      <c r="O5" s="70" t="s" ph="1">
        <v>611</v>
      </c>
      <c r="P5" s="70" t="s" ph="1">
        <v>613</v>
      </c>
      <c r="Q5" s="70" t="s" ph="1">
        <v>607</v>
      </c>
      <c r="R5" s="70" t="s" ph="1">
        <v>607</v>
      </c>
      <c r="S5" s="70" t="s" ph="1">
        <v>607</v>
      </c>
      <c r="T5" s="70" t="s" ph="1">
        <v>607</v>
      </c>
      <c r="U5" s="70" t="s" ph="1">
        <v>607</v>
      </c>
      <c r="V5" s="70" t="s" ph="1">
        <v>607</v>
      </c>
      <c r="W5" s="70" t="s" ph="1">
        <v>607</v>
      </c>
      <c r="X5" s="70" t="s" ph="1">
        <v>607</v>
      </c>
      <c r="Y5" s="70" t="s" ph="1">
        <v>607</v>
      </c>
      <c r="Z5" s="70" t="s" ph="1">
        <v>614</v>
      </c>
      <c r="AA5" s="70" t="s" ph="1">
        <v>54</v>
      </c>
      <c r="AB5" s="70" t="s" ph="1">
        <v>54</v>
      </c>
      <c r="AC5" s="70" t="s" ph="1">
        <v>615</v>
      </c>
      <c r="AD5" s="71" t="s">
        <v>72</v>
      </c>
      <c r="AE5" s="71" t="s">
        <v>635</v>
      </c>
      <c r="AF5" s="65" ph="1"/>
      <c r="AG5" s="65" ph="1"/>
      <c r="AH5" s="65" ph="1"/>
      <c r="AI5" s="65" ph="1"/>
      <c r="AJ5" s="65" ph="1"/>
      <c r="AK5" s="65" ph="1"/>
      <c r="AL5" s="65" ph="1"/>
      <c r="AM5" s="65" ph="1"/>
      <c r="AN5" s="65" ph="1"/>
      <c r="AO5" s="65" ph="1"/>
      <c r="AP5" s="65" ph="1"/>
      <c r="AQ5" s="65" ph="1"/>
      <c r="AR5" s="65" ph="1"/>
      <c r="AS5" s="65" ph="1"/>
      <c r="AT5" s="65" ph="1"/>
      <c r="AU5" s="65" ph="1"/>
      <c r="AV5" s="65" ph="1"/>
      <c r="AW5" s="65" ph="1"/>
      <c r="AX5" s="65" ph="1"/>
      <c r="AY5" s="65" ph="1"/>
      <c r="AZ5" s="65" ph="1"/>
      <c r="BA5" s="65" ph="1"/>
      <c r="BB5" s="65" ph="1"/>
      <c r="BC5" s="65" ph="1"/>
      <c r="BD5" s="65" ph="1"/>
      <c r="BE5" s="65" ph="1"/>
      <c r="BF5" s="65" ph="1"/>
      <c r="BG5" s="65" ph="1"/>
      <c r="BH5" s="65" ph="1"/>
      <c r="BI5" s="65" ph="1"/>
      <c r="BJ5" s="65" ph="1"/>
      <c r="BK5" s="65" ph="1"/>
      <c r="BL5" s="65" ph="1"/>
      <c r="BM5" s="65" ph="1"/>
      <c r="BN5" s="65" ph="1"/>
      <c r="BO5" s="65" ph="1"/>
      <c r="BP5" s="65" ph="1"/>
      <c r="BQ5" s="65" ph="1"/>
      <c r="BR5" s="65" ph="1"/>
      <c r="BS5" s="65" ph="1"/>
      <c r="BT5" s="65" ph="1"/>
      <c r="BU5" s="65" ph="1"/>
      <c r="BV5" s="65" ph="1"/>
      <c r="BW5" s="65" ph="1"/>
      <c r="BX5" s="65" ph="1"/>
      <c r="BY5" s="65" ph="1"/>
      <c r="BZ5" s="65" ph="1"/>
      <c r="CA5" s="65" ph="1"/>
      <c r="CB5" s="65" ph="1"/>
      <c r="CC5" s="65" ph="1"/>
      <c r="CD5" s="65" ph="1"/>
      <c r="CE5" s="65" ph="1"/>
      <c r="CF5" s="65" ph="1"/>
      <c r="CG5" s="65" ph="1"/>
      <c r="CH5" s="65" ph="1"/>
      <c r="CI5" s="65" ph="1"/>
      <c r="CJ5" s="65" ph="1"/>
      <c r="CK5" s="65" ph="1"/>
      <c r="CL5" s="65" ph="1"/>
      <c r="CM5" s="65" ph="1"/>
      <c r="CN5" s="65" ph="1"/>
      <c r="CO5" s="65" ph="1"/>
      <c r="CP5" s="65" ph="1"/>
      <c r="CQ5" s="65" ph="1"/>
      <c r="CR5" s="65" ph="1"/>
      <c r="CS5" s="65" ph="1"/>
      <c r="CT5" s="65" ph="1"/>
      <c r="CU5" s="65" ph="1"/>
    </row>
    <row r="6" spans="1:99" ph="1">
      <c r="B6" s="237" ph="1">
        <v>0.33333333333333331</v>
      </c>
      <c r="C6" s="155" t="s" ph="1">
        <v>177</v>
      </c>
      <c r="D6" s="71">
        <v>128</v>
      </c>
      <c r="E6" s="71">
        <v>3444</v>
      </c>
      <c r="F6" s="71">
        <v>911</v>
      </c>
      <c r="G6" s="71">
        <v>8000</v>
      </c>
      <c r="H6" s="71">
        <v>0</v>
      </c>
      <c r="I6" s="71">
        <v>17.57</v>
      </c>
      <c r="J6" s="71">
        <v>76.8</v>
      </c>
      <c r="K6" s="71">
        <v>7.69</v>
      </c>
      <c r="L6" s="71">
        <v>6.77</v>
      </c>
      <c r="M6" s="71">
        <v>3650</v>
      </c>
      <c r="N6" s="71">
        <v>1884</v>
      </c>
      <c r="O6" s="71">
        <v>3974</v>
      </c>
      <c r="P6" s="71">
        <v>2773</v>
      </c>
      <c r="Q6" s="71">
        <v>7146</v>
      </c>
      <c r="R6" s="71">
        <v>7069</v>
      </c>
      <c r="S6" s="71">
        <v>7222</v>
      </c>
      <c r="T6" s="71">
        <v>5191</v>
      </c>
      <c r="U6" s="71">
        <v>2749</v>
      </c>
      <c r="V6" s="71">
        <v>0</v>
      </c>
      <c r="W6" s="71">
        <v>0</v>
      </c>
      <c r="X6" s="71">
        <v>0</v>
      </c>
      <c r="Y6" s="71">
        <v>5347</v>
      </c>
      <c r="Z6" s="71">
        <v>3055</v>
      </c>
      <c r="AA6" s="71">
        <v>1303</v>
      </c>
      <c r="AB6" s="71">
        <v>1498</v>
      </c>
      <c r="AC6" s="71">
        <v>7045</v>
      </c>
      <c r="AD6" s="71">
        <v>5474</v>
      </c>
      <c r="AE6" s="71">
        <v>5350</v>
      </c>
    </row>
    <row r="7" spans="1:99" s="72" customFormat="1" ht="22.2" ph="1">
      <c r="B7" s="237" ph="1"/>
      <c r="C7" s="68" t="s" ph="1">
        <v>178</v>
      </c>
      <c r="D7" s="73" ph="1">
        <f>D6*33.183*LOOKUP(D8,密度!$A$2:$A$50,密度!$Q$2:$Q$50)</f>
        <v>4018.19052672</v>
      </c>
      <c r="E7" s="73" ph="1">
        <f>E6*51.53*LOOKUP(E8,密度!$A$2:$A$50,密度!$B$2:$B$50)</f>
        <v>138195.35948399999</v>
      </c>
      <c r="F7" s="73" ph="1">
        <f>F6*33.183*LOOKUP(F8,密度!$A$2:$A$50,密度!$C$2:$C$50)</f>
        <v>33521.728745699998</v>
      </c>
      <c r="G7" s="73" ph="1">
        <f xml:space="preserve"> (G6+2)*51.53*LOOKUP(G8,密度!$A$2:$A$50,密度!$B$2:$B$50)</f>
        <v>320761.66637400002</v>
      </c>
      <c r="H7" s="73" ph="1">
        <f>(H6)*51.53*LOOKUP(H8,密度!$A$2:$A$50,密度!$B$2:$B$50)</f>
        <v>0</v>
      </c>
      <c r="I7" s="73" ph="1">
        <f>I6*290.8*1.0267</f>
        <v>5245.7758052000008</v>
      </c>
      <c r="J7" s="73" ph="1">
        <f>J6*290.8*0.7892</f>
        <v>17625.550847999999</v>
      </c>
      <c r="K7" s="73" ph="1">
        <f>K6*290.8*1.1126</f>
        <v>2488.0539752000004</v>
      </c>
      <c r="L7" s="73" ph="1">
        <f>L6*290.8*0.777</f>
        <v>1529.6923320000001</v>
      </c>
      <c r="M7" s="73" ph="1">
        <f>M6*33.183*LOOKUP(M8,密度!$A$2:$A$50,密度!$D$2:$D$50)</f>
        <v>124121.67515999998</v>
      </c>
      <c r="N7" s="73" ph="1">
        <f>N6*33.183*LOOKUP(N8,密度!$A$2:$A$50,密度!$E$2:$E$50)</f>
        <v>48681.810356399998</v>
      </c>
      <c r="O7" s="73" ph="1">
        <f>O6*20.428*LOOKUP(O8,密度!$A$2:$A$50,密度!$C$2:$C$50)</f>
        <v>89461.320944000006</v>
      </c>
      <c r="P7" s="73" ph="1">
        <f>P6*51.53*LOOKUP(P8,密度!$A$2:$A$50,密度!$B$2:$B$50)</f>
        <v>111270.53770299999</v>
      </c>
      <c r="Q7" s="73" ph="1">
        <f>Q6*1.5*1.5*3.1416*LOOKUP(W8,密度!$A$2:$A$50,密度!$L$2:$L$50)</f>
        <v>47279.433801599997</v>
      </c>
      <c r="R7" s="73" ph="1">
        <f>R6*1.5*1.5*3.1416*LOOKUP(R8,密度!$A$2:$A$50,密度!$L$2:$L$50)</f>
        <v>46320.274261800005</v>
      </c>
      <c r="S7" s="73" ph="1">
        <f>S6*1.5*1.5*3.1416*LOOKUP(S8,密度!$A$2:$A$50,密度!$L$2:$L$50)</f>
        <v>47782.265731200001</v>
      </c>
      <c r="T7" s="73" ph="1">
        <f>T6*1.5*1.5*3.1416*LOOKUP(T8,密度!$A$2:$A$50,密度!$L$2:$L$50)</f>
        <v>34454.823341399999</v>
      </c>
      <c r="U7" s="73" ph="1">
        <f>U6*1.5*1.5*3.1416*LOOKUP(U8,密度!$A$2:$A$50,密度!$L$2:$L$50)</f>
        <v>18187.960190400001</v>
      </c>
      <c r="V7" s="73" ph="1">
        <f>V6*1.5*1.5*3.1416*LOOKUP(V8,密度!$A$2:$A$50,密度!$L$2:$L$50)</f>
        <v>0</v>
      </c>
      <c r="W7" s="73" ph="1">
        <f>W6*1.5*1.5*3.1416*LOOKUP(W8,密度!$A$2:$A$50,密度!$L$2:$L$50)</f>
        <v>0</v>
      </c>
      <c r="X7" s="73" ph="1">
        <f>X6*1.5*1.5*3.1416*LOOKUP(X8,密度!$A$2:$A$50,密度!$L$2:$L$50)</f>
        <v>0</v>
      </c>
      <c r="Y7" s="73" ph="1">
        <f>Y6*1.5*1.5*3.1416*LOOKUP(Y8,密度!$A$2:$A$50,密度!$L$2:$L$50)</f>
        <v>35263.485318600004</v>
      </c>
      <c r="Z7" s="73" ph="1">
        <f>Z6*33.183*LOOKUP(Z8,密度!$A$2:$A$50,密度!$L$2:$L$50)</f>
        <v>95088.872969999997</v>
      </c>
      <c r="AA7" s="73" ph="1">
        <f>AA6*33.183*LOOKUP(AA8,密度!$A$2:$A$50,密度!$D$2:$D$50)</f>
        <v>44352.975184200004</v>
      </c>
      <c r="AB7" s="73" ph="1">
        <f>AB6*20.428*LOOKUP(AB8,密度!$A$2:$A$50,密度!$D$2:$D$50)</f>
        <v>31476.336718399998</v>
      </c>
      <c r="AC7" s="73" ph="1">
        <f>AC6*51.53*LOOKUP(AC8,密度!$A$2:$A$50,密度!$Q$2:$Q$50)</f>
        <v>343436.18296550005</v>
      </c>
      <c r="AD7" s="73" ph="1">
        <f>AD6*20.428*LOOKUP(AD8,密度!$A$2:$A$50,密度!$V$2:$V$50)</f>
        <v>107081.58222720001</v>
      </c>
      <c r="AE7" s="73" ph="1">
        <f>AE6*20.428</f>
        <v>109289.8</v>
      </c>
    </row>
    <row r="8" spans="1:99" ph="1">
      <c r="B8" s="237" ph="1"/>
      <c r="C8" s="68" t="s" ph="1">
        <v>179</v>
      </c>
      <c r="D8" s="74">
        <v>26</v>
      </c>
      <c r="E8" s="74">
        <v>26</v>
      </c>
      <c r="F8" s="74">
        <v>25</v>
      </c>
      <c r="G8" s="74">
        <v>27</v>
      </c>
      <c r="H8" s="74">
        <v>24</v>
      </c>
      <c r="I8" s="74">
        <v>25</v>
      </c>
      <c r="J8" s="74">
        <v>25</v>
      </c>
      <c r="K8" s="74">
        <v>25</v>
      </c>
      <c r="L8" s="74">
        <v>25</v>
      </c>
      <c r="M8" s="74">
        <v>27</v>
      </c>
      <c r="N8" s="74">
        <v>29</v>
      </c>
      <c r="O8" s="74">
        <v>33</v>
      </c>
      <c r="P8" s="74">
        <v>26</v>
      </c>
      <c r="Q8" s="74">
        <v>32</v>
      </c>
      <c r="R8" s="74">
        <v>35</v>
      </c>
      <c r="S8" s="74">
        <v>26</v>
      </c>
      <c r="T8" s="74">
        <v>23</v>
      </c>
      <c r="U8" s="74">
        <v>26</v>
      </c>
      <c r="V8" s="74">
        <v>27</v>
      </c>
      <c r="W8" s="74">
        <v>26</v>
      </c>
      <c r="X8" s="74">
        <v>17</v>
      </c>
      <c r="Y8" s="74">
        <v>29</v>
      </c>
      <c r="Z8" s="74">
        <v>24</v>
      </c>
      <c r="AA8" s="74">
        <v>26</v>
      </c>
      <c r="AB8" s="74">
        <v>23</v>
      </c>
      <c r="AC8" s="74">
        <v>26</v>
      </c>
      <c r="AD8" s="74">
        <v>37</v>
      </c>
      <c r="AE8" s="74">
        <v>27</v>
      </c>
    </row>
    <row r="9" spans="1:99" ht="26.4" ph="1">
      <c r="B9" s="237" ph="1">
        <v>0.66666666666666663</v>
      </c>
      <c r="C9" s="155" t="s" ph="1">
        <v>180</v>
      </c>
      <c r="D9" s="71">
        <v>126</v>
      </c>
      <c r="E9" s="71">
        <v>3441</v>
      </c>
      <c r="F9" s="71">
        <v>1164</v>
      </c>
      <c r="G9" s="71">
        <v>7725</v>
      </c>
      <c r="H9" s="71">
        <v>1650</v>
      </c>
      <c r="I9" s="71">
        <v>17.510000000000002</v>
      </c>
      <c r="J9" s="71">
        <v>6.94</v>
      </c>
      <c r="K9" s="71">
        <v>7.73</v>
      </c>
      <c r="L9" s="71">
        <v>82.47</v>
      </c>
      <c r="M9" s="71">
        <v>36.49</v>
      </c>
      <c r="N9" s="71">
        <v>2326</v>
      </c>
      <c r="O9" s="71">
        <v>2251</v>
      </c>
      <c r="P9" s="71">
        <v>2815</v>
      </c>
      <c r="Q9" s="71">
        <v>7152</v>
      </c>
      <c r="R9" s="71">
        <v>7074</v>
      </c>
      <c r="S9" s="71">
        <v>7230</v>
      </c>
      <c r="T9" s="71">
        <v>7195</v>
      </c>
      <c r="U9" s="71">
        <v>6211</v>
      </c>
      <c r="V9" s="71">
        <v>2512</v>
      </c>
      <c r="W9" s="71">
        <v>0</v>
      </c>
      <c r="X9" s="71">
        <v>0</v>
      </c>
      <c r="Y9" s="71">
        <v>1449</v>
      </c>
      <c r="Z9" s="71">
        <v>3881</v>
      </c>
      <c r="AA9" s="71">
        <v>1303</v>
      </c>
      <c r="AB9" s="71">
        <v>1399</v>
      </c>
      <c r="AC9" s="71">
        <v>7069</v>
      </c>
      <c r="AD9" s="71">
        <v>5469</v>
      </c>
      <c r="AE9" s="71">
        <v>5253</v>
      </c>
    </row>
    <row r="10" spans="1:99" s="72" customFormat="1" ht="22.2" ph="1">
      <c r="B10" s="237" ph="1"/>
      <c r="C10" s="155" t="s" ph="1">
        <v>178</v>
      </c>
      <c r="D10" s="73" ph="1">
        <f>D9*33.183*LOOKUP(D11,密度!$A$2:$A$50,密度!$Q$2:$Q$50)</f>
        <v>3944.11744314</v>
      </c>
      <c r="E10" s="73" ph="1">
        <f>E9*51.53*LOOKUP(E11,密度!$A$2:$A$50,密度!$B$2:$B$50)</f>
        <v>137312.526912</v>
      </c>
      <c r="F10" s="73" ph="1">
        <f>F9*33.183*LOOKUP(F11,密度!$A$2:$A$50,密度!$C$2:$C$50)</f>
        <v>42742.438279200003</v>
      </c>
      <c r="G10" s="73" ph="1">
        <f xml:space="preserve"> (G9+2)*51.53*LOOKUP(G11,密度!$A$2:$A$50,密度!$B$2:$B$50)</f>
        <v>307986.281785</v>
      </c>
      <c r="H10" s="73" ph="1">
        <f>(H9)*51.53*LOOKUP(H11,密度!$A$2:$A$50,密度!$B$2:$B$50)</f>
        <v>65766.450750000004</v>
      </c>
      <c r="I10" s="73" ph="1">
        <f>I9*290.8*1.0267</f>
        <v>5227.8619435999999</v>
      </c>
      <c r="J10" s="73" ph="1">
        <f>J9*290.8*0.7892</f>
        <v>1592.7255584000002</v>
      </c>
      <c r="K10" s="73" ph="1">
        <f>K9*290.8*1.1126</f>
        <v>2500.9957383999999</v>
      </c>
      <c r="L10" s="73" ph="1">
        <f>L9*290.8*0.777</f>
        <v>18634.228452000003</v>
      </c>
      <c r="M10" s="73" ph="1">
        <f>M9*33.183*LOOKUP(M11,密度!$A$2:$A$50,密度!$D$2:$D$50)</f>
        <v>1236.3965558370001</v>
      </c>
      <c r="N10" s="73" ph="1">
        <f>N9*33.183*LOOKUP(N11,密度!$A$2:$A$50,密度!$E$2:$E$50)</f>
        <v>60018.012460799997</v>
      </c>
      <c r="O10" s="73" ph="1">
        <f>O9*20.428*LOOKUP(O11,密度!$A$2:$A$50,密度!$C$2:$C$50)</f>
        <v>50577.172457200002</v>
      </c>
      <c r="P10" s="73" ph="1">
        <f>P9*51.53*LOOKUP(P11,密度!$A$2:$A$50,密度!$B$2:$B$50)</f>
        <v>112462.65333500001</v>
      </c>
      <c r="Q10" s="73" ph="1">
        <f>Q9*1.5*1.5*3.1416*LOOKUP(W11,密度!$A$2:$A$50,密度!$L$2:$L$50)</f>
        <v>46712.475532800003</v>
      </c>
      <c r="R10" s="73" ph="1">
        <f>R9*1.5*1.5*3.1416*LOOKUP(R11,密度!$A$2:$A$50,密度!$L$2:$L$50)</f>
        <v>46303.033946400006</v>
      </c>
      <c r="S10" s="73" ph="1">
        <f>S9*1.5*1.5*3.1416*LOOKUP(S11,密度!$A$2:$A$50,密度!$L$2:$L$50)</f>
        <v>47784.089430000007</v>
      </c>
      <c r="T10" s="73" ph="1">
        <f>T9*1.5*1.5*3.1416*LOOKUP(T11,密度!$A$2:$A$50,密度!$L$2:$L$50)</f>
        <v>47705.345225999998</v>
      </c>
      <c r="U10" s="73" ph="1">
        <f>U9*1.5*1.5*3.1416*LOOKUP(U11,密度!$A$2:$A$50,密度!$L$2:$L$50)</f>
        <v>41093.277825600002</v>
      </c>
      <c r="V10" s="73" ph="1">
        <f>V9*1.5*1.5*3.1416*LOOKUP(V11,密度!$A$2:$A$50,密度!$L$2:$L$50)</f>
        <v>16602.162192</v>
      </c>
      <c r="W10" s="73" ph="1">
        <f>W9*1.5*1.5*3.1416*LOOKUP(W11,密度!$A$2:$A$50,密度!$L$2:$L$50)</f>
        <v>0</v>
      </c>
      <c r="X10" s="73" ph="1">
        <f>X9*1.5*1.5*3.1416*LOOKUP(X11,密度!$A$2:$A$50,密度!$L$2:$L$50)</f>
        <v>0</v>
      </c>
      <c r="Y10" s="73" ph="1">
        <f>Y9*1.5*1.5*3.1416*LOOKUP(Y11,密度!$A$2:$A$50,密度!$L$2:$L$50)</f>
        <v>9556.1605062000017</v>
      </c>
      <c r="Z10" s="73" ph="1">
        <f>Z9*33.183*LOOKUP(Z11,密度!$A$2:$A$50,密度!$L$2:$L$50)</f>
        <v>120669.87995100001</v>
      </c>
      <c r="AA10" s="73" ph="1">
        <f>AA9*33.183*LOOKUP(AA11,密度!$A$2:$A$50,密度!$D$2:$D$50)</f>
        <v>44188.672878000005</v>
      </c>
      <c r="AB10" s="73" ph="1">
        <f>AB9*20.428*LOOKUP(AB11,密度!$A$2:$A$50,密度!$D$2:$D$50)</f>
        <v>29341.825212399999</v>
      </c>
      <c r="AC10" s="73" ph="1">
        <f>AC9*51.53*LOOKUP(AC11,密度!$A$2:$A$50,密度!$Q$2:$Q$50)</f>
        <v>343622.64014810004</v>
      </c>
      <c r="AD10" s="73" ph="1">
        <f>AD9*20.428*LOOKUP(AD11,密度!$A$2:$A$50,密度!$V$2:$V$50)</f>
        <v>106983.7729632</v>
      </c>
      <c r="AE10" s="73" ph="1">
        <f>AE9*20.428</f>
        <v>107308.284</v>
      </c>
    </row>
    <row r="11" spans="1:99" ph="1">
      <c r="A11" s="64" t="s" ph="1">
        <v>162</v>
      </c>
      <c r="B11" s="237" ph="1"/>
      <c r="C11" s="155" t="s" ph="1">
        <v>179</v>
      </c>
      <c r="D11" s="74">
        <v>30</v>
      </c>
      <c r="E11" s="74">
        <v>31</v>
      </c>
      <c r="F11" s="74">
        <v>28</v>
      </c>
      <c r="G11" s="74">
        <v>32</v>
      </c>
      <c r="H11" s="74">
        <v>32</v>
      </c>
      <c r="I11" s="74">
        <v>25</v>
      </c>
      <c r="J11" s="74">
        <v>25</v>
      </c>
      <c r="K11" s="74">
        <v>25</v>
      </c>
      <c r="L11" s="74">
        <v>25</v>
      </c>
      <c r="M11" s="74">
        <v>31</v>
      </c>
      <c r="N11" s="74">
        <v>30</v>
      </c>
      <c r="O11" s="74">
        <v>35</v>
      </c>
      <c r="P11" s="74">
        <v>30</v>
      </c>
      <c r="Q11" s="74">
        <v>34</v>
      </c>
      <c r="R11" s="74">
        <v>36</v>
      </c>
      <c r="S11" s="74">
        <v>27</v>
      </c>
      <c r="T11" s="74">
        <v>24</v>
      </c>
      <c r="U11" s="74">
        <v>26</v>
      </c>
      <c r="V11" s="74">
        <v>27</v>
      </c>
      <c r="W11" s="74">
        <v>38</v>
      </c>
      <c r="X11" s="74">
        <v>24</v>
      </c>
      <c r="Y11" s="74">
        <v>29</v>
      </c>
      <c r="Z11" s="74">
        <v>25</v>
      </c>
      <c r="AA11" s="74">
        <v>30</v>
      </c>
      <c r="AB11" s="74">
        <v>25</v>
      </c>
      <c r="AC11" s="74">
        <v>30</v>
      </c>
      <c r="AD11" s="74">
        <v>37</v>
      </c>
      <c r="AE11" s="74">
        <v>30</v>
      </c>
    </row>
    <row r="12" spans="1:99" ht="9.9" customHeight="1" ph="1"/>
    <row r="13" spans="1:99" s="72" customFormat="1" ht="29.25" customHeight="1" ph="1">
      <c r="B13" s="214" t="s" ph="1">
        <v>37</v>
      </c>
      <c r="C13" s="155" t="s" ph="1">
        <v>176</v>
      </c>
      <c r="D13" s="76" t="s" ph="1">
        <v>52</v>
      </c>
      <c r="E13" s="76" t="s" ph="1">
        <v>53</v>
      </c>
      <c r="F13" s="76" t="s" ph="1">
        <v>57</v>
      </c>
      <c r="G13" s="76" t="s" ph="1">
        <v>58</v>
      </c>
      <c r="H13" s="76" t="s" ph="1">
        <v>128</v>
      </c>
      <c r="I13" s="76" t="s" ph="1">
        <v>59</v>
      </c>
      <c r="J13" s="76" t="s" ph="1">
        <v>129</v>
      </c>
      <c r="K13" s="76" t="s" ph="1">
        <v>55</v>
      </c>
      <c r="L13" s="76" t="s" ph="1">
        <v>60</v>
      </c>
      <c r="M13" s="76" t="s" ph="1">
        <v>61</v>
      </c>
      <c r="N13" s="76" t="s" ph="1">
        <v>130</v>
      </c>
      <c r="O13" s="76" t="s" ph="1">
        <v>56</v>
      </c>
      <c r="P13" s="76" t="s" ph="1">
        <v>62</v>
      </c>
      <c r="Q13" s="76" t="s" ph="1">
        <v>63</v>
      </c>
      <c r="R13" s="76" t="s" ph="1">
        <v>64</v>
      </c>
      <c r="S13" s="76" t="s" ph="1">
        <v>65</v>
      </c>
      <c r="T13" s="76" t="s" ph="1">
        <v>66</v>
      </c>
      <c r="U13" s="76" t="s" ph="1">
        <v>67</v>
      </c>
      <c r="V13" s="76" t="s" ph="1">
        <v>131</v>
      </c>
      <c r="W13" s="76" t="s" ph="1">
        <v>132</v>
      </c>
      <c r="X13" s="76" t="s" ph="1">
        <v>133</v>
      </c>
      <c r="Y13" s="105" t="s" ph="1">
        <v>68</v>
      </c>
      <c r="Z13" s="76" t="s" ph="1">
        <v>74</v>
      </c>
      <c r="AA13" s="76" t="s" ph="1">
        <v>134</v>
      </c>
      <c r="AB13" s="76" t="s" ph="1">
        <v>135</v>
      </c>
      <c r="AC13" s="76" t="s" ph="1">
        <v>136</v>
      </c>
      <c r="AD13" s="76" t="s" ph="1">
        <v>137</v>
      </c>
      <c r="AE13" s="76" t="s" ph="1">
        <v>138</v>
      </c>
      <c r="AG13" s="72" t="s" ph="1">
        <v>325</v>
      </c>
      <c r="AH13" s="72" t="s" ph="1">
        <v>188</v>
      </c>
      <c r="AI13" s="72" t="s" ph="1">
        <v>189</v>
      </c>
      <c r="AJ13" s="72" t="s" ph="1">
        <v>190</v>
      </c>
      <c r="AK13" s="72" t="s" ph="1">
        <v>191</v>
      </c>
      <c r="AL13" s="72" t="s" ph="1">
        <v>192</v>
      </c>
      <c r="AM13" s="72" t="s" ph="1">
        <v>193</v>
      </c>
      <c r="AN13" s="72" t="s" ph="1">
        <v>194</v>
      </c>
      <c r="AO13" s="72" t="s" ph="1">
        <v>195</v>
      </c>
      <c r="AP13" s="72" t="s" ph="1">
        <v>196</v>
      </c>
      <c r="AQ13" s="72" t="s" ph="1">
        <v>197</v>
      </c>
      <c r="AR13" s="72" t="s" ph="1">
        <v>198</v>
      </c>
      <c r="AS13" s="72" t="s" ph="1">
        <v>199</v>
      </c>
      <c r="AT13" s="72" t="s" ph="1">
        <v>200</v>
      </c>
      <c r="AU13" s="72" t="s" ph="1">
        <v>201</v>
      </c>
      <c r="AV13" s="72" t="s" ph="1">
        <v>202</v>
      </c>
      <c r="AW13" s="72" t="s" ph="1">
        <v>203</v>
      </c>
      <c r="AX13" s="72" t="s" ph="1">
        <v>204</v>
      </c>
      <c r="AY13" s="72" t="s" ph="1">
        <v>326</v>
      </c>
      <c r="AZ13" s="72" t="s" ph="1">
        <v>205</v>
      </c>
      <c r="BA13" s="72" t="s" ph="1">
        <v>206</v>
      </c>
      <c r="BB13" s="72" t="s" ph="1">
        <v>591</v>
      </c>
      <c r="BC13" s="72" t="s" ph="1">
        <v>207</v>
      </c>
      <c r="BD13" s="72" t="s" ph="1">
        <v>327</v>
      </c>
      <c r="BE13" s="72" t="s" ph="1">
        <v>328</v>
      </c>
      <c r="BF13" s="72" t="s" ph="1">
        <v>329</v>
      </c>
      <c r="BG13" s="72" t="s" ph="1">
        <v>330</v>
      </c>
      <c r="BH13" s="72" t="s" ph="1">
        <v>331</v>
      </c>
    </row>
    <row r="14" spans="1:99" s="72" customFormat="1" ht="24" ph="1">
      <c r="B14" s="215" ph="1"/>
      <c r="C14" s="67" t="s" ph="1">
        <v>36</v>
      </c>
      <c r="D14" s="77" t="s" ph="1">
        <v>616</v>
      </c>
      <c r="E14" s="77" t="s" ph="1">
        <v>616</v>
      </c>
      <c r="F14" s="77" t="s" ph="1">
        <v>639</v>
      </c>
      <c r="G14" s="77" t="s" ph="1">
        <v>617</v>
      </c>
      <c r="H14" s="77" t="s" ph="1">
        <v>636</v>
      </c>
      <c r="I14" s="138" t="s" ph="1">
        <v>618</v>
      </c>
      <c r="J14" s="77" t="s" ph="1">
        <v>619</v>
      </c>
      <c r="K14" s="77" t="s" ph="1">
        <v>186</v>
      </c>
      <c r="L14" s="77" t="s" ph="1">
        <v>41</v>
      </c>
      <c r="M14" s="104" t="s" ph="1">
        <v>620</v>
      </c>
      <c r="N14" s="104" t="s" ph="1">
        <v>621</v>
      </c>
      <c r="O14" s="104" t="s" ph="1">
        <v>637</v>
      </c>
      <c r="P14" s="77" t="s" ph="1">
        <v>622</v>
      </c>
      <c r="Q14" s="77" t="s" ph="1">
        <v>622</v>
      </c>
      <c r="R14" s="77" t="s" ph="1">
        <v>622</v>
      </c>
      <c r="S14" s="77" t="s" ph="1">
        <v>622</v>
      </c>
      <c r="T14" s="77" t="s" ph="1">
        <v>624</v>
      </c>
      <c r="U14" s="77" t="s" ph="1">
        <v>605</v>
      </c>
      <c r="V14" s="77" t="s" ph="1">
        <v>633</v>
      </c>
      <c r="W14" s="77" t="s" ph="1">
        <v>622</v>
      </c>
      <c r="X14" s="77" t="s" ph="1">
        <v>625</v>
      </c>
      <c r="Y14" s="143" t="s" ph="1">
        <v>0</v>
      </c>
      <c r="Z14" s="77" t="s" ph="1">
        <v>54</v>
      </c>
      <c r="AA14" s="77" t="s" ph="1">
        <v>613</v>
      </c>
      <c r="AB14" s="77" t="s" ph="1">
        <v>632</v>
      </c>
      <c r="AC14" s="77" t="s" ph="1">
        <v>632</v>
      </c>
      <c r="AD14" s="77" t="s" ph="1">
        <v>612</v>
      </c>
      <c r="AE14" s="77" t="s" ph="1">
        <v>612</v>
      </c>
      <c r="AG14" s="72" t="s" ph="1">
        <v>208</v>
      </c>
      <c r="AI14" s="72" t="s" ph="1">
        <v>209</v>
      </c>
      <c r="AJ14" s="72" t="s" ph="1">
        <v>332</v>
      </c>
      <c r="AK14" s="72" t="s" ph="1">
        <v>210</v>
      </c>
      <c r="AM14" s="72" t="s" ph="1">
        <v>212</v>
      </c>
      <c r="AN14" s="72" t="s" ph="1">
        <v>210</v>
      </c>
      <c r="AO14" s="72" t="s" ph="1">
        <v>211</v>
      </c>
      <c r="AP14" s="72" t="s" ph="1">
        <v>212</v>
      </c>
      <c r="AQ14" s="72" t="s" ph="1">
        <v>210</v>
      </c>
      <c r="AR14" s="72" t="s" ph="1">
        <v>211</v>
      </c>
      <c r="AS14" s="72" t="s" ph="1">
        <v>212</v>
      </c>
      <c r="AT14" s="72" t="s" ph="1">
        <v>210</v>
      </c>
      <c r="AU14" s="72" t="s" ph="1">
        <v>211</v>
      </c>
      <c r="AV14" s="72" t="s" ph="1">
        <v>212</v>
      </c>
      <c r="AW14" s="72" t="s" ph="1">
        <v>210</v>
      </c>
      <c r="AX14" s="72" t="s" ph="1">
        <v>211</v>
      </c>
      <c r="AY14" s="72" t="s" ph="1">
        <v>212</v>
      </c>
      <c r="AZ14" s="72" t="s" ph="1">
        <v>211</v>
      </c>
    </row>
    <row r="15" spans="1:99" ph="1">
      <c r="B15" s="216" ph="1">
        <v>0.33333333333333331</v>
      </c>
      <c r="C15" s="155" t="s" ph="1">
        <v>177</v>
      </c>
      <c r="D15" s="78">
        <v>3241</v>
      </c>
      <c r="E15" s="78">
        <v>5404</v>
      </c>
      <c r="F15" s="78">
        <v>2618</v>
      </c>
      <c r="G15" s="78">
        <v>4006</v>
      </c>
      <c r="H15" s="78">
        <v>2185</v>
      </c>
      <c r="I15" s="78">
        <v>0</v>
      </c>
      <c r="J15" s="78">
        <v>5091</v>
      </c>
      <c r="K15" s="78">
        <v>3700</v>
      </c>
      <c r="L15" s="78">
        <v>5345</v>
      </c>
      <c r="M15" s="78">
        <v>5018</v>
      </c>
      <c r="N15" s="78">
        <v>484</v>
      </c>
      <c r="O15" s="78">
        <v>1907</v>
      </c>
      <c r="P15" s="78">
        <v>3741</v>
      </c>
      <c r="Q15" s="78">
        <v>6658</v>
      </c>
      <c r="R15" s="78">
        <v>0</v>
      </c>
      <c r="S15" s="78">
        <v>4597</v>
      </c>
      <c r="T15" s="78">
        <v>556</v>
      </c>
      <c r="U15" s="78">
        <v>5754</v>
      </c>
      <c r="V15" s="78">
        <v>-817</v>
      </c>
      <c r="W15" s="71">
        <v>-798</v>
      </c>
      <c r="X15" s="78">
        <v>856</v>
      </c>
      <c r="Y15" s="106">
        <v>-2366</v>
      </c>
      <c r="Z15" s="78">
        <v>0</v>
      </c>
      <c r="AA15" s="78">
        <v>2468</v>
      </c>
      <c r="AB15" s="78" ph="1">
        <v>0</v>
      </c>
      <c r="AC15" s="78" ph="1">
        <v>0</v>
      </c>
      <c r="AD15" s="78">
        <v>5.32</v>
      </c>
      <c r="AE15" s="78">
        <v>31.3</v>
      </c>
      <c r="AG15" s="64" t="s" ph="1">
        <v>214</v>
      </c>
      <c r="AH15" s="64" ph="1">
        <v>1</v>
      </c>
      <c r="AI15" s="64" t="s" ph="1">
        <v>333</v>
      </c>
      <c r="AK15" s="64" t="s" ph="1">
        <v>587</v>
      </c>
      <c r="AM15" s="64" t="s" ph="1">
        <v>335</v>
      </c>
      <c r="AZ15" s="64" t="s" ph="1">
        <v>216</v>
      </c>
      <c r="BA15" s="64" ph="1">
        <v>0</v>
      </c>
    </row>
    <row r="16" spans="1:99" s="72" customFormat="1" ht="22.2" ph="1">
      <c r="B16" s="217" ph="1"/>
      <c r="C16" s="155" t="s" ph="1">
        <v>178</v>
      </c>
      <c r="D16" s="73" ph="1">
        <f>D15*7.0686*LOOKUP(D17,密度!$A$2:$A$50,密度!$L$2:$L$50)</f>
        <v>21374.407315800003</v>
      </c>
      <c r="E16" s="73" ph="1">
        <f>E15*7.0686*LOOKUP(E17,密度!$A$2:$A$50,密度!$L$2:$L$50)</f>
        <v>35639.400535200002</v>
      </c>
      <c r="F16" s="73" ph="1">
        <f>F15*9.0746*LOOKUP(F17,密度!$A$2:$A$50,密度!$L$2:$L$50)</f>
        <v>22141.806209600003</v>
      </c>
      <c r="G16" s="73" ph="1">
        <f>G15*9.0746*LOOKUP(G17,密度!$A$2:$A$50,密度!$B$2:$B$50)</f>
        <v>28340.679988960001</v>
      </c>
      <c r="H16" s="73" ph="1">
        <f>H15*9.0746*LOOKUP(H17,密度!$A$2:$A$50,密度!$L$2:$L$50)</f>
        <v>18598.664937999998</v>
      </c>
      <c r="I16" s="73" ph="1">
        <f>I15*9.0746*LOOKUP(I17,密度!$A$2:$A$50,密度!$U$2:$U$50)</f>
        <v>0</v>
      </c>
      <c r="J16" s="73" ph="1">
        <f>J15*9.0746*LOOKUP(J17,密度!$A$2:$A$50,密度!$L$2:$L$50)</f>
        <v>43242.066129600003</v>
      </c>
      <c r="K16" s="73" ph="1">
        <f>K15*9.0746*LOOKUP(K17,密度!$A$2:$A$50,密度!$C$2:$C$50)</f>
        <v>37182.084547999999</v>
      </c>
      <c r="L16" s="73" ph="1">
        <f>L15*9.0746*LOOKUP(L17,密度!$A$2:$A$50,密度!$E$2:$E$50)</f>
        <v>37823.214112600006</v>
      </c>
      <c r="M16" s="73" ph="1">
        <f>M15*9.0746*LOOKUP(M17,密度!$A$2:$A$50,密度!$M$2:$M$50)</f>
        <v>39612.064601719998</v>
      </c>
      <c r="N16" s="73" ph="1">
        <f>N15*9.0746*LOOKUP(N17,密度!$A$2:$A$50,密度!$M$2:$M$50)</f>
        <v>3843.5323106399997</v>
      </c>
      <c r="O16" s="73" ph="1">
        <f>O15*9.0746*LOOKUP(O17,密度!$A$2:$A$50,密度!$G$2:$G$50)</f>
        <v>16595.746449800001</v>
      </c>
      <c r="P16" s="73" ph="1">
        <f ca="1">P15*9.0746*LOOKUP(P17,密度!$A$2:$A$51,密度!$Q$2:$Q$50)</f>
        <v>32068.034007132002</v>
      </c>
      <c r="Q16" s="73" ph="1">
        <f>Q15*9.0746*LOOKUP(Q17,密度!$A$2:$A$50,密度!$Q$2:$Q$50)</f>
        <v>57031.011031124006</v>
      </c>
      <c r="R16" s="73" ph="1">
        <f>MAX(R15*9.0746*LOOKUP(R17,密度!$A$2:$A$50,密度!$Q$2:$Q$50),0)</f>
        <v>0</v>
      </c>
      <c r="S16" s="73" ph="1">
        <f>S15*9.0746*LOOKUP(S17,密度!$A$2:$A$50,密度!$Q$2:$Q$50)</f>
        <v>39376.923657266008</v>
      </c>
      <c r="T16" s="73" ph="1">
        <f>T15*9.0746*LOOKUP(T17,密度!$A$2:$A$50,密度!$O$2:$O$50)</f>
        <v>4672.1122576000007</v>
      </c>
      <c r="U16" s="73" ph="1">
        <f>U15*9.0746*LOOKUP(U17,密度!$A$2:$A$50,密度!$H$2:$H$50)</f>
        <v>47813.502959880003</v>
      </c>
      <c r="V16" s="73" ph="1">
        <f>MAX(5600*LOOKUP(V17,密度!$A$2:$A$50,密度!$Q$2:$Q$50)+V15*9.0476*LOOKUP(V17,密度!$A$2:$A$50,密度!$Q$2:$Q$50),0)</f>
        <v>0</v>
      </c>
      <c r="W16" s="73" ph="1">
        <f>MAX(5600*LOOKUP(W17,密度!$A$2:$A$50,密度!$Q$2:$Q$50)+W15*9.0476*LOOKUP(W17,密度!$A$2:$A$50,密度!$Q$2:$Q$50),0)</f>
        <v>0</v>
      </c>
      <c r="X16" s="73" ph="1">
        <f>MAX(5600*LOOKUP(X17,密度!$A$2:$A$50,密度!$I$2:$I$50)+X15*9.0476*LOOKUP(X17,密度!$A$2:$A$50,密度!$I$2:$I$50),0)</f>
        <v>13849.176983680001</v>
      </c>
      <c r="Y16" s="107" ph="1">
        <v>0</v>
      </c>
      <c r="Z16" s="73" ph="1">
        <f>Z15*9.0746*LOOKUP(Z17,密度!$A$2:$A$50,密度!$D$2:$D$50)</f>
        <v>0</v>
      </c>
      <c r="AA16" s="73" ph="1">
        <f>AA15*9.0746*LOOKUP(AA17,密度!$A$2:$A$50,密度!$B$2:$B$50)</f>
        <v>17439.853037359997</v>
      </c>
      <c r="AB16" s="73" ph="1">
        <f>AB15*9.0746*LOOKUP(AB17,密度!$A$2:$A$50,密度!$L$2:$L$50)</f>
        <v>0</v>
      </c>
      <c r="AC16" s="73" ph="1">
        <f>AC15*9.0746*LOOKUP(AC17,密度!$A$2:$A$50,密度!$L$2:$L$50)</f>
        <v>0</v>
      </c>
      <c r="AD16" s="73" ph="1">
        <f>AD15*268.68*LOOKUP(AD17,密度!$A$2:$A$50,密度!B2:B50)+IF(AD15&lt;=0,0,1566*LOOKUP(AD17,密度!$A$2:$A$50,密度!B2:B50))</f>
        <v>2335.1963769599997</v>
      </c>
      <c r="AE16" s="73" ph="1">
        <f>AE15*268.68*LOOKUP(AE17,密度!$A$2:$A$50,密度!B2:B50)+IF(AE15&lt;=0,0,1566*LOOKUP(AE17,密度!$A$2:$A$50,密度!B2:B50))</f>
        <v>7777.0432464000005</v>
      </c>
      <c r="AH16" s="72" ph="1">
        <v>2</v>
      </c>
      <c r="AI16" s="72" t="s" ph="1">
        <v>337</v>
      </c>
      <c r="AZ16" s="72" t="s" ph="1">
        <v>216</v>
      </c>
      <c r="BA16" s="72" ph="1">
        <v>0</v>
      </c>
    </row>
    <row r="17" spans="1:57" ph="1">
      <c r="A17" s="64" t="s" ph="1">
        <v>73</v>
      </c>
      <c r="B17" s="218" ph="1"/>
      <c r="C17" s="79" t="s" ph="1">
        <v>179</v>
      </c>
      <c r="D17" s="74">
        <v>29</v>
      </c>
      <c r="E17" s="74">
        <v>29</v>
      </c>
      <c r="F17" s="74">
        <v>30</v>
      </c>
      <c r="G17" s="74">
        <v>25</v>
      </c>
      <c r="H17" s="74">
        <v>24</v>
      </c>
      <c r="I17" s="74">
        <v>25</v>
      </c>
      <c r="J17" s="74">
        <v>26</v>
      </c>
      <c r="K17" s="74">
        <v>27</v>
      </c>
      <c r="L17" s="74">
        <v>28</v>
      </c>
      <c r="M17" s="74">
        <v>30</v>
      </c>
      <c r="N17" s="74">
        <v>25</v>
      </c>
      <c r="O17" s="74">
        <v>26</v>
      </c>
      <c r="P17" s="74">
        <v>28</v>
      </c>
      <c r="Q17" s="74">
        <v>29</v>
      </c>
      <c r="R17" s="74">
        <v>27</v>
      </c>
      <c r="S17" s="74">
        <v>29</v>
      </c>
      <c r="T17" s="74">
        <v>25</v>
      </c>
      <c r="U17" s="74">
        <v>24</v>
      </c>
      <c r="V17" s="74">
        <v>29</v>
      </c>
      <c r="W17" s="74">
        <v>29</v>
      </c>
      <c r="X17" s="74">
        <v>29</v>
      </c>
      <c r="Y17" s="108">
        <v>29</v>
      </c>
      <c r="Z17" s="74">
        <v>26</v>
      </c>
      <c r="AA17" s="74">
        <v>26</v>
      </c>
      <c r="AB17" s="74">
        <v>26</v>
      </c>
      <c r="AC17" s="74">
        <v>24</v>
      </c>
      <c r="AD17" s="74">
        <v>25</v>
      </c>
      <c r="AE17" s="74">
        <v>25</v>
      </c>
      <c r="AH17" s="64" ph="1">
        <v>3</v>
      </c>
      <c r="AI17" s="64" t="s" ph="1">
        <v>338</v>
      </c>
      <c r="AK17" s="64" t="s" ph="1">
        <v>570</v>
      </c>
      <c r="AL17" s="64" ph="1">
        <v>80</v>
      </c>
      <c r="AM17" s="64" t="s" ph="1">
        <v>335</v>
      </c>
      <c r="AZ17" s="64" t="s" ph="1">
        <v>216</v>
      </c>
      <c r="BA17" s="64" ph="1">
        <v>80</v>
      </c>
      <c r="BD17" s="64" t="s" ph="1">
        <v>214</v>
      </c>
      <c r="BE17" s="64" ph="1">
        <v>2270</v>
      </c>
    </row>
    <row r="18" spans="1:57" ht="26.4" ph="1">
      <c r="B18" s="216" ph="1">
        <v>0.66666666666666663</v>
      </c>
      <c r="C18" s="79" t="s" ph="1">
        <v>180</v>
      </c>
      <c r="D18" s="71">
        <v>3684</v>
      </c>
      <c r="E18" s="71">
        <v>5819</v>
      </c>
      <c r="F18" s="71">
        <v>3330</v>
      </c>
      <c r="G18" s="71">
        <v>4178</v>
      </c>
      <c r="H18" s="71">
        <v>2186</v>
      </c>
      <c r="I18" s="71">
        <v>2501</v>
      </c>
      <c r="J18" s="71">
        <v>5097</v>
      </c>
      <c r="K18" s="71">
        <v>2811</v>
      </c>
      <c r="L18" s="71">
        <v>5356</v>
      </c>
      <c r="M18" s="71">
        <v>6097</v>
      </c>
      <c r="N18" s="71">
        <v>2261</v>
      </c>
      <c r="O18" s="71">
        <v>1909</v>
      </c>
      <c r="P18" s="71">
        <v>2036</v>
      </c>
      <c r="Q18" s="71">
        <v>6663</v>
      </c>
      <c r="R18" s="71">
        <v>0</v>
      </c>
      <c r="S18" s="71">
        <v>4600</v>
      </c>
      <c r="T18" s="71">
        <v>5847</v>
      </c>
      <c r="U18" s="71">
        <v>2040</v>
      </c>
      <c r="V18" s="71">
        <v>-817</v>
      </c>
      <c r="W18" s="71">
        <v>-784</v>
      </c>
      <c r="X18" s="71">
        <v>857</v>
      </c>
      <c r="Y18" s="109">
        <v>-9907</v>
      </c>
      <c r="Z18" s="71">
        <v>0</v>
      </c>
      <c r="AA18" s="71">
        <v>2471</v>
      </c>
      <c r="AB18" s="71">
        <v>0</v>
      </c>
      <c r="AC18" s="71">
        <v>0</v>
      </c>
      <c r="AD18" s="71">
        <v>5.27</v>
      </c>
      <c r="AE18" s="71">
        <v>81.16</v>
      </c>
      <c r="AH18" s="64" ph="1">
        <v>4</v>
      </c>
      <c r="AI18" s="64" t="s" ph="1">
        <v>340</v>
      </c>
      <c r="AJ18" s="64" t="s" ph="1">
        <v>588</v>
      </c>
      <c r="AK18" s="64" t="s" ph="1">
        <v>587</v>
      </c>
      <c r="AL18" s="64" ph="1">
        <v>740</v>
      </c>
      <c r="AM18" s="64" t="s" ph="1">
        <v>339</v>
      </c>
      <c r="AZ18" s="64" t="s" ph="1">
        <v>216</v>
      </c>
      <c r="BA18" s="64" ph="1">
        <v>740</v>
      </c>
    </row>
    <row r="19" spans="1:57" s="72" customFormat="1" ht="22.2" ph="1">
      <c r="B19" s="217" ph="1"/>
      <c r="C19" s="155" t="s" ph="1">
        <v>178</v>
      </c>
      <c r="D19" s="73" ph="1">
        <f>D18*7.0686*LOOKUP(D20,密度!$A$2:$A$50,密度!$L$2:$L$50)</f>
        <v>24269.953276799999</v>
      </c>
      <c r="E19" s="73" ph="1">
        <f>E18*7.0686*LOOKUP(E20,密度!$A$2:$A$50,密度!$L$2:$L$50)</f>
        <v>38335.194928800003</v>
      </c>
      <c r="F19" s="73" ph="1">
        <f>F18*9.0746*LOOKUP(F20,密度!$A$2:$A$50,密度!$L$2:$L$50)</f>
        <v>27891.599814000001</v>
      </c>
      <c r="G19" s="73" ph="1">
        <f>G18*9.0746*LOOKUP(G20,密度!$A$2:$A$50,密度!$B$2:$B$50)</f>
        <v>29428.597484559999</v>
      </c>
      <c r="H19" s="73" ph="1">
        <f>H18*9.0746*LOOKUP(H20,密度!$A$2:$A$50,密度!$L$2:$L$50)</f>
        <v>18587.339837200001</v>
      </c>
      <c r="I19" s="73" ph="1">
        <f>I18*9.0746*LOOKUP(I20,密度!$A$2:$A$50,密度!$U$2:$U$50)</f>
        <v>23149.486091999999</v>
      </c>
      <c r="J19" s="73" ph="1">
        <f>J18*9.0746*LOOKUP(J20,密度!$A$2:$A$50,密度!$L$2:$L$50)</f>
        <v>43061.762902200004</v>
      </c>
      <c r="K19" s="73" ph="1">
        <f>K18*9.0746*LOOKUP(K20,密度!$A$2:$A$50,密度!$C$2:$C$50)</f>
        <v>28189.665033059999</v>
      </c>
      <c r="L19" s="73" ph="1">
        <f>L18*9.0746*LOOKUP(L20,密度!$A$2:$A$50,密度!$E$2:$E$50)</f>
        <v>37794.12638976</v>
      </c>
      <c r="M19" s="73" ph="1">
        <f>M18*9.0746*LOOKUP(M20,密度!$A$2:$A$50,密度!$M$2:$M$50)</f>
        <v>47898.414355064</v>
      </c>
      <c r="N19" s="73" ph="1">
        <f>N18*9.0746*LOOKUP(N20,密度!$A$2:$A$50,密度!$M$2:$M$50)</f>
        <v>17913.978200860001</v>
      </c>
      <c r="O19" s="73" ph="1">
        <f>O18*9.0746*LOOKUP(O20,密度!$A$2:$A$50,密度!$G$2:$G$50)</f>
        <v>16538.66086358</v>
      </c>
      <c r="P19" s="73" ph="1">
        <f ca="1">P18*9.0746*LOOKUP(P20,密度!$A$2:$A$51,密度!$Q$2:$Q$50)</f>
        <v>17428.857163048</v>
      </c>
      <c r="Q19" s="73" ph="1">
        <f>Q18*9.0746*LOOKUP(Q20,密度!$A$2:$A$50,密度!$Q$2:$Q$50)</f>
        <v>57037.561531134001</v>
      </c>
      <c r="R19" s="73" ph="1">
        <f>MAX(R18*9.0746*LOOKUP(R20,密度!$A$2:$A$50,密度!$Q$2:$Q$50),0)</f>
        <v>0</v>
      </c>
      <c r="S19" s="73" ph="1">
        <f>S18*9.0746*LOOKUP(S20,密度!$A$2:$A$50,密度!$Q$2:$Q$50)</f>
        <v>39377.575122800001</v>
      </c>
      <c r="T19" s="73" ph="1">
        <f>T18*9.0746*LOOKUP(T20,密度!$A$2:$A$50,密度!$O$2:$O$50)</f>
        <v>49132.806421200003</v>
      </c>
      <c r="U19" s="73" ph="1">
        <f>U18*9.0746*LOOKUP(U20,密度!$A$2:$A$50,密度!$H$2:$H$50)</f>
        <v>16899.772773600002</v>
      </c>
      <c r="V19" s="73" ph="1">
        <f>MAX(5600*LOOKUP(V20,密度!$A$2:$A$50,密度!$Q$2:$Q$50)+V18*9.0476*LOOKUP(V20,密度!$A$2:$A$50,密度!$Q$2:$Q$50),0)</f>
        <v>0</v>
      </c>
      <c r="W19" s="73" ph="1">
        <f>MAX(5600*LOOKUP(W20,密度!$A$2:$A$50,密度!$Q$2:$Q$50)+W18*9.0476*LOOKUP(W20,密度!$A$2:$A$50,密度!$Q$2:$Q$50),0)</f>
        <v>0</v>
      </c>
      <c r="X19" s="73" ph="1">
        <f>MAX(5600*LOOKUP(X20,密度!$A$2:$A$50,密度!$I$2:$I$50)+X18*9.0476*LOOKUP(X20,密度!$A$2:$A$50,密度!$I$2:$I$50),0)</f>
        <v>13843.877410439998</v>
      </c>
      <c r="Y19" s="73" ph="1">
        <f>MAX(5600*LOOKUP(Y20,密度!$A$2:$A$50,密度!$I$2:$I$50)+Y18*9.0476*LOOKUP(Y20,密度!$A$2:$A$50,密度!$I$2:$I$50),0)</f>
        <v>0</v>
      </c>
      <c r="Z19" s="73" ph="1">
        <f>Z18*9.0746*LOOKUP(Z20,密度!$A$2:$A$50,密度!$D$2:$D$50)</f>
        <v>0</v>
      </c>
      <c r="AA19" s="73" ph="1">
        <f>AA18*9.0746*LOOKUP(AA20,密度!$A$2:$A$50,密度!$B$2:$B$50)</f>
        <v>17443.113541140003</v>
      </c>
      <c r="AB19" s="73" ph="1">
        <f>AB18*9.0746*LOOKUP(AB20,密度!$A$2:$A$50,密度!$L$2:$L$50)</f>
        <v>0</v>
      </c>
      <c r="AC19" s="73" ph="1">
        <f>AC18*9.0746*LOOKUP(AC20,密度!$A$2:$A$50,密度!$L$2:$L$50)</f>
        <v>0</v>
      </c>
      <c r="AD19" s="73" ph="1">
        <f>AD18*268.68*LOOKUP(AD20,密度!$A$2:$A$50,密度!B5:B53)+IF(AD18&lt;=0,0,1566*LOOKUP(AD20,密度!$A$2:$A$50,密度!B5:B53))</f>
        <v>2316.9701771999999</v>
      </c>
      <c r="AE19" s="73" ph="1">
        <f>AE18*268.68*LOOKUP(AE20,密度!$A$2:$A$50,密度!B5:B53)+IF(AE18&lt;=0,0,1566*LOOKUP(AE20,密度!$A$2:$A$50,密度!B5:B53))</f>
        <v>18160.097457600001</v>
      </c>
      <c r="AH19" s="72" ph="1">
        <v>5</v>
      </c>
      <c r="AI19" s="72" t="s" ph="1">
        <v>341</v>
      </c>
      <c r="AZ19" s="72" t="s" ph="1">
        <v>216</v>
      </c>
      <c r="BA19" s="72" ph="1">
        <v>0</v>
      </c>
      <c r="BD19" s="72" t="s" ph="1">
        <v>342</v>
      </c>
      <c r="BE19" s="72" ph="1">
        <v>1440</v>
      </c>
    </row>
    <row r="20" spans="1:57" ph="1">
      <c r="A20" s="72" ph="1"/>
      <c r="B20" s="217" ph="1"/>
      <c r="C20" s="80" t="s" ph="1">
        <v>179</v>
      </c>
      <c r="D20" s="81">
        <v>30</v>
      </c>
      <c r="E20" s="81">
        <v>30</v>
      </c>
      <c r="F20" s="81">
        <v>39</v>
      </c>
      <c r="G20" s="81">
        <v>29</v>
      </c>
      <c r="H20" s="81">
        <v>25</v>
      </c>
      <c r="I20" s="81">
        <v>30</v>
      </c>
      <c r="J20" s="81">
        <v>31</v>
      </c>
      <c r="K20" s="81">
        <v>30</v>
      </c>
      <c r="L20" s="81">
        <v>30</v>
      </c>
      <c r="M20" s="81">
        <v>34</v>
      </c>
      <c r="N20" s="81">
        <v>27</v>
      </c>
      <c r="O20" s="81">
        <v>30</v>
      </c>
      <c r="P20" s="81">
        <v>30</v>
      </c>
      <c r="Q20" s="81">
        <v>30</v>
      </c>
      <c r="R20" s="81">
        <v>34</v>
      </c>
      <c r="S20" s="81">
        <v>30</v>
      </c>
      <c r="T20" s="81">
        <v>27</v>
      </c>
      <c r="U20" s="81">
        <v>27</v>
      </c>
      <c r="V20" s="81">
        <v>31</v>
      </c>
      <c r="W20" s="81">
        <v>33</v>
      </c>
      <c r="X20" s="81">
        <v>30</v>
      </c>
      <c r="Y20" s="110">
        <v>30</v>
      </c>
      <c r="Z20" s="81">
        <v>31</v>
      </c>
      <c r="AA20" s="81">
        <v>27</v>
      </c>
      <c r="AB20" s="81">
        <v>31</v>
      </c>
      <c r="AC20" s="81">
        <v>29</v>
      </c>
      <c r="AD20" s="81">
        <v>25</v>
      </c>
      <c r="AE20" s="81">
        <v>25</v>
      </c>
      <c r="AF20" s="64" t="s" ph="1">
        <v>35</v>
      </c>
      <c r="AH20" s="64" ph="1">
        <v>6</v>
      </c>
      <c r="AI20" s="64" t="s" ph="1">
        <v>343</v>
      </c>
      <c r="AZ20" s="64" t="s" ph="1">
        <v>216</v>
      </c>
      <c r="BA20" s="64" ph="1">
        <v>0</v>
      </c>
    </row>
    <row r="21" spans="1:57" ph="1">
      <c r="A21" s="72" ph="1"/>
      <c r="B21" s="82" ph="1"/>
      <c r="C21" s="83" ph="1"/>
      <c r="D21" s="84"/>
      <c r="E21" s="84"/>
      <c r="F21" s="84"/>
      <c r="G21" s="84"/>
      <c r="H21" s="84"/>
      <c r="I21" s="84"/>
      <c r="J21" s="84"/>
      <c r="K21" s="84"/>
      <c r="L21" s="84"/>
      <c r="M21" s="84"/>
      <c r="N21" s="84"/>
      <c r="O21" s="84"/>
      <c r="P21" s="84"/>
      <c r="Q21" s="84"/>
      <c r="R21" s="84"/>
      <c r="S21" s="84"/>
      <c r="T21" s="84"/>
      <c r="U21" s="84"/>
      <c r="V21" s="84"/>
      <c r="W21" s="84"/>
      <c r="X21" s="84"/>
      <c r="Y21" s="84"/>
      <c r="Z21" s="84"/>
      <c r="AA21" s="84"/>
      <c r="AB21" s="84"/>
      <c r="AC21" s="84"/>
      <c r="AD21" s="84"/>
      <c r="AE21" s="84"/>
      <c r="AH21" s="64" ph="1">
        <v>7</v>
      </c>
      <c r="AI21" s="64" t="s" ph="1">
        <v>344</v>
      </c>
      <c r="AZ21" s="64" t="s" ph="1">
        <v>216</v>
      </c>
      <c r="BA21" s="64" ph="1">
        <v>0</v>
      </c>
      <c r="BD21" s="64" t="s" ph="1">
        <v>232</v>
      </c>
      <c r="BE21" s="64" ph="1">
        <v>730</v>
      </c>
    </row>
    <row r="22" spans="1:57" ph="1">
      <c r="A22" s="72" ph="1"/>
      <c r="B22" s="215" t="s" ph="1">
        <v>37</v>
      </c>
      <c r="C22" s="85" t="s" ph="1">
        <v>176</v>
      </c>
      <c r="D22" s="86" t="s" ph="1">
        <v>86</v>
      </c>
      <c r="E22" s="86" t="s" ph="1">
        <v>87</v>
      </c>
      <c r="F22" s="86" t="s" ph="1">
        <v>88</v>
      </c>
      <c r="G22" s="86" t="s" ph="1">
        <v>89</v>
      </c>
      <c r="H22" s="86" t="s" ph="1">
        <v>90</v>
      </c>
      <c r="I22" s="86" t="s" ph="1">
        <v>91</v>
      </c>
      <c r="J22" s="86" t="s" ph="1">
        <v>92</v>
      </c>
      <c r="K22" s="86" t="s" ph="1">
        <v>93</v>
      </c>
      <c r="L22" s="86" t="s" ph="1">
        <v>94</v>
      </c>
      <c r="M22" s="86" t="s" ph="1">
        <v>95</v>
      </c>
      <c r="N22" s="86" t="s" ph="1">
        <v>96</v>
      </c>
      <c r="O22" s="86" t="s" ph="1">
        <v>97</v>
      </c>
      <c r="P22" s="86" t="s" ph="1">
        <v>98</v>
      </c>
      <c r="Q22" s="87" t="s" ph="1">
        <v>99</v>
      </c>
      <c r="R22" s="86" t="s" ph="1">
        <v>100</v>
      </c>
      <c r="S22" s="86" t="s" ph="1">
        <v>101</v>
      </c>
      <c r="T22" s="86" t="s" ph="1">
        <v>102</v>
      </c>
      <c r="U22" s="86" t="s" ph="1">
        <v>103</v>
      </c>
      <c r="V22" s="86" t="s" ph="1">
        <v>104</v>
      </c>
      <c r="W22" s="86" t="s" ph="1">
        <v>105</v>
      </c>
      <c r="X22" s="86" t="s" ph="1">
        <v>106</v>
      </c>
      <c r="Y22" s="86" t="s" ph="1">
        <v>108</v>
      </c>
      <c r="Z22" s="225" t="s" ph="1">
        <v>69</v>
      </c>
      <c r="AA22" s="226"/>
      <c r="AB22" s="226"/>
      <c r="AC22" s="226"/>
      <c r="AD22" s="226"/>
      <c r="AE22" s="227"/>
      <c r="AH22" s="64" ph="1">
        <v>8</v>
      </c>
      <c r="AI22" s="64" t="s" ph="1">
        <v>345</v>
      </c>
      <c r="AZ22" s="64" t="s" ph="1">
        <v>216</v>
      </c>
      <c r="BA22" s="64" ph="1">
        <v>0</v>
      </c>
    </row>
    <row r="23" spans="1:57" ph="1">
      <c r="A23" s="72" ph="1"/>
      <c r="B23" s="219" ph="1"/>
      <c r="C23" s="67" t="s" ph="1">
        <v>36</v>
      </c>
      <c r="D23" s="88" t="s" ph="1">
        <v>109</v>
      </c>
      <c r="E23" s="88" t="s" ph="1">
        <v>107</v>
      </c>
      <c r="F23" s="88" t="s" ph="1">
        <v>109</v>
      </c>
      <c r="G23" s="88" t="s" ph="1">
        <v>626</v>
      </c>
      <c r="H23" s="88" t="s" ph="1">
        <v>626</v>
      </c>
      <c r="I23" s="88" t="s" ph="1">
        <v>627</v>
      </c>
      <c r="J23" s="88" t="s" ph="1">
        <v>628</v>
      </c>
      <c r="K23" s="88" t="s" ph="1">
        <v>628</v>
      </c>
      <c r="L23" s="88" t="s" ph="1">
        <v>628</v>
      </c>
      <c r="M23" s="88" t="s" ph="1">
        <v>623</v>
      </c>
      <c r="N23" s="88" t="s" ph="1">
        <v>623</v>
      </c>
      <c r="O23" s="88" t="s" ph="1">
        <v>645</v>
      </c>
      <c r="P23" s="88" t="s" ph="1">
        <v>629</v>
      </c>
      <c r="Q23" s="89" t="s" ph="1">
        <v>643</v>
      </c>
      <c r="R23" s="88" t="s" ph="1">
        <v>610</v>
      </c>
      <c r="S23" s="88" t="s" ph="1">
        <v>629</v>
      </c>
      <c r="T23" s="88" t="s" ph="1">
        <v>604</v>
      </c>
      <c r="U23" s="104" t="s" ph="1">
        <v>606</v>
      </c>
      <c r="V23" s="88" t="s" ph="1">
        <v>629</v>
      </c>
      <c r="W23" s="88" t="s" ph="1">
        <v>629</v>
      </c>
      <c r="X23" s="88" t="s" ph="1">
        <v>187</v>
      </c>
      <c r="Y23" s="88" t="s" ph="1">
        <v>630</v>
      </c>
      <c r="Z23" s="228" t="s" ph="1">
        <v>644</v>
      </c>
      <c r="AA23" s="229"/>
      <c r="AB23" s="229"/>
      <c r="AC23" s="229"/>
      <c r="AD23" s="229"/>
      <c r="AE23" s="230"/>
      <c r="AH23" s="64" ph="1">
        <v>9</v>
      </c>
      <c r="AI23" s="64" t="s" ph="1">
        <v>346</v>
      </c>
      <c r="AZ23" s="64" t="s" ph="1">
        <v>216</v>
      </c>
      <c r="BA23" s="64" ph="1">
        <v>0</v>
      </c>
      <c r="BD23" s="64" t="s" ph="1">
        <v>238</v>
      </c>
      <c r="BE23" s="64" ph="1">
        <v>890</v>
      </c>
    </row>
    <row r="24" spans="1:57" ph="1">
      <c r="A24" s="72" ph="1"/>
      <c r="B24" s="237" ph="1">
        <v>0.33333333333333331</v>
      </c>
      <c r="C24" s="155" t="s" ph="1">
        <v>177</v>
      </c>
      <c r="D24" s="71">
        <v>59.12</v>
      </c>
      <c r="E24" s="71">
        <v>54.26</v>
      </c>
      <c r="F24" s="71">
        <v>622</v>
      </c>
      <c r="G24" s="71">
        <v>2215</v>
      </c>
      <c r="H24" s="71">
        <v>2474</v>
      </c>
      <c r="I24" s="71">
        <v>827</v>
      </c>
      <c r="J24" s="71">
        <v>298</v>
      </c>
      <c r="K24" s="71">
        <v>210</v>
      </c>
      <c r="L24" s="71">
        <v>301</v>
      </c>
      <c r="M24" s="71">
        <v>4962</v>
      </c>
      <c r="N24" s="71">
        <v>2591</v>
      </c>
      <c r="O24" s="71">
        <v>316</v>
      </c>
      <c r="P24" s="71">
        <v>2373</v>
      </c>
      <c r="Q24" s="90">
        <v>966</v>
      </c>
      <c r="R24" s="71">
        <v>4931</v>
      </c>
      <c r="S24" s="71">
        <v>2278</v>
      </c>
      <c r="T24" s="71">
        <v>20</v>
      </c>
      <c r="U24" s="71">
        <v>6201</v>
      </c>
      <c r="V24" s="71">
        <v>737</v>
      </c>
      <c r="W24" s="71">
        <v>432</v>
      </c>
      <c r="X24" s="71">
        <v>2959</v>
      </c>
      <c r="Y24" s="71">
        <v>3364</v>
      </c>
      <c r="Z24" s="231"/>
      <c r="AA24" s="232"/>
      <c r="AB24" s="232"/>
      <c r="AC24" s="232"/>
      <c r="AD24" s="232"/>
      <c r="AE24" s="233"/>
      <c r="AH24" s="64" ph="1">
        <v>10</v>
      </c>
      <c r="AI24" s="64" t="s" ph="1">
        <v>347</v>
      </c>
      <c r="AZ24" s="64" t="s" ph="1">
        <v>216</v>
      </c>
      <c r="BA24" s="64" ph="1">
        <v>0</v>
      </c>
    </row>
    <row r="25" spans="1:57" ph="1">
      <c r="A25" s="72" ph="1"/>
      <c r="B25" s="237" ph="1"/>
      <c r="C25" s="68" t="s" ph="1">
        <v>178</v>
      </c>
      <c r="D25" s="91" ph="1">
        <f>D24*268.68*LOOKUP(D26,密度!$A$2:$A$50,密度!$Q$2:$Q$50)+IF(D24&lt;=0,0,1566*LOOKUP(D26,密度!$A$2:$A$50,密度!$Q$2:$Q$50))</f>
        <v>16520.955341184002</v>
      </c>
      <c r="E25" s="91" ph="1">
        <f>E24*268.68*LOOKUP(E26,密度!$A$2:$A$50,密度!$C$2:$C$50)+IF(E24&lt;=0,0,1566*LOOKUP(E26,密度!$A$2:$A$50,密度!$C$2:$C$50))</f>
        <v>17902.721213520002</v>
      </c>
      <c r="F25" s="91" ph="1">
        <f>F24*11.702*LOOKUP(F26,密度!$A$2:$A$50,密度!$Q$2:$Q$50)</f>
        <v>6885.8155833200008</v>
      </c>
      <c r="G25" s="91" ph="1">
        <f>G24*18.322*LOOKUP(G26,密度!$A$2:$A$50,密度!$B$2:$B$50)</f>
        <v>31602.161200999995</v>
      </c>
      <c r="H25" s="91" ph="1">
        <f>H24*18.322*LOOKUP(H26,密度!$A$2:$A$50,密度!$B$2:$B$50)</f>
        <v>35297.402623599992</v>
      </c>
      <c r="I25" s="91" ph="1">
        <f>I24*18.322*LOOKUP(I26,密度!$A$2:$A$50,密度!$Q$2:$Q$50)</f>
        <v>14313.159958280001</v>
      </c>
      <c r="J25" s="91" ph="1">
        <f>J24*18.322*LOOKUP(J26,密度!$A$2:$A$50,密度!$Q$2:$Q$50)</f>
        <v>5161.4056059200002</v>
      </c>
      <c r="K25" s="91" ph="1">
        <f>K24*18.322*LOOKUP(K26,密度!$A$2:$A$50,密度!$Q$2:$Q$50)</f>
        <v>3639.9639486000001</v>
      </c>
      <c r="L25" s="91" ph="1">
        <f>L24*18.322*LOOKUP(L26,密度!$A$2:$A$50,密度!$Q$2:$Q$50)</f>
        <v>5209.5056196400001</v>
      </c>
      <c r="M25" s="91" ph="1">
        <f>M24*18.322*LOOKUP(M26,密度!$A$2:$A$50,密度!$Q$2:$Q$50)</f>
        <v>85878.959749679998</v>
      </c>
      <c r="N25" s="91" ph="1">
        <f>N24*18.322*LOOKUP(N26,密度!$A$2:$A$50,密度!$Q$2:$Q$50)</f>
        <v>44910.221861059996</v>
      </c>
      <c r="O25" s="91" ph="1">
        <f>O24*18.322*LOOKUP(O26,密度!$A$2:$A$50,密度!$C$2:$C$50)</f>
        <v>6402.8867368000001</v>
      </c>
      <c r="P25" s="91" ph="1">
        <f>P24*11.702*LOOKUP(P26,密度!$A$2:$A$50,密度!$B$2:$B$50)</f>
        <v>21623.600380200001</v>
      </c>
      <c r="Q25" s="92" ph="1">
        <f>Q24*18.322*LOOKUP(Q26,密度!$A$2:$A$50,密度!$B$2:$B$50)</f>
        <v>13782.251792399999</v>
      </c>
      <c r="R25" s="91" ph="1">
        <f>R24*35.891*LOOKUP(R26,密度!$A$2:$A$50,密度!$C$2:$C$50)</f>
        <v>195844.43133859997</v>
      </c>
      <c r="S25" s="91" ph="1">
        <f>S24*35.891*LOOKUP(S26,密度!$A$2:$A$50,密度!$B$2:$B$50)</f>
        <v>63527.285345999997</v>
      </c>
      <c r="T25" s="91" ph="1">
        <f>T24*35.891*LOOKUP(T26,密度!$A$2:$A$50,密度!$Q$2:$Q$50)</f>
        <v>678.0671284</v>
      </c>
      <c r="U25" s="91" ph="1">
        <f>U24*35.891</f>
        <v>222560.09099999999</v>
      </c>
      <c r="V25" s="91" ph="1">
        <f>V24*47.051*LOOKUP(V26,密度!$A$2:$A$50,密度!$B$2:$B$50)</f>
        <v>26974.917027300002</v>
      </c>
      <c r="W25" s="91" ph="1">
        <f>W24*47.051*LOOKUP(W26,密度!$A$2:$A$50,密度!$B$2:$B$50)</f>
        <v>15793.326864000001</v>
      </c>
      <c r="X25" s="91" ph="1">
        <f>X24*47.051*LOOKUP(X26,密度!$A$2:$A$61,密度!$I$2:$I$61)</f>
        <v>144486.57276020001</v>
      </c>
      <c r="Y25" s="91" ph="1">
        <f>Y24*47.051*LOOKUP(Y26,密度!$A$2:$A$50,密度!$L$2:$L$50)</f>
        <v>147833.11277600002</v>
      </c>
      <c r="Z25" s="231"/>
      <c r="AA25" s="232"/>
      <c r="AB25" s="232"/>
      <c r="AC25" s="232"/>
      <c r="AD25" s="232"/>
      <c r="AE25" s="233"/>
      <c r="AH25" s="64" ph="1">
        <v>11</v>
      </c>
      <c r="AI25" s="64" t="s" ph="1">
        <v>348</v>
      </c>
      <c r="AZ25" s="64" t="s" ph="1">
        <v>216</v>
      </c>
      <c r="BA25" s="64" ph="1">
        <v>0</v>
      </c>
      <c r="BD25" s="64" t="s" ph="1">
        <v>241</v>
      </c>
      <c r="BE25" s="64" ph="1">
        <v>8920</v>
      </c>
    </row>
    <row r="26" spans="1:57" ph="1">
      <c r="A26" s="72" ph="1"/>
      <c r="B26" s="237" ph="1"/>
      <c r="C26" s="68" t="s" ph="1">
        <v>179</v>
      </c>
      <c r="D26" s="74">
        <v>25</v>
      </c>
      <c r="E26" s="74">
        <v>25</v>
      </c>
      <c r="F26" s="74">
        <v>26</v>
      </c>
      <c r="G26" s="74">
        <v>26</v>
      </c>
      <c r="H26" s="74">
        <v>26</v>
      </c>
      <c r="I26" s="74">
        <v>28</v>
      </c>
      <c r="J26" s="74">
        <v>27</v>
      </c>
      <c r="K26" s="74">
        <v>26</v>
      </c>
      <c r="L26" s="74">
        <v>28</v>
      </c>
      <c r="M26" s="74">
        <v>28</v>
      </c>
      <c r="N26" s="74">
        <v>26</v>
      </c>
      <c r="O26" s="74">
        <v>29</v>
      </c>
      <c r="P26" s="74">
        <v>26</v>
      </c>
      <c r="Q26" s="93">
        <v>26</v>
      </c>
      <c r="R26" s="74">
        <v>28</v>
      </c>
      <c r="S26" s="74">
        <v>28</v>
      </c>
      <c r="T26" s="74">
        <v>28</v>
      </c>
      <c r="U26" s="74">
        <v>27</v>
      </c>
      <c r="V26" s="74">
        <v>27</v>
      </c>
      <c r="W26" s="74">
        <v>28</v>
      </c>
      <c r="X26" s="74">
        <v>29</v>
      </c>
      <c r="Y26" s="74">
        <v>28</v>
      </c>
      <c r="Z26" s="231"/>
      <c r="AA26" s="232"/>
      <c r="AB26" s="232"/>
      <c r="AC26" s="232"/>
      <c r="AD26" s="232"/>
      <c r="AE26" s="233"/>
      <c r="AH26" s="64" ph="1">
        <v>12</v>
      </c>
      <c r="AI26" s="64" t="s" ph="1">
        <v>349</v>
      </c>
      <c r="AZ26" s="64" t="s" ph="1">
        <v>216</v>
      </c>
      <c r="BA26" s="64" ph="1">
        <v>0</v>
      </c>
    </row>
    <row r="27" spans="1:57" ht="26.4" ph="1">
      <c r="A27" s="72" ph="1"/>
      <c r="B27" s="237" ph="1">
        <v>0.66666666666666663</v>
      </c>
      <c r="C27" s="155" t="s" ph="1">
        <v>180</v>
      </c>
      <c r="D27" s="71">
        <v>21.82</v>
      </c>
      <c r="E27" s="71">
        <v>5.68</v>
      </c>
      <c r="F27" s="71">
        <v>987</v>
      </c>
      <c r="G27" s="71">
        <v>1883</v>
      </c>
      <c r="H27" s="71">
        <v>1923</v>
      </c>
      <c r="I27" s="71">
        <v>0</v>
      </c>
      <c r="J27" s="71">
        <v>294</v>
      </c>
      <c r="K27" s="71">
        <v>206</v>
      </c>
      <c r="L27" s="71">
        <v>297</v>
      </c>
      <c r="M27" s="71">
        <v>4962</v>
      </c>
      <c r="N27" s="71">
        <v>1993</v>
      </c>
      <c r="O27" s="71">
        <v>312</v>
      </c>
      <c r="P27" s="71">
        <v>2372</v>
      </c>
      <c r="Q27" s="90">
        <v>1267</v>
      </c>
      <c r="R27" s="71">
        <v>5287</v>
      </c>
      <c r="S27" s="71">
        <v>2275</v>
      </c>
      <c r="T27" s="71">
        <v>18</v>
      </c>
      <c r="U27" s="71">
        <v>6259</v>
      </c>
      <c r="V27" s="71">
        <v>732</v>
      </c>
      <c r="W27" s="71">
        <v>429</v>
      </c>
      <c r="X27" s="71">
        <v>2959</v>
      </c>
      <c r="Y27" s="71">
        <v>1738</v>
      </c>
      <c r="Z27" s="231"/>
      <c r="AA27" s="232"/>
      <c r="AB27" s="232"/>
      <c r="AC27" s="232"/>
      <c r="AD27" s="232"/>
      <c r="AE27" s="233"/>
      <c r="AH27" s="64" ph="1">
        <v>13</v>
      </c>
      <c r="AI27" s="64" t="s" ph="1">
        <v>350</v>
      </c>
      <c r="AZ27" s="64" t="s" ph="1">
        <v>216</v>
      </c>
      <c r="BA27" s="64" ph="1">
        <v>0</v>
      </c>
      <c r="BD27" s="64" t="s" ph="1">
        <v>295</v>
      </c>
      <c r="BE27" s="64" ph="1">
        <v>7100</v>
      </c>
    </row>
    <row r="28" spans="1:57" ph="1">
      <c r="A28" s="72" ph="1"/>
      <c r="B28" s="237" ph="1"/>
      <c r="C28" s="155" t="s" ph="1">
        <v>178</v>
      </c>
      <c r="D28" s="91" ph="1">
        <f>D27*268.68*LOOKUP(D29,密度!$A$2:$A$50,密度!$Q$2:$Q$50)+IF(D27&lt;=0,0,1566*LOOKUP(D29,密度!$A$2:$A$50,密度!$Q$2:$Q$50))</f>
        <v>7032.950491824</v>
      </c>
      <c r="E28" s="91" ph="1">
        <f>E27*268.68*LOOKUP(E29,密度!$A$2:$A$50,密度!$C$2:$C$50)+IF(E27&lt;=0,0,1566*LOOKUP(E29,密度!$A$2:$A$50,密度!$C$2:$C$50))</f>
        <v>3428.8323513599998</v>
      </c>
      <c r="F28" s="91" ph="1">
        <f>F27*11.702*LOOKUP(F29,密度!$A$2:$A$50,密度!$Q$2:$Q$50)</f>
        <v>10886.680234919999</v>
      </c>
      <c r="G28" s="91" ph="1">
        <f>G27*18.322*LOOKUP(G29,密度!$A$2:$A$50,密度!$B$2:$B$50)</f>
        <v>26779.153041199999</v>
      </c>
      <c r="H28" s="91" ph="1">
        <f>H27*18.322*LOOKUP(H29,密度!$A$2:$A$50,密度!$B$2:$B$50)</f>
        <v>27348.014497199998</v>
      </c>
      <c r="I28" s="91" ph="1">
        <f>I27*18.322*LOOKUP(I29,密度!$A$2:$A$50,密度!$Q$2:$Q$50)</f>
        <v>0</v>
      </c>
      <c r="J28" s="91" ph="1">
        <f>J27*18.322*LOOKUP(J29,密度!$A$2:$A$50,密度!$Q$2:$Q$50)</f>
        <v>5084.6375252400003</v>
      </c>
      <c r="K28" s="91" ph="1">
        <f>K27*18.322*LOOKUP(K29,密度!$A$2:$A$50,密度!$Q$2:$Q$50)</f>
        <v>3560.4406055599998</v>
      </c>
      <c r="L28" s="91" ph="1">
        <f>L27*18.322*LOOKUP(L29,密度!$A$2:$A$50,密度!$Q$2:$Q$50)</f>
        <v>5133.2566012200004</v>
      </c>
      <c r="M28" s="91" ph="1">
        <f>M27*18.322*LOOKUP(M29,密度!$A$2:$A$50,密度!$Q$2:$Q$50)</f>
        <v>85693.495671119992</v>
      </c>
      <c r="N28" s="91" ph="1">
        <f>N27*18.322*LOOKUP(N29,密度!$A$2:$A$50,密度!$Q$2:$Q$50)</f>
        <v>34419.011864679997</v>
      </c>
      <c r="O28" s="91" ph="1">
        <f>O27*18.322*LOOKUP(O29,密度!$A$2:$A$50,密度!$C$2:$C$50)</f>
        <v>6317.2643663999997</v>
      </c>
      <c r="P28" s="91" ph="1">
        <f>P27*11.702*LOOKUP(P29,密度!$A$2:$A$50,密度!$B$2:$B$50)</f>
        <v>21520.1137432</v>
      </c>
      <c r="Q28" s="92" ph="1">
        <f>Q27*18.322*LOOKUP(Q29,密度!$A$2:$A$50,密度!$B$2:$B$50)</f>
        <v>18018.686618799999</v>
      </c>
      <c r="R28" s="91" ph="1">
        <f>R27*35.891*LOOKUP(R29,密度!$A$2:$A$50,密度!$C$2:$C$50)</f>
        <v>209850.84743030003</v>
      </c>
      <c r="S28" s="91" ph="1">
        <f>S27*35.891*LOOKUP(S29,密度!$A$2:$A$50,密度!$B$2:$B$50)</f>
        <v>63304.814982499993</v>
      </c>
      <c r="T28" s="91" ph="1">
        <f>T27*35.891*LOOKUP(T29,密度!$A$2:$A$50,密度!$Q$2:$Q$50)</f>
        <v>609.42702654000004</v>
      </c>
      <c r="U28" s="91" ph="1">
        <f>U27*35.891</f>
        <v>224641.769</v>
      </c>
      <c r="V28" s="91" ph="1">
        <f>V27*47.051*LOOKUP(V29,密度!$A$2:$A$50,密度!$B$2:$B$50)</f>
        <v>26702.364699600002</v>
      </c>
      <c r="W28" s="91" ph="1">
        <f>W27*47.051*LOOKUP(W29,密度!$A$2:$A$50,密度!$B$2:$B$50)</f>
        <v>15649.336688700001</v>
      </c>
      <c r="X28" s="91" ph="1">
        <f>X27*47.051*LOOKUP(X29,密度!$A$2:$A$61,密度!$I$2:$I$61)</f>
        <v>143706.91886980002</v>
      </c>
      <c r="Y28" s="91" ph="1">
        <f>Y27*47.051*LOOKUP(Y29,密度!$A$2:$A$50,密度!$L$2:$L$50)</f>
        <v>76132.187978000016</v>
      </c>
      <c r="Z28" s="231"/>
      <c r="AA28" s="232"/>
      <c r="AB28" s="232"/>
      <c r="AC28" s="232"/>
      <c r="AD28" s="232"/>
      <c r="AE28" s="233"/>
      <c r="AH28" s="64" ph="1">
        <v>14</v>
      </c>
      <c r="AI28" s="64" t="s" ph="1">
        <v>351</v>
      </c>
      <c r="AZ28" s="64" t="s" ph="1">
        <v>216</v>
      </c>
      <c r="BA28" s="64" ph="1">
        <v>0</v>
      </c>
    </row>
    <row r="29" spans="1:57" ph="1">
      <c r="A29" s="72" ph="1"/>
      <c r="B29" s="237" ph="1"/>
      <c r="C29" s="155" t="s" ph="1">
        <v>179</v>
      </c>
      <c r="D29" s="74">
        <v>25</v>
      </c>
      <c r="E29" s="74">
        <v>25</v>
      </c>
      <c r="F29" s="74">
        <v>31</v>
      </c>
      <c r="G29" s="74">
        <v>29</v>
      </c>
      <c r="H29" s="74">
        <v>29</v>
      </c>
      <c r="I29" s="74">
        <v>30</v>
      </c>
      <c r="J29" s="74">
        <v>29</v>
      </c>
      <c r="K29" s="74">
        <v>30</v>
      </c>
      <c r="L29" s="74">
        <v>30</v>
      </c>
      <c r="M29" s="74">
        <v>31</v>
      </c>
      <c r="N29" s="74">
        <v>31</v>
      </c>
      <c r="O29" s="74">
        <v>30</v>
      </c>
      <c r="P29" s="74">
        <v>30</v>
      </c>
      <c r="Q29" s="93">
        <v>29</v>
      </c>
      <c r="R29" s="74">
        <v>29</v>
      </c>
      <c r="S29" s="74">
        <v>30</v>
      </c>
      <c r="T29" s="74">
        <v>30</v>
      </c>
      <c r="U29" s="74">
        <v>29</v>
      </c>
      <c r="V29" s="74">
        <v>30</v>
      </c>
      <c r="W29" s="74">
        <v>30</v>
      </c>
      <c r="X29" s="74">
        <v>34</v>
      </c>
      <c r="Y29" s="74">
        <v>31</v>
      </c>
      <c r="Z29" s="234"/>
      <c r="AA29" s="235"/>
      <c r="AB29" s="235"/>
      <c r="AC29" s="235"/>
      <c r="AD29" s="235"/>
      <c r="AE29" s="236"/>
      <c r="AH29" s="64" ph="1">
        <v>15</v>
      </c>
      <c r="AI29" s="64" t="s" ph="1">
        <v>352</v>
      </c>
      <c r="AZ29" s="64" t="s" ph="1">
        <v>216</v>
      </c>
      <c r="BA29" s="64" ph="1">
        <v>0</v>
      </c>
      <c r="BD29" s="64" t="s" ph="1">
        <v>353</v>
      </c>
      <c r="BE29" s="64" ph="1">
        <v>890</v>
      </c>
    </row>
    <row r="30" spans="1:57" ph="1">
      <c r="D30" s="94" ph="1"/>
      <c r="Z30" s="64" t="s" ph="1">
        <v>35</v>
      </c>
      <c r="AE30" s="95" ph="1"/>
      <c r="AH30" s="64" ph="1">
        <v>16</v>
      </c>
      <c r="AI30" s="64" t="s" ph="1">
        <v>354</v>
      </c>
      <c r="AZ30" s="64" t="s" ph="1">
        <v>216</v>
      </c>
      <c r="BA30" s="64" ph="1">
        <v>0</v>
      </c>
    </row>
    <row r="31" spans="1:57" ht="28.2" ph="1">
      <c r="A31" s="64"/>
      <c r="B31" s="220" t="s" ph="1">
        <v>35</v>
      </c>
      <c r="C31" s="221" ph="1"/>
      <c r="D31" s="224" t="s" ph="1">
        <v>9</v>
      </c>
      <c r="E31" s="199" ph="1"/>
      <c r="F31" s="200" ph="1"/>
      <c r="G31" s="224" t="s" ph="1">
        <v>18</v>
      </c>
      <c r="H31" s="199" ph="1"/>
      <c r="I31" s="200" ph="1"/>
      <c r="J31" s="198" t="s" ph="1">
        <v>1</v>
      </c>
      <c r="K31" s="199" ph="1"/>
      <c r="L31" s="200" ph="1"/>
      <c r="M31" s="198" t="s" ph="1">
        <v>7</v>
      </c>
      <c r="N31" s="199" ph="1"/>
      <c r="O31" s="200" ph="1"/>
      <c r="P31" s="198" t="s" ph="1">
        <v>41</v>
      </c>
      <c r="Q31" s="199"/>
      <c r="R31" s="200"/>
      <c r="S31" s="198" t="s" ph="1">
        <v>2</v>
      </c>
      <c r="T31" s="199"/>
      <c r="U31" s="200"/>
      <c r="V31" s="198" t="s" ph="1">
        <v>71</v>
      </c>
      <c r="W31" s="199" ph="1"/>
      <c r="X31" s="200" ph="1"/>
      <c r="Y31" s="198" t="s" ph="1">
        <v>3</v>
      </c>
      <c r="Z31" s="199" ph="1"/>
      <c r="AA31" s="200" ph="1"/>
      <c r="AB31" s="201" t="s">
        <v>42</v>
      </c>
      <c r="AC31" s="202"/>
      <c r="AD31" s="202"/>
      <c r="AE31" s="203"/>
      <c r="AH31" s="64" ph="1">
        <v>17</v>
      </c>
      <c r="AI31" s="64" t="s" ph="1">
        <v>355</v>
      </c>
      <c r="AZ31" s="64" t="s" ph="1">
        <v>216</v>
      </c>
      <c r="BA31" s="64" ph="1">
        <v>0</v>
      </c>
      <c r="BD31" s="64" t="s" ph="1">
        <v>356</v>
      </c>
      <c r="BE31" s="64" ph="1">
        <v>9310</v>
      </c>
    </row>
    <row r="32" spans="1:57" ph="1">
      <c r="A32" s="64"/>
      <c r="B32" s="222" ph="1"/>
      <c r="C32" s="223" ph="1"/>
      <c r="D32" s="96" t="s" ph="1">
        <v>4</v>
      </c>
      <c r="E32" s="155" t="s" ph="1">
        <v>5</v>
      </c>
      <c r="F32" s="154" t="s" ph="1">
        <v>43</v>
      </c>
      <c r="G32" s="97" t="s" ph="1">
        <v>4</v>
      </c>
      <c r="H32" s="155" t="s" ph="1">
        <v>5</v>
      </c>
      <c r="I32" s="154" t="s" ph="1">
        <v>43</v>
      </c>
      <c r="J32" s="97" t="s" ph="1">
        <v>4</v>
      </c>
      <c r="K32" s="155" t="s" ph="1">
        <v>5</v>
      </c>
      <c r="L32" s="154" t="s" ph="1">
        <v>43</v>
      </c>
      <c r="M32" s="97" t="s" ph="1">
        <v>4</v>
      </c>
      <c r="N32" s="155" t="s" ph="1">
        <v>5</v>
      </c>
      <c r="O32" s="154" t="s" ph="1">
        <v>43</v>
      </c>
      <c r="P32" s="97" t="s" ph="1">
        <v>4</v>
      </c>
      <c r="Q32" s="98" t="s" ph="1">
        <v>5</v>
      </c>
      <c r="R32" s="99" t="s" ph="1">
        <v>43</v>
      </c>
      <c r="S32" s="97" t="s" ph="1">
        <v>4</v>
      </c>
      <c r="T32" s="155" t="s" ph="1">
        <v>5</v>
      </c>
      <c r="U32" s="99" t="s" ph="1">
        <v>43</v>
      </c>
      <c r="V32" s="97" t="s" ph="1">
        <v>4</v>
      </c>
      <c r="W32" s="155" t="s" ph="1">
        <v>5</v>
      </c>
      <c r="X32" s="99" t="s" ph="1">
        <v>43</v>
      </c>
      <c r="Y32" s="100" t="s" ph="1">
        <v>4</v>
      </c>
      <c r="Z32" s="155" t="s" ph="1">
        <v>5</v>
      </c>
      <c r="AA32" s="154" t="s" ph="1">
        <v>43</v>
      </c>
      <c r="AB32" s="97" t="s" ph="1">
        <v>85</v>
      </c>
      <c r="AC32" s="155" t="s" ph="1">
        <v>84</v>
      </c>
      <c r="AD32" s="204" t="s" ph="1">
        <v>83</v>
      </c>
      <c r="AE32" s="205"/>
      <c r="AH32" s="64" ph="1">
        <v>18</v>
      </c>
      <c r="AI32" s="64" t="s" ph="1">
        <v>357</v>
      </c>
      <c r="AZ32" s="64" t="s" ph="1">
        <v>216</v>
      </c>
      <c r="BA32" s="64" ph="1">
        <v>0</v>
      </c>
    </row>
    <row r="33" spans="1:57" ph="1">
      <c r="A33" s="64"/>
      <c r="B33" s="206" t="s" ph="1">
        <v>181</v>
      </c>
      <c r="C33" s="207" ph="1"/>
      <c r="D33" s="186" ph="1">
        <f>AA10+AB10+Z19</f>
        <v>73530.498090400011</v>
      </c>
      <c r="E33" s="186" ph="1">
        <f>M10+I10</f>
        <v>6464.258499437</v>
      </c>
      <c r="F33" s="210" ph="1">
        <f>表格_取樣回收每月庫存表_0620更新1522252632456786910111213141516171819202123456789101112131415161718192022232424356789101112131415161718192021222345678910111213141516171819202345678910111213149101516171819222123234567891012131415161711181920212224252345678910111213127[[#This Row],[F25]]</f>
        <v>3880</v>
      </c>
      <c r="G33" s="212" ph="1">
        <f>N19</f>
        <v>17913.978200860001</v>
      </c>
      <c r="H33" s="186" ph="1">
        <f>M19</f>
        <v>47898.414355064</v>
      </c>
      <c r="I33" s="190" ph="1">
        <v>0</v>
      </c>
      <c r="J33" s="194" ph="1">
        <f>F10+O28</f>
        <v>49059.702645600002</v>
      </c>
      <c r="K33" s="186" ph="1">
        <f>O10+K10+E28+R28</f>
        <v>266357.84797726001</v>
      </c>
      <c r="L33" s="196" ph="1">
        <f>K19</f>
        <v>28189.665033059999</v>
      </c>
      <c r="M33" s="194" ph="1">
        <f>G10+H10+W28+S28+V28+E10+R19+P28+Q28</f>
        <v>656260.57617980009</v>
      </c>
      <c r="N33" s="186" ph="1">
        <f>L10+P10++G28+H28+AD19+AE19</f>
        <v>205701.11696020002</v>
      </c>
      <c r="O33" s="190" ph="1">
        <f>G19</f>
        <v>29428.597484559999</v>
      </c>
      <c r="P33" s="194" ph="1">
        <f>L19</f>
        <v>37794.12638976</v>
      </c>
      <c r="Q33" s="186" ph="1">
        <f>J10+N10</f>
        <v>61610.738019199998</v>
      </c>
      <c r="R33" s="190" ph="1">
        <f>BE23</f>
        <v>890</v>
      </c>
      <c r="S33" s="194" ph="1">
        <f>X28</f>
        <v>143706.91886980002</v>
      </c>
      <c r="T33" s="186" ph="1">
        <f>X19</f>
        <v>13843.877410439998</v>
      </c>
      <c r="U33" s="175" ph="1">
        <f>BE21</f>
        <v>730</v>
      </c>
      <c r="V33" s="188" ph="1">
        <f ca="1">P19+Q19+S19+M28+N28+J28+D10+AC10+D19+E19+H19+J19+O19+V19+W19+K28+L28</f>
        <v>736094.50548462197</v>
      </c>
      <c r="W33" s="188" ph="1">
        <f>D28+F28+T28+I28</f>
        <v>18529.057753284</v>
      </c>
      <c r="X33" s="190" ph="1">
        <f>BE29+BE31</f>
        <v>10200</v>
      </c>
      <c r="Y33" s="192" ph="1">
        <f>+Q10+R10+S10+T10+U10+V10+W10+X10+Y10</f>
        <v>255756.54465900001</v>
      </c>
      <c r="Z33" s="173" ph="1">
        <f>T19+U19+Y28+Z10</f>
        <v>262834.64712380001</v>
      </c>
      <c r="AA33" s="175" ph="1">
        <f>BE19</f>
        <v>1440</v>
      </c>
      <c r="AB33" s="177" ph="1">
        <f>I19</f>
        <v>23149.486091999999</v>
      </c>
      <c r="AC33" s="179" ph="1">
        <f>AD10+AB19</f>
        <v>106983.7729632</v>
      </c>
      <c r="AD33" s="181" ph="1">
        <v>0</v>
      </c>
      <c r="AE33" s="182"/>
      <c r="AH33" s="64" ph="1">
        <v>19</v>
      </c>
      <c r="AI33" s="64" t="s" ph="1">
        <v>358</v>
      </c>
      <c r="AJ33" s="64" t="s" ph="1">
        <v>592</v>
      </c>
      <c r="AK33" s="64" t="s" ph="1">
        <v>589</v>
      </c>
      <c r="AL33" s="64" ph="1">
        <v>730</v>
      </c>
      <c r="AM33" s="64" t="s" ph="1">
        <v>339</v>
      </c>
      <c r="AZ33" s="64" t="s" ph="1">
        <v>216</v>
      </c>
      <c r="BA33" s="64" ph="1">
        <v>730</v>
      </c>
      <c r="BD33" s="64" t="s" ph="1">
        <v>290</v>
      </c>
      <c r="BE33" s="64" ph="1">
        <v>3880</v>
      </c>
    </row>
    <row r="34" spans="1:57" ph="1">
      <c r="A34" s="64"/>
      <c r="B34" s="208" ph="1"/>
      <c r="C34" s="209" ph="1"/>
      <c r="D34" s="187" ph="1"/>
      <c r="E34" s="187" ph="1"/>
      <c r="F34" s="211" ph="1"/>
      <c r="G34" s="213" ph="1"/>
      <c r="H34" s="187" ph="1"/>
      <c r="I34" s="191" ph="1"/>
      <c r="J34" s="195" ph="1"/>
      <c r="K34" s="187" ph="1"/>
      <c r="L34" s="197" ph="1"/>
      <c r="M34" s="195" ph="1"/>
      <c r="N34" s="187" ph="1"/>
      <c r="O34" s="191" ph="1"/>
      <c r="P34" s="195" ph="1"/>
      <c r="Q34" s="187" ph="1"/>
      <c r="R34" s="191" ph="1"/>
      <c r="S34" s="195" ph="1"/>
      <c r="T34" s="187"/>
      <c r="U34" s="176"/>
      <c r="V34" s="189" ph="1"/>
      <c r="W34" s="189" ph="1"/>
      <c r="X34" s="191" ph="1"/>
      <c r="Y34" s="193" ph="1"/>
      <c r="Z34" s="174" ph="1"/>
      <c r="AA34" s="176" ph="1"/>
      <c r="AB34" s="178"/>
      <c r="AC34" s="180"/>
      <c r="AD34" s="183"/>
      <c r="AE34" s="184"/>
      <c r="AH34" s="64" ph="1">
        <v>20</v>
      </c>
      <c r="AI34" s="64" t="s" ph="1">
        <v>359</v>
      </c>
      <c r="AJ34" s="64" t="s" ph="1">
        <v>593</v>
      </c>
      <c r="AK34" s="64" t="s" ph="1">
        <v>589</v>
      </c>
      <c r="AL34" s="64" ph="1">
        <v>720</v>
      </c>
      <c r="AM34" s="64" t="s" ph="1">
        <v>339</v>
      </c>
      <c r="AZ34" s="64" t="s" ph="1">
        <v>216</v>
      </c>
      <c r="BA34" s="64" ph="1">
        <v>720</v>
      </c>
    </row>
    <row r="35" spans="1:57" ph="1">
      <c r="A35" s="64"/>
      <c r="AC35" s="185" t="s" ph="1">
        <v>631</v>
      </c>
      <c r="AD35" s="185"/>
      <c r="AE35" s="185"/>
      <c r="AH35" s="64" ph="1">
        <v>21</v>
      </c>
      <c r="AI35" s="64" t="s" ph="1">
        <v>360</v>
      </c>
      <c r="AZ35" s="64" t="s" ph="1">
        <v>216</v>
      </c>
      <c r="BA35" s="64" ph="1">
        <v>0</v>
      </c>
      <c r="BD35" s="64" t="s" ph="1">
        <v>361</v>
      </c>
      <c r="BE35" s="64" ph="1">
        <v>2030</v>
      </c>
    </row>
    <row r="36" spans="1:57" ht="28.2" ph="1">
      <c r="A36" s="64"/>
      <c r="B36" s="103" t="s" ph="1">
        <v>182</v>
      </c>
      <c r="I36" s="171" t="s" ph="1">
        <v>183</v>
      </c>
      <c r="J36" s="171" ph="1"/>
      <c r="K36" s="101" ph="1"/>
      <c r="P36" s="101" ph="1"/>
      <c r="R36" s="171" t="s" ph="1">
        <v>184</v>
      </c>
      <c r="S36" s="171" ph="1"/>
      <c r="Y36" s="102" ph="1"/>
      <c r="Z36" s="153" t="s" ph="1">
        <v>185</v>
      </c>
      <c r="AA36" s="153" ph="1"/>
      <c r="AB36" s="172" t="s" ph="1">
        <v>640</v>
      </c>
      <c r="AC36" s="172" ph="1"/>
      <c r="AD36" s="172" ph="1"/>
      <c r="AE36" s="172" ph="1"/>
      <c r="BA36" s="64" ph="1">
        <v>2270</v>
      </c>
    </row>
    <row r="37" spans="1:57" s="153" customFormat="1" ph="1">
      <c r="A37" s="64" ph="1"/>
      <c r="B37" s="64" ph="1"/>
      <c r="C37" s="64" ph="1"/>
      <c r="D37" s="64" ph="1"/>
      <c r="E37" s="64" ph="1"/>
      <c r="F37" s="64" ph="1"/>
      <c r="G37" s="64" ph="1"/>
      <c r="H37" s="64" ph="1"/>
      <c r="I37" s="64" ph="1"/>
      <c r="J37" s="64" ph="1"/>
      <c r="K37" s="64" ph="1"/>
      <c r="L37" s="64" ph="1"/>
      <c r="M37" s="64" ph="1"/>
      <c r="N37" s="64" ph="1"/>
      <c r="O37" s="64" ph="1"/>
      <c r="P37" s="64" ph="1"/>
      <c r="Q37" s="64" ph="1"/>
      <c r="R37" s="64" ph="1"/>
      <c r="S37" s="64" ph="1"/>
      <c r="T37" s="64" ph="1"/>
      <c r="U37" s="64" ph="1"/>
      <c r="V37" s="64" ph="1"/>
      <c r="W37" s="64" ph="1"/>
      <c r="X37" s="64" ph="1"/>
      <c r="Y37" s="64" ph="1"/>
      <c r="Z37" s="64" ph="1"/>
      <c r="AA37" s="64" ph="1"/>
      <c r="AB37" s="64" ph="1"/>
      <c r="AC37" s="64" ph="1"/>
      <c r="AD37" s="64" ph="1"/>
      <c r="AE37" s="64" ph="1"/>
      <c r="AG37" s="153" t="s" ph="1">
        <v>342</v>
      </c>
      <c r="AI37" s="153" t="s" ph="1">
        <v>209</v>
      </c>
      <c r="AJ37" s="153" t="s" ph="1">
        <v>210</v>
      </c>
      <c r="AK37" s="153" t="s" ph="1">
        <v>211</v>
      </c>
      <c r="AM37" s="153" t="s" ph="1">
        <v>210</v>
      </c>
      <c r="AN37" s="153" t="s" ph="1">
        <v>211</v>
      </c>
      <c r="AO37" s="153" t="s" ph="1">
        <v>212</v>
      </c>
      <c r="AP37" s="153" t="s" ph="1">
        <v>210</v>
      </c>
      <c r="AQ37" s="153" t="s" ph="1">
        <v>211</v>
      </c>
      <c r="AR37" s="153" t="s" ph="1">
        <v>212</v>
      </c>
      <c r="AS37" s="153" t="s" ph="1">
        <v>210</v>
      </c>
      <c r="AT37" s="153" t="s" ph="1">
        <v>211</v>
      </c>
      <c r="AU37" s="153" t="s" ph="1">
        <v>212</v>
      </c>
      <c r="AV37" s="153" t="s" ph="1">
        <v>210</v>
      </c>
      <c r="AW37" s="153" t="s" ph="1">
        <v>211</v>
      </c>
      <c r="AX37" s="153" t="s" ph="1">
        <v>212</v>
      </c>
      <c r="AY37" s="153" t="s" ph="1">
        <v>211</v>
      </c>
      <c r="AZ37" s="153" t="s" ph="1">
        <v>213</v>
      </c>
      <c r="BD37" s="153" t="s" ph="1">
        <v>305</v>
      </c>
      <c r="BE37" s="153" ph="1">
        <v>0</v>
      </c>
    </row>
    <row r="38" spans="1:57" ph="1">
      <c r="AE38" s="64" ph="1"/>
      <c r="AH38" s="64" ph="1">
        <v>1</v>
      </c>
      <c r="AI38" s="64" t="s" ph="1">
        <v>362</v>
      </c>
      <c r="AY38" s="64" t="s" ph="1">
        <v>216</v>
      </c>
      <c r="AZ38" s="64" t="s" ph="1">
        <v>367</v>
      </c>
    </row>
    <row r="39" spans="1:57" ph="1">
      <c r="AH39" s="64" ph="1">
        <v>2</v>
      </c>
      <c r="AI39" s="64" t="s" ph="1">
        <v>364</v>
      </c>
      <c r="AJ39" s="64" t="s" ph="1">
        <v>336</v>
      </c>
      <c r="AK39" s="64" t="s" ph="1">
        <v>365</v>
      </c>
      <c r="AM39" s="64" t="s" ph="1">
        <v>570</v>
      </c>
      <c r="AN39" s="64" t="s" ph="1">
        <v>228</v>
      </c>
      <c r="AO39" s="64" t="s" ph="1">
        <v>363</v>
      </c>
      <c r="AY39" s="64" t="s" ph="1">
        <v>216</v>
      </c>
      <c r="AZ39" s="64" t="s" ph="1">
        <v>499</v>
      </c>
    </row>
    <row r="40" spans="1:57" ph="1">
      <c r="AH40" s="64" ph="1">
        <v>3</v>
      </c>
      <c r="AI40" s="64" t="s" ph="1">
        <v>366</v>
      </c>
      <c r="AJ40" s="64" t="s" ph="1">
        <v>570</v>
      </c>
      <c r="AK40" s="64" t="s" ph="1">
        <v>571</v>
      </c>
      <c r="AY40" s="64" t="s" ph="1">
        <v>216</v>
      </c>
      <c r="AZ40" s="64" t="s" ph="1">
        <v>571</v>
      </c>
    </row>
    <row r="41" spans="1:57" ph="1">
      <c r="AH41" s="64" ph="1">
        <v>4</v>
      </c>
      <c r="AI41" s="64" t="s" ph="1">
        <v>368</v>
      </c>
      <c r="AJ41" s="64" t="s" ph="1">
        <v>572</v>
      </c>
      <c r="AK41" s="64" t="s" ph="1">
        <v>573</v>
      </c>
      <c r="AM41" s="64" t="s" ph="1">
        <v>574</v>
      </c>
      <c r="AY41" s="64" t="s" ph="1">
        <v>216</v>
      </c>
      <c r="AZ41" s="64" t="s" ph="1">
        <v>573</v>
      </c>
    </row>
    <row r="42" spans="1:57" ph="1">
      <c r="P42" s="64"/>
      <c r="Q42" s="64"/>
      <c r="R42" s="64"/>
      <c r="S42" s="64"/>
      <c r="T42" s="64"/>
      <c r="U42" s="64"/>
      <c r="V42" s="64"/>
      <c r="W42" s="64"/>
      <c r="X42" s="64"/>
      <c r="Y42" s="64"/>
      <c r="Z42" s="64"/>
      <c r="AA42" s="64"/>
      <c r="AB42" s="64"/>
      <c r="AC42" s="64"/>
      <c r="AD42" s="64"/>
      <c r="AE42" s="75"/>
      <c r="AH42" s="64" ph="1">
        <v>5</v>
      </c>
      <c r="AI42" s="64" t="s" ph="1">
        <v>369</v>
      </c>
      <c r="AY42" s="64" t="s" ph="1">
        <v>216</v>
      </c>
      <c r="AZ42" s="64" t="s" ph="1">
        <v>367</v>
      </c>
    </row>
    <row r="43" spans="1:57" ph="1">
      <c r="C43" s="64"/>
      <c r="D43" s="64"/>
      <c r="E43" s="64"/>
      <c r="F43" s="64"/>
      <c r="G43" s="64"/>
      <c r="H43" s="64"/>
      <c r="I43" s="64"/>
      <c r="J43" s="64"/>
      <c r="K43" s="64"/>
      <c r="L43" s="64"/>
      <c r="M43" s="64"/>
      <c r="N43" s="64"/>
      <c r="O43" s="64"/>
      <c r="P43" s="64"/>
      <c r="R43" s="64"/>
      <c r="S43" s="64"/>
      <c r="T43" s="64"/>
      <c r="U43" s="64"/>
      <c r="V43" s="64"/>
      <c r="W43" s="64"/>
      <c r="X43" s="64"/>
      <c r="Y43" s="64"/>
      <c r="Z43" s="64"/>
      <c r="AA43" s="64"/>
      <c r="AB43" s="64"/>
      <c r="AC43" s="64"/>
      <c r="AD43" s="64"/>
      <c r="AE43" s="75"/>
      <c r="AH43" s="64" ph="1">
        <v>6</v>
      </c>
      <c r="AI43" s="64" t="s" ph="1">
        <v>370</v>
      </c>
      <c r="AY43" s="64" t="s" ph="1">
        <v>216</v>
      </c>
      <c r="AZ43" s="64" t="s" ph="1">
        <v>367</v>
      </c>
    </row>
    <row r="44" spans="1:57" ph="1">
      <c r="R44" s="64"/>
      <c r="S44" s="64"/>
      <c r="T44" s="64"/>
      <c r="U44" s="64"/>
      <c r="V44" s="64"/>
      <c r="W44" s="64"/>
      <c r="X44" s="64"/>
      <c r="Y44" s="64"/>
      <c r="Z44" s="64"/>
      <c r="AA44" s="64"/>
      <c r="AB44" s="64"/>
      <c r="AC44" s="64"/>
      <c r="AD44" s="64"/>
      <c r="AE44" s="75"/>
      <c r="AH44" s="64" ph="1">
        <v>7</v>
      </c>
      <c r="AI44" s="64" t="s" ph="1">
        <v>371</v>
      </c>
      <c r="AV44" s="64" t="s" ph="1">
        <v>217</v>
      </c>
      <c r="AY44" s="64" t="s" ph="1">
        <v>216</v>
      </c>
      <c r="AZ44" s="64" t="s" ph="1">
        <v>367</v>
      </c>
    </row>
    <row r="45" spans="1:57" ph="1">
      <c r="R45" s="64"/>
      <c r="S45" s="64"/>
      <c r="T45" s="64"/>
      <c r="U45" s="64"/>
      <c r="V45" s="64"/>
      <c r="W45" s="64"/>
      <c r="X45" s="64"/>
      <c r="Y45" s="64"/>
      <c r="Z45" s="64"/>
      <c r="AA45" s="64"/>
      <c r="AB45" s="64"/>
      <c r="AC45" s="64"/>
      <c r="AD45" s="64"/>
      <c r="AE45" s="75"/>
      <c r="AH45" s="64" ph="1">
        <v>8</v>
      </c>
      <c r="AI45" s="64" t="s" ph="1">
        <v>372</v>
      </c>
      <c r="AV45" s="64" t="s" ph="1">
        <v>217</v>
      </c>
      <c r="AY45" s="64" t="s" ph="1">
        <v>216</v>
      </c>
      <c r="AZ45" s="64" t="s" ph="1">
        <v>367</v>
      </c>
    </row>
    <row r="46" spans="1:57" ph="1">
      <c r="R46" s="64"/>
      <c r="S46" s="64"/>
      <c r="T46" s="64"/>
      <c r="U46" s="64"/>
      <c r="V46" s="64"/>
      <c r="W46" s="64"/>
      <c r="X46" s="64"/>
      <c r="Y46" s="64"/>
      <c r="Z46" s="64"/>
      <c r="AA46" s="64"/>
      <c r="AB46" s="64"/>
      <c r="AC46" s="64"/>
      <c r="AD46" s="64"/>
      <c r="AE46" s="75"/>
      <c r="AH46" s="64" ph="1">
        <v>9</v>
      </c>
      <c r="AI46" s="64" t="s" ph="1">
        <v>373</v>
      </c>
      <c r="AV46" s="64" t="s" ph="1">
        <v>217</v>
      </c>
      <c r="AY46" s="64" t="s" ph="1">
        <v>216</v>
      </c>
      <c r="AZ46" s="64" t="s" ph="1">
        <v>367</v>
      </c>
    </row>
    <row r="47" spans="1:57" ph="1">
      <c r="R47" s="64"/>
      <c r="S47" s="64"/>
      <c r="T47" s="64"/>
      <c r="U47" s="64"/>
      <c r="V47" s="64"/>
      <c r="W47" s="64"/>
      <c r="X47" s="64"/>
      <c r="Y47" s="64"/>
      <c r="Z47" s="64"/>
      <c r="AA47" s="64"/>
      <c r="AB47" s="64"/>
      <c r="AC47" s="64"/>
      <c r="AD47" s="64"/>
      <c r="AE47" s="75"/>
      <c r="AH47" s="64" ph="1">
        <v>10</v>
      </c>
      <c r="AI47" s="64" t="s" ph="1">
        <v>374</v>
      </c>
      <c r="AV47" s="64" t="s" ph="1">
        <v>217</v>
      </c>
      <c r="AY47" s="64" t="s" ph="1">
        <v>216</v>
      </c>
      <c r="AZ47" s="64" t="s" ph="1">
        <v>367</v>
      </c>
    </row>
    <row r="48" spans="1:57" ph="1">
      <c r="R48" s="64"/>
      <c r="S48" s="64"/>
      <c r="T48" s="64"/>
      <c r="U48" s="64"/>
      <c r="V48" s="64"/>
      <c r="W48" s="64"/>
      <c r="X48" s="64"/>
      <c r="Y48" s="64"/>
      <c r="Z48" s="64"/>
      <c r="AA48" s="64"/>
      <c r="AB48" s="64"/>
      <c r="AC48" s="64"/>
      <c r="AD48" s="64"/>
      <c r="AE48" s="75"/>
      <c r="AZ48" s="64" t="s" ph="1">
        <v>575</v>
      </c>
    </row>
    <row r="49" spans="16:52" ph="1">
      <c r="R49" s="64"/>
      <c r="S49" s="64"/>
      <c r="T49" s="64"/>
      <c r="U49" s="64"/>
      <c r="V49" s="64"/>
      <c r="W49" s="64"/>
      <c r="X49" s="64"/>
      <c r="Y49" s="64"/>
      <c r="Z49" s="64"/>
      <c r="AA49" s="64"/>
      <c r="AB49" s="64"/>
      <c r="AC49" s="64"/>
      <c r="AD49" s="64"/>
      <c r="AE49" s="75"/>
      <c r="AG49" s="64" t="s" ph="1">
        <v>232</v>
      </c>
      <c r="AI49" s="64" t="s" ph="1">
        <v>209</v>
      </c>
      <c r="AJ49" s="64" t="s" ph="1">
        <v>210</v>
      </c>
      <c r="AK49" s="64" t="s" ph="1">
        <v>211</v>
      </c>
      <c r="AM49" s="64" t="s" ph="1">
        <v>210</v>
      </c>
      <c r="AN49" s="64" t="s" ph="1">
        <v>211</v>
      </c>
      <c r="AO49" s="64" t="s" ph="1">
        <v>212</v>
      </c>
      <c r="AP49" s="64" t="s" ph="1">
        <v>210</v>
      </c>
      <c r="AQ49" s="64" t="s" ph="1">
        <v>211</v>
      </c>
      <c r="AR49" s="64" t="s" ph="1">
        <v>212</v>
      </c>
      <c r="AS49" s="64" t="s" ph="1">
        <v>210</v>
      </c>
      <c r="AT49" s="64" t="s" ph="1">
        <v>211</v>
      </c>
      <c r="AU49" s="64" t="s" ph="1">
        <v>212</v>
      </c>
      <c r="AV49" s="64" t="s" ph="1">
        <v>210</v>
      </c>
      <c r="AW49" s="64" t="s" ph="1">
        <v>211</v>
      </c>
      <c r="AX49" s="64" t="s" ph="1">
        <v>212</v>
      </c>
      <c r="AY49" s="64" t="s" ph="1">
        <v>211</v>
      </c>
      <c r="AZ49" s="64" t="s" ph="1">
        <v>213</v>
      </c>
    </row>
    <row r="50" spans="16:52" ph="1">
      <c r="R50" s="64"/>
      <c r="S50" s="64"/>
      <c r="T50" s="64"/>
      <c r="U50" s="64"/>
      <c r="V50" s="64"/>
      <c r="W50" s="64"/>
      <c r="X50" s="64"/>
      <c r="Y50" s="64"/>
      <c r="Z50" s="64"/>
      <c r="AA50" s="64"/>
      <c r="AB50" s="64"/>
      <c r="AC50" s="64"/>
      <c r="AD50" s="64"/>
      <c r="AE50" s="75"/>
      <c r="AH50" s="64" ph="1">
        <v>1</v>
      </c>
      <c r="AI50" s="64" t="s" ph="1">
        <v>375</v>
      </c>
      <c r="AY50" s="64" t="s" ph="1">
        <v>216</v>
      </c>
      <c r="AZ50" s="64" t="s" ph="1">
        <v>367</v>
      </c>
    </row>
    <row r="51" spans="16:52" ph="1">
      <c r="R51" s="64"/>
      <c r="S51" s="64"/>
      <c r="T51" s="64"/>
      <c r="U51" s="64"/>
      <c r="V51" s="64"/>
      <c r="W51" s="64"/>
      <c r="X51" s="64"/>
      <c r="Y51" s="64"/>
      <c r="Z51" s="64"/>
      <c r="AA51" s="64"/>
      <c r="AB51" s="64"/>
      <c r="AC51" s="64"/>
      <c r="AD51" s="64"/>
      <c r="AE51" s="75"/>
      <c r="AH51" s="64" ph="1">
        <v>2</v>
      </c>
      <c r="AI51" s="64" t="s" ph="1">
        <v>376</v>
      </c>
      <c r="AY51" s="64" t="s" ph="1">
        <v>216</v>
      </c>
      <c r="AZ51" s="64" t="s" ph="1">
        <v>367</v>
      </c>
    </row>
    <row r="52" spans="16:52" ph="1">
      <c r="R52" s="64"/>
      <c r="S52" s="64"/>
      <c r="T52" s="64"/>
      <c r="U52" s="64"/>
      <c r="V52" s="64"/>
      <c r="W52" s="64"/>
      <c r="X52" s="64"/>
      <c r="Y52" s="64"/>
      <c r="Z52" s="64"/>
      <c r="AA52" s="64"/>
      <c r="AB52" s="64"/>
      <c r="AC52" s="64"/>
      <c r="AD52" s="64"/>
      <c r="AE52" s="75"/>
      <c r="AH52" s="64" ph="1">
        <v>3</v>
      </c>
      <c r="AI52" s="64" t="s" ph="1">
        <v>377</v>
      </c>
      <c r="AJ52" s="64" t="s" ph="1">
        <v>334</v>
      </c>
      <c r="AK52" s="64" t="s" ph="1">
        <v>228</v>
      </c>
      <c r="AM52" s="64" t="s" ph="1">
        <v>336</v>
      </c>
      <c r="AN52" s="64" t="s" ph="1">
        <v>300</v>
      </c>
      <c r="AO52" s="64" t="s" ph="1">
        <v>233</v>
      </c>
      <c r="AP52" s="64" t="s" ph="1">
        <v>570</v>
      </c>
      <c r="AQ52" s="64" t="s" ph="1">
        <v>282</v>
      </c>
      <c r="AR52" s="64" t="s" ph="1">
        <v>233</v>
      </c>
      <c r="AY52" s="64" t="s" ph="1">
        <v>216</v>
      </c>
      <c r="AZ52" s="64" t="s" ph="1">
        <v>576</v>
      </c>
    </row>
    <row r="53" spans="16:52" ph="1">
      <c r="R53" s="64"/>
      <c r="S53" s="64"/>
      <c r="T53" s="64"/>
      <c r="U53" s="64"/>
      <c r="W53" s="64"/>
      <c r="X53" s="64"/>
      <c r="Y53" s="64"/>
      <c r="Z53" s="64"/>
      <c r="AA53" s="64"/>
      <c r="AB53" s="64"/>
      <c r="AC53" s="64"/>
      <c r="AD53" s="64"/>
      <c r="AH53" s="64" ph="1">
        <v>4</v>
      </c>
      <c r="AI53" s="64" t="s" ph="1">
        <v>378</v>
      </c>
      <c r="AY53" s="64" t="s" ph="1">
        <v>216</v>
      </c>
      <c r="AZ53" s="64" t="s" ph="1">
        <v>367</v>
      </c>
    </row>
    <row r="54" spans="16:52" ph="1">
      <c r="R54" s="64"/>
      <c r="S54" s="64"/>
      <c r="T54" s="64"/>
      <c r="U54" s="64"/>
      <c r="W54" s="64"/>
      <c r="X54" s="64"/>
      <c r="Y54" s="64"/>
      <c r="Z54" s="64"/>
      <c r="AA54" s="64"/>
      <c r="AC54" s="64"/>
      <c r="AD54" s="64"/>
      <c r="AH54" s="64" ph="1">
        <v>5</v>
      </c>
      <c r="AI54" s="64" t="s" ph="1">
        <v>379</v>
      </c>
      <c r="AJ54" s="64" t="s" ph="1">
        <v>334</v>
      </c>
      <c r="AK54" s="64" t="s" ph="1">
        <v>219</v>
      </c>
      <c r="AM54" s="64" t="s" ph="1">
        <v>336</v>
      </c>
      <c r="AN54" s="64" t="s" ph="1">
        <v>224</v>
      </c>
      <c r="AO54" s="64" t="s" ph="1">
        <v>233</v>
      </c>
      <c r="AP54" s="64" t="s" ph="1">
        <v>570</v>
      </c>
      <c r="AQ54" s="64" t="s" ph="1">
        <v>240</v>
      </c>
      <c r="AR54" s="64" t="s" ph="1">
        <v>233</v>
      </c>
      <c r="AY54" s="64" t="s" ph="1">
        <v>216</v>
      </c>
      <c r="AZ54" s="64" t="s" ph="1">
        <v>234</v>
      </c>
    </row>
    <row r="55" spans="16:52" ph="1">
      <c r="R55" s="64"/>
      <c r="S55" s="64"/>
      <c r="T55" s="64"/>
      <c r="U55" s="64"/>
      <c r="V55" s="64"/>
      <c r="W55" s="64"/>
      <c r="X55" s="64"/>
      <c r="Z55" s="64"/>
      <c r="AC55" s="64"/>
      <c r="AD55" s="64"/>
      <c r="AE55" s="75"/>
      <c r="AH55" s="64" ph="1">
        <v>6</v>
      </c>
      <c r="AI55" s="64" t="s" ph="1">
        <v>380</v>
      </c>
      <c r="AY55" s="64" t="s" ph="1">
        <v>216</v>
      </c>
      <c r="AZ55" s="64" t="s" ph="1">
        <v>367</v>
      </c>
    </row>
    <row r="56" spans="16:52" ph="1">
      <c r="P56" s="64" ph="1">
        <v>20260804</v>
      </c>
      <c r="R56" s="64"/>
      <c r="S56" s="64"/>
      <c r="T56" s="64"/>
      <c r="U56" s="64"/>
      <c r="V56" s="64"/>
      <c r="W56" s="64"/>
      <c r="X56" s="64"/>
      <c r="Z56" s="64"/>
      <c r="AA56" s="64"/>
      <c r="AB56" s="64"/>
      <c r="AC56" s="64"/>
      <c r="AD56" s="64"/>
      <c r="AE56" s="75"/>
      <c r="AH56" s="64" ph="1">
        <v>7</v>
      </c>
      <c r="AI56" s="64" t="s" ph="1">
        <v>381</v>
      </c>
      <c r="AY56" s="64" t="s" ph="1">
        <v>216</v>
      </c>
      <c r="AZ56" s="64" t="s" ph="1">
        <v>367</v>
      </c>
    </row>
    <row r="57" spans="16:52" ph="1">
      <c r="R57" s="64"/>
      <c r="S57" s="64"/>
      <c r="T57" s="64"/>
      <c r="U57" s="64"/>
      <c r="V57" s="64"/>
      <c r="W57" s="64"/>
      <c r="AA57" s="64"/>
      <c r="AB57" s="64"/>
      <c r="AC57" s="64"/>
      <c r="AD57" s="64"/>
      <c r="AE57" s="75"/>
      <c r="AH57" s="64" ph="1">
        <v>8</v>
      </c>
      <c r="AI57" s="64" t="s" ph="1">
        <v>382</v>
      </c>
      <c r="AY57" s="64" t="s" ph="1">
        <v>216</v>
      </c>
      <c r="AZ57" s="64" t="s" ph="1">
        <v>367</v>
      </c>
    </row>
    <row r="58" spans="16:52" ph="1">
      <c r="P58" s="64"/>
      <c r="AN58" s="64" t="s" ph="1">
        <v>217</v>
      </c>
      <c r="AZ58" s="64" t="s" ph="1">
        <v>577</v>
      </c>
    </row>
    <row r="59" spans="16:52" ph="1">
      <c r="V59" s="64"/>
      <c r="AG59" s="64" t="s" ph="1">
        <v>235</v>
      </c>
      <c r="AI59" s="64" t="s" ph="1">
        <v>209</v>
      </c>
      <c r="AJ59" s="64" t="s" ph="1">
        <v>210</v>
      </c>
      <c r="AK59" s="64" t="s" ph="1">
        <v>211</v>
      </c>
      <c r="AM59" s="64" t="s" ph="1">
        <v>210</v>
      </c>
      <c r="AN59" s="64" t="s" ph="1">
        <v>211</v>
      </c>
      <c r="AO59" s="64" t="s" ph="1">
        <v>212</v>
      </c>
      <c r="AP59" s="64" t="s" ph="1">
        <v>210</v>
      </c>
      <c r="AQ59" s="64" t="s" ph="1">
        <v>211</v>
      </c>
      <c r="AR59" s="64" t="s" ph="1">
        <v>212</v>
      </c>
      <c r="AS59" s="64" t="s" ph="1">
        <v>210</v>
      </c>
      <c r="AT59" s="64" t="s" ph="1">
        <v>211</v>
      </c>
      <c r="AU59" s="64" t="s" ph="1">
        <v>212</v>
      </c>
      <c r="AV59" s="64" t="s" ph="1">
        <v>210</v>
      </c>
      <c r="AW59" s="64" t="s" ph="1">
        <v>211</v>
      </c>
      <c r="AX59" s="64" t="s" ph="1">
        <v>212</v>
      </c>
      <c r="AY59" s="64" t="s" ph="1">
        <v>211</v>
      </c>
      <c r="AZ59" s="64" t="s" ph="1">
        <v>213</v>
      </c>
    </row>
    <row r="60" spans="16:52" ph="1">
      <c r="R60" s="64"/>
      <c r="S60" s="64"/>
      <c r="T60" s="64"/>
      <c r="AH60" s="64" ph="1">
        <v>1</v>
      </c>
      <c r="AI60" s="64" t="s" ph="1">
        <v>383</v>
      </c>
      <c r="AY60" s="64" t="s" ph="1">
        <v>216</v>
      </c>
      <c r="AZ60" s="64" t="s" ph="1">
        <v>367</v>
      </c>
    </row>
    <row r="61" spans="16:52" ph="1">
      <c r="AH61" s="64" ph="1">
        <v>2</v>
      </c>
      <c r="AI61" s="64" t="s" ph="1">
        <v>384</v>
      </c>
      <c r="AS61" s="64" t="s" ph="1">
        <v>217</v>
      </c>
      <c r="AY61" s="64" t="s" ph="1">
        <v>216</v>
      </c>
      <c r="AZ61" s="64" t="s" ph="1">
        <v>367</v>
      </c>
    </row>
    <row r="62" spans="16:52" ph="1">
      <c r="AZ62" s="64" t="s" ph="1">
        <v>385</v>
      </c>
    </row>
    <row r="63" spans="16:52" ph="1">
      <c r="AG63" s="64" t="s" ph="1">
        <v>238</v>
      </c>
      <c r="AI63" s="64" t="s" ph="1">
        <v>209</v>
      </c>
      <c r="AJ63" s="64" t="s" ph="1">
        <v>210</v>
      </c>
      <c r="AK63" s="64" t="s" ph="1">
        <v>211</v>
      </c>
      <c r="AM63" s="64" t="s" ph="1">
        <v>210</v>
      </c>
      <c r="AN63" s="64" t="s" ph="1">
        <v>211</v>
      </c>
      <c r="AO63" s="64" t="s" ph="1">
        <v>212</v>
      </c>
      <c r="AP63" s="64" t="s" ph="1">
        <v>210</v>
      </c>
      <c r="AQ63" s="64" t="s" ph="1">
        <v>211</v>
      </c>
      <c r="AR63" s="64" t="s" ph="1">
        <v>212</v>
      </c>
      <c r="AS63" s="64" t="s" ph="1">
        <v>210</v>
      </c>
      <c r="AT63" s="64" t="s" ph="1">
        <v>211</v>
      </c>
      <c r="AU63" s="64" t="s" ph="1">
        <v>212</v>
      </c>
      <c r="AV63" s="64" t="s" ph="1">
        <v>210</v>
      </c>
      <c r="AW63" s="64" t="s" ph="1">
        <v>211</v>
      </c>
      <c r="AX63" s="64" t="s" ph="1">
        <v>212</v>
      </c>
      <c r="AY63" s="64" t="s" ph="1">
        <v>211</v>
      </c>
      <c r="AZ63" s="64" t="s" ph="1">
        <v>213</v>
      </c>
    </row>
    <row r="64" spans="16:52" ph="1">
      <c r="AH64" s="64" ph="1">
        <v>1</v>
      </c>
      <c r="AI64" s="64" t="s" ph="1">
        <v>386</v>
      </c>
      <c r="AJ64" s="64" t="s" ph="1">
        <v>387</v>
      </c>
      <c r="AK64" s="64" t="s" ph="1">
        <v>388</v>
      </c>
      <c r="AY64" s="64" t="s" ph="1">
        <v>216</v>
      </c>
      <c r="AZ64" s="64" t="s" ph="1">
        <v>388</v>
      </c>
    </row>
    <row r="65" spans="33:52" ph="1">
      <c r="AH65" s="64" ph="1">
        <v>2</v>
      </c>
      <c r="AI65" s="64" t="s" ph="1">
        <v>389</v>
      </c>
      <c r="AY65" s="64" t="s" ph="1">
        <v>216</v>
      </c>
      <c r="AZ65" s="64" t="s" ph="1">
        <v>367</v>
      </c>
    </row>
    <row r="66" spans="33:52" ph="1">
      <c r="AH66" s="64" ph="1">
        <v>3</v>
      </c>
      <c r="AI66" s="64" t="s" ph="1">
        <v>390</v>
      </c>
      <c r="AY66" s="64" t="s" ph="1">
        <v>216</v>
      </c>
      <c r="AZ66" s="64" t="s" ph="1">
        <v>367</v>
      </c>
    </row>
    <row r="67" spans="33:52" ph="1">
      <c r="AH67" s="64" ph="1">
        <v>4</v>
      </c>
      <c r="AI67" s="64" t="s" ph="1">
        <v>391</v>
      </c>
      <c r="AY67" s="64" t="s" ph="1">
        <v>216</v>
      </c>
      <c r="AZ67" s="64" t="s" ph="1">
        <v>367</v>
      </c>
    </row>
    <row r="68" spans="33:52" ph="1">
      <c r="AH68" s="64" ph="1">
        <v>5</v>
      </c>
      <c r="AI68" s="64" t="s" ph="1">
        <v>392</v>
      </c>
      <c r="AY68" s="64" t="s" ph="1">
        <v>216</v>
      </c>
      <c r="AZ68" s="64" t="s" ph="1">
        <v>367</v>
      </c>
    </row>
    <row r="69" spans="33:52" ph="1">
      <c r="AH69" s="64" ph="1">
        <v>6</v>
      </c>
      <c r="AI69" s="64" t="s" ph="1">
        <v>393</v>
      </c>
      <c r="AY69" s="64" t="s" ph="1">
        <v>216</v>
      </c>
      <c r="AZ69" s="64" t="s" ph="1">
        <v>367</v>
      </c>
    </row>
    <row r="70" spans="33:52" ph="1">
      <c r="AI70" s="64" t="s" ph="1">
        <v>394</v>
      </c>
      <c r="AY70" s="64" t="s" ph="1">
        <v>216</v>
      </c>
      <c r="AZ70" s="64" t="s" ph="1">
        <v>367</v>
      </c>
    </row>
    <row r="71" spans="33:52" ph="1">
      <c r="AH71" s="64" ph="1">
        <v>7</v>
      </c>
      <c r="AI71" s="64" t="s" ph="1">
        <v>395</v>
      </c>
      <c r="AJ71" s="64" t="s" ph="1">
        <v>334</v>
      </c>
      <c r="AK71" s="64" t="s" ph="1">
        <v>228</v>
      </c>
      <c r="AM71" s="64" t="s" ph="1">
        <v>336</v>
      </c>
      <c r="AN71" s="64" t="s" ph="1">
        <v>228</v>
      </c>
      <c r="AO71" s="64" t="s" ph="1">
        <v>396</v>
      </c>
      <c r="AP71" s="64" t="s" ph="1">
        <v>570</v>
      </c>
      <c r="AQ71" s="64" t="s" ph="1">
        <v>219</v>
      </c>
      <c r="AR71" s="64" t="s" ph="1">
        <v>396</v>
      </c>
      <c r="AY71" s="64" t="s" ph="1">
        <v>216</v>
      </c>
      <c r="AZ71" s="64" t="s" ph="1">
        <v>578</v>
      </c>
    </row>
    <row r="72" spans="33:52" ph="1">
      <c r="AZ72" s="64" t="s" ph="1">
        <v>579</v>
      </c>
    </row>
    <row r="73" spans="33:52" ph="1">
      <c r="AG73" s="64" t="s" ph="1">
        <v>241</v>
      </c>
      <c r="AI73" s="64" t="s" ph="1">
        <v>209</v>
      </c>
      <c r="AJ73" s="64" t="s" ph="1">
        <v>210</v>
      </c>
      <c r="AK73" s="64" t="s" ph="1">
        <v>211</v>
      </c>
      <c r="AM73" s="64" t="s" ph="1">
        <v>210</v>
      </c>
      <c r="AN73" s="64" t="s" ph="1">
        <v>211</v>
      </c>
      <c r="AO73" s="64" t="s" ph="1">
        <v>212</v>
      </c>
      <c r="AP73" s="64" t="s" ph="1">
        <v>210</v>
      </c>
      <c r="AQ73" s="64" t="s" ph="1">
        <v>211</v>
      </c>
      <c r="AR73" s="64" t="s" ph="1">
        <v>212</v>
      </c>
      <c r="AS73" s="64" t="s" ph="1">
        <v>210</v>
      </c>
      <c r="AT73" s="64" t="s" ph="1">
        <v>211</v>
      </c>
      <c r="AU73" s="64" t="s" ph="1">
        <v>212</v>
      </c>
      <c r="AV73" s="64" t="s" ph="1">
        <v>210</v>
      </c>
      <c r="AW73" s="64" t="s" ph="1">
        <v>211</v>
      </c>
      <c r="AX73" s="64" t="s" ph="1">
        <v>212</v>
      </c>
      <c r="AY73" s="64" t="s" ph="1">
        <v>211</v>
      </c>
      <c r="AZ73" s="64" t="s" ph="1">
        <v>213</v>
      </c>
    </row>
    <row r="74" spans="33:52" ph="1">
      <c r="AH74" s="64" ph="1">
        <v>1</v>
      </c>
      <c r="AI74" s="64" t="s" ph="1">
        <v>397</v>
      </c>
      <c r="AJ74" s="64" t="s" ph="1">
        <v>242</v>
      </c>
      <c r="AK74" s="64" t="s" ph="1">
        <v>224</v>
      </c>
      <c r="AM74" s="64" t="s" ph="1">
        <v>244</v>
      </c>
      <c r="AN74" s="64" t="s" ph="1">
        <v>254</v>
      </c>
      <c r="AO74" s="64" t="s" ph="1">
        <v>243</v>
      </c>
      <c r="AP74" s="64" t="s" ph="1">
        <v>245</v>
      </c>
      <c r="AQ74" s="64" t="s" ph="1">
        <v>222</v>
      </c>
      <c r="AR74" s="64" t="s" ph="1">
        <v>243</v>
      </c>
      <c r="AS74" s="64" t="s" ph="1">
        <v>215</v>
      </c>
      <c r="AT74" s="64" t="s" ph="1">
        <v>217</v>
      </c>
      <c r="AV74" s="64" t="s" ph="1">
        <v>398</v>
      </c>
      <c r="AW74" s="64" t="s" ph="1">
        <v>399</v>
      </c>
      <c r="AX74" s="64" t="s" ph="1">
        <v>400</v>
      </c>
      <c r="AY74" s="64" t="s" ph="1">
        <v>216</v>
      </c>
      <c r="AZ74" s="64" t="s" ph="1">
        <v>401</v>
      </c>
    </row>
    <row r="75" spans="33:52" ph="1">
      <c r="AJ75" s="64" t="s" ph="1">
        <v>247</v>
      </c>
      <c r="AK75" s="64" t="s" ph="1">
        <v>300</v>
      </c>
      <c r="AM75" s="64" t="s" ph="1">
        <v>245</v>
      </c>
      <c r="AN75" s="64" t="s" ph="1">
        <v>225</v>
      </c>
      <c r="AO75" s="64" t="s" ph="1">
        <v>243</v>
      </c>
      <c r="AS75" s="64" t="s" ph="1">
        <v>215</v>
      </c>
      <c r="AT75" s="64" t="s" ph="1">
        <v>246</v>
      </c>
    </row>
    <row r="76" spans="33:52" ph="1">
      <c r="AJ76" s="64" t="s" ph="1">
        <v>247</v>
      </c>
      <c r="AK76" s="64" t="s" ph="1">
        <v>240</v>
      </c>
      <c r="AM76" s="64" t="s" ph="1">
        <v>245</v>
      </c>
      <c r="AN76" s="64" t="s" ph="1">
        <v>228</v>
      </c>
      <c r="AO76" s="64" t="s" ph="1">
        <v>243</v>
      </c>
      <c r="AS76" s="64" t="s" ph="1">
        <v>215</v>
      </c>
      <c r="AT76" s="64" t="s" ph="1">
        <v>246</v>
      </c>
    </row>
    <row r="77" spans="33:52" ph="1">
      <c r="AJ77" s="64" t="s" ph="1">
        <v>283</v>
      </c>
      <c r="AK77" s="64" t="s" ph="1">
        <v>240</v>
      </c>
      <c r="AM77" s="64" t="s" ph="1">
        <v>284</v>
      </c>
      <c r="AN77" s="64" t="s" ph="1">
        <v>223</v>
      </c>
      <c r="AO77" s="64" t="s" ph="1">
        <v>243</v>
      </c>
      <c r="AS77" s="64" t="s" ph="1">
        <v>215</v>
      </c>
      <c r="AT77" s="64" t="s" ph="1">
        <v>285</v>
      </c>
    </row>
    <row r="78" spans="33:52" ph="1">
      <c r="AH78" s="64" ph="1">
        <v>2</v>
      </c>
      <c r="AI78" s="64" t="s" ph="1">
        <v>249</v>
      </c>
      <c r="AJ78" s="64" t="s" ph="1">
        <v>250</v>
      </c>
      <c r="AK78" s="64" t="s" ph="1">
        <v>219</v>
      </c>
      <c r="AM78" s="64" t="s" ph="1">
        <v>251</v>
      </c>
      <c r="AN78" s="64" t="s" ph="1">
        <v>254</v>
      </c>
      <c r="AO78" s="64" t="s" ph="1">
        <v>243</v>
      </c>
      <c r="AP78" s="64" t="s" ph="1">
        <v>252</v>
      </c>
      <c r="AQ78" s="64" t="s" ph="1">
        <v>298</v>
      </c>
      <c r="AR78" s="64" t="s" ph="1">
        <v>243</v>
      </c>
      <c r="AS78" s="64" t="s" ph="1">
        <v>253</v>
      </c>
      <c r="AT78" s="64" t="s" ph="1">
        <v>254</v>
      </c>
      <c r="AU78" s="64" t="s" ph="1">
        <v>243</v>
      </c>
      <c r="AV78" s="64" t="s" ph="1">
        <v>255</v>
      </c>
      <c r="AW78" s="64" t="s" ph="1">
        <v>243</v>
      </c>
      <c r="AY78" s="64" t="s" ph="1">
        <v>216</v>
      </c>
      <c r="AZ78" s="64" t="s" ph="1">
        <v>402</v>
      </c>
    </row>
    <row r="79" spans="33:52" ph="1">
      <c r="AJ79" s="64" t="s" ph="1">
        <v>245</v>
      </c>
      <c r="AK79" s="64" t="s" ph="1">
        <v>256</v>
      </c>
      <c r="AM79" s="64" t="s" ph="1">
        <v>257</v>
      </c>
      <c r="AN79" s="64" t="s" ph="1">
        <v>225</v>
      </c>
      <c r="AO79" s="64" t="s" ph="1">
        <v>243</v>
      </c>
      <c r="AP79" s="64" t="s" ph="1">
        <v>258</v>
      </c>
      <c r="AQ79" s="64" t="s" ph="1">
        <v>223</v>
      </c>
      <c r="AR79" s="64" t="s" ph="1">
        <v>259</v>
      </c>
      <c r="AS79" s="64" t="s" ph="1">
        <v>215</v>
      </c>
      <c r="AT79" s="64" t="s" ph="1">
        <v>260</v>
      </c>
      <c r="AV79" s="64" t="s" ph="1">
        <v>403</v>
      </c>
      <c r="AW79" s="64" t="s" ph="1">
        <v>302</v>
      </c>
      <c r="AX79" s="64" t="s" ph="1">
        <v>400</v>
      </c>
    </row>
    <row r="80" spans="33:52" ph="1">
      <c r="AH80" s="64" ph="1">
        <v>3</v>
      </c>
      <c r="AI80" s="64" t="s" ph="1">
        <v>261</v>
      </c>
      <c r="AJ80" s="64" t="s" ph="1">
        <v>262</v>
      </c>
      <c r="AK80" s="64" t="s" ph="1">
        <v>263</v>
      </c>
      <c r="AM80" s="64" t="s" ph="1">
        <v>264</v>
      </c>
      <c r="AN80" s="64" t="s" ph="1">
        <v>254</v>
      </c>
      <c r="AO80" s="64" t="s" ph="1">
        <v>243</v>
      </c>
      <c r="AP80" s="64" t="s" ph="1">
        <v>265</v>
      </c>
      <c r="AQ80" s="64" t="s" ph="1">
        <v>228</v>
      </c>
      <c r="AR80" s="64" t="s" ph="1">
        <v>243</v>
      </c>
      <c r="AS80" s="64" t="s" ph="1">
        <v>266</v>
      </c>
      <c r="AT80" s="64" t="s" ph="1">
        <v>227</v>
      </c>
      <c r="AU80" s="64" t="s" ph="1">
        <v>243</v>
      </c>
      <c r="AV80" s="64" t="s" ph="1">
        <v>267</v>
      </c>
      <c r="AW80" s="64" t="s" ph="1">
        <v>243</v>
      </c>
      <c r="AY80" s="64" t="s" ph="1">
        <v>216</v>
      </c>
      <c r="AZ80" s="64" t="s" ph="1">
        <v>404</v>
      </c>
    </row>
    <row r="81" spans="34:52" ph="1">
      <c r="AJ81" s="64" t="s" ph="1">
        <v>268</v>
      </c>
      <c r="AK81" s="64" t="s" ph="1">
        <v>222</v>
      </c>
      <c r="AM81" s="64" t="s" ph="1">
        <v>269</v>
      </c>
      <c r="AN81" s="64" t="s" ph="1">
        <v>225</v>
      </c>
      <c r="AO81" s="64" t="s" ph="1">
        <v>243</v>
      </c>
      <c r="AP81" s="64" t="s" ph="1">
        <v>270</v>
      </c>
      <c r="AQ81" s="64" t="s" ph="1">
        <v>254</v>
      </c>
      <c r="AR81" s="64" t="s" ph="1">
        <v>243</v>
      </c>
      <c r="AS81" s="64" t="s" ph="1">
        <v>271</v>
      </c>
      <c r="AT81" s="64" t="s" ph="1">
        <v>272</v>
      </c>
      <c r="AU81" s="64" t="s" ph="1">
        <v>243</v>
      </c>
      <c r="AV81" s="64" t="s" ph="1">
        <v>273</v>
      </c>
    </row>
    <row r="82" spans="34:52" ph="1">
      <c r="AJ82" s="64" t="s" ph="1">
        <v>274</v>
      </c>
      <c r="AK82" s="64" t="s" ph="1">
        <v>222</v>
      </c>
      <c r="AM82" s="64" t="s" ph="1">
        <v>275</v>
      </c>
      <c r="AN82" s="64" t="s" ph="1">
        <v>272</v>
      </c>
      <c r="AO82" s="64" t="s" ph="1">
        <v>276</v>
      </c>
      <c r="AP82" s="64" t="s" ph="1">
        <v>277</v>
      </c>
      <c r="AQ82" s="64" t="s" ph="1">
        <v>254</v>
      </c>
      <c r="AR82" s="64" t="s" ph="1">
        <v>243</v>
      </c>
      <c r="AS82" s="64" t="s" ph="1">
        <v>278</v>
      </c>
      <c r="AT82" s="64" t="s" ph="1">
        <v>229</v>
      </c>
      <c r="AU82" s="64" t="s" ph="1">
        <v>243</v>
      </c>
      <c r="AV82" s="64" t="s" ph="1">
        <v>403</v>
      </c>
      <c r="AW82" s="64" t="s" ph="1">
        <v>303</v>
      </c>
      <c r="AX82" s="64" t="s" ph="1">
        <v>400</v>
      </c>
    </row>
    <row r="83" spans="34:52" ph="1">
      <c r="AJ83" s="64" t="s" ph="1">
        <v>279</v>
      </c>
      <c r="AK83" s="64" t="s" ph="1">
        <v>296</v>
      </c>
      <c r="AM83" s="64" t="s" ph="1">
        <v>280</v>
      </c>
      <c r="AN83" s="64" t="s" ph="1">
        <v>228</v>
      </c>
      <c r="AO83" s="64" t="s" ph="1">
        <v>259</v>
      </c>
      <c r="AP83" s="64" t="s" ph="1">
        <v>281</v>
      </c>
      <c r="AQ83" s="64" t="s" ph="1">
        <v>282</v>
      </c>
      <c r="AR83" s="64" t="s" ph="1">
        <v>259</v>
      </c>
      <c r="AS83" s="64" t="s" ph="1">
        <v>405</v>
      </c>
      <c r="AT83" s="64" t="s" ph="1">
        <v>254</v>
      </c>
      <c r="AU83" s="64" t="s" ph="1">
        <v>259</v>
      </c>
      <c r="AV83" s="64" t="s" ph="1">
        <v>406</v>
      </c>
      <c r="AW83" s="64" t="s" ph="1">
        <v>303</v>
      </c>
      <c r="AX83" s="64" t="s" ph="1">
        <v>407</v>
      </c>
    </row>
    <row r="84" spans="34:52" ph="1">
      <c r="AH84" s="64" ph="1">
        <v>4</v>
      </c>
      <c r="AI84" s="64" t="s" ph="1">
        <v>286</v>
      </c>
      <c r="AJ84" s="64" t="s" ph="1">
        <v>226</v>
      </c>
      <c r="AK84" s="64" t="s" ph="1">
        <v>229</v>
      </c>
      <c r="AM84" s="64" t="s" ph="1">
        <v>230</v>
      </c>
      <c r="AN84" s="64" t="s" ph="1">
        <v>223</v>
      </c>
      <c r="AO84" s="64" t="s" ph="1">
        <v>259</v>
      </c>
      <c r="AP84" s="64" t="s" ph="1">
        <v>288</v>
      </c>
      <c r="AQ84" s="64" t="s" ph="1">
        <v>222</v>
      </c>
      <c r="AR84" s="64" t="s" ph="1">
        <v>259</v>
      </c>
      <c r="AS84" s="64" t="s" ph="1">
        <v>288</v>
      </c>
      <c r="AT84" s="64" t="s" ph="1">
        <v>224</v>
      </c>
      <c r="AU84" s="64" t="s" ph="1">
        <v>259</v>
      </c>
      <c r="AY84" s="64" t="s" ph="1">
        <v>216</v>
      </c>
      <c r="AZ84" s="64" t="s" ph="1">
        <v>408</v>
      </c>
    </row>
    <row r="85" spans="34:52" ph="1">
      <c r="AJ85" s="64" t="s" ph="1">
        <v>218</v>
      </c>
      <c r="AK85" s="64" t="s" ph="1">
        <v>222</v>
      </c>
      <c r="AM85" s="64" t="s" ph="1">
        <v>409</v>
      </c>
      <c r="AN85" s="64" t="s" ph="1">
        <v>229</v>
      </c>
      <c r="AO85" s="64" t="s" ph="1">
        <v>259</v>
      </c>
      <c r="AP85" s="64" t="s" ph="1">
        <v>410</v>
      </c>
      <c r="AQ85" s="64" t="s" ph="1">
        <v>225</v>
      </c>
      <c r="AR85" s="64" t="s" ph="1">
        <v>259</v>
      </c>
      <c r="AS85" s="64" t="s" ph="1">
        <v>411</v>
      </c>
      <c r="AT85" s="64" t="s" ph="1">
        <v>225</v>
      </c>
      <c r="AU85" s="64" t="s" ph="1">
        <v>259</v>
      </c>
    </row>
    <row r="86" spans="34:52" ph="1">
      <c r="AJ86" s="64" t="s" ph="1">
        <v>412</v>
      </c>
      <c r="AK86" s="64" t="s" ph="1">
        <v>231</v>
      </c>
      <c r="AM86" s="64" t="s" ph="1">
        <v>413</v>
      </c>
      <c r="AN86" s="64" t="s" ph="1">
        <v>272</v>
      </c>
      <c r="AO86" s="64" t="s" ph="1">
        <v>259</v>
      </c>
      <c r="AP86" s="64" t="s" ph="1">
        <v>414</v>
      </c>
      <c r="AQ86" s="64" t="s" ph="1">
        <v>219</v>
      </c>
      <c r="AR86" s="64" t="s" ph="1">
        <v>259</v>
      </c>
      <c r="AS86" s="64" t="s" ph="1">
        <v>415</v>
      </c>
      <c r="AT86" s="64" t="s" ph="1">
        <v>237</v>
      </c>
      <c r="AU86" s="64" t="s" ph="1">
        <v>259</v>
      </c>
    </row>
    <row r="87" spans="34:52" ph="1">
      <c r="AJ87" s="64" t="s" ph="1">
        <v>416</v>
      </c>
      <c r="AK87" s="64" t="s" ph="1">
        <v>272</v>
      </c>
      <c r="AM87" s="64" t="s" ph="1">
        <v>403</v>
      </c>
      <c r="AN87" s="64" t="s" ph="1">
        <v>417</v>
      </c>
      <c r="AO87" s="64" t="s" ph="1">
        <v>400</v>
      </c>
    </row>
    <row r="88" spans="34:52" ph="1">
      <c r="AH88" s="64" ph="1">
        <v>5</v>
      </c>
      <c r="AI88" s="64" t="s" ph="1">
        <v>289</v>
      </c>
      <c r="AJ88" s="64" t="s" ph="1">
        <v>418</v>
      </c>
      <c r="AK88" s="64" t="s" ph="1">
        <v>272</v>
      </c>
      <c r="AM88" s="64" t="s" ph="1">
        <v>419</v>
      </c>
      <c r="AN88" s="64" t="s" ph="1">
        <v>272</v>
      </c>
      <c r="AO88" s="64" t="s" ph="1">
        <v>259</v>
      </c>
      <c r="AP88" s="64" t="s" ph="1">
        <v>420</v>
      </c>
      <c r="AQ88" s="64" t="s" ph="1">
        <v>222</v>
      </c>
      <c r="AR88" s="64" t="s" ph="1">
        <v>259</v>
      </c>
      <c r="AS88" s="64" t="s" ph="1">
        <v>421</v>
      </c>
      <c r="AT88" s="64" t="s" ph="1">
        <v>272</v>
      </c>
      <c r="AU88" s="64" t="s" ph="1">
        <v>259</v>
      </c>
      <c r="AV88" s="64" t="s" ph="1">
        <v>422</v>
      </c>
      <c r="AW88" s="64" t="s" ph="1">
        <v>227</v>
      </c>
      <c r="AX88" s="64" t="s" ph="1">
        <v>259</v>
      </c>
      <c r="AY88" s="64" t="s" ph="1">
        <v>216</v>
      </c>
      <c r="AZ88" s="64" t="s" ph="1">
        <v>423</v>
      </c>
    </row>
    <row r="89" spans="34:52" ph="1">
      <c r="AJ89" s="64" t="s" ph="1">
        <v>424</v>
      </c>
      <c r="AK89" s="64" t="s" ph="1">
        <v>225</v>
      </c>
      <c r="AM89" s="64" t="s" ph="1">
        <v>425</v>
      </c>
      <c r="AN89" s="64" t="s" ph="1">
        <v>228</v>
      </c>
      <c r="AO89" s="64" t="s" ph="1">
        <v>259</v>
      </c>
      <c r="AP89" s="64" t="s" ph="1">
        <v>426</v>
      </c>
      <c r="AQ89" s="64" t="s" ph="1">
        <v>237</v>
      </c>
      <c r="AR89" s="64" t="s" ph="1">
        <v>259</v>
      </c>
      <c r="AS89" s="64" t="s" ph="1">
        <v>427</v>
      </c>
      <c r="AT89" s="64" t="s" ph="1">
        <v>272</v>
      </c>
      <c r="AU89" s="64" t="s" ph="1">
        <v>259</v>
      </c>
      <c r="AV89" s="64" t="s" ph="1">
        <v>428</v>
      </c>
      <c r="AW89" s="64" t="s" ph="1">
        <v>254</v>
      </c>
      <c r="AX89" s="64" t="s" ph="1">
        <v>287</v>
      </c>
    </row>
    <row r="90" spans="34:52" ph="1">
      <c r="AJ90" s="64" t="s" ph="1">
        <v>429</v>
      </c>
      <c r="AK90" s="64" t="s" ph="1">
        <v>228</v>
      </c>
      <c r="AM90" s="64" t="s" ph="1">
        <v>430</v>
      </c>
      <c r="AN90" s="64" t="s" ph="1">
        <v>225</v>
      </c>
      <c r="AO90" s="64" t="s" ph="1">
        <v>259</v>
      </c>
      <c r="AP90" s="64" t="s" ph="1">
        <v>431</v>
      </c>
      <c r="AQ90" s="64" t="s" ph="1">
        <v>294</v>
      </c>
      <c r="AR90" s="64" t="s" ph="1">
        <v>259</v>
      </c>
      <c r="AS90" s="64" t="s" ph="1">
        <v>432</v>
      </c>
      <c r="AT90" s="64" t="s" ph="1">
        <v>282</v>
      </c>
      <c r="AU90" s="64" t="s" ph="1">
        <v>259</v>
      </c>
      <c r="AV90" s="64" t="s" ph="1">
        <v>433</v>
      </c>
      <c r="AW90" s="64" t="s" ph="1">
        <v>219</v>
      </c>
      <c r="AX90" s="64" t="s" ph="1">
        <v>259</v>
      </c>
    </row>
    <row r="91" spans="34:52" ph="1">
      <c r="AJ91" s="64" t="s" ph="1">
        <v>434</v>
      </c>
      <c r="AK91" s="64" t="s" ph="1">
        <v>272</v>
      </c>
      <c r="AM91" s="64" t="s" ph="1">
        <v>435</v>
      </c>
      <c r="AN91" s="64" t="s" ph="1">
        <v>239</v>
      </c>
      <c r="AO91" s="64" t="s" ph="1">
        <v>259</v>
      </c>
      <c r="AP91" s="64" t="s" ph="1">
        <v>436</v>
      </c>
      <c r="AQ91" s="64" t="s" ph="1">
        <v>219</v>
      </c>
      <c r="AS91" s="64" t="s" ph="1">
        <v>403</v>
      </c>
      <c r="AT91" s="64" t="s" ph="1">
        <v>399</v>
      </c>
      <c r="AU91" s="64" t="s" ph="1">
        <v>400</v>
      </c>
    </row>
    <row r="92" spans="34:52" ph="1">
      <c r="AH92" s="64" ph="1">
        <v>6</v>
      </c>
      <c r="AI92" s="64" t="s" ph="1">
        <v>437</v>
      </c>
      <c r="AJ92" s="64" t="s" ph="1">
        <v>438</v>
      </c>
      <c r="AK92" s="64" t="s" ph="1">
        <v>367</v>
      </c>
      <c r="AM92" s="64" t="s" ph="1">
        <v>439</v>
      </c>
      <c r="AN92" s="64" t="s" ph="1">
        <v>227</v>
      </c>
      <c r="AO92" s="64" t="s" ph="1">
        <v>259</v>
      </c>
      <c r="AP92" s="64" t="s" ph="1">
        <v>440</v>
      </c>
      <c r="AQ92" s="64" t="s" ph="1">
        <v>299</v>
      </c>
      <c r="AR92" s="64" t="s" ph="1">
        <v>259</v>
      </c>
      <c r="AS92" s="64" t="s" ph="1">
        <v>441</v>
      </c>
      <c r="AT92" s="64" t="s" ph="1">
        <v>272</v>
      </c>
      <c r="AU92" s="64" t="s" ph="1">
        <v>259</v>
      </c>
      <c r="AV92" s="64" t="s" ph="1">
        <v>442</v>
      </c>
      <c r="AW92" s="64" t="s" ph="1">
        <v>228</v>
      </c>
      <c r="AX92" s="64" t="s" ph="1">
        <v>259</v>
      </c>
      <c r="AY92" s="64" t="s" ph="1">
        <v>216</v>
      </c>
      <c r="AZ92" s="64" t="s" ph="1">
        <v>423</v>
      </c>
    </row>
    <row r="93" spans="34:52" ph="1">
      <c r="AJ93" s="64" t="s" ph="1">
        <v>443</v>
      </c>
      <c r="AK93" s="64" t="s" ph="1">
        <v>222</v>
      </c>
      <c r="AM93" s="64" t="s" ph="1">
        <v>444</v>
      </c>
      <c r="AN93" s="64" t="s" ph="1">
        <v>227</v>
      </c>
      <c r="AO93" s="64" t="s" ph="1">
        <v>259</v>
      </c>
      <c r="AP93" s="64" t="s" ph="1">
        <v>445</v>
      </c>
      <c r="AQ93" s="64" t="s" ph="1">
        <v>231</v>
      </c>
      <c r="AR93" s="64" t="s" ph="1">
        <v>259</v>
      </c>
      <c r="AS93" s="64" t="s" ph="1">
        <v>446</v>
      </c>
      <c r="AT93" s="64" t="s" ph="1">
        <v>237</v>
      </c>
      <c r="AU93" s="64" t="s" ph="1">
        <v>259</v>
      </c>
      <c r="AV93" s="64" t="s" ph="1">
        <v>447</v>
      </c>
      <c r="AW93" s="64" t="s" ph="1">
        <v>231</v>
      </c>
      <c r="AX93" s="64" t="s" ph="1">
        <v>259</v>
      </c>
    </row>
    <row r="94" spans="34:52" ph="1">
      <c r="AJ94" s="64" t="s" ph="1">
        <v>448</v>
      </c>
      <c r="AK94" s="64" t="s" ph="1">
        <v>294</v>
      </c>
      <c r="AM94" s="64" t="s" ph="1">
        <v>449</v>
      </c>
      <c r="AN94" s="64" t="s" ph="1">
        <v>231</v>
      </c>
      <c r="AO94" s="64" t="s" ph="1">
        <v>259</v>
      </c>
      <c r="AP94" s="64" t="s" ph="1">
        <v>450</v>
      </c>
      <c r="AQ94" s="64" t="s" ph="1">
        <v>239</v>
      </c>
      <c r="AR94" s="64" t="s" ph="1">
        <v>259</v>
      </c>
      <c r="AS94" s="64" t="s" ph="1">
        <v>451</v>
      </c>
      <c r="AT94" s="64" t="s" ph="1">
        <v>225</v>
      </c>
      <c r="AU94" s="64" t="s" ph="1">
        <v>259</v>
      </c>
      <c r="AV94" s="64" t="s" ph="1">
        <v>452</v>
      </c>
      <c r="AW94" s="64" t="s" ph="1">
        <v>225</v>
      </c>
      <c r="AX94" s="64" t="s" ph="1">
        <v>259</v>
      </c>
    </row>
    <row r="95" spans="34:52" ph="1">
      <c r="AJ95" s="64" t="s" ph="1">
        <v>453</v>
      </c>
      <c r="AK95" s="64" t="s" ph="1">
        <v>299</v>
      </c>
    </row>
    <row r="96" spans="34:52" ph="1">
      <c r="AH96" s="64" ph="1">
        <v>7</v>
      </c>
      <c r="AI96" s="64" t="s" ph="1">
        <v>454</v>
      </c>
      <c r="AJ96" s="64" t="s" ph="1">
        <v>453</v>
      </c>
      <c r="AK96" s="64" t="s" ph="1">
        <v>254</v>
      </c>
      <c r="AM96" s="64" t="s" ph="1">
        <v>455</v>
      </c>
      <c r="AN96" s="64" t="s" ph="1">
        <v>228</v>
      </c>
      <c r="AO96" s="64" t="s" ph="1">
        <v>259</v>
      </c>
      <c r="AP96" s="64" t="s" ph="1">
        <v>456</v>
      </c>
      <c r="AQ96" s="64" t="s" ph="1">
        <v>272</v>
      </c>
      <c r="AR96" s="64" t="s" ph="1">
        <v>287</v>
      </c>
      <c r="AS96" s="64" t="s" ph="1">
        <v>457</v>
      </c>
      <c r="AT96" s="64" t="s" ph="1">
        <v>231</v>
      </c>
      <c r="AU96" s="64" t="s" ph="1">
        <v>287</v>
      </c>
      <c r="AV96" s="64" t="s" ph="1">
        <v>458</v>
      </c>
      <c r="AW96" s="64" t="s" ph="1">
        <v>227</v>
      </c>
      <c r="AX96" s="64" t="s" ph="1">
        <v>287</v>
      </c>
      <c r="AY96" s="64" t="s" ph="1">
        <v>216</v>
      </c>
      <c r="AZ96" s="64" t="s" ph="1">
        <v>459</v>
      </c>
    </row>
    <row r="97" spans="33:52" ph="1">
      <c r="AJ97" s="64" t="s" ph="1">
        <v>460</v>
      </c>
      <c r="AK97" s="64" t="s" ph="1">
        <v>282</v>
      </c>
      <c r="AM97" s="64" t="s" ph="1">
        <v>461</v>
      </c>
      <c r="AN97" s="64" t="s" ph="1">
        <v>225</v>
      </c>
      <c r="AO97" s="64" t="s" ph="1">
        <v>259</v>
      </c>
      <c r="AP97" s="64" t="s" ph="1">
        <v>462</v>
      </c>
      <c r="AQ97" s="64" t="s" ph="1">
        <v>219</v>
      </c>
      <c r="AR97" s="64" t="s" ph="1">
        <v>287</v>
      </c>
      <c r="AS97" s="64" t="s" ph="1">
        <v>463</v>
      </c>
      <c r="AT97" s="64" t="s" ph="1">
        <v>222</v>
      </c>
      <c r="AU97" s="64" t="s" ph="1">
        <v>287</v>
      </c>
      <c r="AV97" s="64" t="s" ph="1">
        <v>464</v>
      </c>
      <c r="AW97" s="64" t="s" ph="1">
        <v>228</v>
      </c>
      <c r="AX97" s="64" t="s" ph="1">
        <v>287</v>
      </c>
    </row>
    <row r="98" spans="33:52" ph="1">
      <c r="AJ98" s="64" t="s" ph="1">
        <v>465</v>
      </c>
      <c r="AK98" s="64" t="s" ph="1">
        <v>231</v>
      </c>
      <c r="AM98" s="64" t="s" ph="1">
        <v>466</v>
      </c>
      <c r="AN98" s="64" t="s" ph="1">
        <v>239</v>
      </c>
      <c r="AO98" s="64" t="s" ph="1">
        <v>259</v>
      </c>
      <c r="AP98" s="64" t="s" ph="1">
        <v>467</v>
      </c>
      <c r="AQ98" s="64" t="s" ph="1">
        <v>219</v>
      </c>
      <c r="AR98" s="64" t="s" ph="1">
        <v>287</v>
      </c>
      <c r="AS98" s="64" t="s" ph="1">
        <v>468</v>
      </c>
      <c r="AT98" s="64" t="s" ph="1">
        <v>299</v>
      </c>
      <c r="AU98" s="64" t="s" ph="1">
        <v>287</v>
      </c>
      <c r="AV98" s="64" t="s" ph="1">
        <v>469</v>
      </c>
      <c r="AW98" s="64" t="s" ph="1">
        <v>222</v>
      </c>
      <c r="AX98" s="64" t="s" ph="1">
        <v>287</v>
      </c>
    </row>
    <row r="99" spans="33:52" ph="1">
      <c r="AH99" s="64" ph="1">
        <v>8</v>
      </c>
      <c r="AI99" s="64" t="s" ph="1">
        <v>470</v>
      </c>
      <c r="AJ99" s="64" t="s" ph="1">
        <v>471</v>
      </c>
      <c r="AK99" s="64" t="s" ph="1">
        <v>367</v>
      </c>
      <c r="AM99" s="64" t="s" ph="1">
        <v>472</v>
      </c>
      <c r="AN99" s="64" t="s" ph="1">
        <v>254</v>
      </c>
      <c r="AO99" s="64" t="s" ph="1">
        <v>259</v>
      </c>
      <c r="AP99" s="64" t="s" ph="1">
        <v>473</v>
      </c>
      <c r="AQ99" s="64" t="s" ph="1">
        <v>224</v>
      </c>
      <c r="AR99" s="64" t="s" ph="1">
        <v>287</v>
      </c>
      <c r="AS99" s="64" t="s" ph="1">
        <v>474</v>
      </c>
      <c r="AT99" s="64" t="s" ph="1">
        <v>239</v>
      </c>
      <c r="AU99" s="64" t="s" ph="1">
        <v>287</v>
      </c>
      <c r="AV99" s="64" t="s" ph="1">
        <v>475</v>
      </c>
      <c r="AW99" s="64" t="s" ph="1">
        <v>224</v>
      </c>
      <c r="AX99" s="64" t="s" ph="1">
        <v>287</v>
      </c>
      <c r="AY99" s="64" t="s" ph="1">
        <v>216</v>
      </c>
      <c r="AZ99" s="64" t="s" ph="1">
        <v>476</v>
      </c>
    </row>
    <row r="100" spans="33:52" ph="1">
      <c r="AJ100" s="64" t="s" ph="1">
        <v>477</v>
      </c>
      <c r="AK100" s="64" t="s" ph="1">
        <v>222</v>
      </c>
      <c r="AM100" s="64" t="s" ph="1">
        <v>478</v>
      </c>
      <c r="AN100" s="64" t="s" ph="1">
        <v>294</v>
      </c>
      <c r="AO100" s="64" t="s" ph="1">
        <v>259</v>
      </c>
      <c r="AP100" s="64" t="s" ph="1">
        <v>479</v>
      </c>
      <c r="AQ100" s="64" t="s" ph="1">
        <v>300</v>
      </c>
      <c r="AR100" s="64" t="s" ph="1">
        <v>287</v>
      </c>
      <c r="AS100" s="64" t="s" ph="1">
        <v>480</v>
      </c>
      <c r="AT100" s="64" t="s" ph="1">
        <v>367</v>
      </c>
      <c r="AU100" s="64" t="s" ph="1">
        <v>259</v>
      </c>
      <c r="AV100" s="64" t="s" ph="1">
        <v>481</v>
      </c>
      <c r="AW100" s="64" t="s" ph="1">
        <v>367</v>
      </c>
      <c r="AX100" s="64" t="s" ph="1">
        <v>259</v>
      </c>
    </row>
    <row r="101" spans="33:52" ph="1">
      <c r="AJ101" s="64" t="s" ph="1">
        <v>482</v>
      </c>
      <c r="AK101" s="64" t="s" ph="1">
        <v>367</v>
      </c>
      <c r="AM101" s="64" t="s" ph="1">
        <v>483</v>
      </c>
      <c r="AN101" s="64" t="s" ph="1">
        <v>225</v>
      </c>
      <c r="AO101" s="64" t="s" ph="1">
        <v>259</v>
      </c>
      <c r="AP101" s="64" t="s" ph="1">
        <v>484</v>
      </c>
      <c r="AQ101" s="64" t="s" ph="1">
        <v>237</v>
      </c>
      <c r="AR101" s="64" t="s" ph="1">
        <v>287</v>
      </c>
      <c r="AS101" s="64" t="s" ph="1">
        <v>485</v>
      </c>
      <c r="AT101" s="64" t="s" ph="1">
        <v>294</v>
      </c>
      <c r="AU101" s="64" t="s" ph="1">
        <v>287</v>
      </c>
      <c r="AV101" s="64" t="s" ph="1">
        <v>486</v>
      </c>
      <c r="AW101" s="64" t="s" ph="1">
        <v>225</v>
      </c>
      <c r="AX101" s="64" t="s" ph="1">
        <v>259</v>
      </c>
    </row>
    <row r="102" spans="33:52" ph="1">
      <c r="AJ102" s="64" t="s" ph="1">
        <v>487</v>
      </c>
      <c r="AK102" s="64" t="s" ph="1">
        <v>222</v>
      </c>
      <c r="AM102" s="64" t="s" ph="1">
        <v>488</v>
      </c>
      <c r="AN102" s="64" t="s" ph="1">
        <v>231</v>
      </c>
      <c r="AO102" s="64" t="s" ph="1">
        <v>259</v>
      </c>
      <c r="AP102" s="64" t="s" ph="1">
        <v>489</v>
      </c>
      <c r="AQ102" s="64" t="s" ph="1">
        <v>237</v>
      </c>
      <c r="AR102" s="64" t="s" ph="1">
        <v>259</v>
      </c>
      <c r="AS102" s="64" t="s" ph="1">
        <v>490</v>
      </c>
      <c r="AT102" s="64" t="s" ph="1">
        <v>254</v>
      </c>
      <c r="AU102" s="64" t="s" ph="1">
        <v>259</v>
      </c>
      <c r="AV102" s="64" t="s" ph="1">
        <v>491</v>
      </c>
      <c r="AW102" s="64" t="s" ph="1">
        <v>272</v>
      </c>
      <c r="AX102" s="64" t="s" ph="1">
        <v>259</v>
      </c>
    </row>
    <row r="103" spans="33:52" ph="1">
      <c r="AH103" s="64" ph="1">
        <v>9</v>
      </c>
      <c r="AI103" s="64" t="s" ph="1">
        <v>492</v>
      </c>
      <c r="AJ103" s="64" t="s" ph="1">
        <v>493</v>
      </c>
      <c r="AK103" s="64" t="s" ph="1">
        <v>367</v>
      </c>
      <c r="AM103" s="64" t="s" ph="1">
        <v>494</v>
      </c>
      <c r="AN103" s="64" t="s" ph="1">
        <v>282</v>
      </c>
      <c r="AO103" s="64" t="s" ph="1">
        <v>259</v>
      </c>
      <c r="AP103" s="64" t="s" ph="1">
        <v>336</v>
      </c>
      <c r="AQ103" s="64" t="s" ph="1">
        <v>225</v>
      </c>
      <c r="AR103" s="64" t="s" ph="1">
        <v>259</v>
      </c>
      <c r="AS103" s="64" t="s" ph="1">
        <v>570</v>
      </c>
      <c r="AT103" s="64" t="s" ph="1">
        <v>367</v>
      </c>
      <c r="AU103" s="64" t="s" ph="1">
        <v>259</v>
      </c>
      <c r="AY103" s="64" t="s" ph="1">
        <v>216</v>
      </c>
      <c r="AZ103" s="64" t="s" ph="1">
        <v>224</v>
      </c>
    </row>
    <row r="104" spans="33:52" ph="1">
      <c r="AZ104" s="64" t="s" ph="1">
        <v>495</v>
      </c>
    </row>
    <row r="105" spans="33:52" ph="1">
      <c r="AG105" s="64" t="s" ph="1">
        <v>295</v>
      </c>
      <c r="AI105" s="64" t="s" ph="1">
        <v>209</v>
      </c>
      <c r="AJ105" s="64" t="s" ph="1">
        <v>210</v>
      </c>
      <c r="AK105" s="64" t="s" ph="1">
        <v>211</v>
      </c>
      <c r="AM105" s="64" t="s" ph="1">
        <v>210</v>
      </c>
      <c r="AN105" s="64" t="s" ph="1">
        <v>211</v>
      </c>
      <c r="AO105" s="64" t="s" ph="1">
        <v>212</v>
      </c>
      <c r="AP105" s="64" t="s" ph="1">
        <v>210</v>
      </c>
      <c r="AQ105" s="64" t="s" ph="1">
        <v>211</v>
      </c>
      <c r="AR105" s="64" t="s" ph="1">
        <v>212</v>
      </c>
      <c r="AS105" s="64" t="s" ph="1">
        <v>210</v>
      </c>
      <c r="AT105" s="64" t="s" ph="1">
        <v>211</v>
      </c>
      <c r="AU105" s="64" t="s" ph="1">
        <v>212</v>
      </c>
      <c r="AV105" s="64" t="s" ph="1">
        <v>210</v>
      </c>
      <c r="AW105" s="64" t="s" ph="1">
        <v>211</v>
      </c>
      <c r="AX105" s="64" t="s" ph="1">
        <v>212</v>
      </c>
      <c r="AZ105" s="64" t="s" ph="1">
        <v>213</v>
      </c>
    </row>
    <row r="106" spans="33:52" ph="1">
      <c r="AH106" s="64" ph="1">
        <v>1</v>
      </c>
      <c r="AI106" s="64" t="s" ph="1">
        <v>496</v>
      </c>
      <c r="AJ106" s="64" t="s" ph="1">
        <v>570</v>
      </c>
      <c r="AK106" s="64" t="s" ph="1">
        <v>231</v>
      </c>
      <c r="AZ106" s="64" t="s" ph="1">
        <v>231</v>
      </c>
    </row>
    <row r="107" spans="33:52" ph="1">
      <c r="AH107" s="64" ph="1">
        <v>2</v>
      </c>
      <c r="AI107" s="64" t="s" ph="1">
        <v>497</v>
      </c>
      <c r="AJ107" s="64" t="s" ph="1">
        <v>498</v>
      </c>
      <c r="AK107" s="64" t="s" ph="1">
        <v>228</v>
      </c>
      <c r="AM107" s="64" t="s" ph="1">
        <v>334</v>
      </c>
      <c r="AN107" s="64" t="s" ph="1">
        <v>499</v>
      </c>
      <c r="AO107" s="64" t="s" ph="1">
        <v>500</v>
      </c>
      <c r="AP107" s="64" t="s" ph="1">
        <v>336</v>
      </c>
      <c r="AQ107" s="64" t="s" ph="1">
        <v>304</v>
      </c>
      <c r="AR107" s="64" t="s" ph="1">
        <v>500</v>
      </c>
      <c r="AS107" s="64" t="s" ph="1">
        <v>570</v>
      </c>
      <c r="AT107" s="64" t="s" ph="1">
        <v>499</v>
      </c>
      <c r="AU107" s="64" t="s" ph="1">
        <v>500</v>
      </c>
      <c r="AY107" s="64" t="s" ph="1">
        <v>216</v>
      </c>
      <c r="AZ107" s="64" t="s" ph="1">
        <v>580</v>
      </c>
    </row>
    <row r="108" spans="33:52" ph="1">
      <c r="AH108" s="64" ph="1">
        <v>3</v>
      </c>
      <c r="AI108" s="64" t="s" ph="1">
        <v>501</v>
      </c>
      <c r="AY108" s="64" t="s" ph="1">
        <v>216</v>
      </c>
      <c r="AZ108" s="64" t="s" ph="1">
        <v>367</v>
      </c>
    </row>
    <row r="109" spans="33:52" ph="1">
      <c r="AH109" s="64" ph="1">
        <v>4</v>
      </c>
      <c r="AI109" s="64" t="s" ph="1">
        <v>502</v>
      </c>
      <c r="AY109" s="64" t="s" ph="1">
        <v>216</v>
      </c>
      <c r="AZ109" s="64" t="s" ph="1">
        <v>367</v>
      </c>
    </row>
    <row r="110" spans="33:52" ph="1">
      <c r="AH110" s="64" ph="1">
        <v>5</v>
      </c>
      <c r="AI110" s="64" t="s" ph="1">
        <v>503</v>
      </c>
      <c r="AY110" s="64" t="s" ph="1">
        <v>216</v>
      </c>
      <c r="AZ110" s="64" t="s" ph="1">
        <v>367</v>
      </c>
    </row>
    <row r="111" spans="33:52" ph="1">
      <c r="AH111" s="64" ph="1">
        <v>6</v>
      </c>
      <c r="AI111" s="64" t="s" ph="1">
        <v>581</v>
      </c>
      <c r="AJ111" s="64" t="s" ph="1">
        <v>486</v>
      </c>
      <c r="AK111" s="64" t="s" ph="1">
        <v>225</v>
      </c>
      <c r="AM111" s="64" t="s" ph="1">
        <v>487</v>
      </c>
      <c r="AN111" s="64" t="s" ph="1">
        <v>219</v>
      </c>
      <c r="AO111" s="64" t="s" ph="1">
        <v>500</v>
      </c>
      <c r="AP111" s="64" t="s" ph="1">
        <v>488</v>
      </c>
      <c r="AQ111" s="64" t="s" ph="1">
        <v>228</v>
      </c>
      <c r="AR111" s="64" t="s" ph="1">
        <v>500</v>
      </c>
      <c r="AS111" s="64" t="s" ph="1">
        <v>489</v>
      </c>
      <c r="AT111" s="64" t="s" ph="1">
        <v>237</v>
      </c>
      <c r="AU111" s="64" t="s" ph="1">
        <v>500</v>
      </c>
      <c r="AV111" s="64" t="s" ph="1">
        <v>490</v>
      </c>
      <c r="AW111" s="64" t="s" ph="1">
        <v>227</v>
      </c>
      <c r="AX111" s="64" t="s" ph="1">
        <v>500</v>
      </c>
      <c r="AY111" s="64" t="s" ph="1">
        <v>216</v>
      </c>
      <c r="AZ111" s="64" t="s" ph="1">
        <v>504</v>
      </c>
    </row>
    <row r="112" spans="33:52" ph="1">
      <c r="AJ112" s="64" t="s" ph="1">
        <v>491</v>
      </c>
      <c r="AK112" s="64" t="s" ph="1">
        <v>272</v>
      </c>
      <c r="AM112" s="64" t="s" ph="1">
        <v>493</v>
      </c>
      <c r="AN112" s="64" t="s" ph="1">
        <v>296</v>
      </c>
      <c r="AO112" s="64" t="s" ph="1">
        <v>500</v>
      </c>
      <c r="AP112" s="64" t="s" ph="1">
        <v>494</v>
      </c>
      <c r="AQ112" s="64" t="s" ph="1">
        <v>505</v>
      </c>
      <c r="AR112" s="64" t="s" ph="1">
        <v>500</v>
      </c>
      <c r="AS112" s="64" t="s" ph="1">
        <v>506</v>
      </c>
      <c r="AT112" s="64" t="s" ph="1">
        <v>248</v>
      </c>
      <c r="AU112" s="64" t="s" ph="1">
        <v>500</v>
      </c>
      <c r="AV112" s="64" t="s" ph="1">
        <v>507</v>
      </c>
      <c r="AW112" s="64" t="s" ph="1">
        <v>294</v>
      </c>
      <c r="AX112" s="64" t="s" ph="1">
        <v>500</v>
      </c>
    </row>
    <row r="113" spans="33:52" ph="1">
      <c r="AH113" s="64" ph="1">
        <v>7</v>
      </c>
      <c r="AI113" s="64" t="s" ph="1">
        <v>508</v>
      </c>
      <c r="AJ113" s="64" t="s" ph="1">
        <v>589</v>
      </c>
      <c r="AK113" s="64" t="s" ph="1">
        <v>594</v>
      </c>
      <c r="AY113" s="64" t="s" ph="1">
        <v>216</v>
      </c>
      <c r="AZ113" s="64" t="s" ph="1">
        <v>594</v>
      </c>
    </row>
    <row r="114" spans="33:52" ph="1">
      <c r="AH114" s="64" ph="1">
        <v>8</v>
      </c>
      <c r="AI114" s="64" t="s" ph="1">
        <v>509</v>
      </c>
      <c r="AJ114" s="64" t="s" ph="1">
        <v>589</v>
      </c>
      <c r="AK114" s="64" t="s" ph="1">
        <v>595</v>
      </c>
      <c r="AY114" s="64" t="s" ph="1">
        <v>216</v>
      </c>
      <c r="AZ114" s="64" t="s" ph="1">
        <v>595</v>
      </c>
    </row>
    <row r="115" spans="33:52" ph="1">
      <c r="AH115" s="64" ph="1">
        <v>9</v>
      </c>
      <c r="AI115" s="64" t="s" ph="1">
        <v>510</v>
      </c>
      <c r="AJ115" s="64" t="s" ph="1">
        <v>589</v>
      </c>
      <c r="AK115" s="64" t="s" ph="1">
        <v>595</v>
      </c>
      <c r="AY115" s="64" t="s" ph="1">
        <v>216</v>
      </c>
      <c r="AZ115" s="64" t="s" ph="1">
        <v>595</v>
      </c>
    </row>
    <row r="116" spans="33:52" ph="1">
      <c r="AH116" s="64" ph="1">
        <v>10</v>
      </c>
      <c r="AI116" s="64" t="s" ph="1">
        <v>511</v>
      </c>
      <c r="AJ116" s="64" t="s" ph="1">
        <v>589</v>
      </c>
      <c r="AK116" s="64" t="s" ph="1">
        <v>595</v>
      </c>
      <c r="AY116" s="64" t="s" ph="1">
        <v>216</v>
      </c>
      <c r="AZ116" s="64" t="s" ph="1">
        <v>595</v>
      </c>
    </row>
    <row r="117" spans="33:52" ph="1">
      <c r="AH117" s="64" ph="1">
        <v>11</v>
      </c>
      <c r="AI117" s="64" t="s" ph="1">
        <v>512</v>
      </c>
      <c r="AJ117" s="64" t="s" ph="1">
        <v>589</v>
      </c>
      <c r="AK117" s="64" t="s" ph="1">
        <v>595</v>
      </c>
      <c r="AY117" s="64" t="s" ph="1">
        <v>216</v>
      </c>
      <c r="AZ117" s="64" t="s" ph="1">
        <v>595</v>
      </c>
    </row>
    <row r="118" spans="33:52" ph="1">
      <c r="AZ118" s="64" t="s" ph="1">
        <v>596</v>
      </c>
    </row>
    <row r="119" spans="33:52" ph="1">
      <c r="AI119" s="64" t="s" ph="1">
        <v>209</v>
      </c>
      <c r="AJ119" s="64" t="s" ph="1">
        <v>210</v>
      </c>
      <c r="AK119" s="64" t="s" ph="1">
        <v>211</v>
      </c>
      <c r="AM119" s="64" t="s" ph="1">
        <v>210</v>
      </c>
      <c r="AN119" s="64" t="s" ph="1">
        <v>211</v>
      </c>
      <c r="AO119" s="64" t="s" ph="1">
        <v>212</v>
      </c>
      <c r="AP119" s="64" t="s" ph="1">
        <v>210</v>
      </c>
      <c r="AQ119" s="64" t="s" ph="1">
        <v>211</v>
      </c>
      <c r="AR119" s="64" t="s" ph="1">
        <v>212</v>
      </c>
      <c r="AS119" s="64" t="s" ph="1">
        <v>210</v>
      </c>
      <c r="AT119" s="64" t="s" ph="1">
        <v>211</v>
      </c>
      <c r="AU119" s="64" t="s" ph="1">
        <v>212</v>
      </c>
      <c r="AV119" s="64" t="s" ph="1">
        <v>210</v>
      </c>
      <c r="AW119" s="64" t="s" ph="1">
        <v>211</v>
      </c>
      <c r="AX119" s="64" t="s" ph="1">
        <v>212</v>
      </c>
      <c r="AY119" s="64" t="s" ph="1">
        <v>211</v>
      </c>
      <c r="AZ119" s="64" t="s" ph="1">
        <v>213</v>
      </c>
    </row>
    <row r="120" spans="33:52" ph="1">
      <c r="AG120" s="64" t="s" ph="1">
        <v>353</v>
      </c>
      <c r="AH120" s="64" ph="1">
        <v>1</v>
      </c>
      <c r="AI120" s="64" t="s" ph="1">
        <v>513</v>
      </c>
      <c r="AJ120" s="64" t="s" ph="1">
        <v>587</v>
      </c>
      <c r="AK120" s="64" t="s" ph="1">
        <v>367</v>
      </c>
      <c r="AY120" s="64" t="s" ph="1">
        <v>216</v>
      </c>
      <c r="AZ120" s="64" t="s" ph="1">
        <v>367</v>
      </c>
    </row>
    <row r="121" spans="33:52" ph="1">
      <c r="AH121" s="64" ph="1">
        <v>2</v>
      </c>
      <c r="AI121" s="64" t="s" ph="1">
        <v>514</v>
      </c>
      <c r="AY121" s="64" t="s" ph="1">
        <v>216</v>
      </c>
      <c r="AZ121" s="64" t="s" ph="1">
        <v>367</v>
      </c>
    </row>
    <row r="122" spans="33:52" ph="1">
      <c r="AH122" s="64" ph="1">
        <v>3</v>
      </c>
      <c r="AI122" s="64" t="s" ph="1">
        <v>515</v>
      </c>
      <c r="AJ122" s="64" t="s" ph="1">
        <v>570</v>
      </c>
      <c r="AK122" s="64" t="s" ph="1">
        <v>582</v>
      </c>
      <c r="AM122" s="64" t="s" ph="1">
        <v>597</v>
      </c>
      <c r="AN122" s="64" t="s" ph="1">
        <v>590</v>
      </c>
      <c r="AO122" s="64" t="s" ph="1">
        <v>91</v>
      </c>
      <c r="AY122" s="64" t="s" ph="1">
        <v>216</v>
      </c>
      <c r="AZ122" s="64" t="s" ph="1">
        <v>579</v>
      </c>
    </row>
    <row r="123" spans="33:52" ph="1">
      <c r="AY123" s="64" t="s" ph="1">
        <v>216</v>
      </c>
      <c r="AZ123" s="64" t="s" ph="1">
        <v>579</v>
      </c>
    </row>
    <row r="124" spans="33:52" ph="1">
      <c r="AG124" s="64" t="s" ph="1">
        <v>356</v>
      </c>
      <c r="AH124" s="64" ph="1">
        <v>4</v>
      </c>
      <c r="AI124" s="64" t="s" ph="1">
        <v>516</v>
      </c>
      <c r="AJ124" s="64" t="s" ph="1">
        <v>517</v>
      </c>
      <c r="AK124" s="64" t="s" ph="1">
        <v>518</v>
      </c>
      <c r="AY124" s="64" t="s" ph="1">
        <v>216</v>
      </c>
      <c r="AZ124" s="64" t="s" ph="1">
        <v>518</v>
      </c>
    </row>
    <row r="125" spans="33:52" ph="1">
      <c r="AH125" s="64" ph="1">
        <v>5</v>
      </c>
      <c r="AI125" s="64" t="s" ph="1">
        <v>519</v>
      </c>
      <c r="AJ125" s="64" t="s" ph="1">
        <v>517</v>
      </c>
      <c r="AK125" s="64" t="s" ph="1">
        <v>518</v>
      </c>
      <c r="AY125" s="64" t="s" ph="1">
        <v>216</v>
      </c>
      <c r="AZ125" s="64" t="s" ph="1">
        <v>518</v>
      </c>
    </row>
    <row r="126" spans="33:52" ph="1">
      <c r="AH126" s="64" ph="1">
        <v>6</v>
      </c>
      <c r="AI126" s="64" t="s" ph="1">
        <v>520</v>
      </c>
      <c r="AJ126" s="64" t="s" ph="1">
        <v>589</v>
      </c>
      <c r="AK126" s="64" t="s" ph="1">
        <v>598</v>
      </c>
      <c r="AY126" s="64" t="s" ph="1">
        <v>216</v>
      </c>
      <c r="AZ126" s="64" t="s" ph="1">
        <v>598</v>
      </c>
    </row>
    <row r="127" spans="33:52" ph="1">
      <c r="AH127" s="64" ph="1">
        <v>7</v>
      </c>
      <c r="AI127" s="64" t="s" ph="1">
        <v>521</v>
      </c>
      <c r="AJ127" s="64" t="s" ph="1">
        <v>589</v>
      </c>
      <c r="AK127" s="64" t="s" ph="1">
        <v>599</v>
      </c>
      <c r="AY127" s="64" t="s" ph="1">
        <v>216</v>
      </c>
      <c r="AZ127" s="64" t="s" ph="1">
        <v>599</v>
      </c>
    </row>
    <row r="128" spans="33:52" ph="1">
      <c r="AH128" s="64" ph="1">
        <v>8</v>
      </c>
      <c r="AI128" s="64" t="s" ph="1">
        <v>522</v>
      </c>
      <c r="AY128" s="64" t="s" ph="1">
        <v>216</v>
      </c>
      <c r="AZ128" s="64" t="s" ph="1">
        <v>367</v>
      </c>
    </row>
    <row r="129" spans="33:52" ph="1">
      <c r="AH129" s="64" ph="1">
        <v>9</v>
      </c>
      <c r="AI129" s="64" t="s" ph="1">
        <v>523</v>
      </c>
      <c r="AY129" s="64" t="s" ph="1">
        <v>216</v>
      </c>
      <c r="AZ129" s="64" t="s" ph="1">
        <v>367</v>
      </c>
    </row>
    <row r="130" spans="33:52" ph="1">
      <c r="AH130" s="64" ph="1">
        <v>10</v>
      </c>
      <c r="AI130" s="64" t="s" ph="1">
        <v>524</v>
      </c>
      <c r="AY130" s="64" t="s" ph="1">
        <v>216</v>
      </c>
      <c r="AZ130" s="64" t="s" ph="1">
        <v>367</v>
      </c>
    </row>
    <row r="131" spans="33:52" ph="1">
      <c r="AH131" s="64" ph="1">
        <v>11</v>
      </c>
      <c r="AI131" s="64" t="s" ph="1">
        <v>525</v>
      </c>
      <c r="AJ131" s="64" t="s" ph="1">
        <v>583</v>
      </c>
      <c r="AK131" s="64" t="s" ph="1">
        <v>579</v>
      </c>
      <c r="AY131" s="64" t="s" ph="1">
        <v>216</v>
      </c>
      <c r="AZ131" s="64" t="s" ph="1">
        <v>579</v>
      </c>
    </row>
    <row r="132" spans="33:52" ph="1">
      <c r="AH132" s="64" ph="1">
        <v>12</v>
      </c>
      <c r="AI132" s="64" t="s" ph="1">
        <v>526</v>
      </c>
      <c r="AJ132" s="64" t="s" ph="1">
        <v>583</v>
      </c>
      <c r="AK132" s="64" t="s" ph="1">
        <v>518</v>
      </c>
      <c r="AY132" s="64" t="s" ph="1">
        <v>216</v>
      </c>
      <c r="AZ132" s="64" t="s" ph="1">
        <v>518</v>
      </c>
    </row>
    <row r="133" spans="33:52" ph="1">
      <c r="AH133" s="64" ph="1">
        <v>13</v>
      </c>
      <c r="AI133" s="64" t="s" ph="1">
        <v>527</v>
      </c>
      <c r="AJ133" s="64" t="s" ph="1">
        <v>583</v>
      </c>
      <c r="AK133" s="64" t="s" ph="1">
        <v>584</v>
      </c>
      <c r="AY133" s="64" t="s" ph="1">
        <v>216</v>
      </c>
      <c r="AZ133" s="64" t="s" ph="1">
        <v>584</v>
      </c>
    </row>
    <row r="134" spans="33:52" ph="1">
      <c r="AH134" s="64" ph="1">
        <v>14</v>
      </c>
      <c r="AI134" s="64" t="s" ph="1">
        <v>528</v>
      </c>
      <c r="AJ134" s="64" t="s" ph="1">
        <v>583</v>
      </c>
      <c r="AK134" s="64" t="s" ph="1">
        <v>585</v>
      </c>
      <c r="AY134" s="64" t="s" ph="1">
        <v>216</v>
      </c>
      <c r="AZ134" s="64" t="s" ph="1">
        <v>585</v>
      </c>
    </row>
    <row r="135" spans="33:52" ph="1">
      <c r="AH135" s="64" ph="1">
        <v>15</v>
      </c>
      <c r="AI135" s="64" t="s" ph="1">
        <v>529</v>
      </c>
      <c r="AJ135" s="64" t="s" ph="1">
        <v>583</v>
      </c>
      <c r="AK135" s="64" t="s" ph="1">
        <v>586</v>
      </c>
      <c r="AY135" s="64" t="s" ph="1">
        <v>216</v>
      </c>
      <c r="AZ135" s="64" t="s" ph="1">
        <v>586</v>
      </c>
    </row>
    <row r="136" spans="33:52" ph="1">
      <c r="AZ136" s="64" t="s" ph="1">
        <v>600</v>
      </c>
    </row>
    <row r="137" spans="33:52" ph="1">
      <c r="AG137" s="64" t="s" ph="1">
        <v>290</v>
      </c>
      <c r="AI137" s="64" t="s" ph="1">
        <v>209</v>
      </c>
      <c r="AJ137" s="64" t="s" ph="1">
        <v>210</v>
      </c>
      <c r="AK137" s="64" t="s" ph="1">
        <v>211</v>
      </c>
      <c r="AM137" s="64" t="s" ph="1">
        <v>210</v>
      </c>
      <c r="AN137" s="64" t="s" ph="1">
        <v>211</v>
      </c>
      <c r="AO137" s="64" t="s" ph="1">
        <v>212</v>
      </c>
      <c r="AP137" s="64" t="s" ph="1">
        <v>210</v>
      </c>
      <c r="AQ137" s="64" t="s" ph="1">
        <v>211</v>
      </c>
      <c r="AR137" s="64" t="s" ph="1">
        <v>212</v>
      </c>
      <c r="AS137" s="64" t="s" ph="1">
        <v>210</v>
      </c>
      <c r="AT137" s="64" t="s" ph="1">
        <v>211</v>
      </c>
      <c r="AU137" s="64" t="s" ph="1">
        <v>212</v>
      </c>
      <c r="AV137" s="64" t="s" ph="1">
        <v>210</v>
      </c>
      <c r="AW137" s="64" t="s" ph="1">
        <v>211</v>
      </c>
      <c r="AX137" s="64" t="s" ph="1">
        <v>212</v>
      </c>
      <c r="AY137" s="64" t="s" ph="1">
        <v>211</v>
      </c>
      <c r="AZ137" s="64" t="s" ph="1">
        <v>213</v>
      </c>
    </row>
    <row r="138" spans="33:52" ph="1">
      <c r="AH138" s="64" ph="1">
        <v>1</v>
      </c>
      <c r="AI138" s="64" t="s" ph="1">
        <v>530</v>
      </c>
      <c r="AJ138" s="64" t="s" ph="1">
        <v>531</v>
      </c>
      <c r="AK138" s="64" t="s" ph="1">
        <v>532</v>
      </c>
      <c r="AY138" s="64" t="s" ph="1">
        <v>216</v>
      </c>
      <c r="AZ138" s="64" t="s" ph="1">
        <v>532</v>
      </c>
    </row>
    <row r="139" spans="33:52" ph="1">
      <c r="AH139" s="64" ph="1">
        <v>2</v>
      </c>
      <c r="AI139" s="64" t="s" ph="1">
        <v>533</v>
      </c>
      <c r="AJ139" s="64" t="s" ph="1">
        <v>589</v>
      </c>
      <c r="AK139" s="64" t="s" ph="1">
        <v>601</v>
      </c>
      <c r="AY139" s="64" t="s" ph="1">
        <v>216</v>
      </c>
      <c r="AZ139" s="64" t="s" ph="1">
        <v>601</v>
      </c>
    </row>
    <row r="140" spans="33:52" ph="1">
      <c r="AH140" s="64" ph="1">
        <v>3</v>
      </c>
      <c r="AI140" s="64" t="s" ph="1">
        <v>534</v>
      </c>
      <c r="AJ140" s="64" t="s" ph="1">
        <v>487</v>
      </c>
      <c r="AK140" s="64" t="s" ph="1">
        <v>299</v>
      </c>
      <c r="AM140" s="64" t="s" ph="1">
        <v>488</v>
      </c>
      <c r="AN140" s="64" t="s" ph="1">
        <v>219</v>
      </c>
      <c r="AO140" s="64" t="s" ph="1">
        <v>535</v>
      </c>
      <c r="AP140" s="64" t="s" ph="1">
        <v>489</v>
      </c>
      <c r="AQ140" s="64" t="s" ph="1">
        <v>236</v>
      </c>
      <c r="AR140" s="64" t="s" ph="1">
        <v>535</v>
      </c>
      <c r="AS140" s="64" t="s" ph="1">
        <v>490</v>
      </c>
      <c r="AT140" s="64" t="s" ph="1">
        <v>229</v>
      </c>
      <c r="AU140" s="64" t="s" ph="1">
        <v>535</v>
      </c>
      <c r="AV140" s="64" t="s" ph="1">
        <v>491</v>
      </c>
      <c r="AW140" s="64" t="s" ph="1">
        <v>222</v>
      </c>
      <c r="AX140" s="64" t="s" ph="1">
        <v>535</v>
      </c>
      <c r="AY140" s="64" t="s" ph="1">
        <v>216</v>
      </c>
      <c r="AZ140" s="64" t="s" ph="1">
        <v>291</v>
      </c>
    </row>
    <row r="141" spans="33:52" ph="1">
      <c r="AJ141" s="64" t="s" ph="1">
        <v>493</v>
      </c>
      <c r="AK141" s="64" t="s" ph="1">
        <v>222</v>
      </c>
      <c r="AM141" s="64" t="s" ph="1">
        <v>494</v>
      </c>
      <c r="AN141" s="64" t="s" ph="1">
        <v>225</v>
      </c>
      <c r="AO141" s="64" t="s" ph="1">
        <v>535</v>
      </c>
      <c r="AP141" s="64" t="s" ph="1">
        <v>506</v>
      </c>
      <c r="AQ141" s="64" t="s" ph="1">
        <v>294</v>
      </c>
      <c r="AR141" s="64" t="s" ph="1">
        <v>535</v>
      </c>
      <c r="AS141" s="64" t="s" ph="1">
        <v>498</v>
      </c>
      <c r="AT141" s="64" t="s" ph="1">
        <v>222</v>
      </c>
      <c r="AU141" s="64" t="s" ph="1">
        <v>535</v>
      </c>
      <c r="AV141" s="64" t="s" ph="1">
        <v>334</v>
      </c>
      <c r="AW141" s="64" t="s" ph="1">
        <v>228</v>
      </c>
      <c r="AX141" s="64" t="s" ph="1">
        <v>535</v>
      </c>
    </row>
    <row r="142" spans="33:52" ph="1">
      <c r="AJ142" s="64" t="s" ph="1">
        <v>536</v>
      </c>
      <c r="AK142" s="64" t="s" ph="1">
        <v>239</v>
      </c>
    </row>
    <row r="143" spans="33:52" ph="1">
      <c r="AH143" s="64" ph="1">
        <v>4</v>
      </c>
      <c r="AI143" s="64" t="s" ph="1">
        <v>537</v>
      </c>
      <c r="AJ143" s="64" t="s" ph="1">
        <v>517</v>
      </c>
      <c r="AK143" s="64" t="s" ph="1">
        <v>538</v>
      </c>
      <c r="AY143" s="64" t="s" ph="1">
        <v>216</v>
      </c>
      <c r="AZ143" s="64" t="s" ph="1">
        <v>538</v>
      </c>
    </row>
    <row r="144" spans="33:52" ph="1">
      <c r="AH144" s="64" ph="1">
        <v>5</v>
      </c>
      <c r="AI144" s="64" t="s" ph="1">
        <v>539</v>
      </c>
      <c r="AY144" s="64" t="s" ph="1">
        <v>216</v>
      </c>
      <c r="AZ144" s="64" t="s" ph="1">
        <v>367</v>
      </c>
    </row>
    <row r="145" spans="33:52" ph="1">
      <c r="AH145" s="64" ph="1">
        <v>6</v>
      </c>
      <c r="AI145" s="64" t="s" ph="1">
        <v>540</v>
      </c>
      <c r="AY145" s="64" t="s" ph="1">
        <v>216</v>
      </c>
      <c r="AZ145" s="64" t="s" ph="1">
        <v>367</v>
      </c>
    </row>
    <row r="146" spans="33:52" ph="1">
      <c r="AH146" s="64" ph="1">
        <v>7</v>
      </c>
      <c r="AI146" s="64" t="s" ph="1">
        <v>541</v>
      </c>
      <c r="AY146" s="64" t="s" ph="1">
        <v>216</v>
      </c>
      <c r="AZ146" s="64" t="s" ph="1">
        <v>367</v>
      </c>
    </row>
    <row r="147" spans="33:52" ph="1">
      <c r="AH147" s="64" ph="1">
        <v>8</v>
      </c>
      <c r="AI147" s="64" t="s" ph="1">
        <v>542</v>
      </c>
      <c r="AY147" s="64" t="s" ph="1">
        <v>216</v>
      </c>
      <c r="AZ147" s="64" t="s" ph="1">
        <v>367</v>
      </c>
    </row>
    <row r="148" spans="33:52" ph="1">
      <c r="AH148" s="64" ph="1">
        <v>9</v>
      </c>
      <c r="AI148" s="64" t="s" ph="1">
        <v>543</v>
      </c>
      <c r="AY148" s="64" t="s" ph="1">
        <v>216</v>
      </c>
      <c r="AZ148" s="64" t="s" ph="1">
        <v>367</v>
      </c>
    </row>
    <row r="149" spans="33:52" ph="1">
      <c r="AH149" s="64" ph="1">
        <v>10</v>
      </c>
      <c r="AI149" s="64" t="s" ph="1">
        <v>544</v>
      </c>
      <c r="AY149" s="64" t="s" ph="1">
        <v>216</v>
      </c>
      <c r="AZ149" s="64" t="s" ph="1">
        <v>367</v>
      </c>
    </row>
    <row r="150" spans="33:52" ph="1">
      <c r="AH150" s="64" ph="1">
        <v>11</v>
      </c>
      <c r="AI150" s="64" t="s" ph="1">
        <v>545</v>
      </c>
      <c r="AY150" s="64" t="s" ph="1">
        <v>216</v>
      </c>
      <c r="AZ150" s="64" t="s" ph="1">
        <v>367</v>
      </c>
    </row>
    <row r="151" spans="33:52" ph="1">
      <c r="AH151" s="64" ph="1">
        <v>12</v>
      </c>
      <c r="AI151" s="64" t="s" ph="1">
        <v>546</v>
      </c>
      <c r="AY151" s="64" t="s" ph="1">
        <v>216</v>
      </c>
      <c r="AZ151" s="64" t="s" ph="1">
        <v>367</v>
      </c>
    </row>
    <row r="152" spans="33:52" ph="1">
      <c r="AH152" s="64" ph="1">
        <v>13</v>
      </c>
      <c r="AI152" s="64" t="s" ph="1">
        <v>547</v>
      </c>
      <c r="AY152" s="64" t="s" ph="1">
        <v>216</v>
      </c>
      <c r="AZ152" s="64" t="s" ph="1">
        <v>367</v>
      </c>
    </row>
    <row r="153" spans="33:52" ph="1">
      <c r="AH153" s="64" ph="1">
        <v>14</v>
      </c>
      <c r="AI153" s="64" t="s" ph="1">
        <v>548</v>
      </c>
      <c r="AY153" s="64" t="s" ph="1">
        <v>216</v>
      </c>
      <c r="AZ153" s="64" t="s" ph="1">
        <v>367</v>
      </c>
    </row>
    <row r="154" spans="33:52" ph="1">
      <c r="AH154" s="64" ph="1">
        <v>15</v>
      </c>
      <c r="AI154" s="64" t="s" ph="1">
        <v>549</v>
      </c>
      <c r="AY154" s="64" t="s" ph="1">
        <v>216</v>
      </c>
      <c r="AZ154" s="64" t="s" ph="1">
        <v>367</v>
      </c>
    </row>
    <row r="155" spans="33:52" ph="1">
      <c r="AH155" s="64" ph="1">
        <v>16</v>
      </c>
      <c r="AI155" s="64" t="s" ph="1">
        <v>550</v>
      </c>
      <c r="AJ155" s="64" t="s" ph="1">
        <v>336</v>
      </c>
      <c r="AK155" s="64" t="s" ph="1">
        <v>231</v>
      </c>
      <c r="AM155" s="64" t="s" ph="1">
        <v>570</v>
      </c>
      <c r="AN155" s="64" t="s" ph="1">
        <v>282</v>
      </c>
      <c r="AO155" s="64" t="s" ph="1">
        <v>535</v>
      </c>
      <c r="AY155" s="64" t="s" ph="1">
        <v>216</v>
      </c>
      <c r="AZ155" s="64" t="s" ph="1">
        <v>223</v>
      </c>
    </row>
    <row r="156" spans="33:52" ph="1">
      <c r="AZ156" s="64" t="s" ph="1">
        <v>602</v>
      </c>
    </row>
    <row r="157" spans="33:52" ph="1">
      <c r="AG157" s="64" t="s" ph="1">
        <v>551</v>
      </c>
      <c r="AI157" s="64" t="s" ph="1">
        <v>209</v>
      </c>
      <c r="AJ157" s="64" t="s" ph="1">
        <v>210</v>
      </c>
      <c r="AK157" s="64" t="s" ph="1">
        <v>211</v>
      </c>
      <c r="AM157" s="64" t="s" ph="1">
        <v>210</v>
      </c>
      <c r="AN157" s="64" t="s" ph="1">
        <v>211</v>
      </c>
      <c r="AO157" s="64" t="s" ph="1">
        <v>212</v>
      </c>
      <c r="AP157" s="64" t="s" ph="1">
        <v>210</v>
      </c>
      <c r="AQ157" s="64" t="s" ph="1">
        <v>211</v>
      </c>
      <c r="AR157" s="64" t="s" ph="1">
        <v>212</v>
      </c>
      <c r="AS157" s="64" t="s" ph="1">
        <v>210</v>
      </c>
      <c r="AT157" s="64" t="s" ph="1">
        <v>211</v>
      </c>
      <c r="AU157" s="64" t="s" ph="1">
        <v>212</v>
      </c>
      <c r="AV157" s="64" t="s" ph="1">
        <v>210</v>
      </c>
      <c r="AW157" s="64" t="s" ph="1">
        <v>211</v>
      </c>
      <c r="AX157" s="64" t="s" ph="1">
        <v>212</v>
      </c>
      <c r="AY157" s="64" t="s" ph="1">
        <v>211</v>
      </c>
      <c r="AZ157" s="64" t="s" ph="1">
        <v>213</v>
      </c>
    </row>
    <row r="158" spans="33:52" ph="1">
      <c r="AH158" s="64" ph="1">
        <v>1</v>
      </c>
      <c r="AI158" s="64" t="s" ph="1">
        <v>552</v>
      </c>
      <c r="AY158" s="64" t="s" ph="1">
        <v>216</v>
      </c>
      <c r="AZ158" s="64" t="s" ph="1">
        <v>367</v>
      </c>
    </row>
    <row r="159" spans="33:52" ph="1">
      <c r="AH159" s="64" ph="1">
        <v>2</v>
      </c>
      <c r="AI159" s="64" t="s" ph="1">
        <v>553</v>
      </c>
      <c r="AY159" s="64" t="s" ph="1">
        <v>216</v>
      </c>
      <c r="AZ159" s="64" t="s" ph="1">
        <v>367</v>
      </c>
    </row>
    <row r="160" spans="33:52" ph="1">
      <c r="AZ160" s="64" t="s" ph="1">
        <v>385</v>
      </c>
    </row>
    <row r="161" spans="33:52" ph="1">
      <c r="AG161" s="64" t="s" ph="1">
        <v>361</v>
      </c>
      <c r="AI161" s="64" t="s" ph="1">
        <v>209</v>
      </c>
      <c r="AJ161" s="64" t="s" ph="1">
        <v>210</v>
      </c>
      <c r="AK161" s="64" t="s" ph="1">
        <v>211</v>
      </c>
      <c r="AM161" s="64" t="s" ph="1">
        <v>210</v>
      </c>
      <c r="AN161" s="64" t="s" ph="1">
        <v>211</v>
      </c>
      <c r="AO161" s="64" t="s" ph="1">
        <v>212</v>
      </c>
      <c r="AP161" s="64" t="s" ph="1">
        <v>210</v>
      </c>
      <c r="AQ161" s="64" t="s" ph="1">
        <v>211</v>
      </c>
      <c r="AR161" s="64" t="s" ph="1">
        <v>212</v>
      </c>
      <c r="AS161" s="64" t="s" ph="1">
        <v>210</v>
      </c>
      <c r="AT161" s="64" t="s" ph="1">
        <v>211</v>
      </c>
      <c r="AU161" s="64" t="s" ph="1">
        <v>212</v>
      </c>
      <c r="AV161" s="64" t="s" ph="1">
        <v>210</v>
      </c>
      <c r="AW161" s="64" t="s" ph="1">
        <v>211</v>
      </c>
      <c r="AX161" s="64" t="s" ph="1">
        <v>212</v>
      </c>
      <c r="AY161" s="64" t="s" ph="1">
        <v>211</v>
      </c>
      <c r="AZ161" s="64" t="s" ph="1">
        <v>213</v>
      </c>
    </row>
    <row r="162" spans="33:52" ph="1">
      <c r="AH162" s="64" ph="1">
        <v>1</v>
      </c>
      <c r="AI162" s="64" t="s" ph="1">
        <v>554</v>
      </c>
      <c r="AJ162" s="64" t="s" ph="1">
        <v>555</v>
      </c>
      <c r="AK162" s="64" t="s" ph="1">
        <v>499</v>
      </c>
      <c r="AM162" s="64" t="s" ph="1">
        <v>556</v>
      </c>
      <c r="AN162" s="64" t="s" ph="1">
        <v>220</v>
      </c>
      <c r="AO162" s="64" t="s" ph="1">
        <v>557</v>
      </c>
      <c r="AY162" s="64" t="s" ph="1">
        <v>216</v>
      </c>
      <c r="AZ162" s="64" t="s" ph="1">
        <v>292</v>
      </c>
    </row>
    <row r="163" spans="33:52" ph="1">
      <c r="AH163" s="64" ph="1">
        <v>2</v>
      </c>
      <c r="AI163" s="64" t="s" ph="1">
        <v>558</v>
      </c>
      <c r="AJ163" s="64" t="s" ph="1">
        <v>555</v>
      </c>
      <c r="AK163" s="64" t="s" ph="1">
        <v>388</v>
      </c>
      <c r="AY163" s="64" t="s" ph="1">
        <v>216</v>
      </c>
      <c r="AZ163" s="64" t="s" ph="1">
        <v>388</v>
      </c>
    </row>
    <row r="164" spans="33:52" ph="1">
      <c r="AH164" s="64" ph="1">
        <v>3</v>
      </c>
      <c r="AI164" s="64" t="s" ph="1">
        <v>559</v>
      </c>
      <c r="AJ164" s="64" t="s" ph="1">
        <v>555</v>
      </c>
      <c r="AK164" s="64" t="s" ph="1">
        <v>292</v>
      </c>
      <c r="AY164" s="64" t="s" ph="1">
        <v>216</v>
      </c>
      <c r="AZ164" s="64" t="s" ph="1">
        <v>292</v>
      </c>
    </row>
    <row r="165" spans="33:52" ph="1">
      <c r="AH165" s="64" ph="1">
        <v>4</v>
      </c>
      <c r="AI165" s="64" t="s" ph="1">
        <v>560</v>
      </c>
      <c r="AY165" s="64" t="s" ph="1">
        <v>216</v>
      </c>
      <c r="AZ165" s="64" t="s" ph="1">
        <v>367</v>
      </c>
    </row>
    <row r="166" spans="33:52" ph="1">
      <c r="AH166" s="64" ph="1">
        <v>5</v>
      </c>
      <c r="AI166" s="64" t="s" ph="1">
        <v>561</v>
      </c>
      <c r="AY166" s="64" t="s" ph="1">
        <v>216</v>
      </c>
      <c r="AZ166" s="64" t="s" ph="1">
        <v>367</v>
      </c>
    </row>
    <row r="167" spans="33:52" ph="1">
      <c r="AZ167" s="64" t="s" ph="1">
        <v>562</v>
      </c>
    </row>
    <row r="168" spans="33:52" ph="1">
      <c r="AG168" s="64" t="s" ph="1">
        <v>305</v>
      </c>
      <c r="AI168" s="64" t="s" ph="1">
        <v>209</v>
      </c>
      <c r="AJ168" s="64" t="s" ph="1">
        <v>210</v>
      </c>
      <c r="AK168" s="64" t="s" ph="1">
        <v>211</v>
      </c>
      <c r="AM168" s="64" t="s" ph="1">
        <v>210</v>
      </c>
      <c r="AN168" s="64" t="s" ph="1">
        <v>211</v>
      </c>
      <c r="AO168" s="64" t="s" ph="1">
        <v>212</v>
      </c>
      <c r="AP168" s="64" t="s" ph="1">
        <v>210</v>
      </c>
      <c r="AQ168" s="64" t="s" ph="1">
        <v>211</v>
      </c>
      <c r="AR168" s="64" t="s" ph="1">
        <v>212</v>
      </c>
      <c r="AS168" s="64" t="s" ph="1">
        <v>210</v>
      </c>
      <c r="AT168" s="64" t="s" ph="1">
        <v>211</v>
      </c>
      <c r="AU168" s="64" t="s" ph="1">
        <v>212</v>
      </c>
      <c r="AV168" s="64" t="s" ph="1">
        <v>210</v>
      </c>
      <c r="AW168" s="64" t="s" ph="1">
        <v>211</v>
      </c>
      <c r="AX168" s="64" t="s" ph="1">
        <v>212</v>
      </c>
      <c r="AY168" s="64" t="s" ph="1">
        <v>211</v>
      </c>
      <c r="AZ168" s="64" t="s" ph="1">
        <v>213</v>
      </c>
    </row>
    <row r="169" spans="33:52" ph="1">
      <c r="AH169" s="64" ph="1">
        <v>1</v>
      </c>
      <c r="AI169" s="64" t="s" ph="1">
        <v>563</v>
      </c>
      <c r="AY169" s="64" t="s" ph="1">
        <v>216</v>
      </c>
      <c r="AZ169" s="64" t="s" ph="1">
        <v>367</v>
      </c>
    </row>
    <row r="170" spans="33:52" ph="1">
      <c r="AH170" s="64" ph="1">
        <v>2</v>
      </c>
      <c r="AI170" s="64" t="s" ph="1">
        <v>564</v>
      </c>
      <c r="AY170" s="64" t="s" ph="1">
        <v>216</v>
      </c>
      <c r="AZ170" s="64" t="s" ph="1">
        <v>367</v>
      </c>
    </row>
    <row r="171" spans="33:52" ph="1">
      <c r="AH171" s="64" ph="1">
        <v>3</v>
      </c>
      <c r="AI171" s="64" t="s" ph="1">
        <v>565</v>
      </c>
      <c r="AY171" s="64" t="s" ph="1">
        <v>216</v>
      </c>
      <c r="AZ171" s="64" t="s" ph="1">
        <v>367</v>
      </c>
    </row>
    <row r="172" spans="33:52" ph="1">
      <c r="AH172" s="64" ph="1">
        <v>4</v>
      </c>
      <c r="AI172" s="64" t="s" ph="1">
        <v>566</v>
      </c>
      <c r="AY172" s="64" t="s" ph="1">
        <v>216</v>
      </c>
      <c r="AZ172" s="64" t="s" ph="1">
        <v>367</v>
      </c>
    </row>
    <row r="173" spans="33:52" ph="1">
      <c r="AH173" s="64" ph="1">
        <v>5</v>
      </c>
      <c r="AI173" s="64" t="s" ph="1">
        <v>567</v>
      </c>
      <c r="AY173" s="64" t="s" ph="1">
        <v>216</v>
      </c>
      <c r="AZ173" s="64" t="s" ph="1">
        <v>367</v>
      </c>
    </row>
    <row r="174" spans="33:52" ph="1">
      <c r="AZ174" s="64" t="s" ph="1">
        <v>385</v>
      </c>
    </row>
    <row r="175" spans="33:52" ph="1">
      <c r="AJ175" s="64" t="s" ph="1">
        <v>306</v>
      </c>
    </row>
    <row r="176" spans="33:52" ph="1">
      <c r="AJ176" s="64" t="s" ph="1">
        <v>307</v>
      </c>
      <c r="AK176" s="64" t="s" ph="1">
        <v>308</v>
      </c>
      <c r="AM176" s="64" t="s" ph="1">
        <v>309</v>
      </c>
      <c r="AO176" s="64" t="s" ph="1">
        <v>310</v>
      </c>
      <c r="AP176" s="64" t="s" ph="1">
        <v>311</v>
      </c>
      <c r="AQ176" s="64" t="s" ph="1">
        <v>301</v>
      </c>
      <c r="AR176" s="64" t="s" ph="1">
        <v>221</v>
      </c>
    </row>
    <row r="177" spans="36:56" ph="1">
      <c r="AJ177" s="64" t="s" ph="1">
        <v>603</v>
      </c>
      <c r="AK177" s="64" t="s" ph="1">
        <v>312</v>
      </c>
      <c r="AO177" s="64" t="s" ph="1">
        <v>312</v>
      </c>
      <c r="AP177" s="64" t="s" ph="1">
        <v>312</v>
      </c>
      <c r="AQ177" s="64" t="s" ph="1">
        <v>313</v>
      </c>
      <c r="AR177" s="64" t="s" ph="1">
        <v>314</v>
      </c>
    </row>
    <row r="179" spans="36:56" ph="1">
      <c r="AJ179" s="64" t="s" ph="1">
        <v>315</v>
      </c>
      <c r="AK179" s="64" t="s" ph="1">
        <v>316</v>
      </c>
      <c r="AM179" s="64" t="s" ph="1">
        <v>317</v>
      </c>
      <c r="AN179" s="64" t="s" ph="1">
        <v>293</v>
      </c>
      <c r="AO179" s="64" t="s" ph="1">
        <v>318</v>
      </c>
      <c r="AP179" s="64" t="s" ph="1">
        <v>297</v>
      </c>
      <c r="AQ179" s="64" t="s" ph="1">
        <v>319</v>
      </c>
      <c r="AR179" s="64" t="s" ph="1">
        <v>320</v>
      </c>
    </row>
    <row r="180" spans="36:56" ph="1">
      <c r="AJ180" s="64" t="s" ph="1">
        <v>312</v>
      </c>
      <c r="AK180" s="64" t="s" ph="1">
        <v>312</v>
      </c>
      <c r="AL180" s="64" ph="1">
        <v>116</v>
      </c>
      <c r="AM180" s="64" t="s" ph="1">
        <v>312</v>
      </c>
      <c r="AN180" s="64" t="s" ph="1">
        <v>321</v>
      </c>
      <c r="AO180" s="64" t="s" ph="1">
        <v>312</v>
      </c>
      <c r="AP180" s="64" t="s" ph="1">
        <v>322</v>
      </c>
      <c r="AQ180" s="64" t="s" ph="1">
        <v>323</v>
      </c>
      <c r="AR180" s="64" t="s" ph="1">
        <v>324</v>
      </c>
    </row>
    <row r="189" spans="36:56" ph="1">
      <c r="BD189" s="64" t="s" ph="1">
        <v>568</v>
      </c>
    </row>
    <row r="223" spans="18:18" ph="1">
      <c r="R223" s="135" ph="1">
        <v>45496</v>
      </c>
    </row>
  </sheetData>
  <mergeCells count="58">
    <mergeCell ref="Z22:AE22"/>
    <mergeCell ref="Z23:AE29"/>
    <mergeCell ref="B24:B26"/>
    <mergeCell ref="B27:B29"/>
    <mergeCell ref="B1:AE1"/>
    <mergeCell ref="B2:AE2"/>
    <mergeCell ref="B3:AE3"/>
    <mergeCell ref="B4:B5"/>
    <mergeCell ref="B6:B8"/>
    <mergeCell ref="B9:B11"/>
    <mergeCell ref="P31:R31"/>
    <mergeCell ref="B13:B14"/>
    <mergeCell ref="B15:B17"/>
    <mergeCell ref="B18:B20"/>
    <mergeCell ref="B22:B23"/>
    <mergeCell ref="B31:C32"/>
    <mergeCell ref="D31:F31"/>
    <mergeCell ref="G31:I31"/>
    <mergeCell ref="J31:L31"/>
    <mergeCell ref="M31:O31"/>
    <mergeCell ref="B33:C34"/>
    <mergeCell ref="D33:D34"/>
    <mergeCell ref="E33:E34"/>
    <mergeCell ref="F33:F34"/>
    <mergeCell ref="G33:G34"/>
    <mergeCell ref="S31:U31"/>
    <mergeCell ref="V31:X31"/>
    <mergeCell ref="Y31:AA31"/>
    <mergeCell ref="AB31:AE31"/>
    <mergeCell ref="AD32:AE32"/>
    <mergeCell ref="S33:S34"/>
    <mergeCell ref="H33:H34"/>
    <mergeCell ref="I33:I34"/>
    <mergeCell ref="J33:J34"/>
    <mergeCell ref="K33:K34"/>
    <mergeCell ref="L33:L34"/>
    <mergeCell ref="M33:M34"/>
    <mergeCell ref="N33:N34"/>
    <mergeCell ref="O33:O34"/>
    <mergeCell ref="P33:P34"/>
    <mergeCell ref="Q33:Q34"/>
    <mergeCell ref="R33:R34"/>
    <mergeCell ref="I36:J36"/>
    <mergeCell ref="R36:S36"/>
    <mergeCell ref="AB36:AC36"/>
    <mergeCell ref="AD36:AE36"/>
    <mergeCell ref="Z33:Z34"/>
    <mergeCell ref="AA33:AA34"/>
    <mergeCell ref="AB33:AB34"/>
    <mergeCell ref="AC33:AC34"/>
    <mergeCell ref="AD33:AE34"/>
    <mergeCell ref="AC35:AE35"/>
    <mergeCell ref="T33:T34"/>
    <mergeCell ref="U33:U34"/>
    <mergeCell ref="V33:V34"/>
    <mergeCell ref="W33:W34"/>
    <mergeCell ref="X33:X34"/>
    <mergeCell ref="Y33:Y34"/>
  </mergeCells>
  <phoneticPr fontId="2" type="noConversion"/>
  <conditionalFormatting sqref="D4:D11">
    <cfRule type="expression" dxfId="2127" priority="104">
      <formula>ABS(D$7-D$10)&gt;=1000</formula>
    </cfRule>
  </conditionalFormatting>
  <conditionalFormatting sqref="E4 E6:E11">
    <cfRule type="expression" dxfId="2126" priority="103">
      <formula>ABS(E$7-E$10)&gt;=1000</formula>
    </cfRule>
  </conditionalFormatting>
  <conditionalFormatting sqref="F4:F11">
    <cfRule type="expression" dxfId="2125" priority="102">
      <formula>ABS(F$7-F$10)&gt;=1000</formula>
    </cfRule>
  </conditionalFormatting>
  <conditionalFormatting sqref="G4:G11">
    <cfRule type="expression" dxfId="2124" priority="101">
      <formula>ABS(G$7-G$10)&gt;=1000</formula>
    </cfRule>
  </conditionalFormatting>
  <conditionalFormatting sqref="H4:H11">
    <cfRule type="expression" dxfId="2123" priority="100">
      <formula>ABS(H$7-H$10)&gt;=1000</formula>
    </cfRule>
  </conditionalFormatting>
  <conditionalFormatting sqref="I4:I11">
    <cfRule type="expression" dxfId="2122" priority="99">
      <formula>ABS(I$7-I$10)&gt;=1000</formula>
    </cfRule>
  </conditionalFormatting>
  <conditionalFormatting sqref="J4:J11">
    <cfRule type="expression" dxfId="2121" priority="98">
      <formula>ABS(J$7-J$10)&gt;=1000</formula>
    </cfRule>
  </conditionalFormatting>
  <conditionalFormatting sqref="K4:K11">
    <cfRule type="expression" dxfId="2120" priority="97">
      <formula>ABS(K$7-K$10)&gt;=1000</formula>
    </cfRule>
  </conditionalFormatting>
  <conditionalFormatting sqref="L4:L11">
    <cfRule type="expression" dxfId="2119" priority="96">
      <formula>ABS(L$7-L$10)&gt;=1000</formula>
    </cfRule>
  </conditionalFormatting>
  <conditionalFormatting sqref="M4 M6:M11">
    <cfRule type="expression" dxfId="2118" priority="95">
      <formula>ABS(M$7-M$10)&gt;=1000</formula>
    </cfRule>
  </conditionalFormatting>
  <conditionalFormatting sqref="N4 N6:N11">
    <cfRule type="expression" dxfId="2117" priority="94">
      <formula>ABS(N$7-N$10)&gt;=1000</formula>
    </cfRule>
  </conditionalFormatting>
  <conditionalFormatting sqref="O4 O6:O11">
    <cfRule type="expression" dxfId="2116" priority="93">
      <formula>ABS(O$7-O$10)&gt;=1000</formula>
    </cfRule>
  </conditionalFormatting>
  <conditionalFormatting sqref="P4 P6:P11">
    <cfRule type="expression" dxfId="2115" priority="92">
      <formula>ABS(P$7-P$10)&gt;=1000</formula>
    </cfRule>
  </conditionalFormatting>
  <conditionalFormatting sqref="Q4:Q11">
    <cfRule type="expression" dxfId="2114" priority="91">
      <formula>ABS(Q$7-Q$10)&gt;=1000</formula>
    </cfRule>
  </conditionalFormatting>
  <conditionalFormatting sqref="R4:R11">
    <cfRule type="expression" dxfId="2113" priority="90">
      <formula>ABS(R$7-R$10)&gt;=1000</formula>
    </cfRule>
  </conditionalFormatting>
  <conditionalFormatting sqref="S4:S11">
    <cfRule type="expression" dxfId="2112" priority="89">
      <formula>ABS(S$7-S$10)&gt;=1000</formula>
    </cfRule>
  </conditionalFormatting>
  <conditionalFormatting sqref="T4:T9 T11">
    <cfRule type="expression" dxfId="2111" priority="88">
      <formula>ABS(T$7-T$10)&gt;=1000</formula>
    </cfRule>
  </conditionalFormatting>
  <conditionalFormatting sqref="U4:U9 U11">
    <cfRule type="expression" dxfId="2110" priority="87">
      <formula>ABS(U$7-U$10)&gt;=1000</formula>
    </cfRule>
  </conditionalFormatting>
  <conditionalFormatting sqref="V4:V9 V11">
    <cfRule type="expression" dxfId="2109" priority="86">
      <formula>ABS(V$7-V$10)&gt;=1000</formula>
    </cfRule>
  </conditionalFormatting>
  <conditionalFormatting sqref="W4:W9 W11">
    <cfRule type="expression" dxfId="2108" priority="85">
      <formula>ABS(W$7-W$10)&gt;=1000</formula>
    </cfRule>
  </conditionalFormatting>
  <conditionalFormatting sqref="X4:X9 X11">
    <cfRule type="expression" dxfId="2107" priority="84">
      <formula>ABS(X$7-X$10)&gt;=1000</formula>
    </cfRule>
  </conditionalFormatting>
  <conditionalFormatting sqref="Y4:Y9 Y11">
    <cfRule type="expression" dxfId="2106" priority="83">
      <formula>ABS(Y$7-Y$10)&gt;=1000</formula>
    </cfRule>
  </conditionalFormatting>
  <conditionalFormatting sqref="Z4:Z11">
    <cfRule type="expression" dxfId="2105" priority="82">
      <formula>ABS(Z$7-Z$10)&gt;=1000</formula>
    </cfRule>
  </conditionalFormatting>
  <conditionalFormatting sqref="AA4:AA11">
    <cfRule type="expression" dxfId="2104" priority="81">
      <formula>ABS(AA$7-AA$10)&gt;=1000</formula>
    </cfRule>
  </conditionalFormatting>
  <conditionalFormatting sqref="AB4:AB11">
    <cfRule type="expression" dxfId="2103" priority="80">
      <formula>ABS(AB$7-AB$10)&gt;=1000</formula>
    </cfRule>
  </conditionalFormatting>
  <conditionalFormatting sqref="AC4 AC6:AC11">
    <cfRule type="expression" dxfId="2102" priority="79">
      <formula>ABS(AC$7-AC$10)&gt;=1000</formula>
    </cfRule>
  </conditionalFormatting>
  <conditionalFormatting sqref="AD4 AD6:AD11">
    <cfRule type="expression" dxfId="2101" priority="78">
      <formula>ABS(AD$7-AD$10)&gt;=1000</formula>
    </cfRule>
  </conditionalFormatting>
  <conditionalFormatting sqref="AE4 AE6:AE11">
    <cfRule type="expression" dxfId="2100" priority="77">
      <formula>ABS(AE$7-AE$10)&gt;=1000</formula>
    </cfRule>
  </conditionalFormatting>
  <conditionalFormatting sqref="D13:D20">
    <cfRule type="expression" dxfId="2099" priority="76">
      <formula>ABS(D$16-D$19)&gt;=1000</formula>
    </cfRule>
  </conditionalFormatting>
  <conditionalFormatting sqref="E13:E20">
    <cfRule type="expression" dxfId="2098" priority="75">
      <formula>ABS(E$16-E$19)&gt;=1000</formula>
    </cfRule>
  </conditionalFormatting>
  <conditionalFormatting sqref="F13 F15:F20">
    <cfRule type="expression" dxfId="2097" priority="74">
      <formula>ABS(F$16-F$19)&gt;=1000</formula>
    </cfRule>
  </conditionalFormatting>
  <conditionalFormatting sqref="G13:G20">
    <cfRule type="expression" dxfId="2096" priority="73">
      <formula>ABS(G$16-G$19)&gt;=1000</formula>
    </cfRule>
  </conditionalFormatting>
  <conditionalFormatting sqref="H13 H15:H20">
    <cfRule type="expression" dxfId="2095" priority="72">
      <formula>ABS(H$16-H$19)&gt;=1000</formula>
    </cfRule>
  </conditionalFormatting>
  <conditionalFormatting sqref="I13:I20">
    <cfRule type="expression" dxfId="2094" priority="71">
      <formula>ABS(I$16-I$19)&gt;=1000</formula>
    </cfRule>
  </conditionalFormatting>
  <conditionalFormatting sqref="J13:J20">
    <cfRule type="expression" dxfId="2093" priority="70">
      <formula>ABS(J$16-J$19)&gt;=1000</formula>
    </cfRule>
  </conditionalFormatting>
  <conditionalFormatting sqref="L13:L20">
    <cfRule type="expression" dxfId="2092" priority="69">
      <formula>ABS(L$16-L$19)&gt;=1000</formula>
    </cfRule>
  </conditionalFormatting>
  <conditionalFormatting sqref="M13 M15 M17:M18 M20">
    <cfRule type="expression" dxfId="2091" priority="68">
      <formula>ABS(M$16-M$19)&gt;=1000</formula>
    </cfRule>
  </conditionalFormatting>
  <conditionalFormatting sqref="N13:N20">
    <cfRule type="expression" dxfId="2090" priority="67">
      <formula>ABS(N$16-N$19)&gt;=1000</formula>
    </cfRule>
  </conditionalFormatting>
  <conditionalFormatting sqref="O13:O20">
    <cfRule type="expression" dxfId="2089" priority="66">
      <formula>ABS(O$16-O$19)&gt;=1000</formula>
    </cfRule>
  </conditionalFormatting>
  <conditionalFormatting sqref="P13:P20">
    <cfRule type="expression" dxfId="2088" priority="65">
      <formula>ABS(P$16-P$19)&gt;=1000</formula>
    </cfRule>
  </conditionalFormatting>
  <conditionalFormatting sqref="Q13 Q15:Q20">
    <cfRule type="expression" dxfId="2087" priority="64">
      <formula>ABS(Q$16-Q$19)&gt;=1000</formula>
    </cfRule>
  </conditionalFormatting>
  <conditionalFormatting sqref="R13 R15:R20">
    <cfRule type="expression" dxfId="2086" priority="63">
      <formula>ABS(R$16-R$19)&gt;=1000</formula>
    </cfRule>
  </conditionalFormatting>
  <conditionalFormatting sqref="S13:S20">
    <cfRule type="expression" dxfId="2085" priority="62">
      <formula>ABS(S$16-S$19)&gt;=1000</formula>
    </cfRule>
  </conditionalFormatting>
  <conditionalFormatting sqref="T13:T15 T17:T20">
    <cfRule type="expression" dxfId="2084" priority="61">
      <formula>ABS(T$16-T$19)&gt;=1000</formula>
    </cfRule>
  </conditionalFormatting>
  <conditionalFormatting sqref="U13:U20">
    <cfRule type="expression" dxfId="2083" priority="60">
      <formula>ABS(U$16-U$19)&gt;=1000</formula>
    </cfRule>
  </conditionalFormatting>
  <conditionalFormatting sqref="V13:V20">
    <cfRule type="expression" dxfId="2082" priority="59">
      <formula>ABS(V$16-V$19)&gt;=1000</formula>
    </cfRule>
  </conditionalFormatting>
  <conditionalFormatting sqref="W13 W20 W15:W18">
    <cfRule type="expression" dxfId="2081" priority="58">
      <formula>ABS(W$16-W$19)&gt;=1000</formula>
    </cfRule>
  </conditionalFormatting>
  <conditionalFormatting sqref="X13 X15:X20 Y19">
    <cfRule type="expression" dxfId="2080" priority="57">
      <formula>ABS(X$16-X$19)&gt;=1000</formula>
    </cfRule>
  </conditionalFormatting>
  <conditionalFormatting sqref="Y13 Y15:Y18 Y20">
    <cfRule type="expression" dxfId="2079" priority="56">
      <formula>ABS(Y$16-Y$19)&gt;=1000</formula>
    </cfRule>
  </conditionalFormatting>
  <conditionalFormatting sqref="Z13:Z20">
    <cfRule type="expression" dxfId="2078" priority="55">
      <formula>ABS(Z$16-Z$19)&gt;=1000</formula>
    </cfRule>
  </conditionalFormatting>
  <conditionalFormatting sqref="AA13:AA20">
    <cfRule type="expression" dxfId="2077" priority="54">
      <formula>ABS(AA$16-AA$19)&gt;=1000</formula>
    </cfRule>
  </conditionalFormatting>
  <conditionalFormatting sqref="AB13 AB15:AB20">
    <cfRule type="expression" dxfId="2076" priority="53">
      <formula>ABS(AB$16-AB$19)&gt;=1000</formula>
    </cfRule>
  </conditionalFormatting>
  <conditionalFormatting sqref="AC13 AC15:AC20">
    <cfRule type="expression" dxfId="2075" priority="52">
      <formula>ABS(AC$16-AC$19)&gt;=1000</formula>
    </cfRule>
  </conditionalFormatting>
  <conditionalFormatting sqref="AD13:AD20">
    <cfRule type="expression" dxfId="2074" priority="51">
      <formula>ABS(AD$16-AD$19)&gt;=1000</formula>
    </cfRule>
  </conditionalFormatting>
  <conditionalFormatting sqref="AE13:AE20">
    <cfRule type="expression" dxfId="2073" priority="50">
      <formula>ABS(AE$16-AE$19)&gt;=1000</formula>
    </cfRule>
  </conditionalFormatting>
  <conditionalFormatting sqref="D22:D29">
    <cfRule type="expression" dxfId="2072" priority="49">
      <formula>ABS(D$25-D$28)&gt;=1000</formula>
    </cfRule>
  </conditionalFormatting>
  <conditionalFormatting sqref="E22:E29">
    <cfRule type="expression" dxfId="2071" priority="48">
      <formula>ABS(E$25-E$28)&gt;=1000</formula>
    </cfRule>
  </conditionalFormatting>
  <conditionalFormatting sqref="F22:F29">
    <cfRule type="expression" dxfId="2070" priority="47">
      <formula>ABS(F$25-F$28)&gt;=1000</formula>
    </cfRule>
  </conditionalFormatting>
  <conditionalFormatting sqref="G22:G29">
    <cfRule type="expression" dxfId="2069" priority="46">
      <formula>ABS(G$25-G$28)&gt;=1000</formula>
    </cfRule>
  </conditionalFormatting>
  <conditionalFormatting sqref="H22:H29">
    <cfRule type="expression" dxfId="2068" priority="45">
      <formula>ABS(H$25-H$28)&gt;=1000</formula>
    </cfRule>
  </conditionalFormatting>
  <conditionalFormatting sqref="I22 I24:I29">
    <cfRule type="expression" dxfId="2067" priority="44">
      <formula>ABS(I$25-I$28)&gt;=1000</formula>
    </cfRule>
  </conditionalFormatting>
  <conditionalFormatting sqref="J22:J29 K22">
    <cfRule type="expression" dxfId="2066" priority="43">
      <formula>ABS(J$25-J$28)&gt;=1000</formula>
    </cfRule>
  </conditionalFormatting>
  <conditionalFormatting sqref="K23:K29 L25 L28">
    <cfRule type="expression" dxfId="2065" priority="42">
      <formula>ABS(K$25-K$28)&gt;=1000</formula>
    </cfRule>
  </conditionalFormatting>
  <conditionalFormatting sqref="L22 L26:L27 L29 L24">
    <cfRule type="expression" dxfId="2064" priority="41">
      <formula>ABS(L$25-L$28)&gt;=1000</formula>
    </cfRule>
  </conditionalFormatting>
  <conditionalFormatting sqref="M22:M29">
    <cfRule type="expression" dxfId="2063" priority="40">
      <formula>ABS(M$25-M$28)&gt;=1000</formula>
    </cfRule>
  </conditionalFormatting>
  <conditionalFormatting sqref="N22:N29">
    <cfRule type="expression" dxfId="2062" priority="39">
      <formula>ABS(N$25-N$28)&gt;=1000</formula>
    </cfRule>
  </conditionalFormatting>
  <conditionalFormatting sqref="O22 O24:O29">
    <cfRule type="expression" dxfId="2061" priority="38">
      <formula>ABS(O$25-O$28)&gt;=1000</formula>
    </cfRule>
  </conditionalFormatting>
  <conditionalFormatting sqref="P22:P29">
    <cfRule type="expression" dxfId="2060" priority="37">
      <formula>ABS(P$25-P$28)&gt;=1000</formula>
    </cfRule>
  </conditionalFormatting>
  <conditionalFormatting sqref="Q22:Q29">
    <cfRule type="expression" dxfId="2059" priority="36">
      <formula>ABS(Q$25-Q$28)&gt;=1000</formula>
    </cfRule>
  </conditionalFormatting>
  <conditionalFormatting sqref="R22:R29">
    <cfRule type="expression" dxfId="2058" priority="35">
      <formula>ABS(R$25-R$28)&gt;=1000</formula>
    </cfRule>
  </conditionalFormatting>
  <conditionalFormatting sqref="S22:S29">
    <cfRule type="expression" dxfId="2057" priority="34">
      <formula>ABS(S$25-S$28)&gt;=1000</formula>
    </cfRule>
  </conditionalFormatting>
  <conditionalFormatting sqref="T22:T29">
    <cfRule type="expression" dxfId="2056" priority="33">
      <formula>ABS(T$25-T$28)&gt;=1000</formula>
    </cfRule>
  </conditionalFormatting>
  <conditionalFormatting sqref="U22:U29">
    <cfRule type="expression" dxfId="2055" priority="32">
      <formula>ABS(U$25-U$28)&gt;=1000</formula>
    </cfRule>
  </conditionalFormatting>
  <conditionalFormatting sqref="V22:V29">
    <cfRule type="expression" dxfId="2054" priority="31">
      <formula>ABS(V$25-V$28)&gt;=1000</formula>
    </cfRule>
  </conditionalFormatting>
  <conditionalFormatting sqref="W22:W29">
    <cfRule type="expression" dxfId="2053" priority="30">
      <formula>ABS(W$25-W$28)&gt;=1000</formula>
    </cfRule>
  </conditionalFormatting>
  <conditionalFormatting sqref="X22:X29">
    <cfRule type="expression" dxfId="2052" priority="29">
      <formula>ABS(X$25-X$28)&gt;=1000</formula>
    </cfRule>
  </conditionalFormatting>
  <conditionalFormatting sqref="Y22:Y29">
    <cfRule type="expression" dxfId="2051" priority="28">
      <formula>ABS(Y$25-Y$28)&gt;=1000</formula>
    </cfRule>
  </conditionalFormatting>
  <conditionalFormatting sqref="I23">
    <cfRule type="expression" dxfId="2050" priority="27">
      <formula>ABS(I$25-I$28)&gt;=1000</formula>
    </cfRule>
  </conditionalFormatting>
  <conditionalFormatting sqref="Q14">
    <cfRule type="expression" dxfId="2049" priority="26">
      <formula>ABS(Q$16-Q$19)&gt;=1000</formula>
    </cfRule>
  </conditionalFormatting>
  <conditionalFormatting sqref="W14">
    <cfRule type="expression" dxfId="2048" priority="25">
      <formula>ABS(W$16-W$19)&gt;=1000</formula>
    </cfRule>
  </conditionalFormatting>
  <conditionalFormatting sqref="X14">
    <cfRule type="expression" dxfId="2047" priority="24">
      <formula>ABS(X$16-X$19)&gt;=1000</formula>
    </cfRule>
  </conditionalFormatting>
  <conditionalFormatting sqref="T10:Y10">
    <cfRule type="expression" dxfId="2046" priority="23">
      <formula>ABS(T$7-T$10)&gt;=1000</formula>
    </cfRule>
  </conditionalFormatting>
  <conditionalFormatting sqref="W19">
    <cfRule type="expression" dxfId="2045" priority="22">
      <formula>ABS(W$16-W$19)&gt;=1000</formula>
    </cfRule>
  </conditionalFormatting>
  <conditionalFormatting sqref="AC5">
    <cfRule type="expression" dxfId="2044" priority="21">
      <formula>ABS(AC$7-AC$10)&gt;=1000</formula>
    </cfRule>
  </conditionalFormatting>
  <conditionalFormatting sqref="M14">
    <cfRule type="expression" dxfId="2043" priority="20">
      <formula>ABS(M$16-M$19)&gt;=1000</formula>
    </cfRule>
  </conditionalFormatting>
  <conditionalFormatting sqref="M16">
    <cfRule type="expression" dxfId="2042" priority="19">
      <formula>ABS(M$16-M$19)&gt;=1000</formula>
    </cfRule>
  </conditionalFormatting>
  <conditionalFormatting sqref="M19">
    <cfRule type="expression" dxfId="2041" priority="18">
      <formula>ABS(M$16-M$19)&gt;=1000</formula>
    </cfRule>
  </conditionalFormatting>
  <conditionalFormatting sqref="K13:K20">
    <cfRule type="expression" dxfId="2040" priority="17">
      <formula>ABS(K$16-K$19)&gt;=1000</formula>
    </cfRule>
  </conditionalFormatting>
  <conditionalFormatting sqref="E5">
    <cfRule type="expression" dxfId="2039" priority="16">
      <formula>ABS(E$7-E$10)&gt;=1000</formula>
    </cfRule>
  </conditionalFormatting>
  <conditionalFormatting sqref="AB14:AC14">
    <cfRule type="expression" dxfId="2038" priority="15">
      <formula>ABS(AB$16-AB$19)&gt;=1000</formula>
    </cfRule>
  </conditionalFormatting>
  <conditionalFormatting sqref="M5">
    <cfRule type="expression" dxfId="2037" priority="14">
      <formula>ABS(M$7-M$10)&gt;=1000</formula>
    </cfRule>
  </conditionalFormatting>
  <conditionalFormatting sqref="N5">
    <cfRule type="expression" dxfId="2036" priority="13">
      <formula>ABS(N$7-N$10)&gt;=1000</formula>
    </cfRule>
  </conditionalFormatting>
  <conditionalFormatting sqref="O5">
    <cfRule type="expression" dxfId="2035" priority="12">
      <formula>ABS(O$7-O$10)&gt;=1000</formula>
    </cfRule>
  </conditionalFormatting>
  <conditionalFormatting sqref="P5">
    <cfRule type="expression" dxfId="2034" priority="11">
      <formula>ABS(P$7-P$10)&gt;=1000</formula>
    </cfRule>
  </conditionalFormatting>
  <conditionalFormatting sqref="L23">
    <cfRule type="expression" dxfId="2033" priority="10">
      <formula>ABS(L$25-L$28)&gt;=1000</formula>
    </cfRule>
  </conditionalFormatting>
  <conditionalFormatting sqref="Y14">
    <cfRule type="expression" dxfId="2032" priority="9">
      <formula>ABS(Y$16-Y$19)&gt;=1000</formula>
    </cfRule>
  </conditionalFormatting>
  <conditionalFormatting sqref="H14">
    <cfRule type="expression" dxfId="2031" priority="8">
      <formula>ABS(H$16-H$19)&gt;=1000</formula>
    </cfRule>
  </conditionalFormatting>
  <conditionalFormatting sqref="AD5">
    <cfRule type="expression" dxfId="2030" priority="7">
      <formula>ABS(AD$7-AD$10)&gt;=1000</formula>
    </cfRule>
  </conditionalFormatting>
  <conditionalFormatting sqref="AE5">
    <cfRule type="expression" dxfId="2029" priority="6">
      <formula>ABS(AE$7-AE$10)&gt;=1000</formula>
    </cfRule>
  </conditionalFormatting>
  <conditionalFormatting sqref="T16">
    <cfRule type="expression" dxfId="2028" priority="5">
      <formula>ABS(T$16-T$19)&gt;=1000</formula>
    </cfRule>
  </conditionalFormatting>
  <conditionalFormatting sqref="F14">
    <cfRule type="expression" dxfId="2027" priority="3">
      <formula>ABS(F$16-F$19)&gt;=1000</formula>
    </cfRule>
  </conditionalFormatting>
  <conditionalFormatting sqref="R14">
    <cfRule type="expression" dxfId="2026" priority="2">
      <formula>ABS(R$16-R$19)&gt;=1000</formula>
    </cfRule>
  </conditionalFormatting>
  <conditionalFormatting sqref="O23">
    <cfRule type="expression" dxfId="2025" priority="1">
      <formula>ABS(O$25-O$28)&gt;=1000</formula>
    </cfRule>
  </conditionalFormatting>
  <dataValidations count="1">
    <dataValidation operator="greaterThanOrEqual" allowBlank="1" showErrorMessage="1" sqref="D6"/>
  </dataValidations>
  <printOptions horizontalCentered="1"/>
  <pageMargins left="0.39370078740157483" right="0.39370078740157483" top="0.39370078740157483" bottom="0.39370078740157483" header="0.51181102362204722" footer="0.51181102362204722"/>
  <pageSetup paperSize="9" scale="60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58337" r:id="rId4" name="Button 1">
              <controlPr defaultSize="0" print="0" autoFill="0" autoPict="0">
                <anchor moveWithCells="1">
                  <from>
                    <xdr:col>31</xdr:col>
                    <xdr:colOff>0</xdr:colOff>
                    <xdr:row>0</xdr:row>
                    <xdr:rowOff>342900</xdr:rowOff>
                  </from>
                  <to>
                    <xdr:col>32</xdr:col>
                    <xdr:colOff>411480</xdr:colOff>
                    <xdr:row>3</xdr:row>
                    <xdr:rowOff>30480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971">
    <pageSetUpPr fitToPage="1"/>
  </sheetPr>
  <dimension ref="A1:CU223"/>
  <sheetViews>
    <sheetView view="pageBreakPreview" topLeftCell="B13" zoomScale="85" zoomScaleNormal="100" zoomScaleSheetLayoutView="85" workbookViewId="0">
      <selection activeCell="O23" sqref="O23"/>
    </sheetView>
  </sheetViews>
  <sheetFormatPr defaultColWidth="8.109375" defaultRowHeight="25.8"/>
  <cols>
    <col min="1" max="1" width="11.6640625" style="64" customWidth="1" phonetic="1"/>
    <col min="2" max="2" width="7.6640625" style="64" customWidth="1" phonetic="1"/>
    <col min="3" max="3" width="8" style="64" customWidth="1" phonetic="1"/>
    <col min="4" max="8" width="7.6640625" style="64" customWidth="1" phonetic="1"/>
    <col min="9" max="9" width="8" style="64" customWidth="1" phonetic="1"/>
    <col min="10" max="12" width="7.6640625" style="64" customWidth="1" phonetic="1"/>
    <col min="13" max="13" width="7.77734375" style="64" bestFit="1" customWidth="1" phonetic="1"/>
    <col min="14" max="30" width="7.6640625" style="64" customWidth="1" phonetic="1"/>
    <col min="31" max="31" width="7.6640625" style="75" customWidth="1" phonetic="1"/>
    <col min="32" max="32" width="11.6640625" style="64" bestFit="1" customWidth="1" phonetic="1"/>
    <col min="33" max="33" width="22.109375" style="64" customWidth="1" phonetic="1"/>
    <col min="34" max="34" width="5.6640625" style="64" customWidth="1" phonetic="1"/>
    <col min="35" max="35" width="18.21875" style="64" customWidth="1" phonetic="1"/>
    <col min="36" max="36" width="12" style="64" bestFit="1" customWidth="1" phonetic="1"/>
    <col min="37" max="37" width="11.6640625" style="64" bestFit="1" customWidth="1" phonetic="1"/>
    <col min="38" max="38" width="5.6640625" style="64" customWidth="1" phonetic="1"/>
    <col min="39" max="39" width="11.44140625" style="64" bestFit="1" customWidth="1" phonetic="1"/>
    <col min="40" max="40" width="6.21875" style="64" customWidth="1" phonetic="1"/>
    <col min="41" max="41" width="8.6640625" style="64" customWidth="1" phonetic="1"/>
    <col min="42" max="42" width="11.21875" style="64" customWidth="1" phonetic="1"/>
    <col min="43" max="43" width="11.77734375" style="64" customWidth="1" phonetic="1"/>
    <col min="44" max="44" width="11.21875" style="64" customWidth="1" phonetic="1"/>
    <col min="45" max="45" width="11.21875" style="64" bestFit="1" customWidth="1" phonetic="1"/>
    <col min="46" max="46" width="41.77734375" style="64" customWidth="1" phonetic="1"/>
    <col min="47" max="47" width="7.77734375" style="64" customWidth="1" phonetic="1"/>
    <col min="48" max="48" width="17.109375" style="64" customWidth="1" phonetic="1"/>
    <col min="49" max="49" width="6.21875" style="64" customWidth="1" phonetic="1"/>
    <col min="50" max="50" width="10" style="64" customWidth="1" phonetic="1"/>
    <col min="51" max="51" width="6.21875" style="64" customWidth="1" phonetic="1"/>
    <col min="52" max="52" width="6.88671875" style="64" customWidth="1" phonetic="1"/>
    <col min="53" max="53" width="6.44140625" style="64" customWidth="1" phonetic="1"/>
    <col min="54" max="54" width="15.44140625" style="64" customWidth="1" phonetic="1"/>
    <col min="55" max="55" width="6.21875" style="64" customWidth="1" phonetic="1"/>
    <col min="56" max="56" width="22.109375" style="64" bestFit="1" customWidth="1" phonetic="1"/>
    <col min="57" max="57" width="6.44140625" style="64" customWidth="1" phonetic="1"/>
    <col min="58" max="60" width="6.21875" style="64" customWidth="1" phonetic="1"/>
    <col min="61" max="16384" width="8.109375" style="64" phonetic="1"/>
  </cols>
  <sheetData>
    <row r="1" spans="1:99" ht="31.2" ph="1">
      <c r="A1" s="64"/>
      <c r="B1" s="238" t="s" ph="1">
        <v>161</v>
      </c>
      <c r="C1" s="238" ph="1"/>
      <c r="D1" s="238" ph="1"/>
      <c r="E1" s="238" ph="1"/>
      <c r="F1" s="238" ph="1"/>
      <c r="G1" s="238" ph="1"/>
      <c r="H1" s="238" ph="1"/>
      <c r="I1" s="238" ph="1"/>
      <c r="J1" s="238" ph="1"/>
      <c r="K1" s="238" ph="1"/>
      <c r="L1" s="238" ph="1"/>
      <c r="M1" s="238" ph="1"/>
      <c r="N1" s="238" ph="1"/>
      <c r="O1" s="238" ph="1"/>
      <c r="P1" s="238" ph="1"/>
      <c r="Q1" s="238" ph="1"/>
      <c r="R1" s="238" ph="1"/>
      <c r="S1" s="238" ph="1"/>
      <c r="T1" s="238" ph="1"/>
      <c r="U1" s="238" ph="1"/>
      <c r="V1" s="238" ph="1"/>
      <c r="W1" s="238" ph="1"/>
      <c r="X1" s="238" ph="1"/>
      <c r="Y1" s="238" ph="1"/>
      <c r="Z1" s="238" ph="1"/>
      <c r="AA1" s="238" ph="1"/>
      <c r="AB1" s="238" ph="1"/>
      <c r="AC1" s="238" ph="1"/>
      <c r="AD1" s="238" ph="1"/>
      <c r="AE1" s="238" ph="1"/>
    </row>
    <row r="2" spans="1:99" s="66" customFormat="1" ht="24" customHeight="1" ph="1">
      <c r="B2" s="239" t="s" ph="1">
        <v>82</v>
      </c>
      <c r="C2" s="239" ph="1"/>
      <c r="D2" s="239" ph="1"/>
      <c r="E2" s="239" ph="1"/>
      <c r="F2" s="239" ph="1"/>
      <c r="G2" s="239" ph="1"/>
      <c r="H2" s="239" ph="1"/>
      <c r="I2" s="239" ph="1"/>
      <c r="J2" s="239" ph="1"/>
      <c r="K2" s="239" ph="1"/>
      <c r="L2" s="239" ph="1"/>
      <c r="M2" s="239" ph="1"/>
      <c r="N2" s="239" ph="1"/>
      <c r="O2" s="239" ph="1"/>
      <c r="P2" s="239" ph="1"/>
      <c r="Q2" s="239" ph="1"/>
      <c r="R2" s="239" ph="1"/>
      <c r="S2" s="239" ph="1"/>
      <c r="T2" s="239" ph="1"/>
      <c r="U2" s="239" ph="1"/>
      <c r="V2" s="239" ph="1"/>
      <c r="W2" s="239" ph="1"/>
      <c r="X2" s="239" ph="1"/>
      <c r="Y2" s="239" ph="1"/>
      <c r="Z2" s="239" ph="1"/>
      <c r="AA2" s="239" ph="1"/>
      <c r="AB2" s="239" ph="1"/>
      <c r="AC2" s="239" ph="1"/>
      <c r="AD2" s="239" ph="1"/>
      <c r="AE2" s="239" ph="1"/>
    </row>
    <row r="3" spans="1:99" ht="21" customHeight="1" ph="1">
      <c r="B3" s="240" ph="1">
        <v>46273</v>
      </c>
      <c r="C3" s="240"/>
      <c r="D3" s="240"/>
      <c r="E3" s="240"/>
      <c r="F3" s="240"/>
      <c r="G3" s="240"/>
      <c r="H3" s="240"/>
      <c r="I3" s="240"/>
      <c r="J3" s="240"/>
      <c r="K3" s="240"/>
      <c r="L3" s="240"/>
      <c r="M3" s="240"/>
      <c r="N3" s="240"/>
      <c r="O3" s="240"/>
      <c r="P3" s="240"/>
      <c r="Q3" s="240"/>
      <c r="R3" s="240"/>
      <c r="S3" s="240"/>
      <c r="T3" s="240"/>
      <c r="U3" s="240"/>
      <c r="V3" s="240"/>
      <c r="W3" s="240"/>
      <c r="X3" s="240"/>
      <c r="Y3" s="240"/>
      <c r="Z3" s="240"/>
      <c r="AA3" s="240"/>
      <c r="AB3" s="240"/>
      <c r="AC3" s="240"/>
      <c r="AD3" s="240"/>
      <c r="AE3" s="240"/>
    </row>
    <row r="4" spans="1:99" s="69" customFormat="1" ph="1">
      <c r="A4" s="65" ph="1"/>
      <c r="B4" s="219" t="s" ph="1">
        <v>37</v>
      </c>
      <c r="C4" s="67" t="s" ph="1">
        <v>176</v>
      </c>
      <c r="D4" s="68" t="s" ph="1">
        <v>44</v>
      </c>
      <c r="E4" s="68" t="s" ph="1">
        <v>45</v>
      </c>
      <c r="F4" s="68" t="s" ph="1">
        <v>39</v>
      </c>
      <c r="G4" s="68" t="s" ph="1">
        <v>46</v>
      </c>
      <c r="H4" s="68" t="s" ph="1">
        <v>47</v>
      </c>
      <c r="I4" s="68" t="s" ph="1">
        <v>110</v>
      </c>
      <c r="J4" s="68" t="s" ph="1">
        <v>48</v>
      </c>
      <c r="K4" s="68" t="s" ph="1">
        <v>111</v>
      </c>
      <c r="L4" s="68" t="s" ph="1">
        <v>112</v>
      </c>
      <c r="M4" s="68" t="s" ph="1">
        <v>49</v>
      </c>
      <c r="N4" s="68" t="s" ph="1">
        <v>50</v>
      </c>
      <c r="O4" s="68" t="s" ph="1">
        <v>113</v>
      </c>
      <c r="P4" s="68" t="s" ph="1">
        <v>114</v>
      </c>
      <c r="Q4" s="68" t="s" ph="1">
        <v>115</v>
      </c>
      <c r="R4" s="68" t="s" ph="1">
        <v>116</v>
      </c>
      <c r="S4" s="68" t="s" ph="1">
        <v>117</v>
      </c>
      <c r="T4" s="68" t="s" ph="1">
        <v>118</v>
      </c>
      <c r="U4" s="68" t="s" ph="1">
        <v>119</v>
      </c>
      <c r="V4" s="68" t="s" ph="1">
        <v>120</v>
      </c>
      <c r="W4" s="68" t="s" ph="1">
        <v>121</v>
      </c>
      <c r="X4" s="68" t="s" ph="1">
        <v>122</v>
      </c>
      <c r="Y4" s="68" t="s" ph="1">
        <v>123</v>
      </c>
      <c r="Z4" s="68" t="s" ph="1">
        <v>51</v>
      </c>
      <c r="AA4" s="68" t="s" ph="1">
        <v>124</v>
      </c>
      <c r="AB4" s="68" t="s" ph="1">
        <v>125</v>
      </c>
      <c r="AC4" s="68" t="s" ph="1">
        <v>126</v>
      </c>
      <c r="AD4" s="68" t="s" ph="1">
        <v>40</v>
      </c>
      <c r="AE4" s="68" t="s" ph="1">
        <v>127</v>
      </c>
      <c r="AF4" s="65" ph="1"/>
      <c r="AG4" s="65" ph="1"/>
      <c r="AH4" s="65" ph="1"/>
      <c r="AI4" s="65" ph="1"/>
      <c r="AJ4" s="65" ph="1"/>
      <c r="AK4" s="65" ph="1"/>
      <c r="AL4" s="65" ph="1"/>
      <c r="AM4" s="65" ph="1"/>
      <c r="AN4" s="65" ph="1"/>
      <c r="AO4" s="65" ph="1"/>
      <c r="AP4" s="65" ph="1"/>
      <c r="AQ4" s="65" ph="1"/>
      <c r="AR4" s="65" ph="1"/>
      <c r="AS4" s="65" ph="1"/>
      <c r="AT4" s="65" ph="1"/>
      <c r="AU4" s="65" ph="1"/>
      <c r="AV4" s="65" ph="1"/>
      <c r="AW4" s="65" ph="1"/>
      <c r="AX4" s="65" ph="1"/>
      <c r="AY4" s="65" ph="1"/>
      <c r="AZ4" s="65" ph="1"/>
      <c r="BA4" s="65" ph="1"/>
      <c r="BB4" s="65" ph="1"/>
      <c r="BC4" s="65" ph="1"/>
      <c r="BD4" s="65" ph="1"/>
      <c r="BE4" s="65" ph="1"/>
      <c r="BF4" s="65" ph="1"/>
      <c r="BG4" s="65" ph="1"/>
      <c r="BH4" s="65" ph="1"/>
      <c r="BI4" s="65" ph="1"/>
      <c r="BJ4" s="65" ph="1"/>
      <c r="BK4" s="65" ph="1"/>
      <c r="BL4" s="65" ph="1"/>
      <c r="BM4" s="65" ph="1"/>
      <c r="BN4" s="65" ph="1"/>
      <c r="BO4" s="65" ph="1"/>
      <c r="BP4" s="65" ph="1"/>
      <c r="BQ4" s="65" ph="1"/>
      <c r="BR4" s="65" ph="1"/>
      <c r="BS4" s="65" ph="1"/>
      <c r="BT4" s="65" ph="1"/>
      <c r="BU4" s="65" ph="1"/>
      <c r="BV4" s="65" ph="1"/>
      <c r="BW4" s="65" ph="1"/>
      <c r="BX4" s="65" ph="1"/>
      <c r="BY4" s="65" ph="1"/>
      <c r="BZ4" s="65" ph="1"/>
      <c r="CA4" s="65" ph="1"/>
      <c r="CB4" s="65" ph="1"/>
      <c r="CC4" s="65" ph="1"/>
      <c r="CD4" s="65" ph="1"/>
      <c r="CE4" s="65" ph="1"/>
      <c r="CF4" s="65" ph="1"/>
      <c r="CG4" s="65" ph="1"/>
      <c r="CH4" s="65" ph="1"/>
      <c r="CI4" s="65" ph="1"/>
      <c r="CJ4" s="65" ph="1"/>
      <c r="CK4" s="65" ph="1"/>
      <c r="CL4" s="65" ph="1"/>
      <c r="CM4" s="65" ph="1"/>
      <c r="CN4" s="65" ph="1"/>
      <c r="CO4" s="65" ph="1"/>
      <c r="CP4" s="65" ph="1"/>
      <c r="CQ4" s="65" ph="1"/>
      <c r="CR4" s="65" ph="1"/>
      <c r="CS4" s="65" ph="1"/>
      <c r="CT4" s="65" ph="1"/>
      <c r="CU4" s="65" ph="1"/>
    </row>
    <row r="5" spans="1:99" s="69" customFormat="1" ht="29.25" customHeight="1" ph="1">
      <c r="A5" s="65" ph="1"/>
      <c r="B5" s="219" ph="1"/>
      <c r="C5" s="67" t="s" ph="1">
        <v>36</v>
      </c>
      <c r="D5" s="70" t="s" ph="1">
        <v>160</v>
      </c>
      <c r="E5" s="142" t="s" ph="1">
        <v>642</v>
      </c>
      <c r="F5" s="142" t="s" ph="1">
        <v>1</v>
      </c>
      <c r="G5" s="142" t="s" ph="1">
        <v>7</v>
      </c>
      <c r="H5" s="142" t="s" ph="1">
        <v>7</v>
      </c>
      <c r="I5" s="141" t="s" ph="1">
        <v>608</v>
      </c>
      <c r="J5" s="141" t="s" ph="1">
        <v>609</v>
      </c>
      <c r="K5" s="141" t="s" ph="1">
        <v>611</v>
      </c>
      <c r="L5" s="141" t="s" ph="1">
        <v>613</v>
      </c>
      <c r="M5" s="141" t="s" ph="1">
        <v>608</v>
      </c>
      <c r="N5" s="70" t="s" ph="1">
        <v>609</v>
      </c>
      <c r="O5" s="70" t="s" ph="1">
        <v>611</v>
      </c>
      <c r="P5" s="70" t="s" ph="1">
        <v>613</v>
      </c>
      <c r="Q5" s="70" t="s" ph="1">
        <v>607</v>
      </c>
      <c r="R5" s="70" t="s" ph="1">
        <v>607</v>
      </c>
      <c r="S5" s="70" t="s" ph="1">
        <v>607</v>
      </c>
      <c r="T5" s="70" t="s" ph="1">
        <v>607</v>
      </c>
      <c r="U5" s="70" t="s" ph="1">
        <v>607</v>
      </c>
      <c r="V5" s="70" t="s" ph="1">
        <v>607</v>
      </c>
      <c r="W5" s="70" t="s" ph="1">
        <v>607</v>
      </c>
      <c r="X5" s="70" t="s" ph="1">
        <v>607</v>
      </c>
      <c r="Y5" s="70" t="s" ph="1">
        <v>607</v>
      </c>
      <c r="Z5" s="70" t="s" ph="1">
        <v>614</v>
      </c>
      <c r="AA5" s="70" t="s" ph="1">
        <v>54</v>
      </c>
      <c r="AB5" s="70" t="s" ph="1">
        <v>54</v>
      </c>
      <c r="AC5" s="70" t="s" ph="1">
        <v>615</v>
      </c>
      <c r="AD5" s="71" t="s">
        <v>72</v>
      </c>
      <c r="AE5" s="71" t="s">
        <v>635</v>
      </c>
      <c r="AF5" s="65" ph="1"/>
      <c r="AG5" s="65" ph="1"/>
      <c r="AH5" s="65" ph="1"/>
      <c r="AI5" s="65" ph="1"/>
      <c r="AJ5" s="65" ph="1"/>
      <c r="AK5" s="65" ph="1"/>
      <c r="AL5" s="65" ph="1"/>
      <c r="AM5" s="65" ph="1"/>
      <c r="AN5" s="65" ph="1"/>
      <c r="AO5" s="65" ph="1"/>
      <c r="AP5" s="65" ph="1"/>
      <c r="AQ5" s="65" ph="1"/>
      <c r="AR5" s="65" ph="1"/>
      <c r="AS5" s="65" ph="1"/>
      <c r="AT5" s="65" ph="1"/>
      <c r="AU5" s="65" ph="1"/>
      <c r="AV5" s="65" ph="1"/>
      <c r="AW5" s="65" ph="1"/>
      <c r="AX5" s="65" ph="1"/>
      <c r="AY5" s="65" ph="1"/>
      <c r="AZ5" s="65" ph="1"/>
      <c r="BA5" s="65" ph="1"/>
      <c r="BB5" s="65" ph="1"/>
      <c r="BC5" s="65" ph="1"/>
      <c r="BD5" s="65" ph="1"/>
      <c r="BE5" s="65" ph="1"/>
      <c r="BF5" s="65" ph="1"/>
      <c r="BG5" s="65" ph="1"/>
      <c r="BH5" s="65" ph="1"/>
      <c r="BI5" s="65" ph="1"/>
      <c r="BJ5" s="65" ph="1"/>
      <c r="BK5" s="65" ph="1"/>
      <c r="BL5" s="65" ph="1"/>
      <c r="BM5" s="65" ph="1"/>
      <c r="BN5" s="65" ph="1"/>
      <c r="BO5" s="65" ph="1"/>
      <c r="BP5" s="65" ph="1"/>
      <c r="BQ5" s="65" ph="1"/>
      <c r="BR5" s="65" ph="1"/>
      <c r="BS5" s="65" ph="1"/>
      <c r="BT5" s="65" ph="1"/>
      <c r="BU5" s="65" ph="1"/>
      <c r="BV5" s="65" ph="1"/>
      <c r="BW5" s="65" ph="1"/>
      <c r="BX5" s="65" ph="1"/>
      <c r="BY5" s="65" ph="1"/>
      <c r="BZ5" s="65" ph="1"/>
      <c r="CA5" s="65" ph="1"/>
      <c r="CB5" s="65" ph="1"/>
      <c r="CC5" s="65" ph="1"/>
      <c r="CD5" s="65" ph="1"/>
      <c r="CE5" s="65" ph="1"/>
      <c r="CF5" s="65" ph="1"/>
      <c r="CG5" s="65" ph="1"/>
      <c r="CH5" s="65" ph="1"/>
      <c r="CI5" s="65" ph="1"/>
      <c r="CJ5" s="65" ph="1"/>
      <c r="CK5" s="65" ph="1"/>
      <c r="CL5" s="65" ph="1"/>
      <c r="CM5" s="65" ph="1"/>
      <c r="CN5" s="65" ph="1"/>
      <c r="CO5" s="65" ph="1"/>
      <c r="CP5" s="65" ph="1"/>
      <c r="CQ5" s="65" ph="1"/>
      <c r="CR5" s="65" ph="1"/>
      <c r="CS5" s="65" ph="1"/>
      <c r="CT5" s="65" ph="1"/>
      <c r="CU5" s="65" ph="1"/>
    </row>
    <row r="6" spans="1:99" ph="1">
      <c r="B6" s="237" ph="1">
        <v>0.33333333333333331</v>
      </c>
      <c r="C6" s="155" t="s" ph="1">
        <v>177</v>
      </c>
      <c r="D6" s="71">
        <v>128</v>
      </c>
      <c r="E6" s="71">
        <v>3446</v>
      </c>
      <c r="F6" s="71">
        <v>1615</v>
      </c>
      <c r="G6" s="71">
        <v>7157</v>
      </c>
      <c r="H6" s="71">
        <v>1735</v>
      </c>
      <c r="I6" s="71">
        <v>17.579999999999998</v>
      </c>
      <c r="J6" s="71">
        <v>6.78</v>
      </c>
      <c r="K6" s="71">
        <v>7.71</v>
      </c>
      <c r="L6" s="71">
        <v>6.11</v>
      </c>
      <c r="M6" s="71">
        <v>3649</v>
      </c>
      <c r="N6" s="71">
        <v>2324</v>
      </c>
      <c r="O6" s="71">
        <v>2117</v>
      </c>
      <c r="P6" s="71">
        <v>3471</v>
      </c>
      <c r="Q6" s="71">
        <v>0</v>
      </c>
      <c r="R6" s="71">
        <v>6437</v>
      </c>
      <c r="S6" s="71">
        <v>7222</v>
      </c>
      <c r="T6" s="71">
        <v>7192</v>
      </c>
      <c r="U6" s="71">
        <v>6209</v>
      </c>
      <c r="V6" s="71">
        <v>2512</v>
      </c>
      <c r="W6" s="71">
        <v>0</v>
      </c>
      <c r="X6" s="71">
        <v>0</v>
      </c>
      <c r="Y6" s="71">
        <v>0</v>
      </c>
      <c r="Z6" s="71">
        <v>5740</v>
      </c>
      <c r="AA6" s="71">
        <v>1302</v>
      </c>
      <c r="AB6" s="71">
        <v>1401</v>
      </c>
      <c r="AC6" s="71">
        <v>7288</v>
      </c>
      <c r="AD6" s="71">
        <v>5453</v>
      </c>
      <c r="AE6" s="71">
        <v>5358</v>
      </c>
    </row>
    <row r="7" spans="1:99" s="72" customFormat="1" ht="22.2" ph="1">
      <c r="B7" s="237" ph="1"/>
      <c r="C7" s="68" t="s" ph="1">
        <v>178</v>
      </c>
      <c r="D7" s="73" ph="1">
        <f>D6*33.183*LOOKUP(D8,密度!$A$2:$A$50,密度!$Q$2:$Q$50)</f>
        <v>4024.3068172799999</v>
      </c>
      <c r="E7" s="73" ph="1">
        <f>E6*51.53*LOOKUP(E8,密度!$A$2:$A$50,密度!$B$2:$B$50)</f>
        <v>138595.24259000001</v>
      </c>
      <c r="F7" s="73" ph="1">
        <f>F6*33.183*LOOKUP(F8,密度!$A$2:$A$50,密度!$C$2:$C$50)</f>
        <v>59383.682914500001</v>
      </c>
      <c r="G7" s="73" ph="1">
        <f xml:space="preserve"> (G6+2)*51.53*LOOKUP(G8,密度!$A$2:$A$50,密度!$B$2:$B$50)</f>
        <v>286637.84079000005</v>
      </c>
      <c r="H7" s="73" ph="1">
        <f>(H6)*51.53*LOOKUP(H8,密度!$A$2:$A$50,密度!$B$2:$B$50)</f>
        <v>69780.251275000002</v>
      </c>
      <c r="I7" s="73" ph="1">
        <f>I6*290.8*1.0267</f>
        <v>5248.7614487999999</v>
      </c>
      <c r="J7" s="73" ph="1">
        <f>J6*290.8*0.7892</f>
        <v>1556.0056608000002</v>
      </c>
      <c r="K7" s="73" ph="1">
        <f>K6*290.8*1.1126</f>
        <v>2494.5248568000002</v>
      </c>
      <c r="L7" s="73" ph="1">
        <f>L6*290.8*0.777</f>
        <v>1380.5642760000003</v>
      </c>
      <c r="M7" s="73" ph="1">
        <f>M6*33.183*LOOKUP(M8,密度!$A$2:$A$50,密度!$D$2:$D$50)</f>
        <v>124208.7539886</v>
      </c>
      <c r="N7" s="73" ph="1">
        <f>N6*33.183*LOOKUP(N8,密度!$A$2:$A$50,密度!$E$2:$E$50)</f>
        <v>60228.605052000006</v>
      </c>
      <c r="O7" s="73" ph="1">
        <f>O6*20.428*LOOKUP(O8,密度!$A$2:$A$50,密度!$C$2:$C$50)</f>
        <v>47747.992511600001</v>
      </c>
      <c r="P7" s="73" ph="1">
        <f>P6*51.53*LOOKUP(P8,密度!$A$2:$A$50,密度!$B$2:$B$50)</f>
        <v>139439.74714799999</v>
      </c>
      <c r="Q7" s="73" ph="1">
        <f>Q6*1.5*1.5*3.1416*LOOKUP(W8,密度!$A$2:$A$50,密度!$L$2:$L$50)</f>
        <v>0</v>
      </c>
      <c r="R7" s="73" ph="1">
        <f>R6*1.5*1.5*3.1416*LOOKUP(R8,密度!$A$2:$A$50,密度!$L$2:$L$50)</f>
        <v>42224.536569600001</v>
      </c>
      <c r="S7" s="73" ph="1">
        <f>S6*1.5*1.5*3.1416*LOOKUP(S8,密度!$A$2:$A$50,密度!$L$2:$L$50)</f>
        <v>47833.315160400001</v>
      </c>
      <c r="T7" s="73" ph="1">
        <f>T6*1.5*1.5*3.1416*LOOKUP(T8,密度!$A$2:$A$50,密度!$L$2:$L$50)</f>
        <v>47736.291556799995</v>
      </c>
      <c r="U7" s="73" ph="1">
        <f>U6*1.5*1.5*3.1416*LOOKUP(U8,密度!$A$2:$A$50,密度!$L$2:$L$50)</f>
        <v>41080.045406400008</v>
      </c>
      <c r="V7" s="73" ph="1">
        <f>V6*1.5*1.5*3.1416*LOOKUP(V8,密度!$A$2:$A$50,密度!$L$2:$L$50)</f>
        <v>16602.162192</v>
      </c>
      <c r="W7" s="73" ph="1">
        <f>W6*1.5*1.5*3.1416*LOOKUP(W8,密度!$A$2:$A$50,密度!$L$2:$L$50)</f>
        <v>0</v>
      </c>
      <c r="X7" s="73" ph="1">
        <f>X6*1.5*1.5*3.1416*LOOKUP(X8,密度!$A$2:$A$50,密度!$L$2:$L$50)</f>
        <v>0</v>
      </c>
      <c r="Y7" s="73" ph="1">
        <f>Y6*1.5*1.5*3.1416*LOOKUP(Y8,密度!$A$2:$A$50,密度!$L$2:$L$50)</f>
        <v>0</v>
      </c>
      <c r="Z7" s="73" ph="1">
        <f>Z6*33.183*LOOKUP(Z8,密度!$A$2:$A$50,密度!$L$2:$L$50)</f>
        <v>178661.25396</v>
      </c>
      <c r="AA7" s="73" ph="1">
        <f>AA6*33.183*LOOKUP(AA8,密度!$A$2:$A$50,密度!$D$2:$D$50)</f>
        <v>44396.703741600009</v>
      </c>
      <c r="AB7" s="73" ph="1">
        <f>AB6*20.428*LOOKUP(AB8,密度!$A$2:$A$50,密度!$D$2:$D$50)</f>
        <v>29438.149360799998</v>
      </c>
      <c r="AC7" s="73" ph="1">
        <f>AC6*51.53*LOOKUP(AC8,密度!$A$2:$A$50,密度!$Q$2:$Q$50)</f>
        <v>355548.81291360001</v>
      </c>
      <c r="AD7" s="73" ph="1">
        <f>AD6*20.428*LOOKUP(AD8,密度!$A$2:$A$50,密度!$V$2:$V$50)</f>
        <v>106670.7833184</v>
      </c>
      <c r="AE7" s="73" ph="1">
        <f>AE6*20.428</f>
        <v>109453.224</v>
      </c>
    </row>
    <row r="8" spans="1:99" ph="1">
      <c r="B8" s="237" ph="1"/>
      <c r="C8" s="68" t="s" ph="1">
        <v>179</v>
      </c>
      <c r="D8" s="74">
        <v>24</v>
      </c>
      <c r="E8" s="74">
        <v>24</v>
      </c>
      <c r="F8" s="74">
        <v>26</v>
      </c>
      <c r="G8" s="74">
        <v>28</v>
      </c>
      <c r="H8" s="74">
        <v>24</v>
      </c>
      <c r="I8" s="74">
        <v>25</v>
      </c>
      <c r="J8" s="74">
        <v>25</v>
      </c>
      <c r="K8" s="74">
        <v>25</v>
      </c>
      <c r="L8" s="74">
        <v>25</v>
      </c>
      <c r="M8" s="74">
        <v>26</v>
      </c>
      <c r="N8" s="74">
        <v>27</v>
      </c>
      <c r="O8" s="74">
        <v>31</v>
      </c>
      <c r="P8" s="74">
        <v>25</v>
      </c>
      <c r="Q8" s="74">
        <v>30</v>
      </c>
      <c r="R8" s="74">
        <v>34</v>
      </c>
      <c r="S8" s="74">
        <v>25</v>
      </c>
      <c r="T8" s="74">
        <v>23</v>
      </c>
      <c r="U8" s="74">
        <v>26</v>
      </c>
      <c r="V8" s="74">
        <v>27</v>
      </c>
      <c r="W8" s="74">
        <v>25</v>
      </c>
      <c r="X8" s="74">
        <v>15</v>
      </c>
      <c r="Y8" s="74">
        <v>25</v>
      </c>
      <c r="Z8" s="74">
        <v>24</v>
      </c>
      <c r="AA8" s="74">
        <v>24</v>
      </c>
      <c r="AB8" s="74">
        <v>23</v>
      </c>
      <c r="AC8" s="74">
        <v>25</v>
      </c>
      <c r="AD8" s="74">
        <v>33</v>
      </c>
      <c r="AE8" s="74">
        <v>27</v>
      </c>
    </row>
    <row r="9" spans="1:99" ht="26.4" ph="1">
      <c r="B9" s="237" ph="1">
        <v>0.66666666666666663</v>
      </c>
      <c r="C9" s="155" t="s" ph="1">
        <v>180</v>
      </c>
      <c r="D9" s="71">
        <v>126</v>
      </c>
      <c r="E9" s="71">
        <v>3441</v>
      </c>
      <c r="F9" s="71">
        <v>1864</v>
      </c>
      <c r="G9" s="71">
        <v>6887</v>
      </c>
      <c r="H9" s="71">
        <v>1737</v>
      </c>
      <c r="I9" s="71">
        <v>4.68</v>
      </c>
      <c r="J9" s="71">
        <v>6.81</v>
      </c>
      <c r="K9" s="71">
        <v>7.79</v>
      </c>
      <c r="L9" s="71">
        <v>49.45</v>
      </c>
      <c r="M9" s="71">
        <v>3650</v>
      </c>
      <c r="N9" s="71">
        <v>2291</v>
      </c>
      <c r="O9" s="71">
        <v>448</v>
      </c>
      <c r="P9" s="71">
        <v>3362</v>
      </c>
      <c r="Q9" s="71">
        <v>0</v>
      </c>
      <c r="R9" s="71">
        <v>1783</v>
      </c>
      <c r="S9" s="71">
        <v>7231</v>
      </c>
      <c r="T9" s="71">
        <v>7199</v>
      </c>
      <c r="U9" s="71">
        <v>6977</v>
      </c>
      <c r="V9" s="71">
        <v>4620</v>
      </c>
      <c r="W9" s="71">
        <v>2464</v>
      </c>
      <c r="X9" s="71">
        <v>0</v>
      </c>
      <c r="Y9" s="71">
        <v>0</v>
      </c>
      <c r="Z9" s="71">
        <v>5611</v>
      </c>
      <c r="AA9" s="71">
        <v>1303</v>
      </c>
      <c r="AB9" s="71">
        <v>1398</v>
      </c>
      <c r="AC9" s="71">
        <v>7642</v>
      </c>
      <c r="AD9" s="71">
        <v>5452</v>
      </c>
      <c r="AE9" s="71">
        <v>5453</v>
      </c>
    </row>
    <row r="10" spans="1:99" s="72" customFormat="1" ht="22.2" ph="1">
      <c r="B10" s="237" ph="1"/>
      <c r="C10" s="155" t="s" ph="1">
        <v>178</v>
      </c>
      <c r="D10" s="73" ph="1">
        <f>D9*33.183*LOOKUP(D11,密度!$A$2:$A$50,密度!$Q$2:$Q$50)</f>
        <v>3944.11744314</v>
      </c>
      <c r="E10" s="73" ph="1">
        <f>E9*51.53*LOOKUP(E11,密度!$A$2:$A$50,密度!$B$2:$B$50)</f>
        <v>136851.50861400002</v>
      </c>
      <c r="F10" s="73" ph="1">
        <f>F9*33.183*LOOKUP(F11,密度!$A$2:$A$50,密度!$C$2:$C$50)</f>
        <v>68496.136228799995</v>
      </c>
      <c r="G10" s="73" ph="1">
        <f xml:space="preserve"> (G9+2)*51.53*LOOKUP(G11,密度!$A$2:$A$50,密度!$B$2:$B$50)</f>
        <v>273661.92205300002</v>
      </c>
      <c r="H10" s="73" ph="1">
        <f>(H9)*51.53*LOOKUP(H11,密度!$A$2:$A$50,密度!$B$2:$B$50)</f>
        <v>69001.416549000001</v>
      </c>
      <c r="I10" s="73" ph="1">
        <f>I9*290.8*1.0267</f>
        <v>1397.2812047999998</v>
      </c>
      <c r="J10" s="73" ph="1">
        <f>J9*290.8*0.7892</f>
        <v>1562.8906416</v>
      </c>
      <c r="K10" s="73" ph="1">
        <f>K9*290.8*1.1126</f>
        <v>2520.4083832000001</v>
      </c>
      <c r="L10" s="73" ph="1">
        <f>L9*290.8*0.777</f>
        <v>11173.306620000001</v>
      </c>
      <c r="M10" s="73" ph="1">
        <f>M9*33.183*LOOKUP(M11,密度!$A$2:$A$50,密度!$D$2:$D$50)</f>
        <v>123782.54489999999</v>
      </c>
      <c r="N10" s="73" ph="1">
        <f>N9*33.183*LOOKUP(N11,密度!$A$2:$A$50,密度!$E$2:$E$50)</f>
        <v>59114.903932799993</v>
      </c>
      <c r="O10" s="73" ph="1">
        <f>O9*20.428*LOOKUP(O11,密度!$A$2:$A$50,密度!$C$2:$C$50)</f>
        <v>9998.2803200000017</v>
      </c>
      <c r="P10" s="73" ph="1">
        <f>P9*51.53*LOOKUP(P11,密度!$A$2:$A$50,密度!$B$2:$B$50)</f>
        <v>134315.96465800001</v>
      </c>
      <c r="Q10" s="73" ph="1">
        <f>Q9*1.5*1.5*3.1416*LOOKUP(W11,密度!$A$2:$A$50,密度!$L$2:$L$50)</f>
        <v>0</v>
      </c>
      <c r="R10" s="73" ph="1">
        <f>R9*1.5*1.5*3.1416*LOOKUP(R11,密度!$A$2:$A$50,密度!$L$2:$L$50)</f>
        <v>11683.2718926</v>
      </c>
      <c r="S10" s="73" ph="1">
        <f>S9*1.5*1.5*3.1416*LOOKUP(S11,密度!$A$2:$A$50,密度!$L$2:$L$50)</f>
        <v>47790.698571000001</v>
      </c>
      <c r="T10" s="73" ph="1">
        <f>T9*1.5*1.5*3.1416*LOOKUP(T11,密度!$A$2:$A$50,密度!$L$2:$L$50)</f>
        <v>47680.979761800001</v>
      </c>
      <c r="U10" s="73" ph="1">
        <f>U9*1.5*1.5*3.1416*LOOKUP(U11,密度!$A$2:$A$50,密度!$L$2:$L$50)</f>
        <v>46161.294379200001</v>
      </c>
      <c r="V10" s="73" ph="1">
        <f>V9*1.5*1.5*3.1416*LOOKUP(V11,密度!$A$2:$A$50,密度!$L$2:$L$50)</f>
        <v>30501.574488000002</v>
      </c>
      <c r="W10" s="73" ph="1">
        <f>W9*1.5*1.5*3.1416*LOOKUP(W11,密度!$A$2:$A$50,密度!$L$2:$L$50)</f>
        <v>16302.3404544</v>
      </c>
      <c r="X10" s="73" ph="1">
        <f>X9*1.5*1.5*3.1416*LOOKUP(X11,密度!$A$2:$A$50,密度!$L$2:$L$50)</f>
        <v>0</v>
      </c>
      <c r="Y10" s="73" ph="1">
        <f>Y9*1.5*1.5*3.1416*LOOKUP(Y11,密度!$A$2:$A$50,密度!$L$2:$L$50)</f>
        <v>0</v>
      </c>
      <c r="Z10" s="73" ph="1">
        <f>Z9*33.183*LOOKUP(Z11,密度!$A$2:$A$50,密度!$L$2:$L$50)</f>
        <v>174273.664968</v>
      </c>
      <c r="AA10" s="73" ph="1">
        <f>AA9*33.183*LOOKUP(AA11,密度!$A$2:$A$50,密度!$D$2:$D$50)</f>
        <v>44188.672878000005</v>
      </c>
      <c r="AB10" s="73" ph="1">
        <f>AB9*20.428*LOOKUP(AB11,密度!$A$2:$A$50,密度!$D$2:$D$50)</f>
        <v>29295.149275200001</v>
      </c>
      <c r="AC10" s="73" ph="1">
        <f>AC9*51.53*LOOKUP(AC11,密度!$A$2:$A$50,密度!$Q$2:$Q$50)</f>
        <v>371476.05262580002</v>
      </c>
      <c r="AD10" s="73" ph="1">
        <f>AD9*20.428*LOOKUP(AD11,密度!$A$2:$A$50,密度!$V$2:$V$50)</f>
        <v>106651.2214656</v>
      </c>
      <c r="AE10" s="73" ph="1">
        <f>AE9*20.428</f>
        <v>111393.88400000001</v>
      </c>
    </row>
    <row r="11" spans="1:99" ph="1">
      <c r="A11" s="64" t="s" ph="1">
        <v>162</v>
      </c>
      <c r="B11" s="237" ph="1"/>
      <c r="C11" s="155" t="s" ph="1">
        <v>179</v>
      </c>
      <c r="D11" s="74">
        <v>30</v>
      </c>
      <c r="E11" s="74">
        <v>34</v>
      </c>
      <c r="F11" s="74">
        <v>27</v>
      </c>
      <c r="G11" s="74">
        <v>35</v>
      </c>
      <c r="H11" s="74">
        <v>35</v>
      </c>
      <c r="I11" s="74">
        <v>25</v>
      </c>
      <c r="J11" s="74">
        <v>25</v>
      </c>
      <c r="K11" s="74">
        <v>25</v>
      </c>
      <c r="L11" s="74">
        <v>25</v>
      </c>
      <c r="M11" s="74">
        <v>30</v>
      </c>
      <c r="N11" s="74">
        <v>30</v>
      </c>
      <c r="O11" s="74">
        <v>42</v>
      </c>
      <c r="P11" s="74">
        <v>30</v>
      </c>
      <c r="Q11" s="74">
        <v>43</v>
      </c>
      <c r="R11" s="74">
        <v>35</v>
      </c>
      <c r="S11" s="74">
        <v>27</v>
      </c>
      <c r="T11" s="74">
        <v>25</v>
      </c>
      <c r="U11" s="74">
        <v>26</v>
      </c>
      <c r="V11" s="74">
        <v>28</v>
      </c>
      <c r="W11" s="74">
        <v>26</v>
      </c>
      <c r="X11" s="74">
        <v>26</v>
      </c>
      <c r="Y11" s="74">
        <v>30</v>
      </c>
      <c r="Z11" s="74">
        <v>26</v>
      </c>
      <c r="AA11" s="74">
        <v>30</v>
      </c>
      <c r="AB11" s="74">
        <v>26</v>
      </c>
      <c r="AC11" s="74">
        <v>30</v>
      </c>
      <c r="AD11" s="74">
        <v>37</v>
      </c>
      <c r="AE11" s="74">
        <v>30</v>
      </c>
    </row>
    <row r="12" spans="1:99" ht="9.9" customHeight="1" ph="1"/>
    <row r="13" spans="1:99" s="72" customFormat="1" ht="29.25" customHeight="1" ph="1">
      <c r="B13" s="214" t="s" ph="1">
        <v>37</v>
      </c>
      <c r="C13" s="155" t="s" ph="1">
        <v>176</v>
      </c>
      <c r="D13" s="76" t="s" ph="1">
        <v>52</v>
      </c>
      <c r="E13" s="76" t="s" ph="1">
        <v>53</v>
      </c>
      <c r="F13" s="76" t="s" ph="1">
        <v>57</v>
      </c>
      <c r="G13" s="76" t="s" ph="1">
        <v>58</v>
      </c>
      <c r="H13" s="76" t="s" ph="1">
        <v>128</v>
      </c>
      <c r="I13" s="76" t="s" ph="1">
        <v>59</v>
      </c>
      <c r="J13" s="76" t="s" ph="1">
        <v>129</v>
      </c>
      <c r="K13" s="76" t="s" ph="1">
        <v>55</v>
      </c>
      <c r="L13" s="76" t="s" ph="1">
        <v>60</v>
      </c>
      <c r="M13" s="76" t="s" ph="1">
        <v>61</v>
      </c>
      <c r="N13" s="76" t="s" ph="1">
        <v>130</v>
      </c>
      <c r="O13" s="76" t="s" ph="1">
        <v>56</v>
      </c>
      <c r="P13" s="76" t="s" ph="1">
        <v>62</v>
      </c>
      <c r="Q13" s="76" t="s" ph="1">
        <v>63</v>
      </c>
      <c r="R13" s="76" t="s" ph="1">
        <v>64</v>
      </c>
      <c r="S13" s="76" t="s" ph="1">
        <v>65</v>
      </c>
      <c r="T13" s="76" t="s" ph="1">
        <v>66</v>
      </c>
      <c r="U13" s="76" t="s" ph="1">
        <v>67</v>
      </c>
      <c r="V13" s="76" t="s" ph="1">
        <v>131</v>
      </c>
      <c r="W13" s="76" t="s" ph="1">
        <v>132</v>
      </c>
      <c r="X13" s="76" t="s" ph="1">
        <v>133</v>
      </c>
      <c r="Y13" s="105" t="s" ph="1">
        <v>68</v>
      </c>
      <c r="Z13" s="76" t="s" ph="1">
        <v>74</v>
      </c>
      <c r="AA13" s="76" t="s" ph="1">
        <v>134</v>
      </c>
      <c r="AB13" s="76" t="s" ph="1">
        <v>135</v>
      </c>
      <c r="AC13" s="76" t="s" ph="1">
        <v>136</v>
      </c>
      <c r="AD13" s="76" t="s" ph="1">
        <v>137</v>
      </c>
      <c r="AE13" s="76" t="s" ph="1">
        <v>138</v>
      </c>
      <c r="AG13" s="72" t="s" ph="1">
        <v>325</v>
      </c>
      <c r="AH13" s="72" t="s" ph="1">
        <v>188</v>
      </c>
      <c r="AI13" s="72" t="s" ph="1">
        <v>189</v>
      </c>
      <c r="AJ13" s="72" t="s" ph="1">
        <v>190</v>
      </c>
      <c r="AK13" s="72" t="s" ph="1">
        <v>191</v>
      </c>
      <c r="AL13" s="72" t="s" ph="1">
        <v>192</v>
      </c>
      <c r="AM13" s="72" t="s" ph="1">
        <v>193</v>
      </c>
      <c r="AN13" s="72" t="s" ph="1">
        <v>194</v>
      </c>
      <c r="AO13" s="72" t="s" ph="1">
        <v>195</v>
      </c>
      <c r="AP13" s="72" t="s" ph="1">
        <v>196</v>
      </c>
      <c r="AQ13" s="72" t="s" ph="1">
        <v>197</v>
      </c>
      <c r="AR13" s="72" t="s" ph="1">
        <v>198</v>
      </c>
      <c r="AS13" s="72" t="s" ph="1">
        <v>199</v>
      </c>
      <c r="AT13" s="72" t="s" ph="1">
        <v>200</v>
      </c>
      <c r="AU13" s="72" t="s" ph="1">
        <v>201</v>
      </c>
      <c r="AV13" s="72" t="s" ph="1">
        <v>202</v>
      </c>
      <c r="AW13" s="72" t="s" ph="1">
        <v>203</v>
      </c>
      <c r="AX13" s="72" t="s" ph="1">
        <v>204</v>
      </c>
      <c r="AY13" s="72" t="s" ph="1">
        <v>326</v>
      </c>
      <c r="AZ13" s="72" t="s" ph="1">
        <v>205</v>
      </c>
      <c r="BA13" s="72" t="s" ph="1">
        <v>206</v>
      </c>
      <c r="BB13" s="72" t="s" ph="1">
        <v>591</v>
      </c>
      <c r="BC13" s="72" t="s" ph="1">
        <v>207</v>
      </c>
      <c r="BD13" s="72" t="s" ph="1">
        <v>327</v>
      </c>
      <c r="BE13" s="72" t="s" ph="1">
        <v>328</v>
      </c>
      <c r="BF13" s="72" t="s" ph="1">
        <v>329</v>
      </c>
      <c r="BG13" s="72" t="s" ph="1">
        <v>330</v>
      </c>
      <c r="BH13" s="72" t="s" ph="1">
        <v>331</v>
      </c>
    </row>
    <row r="14" spans="1:99" s="72" customFormat="1" ht="24" ph="1">
      <c r="B14" s="215" ph="1"/>
      <c r="C14" s="67" t="s" ph="1">
        <v>36</v>
      </c>
      <c r="D14" s="77" t="s" ph="1">
        <v>616</v>
      </c>
      <c r="E14" s="77" t="s" ph="1">
        <v>616</v>
      </c>
      <c r="F14" s="77" t="s" ph="1">
        <v>639</v>
      </c>
      <c r="G14" s="77" t="s" ph="1">
        <v>617</v>
      </c>
      <c r="H14" s="77" t="s" ph="1">
        <v>636</v>
      </c>
      <c r="I14" s="138" t="s" ph="1">
        <v>618</v>
      </c>
      <c r="J14" s="77" t="s" ph="1">
        <v>619</v>
      </c>
      <c r="K14" s="77" t="s" ph="1">
        <v>186</v>
      </c>
      <c r="L14" s="77" t="s" ph="1">
        <v>41</v>
      </c>
      <c r="M14" s="104" t="s" ph="1">
        <v>620</v>
      </c>
      <c r="N14" s="104" t="s" ph="1">
        <v>621</v>
      </c>
      <c r="O14" s="104" t="s" ph="1">
        <v>637</v>
      </c>
      <c r="P14" s="77" t="s" ph="1">
        <v>622</v>
      </c>
      <c r="Q14" s="77" t="s" ph="1">
        <v>622</v>
      </c>
      <c r="R14" s="77" t="s" ph="1">
        <v>622</v>
      </c>
      <c r="S14" s="77" t="s" ph="1">
        <v>622</v>
      </c>
      <c r="T14" s="77" t="s" ph="1">
        <v>624</v>
      </c>
      <c r="U14" s="77" t="s" ph="1">
        <v>605</v>
      </c>
      <c r="V14" s="77" t="s" ph="1">
        <v>633</v>
      </c>
      <c r="W14" s="77" t="s" ph="1">
        <v>622</v>
      </c>
      <c r="X14" s="77" t="s" ph="1">
        <v>625</v>
      </c>
      <c r="Y14" s="143" t="s" ph="1">
        <v>0</v>
      </c>
      <c r="Z14" s="77" t="s" ph="1">
        <v>54</v>
      </c>
      <c r="AA14" s="77" t="s" ph="1">
        <v>613</v>
      </c>
      <c r="AB14" s="77" t="s" ph="1">
        <v>632</v>
      </c>
      <c r="AC14" s="77" t="s" ph="1">
        <v>632</v>
      </c>
      <c r="AD14" s="77" t="s" ph="1">
        <v>612</v>
      </c>
      <c r="AE14" s="77" t="s" ph="1">
        <v>612</v>
      </c>
      <c r="AG14" s="72" t="s" ph="1">
        <v>208</v>
      </c>
      <c r="AI14" s="72" t="s" ph="1">
        <v>209</v>
      </c>
      <c r="AJ14" s="72" t="s" ph="1">
        <v>332</v>
      </c>
      <c r="AK14" s="72" t="s" ph="1">
        <v>210</v>
      </c>
      <c r="AM14" s="72" t="s" ph="1">
        <v>212</v>
      </c>
      <c r="AN14" s="72" t="s" ph="1">
        <v>210</v>
      </c>
      <c r="AO14" s="72" t="s" ph="1">
        <v>211</v>
      </c>
      <c r="AP14" s="72" t="s" ph="1">
        <v>212</v>
      </c>
      <c r="AQ14" s="72" t="s" ph="1">
        <v>210</v>
      </c>
      <c r="AR14" s="72" t="s" ph="1">
        <v>211</v>
      </c>
      <c r="AS14" s="72" t="s" ph="1">
        <v>212</v>
      </c>
      <c r="AT14" s="72" t="s" ph="1">
        <v>210</v>
      </c>
      <c r="AU14" s="72" t="s" ph="1">
        <v>211</v>
      </c>
      <c r="AV14" s="72" t="s" ph="1">
        <v>212</v>
      </c>
      <c r="AW14" s="72" t="s" ph="1">
        <v>210</v>
      </c>
      <c r="AX14" s="72" t="s" ph="1">
        <v>211</v>
      </c>
      <c r="AY14" s="72" t="s" ph="1">
        <v>212</v>
      </c>
      <c r="AZ14" s="72" t="s" ph="1">
        <v>211</v>
      </c>
    </row>
    <row r="15" spans="1:99" ph="1">
      <c r="B15" s="216" ph="1">
        <v>0.33333333333333331</v>
      </c>
      <c r="C15" s="155" t="s" ph="1">
        <v>177</v>
      </c>
      <c r="D15" s="78">
        <v>1912</v>
      </c>
      <c r="E15" s="78">
        <v>5400</v>
      </c>
      <c r="F15" s="78">
        <v>3458</v>
      </c>
      <c r="G15" s="78">
        <v>4467</v>
      </c>
      <c r="H15" s="78">
        <v>2185</v>
      </c>
      <c r="I15" s="78">
        <v>2499</v>
      </c>
      <c r="J15" s="78">
        <v>5090</v>
      </c>
      <c r="K15" s="78">
        <v>1017</v>
      </c>
      <c r="L15" s="78">
        <v>5343</v>
      </c>
      <c r="M15" s="78">
        <v>6084</v>
      </c>
      <c r="N15" s="78">
        <v>2259</v>
      </c>
      <c r="O15" s="78">
        <v>1907</v>
      </c>
      <c r="P15" s="78">
        <v>2033</v>
      </c>
      <c r="Q15" s="78">
        <v>6655</v>
      </c>
      <c r="R15" s="78">
        <v>0</v>
      </c>
      <c r="S15" s="78">
        <v>4720</v>
      </c>
      <c r="T15" s="78">
        <v>6105</v>
      </c>
      <c r="U15" s="78">
        <v>1777</v>
      </c>
      <c r="V15" s="78">
        <v>-817</v>
      </c>
      <c r="W15" s="71">
        <v>-799</v>
      </c>
      <c r="X15" s="78">
        <v>858</v>
      </c>
      <c r="Y15" s="106">
        <v>-2366</v>
      </c>
      <c r="Z15" s="78">
        <v>0</v>
      </c>
      <c r="AA15" s="78">
        <v>2467</v>
      </c>
      <c r="AB15" s="78" ph="1">
        <v>0</v>
      </c>
      <c r="AC15" s="78" ph="1">
        <v>0</v>
      </c>
      <c r="AD15" s="78">
        <v>0</v>
      </c>
      <c r="AE15" s="78">
        <v>47.16</v>
      </c>
      <c r="AG15" s="64" t="s" ph="1">
        <v>214</v>
      </c>
      <c r="AH15" s="64" ph="1">
        <v>1</v>
      </c>
      <c r="AI15" s="64" t="s" ph="1">
        <v>333</v>
      </c>
      <c r="AK15" s="64" t="s" ph="1">
        <v>587</v>
      </c>
      <c r="AM15" s="64" t="s" ph="1">
        <v>335</v>
      </c>
      <c r="AZ15" s="64" t="s" ph="1">
        <v>216</v>
      </c>
      <c r="BA15" s="64" ph="1">
        <v>0</v>
      </c>
    </row>
    <row r="16" spans="1:99" s="72" customFormat="1" ht="22.2" ph="1">
      <c r="B16" s="217" ph="1"/>
      <c r="C16" s="155" t="s" ph="1">
        <v>178</v>
      </c>
      <c r="D16" s="73" ph="1">
        <f>D15*7.0686*LOOKUP(D17,密度!$A$2:$A$50,密度!$L$2:$L$50)</f>
        <v>12623.162428800002</v>
      </c>
      <c r="E16" s="73" ph="1">
        <f>E15*7.0686*LOOKUP(E17,密度!$A$2:$A$50,密度!$L$2:$L$50)</f>
        <v>35651.190960000007</v>
      </c>
      <c r="F16" s="73" ph="1">
        <f>F15*9.0746*LOOKUP(F17,密度!$A$2:$A$50,密度!$L$2:$L$50)</f>
        <v>29151.989157200005</v>
      </c>
      <c r="G16" s="73" ph="1">
        <f>G15*9.0746*LOOKUP(G17,密度!$A$2:$A$50,密度!$B$2:$B$50)</f>
        <v>31565.568686339997</v>
      </c>
      <c r="H16" s="73" ph="1">
        <f>H15*9.0746*LOOKUP(H17,密度!$A$2:$A$50,密度!$L$2:$L$50)</f>
        <v>18618.492939</v>
      </c>
      <c r="I16" s="73" ph="1">
        <f>I15*9.0746*LOOKUP(I17,密度!$A$2:$A$50,密度!$U$2:$U$50)</f>
        <v>23244.361034999998</v>
      </c>
      <c r="J16" s="73" ph="1">
        <f>J15*9.0746*LOOKUP(J17,密度!$A$2:$A$50,密度!$L$2:$L$50)</f>
        <v>43187.382590000001</v>
      </c>
      <c r="K16" s="73" ph="1">
        <f>K15*9.0746*LOOKUP(K17,密度!$A$2:$A$50,密度!$C$2:$C$50)</f>
        <v>10233.89194698</v>
      </c>
      <c r="L16" s="73" ph="1">
        <f>L15*9.0746*LOOKUP(L17,密度!$A$2:$A$50,密度!$E$2:$E$50)</f>
        <v>37867.2440718</v>
      </c>
      <c r="M16" s="73" ph="1">
        <f>M15*9.0746*LOOKUP(M17,密度!$A$2:$A$50,密度!$M$2:$M$50)</f>
        <v>48087.793634399997</v>
      </c>
      <c r="N16" s="73" ph="1">
        <f>N15*9.0746*LOOKUP(N17,密度!$A$2:$A$50,密度!$M$2:$M$50)</f>
        <v>17939.13117714</v>
      </c>
      <c r="O16" s="73" ph="1">
        <f>O15*9.0746*LOOKUP(O17,密度!$A$2:$A$50,密度!$G$2:$G$50)</f>
        <v>16595.746449800001</v>
      </c>
      <c r="P16" s="73" ph="1">
        <f ca="1">P15*9.0746*LOOKUP(P17,密度!$A$2:$A$51,密度!$Q$2:$Q$50)</f>
        <v>17439.888972776003</v>
      </c>
      <c r="Q16" s="73" ph="1">
        <f>Q15*9.0746*LOOKUP(Q17,密度!$A$2:$A$50,密度!$Q$2:$Q$50)</f>
        <v>57046.983779060007</v>
      </c>
      <c r="R16" s="73" ph="1">
        <f>MAX(R15*9.0746*LOOKUP(R17,密度!$A$2:$A$50,密度!$Q$2:$Q$50),0)</f>
        <v>0</v>
      </c>
      <c r="S16" s="73" ph="1">
        <f>S15*9.0746*LOOKUP(S17,密度!$A$2:$A$50,密度!$Q$2:$Q$50)</f>
        <v>40460.069637439999</v>
      </c>
      <c r="T16" s="73" ph="1">
        <f>T15*9.0746*LOOKUP(T17,密度!$A$2:$A$50,密度!$O$2:$O$50)</f>
        <v>51300.800958000007</v>
      </c>
      <c r="U16" s="73" ph="1">
        <f>U15*9.0746*LOOKUP(U17,密度!$A$2:$A$50,密度!$H$2:$H$50)</f>
        <v>14766.17913794</v>
      </c>
      <c r="V16" s="73" ph="1">
        <f>MAX(5600*LOOKUP(V17,密度!$A$2:$A$50,密度!$Q$2:$Q$50)+V15*9.0476*LOOKUP(V17,密度!$A$2:$A$50,密度!$Q$2:$Q$50),0)</f>
        <v>0</v>
      </c>
      <c r="W16" s="73" ph="1">
        <f>MAX(5600*LOOKUP(W17,密度!$A$2:$A$50,密度!$Q$2:$Q$50)+W15*9.0476*LOOKUP(W17,密度!$A$2:$A$50,密度!$Q$2:$Q$50),0)</f>
        <v>0</v>
      </c>
      <c r="X16" s="73" ph="1">
        <f>MAX(5600*LOOKUP(X17,密度!$A$2:$A$50,密度!$I$2:$I$50)+X15*9.0476*LOOKUP(X17,密度!$A$2:$A$50,密度!$I$2:$I$50),0)</f>
        <v>13898.69071608</v>
      </c>
      <c r="Y16" s="107" ph="1">
        <v>0</v>
      </c>
      <c r="Z16" s="73" ph="1">
        <f>Z15*9.0746*LOOKUP(Z17,密度!$A$2:$A$50,密度!$D$2:$D$50)</f>
        <v>0</v>
      </c>
      <c r="AA16" s="73" ph="1">
        <f>AA15*9.0746*LOOKUP(AA17,密度!$A$2:$A$50,密度!$B$2:$B$50)</f>
        <v>17452.934980719998</v>
      </c>
      <c r="AB16" s="73" ph="1">
        <f>AB15*9.0746*LOOKUP(AB17,密度!$A$2:$A$50,密度!$L$2:$L$50)</f>
        <v>0</v>
      </c>
      <c r="AC16" s="73" ph="1">
        <f>AC15*9.0746*LOOKUP(AC17,密度!$A$2:$A$50,密度!$L$2:$L$50)</f>
        <v>0</v>
      </c>
      <c r="AD16" s="73" ph="1">
        <f>AD15*268.68*LOOKUP(AD17,密度!$A$2:$A$50,密度!B2:B50)+IF(AD15&lt;=0,0,1566*LOOKUP(AD17,密度!$A$2:$A$50,密度!B2:B50))</f>
        <v>0</v>
      </c>
      <c r="AE16" s="73" ph="1">
        <f>AE15*268.68*LOOKUP(AE17,密度!$A$2:$A$50,密度!B2:B50)+IF(AE15&lt;=0,0,1566*LOOKUP(AE17,密度!$A$2:$A$50,密度!B2:B50))</f>
        <v>11099.12528448</v>
      </c>
      <c r="AH16" s="72" ph="1">
        <v>2</v>
      </c>
      <c r="AI16" s="72" t="s" ph="1">
        <v>337</v>
      </c>
      <c r="AZ16" s="72" t="s" ph="1">
        <v>216</v>
      </c>
      <c r="BA16" s="72" ph="1">
        <v>0</v>
      </c>
    </row>
    <row r="17" spans="1:57" ph="1">
      <c r="A17" s="64" t="s" ph="1">
        <v>73</v>
      </c>
      <c r="B17" s="218" ph="1"/>
      <c r="C17" s="79" t="s" ph="1">
        <v>179</v>
      </c>
      <c r="D17" s="74">
        <v>28</v>
      </c>
      <c r="E17" s="74">
        <v>28</v>
      </c>
      <c r="F17" s="74">
        <v>33</v>
      </c>
      <c r="G17" s="74">
        <v>26</v>
      </c>
      <c r="H17" s="74">
        <v>23</v>
      </c>
      <c r="I17" s="74">
        <v>25</v>
      </c>
      <c r="J17" s="74">
        <v>27</v>
      </c>
      <c r="K17" s="74">
        <v>25</v>
      </c>
      <c r="L17" s="74">
        <v>27</v>
      </c>
      <c r="M17" s="74">
        <v>29</v>
      </c>
      <c r="N17" s="74">
        <v>25</v>
      </c>
      <c r="O17" s="74">
        <v>26</v>
      </c>
      <c r="P17" s="74">
        <v>27</v>
      </c>
      <c r="Q17" s="74">
        <v>28</v>
      </c>
      <c r="R17" s="74">
        <v>25</v>
      </c>
      <c r="S17" s="74">
        <v>28</v>
      </c>
      <c r="T17" s="74">
        <v>25</v>
      </c>
      <c r="U17" s="74">
        <v>24</v>
      </c>
      <c r="V17" s="74">
        <v>27</v>
      </c>
      <c r="W17" s="74">
        <v>27</v>
      </c>
      <c r="X17" s="74">
        <v>27</v>
      </c>
      <c r="Y17" s="108">
        <v>27</v>
      </c>
      <c r="Z17" s="74">
        <v>23</v>
      </c>
      <c r="AA17" s="74">
        <v>25</v>
      </c>
      <c r="AB17" s="74">
        <v>24</v>
      </c>
      <c r="AC17" s="74">
        <v>22</v>
      </c>
      <c r="AD17" s="74">
        <v>25</v>
      </c>
      <c r="AE17" s="74">
        <v>25</v>
      </c>
      <c r="AH17" s="64" ph="1">
        <v>3</v>
      </c>
      <c r="AI17" s="64" t="s" ph="1">
        <v>338</v>
      </c>
      <c r="AK17" s="64" t="s" ph="1">
        <v>570</v>
      </c>
      <c r="AL17" s="64" ph="1">
        <v>80</v>
      </c>
      <c r="AM17" s="64" t="s" ph="1">
        <v>335</v>
      </c>
      <c r="AZ17" s="64" t="s" ph="1">
        <v>216</v>
      </c>
      <c r="BA17" s="64" ph="1">
        <v>80</v>
      </c>
      <c r="BD17" s="64" t="s" ph="1">
        <v>214</v>
      </c>
      <c r="BE17" s="64" ph="1">
        <v>2270</v>
      </c>
    </row>
    <row r="18" spans="1:57" ht="26.4" ph="1">
      <c r="B18" s="216" ph="1">
        <v>0.66666666666666663</v>
      </c>
      <c r="C18" s="79" t="s" ph="1">
        <v>180</v>
      </c>
      <c r="D18" s="71">
        <v>4266</v>
      </c>
      <c r="E18" s="71">
        <v>3273</v>
      </c>
      <c r="F18" s="71">
        <v>3543</v>
      </c>
      <c r="G18" s="71">
        <v>4628</v>
      </c>
      <c r="H18" s="71">
        <v>2186</v>
      </c>
      <c r="I18" s="71">
        <v>5054</v>
      </c>
      <c r="J18" s="71">
        <v>5110</v>
      </c>
      <c r="K18" s="71">
        <v>3579</v>
      </c>
      <c r="L18" s="71">
        <v>5355</v>
      </c>
      <c r="M18" s="71">
        <v>4307</v>
      </c>
      <c r="N18" s="71">
        <v>1134</v>
      </c>
      <c r="O18" s="71">
        <v>1908</v>
      </c>
      <c r="P18" s="71">
        <v>2035</v>
      </c>
      <c r="Q18" s="71">
        <v>6662</v>
      </c>
      <c r="R18" s="71">
        <v>0</v>
      </c>
      <c r="S18" s="71">
        <v>4745</v>
      </c>
      <c r="T18" s="71">
        <v>5656</v>
      </c>
      <c r="U18" s="71">
        <v>1776</v>
      </c>
      <c r="V18" s="71">
        <v>-817</v>
      </c>
      <c r="W18" s="71">
        <v>-791</v>
      </c>
      <c r="X18" s="71">
        <v>855</v>
      </c>
      <c r="Y18" s="109">
        <v>-9907</v>
      </c>
      <c r="Z18" s="71">
        <v>0</v>
      </c>
      <c r="AA18" s="71">
        <v>2470</v>
      </c>
      <c r="AB18" s="71">
        <v>0</v>
      </c>
      <c r="AC18" s="71">
        <v>0</v>
      </c>
      <c r="AD18" s="71">
        <v>2.11</v>
      </c>
      <c r="AE18" s="71">
        <v>84.55</v>
      </c>
      <c r="AH18" s="64" ph="1">
        <v>4</v>
      </c>
      <c r="AI18" s="64" t="s" ph="1">
        <v>340</v>
      </c>
      <c r="AJ18" s="64" t="s" ph="1">
        <v>588</v>
      </c>
      <c r="AK18" s="64" t="s" ph="1">
        <v>587</v>
      </c>
      <c r="AL18" s="64" ph="1">
        <v>740</v>
      </c>
      <c r="AM18" s="64" t="s" ph="1">
        <v>339</v>
      </c>
      <c r="AZ18" s="64" t="s" ph="1">
        <v>216</v>
      </c>
      <c r="BA18" s="64" ph="1">
        <v>740</v>
      </c>
    </row>
    <row r="19" spans="1:57" s="72" customFormat="1" ht="22.2" ph="1">
      <c r="B19" s="217" ph="1"/>
      <c r="C19" s="155" t="s" ph="1">
        <v>178</v>
      </c>
      <c r="D19" s="73" ph="1">
        <f>D18*7.0686*LOOKUP(D20,密度!$A$2:$A$50,密度!$L$2:$L$50)</f>
        <v>28104.131563200001</v>
      </c>
      <c r="E19" s="73" ph="1">
        <f>E18*7.0686*LOOKUP(E20,密度!$A$2:$A$50,密度!$L$2:$L$50)</f>
        <v>21562.311909600001</v>
      </c>
      <c r="F19" s="73" ph="1">
        <f>F18*9.0746*LOOKUP(F20,密度!$A$2:$A$50,密度!$L$2:$L$50)</f>
        <v>29836.413638400005</v>
      </c>
      <c r="G19" s="73" ph="1">
        <f>G18*9.0746*LOOKUP(G20,密度!$A$2:$A$50,密度!$B$2:$B$50)</f>
        <v>32598.264518560001</v>
      </c>
      <c r="H19" s="73" ph="1">
        <f>H18*9.0746*LOOKUP(H20,密度!$A$2:$A$50,密度!$L$2:$L$50)</f>
        <v>18567.502761600001</v>
      </c>
      <c r="I19" s="73" ph="1">
        <f>I18*9.0746*LOOKUP(I20,密度!$A$2:$A$50,密度!$U$2:$U$50)</f>
        <v>46780.288968000001</v>
      </c>
      <c r="J19" s="73" ph="1">
        <f>J18*9.0746*LOOKUP(J20,密度!$A$2:$A$50,密度!$L$2:$L$50)</f>
        <v>43217.963991999997</v>
      </c>
      <c r="K19" s="73" ph="1">
        <f>K18*9.0746*LOOKUP(K20,密度!$A$2:$A$50,密度!$C$2:$C$50)</f>
        <v>35891.430506339995</v>
      </c>
      <c r="L19" s="73" ph="1">
        <f>L18*9.0746*LOOKUP(L20,密度!$A$2:$A$50,密度!$E$2:$E$50)</f>
        <v>37840.523912099998</v>
      </c>
      <c r="M19" s="73" ph="1">
        <f>M18*9.0746*LOOKUP(M20,密度!$A$2:$A$50,密度!$M$2:$M$50)</f>
        <v>33918.139135204001</v>
      </c>
      <c r="N19" s="73" ph="1">
        <f>N18*9.0746*LOOKUP(N20,密度!$A$2:$A$50,密度!$M$2:$M$50)</f>
        <v>8984.7197168399998</v>
      </c>
      <c r="O19" s="73" ph="1">
        <f>O18*9.0746*LOOKUP(O20,密度!$A$2:$A$50,密度!$G$2:$G$50)</f>
        <v>16550.77454712</v>
      </c>
      <c r="P19" s="73" ph="1">
        <f ca="1">P18*9.0746*LOOKUP(P20,密度!$A$2:$A$51,密度!$Q$2:$Q$50)</f>
        <v>17420.296820630003</v>
      </c>
      <c r="Q19" s="73" ph="1">
        <f>Q18*9.0746*LOOKUP(Q20,密度!$A$2:$A$50,密度!$Q$2:$Q$50)</f>
        <v>57029.001188716</v>
      </c>
      <c r="R19" s="73" ph="1">
        <f>MAX(R18*9.0746*LOOKUP(R20,密度!$A$2:$A$50,密度!$Q$2:$Q$50),0)</f>
        <v>0</v>
      </c>
      <c r="S19" s="73" ph="1">
        <f>S18*9.0746*LOOKUP(S20,密度!$A$2:$A$50,密度!$Q$2:$Q$50)</f>
        <v>40618.82477341</v>
      </c>
      <c r="T19" s="73" ph="1">
        <f>T18*9.0746*LOOKUP(T20,密度!$A$2:$A$50,密度!$O$2:$O$50)</f>
        <v>47322.51446720001</v>
      </c>
      <c r="U19" s="73" ph="1">
        <f>U18*9.0746*LOOKUP(U20,密度!$A$2:$A$50,密度!$H$2:$H$50)</f>
        <v>14712.743355840001</v>
      </c>
      <c r="V19" s="73" ph="1">
        <f>MAX(5600*LOOKUP(V20,密度!$A$2:$A$50,密度!$Q$2:$Q$50)+V18*9.0476*LOOKUP(V20,密度!$A$2:$A$50,密度!$Q$2:$Q$50),0)</f>
        <v>0</v>
      </c>
      <c r="W19" s="73" ph="1">
        <f>MAX(5600*LOOKUP(W20,密度!$A$2:$A$50,密度!$Q$2:$Q$50)+W18*9.0476*LOOKUP(W20,密度!$A$2:$A$50,密度!$Q$2:$Q$50),0)</f>
        <v>0</v>
      </c>
      <c r="X19" s="73" ph="1">
        <f>MAX(5600*LOOKUP(X20,密度!$A$2:$A$50,密度!$I$2:$I$50)+X18*9.0476*LOOKUP(X20,密度!$A$2:$A$50,密度!$I$2:$I$50),0)</f>
        <v>13825.118116599999</v>
      </c>
      <c r="Y19" s="73" ph="1">
        <f>MAX(5600*LOOKUP(Y20,密度!$A$2:$A$50,密度!$I$2:$I$50)+Y18*9.0476*LOOKUP(Y20,密度!$A$2:$A$50,密度!$I$2:$I$50),0)</f>
        <v>0</v>
      </c>
      <c r="Z19" s="73" ph="1">
        <f>Z18*9.0746*LOOKUP(Z20,密度!$A$2:$A$50,密度!$D$2:$D$50)</f>
        <v>0</v>
      </c>
      <c r="AA19" s="73" ph="1">
        <f>AA18*9.0746*LOOKUP(AA20,密度!$A$2:$A$50,密度!$B$2:$B$50)</f>
        <v>17436.054409799999</v>
      </c>
      <c r="AB19" s="73" ph="1">
        <f>AB18*9.0746*LOOKUP(AB20,密度!$A$2:$A$50,密度!$L$2:$L$50)</f>
        <v>0</v>
      </c>
      <c r="AC19" s="73" ph="1">
        <f>AC18*9.0746*LOOKUP(AC20,密度!$A$2:$A$50,密度!$L$2:$L$50)</f>
        <v>0</v>
      </c>
      <c r="AD19" s="73" ph="1">
        <f>AD18*268.68*LOOKUP(AD20,密度!$A$2:$A$50,密度!B5:B53)+IF(AD18&lt;=0,0,1566*LOOKUP(AD20,密度!$A$2:$A$50,密度!B5:B53))</f>
        <v>1657.2747995999998</v>
      </c>
      <c r="AE19" s="73" ph="1">
        <f>AE18*268.68*LOOKUP(AE20,密度!$A$2:$A$50,密度!B5:B53)+IF(AE18&lt;=0,0,1566*LOOKUP(AE20,密度!$A$2:$A$50,密度!B5:B53))</f>
        <v>18867.808637999999</v>
      </c>
      <c r="AH19" s="72" ph="1">
        <v>5</v>
      </c>
      <c r="AI19" s="72" t="s" ph="1">
        <v>341</v>
      </c>
      <c r="AZ19" s="72" t="s" ph="1">
        <v>216</v>
      </c>
      <c r="BA19" s="72" ph="1">
        <v>0</v>
      </c>
      <c r="BD19" s="72" t="s" ph="1">
        <v>342</v>
      </c>
      <c r="BE19" s="72" ph="1">
        <v>1440</v>
      </c>
    </row>
    <row r="20" spans="1:57" ph="1">
      <c r="A20" s="72" ph="1"/>
      <c r="B20" s="217" ph="1"/>
      <c r="C20" s="80" t="s" ph="1">
        <v>179</v>
      </c>
      <c r="D20" s="81">
        <v>30</v>
      </c>
      <c r="E20" s="81">
        <v>30</v>
      </c>
      <c r="F20" s="81">
        <v>34</v>
      </c>
      <c r="G20" s="81">
        <v>29</v>
      </c>
      <c r="H20" s="81">
        <v>26</v>
      </c>
      <c r="I20" s="81">
        <v>30</v>
      </c>
      <c r="J20" s="81">
        <v>30</v>
      </c>
      <c r="K20" s="81">
        <v>30</v>
      </c>
      <c r="L20" s="81">
        <v>29</v>
      </c>
      <c r="M20" s="81">
        <v>32</v>
      </c>
      <c r="N20" s="81">
        <v>27</v>
      </c>
      <c r="O20" s="81">
        <v>29</v>
      </c>
      <c r="P20" s="81">
        <v>30</v>
      </c>
      <c r="Q20" s="81">
        <v>30</v>
      </c>
      <c r="R20" s="81">
        <v>36</v>
      </c>
      <c r="S20" s="81">
        <v>30</v>
      </c>
      <c r="T20" s="81">
        <v>30</v>
      </c>
      <c r="U20" s="81">
        <v>27</v>
      </c>
      <c r="V20" s="81">
        <v>31</v>
      </c>
      <c r="W20" s="81">
        <v>35</v>
      </c>
      <c r="X20" s="81">
        <v>30</v>
      </c>
      <c r="Y20" s="110">
        <v>30</v>
      </c>
      <c r="Z20" s="81">
        <v>33</v>
      </c>
      <c r="AA20" s="81">
        <v>27</v>
      </c>
      <c r="AB20" s="81">
        <v>33</v>
      </c>
      <c r="AC20" s="81">
        <v>30</v>
      </c>
      <c r="AD20" s="81">
        <v>25</v>
      </c>
      <c r="AE20" s="81">
        <v>25</v>
      </c>
      <c r="AF20" s="64" t="s" ph="1">
        <v>35</v>
      </c>
      <c r="AH20" s="64" ph="1">
        <v>6</v>
      </c>
      <c r="AI20" s="64" t="s" ph="1">
        <v>343</v>
      </c>
      <c r="AZ20" s="64" t="s" ph="1">
        <v>216</v>
      </c>
      <c r="BA20" s="64" ph="1">
        <v>0</v>
      </c>
    </row>
    <row r="21" spans="1:57" ph="1">
      <c r="A21" s="72" ph="1"/>
      <c r="B21" s="82" ph="1"/>
      <c r="C21" s="83" ph="1"/>
      <c r="D21" s="84"/>
      <c r="E21" s="84"/>
      <c r="F21" s="84"/>
      <c r="G21" s="84"/>
      <c r="H21" s="84"/>
      <c r="I21" s="84"/>
      <c r="J21" s="84"/>
      <c r="K21" s="84"/>
      <c r="L21" s="84"/>
      <c r="M21" s="84"/>
      <c r="N21" s="84"/>
      <c r="O21" s="84"/>
      <c r="P21" s="84"/>
      <c r="Q21" s="84"/>
      <c r="R21" s="84"/>
      <c r="S21" s="84"/>
      <c r="T21" s="84"/>
      <c r="U21" s="84"/>
      <c r="V21" s="84"/>
      <c r="W21" s="84"/>
      <c r="X21" s="84"/>
      <c r="Y21" s="84"/>
      <c r="Z21" s="84"/>
      <c r="AA21" s="84"/>
      <c r="AB21" s="84"/>
      <c r="AC21" s="84"/>
      <c r="AD21" s="84"/>
      <c r="AE21" s="84"/>
      <c r="AH21" s="64" ph="1">
        <v>7</v>
      </c>
      <c r="AI21" s="64" t="s" ph="1">
        <v>344</v>
      </c>
      <c r="AZ21" s="64" t="s" ph="1">
        <v>216</v>
      </c>
      <c r="BA21" s="64" ph="1">
        <v>0</v>
      </c>
      <c r="BD21" s="64" t="s" ph="1">
        <v>232</v>
      </c>
      <c r="BE21" s="64" ph="1">
        <v>730</v>
      </c>
    </row>
    <row r="22" spans="1:57" ph="1">
      <c r="A22" s="72" ph="1"/>
      <c r="B22" s="215" t="s" ph="1">
        <v>37</v>
      </c>
      <c r="C22" s="85" t="s" ph="1">
        <v>176</v>
      </c>
      <c r="D22" s="86" t="s" ph="1">
        <v>86</v>
      </c>
      <c r="E22" s="86" t="s" ph="1">
        <v>87</v>
      </c>
      <c r="F22" s="86" t="s" ph="1">
        <v>88</v>
      </c>
      <c r="G22" s="86" t="s" ph="1">
        <v>89</v>
      </c>
      <c r="H22" s="86" t="s" ph="1">
        <v>90</v>
      </c>
      <c r="I22" s="86" t="s" ph="1">
        <v>91</v>
      </c>
      <c r="J22" s="86" t="s" ph="1">
        <v>92</v>
      </c>
      <c r="K22" s="86" t="s" ph="1">
        <v>93</v>
      </c>
      <c r="L22" s="86" t="s" ph="1">
        <v>94</v>
      </c>
      <c r="M22" s="86" t="s" ph="1">
        <v>95</v>
      </c>
      <c r="N22" s="86" t="s" ph="1">
        <v>96</v>
      </c>
      <c r="O22" s="86" t="s" ph="1">
        <v>97</v>
      </c>
      <c r="P22" s="86" t="s" ph="1">
        <v>98</v>
      </c>
      <c r="Q22" s="87" t="s" ph="1">
        <v>99</v>
      </c>
      <c r="R22" s="86" t="s" ph="1">
        <v>100</v>
      </c>
      <c r="S22" s="86" t="s" ph="1">
        <v>101</v>
      </c>
      <c r="T22" s="86" t="s" ph="1">
        <v>102</v>
      </c>
      <c r="U22" s="86" t="s" ph="1">
        <v>103</v>
      </c>
      <c r="V22" s="86" t="s" ph="1">
        <v>104</v>
      </c>
      <c r="W22" s="86" t="s" ph="1">
        <v>105</v>
      </c>
      <c r="X22" s="86" t="s" ph="1">
        <v>106</v>
      </c>
      <c r="Y22" s="86" t="s" ph="1">
        <v>108</v>
      </c>
      <c r="Z22" s="225" t="s" ph="1">
        <v>69</v>
      </c>
      <c r="AA22" s="226"/>
      <c r="AB22" s="226"/>
      <c r="AC22" s="226"/>
      <c r="AD22" s="226"/>
      <c r="AE22" s="227"/>
      <c r="AH22" s="64" ph="1">
        <v>8</v>
      </c>
      <c r="AI22" s="64" t="s" ph="1">
        <v>345</v>
      </c>
      <c r="AZ22" s="64" t="s" ph="1">
        <v>216</v>
      </c>
      <c r="BA22" s="64" ph="1">
        <v>0</v>
      </c>
    </row>
    <row r="23" spans="1:57" ph="1">
      <c r="A23" s="72" ph="1"/>
      <c r="B23" s="219" ph="1"/>
      <c r="C23" s="67" t="s" ph="1">
        <v>36</v>
      </c>
      <c r="D23" s="88" t="s" ph="1">
        <v>109</v>
      </c>
      <c r="E23" s="88" t="s" ph="1">
        <v>107</v>
      </c>
      <c r="F23" s="88" t="s" ph="1">
        <v>109</v>
      </c>
      <c r="G23" s="88" t="s" ph="1">
        <v>626</v>
      </c>
      <c r="H23" s="88" t="s" ph="1">
        <v>626</v>
      </c>
      <c r="I23" s="88" t="s" ph="1">
        <v>627</v>
      </c>
      <c r="J23" s="88" t="s" ph="1">
        <v>628</v>
      </c>
      <c r="K23" s="88" t="s" ph="1">
        <v>628</v>
      </c>
      <c r="L23" s="88" t="s" ph="1">
        <v>628</v>
      </c>
      <c r="M23" s="88" t="s" ph="1">
        <v>623</v>
      </c>
      <c r="N23" s="88" t="s" ph="1">
        <v>623</v>
      </c>
      <c r="O23" s="88" t="s" ph="1">
        <v>645</v>
      </c>
      <c r="P23" s="88" t="s" ph="1">
        <v>629</v>
      </c>
      <c r="Q23" s="89" t="s" ph="1">
        <v>643</v>
      </c>
      <c r="R23" s="88" t="s" ph="1">
        <v>610</v>
      </c>
      <c r="S23" s="88" t="s" ph="1">
        <v>629</v>
      </c>
      <c r="T23" s="88" t="s" ph="1">
        <v>604</v>
      </c>
      <c r="U23" s="104" t="s" ph="1">
        <v>606</v>
      </c>
      <c r="V23" s="88" t="s" ph="1">
        <v>629</v>
      </c>
      <c r="W23" s="88" t="s" ph="1">
        <v>629</v>
      </c>
      <c r="X23" s="88" t="s" ph="1">
        <v>187</v>
      </c>
      <c r="Y23" s="88" t="s" ph="1">
        <v>630</v>
      </c>
      <c r="Z23" s="228" t="s" ph="1">
        <v>644</v>
      </c>
      <c r="AA23" s="229"/>
      <c r="AB23" s="229"/>
      <c r="AC23" s="229"/>
      <c r="AD23" s="229"/>
      <c r="AE23" s="230"/>
      <c r="AH23" s="64" ph="1">
        <v>9</v>
      </c>
      <c r="AI23" s="64" t="s" ph="1">
        <v>346</v>
      </c>
      <c r="AZ23" s="64" t="s" ph="1">
        <v>216</v>
      </c>
      <c r="BA23" s="64" ph="1">
        <v>0</v>
      </c>
      <c r="BD23" s="64" t="s" ph="1">
        <v>238</v>
      </c>
      <c r="BE23" s="64" ph="1">
        <v>890</v>
      </c>
    </row>
    <row r="24" spans="1:57" ph="1">
      <c r="A24" s="72" ph="1"/>
      <c r="B24" s="237" ph="1">
        <v>0.33333333333333331</v>
      </c>
      <c r="C24" s="155" t="s" ph="1">
        <v>177</v>
      </c>
      <c r="D24" s="71">
        <v>61.4</v>
      </c>
      <c r="E24" s="71">
        <v>5.68</v>
      </c>
      <c r="F24" s="71">
        <v>1899</v>
      </c>
      <c r="G24" s="71">
        <v>1608</v>
      </c>
      <c r="H24" s="71">
        <v>1983</v>
      </c>
      <c r="I24" s="71">
        <v>0</v>
      </c>
      <c r="J24" s="71">
        <v>296</v>
      </c>
      <c r="K24" s="71">
        <v>210</v>
      </c>
      <c r="L24" s="71">
        <v>302</v>
      </c>
      <c r="M24" s="71">
        <v>4962</v>
      </c>
      <c r="N24" s="71">
        <v>803</v>
      </c>
      <c r="O24" s="71">
        <v>318</v>
      </c>
      <c r="P24" s="71">
        <v>3839</v>
      </c>
      <c r="Q24" s="90">
        <v>1384</v>
      </c>
      <c r="R24" s="71">
        <v>5289</v>
      </c>
      <c r="S24" s="71">
        <v>2281</v>
      </c>
      <c r="T24" s="71">
        <v>22</v>
      </c>
      <c r="U24" s="71">
        <v>6310</v>
      </c>
      <c r="V24" s="71">
        <v>737</v>
      </c>
      <c r="W24" s="71">
        <v>432</v>
      </c>
      <c r="X24" s="71">
        <v>2958</v>
      </c>
      <c r="Y24" s="71">
        <v>1740</v>
      </c>
      <c r="Z24" s="231"/>
      <c r="AA24" s="232"/>
      <c r="AB24" s="232"/>
      <c r="AC24" s="232"/>
      <c r="AD24" s="232"/>
      <c r="AE24" s="233"/>
      <c r="AH24" s="64" ph="1">
        <v>10</v>
      </c>
      <c r="AI24" s="64" t="s" ph="1">
        <v>347</v>
      </c>
      <c r="AZ24" s="64" t="s" ph="1">
        <v>216</v>
      </c>
      <c r="BA24" s="64" ph="1">
        <v>0</v>
      </c>
    </row>
    <row r="25" spans="1:57" ph="1">
      <c r="A25" s="72" ph="1"/>
      <c r="B25" s="237" ph="1"/>
      <c r="C25" s="68" t="s" ph="1">
        <v>178</v>
      </c>
      <c r="D25" s="91" ph="1">
        <f>D24*268.68*LOOKUP(D26,密度!$A$2:$A$50,密度!$Q$2:$Q$50)+IF(D24&lt;=0,0,1566*LOOKUP(D26,密度!$A$2:$A$50,密度!$Q$2:$Q$50))</f>
        <v>17100.919176480002</v>
      </c>
      <c r="E25" s="91" ph="1">
        <f>E24*268.68*LOOKUP(E26,密度!$A$2:$A$50,密度!$C$2:$C$50)+IF(E24&lt;=0,0,1566*LOOKUP(E26,密度!$A$2:$A$50,密度!$C$2:$C$50))</f>
        <v>3428.8323513599998</v>
      </c>
      <c r="F25" s="91" ph="1">
        <f>F24*11.702*LOOKUP(F26,密度!$A$2:$A$50,密度!$Q$2:$Q$50)</f>
        <v>21006.99368136</v>
      </c>
      <c r="G25" s="91" ph="1">
        <f>G24*18.322*LOOKUP(G26,密度!$A$2:$A$50,密度!$B$2:$B$50)</f>
        <v>22941.884971199997</v>
      </c>
      <c r="H25" s="91" ph="1">
        <f>H24*18.322*LOOKUP(H26,密度!$A$2:$A$50,密度!$B$2:$B$50)</f>
        <v>28230.372702000001</v>
      </c>
      <c r="I25" s="91" ph="1">
        <f>I24*18.322*LOOKUP(I26,密度!$A$2:$A$50,密度!$Q$2:$Q$50)</f>
        <v>0</v>
      </c>
      <c r="J25" s="91" ph="1">
        <f>J24*18.322*LOOKUP(J26,密度!$A$2:$A$50,密度!$Q$2:$Q$50)</f>
        <v>5130.6158513600003</v>
      </c>
      <c r="K25" s="91" ph="1">
        <f>K24*18.322*LOOKUP(K26,密度!$A$2:$A$50,密度!$Q$2:$Q$50)</f>
        <v>3642.6957588</v>
      </c>
      <c r="L25" s="91" ph="1">
        <f>L24*18.322*LOOKUP(L26,密度!$A$2:$A$50,密度!$Q$2:$Q$50)</f>
        <v>5230.6862180799999</v>
      </c>
      <c r="M25" s="91" ph="1">
        <f>M24*18.322*LOOKUP(M26,密度!$A$2:$A$50,密度!$Q$2:$Q$50)</f>
        <v>85942.599384479996</v>
      </c>
      <c r="N25" s="91" ph="1">
        <f>N24*18.322*LOOKUP(N26,密度!$A$2:$A$50,密度!$Q$2:$Q$50)</f>
        <v>13918.528812979999</v>
      </c>
      <c r="O25" s="91" ph="1">
        <f>O24*18.322*LOOKUP(O26,密度!$A$2:$A$50,密度!$C$2:$C$50)</f>
        <v>6452.1509303999992</v>
      </c>
      <c r="P25" s="91" ph="1">
        <f>P24*11.702*LOOKUP(P26,密度!$A$2:$A$50,密度!$B$2:$B$50)</f>
        <v>34946.362486200007</v>
      </c>
      <c r="Q25" s="92" ph="1">
        <f>Q24*18.322*LOOKUP(Q26,密度!$A$2:$A$50,密度!$B$2:$B$50)</f>
        <v>19746.000497599998</v>
      </c>
      <c r="R25" s="91" ph="1">
        <f>R24*35.891*LOOKUP(R26,密度!$A$2:$A$50,密度!$C$2:$C$50)</f>
        <v>210347.85164189999</v>
      </c>
      <c r="S25" s="91" ph="1">
        <f>S24*35.891*LOOKUP(S26,密度!$A$2:$A$50,密度!$B$2:$B$50)</f>
        <v>63684.627900899999</v>
      </c>
      <c r="T25" s="91" ph="1">
        <f>T24*35.891*LOOKUP(T26,密度!$A$2:$A$50,密度!$Q$2:$Q$50)</f>
        <v>745.87384123999993</v>
      </c>
      <c r="U25" s="91" ph="1">
        <f>U24*35.891</f>
        <v>226472.21</v>
      </c>
      <c r="V25" s="91" ph="1">
        <f>V24*47.051*LOOKUP(V26,密度!$A$2:$A$50,密度!$B$2:$B$50)</f>
        <v>26974.917027300002</v>
      </c>
      <c r="W25" s="91" ph="1">
        <f>W24*47.051*LOOKUP(W26,密度!$A$2:$A$50,密度!$B$2:$B$50)</f>
        <v>15811.6202928</v>
      </c>
      <c r="X25" s="91" ph="1">
        <f>X24*47.051*LOOKUP(X26,密度!$A$2:$A$61,密度!$I$2:$I$61)</f>
        <v>144437.74323240001</v>
      </c>
      <c r="Y25" s="91" ph="1">
        <f>Y24*47.051*LOOKUP(Y26,密度!$A$2:$A$50,密度!$L$2:$L$50)</f>
        <v>76383.534420000011</v>
      </c>
      <c r="Z25" s="231"/>
      <c r="AA25" s="232"/>
      <c r="AB25" s="232"/>
      <c r="AC25" s="232"/>
      <c r="AD25" s="232"/>
      <c r="AE25" s="233"/>
      <c r="AH25" s="64" ph="1">
        <v>11</v>
      </c>
      <c r="AI25" s="64" t="s" ph="1">
        <v>348</v>
      </c>
      <c r="AZ25" s="64" t="s" ph="1">
        <v>216</v>
      </c>
      <c r="BA25" s="64" ph="1">
        <v>0</v>
      </c>
      <c r="BD25" s="64" t="s" ph="1">
        <v>241</v>
      </c>
      <c r="BE25" s="64" ph="1">
        <v>8920</v>
      </c>
    </row>
    <row r="26" spans="1:57" ph="1">
      <c r="A26" s="72" ph="1"/>
      <c r="B26" s="237" ph="1"/>
      <c r="C26" s="68" t="s" ph="1">
        <v>179</v>
      </c>
      <c r="D26" s="74">
        <v>25</v>
      </c>
      <c r="E26" s="74">
        <v>25</v>
      </c>
      <c r="F26" s="74">
        <v>27</v>
      </c>
      <c r="G26" s="74">
        <v>26</v>
      </c>
      <c r="H26" s="74">
        <v>28</v>
      </c>
      <c r="I26" s="74">
        <v>28</v>
      </c>
      <c r="J26" s="74">
        <v>26</v>
      </c>
      <c r="K26" s="74">
        <v>25</v>
      </c>
      <c r="L26" s="74">
        <v>27</v>
      </c>
      <c r="M26" s="74">
        <v>27</v>
      </c>
      <c r="N26" s="74">
        <v>26</v>
      </c>
      <c r="O26" s="74">
        <v>27</v>
      </c>
      <c r="P26" s="74">
        <v>27</v>
      </c>
      <c r="Q26" s="93">
        <v>26</v>
      </c>
      <c r="R26" s="74">
        <v>26</v>
      </c>
      <c r="S26" s="74">
        <v>27</v>
      </c>
      <c r="T26" s="74">
        <v>28</v>
      </c>
      <c r="U26" s="74">
        <v>26</v>
      </c>
      <c r="V26" s="74">
        <v>27</v>
      </c>
      <c r="W26" s="74">
        <v>27</v>
      </c>
      <c r="X26" s="74">
        <v>29</v>
      </c>
      <c r="Y26" s="74">
        <v>29</v>
      </c>
      <c r="Z26" s="231"/>
      <c r="AA26" s="232"/>
      <c r="AB26" s="232"/>
      <c r="AC26" s="232"/>
      <c r="AD26" s="232"/>
      <c r="AE26" s="233"/>
      <c r="AH26" s="64" ph="1">
        <v>12</v>
      </c>
      <c r="AI26" s="64" t="s" ph="1">
        <v>349</v>
      </c>
      <c r="AZ26" s="64" t="s" ph="1">
        <v>216</v>
      </c>
      <c r="BA26" s="64" ph="1">
        <v>0</v>
      </c>
    </row>
    <row r="27" spans="1:57" ht="26.4" ph="1">
      <c r="A27" s="72" ph="1"/>
      <c r="B27" s="237" ph="1">
        <v>0.66666666666666663</v>
      </c>
      <c r="C27" s="155" t="s" ph="1">
        <v>180</v>
      </c>
      <c r="D27" s="71">
        <v>15.97</v>
      </c>
      <c r="E27" s="71">
        <v>5.65</v>
      </c>
      <c r="F27" s="71">
        <v>957</v>
      </c>
      <c r="G27" s="71">
        <v>1175</v>
      </c>
      <c r="H27" s="71">
        <v>1583</v>
      </c>
      <c r="I27" s="71">
        <v>47</v>
      </c>
      <c r="J27" s="71">
        <v>288</v>
      </c>
      <c r="K27" s="71">
        <v>205</v>
      </c>
      <c r="L27" s="71">
        <v>294</v>
      </c>
      <c r="M27" s="71">
        <v>4899</v>
      </c>
      <c r="N27" s="71">
        <v>281</v>
      </c>
      <c r="O27" s="71">
        <v>313</v>
      </c>
      <c r="P27" s="71">
        <v>3837</v>
      </c>
      <c r="Q27" s="90">
        <v>1532</v>
      </c>
      <c r="R27" s="71">
        <v>5285</v>
      </c>
      <c r="S27" s="71">
        <v>2275</v>
      </c>
      <c r="T27" s="71">
        <v>18</v>
      </c>
      <c r="U27" s="71">
        <v>6331</v>
      </c>
      <c r="V27" s="71">
        <v>732</v>
      </c>
      <c r="W27" s="71">
        <v>428</v>
      </c>
      <c r="X27" s="71">
        <v>2959</v>
      </c>
      <c r="Y27" s="71">
        <v>896</v>
      </c>
      <c r="Z27" s="231"/>
      <c r="AA27" s="232"/>
      <c r="AB27" s="232"/>
      <c r="AC27" s="232"/>
      <c r="AD27" s="232"/>
      <c r="AE27" s="233"/>
      <c r="AH27" s="64" ph="1">
        <v>13</v>
      </c>
      <c r="AI27" s="64" t="s" ph="1">
        <v>350</v>
      </c>
      <c r="AZ27" s="64" t="s" ph="1">
        <v>216</v>
      </c>
      <c r="BA27" s="64" ph="1">
        <v>0</v>
      </c>
      <c r="BD27" s="64" t="s" ph="1">
        <v>295</v>
      </c>
      <c r="BE27" s="64" ph="1">
        <v>7100</v>
      </c>
    </row>
    <row r="28" spans="1:57" ph="1">
      <c r="A28" s="72" ph="1"/>
      <c r="B28" s="237" ph="1"/>
      <c r="C28" s="155" t="s" ph="1">
        <v>178</v>
      </c>
      <c r="D28" s="91" ph="1">
        <f>D27*268.68*LOOKUP(D29,密度!$A$2:$A$50,密度!$Q$2:$Q$50)+IF(D27&lt;=0,0,1566*LOOKUP(D29,密度!$A$2:$A$50,密度!$Q$2:$Q$50))</f>
        <v>5544.8853881040004</v>
      </c>
      <c r="E28" s="91" ph="1">
        <f>E27*268.68*LOOKUP(E29,密度!$A$2:$A$50,密度!$C$2:$C$50)+IF(E27&lt;=0,0,1566*LOOKUP(E29,密度!$A$2:$A$50,密度!$C$2:$C$50))</f>
        <v>3419.8941738000003</v>
      </c>
      <c r="F28" s="91" ph="1">
        <f>F27*11.702*LOOKUP(F29,密度!$A$2:$A$50,密度!$Q$2:$Q$50)</f>
        <v>10555.77810012</v>
      </c>
      <c r="G28" s="91" ph="1">
        <f>G27*18.322*LOOKUP(G29,密度!$A$2:$A$50,密度!$B$2:$B$50)</f>
        <v>16690.929754999997</v>
      </c>
      <c r="H28" s="91" ph="1">
        <f>H27*18.322*LOOKUP(H29,密度!$A$2:$A$50,密度!$B$2:$B$50)</f>
        <v>22486.5887678</v>
      </c>
      <c r="I28" s="91" ph="1">
        <f>I27*18.322*LOOKUP(I29,密度!$A$2:$A$50,密度!$Q$2:$Q$50)</f>
        <v>810.54237750000004</v>
      </c>
      <c r="J28" s="91" ph="1">
        <f>J27*18.322*LOOKUP(J29,密度!$A$2:$A$50,密度!$Q$2:$Q$50)</f>
        <v>4977.70337088</v>
      </c>
      <c r="K28" s="91" ph="1">
        <f>K27*18.322*LOOKUP(K29,密度!$A$2:$A$50,密度!$Q$2:$Q$50)</f>
        <v>3540.3399057999995</v>
      </c>
      <c r="L28" s="91" ph="1">
        <f>L27*18.322*LOOKUP(L29,密度!$A$2:$A$50,密度!$Q$2:$Q$50)</f>
        <v>5077.3655234399994</v>
      </c>
      <c r="M28" s="91" ph="1">
        <f>M27*18.322*LOOKUP(M29,密度!$A$2:$A$50,密度!$Q$2:$Q$50)</f>
        <v>84544.452328200001</v>
      </c>
      <c r="N28" s="91" ph="1">
        <f>N27*18.322*LOOKUP(N29,密度!$A$2:$A$50,密度!$Q$2:$Q$50)</f>
        <v>4852.8561635599999</v>
      </c>
      <c r="O28" s="91" ph="1">
        <f>O27*18.322*LOOKUP(O29,密度!$A$2:$A$50,密度!$C$2:$C$50)</f>
        <v>6331.7772226000006</v>
      </c>
      <c r="P28" s="91" ph="1">
        <f>P27*11.702*LOOKUP(P29,密度!$A$2:$A$50,密度!$B$2:$B$50)</f>
        <v>34771.004505600002</v>
      </c>
      <c r="Q28" s="92" ph="1">
        <f>Q27*18.322*LOOKUP(Q29,密度!$A$2:$A$50,密度!$B$2:$B$50)</f>
        <v>21762.131391200001</v>
      </c>
      <c r="R28" s="91" ph="1">
        <f>R27*35.891*LOOKUP(R29,密度!$A$2:$A$50,密度!$C$2:$C$50)</f>
        <v>209619.71656849998</v>
      </c>
      <c r="S28" s="91" ph="1">
        <f>S27*35.891*LOOKUP(S29,密度!$A$2:$A$50,密度!$B$2:$B$50)</f>
        <v>63157.841337499995</v>
      </c>
      <c r="T28" s="91" ph="1">
        <f>T27*35.891*LOOKUP(T29,密度!$A$2:$A$50,密度!$Q$2:$Q$50)</f>
        <v>608.50319219999994</v>
      </c>
      <c r="U28" s="91" ph="1">
        <f>U27*35.891</f>
        <v>227225.921</v>
      </c>
      <c r="V28" s="91" ph="1">
        <f>V27*47.051*LOOKUP(V29,密度!$A$2:$A$50,密度!$B$2:$B$50)</f>
        <v>26702.364699600002</v>
      </c>
      <c r="W28" s="91" ph="1">
        <f>W27*47.051*LOOKUP(W29,密度!$A$2:$A$50,密度!$B$2:$B$50)</f>
        <v>15594.734003200001</v>
      </c>
      <c r="X28" s="91" ph="1">
        <f>X27*47.051*LOOKUP(X29,密度!$A$2:$A$61,密度!$I$2:$I$61)</f>
        <v>143706.91886980002</v>
      </c>
      <c r="Y28" s="91" ph="1">
        <f>Y27*47.051*LOOKUP(Y29,密度!$A$2:$A$50,密度!$L$2:$L$50)</f>
        <v>39248.814976000009</v>
      </c>
      <c r="Z28" s="231"/>
      <c r="AA28" s="232"/>
      <c r="AB28" s="232"/>
      <c r="AC28" s="232"/>
      <c r="AD28" s="232"/>
      <c r="AE28" s="233"/>
      <c r="AH28" s="64" ph="1">
        <v>14</v>
      </c>
      <c r="AI28" s="64" t="s" ph="1">
        <v>351</v>
      </c>
      <c r="AZ28" s="64" t="s" ph="1">
        <v>216</v>
      </c>
      <c r="BA28" s="64" ph="1">
        <v>0</v>
      </c>
    </row>
    <row r="29" spans="1:57" ph="1">
      <c r="A29" s="72" ph="1"/>
      <c r="B29" s="237" ph="1"/>
      <c r="C29" s="155" t="s" ph="1">
        <v>179</v>
      </c>
      <c r="D29" s="74">
        <v>25</v>
      </c>
      <c r="E29" s="74">
        <v>25</v>
      </c>
      <c r="F29" s="74">
        <v>31</v>
      </c>
      <c r="G29" s="74">
        <v>30</v>
      </c>
      <c r="H29" s="74">
        <v>30</v>
      </c>
      <c r="I29" s="74">
        <v>33</v>
      </c>
      <c r="J29" s="74">
        <v>30</v>
      </c>
      <c r="K29" s="74">
        <v>31</v>
      </c>
      <c r="L29" s="74">
        <v>31</v>
      </c>
      <c r="M29" s="74">
        <v>32</v>
      </c>
      <c r="N29" s="74">
        <v>31</v>
      </c>
      <c r="O29" s="74">
        <v>31</v>
      </c>
      <c r="P29" s="74">
        <v>31</v>
      </c>
      <c r="Q29" s="93">
        <v>30</v>
      </c>
      <c r="R29" s="74">
        <v>30</v>
      </c>
      <c r="S29" s="74">
        <v>32</v>
      </c>
      <c r="T29" s="74">
        <v>32</v>
      </c>
      <c r="U29" s="74">
        <v>30</v>
      </c>
      <c r="V29" s="74">
        <v>30</v>
      </c>
      <c r="W29" s="74">
        <v>31</v>
      </c>
      <c r="X29" s="74">
        <v>34</v>
      </c>
      <c r="Y29" s="74">
        <v>31</v>
      </c>
      <c r="Z29" s="234"/>
      <c r="AA29" s="235"/>
      <c r="AB29" s="235"/>
      <c r="AC29" s="235"/>
      <c r="AD29" s="235"/>
      <c r="AE29" s="236"/>
      <c r="AH29" s="64" ph="1">
        <v>15</v>
      </c>
      <c r="AI29" s="64" t="s" ph="1">
        <v>352</v>
      </c>
      <c r="AZ29" s="64" t="s" ph="1">
        <v>216</v>
      </c>
      <c r="BA29" s="64" ph="1">
        <v>0</v>
      </c>
      <c r="BD29" s="64" t="s" ph="1">
        <v>353</v>
      </c>
      <c r="BE29" s="64" ph="1">
        <v>890</v>
      </c>
    </row>
    <row r="30" spans="1:57" ph="1">
      <c r="D30" s="94" ph="1"/>
      <c r="Z30" s="64" t="s" ph="1">
        <v>35</v>
      </c>
      <c r="AE30" s="95" ph="1"/>
      <c r="AH30" s="64" ph="1">
        <v>16</v>
      </c>
      <c r="AI30" s="64" t="s" ph="1">
        <v>354</v>
      </c>
      <c r="AZ30" s="64" t="s" ph="1">
        <v>216</v>
      </c>
      <c r="BA30" s="64" ph="1">
        <v>0</v>
      </c>
    </row>
    <row r="31" spans="1:57" ht="28.2" ph="1">
      <c r="A31" s="64"/>
      <c r="B31" s="220" t="s" ph="1">
        <v>35</v>
      </c>
      <c r="C31" s="221" ph="1"/>
      <c r="D31" s="224" t="s" ph="1">
        <v>9</v>
      </c>
      <c r="E31" s="199" ph="1"/>
      <c r="F31" s="200" ph="1"/>
      <c r="G31" s="224" t="s" ph="1">
        <v>18</v>
      </c>
      <c r="H31" s="199" ph="1"/>
      <c r="I31" s="200" ph="1"/>
      <c r="J31" s="198" t="s" ph="1">
        <v>1</v>
      </c>
      <c r="K31" s="199" ph="1"/>
      <c r="L31" s="200" ph="1"/>
      <c r="M31" s="198" t="s" ph="1">
        <v>7</v>
      </c>
      <c r="N31" s="199" ph="1"/>
      <c r="O31" s="200" ph="1"/>
      <c r="P31" s="198" t="s" ph="1">
        <v>41</v>
      </c>
      <c r="Q31" s="199"/>
      <c r="R31" s="200"/>
      <c r="S31" s="198" t="s" ph="1">
        <v>2</v>
      </c>
      <c r="T31" s="199"/>
      <c r="U31" s="200"/>
      <c r="V31" s="198" t="s" ph="1">
        <v>71</v>
      </c>
      <c r="W31" s="199" ph="1"/>
      <c r="X31" s="200" ph="1"/>
      <c r="Y31" s="198" t="s" ph="1">
        <v>3</v>
      </c>
      <c r="Z31" s="199" ph="1"/>
      <c r="AA31" s="200" ph="1"/>
      <c r="AB31" s="201" t="s">
        <v>42</v>
      </c>
      <c r="AC31" s="202"/>
      <c r="AD31" s="202"/>
      <c r="AE31" s="203"/>
      <c r="AH31" s="64" ph="1">
        <v>17</v>
      </c>
      <c r="AI31" s="64" t="s" ph="1">
        <v>355</v>
      </c>
      <c r="AZ31" s="64" t="s" ph="1">
        <v>216</v>
      </c>
      <c r="BA31" s="64" ph="1">
        <v>0</v>
      </c>
      <c r="BD31" s="64" t="s" ph="1">
        <v>356</v>
      </c>
      <c r="BE31" s="64" ph="1">
        <v>9310</v>
      </c>
    </row>
    <row r="32" spans="1:57" ph="1">
      <c r="A32" s="64"/>
      <c r="B32" s="222" ph="1"/>
      <c r="C32" s="223" ph="1"/>
      <c r="D32" s="96" t="s" ph="1">
        <v>4</v>
      </c>
      <c r="E32" s="155" t="s" ph="1">
        <v>5</v>
      </c>
      <c r="F32" s="154" t="s" ph="1">
        <v>43</v>
      </c>
      <c r="G32" s="97" t="s" ph="1">
        <v>4</v>
      </c>
      <c r="H32" s="155" t="s" ph="1">
        <v>5</v>
      </c>
      <c r="I32" s="154" t="s" ph="1">
        <v>43</v>
      </c>
      <c r="J32" s="97" t="s" ph="1">
        <v>4</v>
      </c>
      <c r="K32" s="155" t="s" ph="1">
        <v>5</v>
      </c>
      <c r="L32" s="154" t="s" ph="1">
        <v>43</v>
      </c>
      <c r="M32" s="97" t="s" ph="1">
        <v>4</v>
      </c>
      <c r="N32" s="155" t="s" ph="1">
        <v>5</v>
      </c>
      <c r="O32" s="154" t="s" ph="1">
        <v>43</v>
      </c>
      <c r="P32" s="97" t="s" ph="1">
        <v>4</v>
      </c>
      <c r="Q32" s="98" t="s" ph="1">
        <v>5</v>
      </c>
      <c r="R32" s="99" t="s" ph="1">
        <v>43</v>
      </c>
      <c r="S32" s="97" t="s" ph="1">
        <v>4</v>
      </c>
      <c r="T32" s="155" t="s" ph="1">
        <v>5</v>
      </c>
      <c r="U32" s="99" t="s" ph="1">
        <v>43</v>
      </c>
      <c r="V32" s="97" t="s" ph="1">
        <v>4</v>
      </c>
      <c r="W32" s="155" t="s" ph="1">
        <v>5</v>
      </c>
      <c r="X32" s="99" t="s" ph="1">
        <v>43</v>
      </c>
      <c r="Y32" s="100" t="s" ph="1">
        <v>4</v>
      </c>
      <c r="Z32" s="155" t="s" ph="1">
        <v>5</v>
      </c>
      <c r="AA32" s="154" t="s" ph="1">
        <v>43</v>
      </c>
      <c r="AB32" s="97" t="s" ph="1">
        <v>85</v>
      </c>
      <c r="AC32" s="155" t="s" ph="1">
        <v>84</v>
      </c>
      <c r="AD32" s="204" t="s" ph="1">
        <v>83</v>
      </c>
      <c r="AE32" s="205"/>
      <c r="AH32" s="64" ph="1">
        <v>18</v>
      </c>
      <c r="AI32" s="64" t="s" ph="1">
        <v>357</v>
      </c>
      <c r="AZ32" s="64" t="s" ph="1">
        <v>216</v>
      </c>
      <c r="BA32" s="64" ph="1">
        <v>0</v>
      </c>
    </row>
    <row r="33" spans="1:57" ph="1">
      <c r="A33" s="64"/>
      <c r="B33" s="206" t="s" ph="1">
        <v>181</v>
      </c>
      <c r="C33" s="207" ph="1"/>
      <c r="D33" s="186" ph="1">
        <f>AA10+AB10+Z19</f>
        <v>73483.822153200003</v>
      </c>
      <c r="E33" s="186" ph="1">
        <f>M10+I10</f>
        <v>125179.8261048</v>
      </c>
      <c r="F33" s="210" ph="1">
        <f>表格_取樣回收每月庫存表_0620更新1522252632456786910111213141516171819202123456789101112131415161718192022232424356789101112131415161718192021222345678910111213141516171819202345678910111213149101516171819222123234567891012131415161711181920212224252345678910111213128[[#This Row],[F25]]</f>
        <v>3880</v>
      </c>
      <c r="G33" s="212" ph="1">
        <f>N19</f>
        <v>8984.7197168399998</v>
      </c>
      <c r="H33" s="186" ph="1">
        <f>M19</f>
        <v>33918.139135204001</v>
      </c>
      <c r="I33" s="190" ph="1">
        <v>0</v>
      </c>
      <c r="J33" s="194" ph="1">
        <f>F10+O28</f>
        <v>74827.913451399989</v>
      </c>
      <c r="K33" s="186" ph="1">
        <f>O10+K10+E28+R28</f>
        <v>225558.29944549999</v>
      </c>
      <c r="L33" s="196" ph="1">
        <f>K19</f>
        <v>35891.430506339995</v>
      </c>
      <c r="M33" s="194" ph="1">
        <f>G10+H10+W28+S28+V28+E10+R19+P28+Q28</f>
        <v>641502.92315310007</v>
      </c>
      <c r="N33" s="186" ph="1">
        <f>L10+P10++G28+H28+AD19+AE19</f>
        <v>205191.87323839997</v>
      </c>
      <c r="O33" s="190" ph="1">
        <f>G19</f>
        <v>32598.264518560001</v>
      </c>
      <c r="P33" s="194" ph="1">
        <f>L19</f>
        <v>37840.523912099998</v>
      </c>
      <c r="Q33" s="186" ph="1">
        <f>J10+N10</f>
        <v>60677.794574399995</v>
      </c>
      <c r="R33" s="190" ph="1">
        <f>BE23</f>
        <v>890</v>
      </c>
      <c r="S33" s="194" ph="1">
        <f>X28</f>
        <v>143706.91886980002</v>
      </c>
      <c r="T33" s="186" ph="1">
        <f>X19</f>
        <v>13825.118116599999</v>
      </c>
      <c r="U33" s="175" ph="1">
        <f>BE21</f>
        <v>730</v>
      </c>
      <c r="V33" s="188" ph="1">
        <f ca="1">P19+Q19+S19+M28+N28+J28+D10+AC10+D19+E19+H19+J19+O19+V19+W19+K28+L28</f>
        <v>721483.69491709594</v>
      </c>
      <c r="W33" s="188" ph="1">
        <f>D28+F28+T28+I28</f>
        <v>17519.709057924003</v>
      </c>
      <c r="X33" s="190" ph="1">
        <f>BE29+BE31</f>
        <v>10200</v>
      </c>
      <c r="Y33" s="192" ph="1">
        <f>+Q10+R10+S10+T10+U10+V10+W10+X10+Y10</f>
        <v>200120.15954700002</v>
      </c>
      <c r="Z33" s="173" ph="1">
        <f>T19+U19+Y28+Z10</f>
        <v>275557.73776704003</v>
      </c>
      <c r="AA33" s="175" ph="1">
        <f>BE19</f>
        <v>1440</v>
      </c>
      <c r="AB33" s="177" ph="1">
        <f>I19</f>
        <v>46780.288968000001</v>
      </c>
      <c r="AC33" s="179" ph="1">
        <f>AD10+AB19</f>
        <v>106651.2214656</v>
      </c>
      <c r="AD33" s="181" ph="1">
        <v>0</v>
      </c>
      <c r="AE33" s="182"/>
      <c r="AH33" s="64" ph="1">
        <v>19</v>
      </c>
      <c r="AI33" s="64" t="s" ph="1">
        <v>358</v>
      </c>
      <c r="AJ33" s="64" t="s" ph="1">
        <v>592</v>
      </c>
      <c r="AK33" s="64" t="s" ph="1">
        <v>589</v>
      </c>
      <c r="AL33" s="64" ph="1">
        <v>730</v>
      </c>
      <c r="AM33" s="64" t="s" ph="1">
        <v>339</v>
      </c>
      <c r="AZ33" s="64" t="s" ph="1">
        <v>216</v>
      </c>
      <c r="BA33" s="64" ph="1">
        <v>730</v>
      </c>
      <c r="BD33" s="64" t="s" ph="1">
        <v>290</v>
      </c>
      <c r="BE33" s="64" ph="1">
        <v>3880</v>
      </c>
    </row>
    <row r="34" spans="1:57" ph="1">
      <c r="A34" s="64"/>
      <c r="B34" s="208" ph="1"/>
      <c r="C34" s="209" ph="1"/>
      <c r="D34" s="187" ph="1"/>
      <c r="E34" s="187" ph="1"/>
      <c r="F34" s="211" ph="1"/>
      <c r="G34" s="213" ph="1"/>
      <c r="H34" s="187" ph="1"/>
      <c r="I34" s="191" ph="1"/>
      <c r="J34" s="195" ph="1"/>
      <c r="K34" s="187" ph="1"/>
      <c r="L34" s="197" ph="1"/>
      <c r="M34" s="195" ph="1"/>
      <c r="N34" s="187" ph="1"/>
      <c r="O34" s="191" ph="1"/>
      <c r="P34" s="195" ph="1"/>
      <c r="Q34" s="187" ph="1"/>
      <c r="R34" s="191" ph="1"/>
      <c r="S34" s="195" ph="1"/>
      <c r="T34" s="187"/>
      <c r="U34" s="176"/>
      <c r="V34" s="189" ph="1"/>
      <c r="W34" s="189" ph="1"/>
      <c r="X34" s="191" ph="1"/>
      <c r="Y34" s="193" ph="1"/>
      <c r="Z34" s="174" ph="1"/>
      <c r="AA34" s="176" ph="1"/>
      <c r="AB34" s="178"/>
      <c r="AC34" s="180"/>
      <c r="AD34" s="183"/>
      <c r="AE34" s="184"/>
      <c r="AH34" s="64" ph="1">
        <v>20</v>
      </c>
      <c r="AI34" s="64" t="s" ph="1">
        <v>359</v>
      </c>
      <c r="AJ34" s="64" t="s" ph="1">
        <v>593</v>
      </c>
      <c r="AK34" s="64" t="s" ph="1">
        <v>589</v>
      </c>
      <c r="AL34" s="64" ph="1">
        <v>720</v>
      </c>
      <c r="AM34" s="64" t="s" ph="1">
        <v>339</v>
      </c>
      <c r="AZ34" s="64" t="s" ph="1">
        <v>216</v>
      </c>
      <c r="BA34" s="64" ph="1">
        <v>720</v>
      </c>
    </row>
    <row r="35" spans="1:57" ph="1">
      <c r="A35" s="64"/>
      <c r="AC35" s="185" t="s" ph="1">
        <v>631</v>
      </c>
      <c r="AD35" s="185"/>
      <c r="AE35" s="185"/>
      <c r="AH35" s="64" ph="1">
        <v>21</v>
      </c>
      <c r="AI35" s="64" t="s" ph="1">
        <v>360</v>
      </c>
      <c r="AZ35" s="64" t="s" ph="1">
        <v>216</v>
      </c>
      <c r="BA35" s="64" ph="1">
        <v>0</v>
      </c>
      <c r="BD35" s="64" t="s" ph="1">
        <v>361</v>
      </c>
      <c r="BE35" s="64" ph="1">
        <v>2030</v>
      </c>
    </row>
    <row r="36" spans="1:57" ht="28.2" ph="1">
      <c r="A36" s="64"/>
      <c r="B36" s="103" t="s" ph="1">
        <v>182</v>
      </c>
      <c r="I36" s="171" t="s" ph="1">
        <v>183</v>
      </c>
      <c r="J36" s="171" ph="1"/>
      <c r="K36" s="101" ph="1"/>
      <c r="P36" s="101" ph="1"/>
      <c r="R36" s="171" t="s" ph="1">
        <v>184</v>
      </c>
      <c r="S36" s="171" ph="1"/>
      <c r="Y36" s="102" ph="1"/>
      <c r="Z36" s="153" t="s" ph="1">
        <v>185</v>
      </c>
      <c r="AA36" s="153" ph="1"/>
      <c r="AB36" s="172" t="s" ph="1">
        <v>640</v>
      </c>
      <c r="AC36" s="172" ph="1"/>
      <c r="AD36" s="172" ph="1"/>
      <c r="AE36" s="172" ph="1"/>
      <c r="BA36" s="64" ph="1">
        <v>2270</v>
      </c>
    </row>
    <row r="37" spans="1:57" s="153" customFormat="1" ph="1">
      <c r="A37" s="64" ph="1"/>
      <c r="B37" s="64" ph="1"/>
      <c r="C37" s="64" ph="1"/>
      <c r="D37" s="64" ph="1"/>
      <c r="E37" s="64" ph="1"/>
      <c r="F37" s="64" ph="1"/>
      <c r="G37" s="64" ph="1"/>
      <c r="H37" s="64" ph="1"/>
      <c r="I37" s="64" ph="1"/>
      <c r="J37" s="64" ph="1"/>
      <c r="K37" s="64" ph="1"/>
      <c r="L37" s="64" ph="1"/>
      <c r="M37" s="64" ph="1"/>
      <c r="N37" s="64" ph="1"/>
      <c r="O37" s="64" ph="1"/>
      <c r="P37" s="64" ph="1"/>
      <c r="Q37" s="64" ph="1"/>
      <c r="R37" s="64" ph="1"/>
      <c r="S37" s="64" ph="1"/>
      <c r="T37" s="64" ph="1"/>
      <c r="U37" s="64" ph="1"/>
      <c r="V37" s="64" ph="1"/>
      <c r="W37" s="64" ph="1"/>
      <c r="X37" s="64" ph="1"/>
      <c r="Y37" s="64" ph="1"/>
      <c r="Z37" s="64" ph="1"/>
      <c r="AA37" s="64" ph="1"/>
      <c r="AB37" s="64" ph="1"/>
      <c r="AC37" s="64" ph="1"/>
      <c r="AD37" s="64" ph="1"/>
      <c r="AE37" s="64" ph="1"/>
      <c r="AG37" s="153" t="s" ph="1">
        <v>342</v>
      </c>
      <c r="AI37" s="153" t="s" ph="1">
        <v>209</v>
      </c>
      <c r="AJ37" s="153" t="s" ph="1">
        <v>210</v>
      </c>
      <c r="AK37" s="153" t="s" ph="1">
        <v>211</v>
      </c>
      <c r="AM37" s="153" t="s" ph="1">
        <v>210</v>
      </c>
      <c r="AN37" s="153" t="s" ph="1">
        <v>211</v>
      </c>
      <c r="AO37" s="153" t="s" ph="1">
        <v>212</v>
      </c>
      <c r="AP37" s="153" t="s" ph="1">
        <v>210</v>
      </c>
      <c r="AQ37" s="153" t="s" ph="1">
        <v>211</v>
      </c>
      <c r="AR37" s="153" t="s" ph="1">
        <v>212</v>
      </c>
      <c r="AS37" s="153" t="s" ph="1">
        <v>210</v>
      </c>
      <c r="AT37" s="153" t="s" ph="1">
        <v>211</v>
      </c>
      <c r="AU37" s="153" t="s" ph="1">
        <v>212</v>
      </c>
      <c r="AV37" s="153" t="s" ph="1">
        <v>210</v>
      </c>
      <c r="AW37" s="153" t="s" ph="1">
        <v>211</v>
      </c>
      <c r="AX37" s="153" t="s" ph="1">
        <v>212</v>
      </c>
      <c r="AY37" s="153" t="s" ph="1">
        <v>211</v>
      </c>
      <c r="AZ37" s="153" t="s" ph="1">
        <v>213</v>
      </c>
      <c r="BD37" s="153" t="s" ph="1">
        <v>305</v>
      </c>
      <c r="BE37" s="153" ph="1">
        <v>0</v>
      </c>
    </row>
    <row r="38" spans="1:57" ph="1">
      <c r="AE38" s="64" ph="1"/>
      <c r="AH38" s="64" ph="1">
        <v>1</v>
      </c>
      <c r="AI38" s="64" t="s" ph="1">
        <v>362</v>
      </c>
      <c r="AY38" s="64" t="s" ph="1">
        <v>216</v>
      </c>
      <c r="AZ38" s="64" t="s" ph="1">
        <v>367</v>
      </c>
    </row>
    <row r="39" spans="1:57" ph="1">
      <c r="AH39" s="64" ph="1">
        <v>2</v>
      </c>
      <c r="AI39" s="64" t="s" ph="1">
        <v>364</v>
      </c>
      <c r="AJ39" s="64" t="s" ph="1">
        <v>336</v>
      </c>
      <c r="AK39" s="64" t="s" ph="1">
        <v>365</v>
      </c>
      <c r="AM39" s="64" t="s" ph="1">
        <v>570</v>
      </c>
      <c r="AN39" s="64" t="s" ph="1">
        <v>228</v>
      </c>
      <c r="AO39" s="64" t="s" ph="1">
        <v>363</v>
      </c>
      <c r="AY39" s="64" t="s" ph="1">
        <v>216</v>
      </c>
      <c r="AZ39" s="64" t="s" ph="1">
        <v>499</v>
      </c>
    </row>
    <row r="40" spans="1:57" ph="1">
      <c r="AH40" s="64" ph="1">
        <v>3</v>
      </c>
      <c r="AI40" s="64" t="s" ph="1">
        <v>366</v>
      </c>
      <c r="AJ40" s="64" t="s" ph="1">
        <v>570</v>
      </c>
      <c r="AK40" s="64" t="s" ph="1">
        <v>571</v>
      </c>
      <c r="AY40" s="64" t="s" ph="1">
        <v>216</v>
      </c>
      <c r="AZ40" s="64" t="s" ph="1">
        <v>571</v>
      </c>
    </row>
    <row r="41" spans="1:57" ph="1">
      <c r="AH41" s="64" ph="1">
        <v>4</v>
      </c>
      <c r="AI41" s="64" t="s" ph="1">
        <v>368</v>
      </c>
      <c r="AJ41" s="64" t="s" ph="1">
        <v>572</v>
      </c>
      <c r="AK41" s="64" t="s" ph="1">
        <v>573</v>
      </c>
      <c r="AM41" s="64" t="s" ph="1">
        <v>574</v>
      </c>
      <c r="AY41" s="64" t="s" ph="1">
        <v>216</v>
      </c>
      <c r="AZ41" s="64" t="s" ph="1">
        <v>573</v>
      </c>
    </row>
    <row r="42" spans="1:57" ph="1">
      <c r="P42" s="64"/>
      <c r="Q42" s="64"/>
      <c r="R42" s="64"/>
      <c r="S42" s="64"/>
      <c r="T42" s="64"/>
      <c r="U42" s="64"/>
      <c r="V42" s="64"/>
      <c r="W42" s="64"/>
      <c r="X42" s="64"/>
      <c r="Y42" s="64"/>
      <c r="Z42" s="64"/>
      <c r="AA42" s="64"/>
      <c r="AB42" s="64"/>
      <c r="AC42" s="64"/>
      <c r="AD42" s="64"/>
      <c r="AE42" s="75"/>
      <c r="AH42" s="64" ph="1">
        <v>5</v>
      </c>
      <c r="AI42" s="64" t="s" ph="1">
        <v>369</v>
      </c>
      <c r="AY42" s="64" t="s" ph="1">
        <v>216</v>
      </c>
      <c r="AZ42" s="64" t="s" ph="1">
        <v>367</v>
      </c>
    </row>
    <row r="43" spans="1:57" ph="1">
      <c r="C43" s="64"/>
      <c r="D43" s="64"/>
      <c r="E43" s="64"/>
      <c r="F43" s="64"/>
      <c r="G43" s="64"/>
      <c r="H43" s="64"/>
      <c r="I43" s="64"/>
      <c r="J43" s="64"/>
      <c r="K43" s="64"/>
      <c r="L43" s="64"/>
      <c r="M43" s="64"/>
      <c r="N43" s="64"/>
      <c r="O43" s="64"/>
      <c r="P43" s="64"/>
      <c r="R43" s="64"/>
      <c r="S43" s="64"/>
      <c r="T43" s="64"/>
      <c r="U43" s="64"/>
      <c r="V43" s="64"/>
      <c r="W43" s="64"/>
      <c r="X43" s="64"/>
      <c r="Y43" s="64"/>
      <c r="Z43" s="64"/>
      <c r="AA43" s="64"/>
      <c r="AB43" s="64"/>
      <c r="AC43" s="64"/>
      <c r="AD43" s="64"/>
      <c r="AE43" s="75"/>
      <c r="AH43" s="64" ph="1">
        <v>6</v>
      </c>
      <c r="AI43" s="64" t="s" ph="1">
        <v>370</v>
      </c>
      <c r="AY43" s="64" t="s" ph="1">
        <v>216</v>
      </c>
      <c r="AZ43" s="64" t="s" ph="1">
        <v>367</v>
      </c>
    </row>
    <row r="44" spans="1:57" ph="1">
      <c r="R44" s="64"/>
      <c r="S44" s="64"/>
      <c r="T44" s="64"/>
      <c r="U44" s="64"/>
      <c r="V44" s="64"/>
      <c r="W44" s="64"/>
      <c r="X44" s="64"/>
      <c r="Y44" s="64"/>
      <c r="Z44" s="64"/>
      <c r="AA44" s="64"/>
      <c r="AB44" s="64"/>
      <c r="AC44" s="64"/>
      <c r="AD44" s="64"/>
      <c r="AE44" s="75"/>
      <c r="AH44" s="64" ph="1">
        <v>7</v>
      </c>
      <c r="AI44" s="64" t="s" ph="1">
        <v>371</v>
      </c>
      <c r="AV44" s="64" t="s" ph="1">
        <v>217</v>
      </c>
      <c r="AY44" s="64" t="s" ph="1">
        <v>216</v>
      </c>
      <c r="AZ44" s="64" t="s" ph="1">
        <v>367</v>
      </c>
    </row>
    <row r="45" spans="1:57" ph="1">
      <c r="R45" s="64"/>
      <c r="S45" s="64"/>
      <c r="T45" s="64"/>
      <c r="U45" s="64"/>
      <c r="V45" s="64"/>
      <c r="W45" s="64"/>
      <c r="X45" s="64"/>
      <c r="Y45" s="64"/>
      <c r="Z45" s="64"/>
      <c r="AA45" s="64"/>
      <c r="AB45" s="64"/>
      <c r="AC45" s="64"/>
      <c r="AD45" s="64"/>
      <c r="AE45" s="75"/>
      <c r="AH45" s="64" ph="1">
        <v>8</v>
      </c>
      <c r="AI45" s="64" t="s" ph="1">
        <v>372</v>
      </c>
      <c r="AV45" s="64" t="s" ph="1">
        <v>217</v>
      </c>
      <c r="AY45" s="64" t="s" ph="1">
        <v>216</v>
      </c>
      <c r="AZ45" s="64" t="s" ph="1">
        <v>367</v>
      </c>
    </row>
    <row r="46" spans="1:57" ph="1">
      <c r="R46" s="64"/>
      <c r="S46" s="64"/>
      <c r="T46" s="64"/>
      <c r="U46" s="64"/>
      <c r="V46" s="64"/>
      <c r="W46" s="64"/>
      <c r="X46" s="64"/>
      <c r="Y46" s="64"/>
      <c r="Z46" s="64"/>
      <c r="AA46" s="64"/>
      <c r="AB46" s="64"/>
      <c r="AC46" s="64"/>
      <c r="AD46" s="64"/>
      <c r="AE46" s="75"/>
      <c r="AH46" s="64" ph="1">
        <v>9</v>
      </c>
      <c r="AI46" s="64" t="s" ph="1">
        <v>373</v>
      </c>
      <c r="AV46" s="64" t="s" ph="1">
        <v>217</v>
      </c>
      <c r="AY46" s="64" t="s" ph="1">
        <v>216</v>
      </c>
      <c r="AZ46" s="64" t="s" ph="1">
        <v>367</v>
      </c>
    </row>
    <row r="47" spans="1:57" ph="1">
      <c r="R47" s="64"/>
      <c r="S47" s="64"/>
      <c r="T47" s="64"/>
      <c r="U47" s="64"/>
      <c r="V47" s="64"/>
      <c r="W47" s="64"/>
      <c r="X47" s="64"/>
      <c r="Y47" s="64"/>
      <c r="Z47" s="64"/>
      <c r="AA47" s="64"/>
      <c r="AB47" s="64"/>
      <c r="AC47" s="64"/>
      <c r="AD47" s="64"/>
      <c r="AE47" s="75"/>
      <c r="AH47" s="64" ph="1">
        <v>10</v>
      </c>
      <c r="AI47" s="64" t="s" ph="1">
        <v>374</v>
      </c>
      <c r="AV47" s="64" t="s" ph="1">
        <v>217</v>
      </c>
      <c r="AY47" s="64" t="s" ph="1">
        <v>216</v>
      </c>
      <c r="AZ47" s="64" t="s" ph="1">
        <v>367</v>
      </c>
    </row>
    <row r="48" spans="1:57" ph="1">
      <c r="R48" s="64"/>
      <c r="S48" s="64"/>
      <c r="T48" s="64"/>
      <c r="U48" s="64"/>
      <c r="V48" s="64"/>
      <c r="W48" s="64"/>
      <c r="X48" s="64"/>
      <c r="Y48" s="64"/>
      <c r="Z48" s="64"/>
      <c r="AA48" s="64"/>
      <c r="AB48" s="64"/>
      <c r="AC48" s="64"/>
      <c r="AD48" s="64"/>
      <c r="AE48" s="75"/>
      <c r="AZ48" s="64" t="s" ph="1">
        <v>575</v>
      </c>
    </row>
    <row r="49" spans="16:52" ph="1">
      <c r="R49" s="64"/>
      <c r="S49" s="64"/>
      <c r="T49" s="64"/>
      <c r="U49" s="64"/>
      <c r="V49" s="64"/>
      <c r="W49" s="64"/>
      <c r="X49" s="64"/>
      <c r="Y49" s="64"/>
      <c r="Z49" s="64"/>
      <c r="AA49" s="64"/>
      <c r="AB49" s="64"/>
      <c r="AC49" s="64"/>
      <c r="AD49" s="64"/>
      <c r="AE49" s="75"/>
      <c r="AG49" s="64" t="s" ph="1">
        <v>232</v>
      </c>
      <c r="AI49" s="64" t="s" ph="1">
        <v>209</v>
      </c>
      <c r="AJ49" s="64" t="s" ph="1">
        <v>210</v>
      </c>
      <c r="AK49" s="64" t="s" ph="1">
        <v>211</v>
      </c>
      <c r="AM49" s="64" t="s" ph="1">
        <v>210</v>
      </c>
      <c r="AN49" s="64" t="s" ph="1">
        <v>211</v>
      </c>
      <c r="AO49" s="64" t="s" ph="1">
        <v>212</v>
      </c>
      <c r="AP49" s="64" t="s" ph="1">
        <v>210</v>
      </c>
      <c r="AQ49" s="64" t="s" ph="1">
        <v>211</v>
      </c>
      <c r="AR49" s="64" t="s" ph="1">
        <v>212</v>
      </c>
      <c r="AS49" s="64" t="s" ph="1">
        <v>210</v>
      </c>
      <c r="AT49" s="64" t="s" ph="1">
        <v>211</v>
      </c>
      <c r="AU49" s="64" t="s" ph="1">
        <v>212</v>
      </c>
      <c r="AV49" s="64" t="s" ph="1">
        <v>210</v>
      </c>
      <c r="AW49" s="64" t="s" ph="1">
        <v>211</v>
      </c>
      <c r="AX49" s="64" t="s" ph="1">
        <v>212</v>
      </c>
      <c r="AY49" s="64" t="s" ph="1">
        <v>211</v>
      </c>
      <c r="AZ49" s="64" t="s" ph="1">
        <v>213</v>
      </c>
    </row>
    <row r="50" spans="16:52" ph="1">
      <c r="R50" s="64"/>
      <c r="S50" s="64"/>
      <c r="T50" s="64"/>
      <c r="U50" s="64"/>
      <c r="V50" s="64"/>
      <c r="W50" s="64"/>
      <c r="X50" s="64"/>
      <c r="Y50" s="64"/>
      <c r="Z50" s="64"/>
      <c r="AA50" s="64"/>
      <c r="AB50" s="64"/>
      <c r="AC50" s="64"/>
      <c r="AD50" s="64"/>
      <c r="AE50" s="75"/>
      <c r="AH50" s="64" ph="1">
        <v>1</v>
      </c>
      <c r="AI50" s="64" t="s" ph="1">
        <v>375</v>
      </c>
      <c r="AY50" s="64" t="s" ph="1">
        <v>216</v>
      </c>
      <c r="AZ50" s="64" t="s" ph="1">
        <v>367</v>
      </c>
    </row>
    <row r="51" spans="16:52" ph="1">
      <c r="R51" s="64"/>
      <c r="S51" s="64"/>
      <c r="T51" s="64"/>
      <c r="U51" s="64"/>
      <c r="V51" s="64"/>
      <c r="W51" s="64"/>
      <c r="X51" s="64"/>
      <c r="Y51" s="64"/>
      <c r="Z51" s="64"/>
      <c r="AA51" s="64"/>
      <c r="AB51" s="64"/>
      <c r="AC51" s="64"/>
      <c r="AD51" s="64"/>
      <c r="AE51" s="75"/>
      <c r="AH51" s="64" ph="1">
        <v>2</v>
      </c>
      <c r="AI51" s="64" t="s" ph="1">
        <v>376</v>
      </c>
      <c r="AY51" s="64" t="s" ph="1">
        <v>216</v>
      </c>
      <c r="AZ51" s="64" t="s" ph="1">
        <v>367</v>
      </c>
    </row>
    <row r="52" spans="16:52" ph="1">
      <c r="R52" s="64"/>
      <c r="S52" s="64"/>
      <c r="T52" s="64"/>
      <c r="U52" s="64"/>
      <c r="V52" s="64"/>
      <c r="W52" s="64"/>
      <c r="X52" s="64"/>
      <c r="Y52" s="64"/>
      <c r="Z52" s="64"/>
      <c r="AA52" s="64"/>
      <c r="AB52" s="64"/>
      <c r="AC52" s="64"/>
      <c r="AD52" s="64"/>
      <c r="AE52" s="75"/>
      <c r="AH52" s="64" ph="1">
        <v>3</v>
      </c>
      <c r="AI52" s="64" t="s" ph="1">
        <v>377</v>
      </c>
      <c r="AJ52" s="64" t="s" ph="1">
        <v>334</v>
      </c>
      <c r="AK52" s="64" t="s" ph="1">
        <v>228</v>
      </c>
      <c r="AM52" s="64" t="s" ph="1">
        <v>336</v>
      </c>
      <c r="AN52" s="64" t="s" ph="1">
        <v>300</v>
      </c>
      <c r="AO52" s="64" t="s" ph="1">
        <v>233</v>
      </c>
      <c r="AP52" s="64" t="s" ph="1">
        <v>570</v>
      </c>
      <c r="AQ52" s="64" t="s" ph="1">
        <v>282</v>
      </c>
      <c r="AR52" s="64" t="s" ph="1">
        <v>233</v>
      </c>
      <c r="AY52" s="64" t="s" ph="1">
        <v>216</v>
      </c>
      <c r="AZ52" s="64" t="s" ph="1">
        <v>576</v>
      </c>
    </row>
    <row r="53" spans="16:52" ph="1">
      <c r="R53" s="64"/>
      <c r="S53" s="64"/>
      <c r="T53" s="64"/>
      <c r="U53" s="64"/>
      <c r="W53" s="64"/>
      <c r="X53" s="64"/>
      <c r="Y53" s="64"/>
      <c r="Z53" s="64"/>
      <c r="AA53" s="64"/>
      <c r="AB53" s="64"/>
      <c r="AC53" s="64"/>
      <c r="AD53" s="64"/>
      <c r="AH53" s="64" ph="1">
        <v>4</v>
      </c>
      <c r="AI53" s="64" t="s" ph="1">
        <v>378</v>
      </c>
      <c r="AY53" s="64" t="s" ph="1">
        <v>216</v>
      </c>
      <c r="AZ53" s="64" t="s" ph="1">
        <v>367</v>
      </c>
    </row>
    <row r="54" spans="16:52" ph="1">
      <c r="R54" s="64"/>
      <c r="S54" s="64"/>
      <c r="T54" s="64"/>
      <c r="U54" s="64"/>
      <c r="W54" s="64"/>
      <c r="X54" s="64"/>
      <c r="Y54" s="64"/>
      <c r="Z54" s="64"/>
      <c r="AA54" s="64"/>
      <c r="AC54" s="64"/>
      <c r="AD54" s="64"/>
      <c r="AH54" s="64" ph="1">
        <v>5</v>
      </c>
      <c r="AI54" s="64" t="s" ph="1">
        <v>379</v>
      </c>
      <c r="AJ54" s="64" t="s" ph="1">
        <v>334</v>
      </c>
      <c r="AK54" s="64" t="s" ph="1">
        <v>219</v>
      </c>
      <c r="AM54" s="64" t="s" ph="1">
        <v>336</v>
      </c>
      <c r="AN54" s="64" t="s" ph="1">
        <v>224</v>
      </c>
      <c r="AO54" s="64" t="s" ph="1">
        <v>233</v>
      </c>
      <c r="AP54" s="64" t="s" ph="1">
        <v>570</v>
      </c>
      <c r="AQ54" s="64" t="s" ph="1">
        <v>240</v>
      </c>
      <c r="AR54" s="64" t="s" ph="1">
        <v>233</v>
      </c>
      <c r="AY54" s="64" t="s" ph="1">
        <v>216</v>
      </c>
      <c r="AZ54" s="64" t="s" ph="1">
        <v>234</v>
      </c>
    </row>
    <row r="55" spans="16:52" ph="1">
      <c r="R55" s="64"/>
      <c r="S55" s="64"/>
      <c r="T55" s="64"/>
      <c r="U55" s="64"/>
      <c r="V55" s="64"/>
      <c r="W55" s="64"/>
      <c r="X55" s="64"/>
      <c r="Z55" s="64"/>
      <c r="AC55" s="64"/>
      <c r="AD55" s="64"/>
      <c r="AE55" s="75"/>
      <c r="AH55" s="64" ph="1">
        <v>6</v>
      </c>
      <c r="AI55" s="64" t="s" ph="1">
        <v>380</v>
      </c>
      <c r="AY55" s="64" t="s" ph="1">
        <v>216</v>
      </c>
      <c r="AZ55" s="64" t="s" ph="1">
        <v>367</v>
      </c>
    </row>
    <row r="56" spans="16:52" ph="1">
      <c r="P56" s="64" ph="1">
        <v>20260804</v>
      </c>
      <c r="R56" s="64"/>
      <c r="S56" s="64"/>
      <c r="T56" s="64"/>
      <c r="U56" s="64"/>
      <c r="V56" s="64"/>
      <c r="W56" s="64"/>
      <c r="X56" s="64"/>
      <c r="Z56" s="64"/>
      <c r="AA56" s="64"/>
      <c r="AB56" s="64"/>
      <c r="AC56" s="64"/>
      <c r="AD56" s="64"/>
      <c r="AE56" s="75"/>
      <c r="AH56" s="64" ph="1">
        <v>7</v>
      </c>
      <c r="AI56" s="64" t="s" ph="1">
        <v>381</v>
      </c>
      <c r="AY56" s="64" t="s" ph="1">
        <v>216</v>
      </c>
      <c r="AZ56" s="64" t="s" ph="1">
        <v>367</v>
      </c>
    </row>
    <row r="57" spans="16:52" ph="1">
      <c r="R57" s="64"/>
      <c r="S57" s="64"/>
      <c r="T57" s="64"/>
      <c r="U57" s="64"/>
      <c r="V57" s="64"/>
      <c r="W57" s="64"/>
      <c r="AA57" s="64"/>
      <c r="AB57" s="64"/>
      <c r="AC57" s="64"/>
      <c r="AD57" s="64"/>
      <c r="AE57" s="75"/>
      <c r="AH57" s="64" ph="1">
        <v>8</v>
      </c>
      <c r="AI57" s="64" t="s" ph="1">
        <v>382</v>
      </c>
      <c r="AY57" s="64" t="s" ph="1">
        <v>216</v>
      </c>
      <c r="AZ57" s="64" t="s" ph="1">
        <v>367</v>
      </c>
    </row>
    <row r="58" spans="16:52" ph="1">
      <c r="P58" s="64"/>
      <c r="AN58" s="64" t="s" ph="1">
        <v>217</v>
      </c>
      <c r="AZ58" s="64" t="s" ph="1">
        <v>577</v>
      </c>
    </row>
    <row r="59" spans="16:52" ph="1">
      <c r="V59" s="64"/>
      <c r="AG59" s="64" t="s" ph="1">
        <v>235</v>
      </c>
      <c r="AI59" s="64" t="s" ph="1">
        <v>209</v>
      </c>
      <c r="AJ59" s="64" t="s" ph="1">
        <v>210</v>
      </c>
      <c r="AK59" s="64" t="s" ph="1">
        <v>211</v>
      </c>
      <c r="AM59" s="64" t="s" ph="1">
        <v>210</v>
      </c>
      <c r="AN59" s="64" t="s" ph="1">
        <v>211</v>
      </c>
      <c r="AO59" s="64" t="s" ph="1">
        <v>212</v>
      </c>
      <c r="AP59" s="64" t="s" ph="1">
        <v>210</v>
      </c>
      <c r="AQ59" s="64" t="s" ph="1">
        <v>211</v>
      </c>
      <c r="AR59" s="64" t="s" ph="1">
        <v>212</v>
      </c>
      <c r="AS59" s="64" t="s" ph="1">
        <v>210</v>
      </c>
      <c r="AT59" s="64" t="s" ph="1">
        <v>211</v>
      </c>
      <c r="AU59" s="64" t="s" ph="1">
        <v>212</v>
      </c>
      <c r="AV59" s="64" t="s" ph="1">
        <v>210</v>
      </c>
      <c r="AW59" s="64" t="s" ph="1">
        <v>211</v>
      </c>
      <c r="AX59" s="64" t="s" ph="1">
        <v>212</v>
      </c>
      <c r="AY59" s="64" t="s" ph="1">
        <v>211</v>
      </c>
      <c r="AZ59" s="64" t="s" ph="1">
        <v>213</v>
      </c>
    </row>
    <row r="60" spans="16:52" ph="1">
      <c r="R60" s="64"/>
      <c r="S60" s="64"/>
      <c r="T60" s="64"/>
      <c r="AH60" s="64" ph="1">
        <v>1</v>
      </c>
      <c r="AI60" s="64" t="s" ph="1">
        <v>383</v>
      </c>
      <c r="AY60" s="64" t="s" ph="1">
        <v>216</v>
      </c>
      <c r="AZ60" s="64" t="s" ph="1">
        <v>367</v>
      </c>
    </row>
    <row r="61" spans="16:52" ph="1">
      <c r="AH61" s="64" ph="1">
        <v>2</v>
      </c>
      <c r="AI61" s="64" t="s" ph="1">
        <v>384</v>
      </c>
      <c r="AS61" s="64" t="s" ph="1">
        <v>217</v>
      </c>
      <c r="AY61" s="64" t="s" ph="1">
        <v>216</v>
      </c>
      <c r="AZ61" s="64" t="s" ph="1">
        <v>367</v>
      </c>
    </row>
    <row r="62" spans="16:52" ph="1">
      <c r="AZ62" s="64" t="s" ph="1">
        <v>385</v>
      </c>
    </row>
    <row r="63" spans="16:52" ph="1">
      <c r="AG63" s="64" t="s" ph="1">
        <v>238</v>
      </c>
      <c r="AI63" s="64" t="s" ph="1">
        <v>209</v>
      </c>
      <c r="AJ63" s="64" t="s" ph="1">
        <v>210</v>
      </c>
      <c r="AK63" s="64" t="s" ph="1">
        <v>211</v>
      </c>
      <c r="AM63" s="64" t="s" ph="1">
        <v>210</v>
      </c>
      <c r="AN63" s="64" t="s" ph="1">
        <v>211</v>
      </c>
      <c r="AO63" s="64" t="s" ph="1">
        <v>212</v>
      </c>
      <c r="AP63" s="64" t="s" ph="1">
        <v>210</v>
      </c>
      <c r="AQ63" s="64" t="s" ph="1">
        <v>211</v>
      </c>
      <c r="AR63" s="64" t="s" ph="1">
        <v>212</v>
      </c>
      <c r="AS63" s="64" t="s" ph="1">
        <v>210</v>
      </c>
      <c r="AT63" s="64" t="s" ph="1">
        <v>211</v>
      </c>
      <c r="AU63" s="64" t="s" ph="1">
        <v>212</v>
      </c>
      <c r="AV63" s="64" t="s" ph="1">
        <v>210</v>
      </c>
      <c r="AW63" s="64" t="s" ph="1">
        <v>211</v>
      </c>
      <c r="AX63" s="64" t="s" ph="1">
        <v>212</v>
      </c>
      <c r="AY63" s="64" t="s" ph="1">
        <v>211</v>
      </c>
      <c r="AZ63" s="64" t="s" ph="1">
        <v>213</v>
      </c>
    </row>
    <row r="64" spans="16:52" ph="1">
      <c r="AH64" s="64" ph="1">
        <v>1</v>
      </c>
      <c r="AI64" s="64" t="s" ph="1">
        <v>386</v>
      </c>
      <c r="AJ64" s="64" t="s" ph="1">
        <v>387</v>
      </c>
      <c r="AK64" s="64" t="s" ph="1">
        <v>388</v>
      </c>
      <c r="AY64" s="64" t="s" ph="1">
        <v>216</v>
      </c>
      <c r="AZ64" s="64" t="s" ph="1">
        <v>388</v>
      </c>
    </row>
    <row r="65" spans="33:52" ph="1">
      <c r="AH65" s="64" ph="1">
        <v>2</v>
      </c>
      <c r="AI65" s="64" t="s" ph="1">
        <v>389</v>
      </c>
      <c r="AY65" s="64" t="s" ph="1">
        <v>216</v>
      </c>
      <c r="AZ65" s="64" t="s" ph="1">
        <v>367</v>
      </c>
    </row>
    <row r="66" spans="33:52" ph="1">
      <c r="AH66" s="64" ph="1">
        <v>3</v>
      </c>
      <c r="AI66" s="64" t="s" ph="1">
        <v>390</v>
      </c>
      <c r="AY66" s="64" t="s" ph="1">
        <v>216</v>
      </c>
      <c r="AZ66" s="64" t="s" ph="1">
        <v>367</v>
      </c>
    </row>
    <row r="67" spans="33:52" ph="1">
      <c r="AH67" s="64" ph="1">
        <v>4</v>
      </c>
      <c r="AI67" s="64" t="s" ph="1">
        <v>391</v>
      </c>
      <c r="AY67" s="64" t="s" ph="1">
        <v>216</v>
      </c>
      <c r="AZ67" s="64" t="s" ph="1">
        <v>367</v>
      </c>
    </row>
    <row r="68" spans="33:52" ph="1">
      <c r="AH68" s="64" ph="1">
        <v>5</v>
      </c>
      <c r="AI68" s="64" t="s" ph="1">
        <v>392</v>
      </c>
      <c r="AY68" s="64" t="s" ph="1">
        <v>216</v>
      </c>
      <c r="AZ68" s="64" t="s" ph="1">
        <v>367</v>
      </c>
    </row>
    <row r="69" spans="33:52" ph="1">
      <c r="AH69" s="64" ph="1">
        <v>6</v>
      </c>
      <c r="AI69" s="64" t="s" ph="1">
        <v>393</v>
      </c>
      <c r="AY69" s="64" t="s" ph="1">
        <v>216</v>
      </c>
      <c r="AZ69" s="64" t="s" ph="1">
        <v>367</v>
      </c>
    </row>
    <row r="70" spans="33:52" ph="1">
      <c r="AI70" s="64" t="s" ph="1">
        <v>394</v>
      </c>
      <c r="AY70" s="64" t="s" ph="1">
        <v>216</v>
      </c>
      <c r="AZ70" s="64" t="s" ph="1">
        <v>367</v>
      </c>
    </row>
    <row r="71" spans="33:52" ph="1">
      <c r="AH71" s="64" ph="1">
        <v>7</v>
      </c>
      <c r="AI71" s="64" t="s" ph="1">
        <v>395</v>
      </c>
      <c r="AJ71" s="64" t="s" ph="1">
        <v>334</v>
      </c>
      <c r="AK71" s="64" t="s" ph="1">
        <v>228</v>
      </c>
      <c r="AM71" s="64" t="s" ph="1">
        <v>336</v>
      </c>
      <c r="AN71" s="64" t="s" ph="1">
        <v>228</v>
      </c>
      <c r="AO71" s="64" t="s" ph="1">
        <v>396</v>
      </c>
      <c r="AP71" s="64" t="s" ph="1">
        <v>570</v>
      </c>
      <c r="AQ71" s="64" t="s" ph="1">
        <v>219</v>
      </c>
      <c r="AR71" s="64" t="s" ph="1">
        <v>396</v>
      </c>
      <c r="AY71" s="64" t="s" ph="1">
        <v>216</v>
      </c>
      <c r="AZ71" s="64" t="s" ph="1">
        <v>578</v>
      </c>
    </row>
    <row r="72" spans="33:52" ph="1">
      <c r="AZ72" s="64" t="s" ph="1">
        <v>579</v>
      </c>
    </row>
    <row r="73" spans="33:52" ph="1">
      <c r="AG73" s="64" t="s" ph="1">
        <v>241</v>
      </c>
      <c r="AI73" s="64" t="s" ph="1">
        <v>209</v>
      </c>
      <c r="AJ73" s="64" t="s" ph="1">
        <v>210</v>
      </c>
      <c r="AK73" s="64" t="s" ph="1">
        <v>211</v>
      </c>
      <c r="AM73" s="64" t="s" ph="1">
        <v>210</v>
      </c>
      <c r="AN73" s="64" t="s" ph="1">
        <v>211</v>
      </c>
      <c r="AO73" s="64" t="s" ph="1">
        <v>212</v>
      </c>
      <c r="AP73" s="64" t="s" ph="1">
        <v>210</v>
      </c>
      <c r="AQ73" s="64" t="s" ph="1">
        <v>211</v>
      </c>
      <c r="AR73" s="64" t="s" ph="1">
        <v>212</v>
      </c>
      <c r="AS73" s="64" t="s" ph="1">
        <v>210</v>
      </c>
      <c r="AT73" s="64" t="s" ph="1">
        <v>211</v>
      </c>
      <c r="AU73" s="64" t="s" ph="1">
        <v>212</v>
      </c>
      <c r="AV73" s="64" t="s" ph="1">
        <v>210</v>
      </c>
      <c r="AW73" s="64" t="s" ph="1">
        <v>211</v>
      </c>
      <c r="AX73" s="64" t="s" ph="1">
        <v>212</v>
      </c>
      <c r="AY73" s="64" t="s" ph="1">
        <v>211</v>
      </c>
      <c r="AZ73" s="64" t="s" ph="1">
        <v>213</v>
      </c>
    </row>
    <row r="74" spans="33:52" ph="1">
      <c r="AH74" s="64" ph="1">
        <v>1</v>
      </c>
      <c r="AI74" s="64" t="s" ph="1">
        <v>397</v>
      </c>
      <c r="AJ74" s="64" t="s" ph="1">
        <v>242</v>
      </c>
      <c r="AK74" s="64" t="s" ph="1">
        <v>224</v>
      </c>
      <c r="AM74" s="64" t="s" ph="1">
        <v>244</v>
      </c>
      <c r="AN74" s="64" t="s" ph="1">
        <v>254</v>
      </c>
      <c r="AO74" s="64" t="s" ph="1">
        <v>243</v>
      </c>
      <c r="AP74" s="64" t="s" ph="1">
        <v>245</v>
      </c>
      <c r="AQ74" s="64" t="s" ph="1">
        <v>222</v>
      </c>
      <c r="AR74" s="64" t="s" ph="1">
        <v>243</v>
      </c>
      <c r="AS74" s="64" t="s" ph="1">
        <v>215</v>
      </c>
      <c r="AT74" s="64" t="s" ph="1">
        <v>217</v>
      </c>
      <c r="AV74" s="64" t="s" ph="1">
        <v>398</v>
      </c>
      <c r="AW74" s="64" t="s" ph="1">
        <v>399</v>
      </c>
      <c r="AX74" s="64" t="s" ph="1">
        <v>400</v>
      </c>
      <c r="AY74" s="64" t="s" ph="1">
        <v>216</v>
      </c>
      <c r="AZ74" s="64" t="s" ph="1">
        <v>401</v>
      </c>
    </row>
    <row r="75" spans="33:52" ph="1">
      <c r="AJ75" s="64" t="s" ph="1">
        <v>247</v>
      </c>
      <c r="AK75" s="64" t="s" ph="1">
        <v>300</v>
      </c>
      <c r="AM75" s="64" t="s" ph="1">
        <v>245</v>
      </c>
      <c r="AN75" s="64" t="s" ph="1">
        <v>225</v>
      </c>
      <c r="AO75" s="64" t="s" ph="1">
        <v>243</v>
      </c>
      <c r="AS75" s="64" t="s" ph="1">
        <v>215</v>
      </c>
      <c r="AT75" s="64" t="s" ph="1">
        <v>246</v>
      </c>
    </row>
    <row r="76" spans="33:52" ph="1">
      <c r="AJ76" s="64" t="s" ph="1">
        <v>247</v>
      </c>
      <c r="AK76" s="64" t="s" ph="1">
        <v>240</v>
      </c>
      <c r="AM76" s="64" t="s" ph="1">
        <v>245</v>
      </c>
      <c r="AN76" s="64" t="s" ph="1">
        <v>228</v>
      </c>
      <c r="AO76" s="64" t="s" ph="1">
        <v>243</v>
      </c>
      <c r="AS76" s="64" t="s" ph="1">
        <v>215</v>
      </c>
      <c r="AT76" s="64" t="s" ph="1">
        <v>246</v>
      </c>
    </row>
    <row r="77" spans="33:52" ph="1">
      <c r="AJ77" s="64" t="s" ph="1">
        <v>283</v>
      </c>
      <c r="AK77" s="64" t="s" ph="1">
        <v>240</v>
      </c>
      <c r="AM77" s="64" t="s" ph="1">
        <v>284</v>
      </c>
      <c r="AN77" s="64" t="s" ph="1">
        <v>223</v>
      </c>
      <c r="AO77" s="64" t="s" ph="1">
        <v>243</v>
      </c>
      <c r="AS77" s="64" t="s" ph="1">
        <v>215</v>
      </c>
      <c r="AT77" s="64" t="s" ph="1">
        <v>285</v>
      </c>
    </row>
    <row r="78" spans="33:52" ph="1">
      <c r="AH78" s="64" ph="1">
        <v>2</v>
      </c>
      <c r="AI78" s="64" t="s" ph="1">
        <v>249</v>
      </c>
      <c r="AJ78" s="64" t="s" ph="1">
        <v>250</v>
      </c>
      <c r="AK78" s="64" t="s" ph="1">
        <v>219</v>
      </c>
      <c r="AM78" s="64" t="s" ph="1">
        <v>251</v>
      </c>
      <c r="AN78" s="64" t="s" ph="1">
        <v>254</v>
      </c>
      <c r="AO78" s="64" t="s" ph="1">
        <v>243</v>
      </c>
      <c r="AP78" s="64" t="s" ph="1">
        <v>252</v>
      </c>
      <c r="AQ78" s="64" t="s" ph="1">
        <v>298</v>
      </c>
      <c r="AR78" s="64" t="s" ph="1">
        <v>243</v>
      </c>
      <c r="AS78" s="64" t="s" ph="1">
        <v>253</v>
      </c>
      <c r="AT78" s="64" t="s" ph="1">
        <v>254</v>
      </c>
      <c r="AU78" s="64" t="s" ph="1">
        <v>243</v>
      </c>
      <c r="AV78" s="64" t="s" ph="1">
        <v>255</v>
      </c>
      <c r="AW78" s="64" t="s" ph="1">
        <v>243</v>
      </c>
      <c r="AY78" s="64" t="s" ph="1">
        <v>216</v>
      </c>
      <c r="AZ78" s="64" t="s" ph="1">
        <v>402</v>
      </c>
    </row>
    <row r="79" spans="33:52" ph="1">
      <c r="AJ79" s="64" t="s" ph="1">
        <v>245</v>
      </c>
      <c r="AK79" s="64" t="s" ph="1">
        <v>256</v>
      </c>
      <c r="AM79" s="64" t="s" ph="1">
        <v>257</v>
      </c>
      <c r="AN79" s="64" t="s" ph="1">
        <v>225</v>
      </c>
      <c r="AO79" s="64" t="s" ph="1">
        <v>243</v>
      </c>
      <c r="AP79" s="64" t="s" ph="1">
        <v>258</v>
      </c>
      <c r="AQ79" s="64" t="s" ph="1">
        <v>223</v>
      </c>
      <c r="AR79" s="64" t="s" ph="1">
        <v>259</v>
      </c>
      <c r="AS79" s="64" t="s" ph="1">
        <v>215</v>
      </c>
      <c r="AT79" s="64" t="s" ph="1">
        <v>260</v>
      </c>
      <c r="AV79" s="64" t="s" ph="1">
        <v>403</v>
      </c>
      <c r="AW79" s="64" t="s" ph="1">
        <v>302</v>
      </c>
      <c r="AX79" s="64" t="s" ph="1">
        <v>400</v>
      </c>
    </row>
    <row r="80" spans="33:52" ph="1">
      <c r="AH80" s="64" ph="1">
        <v>3</v>
      </c>
      <c r="AI80" s="64" t="s" ph="1">
        <v>261</v>
      </c>
      <c r="AJ80" s="64" t="s" ph="1">
        <v>262</v>
      </c>
      <c r="AK80" s="64" t="s" ph="1">
        <v>263</v>
      </c>
      <c r="AM80" s="64" t="s" ph="1">
        <v>264</v>
      </c>
      <c r="AN80" s="64" t="s" ph="1">
        <v>254</v>
      </c>
      <c r="AO80" s="64" t="s" ph="1">
        <v>243</v>
      </c>
      <c r="AP80" s="64" t="s" ph="1">
        <v>265</v>
      </c>
      <c r="AQ80" s="64" t="s" ph="1">
        <v>228</v>
      </c>
      <c r="AR80" s="64" t="s" ph="1">
        <v>243</v>
      </c>
      <c r="AS80" s="64" t="s" ph="1">
        <v>266</v>
      </c>
      <c r="AT80" s="64" t="s" ph="1">
        <v>227</v>
      </c>
      <c r="AU80" s="64" t="s" ph="1">
        <v>243</v>
      </c>
      <c r="AV80" s="64" t="s" ph="1">
        <v>267</v>
      </c>
      <c r="AW80" s="64" t="s" ph="1">
        <v>243</v>
      </c>
      <c r="AY80" s="64" t="s" ph="1">
        <v>216</v>
      </c>
      <c r="AZ80" s="64" t="s" ph="1">
        <v>404</v>
      </c>
    </row>
    <row r="81" spans="34:52" ph="1">
      <c r="AJ81" s="64" t="s" ph="1">
        <v>268</v>
      </c>
      <c r="AK81" s="64" t="s" ph="1">
        <v>222</v>
      </c>
      <c r="AM81" s="64" t="s" ph="1">
        <v>269</v>
      </c>
      <c r="AN81" s="64" t="s" ph="1">
        <v>225</v>
      </c>
      <c r="AO81" s="64" t="s" ph="1">
        <v>243</v>
      </c>
      <c r="AP81" s="64" t="s" ph="1">
        <v>270</v>
      </c>
      <c r="AQ81" s="64" t="s" ph="1">
        <v>254</v>
      </c>
      <c r="AR81" s="64" t="s" ph="1">
        <v>243</v>
      </c>
      <c r="AS81" s="64" t="s" ph="1">
        <v>271</v>
      </c>
      <c r="AT81" s="64" t="s" ph="1">
        <v>272</v>
      </c>
      <c r="AU81" s="64" t="s" ph="1">
        <v>243</v>
      </c>
      <c r="AV81" s="64" t="s" ph="1">
        <v>273</v>
      </c>
    </row>
    <row r="82" spans="34:52" ph="1">
      <c r="AJ82" s="64" t="s" ph="1">
        <v>274</v>
      </c>
      <c r="AK82" s="64" t="s" ph="1">
        <v>222</v>
      </c>
      <c r="AM82" s="64" t="s" ph="1">
        <v>275</v>
      </c>
      <c r="AN82" s="64" t="s" ph="1">
        <v>272</v>
      </c>
      <c r="AO82" s="64" t="s" ph="1">
        <v>276</v>
      </c>
      <c r="AP82" s="64" t="s" ph="1">
        <v>277</v>
      </c>
      <c r="AQ82" s="64" t="s" ph="1">
        <v>254</v>
      </c>
      <c r="AR82" s="64" t="s" ph="1">
        <v>243</v>
      </c>
      <c r="AS82" s="64" t="s" ph="1">
        <v>278</v>
      </c>
      <c r="AT82" s="64" t="s" ph="1">
        <v>229</v>
      </c>
      <c r="AU82" s="64" t="s" ph="1">
        <v>243</v>
      </c>
      <c r="AV82" s="64" t="s" ph="1">
        <v>403</v>
      </c>
      <c r="AW82" s="64" t="s" ph="1">
        <v>303</v>
      </c>
      <c r="AX82" s="64" t="s" ph="1">
        <v>400</v>
      </c>
    </row>
    <row r="83" spans="34:52" ph="1">
      <c r="AJ83" s="64" t="s" ph="1">
        <v>279</v>
      </c>
      <c r="AK83" s="64" t="s" ph="1">
        <v>296</v>
      </c>
      <c r="AM83" s="64" t="s" ph="1">
        <v>280</v>
      </c>
      <c r="AN83" s="64" t="s" ph="1">
        <v>228</v>
      </c>
      <c r="AO83" s="64" t="s" ph="1">
        <v>259</v>
      </c>
      <c r="AP83" s="64" t="s" ph="1">
        <v>281</v>
      </c>
      <c r="AQ83" s="64" t="s" ph="1">
        <v>282</v>
      </c>
      <c r="AR83" s="64" t="s" ph="1">
        <v>259</v>
      </c>
      <c r="AS83" s="64" t="s" ph="1">
        <v>405</v>
      </c>
      <c r="AT83" s="64" t="s" ph="1">
        <v>254</v>
      </c>
      <c r="AU83" s="64" t="s" ph="1">
        <v>259</v>
      </c>
      <c r="AV83" s="64" t="s" ph="1">
        <v>406</v>
      </c>
      <c r="AW83" s="64" t="s" ph="1">
        <v>303</v>
      </c>
      <c r="AX83" s="64" t="s" ph="1">
        <v>407</v>
      </c>
    </row>
    <row r="84" spans="34:52" ph="1">
      <c r="AH84" s="64" ph="1">
        <v>4</v>
      </c>
      <c r="AI84" s="64" t="s" ph="1">
        <v>286</v>
      </c>
      <c r="AJ84" s="64" t="s" ph="1">
        <v>226</v>
      </c>
      <c r="AK84" s="64" t="s" ph="1">
        <v>229</v>
      </c>
      <c r="AM84" s="64" t="s" ph="1">
        <v>230</v>
      </c>
      <c r="AN84" s="64" t="s" ph="1">
        <v>223</v>
      </c>
      <c r="AO84" s="64" t="s" ph="1">
        <v>259</v>
      </c>
      <c r="AP84" s="64" t="s" ph="1">
        <v>288</v>
      </c>
      <c r="AQ84" s="64" t="s" ph="1">
        <v>222</v>
      </c>
      <c r="AR84" s="64" t="s" ph="1">
        <v>259</v>
      </c>
      <c r="AS84" s="64" t="s" ph="1">
        <v>288</v>
      </c>
      <c r="AT84" s="64" t="s" ph="1">
        <v>224</v>
      </c>
      <c r="AU84" s="64" t="s" ph="1">
        <v>259</v>
      </c>
      <c r="AY84" s="64" t="s" ph="1">
        <v>216</v>
      </c>
      <c r="AZ84" s="64" t="s" ph="1">
        <v>408</v>
      </c>
    </row>
    <row r="85" spans="34:52" ph="1">
      <c r="AJ85" s="64" t="s" ph="1">
        <v>218</v>
      </c>
      <c r="AK85" s="64" t="s" ph="1">
        <v>222</v>
      </c>
      <c r="AM85" s="64" t="s" ph="1">
        <v>409</v>
      </c>
      <c r="AN85" s="64" t="s" ph="1">
        <v>229</v>
      </c>
      <c r="AO85" s="64" t="s" ph="1">
        <v>259</v>
      </c>
      <c r="AP85" s="64" t="s" ph="1">
        <v>410</v>
      </c>
      <c r="AQ85" s="64" t="s" ph="1">
        <v>225</v>
      </c>
      <c r="AR85" s="64" t="s" ph="1">
        <v>259</v>
      </c>
      <c r="AS85" s="64" t="s" ph="1">
        <v>411</v>
      </c>
      <c r="AT85" s="64" t="s" ph="1">
        <v>225</v>
      </c>
      <c r="AU85" s="64" t="s" ph="1">
        <v>259</v>
      </c>
    </row>
    <row r="86" spans="34:52" ph="1">
      <c r="AJ86" s="64" t="s" ph="1">
        <v>412</v>
      </c>
      <c r="AK86" s="64" t="s" ph="1">
        <v>231</v>
      </c>
      <c r="AM86" s="64" t="s" ph="1">
        <v>413</v>
      </c>
      <c r="AN86" s="64" t="s" ph="1">
        <v>272</v>
      </c>
      <c r="AO86" s="64" t="s" ph="1">
        <v>259</v>
      </c>
      <c r="AP86" s="64" t="s" ph="1">
        <v>414</v>
      </c>
      <c r="AQ86" s="64" t="s" ph="1">
        <v>219</v>
      </c>
      <c r="AR86" s="64" t="s" ph="1">
        <v>259</v>
      </c>
      <c r="AS86" s="64" t="s" ph="1">
        <v>415</v>
      </c>
      <c r="AT86" s="64" t="s" ph="1">
        <v>237</v>
      </c>
      <c r="AU86" s="64" t="s" ph="1">
        <v>259</v>
      </c>
    </row>
    <row r="87" spans="34:52" ph="1">
      <c r="AJ87" s="64" t="s" ph="1">
        <v>416</v>
      </c>
      <c r="AK87" s="64" t="s" ph="1">
        <v>272</v>
      </c>
      <c r="AM87" s="64" t="s" ph="1">
        <v>403</v>
      </c>
      <c r="AN87" s="64" t="s" ph="1">
        <v>417</v>
      </c>
      <c r="AO87" s="64" t="s" ph="1">
        <v>400</v>
      </c>
    </row>
    <row r="88" spans="34:52" ph="1">
      <c r="AH88" s="64" ph="1">
        <v>5</v>
      </c>
      <c r="AI88" s="64" t="s" ph="1">
        <v>289</v>
      </c>
      <c r="AJ88" s="64" t="s" ph="1">
        <v>418</v>
      </c>
      <c r="AK88" s="64" t="s" ph="1">
        <v>272</v>
      </c>
      <c r="AM88" s="64" t="s" ph="1">
        <v>419</v>
      </c>
      <c r="AN88" s="64" t="s" ph="1">
        <v>272</v>
      </c>
      <c r="AO88" s="64" t="s" ph="1">
        <v>259</v>
      </c>
      <c r="AP88" s="64" t="s" ph="1">
        <v>420</v>
      </c>
      <c r="AQ88" s="64" t="s" ph="1">
        <v>222</v>
      </c>
      <c r="AR88" s="64" t="s" ph="1">
        <v>259</v>
      </c>
      <c r="AS88" s="64" t="s" ph="1">
        <v>421</v>
      </c>
      <c r="AT88" s="64" t="s" ph="1">
        <v>272</v>
      </c>
      <c r="AU88" s="64" t="s" ph="1">
        <v>259</v>
      </c>
      <c r="AV88" s="64" t="s" ph="1">
        <v>422</v>
      </c>
      <c r="AW88" s="64" t="s" ph="1">
        <v>227</v>
      </c>
      <c r="AX88" s="64" t="s" ph="1">
        <v>259</v>
      </c>
      <c r="AY88" s="64" t="s" ph="1">
        <v>216</v>
      </c>
      <c r="AZ88" s="64" t="s" ph="1">
        <v>423</v>
      </c>
    </row>
    <row r="89" spans="34:52" ph="1">
      <c r="AJ89" s="64" t="s" ph="1">
        <v>424</v>
      </c>
      <c r="AK89" s="64" t="s" ph="1">
        <v>225</v>
      </c>
      <c r="AM89" s="64" t="s" ph="1">
        <v>425</v>
      </c>
      <c r="AN89" s="64" t="s" ph="1">
        <v>228</v>
      </c>
      <c r="AO89" s="64" t="s" ph="1">
        <v>259</v>
      </c>
      <c r="AP89" s="64" t="s" ph="1">
        <v>426</v>
      </c>
      <c r="AQ89" s="64" t="s" ph="1">
        <v>237</v>
      </c>
      <c r="AR89" s="64" t="s" ph="1">
        <v>259</v>
      </c>
      <c r="AS89" s="64" t="s" ph="1">
        <v>427</v>
      </c>
      <c r="AT89" s="64" t="s" ph="1">
        <v>272</v>
      </c>
      <c r="AU89" s="64" t="s" ph="1">
        <v>259</v>
      </c>
      <c r="AV89" s="64" t="s" ph="1">
        <v>428</v>
      </c>
      <c r="AW89" s="64" t="s" ph="1">
        <v>254</v>
      </c>
      <c r="AX89" s="64" t="s" ph="1">
        <v>287</v>
      </c>
    </row>
    <row r="90" spans="34:52" ph="1">
      <c r="AJ90" s="64" t="s" ph="1">
        <v>429</v>
      </c>
      <c r="AK90" s="64" t="s" ph="1">
        <v>228</v>
      </c>
      <c r="AM90" s="64" t="s" ph="1">
        <v>430</v>
      </c>
      <c r="AN90" s="64" t="s" ph="1">
        <v>225</v>
      </c>
      <c r="AO90" s="64" t="s" ph="1">
        <v>259</v>
      </c>
      <c r="AP90" s="64" t="s" ph="1">
        <v>431</v>
      </c>
      <c r="AQ90" s="64" t="s" ph="1">
        <v>294</v>
      </c>
      <c r="AR90" s="64" t="s" ph="1">
        <v>259</v>
      </c>
      <c r="AS90" s="64" t="s" ph="1">
        <v>432</v>
      </c>
      <c r="AT90" s="64" t="s" ph="1">
        <v>282</v>
      </c>
      <c r="AU90" s="64" t="s" ph="1">
        <v>259</v>
      </c>
      <c r="AV90" s="64" t="s" ph="1">
        <v>433</v>
      </c>
      <c r="AW90" s="64" t="s" ph="1">
        <v>219</v>
      </c>
      <c r="AX90" s="64" t="s" ph="1">
        <v>259</v>
      </c>
    </row>
    <row r="91" spans="34:52" ph="1">
      <c r="AJ91" s="64" t="s" ph="1">
        <v>434</v>
      </c>
      <c r="AK91" s="64" t="s" ph="1">
        <v>272</v>
      </c>
      <c r="AM91" s="64" t="s" ph="1">
        <v>435</v>
      </c>
      <c r="AN91" s="64" t="s" ph="1">
        <v>239</v>
      </c>
      <c r="AO91" s="64" t="s" ph="1">
        <v>259</v>
      </c>
      <c r="AP91" s="64" t="s" ph="1">
        <v>436</v>
      </c>
      <c r="AQ91" s="64" t="s" ph="1">
        <v>219</v>
      </c>
      <c r="AS91" s="64" t="s" ph="1">
        <v>403</v>
      </c>
      <c r="AT91" s="64" t="s" ph="1">
        <v>399</v>
      </c>
      <c r="AU91" s="64" t="s" ph="1">
        <v>400</v>
      </c>
    </row>
    <row r="92" spans="34:52" ph="1">
      <c r="AH92" s="64" ph="1">
        <v>6</v>
      </c>
      <c r="AI92" s="64" t="s" ph="1">
        <v>437</v>
      </c>
      <c r="AJ92" s="64" t="s" ph="1">
        <v>438</v>
      </c>
      <c r="AK92" s="64" t="s" ph="1">
        <v>367</v>
      </c>
      <c r="AM92" s="64" t="s" ph="1">
        <v>439</v>
      </c>
      <c r="AN92" s="64" t="s" ph="1">
        <v>227</v>
      </c>
      <c r="AO92" s="64" t="s" ph="1">
        <v>259</v>
      </c>
      <c r="AP92" s="64" t="s" ph="1">
        <v>440</v>
      </c>
      <c r="AQ92" s="64" t="s" ph="1">
        <v>299</v>
      </c>
      <c r="AR92" s="64" t="s" ph="1">
        <v>259</v>
      </c>
      <c r="AS92" s="64" t="s" ph="1">
        <v>441</v>
      </c>
      <c r="AT92" s="64" t="s" ph="1">
        <v>272</v>
      </c>
      <c r="AU92" s="64" t="s" ph="1">
        <v>259</v>
      </c>
      <c r="AV92" s="64" t="s" ph="1">
        <v>442</v>
      </c>
      <c r="AW92" s="64" t="s" ph="1">
        <v>228</v>
      </c>
      <c r="AX92" s="64" t="s" ph="1">
        <v>259</v>
      </c>
      <c r="AY92" s="64" t="s" ph="1">
        <v>216</v>
      </c>
      <c r="AZ92" s="64" t="s" ph="1">
        <v>423</v>
      </c>
    </row>
    <row r="93" spans="34:52" ph="1">
      <c r="AJ93" s="64" t="s" ph="1">
        <v>443</v>
      </c>
      <c r="AK93" s="64" t="s" ph="1">
        <v>222</v>
      </c>
      <c r="AM93" s="64" t="s" ph="1">
        <v>444</v>
      </c>
      <c r="AN93" s="64" t="s" ph="1">
        <v>227</v>
      </c>
      <c r="AO93" s="64" t="s" ph="1">
        <v>259</v>
      </c>
      <c r="AP93" s="64" t="s" ph="1">
        <v>445</v>
      </c>
      <c r="AQ93" s="64" t="s" ph="1">
        <v>231</v>
      </c>
      <c r="AR93" s="64" t="s" ph="1">
        <v>259</v>
      </c>
      <c r="AS93" s="64" t="s" ph="1">
        <v>446</v>
      </c>
      <c r="AT93" s="64" t="s" ph="1">
        <v>237</v>
      </c>
      <c r="AU93" s="64" t="s" ph="1">
        <v>259</v>
      </c>
      <c r="AV93" s="64" t="s" ph="1">
        <v>447</v>
      </c>
      <c r="AW93" s="64" t="s" ph="1">
        <v>231</v>
      </c>
      <c r="AX93" s="64" t="s" ph="1">
        <v>259</v>
      </c>
    </row>
    <row r="94" spans="34:52" ph="1">
      <c r="AJ94" s="64" t="s" ph="1">
        <v>448</v>
      </c>
      <c r="AK94" s="64" t="s" ph="1">
        <v>294</v>
      </c>
      <c r="AM94" s="64" t="s" ph="1">
        <v>449</v>
      </c>
      <c r="AN94" s="64" t="s" ph="1">
        <v>231</v>
      </c>
      <c r="AO94" s="64" t="s" ph="1">
        <v>259</v>
      </c>
      <c r="AP94" s="64" t="s" ph="1">
        <v>450</v>
      </c>
      <c r="AQ94" s="64" t="s" ph="1">
        <v>239</v>
      </c>
      <c r="AR94" s="64" t="s" ph="1">
        <v>259</v>
      </c>
      <c r="AS94" s="64" t="s" ph="1">
        <v>451</v>
      </c>
      <c r="AT94" s="64" t="s" ph="1">
        <v>225</v>
      </c>
      <c r="AU94" s="64" t="s" ph="1">
        <v>259</v>
      </c>
      <c r="AV94" s="64" t="s" ph="1">
        <v>452</v>
      </c>
      <c r="AW94" s="64" t="s" ph="1">
        <v>225</v>
      </c>
      <c r="AX94" s="64" t="s" ph="1">
        <v>259</v>
      </c>
    </row>
    <row r="95" spans="34:52" ph="1">
      <c r="AJ95" s="64" t="s" ph="1">
        <v>453</v>
      </c>
      <c r="AK95" s="64" t="s" ph="1">
        <v>299</v>
      </c>
    </row>
    <row r="96" spans="34:52" ph="1">
      <c r="AH96" s="64" ph="1">
        <v>7</v>
      </c>
      <c r="AI96" s="64" t="s" ph="1">
        <v>454</v>
      </c>
      <c r="AJ96" s="64" t="s" ph="1">
        <v>453</v>
      </c>
      <c r="AK96" s="64" t="s" ph="1">
        <v>254</v>
      </c>
      <c r="AM96" s="64" t="s" ph="1">
        <v>455</v>
      </c>
      <c r="AN96" s="64" t="s" ph="1">
        <v>228</v>
      </c>
      <c r="AO96" s="64" t="s" ph="1">
        <v>259</v>
      </c>
      <c r="AP96" s="64" t="s" ph="1">
        <v>456</v>
      </c>
      <c r="AQ96" s="64" t="s" ph="1">
        <v>272</v>
      </c>
      <c r="AR96" s="64" t="s" ph="1">
        <v>287</v>
      </c>
      <c r="AS96" s="64" t="s" ph="1">
        <v>457</v>
      </c>
      <c r="AT96" s="64" t="s" ph="1">
        <v>231</v>
      </c>
      <c r="AU96" s="64" t="s" ph="1">
        <v>287</v>
      </c>
      <c r="AV96" s="64" t="s" ph="1">
        <v>458</v>
      </c>
      <c r="AW96" s="64" t="s" ph="1">
        <v>227</v>
      </c>
      <c r="AX96" s="64" t="s" ph="1">
        <v>287</v>
      </c>
      <c r="AY96" s="64" t="s" ph="1">
        <v>216</v>
      </c>
      <c r="AZ96" s="64" t="s" ph="1">
        <v>459</v>
      </c>
    </row>
    <row r="97" spans="33:52" ph="1">
      <c r="AJ97" s="64" t="s" ph="1">
        <v>460</v>
      </c>
      <c r="AK97" s="64" t="s" ph="1">
        <v>282</v>
      </c>
      <c r="AM97" s="64" t="s" ph="1">
        <v>461</v>
      </c>
      <c r="AN97" s="64" t="s" ph="1">
        <v>225</v>
      </c>
      <c r="AO97" s="64" t="s" ph="1">
        <v>259</v>
      </c>
      <c r="AP97" s="64" t="s" ph="1">
        <v>462</v>
      </c>
      <c r="AQ97" s="64" t="s" ph="1">
        <v>219</v>
      </c>
      <c r="AR97" s="64" t="s" ph="1">
        <v>287</v>
      </c>
      <c r="AS97" s="64" t="s" ph="1">
        <v>463</v>
      </c>
      <c r="AT97" s="64" t="s" ph="1">
        <v>222</v>
      </c>
      <c r="AU97" s="64" t="s" ph="1">
        <v>287</v>
      </c>
      <c r="AV97" s="64" t="s" ph="1">
        <v>464</v>
      </c>
      <c r="AW97" s="64" t="s" ph="1">
        <v>228</v>
      </c>
      <c r="AX97" s="64" t="s" ph="1">
        <v>287</v>
      </c>
    </row>
    <row r="98" spans="33:52" ph="1">
      <c r="AJ98" s="64" t="s" ph="1">
        <v>465</v>
      </c>
      <c r="AK98" s="64" t="s" ph="1">
        <v>231</v>
      </c>
      <c r="AM98" s="64" t="s" ph="1">
        <v>466</v>
      </c>
      <c r="AN98" s="64" t="s" ph="1">
        <v>239</v>
      </c>
      <c r="AO98" s="64" t="s" ph="1">
        <v>259</v>
      </c>
      <c r="AP98" s="64" t="s" ph="1">
        <v>467</v>
      </c>
      <c r="AQ98" s="64" t="s" ph="1">
        <v>219</v>
      </c>
      <c r="AR98" s="64" t="s" ph="1">
        <v>287</v>
      </c>
      <c r="AS98" s="64" t="s" ph="1">
        <v>468</v>
      </c>
      <c r="AT98" s="64" t="s" ph="1">
        <v>299</v>
      </c>
      <c r="AU98" s="64" t="s" ph="1">
        <v>287</v>
      </c>
      <c r="AV98" s="64" t="s" ph="1">
        <v>469</v>
      </c>
      <c r="AW98" s="64" t="s" ph="1">
        <v>222</v>
      </c>
      <c r="AX98" s="64" t="s" ph="1">
        <v>287</v>
      </c>
    </row>
    <row r="99" spans="33:52" ph="1">
      <c r="AH99" s="64" ph="1">
        <v>8</v>
      </c>
      <c r="AI99" s="64" t="s" ph="1">
        <v>470</v>
      </c>
      <c r="AJ99" s="64" t="s" ph="1">
        <v>471</v>
      </c>
      <c r="AK99" s="64" t="s" ph="1">
        <v>367</v>
      </c>
      <c r="AM99" s="64" t="s" ph="1">
        <v>472</v>
      </c>
      <c r="AN99" s="64" t="s" ph="1">
        <v>254</v>
      </c>
      <c r="AO99" s="64" t="s" ph="1">
        <v>259</v>
      </c>
      <c r="AP99" s="64" t="s" ph="1">
        <v>473</v>
      </c>
      <c r="AQ99" s="64" t="s" ph="1">
        <v>224</v>
      </c>
      <c r="AR99" s="64" t="s" ph="1">
        <v>287</v>
      </c>
      <c r="AS99" s="64" t="s" ph="1">
        <v>474</v>
      </c>
      <c r="AT99" s="64" t="s" ph="1">
        <v>239</v>
      </c>
      <c r="AU99" s="64" t="s" ph="1">
        <v>287</v>
      </c>
      <c r="AV99" s="64" t="s" ph="1">
        <v>475</v>
      </c>
      <c r="AW99" s="64" t="s" ph="1">
        <v>224</v>
      </c>
      <c r="AX99" s="64" t="s" ph="1">
        <v>287</v>
      </c>
      <c r="AY99" s="64" t="s" ph="1">
        <v>216</v>
      </c>
      <c r="AZ99" s="64" t="s" ph="1">
        <v>476</v>
      </c>
    </row>
    <row r="100" spans="33:52" ph="1">
      <c r="AJ100" s="64" t="s" ph="1">
        <v>477</v>
      </c>
      <c r="AK100" s="64" t="s" ph="1">
        <v>222</v>
      </c>
      <c r="AM100" s="64" t="s" ph="1">
        <v>478</v>
      </c>
      <c r="AN100" s="64" t="s" ph="1">
        <v>294</v>
      </c>
      <c r="AO100" s="64" t="s" ph="1">
        <v>259</v>
      </c>
      <c r="AP100" s="64" t="s" ph="1">
        <v>479</v>
      </c>
      <c r="AQ100" s="64" t="s" ph="1">
        <v>300</v>
      </c>
      <c r="AR100" s="64" t="s" ph="1">
        <v>287</v>
      </c>
      <c r="AS100" s="64" t="s" ph="1">
        <v>480</v>
      </c>
      <c r="AT100" s="64" t="s" ph="1">
        <v>367</v>
      </c>
      <c r="AU100" s="64" t="s" ph="1">
        <v>259</v>
      </c>
      <c r="AV100" s="64" t="s" ph="1">
        <v>481</v>
      </c>
      <c r="AW100" s="64" t="s" ph="1">
        <v>367</v>
      </c>
      <c r="AX100" s="64" t="s" ph="1">
        <v>259</v>
      </c>
    </row>
    <row r="101" spans="33:52" ph="1">
      <c r="AJ101" s="64" t="s" ph="1">
        <v>482</v>
      </c>
      <c r="AK101" s="64" t="s" ph="1">
        <v>367</v>
      </c>
      <c r="AM101" s="64" t="s" ph="1">
        <v>483</v>
      </c>
      <c r="AN101" s="64" t="s" ph="1">
        <v>225</v>
      </c>
      <c r="AO101" s="64" t="s" ph="1">
        <v>259</v>
      </c>
      <c r="AP101" s="64" t="s" ph="1">
        <v>484</v>
      </c>
      <c r="AQ101" s="64" t="s" ph="1">
        <v>237</v>
      </c>
      <c r="AR101" s="64" t="s" ph="1">
        <v>287</v>
      </c>
      <c r="AS101" s="64" t="s" ph="1">
        <v>485</v>
      </c>
      <c r="AT101" s="64" t="s" ph="1">
        <v>294</v>
      </c>
      <c r="AU101" s="64" t="s" ph="1">
        <v>287</v>
      </c>
      <c r="AV101" s="64" t="s" ph="1">
        <v>486</v>
      </c>
      <c r="AW101" s="64" t="s" ph="1">
        <v>225</v>
      </c>
      <c r="AX101" s="64" t="s" ph="1">
        <v>259</v>
      </c>
    </row>
    <row r="102" spans="33:52" ph="1">
      <c r="AJ102" s="64" t="s" ph="1">
        <v>487</v>
      </c>
      <c r="AK102" s="64" t="s" ph="1">
        <v>222</v>
      </c>
      <c r="AM102" s="64" t="s" ph="1">
        <v>488</v>
      </c>
      <c r="AN102" s="64" t="s" ph="1">
        <v>231</v>
      </c>
      <c r="AO102" s="64" t="s" ph="1">
        <v>259</v>
      </c>
      <c r="AP102" s="64" t="s" ph="1">
        <v>489</v>
      </c>
      <c r="AQ102" s="64" t="s" ph="1">
        <v>237</v>
      </c>
      <c r="AR102" s="64" t="s" ph="1">
        <v>259</v>
      </c>
      <c r="AS102" s="64" t="s" ph="1">
        <v>490</v>
      </c>
      <c r="AT102" s="64" t="s" ph="1">
        <v>254</v>
      </c>
      <c r="AU102" s="64" t="s" ph="1">
        <v>259</v>
      </c>
      <c r="AV102" s="64" t="s" ph="1">
        <v>491</v>
      </c>
      <c r="AW102" s="64" t="s" ph="1">
        <v>272</v>
      </c>
      <c r="AX102" s="64" t="s" ph="1">
        <v>259</v>
      </c>
    </row>
    <row r="103" spans="33:52" ph="1">
      <c r="AH103" s="64" ph="1">
        <v>9</v>
      </c>
      <c r="AI103" s="64" t="s" ph="1">
        <v>492</v>
      </c>
      <c r="AJ103" s="64" t="s" ph="1">
        <v>493</v>
      </c>
      <c r="AK103" s="64" t="s" ph="1">
        <v>367</v>
      </c>
      <c r="AM103" s="64" t="s" ph="1">
        <v>494</v>
      </c>
      <c r="AN103" s="64" t="s" ph="1">
        <v>282</v>
      </c>
      <c r="AO103" s="64" t="s" ph="1">
        <v>259</v>
      </c>
      <c r="AP103" s="64" t="s" ph="1">
        <v>336</v>
      </c>
      <c r="AQ103" s="64" t="s" ph="1">
        <v>225</v>
      </c>
      <c r="AR103" s="64" t="s" ph="1">
        <v>259</v>
      </c>
      <c r="AS103" s="64" t="s" ph="1">
        <v>570</v>
      </c>
      <c r="AT103" s="64" t="s" ph="1">
        <v>367</v>
      </c>
      <c r="AU103" s="64" t="s" ph="1">
        <v>259</v>
      </c>
      <c r="AY103" s="64" t="s" ph="1">
        <v>216</v>
      </c>
      <c r="AZ103" s="64" t="s" ph="1">
        <v>224</v>
      </c>
    </row>
    <row r="104" spans="33:52" ph="1">
      <c r="AZ104" s="64" t="s" ph="1">
        <v>495</v>
      </c>
    </row>
    <row r="105" spans="33:52" ph="1">
      <c r="AG105" s="64" t="s" ph="1">
        <v>295</v>
      </c>
      <c r="AI105" s="64" t="s" ph="1">
        <v>209</v>
      </c>
      <c r="AJ105" s="64" t="s" ph="1">
        <v>210</v>
      </c>
      <c r="AK105" s="64" t="s" ph="1">
        <v>211</v>
      </c>
      <c r="AM105" s="64" t="s" ph="1">
        <v>210</v>
      </c>
      <c r="AN105" s="64" t="s" ph="1">
        <v>211</v>
      </c>
      <c r="AO105" s="64" t="s" ph="1">
        <v>212</v>
      </c>
      <c r="AP105" s="64" t="s" ph="1">
        <v>210</v>
      </c>
      <c r="AQ105" s="64" t="s" ph="1">
        <v>211</v>
      </c>
      <c r="AR105" s="64" t="s" ph="1">
        <v>212</v>
      </c>
      <c r="AS105" s="64" t="s" ph="1">
        <v>210</v>
      </c>
      <c r="AT105" s="64" t="s" ph="1">
        <v>211</v>
      </c>
      <c r="AU105" s="64" t="s" ph="1">
        <v>212</v>
      </c>
      <c r="AV105" s="64" t="s" ph="1">
        <v>210</v>
      </c>
      <c r="AW105" s="64" t="s" ph="1">
        <v>211</v>
      </c>
      <c r="AX105" s="64" t="s" ph="1">
        <v>212</v>
      </c>
      <c r="AZ105" s="64" t="s" ph="1">
        <v>213</v>
      </c>
    </row>
    <row r="106" spans="33:52" ph="1">
      <c r="AH106" s="64" ph="1">
        <v>1</v>
      </c>
      <c r="AI106" s="64" t="s" ph="1">
        <v>496</v>
      </c>
      <c r="AJ106" s="64" t="s" ph="1">
        <v>570</v>
      </c>
      <c r="AK106" s="64" t="s" ph="1">
        <v>231</v>
      </c>
      <c r="AZ106" s="64" t="s" ph="1">
        <v>231</v>
      </c>
    </row>
    <row r="107" spans="33:52" ph="1">
      <c r="AH107" s="64" ph="1">
        <v>2</v>
      </c>
      <c r="AI107" s="64" t="s" ph="1">
        <v>497</v>
      </c>
      <c r="AJ107" s="64" t="s" ph="1">
        <v>498</v>
      </c>
      <c r="AK107" s="64" t="s" ph="1">
        <v>228</v>
      </c>
      <c r="AM107" s="64" t="s" ph="1">
        <v>334</v>
      </c>
      <c r="AN107" s="64" t="s" ph="1">
        <v>499</v>
      </c>
      <c r="AO107" s="64" t="s" ph="1">
        <v>500</v>
      </c>
      <c r="AP107" s="64" t="s" ph="1">
        <v>336</v>
      </c>
      <c r="AQ107" s="64" t="s" ph="1">
        <v>304</v>
      </c>
      <c r="AR107" s="64" t="s" ph="1">
        <v>500</v>
      </c>
      <c r="AS107" s="64" t="s" ph="1">
        <v>570</v>
      </c>
      <c r="AT107" s="64" t="s" ph="1">
        <v>499</v>
      </c>
      <c r="AU107" s="64" t="s" ph="1">
        <v>500</v>
      </c>
      <c r="AY107" s="64" t="s" ph="1">
        <v>216</v>
      </c>
      <c r="AZ107" s="64" t="s" ph="1">
        <v>580</v>
      </c>
    </row>
    <row r="108" spans="33:52" ph="1">
      <c r="AH108" s="64" ph="1">
        <v>3</v>
      </c>
      <c r="AI108" s="64" t="s" ph="1">
        <v>501</v>
      </c>
      <c r="AY108" s="64" t="s" ph="1">
        <v>216</v>
      </c>
      <c r="AZ108" s="64" t="s" ph="1">
        <v>367</v>
      </c>
    </row>
    <row r="109" spans="33:52" ph="1">
      <c r="AH109" s="64" ph="1">
        <v>4</v>
      </c>
      <c r="AI109" s="64" t="s" ph="1">
        <v>502</v>
      </c>
      <c r="AY109" s="64" t="s" ph="1">
        <v>216</v>
      </c>
      <c r="AZ109" s="64" t="s" ph="1">
        <v>367</v>
      </c>
    </row>
    <row r="110" spans="33:52" ph="1">
      <c r="AH110" s="64" ph="1">
        <v>5</v>
      </c>
      <c r="AI110" s="64" t="s" ph="1">
        <v>503</v>
      </c>
      <c r="AY110" s="64" t="s" ph="1">
        <v>216</v>
      </c>
      <c r="AZ110" s="64" t="s" ph="1">
        <v>367</v>
      </c>
    </row>
    <row r="111" spans="33:52" ph="1">
      <c r="AH111" s="64" ph="1">
        <v>6</v>
      </c>
      <c r="AI111" s="64" t="s" ph="1">
        <v>581</v>
      </c>
      <c r="AJ111" s="64" t="s" ph="1">
        <v>486</v>
      </c>
      <c r="AK111" s="64" t="s" ph="1">
        <v>225</v>
      </c>
      <c r="AM111" s="64" t="s" ph="1">
        <v>487</v>
      </c>
      <c r="AN111" s="64" t="s" ph="1">
        <v>219</v>
      </c>
      <c r="AO111" s="64" t="s" ph="1">
        <v>500</v>
      </c>
      <c r="AP111" s="64" t="s" ph="1">
        <v>488</v>
      </c>
      <c r="AQ111" s="64" t="s" ph="1">
        <v>228</v>
      </c>
      <c r="AR111" s="64" t="s" ph="1">
        <v>500</v>
      </c>
      <c r="AS111" s="64" t="s" ph="1">
        <v>489</v>
      </c>
      <c r="AT111" s="64" t="s" ph="1">
        <v>237</v>
      </c>
      <c r="AU111" s="64" t="s" ph="1">
        <v>500</v>
      </c>
      <c r="AV111" s="64" t="s" ph="1">
        <v>490</v>
      </c>
      <c r="AW111" s="64" t="s" ph="1">
        <v>227</v>
      </c>
      <c r="AX111" s="64" t="s" ph="1">
        <v>500</v>
      </c>
      <c r="AY111" s="64" t="s" ph="1">
        <v>216</v>
      </c>
      <c r="AZ111" s="64" t="s" ph="1">
        <v>504</v>
      </c>
    </row>
    <row r="112" spans="33:52" ph="1">
      <c r="AJ112" s="64" t="s" ph="1">
        <v>491</v>
      </c>
      <c r="AK112" s="64" t="s" ph="1">
        <v>272</v>
      </c>
      <c r="AM112" s="64" t="s" ph="1">
        <v>493</v>
      </c>
      <c r="AN112" s="64" t="s" ph="1">
        <v>296</v>
      </c>
      <c r="AO112" s="64" t="s" ph="1">
        <v>500</v>
      </c>
      <c r="AP112" s="64" t="s" ph="1">
        <v>494</v>
      </c>
      <c r="AQ112" s="64" t="s" ph="1">
        <v>505</v>
      </c>
      <c r="AR112" s="64" t="s" ph="1">
        <v>500</v>
      </c>
      <c r="AS112" s="64" t="s" ph="1">
        <v>506</v>
      </c>
      <c r="AT112" s="64" t="s" ph="1">
        <v>248</v>
      </c>
      <c r="AU112" s="64" t="s" ph="1">
        <v>500</v>
      </c>
      <c r="AV112" s="64" t="s" ph="1">
        <v>507</v>
      </c>
      <c r="AW112" s="64" t="s" ph="1">
        <v>294</v>
      </c>
      <c r="AX112" s="64" t="s" ph="1">
        <v>500</v>
      </c>
    </row>
    <row r="113" spans="33:52" ph="1">
      <c r="AH113" s="64" ph="1">
        <v>7</v>
      </c>
      <c r="AI113" s="64" t="s" ph="1">
        <v>508</v>
      </c>
      <c r="AJ113" s="64" t="s" ph="1">
        <v>589</v>
      </c>
      <c r="AK113" s="64" t="s" ph="1">
        <v>594</v>
      </c>
      <c r="AY113" s="64" t="s" ph="1">
        <v>216</v>
      </c>
      <c r="AZ113" s="64" t="s" ph="1">
        <v>594</v>
      </c>
    </row>
    <row r="114" spans="33:52" ph="1">
      <c r="AH114" s="64" ph="1">
        <v>8</v>
      </c>
      <c r="AI114" s="64" t="s" ph="1">
        <v>509</v>
      </c>
      <c r="AJ114" s="64" t="s" ph="1">
        <v>589</v>
      </c>
      <c r="AK114" s="64" t="s" ph="1">
        <v>595</v>
      </c>
      <c r="AY114" s="64" t="s" ph="1">
        <v>216</v>
      </c>
      <c r="AZ114" s="64" t="s" ph="1">
        <v>595</v>
      </c>
    </row>
    <row r="115" spans="33:52" ph="1">
      <c r="AH115" s="64" ph="1">
        <v>9</v>
      </c>
      <c r="AI115" s="64" t="s" ph="1">
        <v>510</v>
      </c>
      <c r="AJ115" s="64" t="s" ph="1">
        <v>589</v>
      </c>
      <c r="AK115" s="64" t="s" ph="1">
        <v>595</v>
      </c>
      <c r="AY115" s="64" t="s" ph="1">
        <v>216</v>
      </c>
      <c r="AZ115" s="64" t="s" ph="1">
        <v>595</v>
      </c>
    </row>
    <row r="116" spans="33:52" ph="1">
      <c r="AH116" s="64" ph="1">
        <v>10</v>
      </c>
      <c r="AI116" s="64" t="s" ph="1">
        <v>511</v>
      </c>
      <c r="AJ116" s="64" t="s" ph="1">
        <v>589</v>
      </c>
      <c r="AK116" s="64" t="s" ph="1">
        <v>595</v>
      </c>
      <c r="AY116" s="64" t="s" ph="1">
        <v>216</v>
      </c>
      <c r="AZ116" s="64" t="s" ph="1">
        <v>595</v>
      </c>
    </row>
    <row r="117" spans="33:52" ph="1">
      <c r="AH117" s="64" ph="1">
        <v>11</v>
      </c>
      <c r="AI117" s="64" t="s" ph="1">
        <v>512</v>
      </c>
      <c r="AJ117" s="64" t="s" ph="1">
        <v>589</v>
      </c>
      <c r="AK117" s="64" t="s" ph="1">
        <v>595</v>
      </c>
      <c r="AY117" s="64" t="s" ph="1">
        <v>216</v>
      </c>
      <c r="AZ117" s="64" t="s" ph="1">
        <v>595</v>
      </c>
    </row>
    <row r="118" spans="33:52" ph="1">
      <c r="AZ118" s="64" t="s" ph="1">
        <v>596</v>
      </c>
    </row>
    <row r="119" spans="33:52" ph="1">
      <c r="AI119" s="64" t="s" ph="1">
        <v>209</v>
      </c>
      <c r="AJ119" s="64" t="s" ph="1">
        <v>210</v>
      </c>
      <c r="AK119" s="64" t="s" ph="1">
        <v>211</v>
      </c>
      <c r="AM119" s="64" t="s" ph="1">
        <v>210</v>
      </c>
      <c r="AN119" s="64" t="s" ph="1">
        <v>211</v>
      </c>
      <c r="AO119" s="64" t="s" ph="1">
        <v>212</v>
      </c>
      <c r="AP119" s="64" t="s" ph="1">
        <v>210</v>
      </c>
      <c r="AQ119" s="64" t="s" ph="1">
        <v>211</v>
      </c>
      <c r="AR119" s="64" t="s" ph="1">
        <v>212</v>
      </c>
      <c r="AS119" s="64" t="s" ph="1">
        <v>210</v>
      </c>
      <c r="AT119" s="64" t="s" ph="1">
        <v>211</v>
      </c>
      <c r="AU119" s="64" t="s" ph="1">
        <v>212</v>
      </c>
      <c r="AV119" s="64" t="s" ph="1">
        <v>210</v>
      </c>
      <c r="AW119" s="64" t="s" ph="1">
        <v>211</v>
      </c>
      <c r="AX119" s="64" t="s" ph="1">
        <v>212</v>
      </c>
      <c r="AY119" s="64" t="s" ph="1">
        <v>211</v>
      </c>
      <c r="AZ119" s="64" t="s" ph="1">
        <v>213</v>
      </c>
    </row>
    <row r="120" spans="33:52" ph="1">
      <c r="AG120" s="64" t="s" ph="1">
        <v>353</v>
      </c>
      <c r="AH120" s="64" ph="1">
        <v>1</v>
      </c>
      <c r="AI120" s="64" t="s" ph="1">
        <v>513</v>
      </c>
      <c r="AJ120" s="64" t="s" ph="1">
        <v>587</v>
      </c>
      <c r="AK120" s="64" t="s" ph="1">
        <v>367</v>
      </c>
      <c r="AY120" s="64" t="s" ph="1">
        <v>216</v>
      </c>
      <c r="AZ120" s="64" t="s" ph="1">
        <v>367</v>
      </c>
    </row>
    <row r="121" spans="33:52" ph="1">
      <c r="AH121" s="64" ph="1">
        <v>2</v>
      </c>
      <c r="AI121" s="64" t="s" ph="1">
        <v>514</v>
      </c>
      <c r="AY121" s="64" t="s" ph="1">
        <v>216</v>
      </c>
      <c r="AZ121" s="64" t="s" ph="1">
        <v>367</v>
      </c>
    </row>
    <row r="122" spans="33:52" ph="1">
      <c r="AH122" s="64" ph="1">
        <v>3</v>
      </c>
      <c r="AI122" s="64" t="s" ph="1">
        <v>515</v>
      </c>
      <c r="AJ122" s="64" t="s" ph="1">
        <v>570</v>
      </c>
      <c r="AK122" s="64" t="s" ph="1">
        <v>582</v>
      </c>
      <c r="AM122" s="64" t="s" ph="1">
        <v>597</v>
      </c>
      <c r="AN122" s="64" t="s" ph="1">
        <v>590</v>
      </c>
      <c r="AO122" s="64" t="s" ph="1">
        <v>91</v>
      </c>
      <c r="AY122" s="64" t="s" ph="1">
        <v>216</v>
      </c>
      <c r="AZ122" s="64" t="s" ph="1">
        <v>579</v>
      </c>
    </row>
    <row r="123" spans="33:52" ph="1">
      <c r="AY123" s="64" t="s" ph="1">
        <v>216</v>
      </c>
      <c r="AZ123" s="64" t="s" ph="1">
        <v>579</v>
      </c>
    </row>
    <row r="124" spans="33:52" ph="1">
      <c r="AG124" s="64" t="s" ph="1">
        <v>356</v>
      </c>
      <c r="AH124" s="64" ph="1">
        <v>4</v>
      </c>
      <c r="AI124" s="64" t="s" ph="1">
        <v>516</v>
      </c>
      <c r="AJ124" s="64" t="s" ph="1">
        <v>517</v>
      </c>
      <c r="AK124" s="64" t="s" ph="1">
        <v>518</v>
      </c>
      <c r="AY124" s="64" t="s" ph="1">
        <v>216</v>
      </c>
      <c r="AZ124" s="64" t="s" ph="1">
        <v>518</v>
      </c>
    </row>
    <row r="125" spans="33:52" ph="1">
      <c r="AH125" s="64" ph="1">
        <v>5</v>
      </c>
      <c r="AI125" s="64" t="s" ph="1">
        <v>519</v>
      </c>
      <c r="AJ125" s="64" t="s" ph="1">
        <v>517</v>
      </c>
      <c r="AK125" s="64" t="s" ph="1">
        <v>518</v>
      </c>
      <c r="AY125" s="64" t="s" ph="1">
        <v>216</v>
      </c>
      <c r="AZ125" s="64" t="s" ph="1">
        <v>518</v>
      </c>
    </row>
    <row r="126" spans="33:52" ph="1">
      <c r="AH126" s="64" ph="1">
        <v>6</v>
      </c>
      <c r="AI126" s="64" t="s" ph="1">
        <v>520</v>
      </c>
      <c r="AJ126" s="64" t="s" ph="1">
        <v>589</v>
      </c>
      <c r="AK126" s="64" t="s" ph="1">
        <v>598</v>
      </c>
      <c r="AY126" s="64" t="s" ph="1">
        <v>216</v>
      </c>
      <c r="AZ126" s="64" t="s" ph="1">
        <v>598</v>
      </c>
    </row>
    <row r="127" spans="33:52" ph="1">
      <c r="AH127" s="64" ph="1">
        <v>7</v>
      </c>
      <c r="AI127" s="64" t="s" ph="1">
        <v>521</v>
      </c>
      <c r="AJ127" s="64" t="s" ph="1">
        <v>589</v>
      </c>
      <c r="AK127" s="64" t="s" ph="1">
        <v>599</v>
      </c>
      <c r="AY127" s="64" t="s" ph="1">
        <v>216</v>
      </c>
      <c r="AZ127" s="64" t="s" ph="1">
        <v>599</v>
      </c>
    </row>
    <row r="128" spans="33:52" ph="1">
      <c r="AH128" s="64" ph="1">
        <v>8</v>
      </c>
      <c r="AI128" s="64" t="s" ph="1">
        <v>522</v>
      </c>
      <c r="AY128" s="64" t="s" ph="1">
        <v>216</v>
      </c>
      <c r="AZ128" s="64" t="s" ph="1">
        <v>367</v>
      </c>
    </row>
    <row r="129" spans="33:52" ph="1">
      <c r="AH129" s="64" ph="1">
        <v>9</v>
      </c>
      <c r="AI129" s="64" t="s" ph="1">
        <v>523</v>
      </c>
      <c r="AY129" s="64" t="s" ph="1">
        <v>216</v>
      </c>
      <c r="AZ129" s="64" t="s" ph="1">
        <v>367</v>
      </c>
    </row>
    <row r="130" spans="33:52" ph="1">
      <c r="AH130" s="64" ph="1">
        <v>10</v>
      </c>
      <c r="AI130" s="64" t="s" ph="1">
        <v>524</v>
      </c>
      <c r="AY130" s="64" t="s" ph="1">
        <v>216</v>
      </c>
      <c r="AZ130" s="64" t="s" ph="1">
        <v>367</v>
      </c>
    </row>
    <row r="131" spans="33:52" ph="1">
      <c r="AH131" s="64" ph="1">
        <v>11</v>
      </c>
      <c r="AI131" s="64" t="s" ph="1">
        <v>525</v>
      </c>
      <c r="AJ131" s="64" t="s" ph="1">
        <v>583</v>
      </c>
      <c r="AK131" s="64" t="s" ph="1">
        <v>579</v>
      </c>
      <c r="AY131" s="64" t="s" ph="1">
        <v>216</v>
      </c>
      <c r="AZ131" s="64" t="s" ph="1">
        <v>579</v>
      </c>
    </row>
    <row r="132" spans="33:52" ph="1">
      <c r="AH132" s="64" ph="1">
        <v>12</v>
      </c>
      <c r="AI132" s="64" t="s" ph="1">
        <v>526</v>
      </c>
      <c r="AJ132" s="64" t="s" ph="1">
        <v>583</v>
      </c>
      <c r="AK132" s="64" t="s" ph="1">
        <v>518</v>
      </c>
      <c r="AY132" s="64" t="s" ph="1">
        <v>216</v>
      </c>
      <c r="AZ132" s="64" t="s" ph="1">
        <v>518</v>
      </c>
    </row>
    <row r="133" spans="33:52" ph="1">
      <c r="AH133" s="64" ph="1">
        <v>13</v>
      </c>
      <c r="AI133" s="64" t="s" ph="1">
        <v>527</v>
      </c>
      <c r="AJ133" s="64" t="s" ph="1">
        <v>583</v>
      </c>
      <c r="AK133" s="64" t="s" ph="1">
        <v>584</v>
      </c>
      <c r="AY133" s="64" t="s" ph="1">
        <v>216</v>
      </c>
      <c r="AZ133" s="64" t="s" ph="1">
        <v>584</v>
      </c>
    </row>
    <row r="134" spans="33:52" ph="1">
      <c r="AH134" s="64" ph="1">
        <v>14</v>
      </c>
      <c r="AI134" s="64" t="s" ph="1">
        <v>528</v>
      </c>
      <c r="AJ134" s="64" t="s" ph="1">
        <v>583</v>
      </c>
      <c r="AK134" s="64" t="s" ph="1">
        <v>585</v>
      </c>
      <c r="AY134" s="64" t="s" ph="1">
        <v>216</v>
      </c>
      <c r="AZ134" s="64" t="s" ph="1">
        <v>585</v>
      </c>
    </row>
    <row r="135" spans="33:52" ph="1">
      <c r="AH135" s="64" ph="1">
        <v>15</v>
      </c>
      <c r="AI135" s="64" t="s" ph="1">
        <v>529</v>
      </c>
      <c r="AJ135" s="64" t="s" ph="1">
        <v>583</v>
      </c>
      <c r="AK135" s="64" t="s" ph="1">
        <v>586</v>
      </c>
      <c r="AY135" s="64" t="s" ph="1">
        <v>216</v>
      </c>
      <c r="AZ135" s="64" t="s" ph="1">
        <v>586</v>
      </c>
    </row>
    <row r="136" spans="33:52" ph="1">
      <c r="AZ136" s="64" t="s" ph="1">
        <v>600</v>
      </c>
    </row>
    <row r="137" spans="33:52" ph="1">
      <c r="AG137" s="64" t="s" ph="1">
        <v>290</v>
      </c>
      <c r="AI137" s="64" t="s" ph="1">
        <v>209</v>
      </c>
      <c r="AJ137" s="64" t="s" ph="1">
        <v>210</v>
      </c>
      <c r="AK137" s="64" t="s" ph="1">
        <v>211</v>
      </c>
      <c r="AM137" s="64" t="s" ph="1">
        <v>210</v>
      </c>
      <c r="AN137" s="64" t="s" ph="1">
        <v>211</v>
      </c>
      <c r="AO137" s="64" t="s" ph="1">
        <v>212</v>
      </c>
      <c r="AP137" s="64" t="s" ph="1">
        <v>210</v>
      </c>
      <c r="AQ137" s="64" t="s" ph="1">
        <v>211</v>
      </c>
      <c r="AR137" s="64" t="s" ph="1">
        <v>212</v>
      </c>
      <c r="AS137" s="64" t="s" ph="1">
        <v>210</v>
      </c>
      <c r="AT137" s="64" t="s" ph="1">
        <v>211</v>
      </c>
      <c r="AU137" s="64" t="s" ph="1">
        <v>212</v>
      </c>
      <c r="AV137" s="64" t="s" ph="1">
        <v>210</v>
      </c>
      <c r="AW137" s="64" t="s" ph="1">
        <v>211</v>
      </c>
      <c r="AX137" s="64" t="s" ph="1">
        <v>212</v>
      </c>
      <c r="AY137" s="64" t="s" ph="1">
        <v>211</v>
      </c>
      <c r="AZ137" s="64" t="s" ph="1">
        <v>213</v>
      </c>
    </row>
    <row r="138" spans="33:52" ph="1">
      <c r="AH138" s="64" ph="1">
        <v>1</v>
      </c>
      <c r="AI138" s="64" t="s" ph="1">
        <v>530</v>
      </c>
      <c r="AJ138" s="64" t="s" ph="1">
        <v>531</v>
      </c>
      <c r="AK138" s="64" t="s" ph="1">
        <v>532</v>
      </c>
      <c r="AY138" s="64" t="s" ph="1">
        <v>216</v>
      </c>
      <c r="AZ138" s="64" t="s" ph="1">
        <v>532</v>
      </c>
    </row>
    <row r="139" spans="33:52" ph="1">
      <c r="AH139" s="64" ph="1">
        <v>2</v>
      </c>
      <c r="AI139" s="64" t="s" ph="1">
        <v>533</v>
      </c>
      <c r="AJ139" s="64" t="s" ph="1">
        <v>589</v>
      </c>
      <c r="AK139" s="64" t="s" ph="1">
        <v>601</v>
      </c>
      <c r="AY139" s="64" t="s" ph="1">
        <v>216</v>
      </c>
      <c r="AZ139" s="64" t="s" ph="1">
        <v>601</v>
      </c>
    </row>
    <row r="140" spans="33:52" ph="1">
      <c r="AH140" s="64" ph="1">
        <v>3</v>
      </c>
      <c r="AI140" s="64" t="s" ph="1">
        <v>534</v>
      </c>
      <c r="AJ140" s="64" t="s" ph="1">
        <v>487</v>
      </c>
      <c r="AK140" s="64" t="s" ph="1">
        <v>299</v>
      </c>
      <c r="AM140" s="64" t="s" ph="1">
        <v>488</v>
      </c>
      <c r="AN140" s="64" t="s" ph="1">
        <v>219</v>
      </c>
      <c r="AO140" s="64" t="s" ph="1">
        <v>535</v>
      </c>
      <c r="AP140" s="64" t="s" ph="1">
        <v>489</v>
      </c>
      <c r="AQ140" s="64" t="s" ph="1">
        <v>236</v>
      </c>
      <c r="AR140" s="64" t="s" ph="1">
        <v>535</v>
      </c>
      <c r="AS140" s="64" t="s" ph="1">
        <v>490</v>
      </c>
      <c r="AT140" s="64" t="s" ph="1">
        <v>229</v>
      </c>
      <c r="AU140" s="64" t="s" ph="1">
        <v>535</v>
      </c>
      <c r="AV140" s="64" t="s" ph="1">
        <v>491</v>
      </c>
      <c r="AW140" s="64" t="s" ph="1">
        <v>222</v>
      </c>
      <c r="AX140" s="64" t="s" ph="1">
        <v>535</v>
      </c>
      <c r="AY140" s="64" t="s" ph="1">
        <v>216</v>
      </c>
      <c r="AZ140" s="64" t="s" ph="1">
        <v>291</v>
      </c>
    </row>
    <row r="141" spans="33:52" ph="1">
      <c r="AJ141" s="64" t="s" ph="1">
        <v>493</v>
      </c>
      <c r="AK141" s="64" t="s" ph="1">
        <v>222</v>
      </c>
      <c r="AM141" s="64" t="s" ph="1">
        <v>494</v>
      </c>
      <c r="AN141" s="64" t="s" ph="1">
        <v>225</v>
      </c>
      <c r="AO141" s="64" t="s" ph="1">
        <v>535</v>
      </c>
      <c r="AP141" s="64" t="s" ph="1">
        <v>506</v>
      </c>
      <c r="AQ141" s="64" t="s" ph="1">
        <v>294</v>
      </c>
      <c r="AR141" s="64" t="s" ph="1">
        <v>535</v>
      </c>
      <c r="AS141" s="64" t="s" ph="1">
        <v>498</v>
      </c>
      <c r="AT141" s="64" t="s" ph="1">
        <v>222</v>
      </c>
      <c r="AU141" s="64" t="s" ph="1">
        <v>535</v>
      </c>
      <c r="AV141" s="64" t="s" ph="1">
        <v>334</v>
      </c>
      <c r="AW141" s="64" t="s" ph="1">
        <v>228</v>
      </c>
      <c r="AX141" s="64" t="s" ph="1">
        <v>535</v>
      </c>
    </row>
    <row r="142" spans="33:52" ph="1">
      <c r="AJ142" s="64" t="s" ph="1">
        <v>536</v>
      </c>
      <c r="AK142" s="64" t="s" ph="1">
        <v>239</v>
      </c>
    </row>
    <row r="143" spans="33:52" ph="1">
      <c r="AH143" s="64" ph="1">
        <v>4</v>
      </c>
      <c r="AI143" s="64" t="s" ph="1">
        <v>537</v>
      </c>
      <c r="AJ143" s="64" t="s" ph="1">
        <v>517</v>
      </c>
      <c r="AK143" s="64" t="s" ph="1">
        <v>538</v>
      </c>
      <c r="AY143" s="64" t="s" ph="1">
        <v>216</v>
      </c>
      <c r="AZ143" s="64" t="s" ph="1">
        <v>538</v>
      </c>
    </row>
    <row r="144" spans="33:52" ph="1">
      <c r="AH144" s="64" ph="1">
        <v>5</v>
      </c>
      <c r="AI144" s="64" t="s" ph="1">
        <v>539</v>
      </c>
      <c r="AY144" s="64" t="s" ph="1">
        <v>216</v>
      </c>
      <c r="AZ144" s="64" t="s" ph="1">
        <v>367</v>
      </c>
    </row>
    <row r="145" spans="33:52" ph="1">
      <c r="AH145" s="64" ph="1">
        <v>6</v>
      </c>
      <c r="AI145" s="64" t="s" ph="1">
        <v>540</v>
      </c>
      <c r="AY145" s="64" t="s" ph="1">
        <v>216</v>
      </c>
      <c r="AZ145" s="64" t="s" ph="1">
        <v>367</v>
      </c>
    </row>
    <row r="146" spans="33:52" ph="1">
      <c r="AH146" s="64" ph="1">
        <v>7</v>
      </c>
      <c r="AI146" s="64" t="s" ph="1">
        <v>541</v>
      </c>
      <c r="AY146" s="64" t="s" ph="1">
        <v>216</v>
      </c>
      <c r="AZ146" s="64" t="s" ph="1">
        <v>367</v>
      </c>
    </row>
    <row r="147" spans="33:52" ph="1">
      <c r="AH147" s="64" ph="1">
        <v>8</v>
      </c>
      <c r="AI147" s="64" t="s" ph="1">
        <v>542</v>
      </c>
      <c r="AY147" s="64" t="s" ph="1">
        <v>216</v>
      </c>
      <c r="AZ147" s="64" t="s" ph="1">
        <v>367</v>
      </c>
    </row>
    <row r="148" spans="33:52" ph="1">
      <c r="AH148" s="64" ph="1">
        <v>9</v>
      </c>
      <c r="AI148" s="64" t="s" ph="1">
        <v>543</v>
      </c>
      <c r="AY148" s="64" t="s" ph="1">
        <v>216</v>
      </c>
      <c r="AZ148" s="64" t="s" ph="1">
        <v>367</v>
      </c>
    </row>
    <row r="149" spans="33:52" ph="1">
      <c r="AH149" s="64" ph="1">
        <v>10</v>
      </c>
      <c r="AI149" s="64" t="s" ph="1">
        <v>544</v>
      </c>
      <c r="AY149" s="64" t="s" ph="1">
        <v>216</v>
      </c>
      <c r="AZ149" s="64" t="s" ph="1">
        <v>367</v>
      </c>
    </row>
    <row r="150" spans="33:52" ph="1">
      <c r="AH150" s="64" ph="1">
        <v>11</v>
      </c>
      <c r="AI150" s="64" t="s" ph="1">
        <v>545</v>
      </c>
      <c r="AY150" s="64" t="s" ph="1">
        <v>216</v>
      </c>
      <c r="AZ150" s="64" t="s" ph="1">
        <v>367</v>
      </c>
    </row>
    <row r="151" spans="33:52" ph="1">
      <c r="AH151" s="64" ph="1">
        <v>12</v>
      </c>
      <c r="AI151" s="64" t="s" ph="1">
        <v>546</v>
      </c>
      <c r="AY151" s="64" t="s" ph="1">
        <v>216</v>
      </c>
      <c r="AZ151" s="64" t="s" ph="1">
        <v>367</v>
      </c>
    </row>
    <row r="152" spans="33:52" ph="1">
      <c r="AH152" s="64" ph="1">
        <v>13</v>
      </c>
      <c r="AI152" s="64" t="s" ph="1">
        <v>547</v>
      </c>
      <c r="AY152" s="64" t="s" ph="1">
        <v>216</v>
      </c>
      <c r="AZ152" s="64" t="s" ph="1">
        <v>367</v>
      </c>
    </row>
    <row r="153" spans="33:52" ph="1">
      <c r="AH153" s="64" ph="1">
        <v>14</v>
      </c>
      <c r="AI153" s="64" t="s" ph="1">
        <v>548</v>
      </c>
      <c r="AY153" s="64" t="s" ph="1">
        <v>216</v>
      </c>
      <c r="AZ153" s="64" t="s" ph="1">
        <v>367</v>
      </c>
    </row>
    <row r="154" spans="33:52" ph="1">
      <c r="AH154" s="64" ph="1">
        <v>15</v>
      </c>
      <c r="AI154" s="64" t="s" ph="1">
        <v>549</v>
      </c>
      <c r="AY154" s="64" t="s" ph="1">
        <v>216</v>
      </c>
      <c r="AZ154" s="64" t="s" ph="1">
        <v>367</v>
      </c>
    </row>
    <row r="155" spans="33:52" ph="1">
      <c r="AH155" s="64" ph="1">
        <v>16</v>
      </c>
      <c r="AI155" s="64" t="s" ph="1">
        <v>550</v>
      </c>
      <c r="AJ155" s="64" t="s" ph="1">
        <v>336</v>
      </c>
      <c r="AK155" s="64" t="s" ph="1">
        <v>231</v>
      </c>
      <c r="AM155" s="64" t="s" ph="1">
        <v>570</v>
      </c>
      <c r="AN155" s="64" t="s" ph="1">
        <v>282</v>
      </c>
      <c r="AO155" s="64" t="s" ph="1">
        <v>535</v>
      </c>
      <c r="AY155" s="64" t="s" ph="1">
        <v>216</v>
      </c>
      <c r="AZ155" s="64" t="s" ph="1">
        <v>223</v>
      </c>
    </row>
    <row r="156" spans="33:52" ph="1">
      <c r="AZ156" s="64" t="s" ph="1">
        <v>602</v>
      </c>
    </row>
    <row r="157" spans="33:52" ph="1">
      <c r="AG157" s="64" t="s" ph="1">
        <v>551</v>
      </c>
      <c r="AI157" s="64" t="s" ph="1">
        <v>209</v>
      </c>
      <c r="AJ157" s="64" t="s" ph="1">
        <v>210</v>
      </c>
      <c r="AK157" s="64" t="s" ph="1">
        <v>211</v>
      </c>
      <c r="AM157" s="64" t="s" ph="1">
        <v>210</v>
      </c>
      <c r="AN157" s="64" t="s" ph="1">
        <v>211</v>
      </c>
      <c r="AO157" s="64" t="s" ph="1">
        <v>212</v>
      </c>
      <c r="AP157" s="64" t="s" ph="1">
        <v>210</v>
      </c>
      <c r="AQ157" s="64" t="s" ph="1">
        <v>211</v>
      </c>
      <c r="AR157" s="64" t="s" ph="1">
        <v>212</v>
      </c>
      <c r="AS157" s="64" t="s" ph="1">
        <v>210</v>
      </c>
      <c r="AT157" s="64" t="s" ph="1">
        <v>211</v>
      </c>
      <c r="AU157" s="64" t="s" ph="1">
        <v>212</v>
      </c>
      <c r="AV157" s="64" t="s" ph="1">
        <v>210</v>
      </c>
      <c r="AW157" s="64" t="s" ph="1">
        <v>211</v>
      </c>
      <c r="AX157" s="64" t="s" ph="1">
        <v>212</v>
      </c>
      <c r="AY157" s="64" t="s" ph="1">
        <v>211</v>
      </c>
      <c r="AZ157" s="64" t="s" ph="1">
        <v>213</v>
      </c>
    </row>
    <row r="158" spans="33:52" ph="1">
      <c r="AH158" s="64" ph="1">
        <v>1</v>
      </c>
      <c r="AI158" s="64" t="s" ph="1">
        <v>552</v>
      </c>
      <c r="AY158" s="64" t="s" ph="1">
        <v>216</v>
      </c>
      <c r="AZ158" s="64" t="s" ph="1">
        <v>367</v>
      </c>
    </row>
    <row r="159" spans="33:52" ph="1">
      <c r="AH159" s="64" ph="1">
        <v>2</v>
      </c>
      <c r="AI159" s="64" t="s" ph="1">
        <v>553</v>
      </c>
      <c r="AY159" s="64" t="s" ph="1">
        <v>216</v>
      </c>
      <c r="AZ159" s="64" t="s" ph="1">
        <v>367</v>
      </c>
    </row>
    <row r="160" spans="33:52" ph="1">
      <c r="AZ160" s="64" t="s" ph="1">
        <v>385</v>
      </c>
    </row>
    <row r="161" spans="33:52" ph="1">
      <c r="AG161" s="64" t="s" ph="1">
        <v>361</v>
      </c>
      <c r="AI161" s="64" t="s" ph="1">
        <v>209</v>
      </c>
      <c r="AJ161" s="64" t="s" ph="1">
        <v>210</v>
      </c>
      <c r="AK161" s="64" t="s" ph="1">
        <v>211</v>
      </c>
      <c r="AM161" s="64" t="s" ph="1">
        <v>210</v>
      </c>
      <c r="AN161" s="64" t="s" ph="1">
        <v>211</v>
      </c>
      <c r="AO161" s="64" t="s" ph="1">
        <v>212</v>
      </c>
      <c r="AP161" s="64" t="s" ph="1">
        <v>210</v>
      </c>
      <c r="AQ161" s="64" t="s" ph="1">
        <v>211</v>
      </c>
      <c r="AR161" s="64" t="s" ph="1">
        <v>212</v>
      </c>
      <c r="AS161" s="64" t="s" ph="1">
        <v>210</v>
      </c>
      <c r="AT161" s="64" t="s" ph="1">
        <v>211</v>
      </c>
      <c r="AU161" s="64" t="s" ph="1">
        <v>212</v>
      </c>
      <c r="AV161" s="64" t="s" ph="1">
        <v>210</v>
      </c>
      <c r="AW161" s="64" t="s" ph="1">
        <v>211</v>
      </c>
      <c r="AX161" s="64" t="s" ph="1">
        <v>212</v>
      </c>
      <c r="AY161" s="64" t="s" ph="1">
        <v>211</v>
      </c>
      <c r="AZ161" s="64" t="s" ph="1">
        <v>213</v>
      </c>
    </row>
    <row r="162" spans="33:52" ph="1">
      <c r="AH162" s="64" ph="1">
        <v>1</v>
      </c>
      <c r="AI162" s="64" t="s" ph="1">
        <v>554</v>
      </c>
      <c r="AJ162" s="64" t="s" ph="1">
        <v>555</v>
      </c>
      <c r="AK162" s="64" t="s" ph="1">
        <v>499</v>
      </c>
      <c r="AM162" s="64" t="s" ph="1">
        <v>556</v>
      </c>
      <c r="AN162" s="64" t="s" ph="1">
        <v>220</v>
      </c>
      <c r="AO162" s="64" t="s" ph="1">
        <v>557</v>
      </c>
      <c r="AY162" s="64" t="s" ph="1">
        <v>216</v>
      </c>
      <c r="AZ162" s="64" t="s" ph="1">
        <v>292</v>
      </c>
    </row>
    <row r="163" spans="33:52" ph="1">
      <c r="AH163" s="64" ph="1">
        <v>2</v>
      </c>
      <c r="AI163" s="64" t="s" ph="1">
        <v>558</v>
      </c>
      <c r="AJ163" s="64" t="s" ph="1">
        <v>555</v>
      </c>
      <c r="AK163" s="64" t="s" ph="1">
        <v>388</v>
      </c>
      <c r="AY163" s="64" t="s" ph="1">
        <v>216</v>
      </c>
      <c r="AZ163" s="64" t="s" ph="1">
        <v>388</v>
      </c>
    </row>
    <row r="164" spans="33:52" ph="1">
      <c r="AH164" s="64" ph="1">
        <v>3</v>
      </c>
      <c r="AI164" s="64" t="s" ph="1">
        <v>559</v>
      </c>
      <c r="AJ164" s="64" t="s" ph="1">
        <v>555</v>
      </c>
      <c r="AK164" s="64" t="s" ph="1">
        <v>292</v>
      </c>
      <c r="AY164" s="64" t="s" ph="1">
        <v>216</v>
      </c>
      <c r="AZ164" s="64" t="s" ph="1">
        <v>292</v>
      </c>
    </row>
    <row r="165" spans="33:52" ph="1">
      <c r="AH165" s="64" ph="1">
        <v>4</v>
      </c>
      <c r="AI165" s="64" t="s" ph="1">
        <v>560</v>
      </c>
      <c r="AY165" s="64" t="s" ph="1">
        <v>216</v>
      </c>
      <c r="AZ165" s="64" t="s" ph="1">
        <v>367</v>
      </c>
    </row>
    <row r="166" spans="33:52" ph="1">
      <c r="AH166" s="64" ph="1">
        <v>5</v>
      </c>
      <c r="AI166" s="64" t="s" ph="1">
        <v>561</v>
      </c>
      <c r="AY166" s="64" t="s" ph="1">
        <v>216</v>
      </c>
      <c r="AZ166" s="64" t="s" ph="1">
        <v>367</v>
      </c>
    </row>
    <row r="167" spans="33:52" ph="1">
      <c r="AZ167" s="64" t="s" ph="1">
        <v>562</v>
      </c>
    </row>
    <row r="168" spans="33:52" ph="1">
      <c r="AG168" s="64" t="s" ph="1">
        <v>305</v>
      </c>
      <c r="AI168" s="64" t="s" ph="1">
        <v>209</v>
      </c>
      <c r="AJ168" s="64" t="s" ph="1">
        <v>210</v>
      </c>
      <c r="AK168" s="64" t="s" ph="1">
        <v>211</v>
      </c>
      <c r="AM168" s="64" t="s" ph="1">
        <v>210</v>
      </c>
      <c r="AN168" s="64" t="s" ph="1">
        <v>211</v>
      </c>
      <c r="AO168" s="64" t="s" ph="1">
        <v>212</v>
      </c>
      <c r="AP168" s="64" t="s" ph="1">
        <v>210</v>
      </c>
      <c r="AQ168" s="64" t="s" ph="1">
        <v>211</v>
      </c>
      <c r="AR168" s="64" t="s" ph="1">
        <v>212</v>
      </c>
      <c r="AS168" s="64" t="s" ph="1">
        <v>210</v>
      </c>
      <c r="AT168" s="64" t="s" ph="1">
        <v>211</v>
      </c>
      <c r="AU168" s="64" t="s" ph="1">
        <v>212</v>
      </c>
      <c r="AV168" s="64" t="s" ph="1">
        <v>210</v>
      </c>
      <c r="AW168" s="64" t="s" ph="1">
        <v>211</v>
      </c>
      <c r="AX168" s="64" t="s" ph="1">
        <v>212</v>
      </c>
      <c r="AY168" s="64" t="s" ph="1">
        <v>211</v>
      </c>
      <c r="AZ168" s="64" t="s" ph="1">
        <v>213</v>
      </c>
    </row>
    <row r="169" spans="33:52" ph="1">
      <c r="AH169" s="64" ph="1">
        <v>1</v>
      </c>
      <c r="AI169" s="64" t="s" ph="1">
        <v>563</v>
      </c>
      <c r="AY169" s="64" t="s" ph="1">
        <v>216</v>
      </c>
      <c r="AZ169" s="64" t="s" ph="1">
        <v>367</v>
      </c>
    </row>
    <row r="170" spans="33:52" ph="1">
      <c r="AH170" s="64" ph="1">
        <v>2</v>
      </c>
      <c r="AI170" s="64" t="s" ph="1">
        <v>564</v>
      </c>
      <c r="AY170" s="64" t="s" ph="1">
        <v>216</v>
      </c>
      <c r="AZ170" s="64" t="s" ph="1">
        <v>367</v>
      </c>
    </row>
    <row r="171" spans="33:52" ph="1">
      <c r="AH171" s="64" ph="1">
        <v>3</v>
      </c>
      <c r="AI171" s="64" t="s" ph="1">
        <v>565</v>
      </c>
      <c r="AY171" s="64" t="s" ph="1">
        <v>216</v>
      </c>
      <c r="AZ171" s="64" t="s" ph="1">
        <v>367</v>
      </c>
    </row>
    <row r="172" spans="33:52" ph="1">
      <c r="AH172" s="64" ph="1">
        <v>4</v>
      </c>
      <c r="AI172" s="64" t="s" ph="1">
        <v>566</v>
      </c>
      <c r="AY172" s="64" t="s" ph="1">
        <v>216</v>
      </c>
      <c r="AZ172" s="64" t="s" ph="1">
        <v>367</v>
      </c>
    </row>
    <row r="173" spans="33:52" ph="1">
      <c r="AH173" s="64" ph="1">
        <v>5</v>
      </c>
      <c r="AI173" s="64" t="s" ph="1">
        <v>567</v>
      </c>
      <c r="AY173" s="64" t="s" ph="1">
        <v>216</v>
      </c>
      <c r="AZ173" s="64" t="s" ph="1">
        <v>367</v>
      </c>
    </row>
    <row r="174" spans="33:52" ph="1">
      <c r="AZ174" s="64" t="s" ph="1">
        <v>385</v>
      </c>
    </row>
    <row r="175" spans="33:52" ph="1">
      <c r="AJ175" s="64" t="s" ph="1">
        <v>306</v>
      </c>
    </row>
    <row r="176" spans="33:52" ph="1">
      <c r="AJ176" s="64" t="s" ph="1">
        <v>307</v>
      </c>
      <c r="AK176" s="64" t="s" ph="1">
        <v>308</v>
      </c>
      <c r="AM176" s="64" t="s" ph="1">
        <v>309</v>
      </c>
      <c r="AO176" s="64" t="s" ph="1">
        <v>310</v>
      </c>
      <c r="AP176" s="64" t="s" ph="1">
        <v>311</v>
      </c>
      <c r="AQ176" s="64" t="s" ph="1">
        <v>301</v>
      </c>
      <c r="AR176" s="64" t="s" ph="1">
        <v>221</v>
      </c>
    </row>
    <row r="177" spans="36:56" ph="1">
      <c r="AJ177" s="64" t="s" ph="1">
        <v>603</v>
      </c>
      <c r="AK177" s="64" t="s" ph="1">
        <v>312</v>
      </c>
      <c r="AO177" s="64" t="s" ph="1">
        <v>312</v>
      </c>
      <c r="AP177" s="64" t="s" ph="1">
        <v>312</v>
      </c>
      <c r="AQ177" s="64" t="s" ph="1">
        <v>313</v>
      </c>
      <c r="AR177" s="64" t="s" ph="1">
        <v>314</v>
      </c>
    </row>
    <row r="179" spans="36:56" ph="1">
      <c r="AJ179" s="64" t="s" ph="1">
        <v>315</v>
      </c>
      <c r="AK179" s="64" t="s" ph="1">
        <v>316</v>
      </c>
      <c r="AM179" s="64" t="s" ph="1">
        <v>317</v>
      </c>
      <c r="AN179" s="64" t="s" ph="1">
        <v>293</v>
      </c>
      <c r="AO179" s="64" t="s" ph="1">
        <v>318</v>
      </c>
      <c r="AP179" s="64" t="s" ph="1">
        <v>297</v>
      </c>
      <c r="AQ179" s="64" t="s" ph="1">
        <v>319</v>
      </c>
      <c r="AR179" s="64" t="s" ph="1">
        <v>320</v>
      </c>
    </row>
    <row r="180" spans="36:56" ph="1">
      <c r="AJ180" s="64" t="s" ph="1">
        <v>312</v>
      </c>
      <c r="AK180" s="64" t="s" ph="1">
        <v>312</v>
      </c>
      <c r="AL180" s="64" ph="1">
        <v>116</v>
      </c>
      <c r="AM180" s="64" t="s" ph="1">
        <v>312</v>
      </c>
      <c r="AN180" s="64" t="s" ph="1">
        <v>321</v>
      </c>
      <c r="AO180" s="64" t="s" ph="1">
        <v>312</v>
      </c>
      <c r="AP180" s="64" t="s" ph="1">
        <v>322</v>
      </c>
      <c r="AQ180" s="64" t="s" ph="1">
        <v>323</v>
      </c>
      <c r="AR180" s="64" t="s" ph="1">
        <v>324</v>
      </c>
    </row>
    <row r="189" spans="36:56" ph="1">
      <c r="BD189" s="64" t="s" ph="1">
        <v>568</v>
      </c>
    </row>
    <row r="223" spans="18:18" ph="1">
      <c r="R223" s="135" ph="1">
        <v>45496</v>
      </c>
    </row>
  </sheetData>
  <mergeCells count="58">
    <mergeCell ref="Z22:AE22"/>
    <mergeCell ref="Z23:AE29"/>
    <mergeCell ref="B24:B26"/>
    <mergeCell ref="B27:B29"/>
    <mergeCell ref="B1:AE1"/>
    <mergeCell ref="B2:AE2"/>
    <mergeCell ref="B3:AE3"/>
    <mergeCell ref="B4:B5"/>
    <mergeCell ref="B6:B8"/>
    <mergeCell ref="B9:B11"/>
    <mergeCell ref="P31:R31"/>
    <mergeCell ref="B13:B14"/>
    <mergeCell ref="B15:B17"/>
    <mergeCell ref="B18:B20"/>
    <mergeCell ref="B22:B23"/>
    <mergeCell ref="B31:C32"/>
    <mergeCell ref="D31:F31"/>
    <mergeCell ref="G31:I31"/>
    <mergeCell ref="J31:L31"/>
    <mergeCell ref="M31:O31"/>
    <mergeCell ref="B33:C34"/>
    <mergeCell ref="D33:D34"/>
    <mergeCell ref="E33:E34"/>
    <mergeCell ref="F33:F34"/>
    <mergeCell ref="G33:G34"/>
    <mergeCell ref="S31:U31"/>
    <mergeCell ref="V31:X31"/>
    <mergeCell ref="Y31:AA31"/>
    <mergeCell ref="AB31:AE31"/>
    <mergeCell ref="AD32:AE32"/>
    <mergeCell ref="S33:S34"/>
    <mergeCell ref="H33:H34"/>
    <mergeCell ref="I33:I34"/>
    <mergeCell ref="J33:J34"/>
    <mergeCell ref="K33:K34"/>
    <mergeCell ref="L33:L34"/>
    <mergeCell ref="M33:M34"/>
    <mergeCell ref="N33:N34"/>
    <mergeCell ref="O33:O34"/>
    <mergeCell ref="P33:P34"/>
    <mergeCell ref="Q33:Q34"/>
    <mergeCell ref="R33:R34"/>
    <mergeCell ref="I36:J36"/>
    <mergeCell ref="R36:S36"/>
    <mergeCell ref="AB36:AC36"/>
    <mergeCell ref="AD36:AE36"/>
    <mergeCell ref="Z33:Z34"/>
    <mergeCell ref="AA33:AA34"/>
    <mergeCell ref="AB33:AB34"/>
    <mergeCell ref="AC33:AC34"/>
    <mergeCell ref="AD33:AE34"/>
    <mergeCell ref="AC35:AE35"/>
    <mergeCell ref="T33:T34"/>
    <mergeCell ref="U33:U34"/>
    <mergeCell ref="V33:V34"/>
    <mergeCell ref="W33:W34"/>
    <mergeCell ref="X33:X34"/>
    <mergeCell ref="Y33:Y34"/>
  </mergeCells>
  <phoneticPr fontId="2" type="noConversion"/>
  <conditionalFormatting sqref="D4:D11">
    <cfRule type="expression" dxfId="1994" priority="104">
      <formula>ABS(D$7-D$10)&gt;=1000</formula>
    </cfRule>
  </conditionalFormatting>
  <conditionalFormatting sqref="E4 E6:E11">
    <cfRule type="expression" dxfId="1993" priority="103">
      <formula>ABS(E$7-E$10)&gt;=1000</formula>
    </cfRule>
  </conditionalFormatting>
  <conditionalFormatting sqref="F4:F11">
    <cfRule type="expression" dxfId="1992" priority="102">
      <formula>ABS(F$7-F$10)&gt;=1000</formula>
    </cfRule>
  </conditionalFormatting>
  <conditionalFormatting sqref="G4:G11">
    <cfRule type="expression" dxfId="1991" priority="101">
      <formula>ABS(G$7-G$10)&gt;=1000</formula>
    </cfRule>
  </conditionalFormatting>
  <conditionalFormatting sqref="H4:H11">
    <cfRule type="expression" dxfId="1990" priority="100">
      <formula>ABS(H$7-H$10)&gt;=1000</formula>
    </cfRule>
  </conditionalFormatting>
  <conditionalFormatting sqref="I4:I11">
    <cfRule type="expression" dxfId="1989" priority="99">
      <formula>ABS(I$7-I$10)&gt;=1000</formula>
    </cfRule>
  </conditionalFormatting>
  <conditionalFormatting sqref="J4:J11">
    <cfRule type="expression" dxfId="1988" priority="98">
      <formula>ABS(J$7-J$10)&gt;=1000</formula>
    </cfRule>
  </conditionalFormatting>
  <conditionalFormatting sqref="K4:K11">
    <cfRule type="expression" dxfId="1987" priority="97">
      <formula>ABS(K$7-K$10)&gt;=1000</formula>
    </cfRule>
  </conditionalFormatting>
  <conditionalFormatting sqref="L4:L11">
    <cfRule type="expression" dxfId="1986" priority="96">
      <formula>ABS(L$7-L$10)&gt;=1000</formula>
    </cfRule>
  </conditionalFormatting>
  <conditionalFormatting sqref="M4 M6:M11">
    <cfRule type="expression" dxfId="1985" priority="95">
      <formula>ABS(M$7-M$10)&gt;=1000</formula>
    </cfRule>
  </conditionalFormatting>
  <conditionalFormatting sqref="N4 N6:N11">
    <cfRule type="expression" dxfId="1984" priority="94">
      <formula>ABS(N$7-N$10)&gt;=1000</formula>
    </cfRule>
  </conditionalFormatting>
  <conditionalFormatting sqref="O4 O6:O11">
    <cfRule type="expression" dxfId="1983" priority="93">
      <formula>ABS(O$7-O$10)&gt;=1000</formula>
    </cfRule>
  </conditionalFormatting>
  <conditionalFormatting sqref="P4 P6:P11">
    <cfRule type="expression" dxfId="1982" priority="92">
      <formula>ABS(P$7-P$10)&gt;=1000</formula>
    </cfRule>
  </conditionalFormatting>
  <conditionalFormatting sqref="Q4:Q11">
    <cfRule type="expression" dxfId="1981" priority="91">
      <formula>ABS(Q$7-Q$10)&gt;=1000</formula>
    </cfRule>
  </conditionalFormatting>
  <conditionalFormatting sqref="R4:R11">
    <cfRule type="expression" dxfId="1980" priority="90">
      <formula>ABS(R$7-R$10)&gt;=1000</formula>
    </cfRule>
  </conditionalFormatting>
  <conditionalFormatting sqref="S4:S11">
    <cfRule type="expression" dxfId="1979" priority="89">
      <formula>ABS(S$7-S$10)&gt;=1000</formula>
    </cfRule>
  </conditionalFormatting>
  <conditionalFormatting sqref="T4:T9 T11">
    <cfRule type="expression" dxfId="1978" priority="88">
      <formula>ABS(T$7-T$10)&gt;=1000</formula>
    </cfRule>
  </conditionalFormatting>
  <conditionalFormatting sqref="U4:U9 U11">
    <cfRule type="expression" dxfId="1977" priority="87">
      <formula>ABS(U$7-U$10)&gt;=1000</formula>
    </cfRule>
  </conditionalFormatting>
  <conditionalFormatting sqref="V4:V9 V11">
    <cfRule type="expression" dxfId="1976" priority="86">
      <formula>ABS(V$7-V$10)&gt;=1000</formula>
    </cfRule>
  </conditionalFormatting>
  <conditionalFormatting sqref="W4:W9 W11">
    <cfRule type="expression" dxfId="1975" priority="85">
      <formula>ABS(W$7-W$10)&gt;=1000</formula>
    </cfRule>
  </conditionalFormatting>
  <conditionalFormatting sqref="X4:X9 X11">
    <cfRule type="expression" dxfId="1974" priority="84">
      <formula>ABS(X$7-X$10)&gt;=1000</formula>
    </cfRule>
  </conditionalFormatting>
  <conditionalFormatting sqref="Y4:Y9 Y11">
    <cfRule type="expression" dxfId="1973" priority="83">
      <formula>ABS(Y$7-Y$10)&gt;=1000</formula>
    </cfRule>
  </conditionalFormatting>
  <conditionalFormatting sqref="Z4:Z11">
    <cfRule type="expression" dxfId="1972" priority="82">
      <formula>ABS(Z$7-Z$10)&gt;=1000</formula>
    </cfRule>
  </conditionalFormatting>
  <conditionalFormatting sqref="AA4:AA11">
    <cfRule type="expression" dxfId="1971" priority="81">
      <formula>ABS(AA$7-AA$10)&gt;=1000</formula>
    </cfRule>
  </conditionalFormatting>
  <conditionalFormatting sqref="AB4:AB11">
    <cfRule type="expression" dxfId="1970" priority="80">
      <formula>ABS(AB$7-AB$10)&gt;=1000</formula>
    </cfRule>
  </conditionalFormatting>
  <conditionalFormatting sqref="AC4 AC6:AC11">
    <cfRule type="expression" dxfId="1969" priority="79">
      <formula>ABS(AC$7-AC$10)&gt;=1000</formula>
    </cfRule>
  </conditionalFormatting>
  <conditionalFormatting sqref="AD4 AD6:AD11">
    <cfRule type="expression" dxfId="1968" priority="78">
      <formula>ABS(AD$7-AD$10)&gt;=1000</formula>
    </cfRule>
  </conditionalFormatting>
  <conditionalFormatting sqref="AE4 AE6:AE11">
    <cfRule type="expression" dxfId="1967" priority="77">
      <formula>ABS(AE$7-AE$10)&gt;=1000</formula>
    </cfRule>
  </conditionalFormatting>
  <conditionalFormatting sqref="D13:D20">
    <cfRule type="expression" dxfId="1966" priority="76">
      <formula>ABS(D$16-D$19)&gt;=1000</formula>
    </cfRule>
  </conditionalFormatting>
  <conditionalFormatting sqref="E13:E20">
    <cfRule type="expression" dxfId="1965" priority="75">
      <formula>ABS(E$16-E$19)&gt;=1000</formula>
    </cfRule>
  </conditionalFormatting>
  <conditionalFormatting sqref="F13 F15:F20">
    <cfRule type="expression" dxfId="1964" priority="74">
      <formula>ABS(F$16-F$19)&gt;=1000</formula>
    </cfRule>
  </conditionalFormatting>
  <conditionalFormatting sqref="G13:G20">
    <cfRule type="expression" dxfId="1963" priority="73">
      <formula>ABS(G$16-G$19)&gt;=1000</formula>
    </cfRule>
  </conditionalFormatting>
  <conditionalFormatting sqref="H13 H15:H20">
    <cfRule type="expression" dxfId="1962" priority="72">
      <formula>ABS(H$16-H$19)&gt;=1000</formula>
    </cfRule>
  </conditionalFormatting>
  <conditionalFormatting sqref="I13:I20">
    <cfRule type="expression" dxfId="1961" priority="71">
      <formula>ABS(I$16-I$19)&gt;=1000</formula>
    </cfRule>
  </conditionalFormatting>
  <conditionalFormatting sqref="J13:J20">
    <cfRule type="expression" dxfId="1960" priority="70">
      <formula>ABS(J$16-J$19)&gt;=1000</formula>
    </cfRule>
  </conditionalFormatting>
  <conditionalFormatting sqref="L13:L20">
    <cfRule type="expression" dxfId="1959" priority="69">
      <formula>ABS(L$16-L$19)&gt;=1000</formula>
    </cfRule>
  </conditionalFormatting>
  <conditionalFormatting sqref="M13 M15 M17:M18 M20">
    <cfRule type="expression" dxfId="1958" priority="68">
      <formula>ABS(M$16-M$19)&gt;=1000</formula>
    </cfRule>
  </conditionalFormatting>
  <conditionalFormatting sqref="N13:N20">
    <cfRule type="expression" dxfId="1957" priority="67">
      <formula>ABS(N$16-N$19)&gt;=1000</formula>
    </cfRule>
  </conditionalFormatting>
  <conditionalFormatting sqref="O13:O20">
    <cfRule type="expression" dxfId="1956" priority="66">
      <formula>ABS(O$16-O$19)&gt;=1000</formula>
    </cfRule>
  </conditionalFormatting>
  <conditionalFormatting sqref="P13:P20">
    <cfRule type="expression" dxfId="1955" priority="65">
      <formula>ABS(P$16-P$19)&gt;=1000</formula>
    </cfRule>
  </conditionalFormatting>
  <conditionalFormatting sqref="Q13 Q15:Q20">
    <cfRule type="expression" dxfId="1954" priority="64">
      <formula>ABS(Q$16-Q$19)&gt;=1000</formula>
    </cfRule>
  </conditionalFormatting>
  <conditionalFormatting sqref="R13 R15:R20">
    <cfRule type="expression" dxfId="1953" priority="63">
      <formula>ABS(R$16-R$19)&gt;=1000</formula>
    </cfRule>
  </conditionalFormatting>
  <conditionalFormatting sqref="S13:S20">
    <cfRule type="expression" dxfId="1952" priority="62">
      <formula>ABS(S$16-S$19)&gt;=1000</formula>
    </cfRule>
  </conditionalFormatting>
  <conditionalFormatting sqref="T13:T15 T17:T20">
    <cfRule type="expression" dxfId="1951" priority="61">
      <formula>ABS(T$16-T$19)&gt;=1000</formula>
    </cfRule>
  </conditionalFormatting>
  <conditionalFormatting sqref="U13:U20">
    <cfRule type="expression" dxfId="1950" priority="60">
      <formula>ABS(U$16-U$19)&gt;=1000</formula>
    </cfRule>
  </conditionalFormatting>
  <conditionalFormatting sqref="V13:V20">
    <cfRule type="expression" dxfId="1949" priority="59">
      <formula>ABS(V$16-V$19)&gt;=1000</formula>
    </cfRule>
  </conditionalFormatting>
  <conditionalFormatting sqref="W13 W20 W15:W18">
    <cfRule type="expression" dxfId="1948" priority="58">
      <formula>ABS(W$16-W$19)&gt;=1000</formula>
    </cfRule>
  </conditionalFormatting>
  <conditionalFormatting sqref="X13 X15:X20 Y19">
    <cfRule type="expression" dxfId="1947" priority="57">
      <formula>ABS(X$16-X$19)&gt;=1000</formula>
    </cfRule>
  </conditionalFormatting>
  <conditionalFormatting sqref="Y13 Y15:Y18 Y20">
    <cfRule type="expression" dxfId="1946" priority="56">
      <formula>ABS(Y$16-Y$19)&gt;=1000</formula>
    </cfRule>
  </conditionalFormatting>
  <conditionalFormatting sqref="Z13:Z20">
    <cfRule type="expression" dxfId="1945" priority="55">
      <formula>ABS(Z$16-Z$19)&gt;=1000</formula>
    </cfRule>
  </conditionalFormatting>
  <conditionalFormatting sqref="AA13:AA20">
    <cfRule type="expression" dxfId="1944" priority="54">
      <formula>ABS(AA$16-AA$19)&gt;=1000</formula>
    </cfRule>
  </conditionalFormatting>
  <conditionalFormatting sqref="AB13 AB15:AB20">
    <cfRule type="expression" dxfId="1943" priority="53">
      <formula>ABS(AB$16-AB$19)&gt;=1000</formula>
    </cfRule>
  </conditionalFormatting>
  <conditionalFormatting sqref="AC13 AC15:AC20">
    <cfRule type="expression" dxfId="1942" priority="52">
      <formula>ABS(AC$16-AC$19)&gt;=1000</formula>
    </cfRule>
  </conditionalFormatting>
  <conditionalFormatting sqref="AD13:AD20">
    <cfRule type="expression" dxfId="1941" priority="51">
      <formula>ABS(AD$16-AD$19)&gt;=1000</formula>
    </cfRule>
  </conditionalFormatting>
  <conditionalFormatting sqref="AE13:AE20">
    <cfRule type="expression" dxfId="1940" priority="50">
      <formula>ABS(AE$16-AE$19)&gt;=1000</formula>
    </cfRule>
  </conditionalFormatting>
  <conditionalFormatting sqref="D22:D29">
    <cfRule type="expression" dxfId="1939" priority="49">
      <formula>ABS(D$25-D$28)&gt;=1000</formula>
    </cfRule>
  </conditionalFormatting>
  <conditionalFormatting sqref="E22:E29">
    <cfRule type="expression" dxfId="1938" priority="48">
      <formula>ABS(E$25-E$28)&gt;=1000</formula>
    </cfRule>
  </conditionalFormatting>
  <conditionalFormatting sqref="F22:F29">
    <cfRule type="expression" dxfId="1937" priority="47">
      <formula>ABS(F$25-F$28)&gt;=1000</formula>
    </cfRule>
  </conditionalFormatting>
  <conditionalFormatting sqref="G22:G29">
    <cfRule type="expression" dxfId="1936" priority="46">
      <formula>ABS(G$25-G$28)&gt;=1000</formula>
    </cfRule>
  </conditionalFormatting>
  <conditionalFormatting sqref="H22:H29">
    <cfRule type="expression" dxfId="1935" priority="45">
      <formula>ABS(H$25-H$28)&gt;=1000</formula>
    </cfRule>
  </conditionalFormatting>
  <conditionalFormatting sqref="I22 I24:I29">
    <cfRule type="expression" dxfId="1934" priority="44">
      <formula>ABS(I$25-I$28)&gt;=1000</formula>
    </cfRule>
  </conditionalFormatting>
  <conditionalFormatting sqref="J22:J29 K22">
    <cfRule type="expression" dxfId="1933" priority="43">
      <formula>ABS(J$25-J$28)&gt;=1000</formula>
    </cfRule>
  </conditionalFormatting>
  <conditionalFormatting sqref="K23:K29 L25 L28">
    <cfRule type="expression" dxfId="1932" priority="42">
      <formula>ABS(K$25-K$28)&gt;=1000</formula>
    </cfRule>
  </conditionalFormatting>
  <conditionalFormatting sqref="L22 L26:L27 L29 L24">
    <cfRule type="expression" dxfId="1931" priority="41">
      <formula>ABS(L$25-L$28)&gt;=1000</formula>
    </cfRule>
  </conditionalFormatting>
  <conditionalFormatting sqref="M22:M29">
    <cfRule type="expression" dxfId="1930" priority="40">
      <formula>ABS(M$25-M$28)&gt;=1000</formula>
    </cfRule>
  </conditionalFormatting>
  <conditionalFormatting sqref="N22:N29">
    <cfRule type="expression" dxfId="1929" priority="39">
      <formula>ABS(N$25-N$28)&gt;=1000</formula>
    </cfRule>
  </conditionalFormatting>
  <conditionalFormatting sqref="O22 O24:O29">
    <cfRule type="expression" dxfId="1928" priority="38">
      <formula>ABS(O$25-O$28)&gt;=1000</formula>
    </cfRule>
  </conditionalFormatting>
  <conditionalFormatting sqref="P22:P29">
    <cfRule type="expression" dxfId="1927" priority="37">
      <formula>ABS(P$25-P$28)&gt;=1000</formula>
    </cfRule>
  </conditionalFormatting>
  <conditionalFormatting sqref="Q22:Q29">
    <cfRule type="expression" dxfId="1926" priority="36">
      <formula>ABS(Q$25-Q$28)&gt;=1000</formula>
    </cfRule>
  </conditionalFormatting>
  <conditionalFormatting sqref="R22:R29">
    <cfRule type="expression" dxfId="1925" priority="35">
      <formula>ABS(R$25-R$28)&gt;=1000</formula>
    </cfRule>
  </conditionalFormatting>
  <conditionalFormatting sqref="S22:S29">
    <cfRule type="expression" dxfId="1924" priority="34">
      <formula>ABS(S$25-S$28)&gt;=1000</formula>
    </cfRule>
  </conditionalFormatting>
  <conditionalFormatting sqref="T22:T29">
    <cfRule type="expression" dxfId="1923" priority="33">
      <formula>ABS(T$25-T$28)&gt;=1000</formula>
    </cfRule>
  </conditionalFormatting>
  <conditionalFormatting sqref="U22:U29">
    <cfRule type="expression" dxfId="1922" priority="32">
      <formula>ABS(U$25-U$28)&gt;=1000</formula>
    </cfRule>
  </conditionalFormatting>
  <conditionalFormatting sqref="V22:V29">
    <cfRule type="expression" dxfId="1921" priority="31">
      <formula>ABS(V$25-V$28)&gt;=1000</formula>
    </cfRule>
  </conditionalFormatting>
  <conditionalFormatting sqref="W22:W29">
    <cfRule type="expression" dxfId="1920" priority="30">
      <formula>ABS(W$25-W$28)&gt;=1000</formula>
    </cfRule>
  </conditionalFormatting>
  <conditionalFormatting sqref="X22:X29">
    <cfRule type="expression" dxfId="1919" priority="29">
      <formula>ABS(X$25-X$28)&gt;=1000</formula>
    </cfRule>
  </conditionalFormatting>
  <conditionalFormatting sqref="Y22:Y29">
    <cfRule type="expression" dxfId="1918" priority="28">
      <formula>ABS(Y$25-Y$28)&gt;=1000</formula>
    </cfRule>
  </conditionalFormatting>
  <conditionalFormatting sqref="I23">
    <cfRule type="expression" dxfId="1917" priority="27">
      <formula>ABS(I$25-I$28)&gt;=1000</formula>
    </cfRule>
  </conditionalFormatting>
  <conditionalFormatting sqref="Q14">
    <cfRule type="expression" dxfId="1916" priority="26">
      <formula>ABS(Q$16-Q$19)&gt;=1000</formula>
    </cfRule>
  </conditionalFormatting>
  <conditionalFormatting sqref="W14">
    <cfRule type="expression" dxfId="1915" priority="25">
      <formula>ABS(W$16-W$19)&gt;=1000</formula>
    </cfRule>
  </conditionalFormatting>
  <conditionalFormatting sqref="X14">
    <cfRule type="expression" dxfId="1914" priority="24">
      <formula>ABS(X$16-X$19)&gt;=1000</formula>
    </cfRule>
  </conditionalFormatting>
  <conditionalFormatting sqref="T10:Y10">
    <cfRule type="expression" dxfId="1913" priority="23">
      <formula>ABS(T$7-T$10)&gt;=1000</formula>
    </cfRule>
  </conditionalFormatting>
  <conditionalFormatting sqref="W19">
    <cfRule type="expression" dxfId="1912" priority="22">
      <formula>ABS(W$16-W$19)&gt;=1000</formula>
    </cfRule>
  </conditionalFormatting>
  <conditionalFormatting sqref="AC5">
    <cfRule type="expression" dxfId="1911" priority="21">
      <formula>ABS(AC$7-AC$10)&gt;=1000</formula>
    </cfRule>
  </conditionalFormatting>
  <conditionalFormatting sqref="M14">
    <cfRule type="expression" dxfId="1910" priority="20">
      <formula>ABS(M$16-M$19)&gt;=1000</formula>
    </cfRule>
  </conditionalFormatting>
  <conditionalFormatting sqref="M16">
    <cfRule type="expression" dxfId="1909" priority="19">
      <formula>ABS(M$16-M$19)&gt;=1000</formula>
    </cfRule>
  </conditionalFormatting>
  <conditionalFormatting sqref="M19">
    <cfRule type="expression" dxfId="1908" priority="18">
      <formula>ABS(M$16-M$19)&gt;=1000</formula>
    </cfRule>
  </conditionalFormatting>
  <conditionalFormatting sqref="K13:K20">
    <cfRule type="expression" dxfId="1907" priority="17">
      <formula>ABS(K$16-K$19)&gt;=1000</formula>
    </cfRule>
  </conditionalFormatting>
  <conditionalFormatting sqref="E5">
    <cfRule type="expression" dxfId="1906" priority="16">
      <formula>ABS(E$7-E$10)&gt;=1000</formula>
    </cfRule>
  </conditionalFormatting>
  <conditionalFormatting sqref="AB14:AC14">
    <cfRule type="expression" dxfId="1905" priority="15">
      <formula>ABS(AB$16-AB$19)&gt;=1000</formula>
    </cfRule>
  </conditionalFormatting>
  <conditionalFormatting sqref="M5">
    <cfRule type="expression" dxfId="1904" priority="14">
      <formula>ABS(M$7-M$10)&gt;=1000</formula>
    </cfRule>
  </conditionalFormatting>
  <conditionalFormatting sqref="N5">
    <cfRule type="expression" dxfId="1903" priority="13">
      <formula>ABS(N$7-N$10)&gt;=1000</formula>
    </cfRule>
  </conditionalFormatting>
  <conditionalFormatting sqref="O5">
    <cfRule type="expression" dxfId="1902" priority="12">
      <formula>ABS(O$7-O$10)&gt;=1000</formula>
    </cfRule>
  </conditionalFormatting>
  <conditionalFormatting sqref="P5">
    <cfRule type="expression" dxfId="1901" priority="11">
      <formula>ABS(P$7-P$10)&gt;=1000</formula>
    </cfRule>
  </conditionalFormatting>
  <conditionalFormatting sqref="L23">
    <cfRule type="expression" dxfId="1900" priority="10">
      <formula>ABS(L$25-L$28)&gt;=1000</formula>
    </cfRule>
  </conditionalFormatting>
  <conditionalFormatting sqref="Y14">
    <cfRule type="expression" dxfId="1899" priority="9">
      <formula>ABS(Y$16-Y$19)&gt;=1000</formula>
    </cfRule>
  </conditionalFormatting>
  <conditionalFormatting sqref="H14">
    <cfRule type="expression" dxfId="1898" priority="8">
      <formula>ABS(H$16-H$19)&gt;=1000</formula>
    </cfRule>
  </conditionalFormatting>
  <conditionalFormatting sqref="AD5">
    <cfRule type="expression" dxfId="1897" priority="7">
      <formula>ABS(AD$7-AD$10)&gt;=1000</formula>
    </cfRule>
  </conditionalFormatting>
  <conditionalFormatting sqref="AE5">
    <cfRule type="expression" dxfId="1896" priority="6">
      <formula>ABS(AE$7-AE$10)&gt;=1000</formula>
    </cfRule>
  </conditionalFormatting>
  <conditionalFormatting sqref="T16">
    <cfRule type="expression" dxfId="1895" priority="5">
      <formula>ABS(T$16-T$19)&gt;=1000</formula>
    </cfRule>
  </conditionalFormatting>
  <conditionalFormatting sqref="F14">
    <cfRule type="expression" dxfId="1894" priority="3">
      <formula>ABS(F$16-F$19)&gt;=1000</formula>
    </cfRule>
  </conditionalFormatting>
  <conditionalFormatting sqref="R14">
    <cfRule type="expression" dxfId="1893" priority="2">
      <formula>ABS(R$16-R$19)&gt;=1000</formula>
    </cfRule>
  </conditionalFormatting>
  <conditionalFormatting sqref="O23">
    <cfRule type="expression" dxfId="1892" priority="1">
      <formula>ABS(O$25-O$28)&gt;=1000</formula>
    </cfRule>
  </conditionalFormatting>
  <dataValidations count="1">
    <dataValidation operator="greaterThanOrEqual" allowBlank="1" showErrorMessage="1" sqref="D6"/>
  </dataValidations>
  <printOptions horizontalCentered="1"/>
  <pageMargins left="0.39370078740157483" right="0.39370078740157483" top="0.39370078740157483" bottom="0.39370078740157483" header="0.51181102362204722" footer="0.51181102362204722"/>
  <pageSetup paperSize="9" scale="60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0385" r:id="rId4" name="Button 1">
              <controlPr defaultSize="0" print="0" autoFill="0" autoPict="0">
                <anchor moveWithCells="1">
                  <from>
                    <xdr:col>31</xdr:col>
                    <xdr:colOff>0</xdr:colOff>
                    <xdr:row>0</xdr:row>
                    <xdr:rowOff>342900</xdr:rowOff>
                  </from>
                  <to>
                    <xdr:col>32</xdr:col>
                    <xdr:colOff>411480</xdr:colOff>
                    <xdr:row>3</xdr:row>
                    <xdr:rowOff>30480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972">
    <pageSetUpPr fitToPage="1"/>
  </sheetPr>
  <dimension ref="A1:CU223"/>
  <sheetViews>
    <sheetView view="pageBreakPreview" topLeftCell="B13" zoomScale="85" zoomScaleNormal="100" zoomScaleSheetLayoutView="85" workbookViewId="0">
      <selection activeCell="Z23" sqref="Z23:AE29"/>
    </sheetView>
  </sheetViews>
  <sheetFormatPr defaultColWidth="8.109375" defaultRowHeight="25.8"/>
  <cols>
    <col min="1" max="1" width="11.6640625" style="64" customWidth="1" phonetic="1"/>
    <col min="2" max="2" width="7.6640625" style="64" customWidth="1" phonetic="1"/>
    <col min="3" max="3" width="8" style="64" customWidth="1" phonetic="1"/>
    <col min="4" max="8" width="7.6640625" style="64" customWidth="1" phonetic="1"/>
    <col min="9" max="9" width="8" style="64" customWidth="1" phonetic="1"/>
    <col min="10" max="12" width="7.6640625" style="64" customWidth="1" phonetic="1"/>
    <col min="13" max="13" width="7.77734375" style="64" bestFit="1" customWidth="1" phonetic="1"/>
    <col min="14" max="30" width="7.6640625" style="64" customWidth="1" phonetic="1"/>
    <col min="31" max="31" width="7.6640625" style="75" customWidth="1" phonetic="1"/>
    <col min="32" max="32" width="11.6640625" style="64" bestFit="1" customWidth="1" phonetic="1"/>
    <col min="33" max="33" width="22.109375" style="64" customWidth="1" phonetic="1"/>
    <col min="34" max="34" width="5.6640625" style="64" customWidth="1" phonetic="1"/>
    <col min="35" max="35" width="18.21875" style="64" customWidth="1" phonetic="1"/>
    <col min="36" max="36" width="12" style="64" bestFit="1" customWidth="1" phonetic="1"/>
    <col min="37" max="37" width="11.6640625" style="64" bestFit="1" customWidth="1" phonetic="1"/>
    <col min="38" max="38" width="5.6640625" style="64" customWidth="1" phonetic="1"/>
    <col min="39" max="39" width="11.44140625" style="64" bestFit="1" customWidth="1" phonetic="1"/>
    <col min="40" max="40" width="6.21875" style="64" customWidth="1" phonetic="1"/>
    <col min="41" max="41" width="8.6640625" style="64" customWidth="1" phonetic="1"/>
    <col min="42" max="42" width="11.21875" style="64" customWidth="1" phonetic="1"/>
    <col min="43" max="43" width="11.77734375" style="64" customWidth="1" phonetic="1"/>
    <col min="44" max="44" width="11.21875" style="64" customWidth="1" phonetic="1"/>
    <col min="45" max="45" width="11.21875" style="64" bestFit="1" customWidth="1" phonetic="1"/>
    <col min="46" max="46" width="41.77734375" style="64" customWidth="1" phonetic="1"/>
    <col min="47" max="47" width="7.77734375" style="64" customWidth="1" phonetic="1"/>
    <col min="48" max="48" width="17.109375" style="64" customWidth="1" phonetic="1"/>
    <col min="49" max="49" width="6.21875" style="64" customWidth="1" phonetic="1"/>
    <col min="50" max="50" width="10" style="64" customWidth="1" phonetic="1"/>
    <col min="51" max="51" width="6.21875" style="64" customWidth="1" phonetic="1"/>
    <col min="52" max="52" width="6.88671875" style="64" customWidth="1" phonetic="1"/>
    <col min="53" max="53" width="6.44140625" style="64" customWidth="1" phonetic="1"/>
    <col min="54" max="54" width="15.44140625" style="64" customWidth="1" phonetic="1"/>
    <col min="55" max="55" width="6.21875" style="64" customWidth="1" phonetic="1"/>
    <col min="56" max="56" width="22.109375" style="64" bestFit="1" customWidth="1" phonetic="1"/>
    <col min="57" max="57" width="6.44140625" style="64" customWidth="1" phonetic="1"/>
    <col min="58" max="60" width="6.21875" style="64" customWidth="1" phonetic="1"/>
    <col min="61" max="16384" width="8.109375" style="64" phonetic="1"/>
  </cols>
  <sheetData>
    <row r="1" spans="1:99" ht="31.2" ph="1">
      <c r="A1" s="64"/>
      <c r="B1" s="238" t="s" ph="1">
        <v>161</v>
      </c>
      <c r="C1" s="238" ph="1"/>
      <c r="D1" s="238" ph="1"/>
      <c r="E1" s="238" ph="1"/>
      <c r="F1" s="238" ph="1"/>
      <c r="G1" s="238" ph="1"/>
      <c r="H1" s="238" ph="1"/>
      <c r="I1" s="238" ph="1"/>
      <c r="J1" s="238" ph="1"/>
      <c r="K1" s="238" ph="1"/>
      <c r="L1" s="238" ph="1"/>
      <c r="M1" s="238" ph="1"/>
      <c r="N1" s="238" ph="1"/>
      <c r="O1" s="238" ph="1"/>
      <c r="P1" s="238" ph="1"/>
      <c r="Q1" s="238" ph="1"/>
      <c r="R1" s="238" ph="1"/>
      <c r="S1" s="238" ph="1"/>
      <c r="T1" s="238" ph="1"/>
      <c r="U1" s="238" ph="1"/>
      <c r="V1" s="238" ph="1"/>
      <c r="W1" s="238" ph="1"/>
      <c r="X1" s="238" ph="1"/>
      <c r="Y1" s="238" ph="1"/>
      <c r="Z1" s="238" ph="1"/>
      <c r="AA1" s="238" ph="1"/>
      <c r="AB1" s="238" ph="1"/>
      <c r="AC1" s="238" ph="1"/>
      <c r="AD1" s="238" ph="1"/>
      <c r="AE1" s="238" ph="1"/>
    </row>
    <row r="2" spans="1:99" s="66" customFormat="1" ht="24" customHeight="1" ph="1">
      <c r="B2" s="239" t="s" ph="1">
        <v>82</v>
      </c>
      <c r="C2" s="239" ph="1"/>
      <c r="D2" s="239" ph="1"/>
      <c r="E2" s="239" ph="1"/>
      <c r="F2" s="239" ph="1"/>
      <c r="G2" s="239" ph="1"/>
      <c r="H2" s="239" ph="1"/>
      <c r="I2" s="239" ph="1"/>
      <c r="J2" s="239" ph="1"/>
      <c r="K2" s="239" ph="1"/>
      <c r="L2" s="239" ph="1"/>
      <c r="M2" s="239" ph="1"/>
      <c r="N2" s="239" ph="1"/>
      <c r="O2" s="239" ph="1"/>
      <c r="P2" s="239" ph="1"/>
      <c r="Q2" s="239" ph="1"/>
      <c r="R2" s="239" ph="1"/>
      <c r="S2" s="239" ph="1"/>
      <c r="T2" s="239" ph="1"/>
      <c r="U2" s="239" ph="1"/>
      <c r="V2" s="239" ph="1"/>
      <c r="W2" s="239" ph="1"/>
      <c r="X2" s="239" ph="1"/>
      <c r="Y2" s="239" ph="1"/>
      <c r="Z2" s="239" ph="1"/>
      <c r="AA2" s="239" ph="1"/>
      <c r="AB2" s="239" ph="1"/>
      <c r="AC2" s="239" ph="1"/>
      <c r="AD2" s="239" ph="1"/>
      <c r="AE2" s="239" ph="1"/>
    </row>
    <row r="3" spans="1:99" ht="21" customHeight="1" ph="1">
      <c r="B3" s="240" ph="1">
        <v>46274</v>
      </c>
      <c r="C3" s="240"/>
      <c r="D3" s="240"/>
      <c r="E3" s="240"/>
      <c r="F3" s="240"/>
      <c r="G3" s="240"/>
      <c r="H3" s="240"/>
      <c r="I3" s="240"/>
      <c r="J3" s="240"/>
      <c r="K3" s="240"/>
      <c r="L3" s="240"/>
      <c r="M3" s="240"/>
      <c r="N3" s="240"/>
      <c r="O3" s="240"/>
      <c r="P3" s="240"/>
      <c r="Q3" s="240"/>
      <c r="R3" s="240"/>
      <c r="S3" s="240"/>
      <c r="T3" s="240"/>
      <c r="U3" s="240"/>
      <c r="V3" s="240"/>
      <c r="W3" s="240"/>
      <c r="X3" s="240"/>
      <c r="Y3" s="240"/>
      <c r="Z3" s="240"/>
      <c r="AA3" s="240"/>
      <c r="AB3" s="240"/>
      <c r="AC3" s="240"/>
      <c r="AD3" s="240"/>
      <c r="AE3" s="240"/>
    </row>
    <row r="4" spans="1:99" s="69" customFormat="1" ph="1">
      <c r="A4" s="65" ph="1"/>
      <c r="B4" s="219" t="s" ph="1">
        <v>37</v>
      </c>
      <c r="C4" s="67" t="s" ph="1">
        <v>176</v>
      </c>
      <c r="D4" s="68" t="s" ph="1">
        <v>44</v>
      </c>
      <c r="E4" s="68" t="s" ph="1">
        <v>45</v>
      </c>
      <c r="F4" s="68" t="s" ph="1">
        <v>39</v>
      </c>
      <c r="G4" s="68" t="s" ph="1">
        <v>46</v>
      </c>
      <c r="H4" s="68" t="s" ph="1">
        <v>47</v>
      </c>
      <c r="I4" s="68" t="s" ph="1">
        <v>110</v>
      </c>
      <c r="J4" s="68" t="s" ph="1">
        <v>48</v>
      </c>
      <c r="K4" s="68" t="s" ph="1">
        <v>111</v>
      </c>
      <c r="L4" s="68" t="s" ph="1">
        <v>112</v>
      </c>
      <c r="M4" s="68" t="s" ph="1">
        <v>49</v>
      </c>
      <c r="N4" s="68" t="s" ph="1">
        <v>50</v>
      </c>
      <c r="O4" s="68" t="s" ph="1">
        <v>113</v>
      </c>
      <c r="P4" s="68" t="s" ph="1">
        <v>114</v>
      </c>
      <c r="Q4" s="68" t="s" ph="1">
        <v>115</v>
      </c>
      <c r="R4" s="68" t="s" ph="1">
        <v>116</v>
      </c>
      <c r="S4" s="68" t="s" ph="1">
        <v>117</v>
      </c>
      <c r="T4" s="68" t="s" ph="1">
        <v>118</v>
      </c>
      <c r="U4" s="68" t="s" ph="1">
        <v>119</v>
      </c>
      <c r="V4" s="68" t="s" ph="1">
        <v>120</v>
      </c>
      <c r="W4" s="68" t="s" ph="1">
        <v>121</v>
      </c>
      <c r="X4" s="68" t="s" ph="1">
        <v>122</v>
      </c>
      <c r="Y4" s="68" t="s" ph="1">
        <v>123</v>
      </c>
      <c r="Z4" s="68" t="s" ph="1">
        <v>51</v>
      </c>
      <c r="AA4" s="68" t="s" ph="1">
        <v>124</v>
      </c>
      <c r="AB4" s="68" t="s" ph="1">
        <v>125</v>
      </c>
      <c r="AC4" s="68" t="s" ph="1">
        <v>126</v>
      </c>
      <c r="AD4" s="68" t="s" ph="1">
        <v>40</v>
      </c>
      <c r="AE4" s="68" t="s" ph="1">
        <v>127</v>
      </c>
      <c r="AF4" s="65" ph="1"/>
      <c r="AG4" s="65" ph="1"/>
      <c r="AH4" s="65" ph="1"/>
      <c r="AI4" s="65" ph="1"/>
      <c r="AJ4" s="65" ph="1"/>
      <c r="AK4" s="65" ph="1"/>
      <c r="AL4" s="65" ph="1"/>
      <c r="AM4" s="65" ph="1"/>
      <c r="AN4" s="65" ph="1"/>
      <c r="AO4" s="65" ph="1"/>
      <c r="AP4" s="65" ph="1"/>
      <c r="AQ4" s="65" ph="1"/>
      <c r="AR4" s="65" ph="1"/>
      <c r="AS4" s="65" ph="1"/>
      <c r="AT4" s="65" ph="1"/>
      <c r="AU4" s="65" ph="1"/>
      <c r="AV4" s="65" ph="1"/>
      <c r="AW4" s="65" ph="1"/>
      <c r="AX4" s="65" ph="1"/>
      <c r="AY4" s="65" ph="1"/>
      <c r="AZ4" s="65" ph="1"/>
      <c r="BA4" s="65" ph="1"/>
      <c r="BB4" s="65" ph="1"/>
      <c r="BC4" s="65" ph="1"/>
      <c r="BD4" s="65" ph="1"/>
      <c r="BE4" s="65" ph="1"/>
      <c r="BF4" s="65" ph="1"/>
      <c r="BG4" s="65" ph="1"/>
      <c r="BH4" s="65" ph="1"/>
      <c r="BI4" s="65" ph="1"/>
      <c r="BJ4" s="65" ph="1"/>
      <c r="BK4" s="65" ph="1"/>
      <c r="BL4" s="65" ph="1"/>
      <c r="BM4" s="65" ph="1"/>
      <c r="BN4" s="65" ph="1"/>
      <c r="BO4" s="65" ph="1"/>
      <c r="BP4" s="65" ph="1"/>
      <c r="BQ4" s="65" ph="1"/>
      <c r="BR4" s="65" ph="1"/>
      <c r="BS4" s="65" ph="1"/>
      <c r="BT4" s="65" ph="1"/>
      <c r="BU4" s="65" ph="1"/>
      <c r="BV4" s="65" ph="1"/>
      <c r="BW4" s="65" ph="1"/>
      <c r="BX4" s="65" ph="1"/>
      <c r="BY4" s="65" ph="1"/>
      <c r="BZ4" s="65" ph="1"/>
      <c r="CA4" s="65" ph="1"/>
      <c r="CB4" s="65" ph="1"/>
      <c r="CC4" s="65" ph="1"/>
      <c r="CD4" s="65" ph="1"/>
      <c r="CE4" s="65" ph="1"/>
      <c r="CF4" s="65" ph="1"/>
      <c r="CG4" s="65" ph="1"/>
      <c r="CH4" s="65" ph="1"/>
      <c r="CI4" s="65" ph="1"/>
      <c r="CJ4" s="65" ph="1"/>
      <c r="CK4" s="65" ph="1"/>
      <c r="CL4" s="65" ph="1"/>
      <c r="CM4" s="65" ph="1"/>
      <c r="CN4" s="65" ph="1"/>
      <c r="CO4" s="65" ph="1"/>
      <c r="CP4" s="65" ph="1"/>
      <c r="CQ4" s="65" ph="1"/>
      <c r="CR4" s="65" ph="1"/>
      <c r="CS4" s="65" ph="1"/>
      <c r="CT4" s="65" ph="1"/>
      <c r="CU4" s="65" ph="1"/>
    </row>
    <row r="5" spans="1:99" s="69" customFormat="1" ht="29.25" customHeight="1" ph="1">
      <c r="A5" s="65" ph="1"/>
      <c r="B5" s="219" ph="1"/>
      <c r="C5" s="67" t="s" ph="1">
        <v>36</v>
      </c>
      <c r="D5" s="70" t="s" ph="1">
        <v>160</v>
      </c>
      <c r="E5" s="142" t="s" ph="1">
        <v>642</v>
      </c>
      <c r="F5" s="142" t="s" ph="1">
        <v>1</v>
      </c>
      <c r="G5" s="142" t="s" ph="1">
        <v>7</v>
      </c>
      <c r="H5" s="142" t="s" ph="1">
        <v>7</v>
      </c>
      <c r="I5" s="141" t="s" ph="1">
        <v>608</v>
      </c>
      <c r="J5" s="141" t="s" ph="1">
        <v>609</v>
      </c>
      <c r="K5" s="141" t="s" ph="1">
        <v>611</v>
      </c>
      <c r="L5" s="141" t="s" ph="1">
        <v>613</v>
      </c>
      <c r="M5" s="141" t="s" ph="1">
        <v>608</v>
      </c>
      <c r="N5" s="70" t="s" ph="1">
        <v>609</v>
      </c>
      <c r="O5" s="70" t="s" ph="1">
        <v>611</v>
      </c>
      <c r="P5" s="70" t="s" ph="1">
        <v>613</v>
      </c>
      <c r="Q5" s="70" t="s" ph="1">
        <v>607</v>
      </c>
      <c r="R5" s="70" t="s" ph="1">
        <v>607</v>
      </c>
      <c r="S5" s="70" t="s" ph="1">
        <v>607</v>
      </c>
      <c r="T5" s="70" t="s" ph="1">
        <v>607</v>
      </c>
      <c r="U5" s="70" t="s" ph="1">
        <v>607</v>
      </c>
      <c r="V5" s="70" t="s" ph="1">
        <v>607</v>
      </c>
      <c r="W5" s="70" t="s" ph="1">
        <v>607</v>
      </c>
      <c r="X5" s="70" t="s" ph="1">
        <v>607</v>
      </c>
      <c r="Y5" s="70" t="s" ph="1">
        <v>607</v>
      </c>
      <c r="Z5" s="70" t="s" ph="1">
        <v>614</v>
      </c>
      <c r="AA5" s="70" t="s" ph="1">
        <v>54</v>
      </c>
      <c r="AB5" s="70" t="s" ph="1">
        <v>54</v>
      </c>
      <c r="AC5" s="70" t="s" ph="1">
        <v>615</v>
      </c>
      <c r="AD5" s="71" t="s">
        <v>72</v>
      </c>
      <c r="AE5" s="71" t="s">
        <v>635</v>
      </c>
      <c r="AF5" s="65" ph="1"/>
      <c r="AG5" s="65" ph="1"/>
      <c r="AH5" s="65" ph="1"/>
      <c r="AI5" s="65" ph="1"/>
      <c r="AJ5" s="65" ph="1"/>
      <c r="AK5" s="65" ph="1"/>
      <c r="AL5" s="65" ph="1"/>
      <c r="AM5" s="65" ph="1"/>
      <c r="AN5" s="65" ph="1"/>
      <c r="AO5" s="65" ph="1"/>
      <c r="AP5" s="65" ph="1"/>
      <c r="AQ5" s="65" ph="1"/>
      <c r="AR5" s="65" ph="1"/>
      <c r="AS5" s="65" ph="1"/>
      <c r="AT5" s="65" ph="1"/>
      <c r="AU5" s="65" ph="1"/>
      <c r="AV5" s="65" ph="1"/>
      <c r="AW5" s="65" ph="1"/>
      <c r="AX5" s="65" ph="1"/>
      <c r="AY5" s="65" ph="1"/>
      <c r="AZ5" s="65" ph="1"/>
      <c r="BA5" s="65" ph="1"/>
      <c r="BB5" s="65" ph="1"/>
      <c r="BC5" s="65" ph="1"/>
      <c r="BD5" s="65" ph="1"/>
      <c r="BE5" s="65" ph="1"/>
      <c r="BF5" s="65" ph="1"/>
      <c r="BG5" s="65" ph="1"/>
      <c r="BH5" s="65" ph="1"/>
      <c r="BI5" s="65" ph="1"/>
      <c r="BJ5" s="65" ph="1"/>
      <c r="BK5" s="65" ph="1"/>
      <c r="BL5" s="65" ph="1"/>
      <c r="BM5" s="65" ph="1"/>
      <c r="BN5" s="65" ph="1"/>
      <c r="BO5" s="65" ph="1"/>
      <c r="BP5" s="65" ph="1"/>
      <c r="BQ5" s="65" ph="1"/>
      <c r="BR5" s="65" ph="1"/>
      <c r="BS5" s="65" ph="1"/>
      <c r="BT5" s="65" ph="1"/>
      <c r="BU5" s="65" ph="1"/>
      <c r="BV5" s="65" ph="1"/>
      <c r="BW5" s="65" ph="1"/>
      <c r="BX5" s="65" ph="1"/>
      <c r="BY5" s="65" ph="1"/>
      <c r="BZ5" s="65" ph="1"/>
      <c r="CA5" s="65" ph="1"/>
      <c r="CB5" s="65" ph="1"/>
      <c r="CC5" s="65" ph="1"/>
      <c r="CD5" s="65" ph="1"/>
      <c r="CE5" s="65" ph="1"/>
      <c r="CF5" s="65" ph="1"/>
      <c r="CG5" s="65" ph="1"/>
      <c r="CH5" s="65" ph="1"/>
      <c r="CI5" s="65" ph="1"/>
      <c r="CJ5" s="65" ph="1"/>
      <c r="CK5" s="65" ph="1"/>
      <c r="CL5" s="65" ph="1"/>
      <c r="CM5" s="65" ph="1"/>
      <c r="CN5" s="65" ph="1"/>
      <c r="CO5" s="65" ph="1"/>
      <c r="CP5" s="65" ph="1"/>
      <c r="CQ5" s="65" ph="1"/>
      <c r="CR5" s="65" ph="1"/>
      <c r="CS5" s="65" ph="1"/>
      <c r="CT5" s="65" ph="1"/>
      <c r="CU5" s="65" ph="1"/>
    </row>
    <row r="6" spans="1:99" ph="1">
      <c r="B6" s="237" ph="1">
        <v>0.33333333333333331</v>
      </c>
      <c r="C6" s="155" t="s" ph="1">
        <v>177</v>
      </c>
      <c r="D6" s="71">
        <v>128</v>
      </c>
      <c r="E6" s="71">
        <v>3444</v>
      </c>
      <c r="F6" s="71">
        <v>2348</v>
      </c>
      <c r="G6" s="71">
        <v>6472</v>
      </c>
      <c r="H6" s="71">
        <v>1735</v>
      </c>
      <c r="I6" s="71">
        <v>4.5</v>
      </c>
      <c r="J6" s="71">
        <v>6.66</v>
      </c>
      <c r="K6" s="71">
        <v>7.73</v>
      </c>
      <c r="L6" s="71">
        <v>6.83</v>
      </c>
      <c r="M6" s="71">
        <v>3650</v>
      </c>
      <c r="N6" s="71">
        <v>2287</v>
      </c>
      <c r="O6" s="71">
        <v>448</v>
      </c>
      <c r="P6" s="71">
        <v>3782</v>
      </c>
      <c r="Q6" s="71">
        <v>0</v>
      </c>
      <c r="R6" s="71">
        <v>0</v>
      </c>
      <c r="S6" s="71">
        <v>0</v>
      </c>
      <c r="T6" s="71">
        <v>7186</v>
      </c>
      <c r="U6" s="71">
        <v>6973</v>
      </c>
      <c r="V6" s="71">
        <v>4620</v>
      </c>
      <c r="W6" s="71">
        <v>2464</v>
      </c>
      <c r="X6" s="71">
        <v>0</v>
      </c>
      <c r="Y6" s="71">
        <v>0</v>
      </c>
      <c r="Z6" s="71">
        <v>5599</v>
      </c>
      <c r="AA6" s="71">
        <v>1303</v>
      </c>
      <c r="AB6" s="71">
        <v>1399</v>
      </c>
      <c r="AC6" s="71">
        <v>7877</v>
      </c>
      <c r="AD6" s="71">
        <v>5438</v>
      </c>
      <c r="AE6" s="71">
        <v>5450</v>
      </c>
    </row>
    <row r="7" spans="1:99" s="72" customFormat="1" ht="22.2" ph="1">
      <c r="B7" s="237" ph="1"/>
      <c r="C7" s="68" t="s" ph="1">
        <v>178</v>
      </c>
      <c r="D7" s="73" ph="1">
        <f>D6*33.183*LOOKUP(D8,密度!$A$2:$A$50,密度!$Q$2:$Q$50)</f>
        <v>4021.2061977600001</v>
      </c>
      <c r="E7" s="73" ph="1">
        <f>E6*51.53*LOOKUP(E8,密度!$A$2:$A$50,密度!$B$2:$B$50)</f>
        <v>138355.08187200001</v>
      </c>
      <c r="F7" s="73" ph="1">
        <f>F6*33.183*LOOKUP(F8,密度!$A$2:$A$50,密度!$C$2:$C$50)</f>
        <v>86281.613661599986</v>
      </c>
      <c r="G7" s="73" ph="1">
        <f xml:space="preserve"> (G6+2)*51.53*LOOKUP(G8,密度!$A$2:$A$50,密度!$B$2:$B$50)</f>
        <v>259778.38481400002</v>
      </c>
      <c r="H7" s="73" ph="1">
        <f>(H6)*51.53*LOOKUP(H8,密度!$A$2:$A$50,密度!$B$2:$B$50)</f>
        <v>69699.787179999999</v>
      </c>
      <c r="I7" s="73" ph="1">
        <f>I6*290.8*1.0267</f>
        <v>1343.53962</v>
      </c>
      <c r="J7" s="73" ph="1">
        <f>J6*290.8*0.7892</f>
        <v>1528.4657376</v>
      </c>
      <c r="K7" s="73" ph="1">
        <f>K6*290.8*1.1126</f>
        <v>2500.9957383999999</v>
      </c>
      <c r="L7" s="73" ph="1">
        <f>L6*290.8*0.777</f>
        <v>1543.2494280000001</v>
      </c>
      <c r="M7" s="73" ph="1">
        <f>M6*33.183*LOOKUP(M8,密度!$A$2:$A$50,密度!$D$2:$D$50)</f>
        <v>124351.79926499999</v>
      </c>
      <c r="N7" s="73" ph="1">
        <f>N6*33.183*LOOKUP(N8,密度!$A$2:$A$50,密度!$E$2:$E$50)</f>
        <v>59095.17000269999</v>
      </c>
      <c r="O7" s="73" ph="1">
        <f>O6*20.428*LOOKUP(O8,密度!$A$2:$A$50,密度!$C$2:$C$50)</f>
        <v>10134.6413056</v>
      </c>
      <c r="P7" s="73" ph="1">
        <f>P6*51.53*LOOKUP(P8,密度!$A$2:$A$50,密度!$B$2:$B$50)</f>
        <v>151933.48421599998</v>
      </c>
      <c r="Q7" s="73" ph="1">
        <f>Q6*1.5*1.5*3.1416*LOOKUP(W8,密度!$A$2:$A$50,密度!$L$2:$L$50)</f>
        <v>0</v>
      </c>
      <c r="R7" s="73" ph="1">
        <f>R6*1.5*1.5*3.1416*LOOKUP(R8,密度!$A$2:$A$50,密度!$L$2:$L$50)</f>
        <v>0</v>
      </c>
      <c r="S7" s="73" ph="1">
        <f>S6*1.5*1.5*3.1416*LOOKUP(S8,密度!$A$2:$A$50,密度!$L$2:$L$50)</f>
        <v>0</v>
      </c>
      <c r="T7" s="73" ph="1">
        <f>T6*1.5*1.5*3.1416*LOOKUP(T8,密度!$A$2:$A$50,密度!$L$2:$L$50)</f>
        <v>47747.262023999996</v>
      </c>
      <c r="U7" s="73" ph="1">
        <f>U6*1.5*1.5*3.1416*LOOKUP(U8,密度!$A$2:$A$50,密度!$L$2:$L$50)</f>
        <v>46134.829540799998</v>
      </c>
      <c r="V7" s="73" ph="1">
        <f>V6*1.5*1.5*3.1416*LOOKUP(V8,密度!$A$2:$A$50,密度!$L$2:$L$50)</f>
        <v>30534.231420000004</v>
      </c>
      <c r="W7" s="73" ph="1">
        <f>W6*1.5*1.5*3.1416*LOOKUP(W8,密度!$A$2:$A$50,密度!$L$2:$L$50)</f>
        <v>16302.3404544</v>
      </c>
      <c r="X7" s="73" ph="1">
        <f>X6*1.5*1.5*3.1416*LOOKUP(X8,密度!$A$2:$A$50,密度!$L$2:$L$50)</f>
        <v>0</v>
      </c>
      <c r="Y7" s="73" ph="1">
        <f>Y6*1.5*1.5*3.1416*LOOKUP(Y8,密度!$A$2:$A$50,密度!$L$2:$L$50)</f>
        <v>0</v>
      </c>
      <c r="Z7" s="73" ph="1">
        <f>Z6*33.183*LOOKUP(Z8,密度!$A$2:$A$50,密度!$L$2:$L$50)</f>
        <v>174458.32836299998</v>
      </c>
      <c r="AA7" s="73" ph="1">
        <f>AA6*33.183*LOOKUP(AA8,密度!$A$2:$A$50,密度!$D$2:$D$50)</f>
        <v>44391.888888299996</v>
      </c>
      <c r="AB7" s="73" ph="1">
        <f>AB6*20.428*LOOKUP(AB8,密度!$A$2:$A$50,密度!$D$2:$D$50)</f>
        <v>29396.124879200001</v>
      </c>
      <c r="AC7" s="73" ph="1">
        <f>AC6*51.53*LOOKUP(AC8,密度!$A$2:$A$50,密度!$Q$2:$Q$50)</f>
        <v>383995.2893143</v>
      </c>
      <c r="AD7" s="73" ph="1">
        <f>AD6*20.428*LOOKUP(AD8,密度!$A$2:$A$50,密度!$V$2:$V$50)</f>
        <v>106377.3555264</v>
      </c>
      <c r="AE7" s="73" ph="1">
        <f>AE6*20.428</f>
        <v>111332.6</v>
      </c>
    </row>
    <row r="8" spans="1:99" ph="1">
      <c r="B8" s="237" ph="1"/>
      <c r="C8" s="68" t="s" ph="1">
        <v>179</v>
      </c>
      <c r="D8" s="74">
        <v>25</v>
      </c>
      <c r="E8" s="74">
        <v>25</v>
      </c>
      <c r="F8" s="74">
        <v>27</v>
      </c>
      <c r="G8" s="74">
        <v>26</v>
      </c>
      <c r="H8" s="74">
        <v>25</v>
      </c>
      <c r="I8" s="74">
        <v>25</v>
      </c>
      <c r="J8" s="74">
        <v>25</v>
      </c>
      <c r="K8" s="74">
        <v>25</v>
      </c>
      <c r="L8" s="74">
        <v>25</v>
      </c>
      <c r="M8" s="74">
        <v>25</v>
      </c>
      <c r="N8" s="74">
        <v>29</v>
      </c>
      <c r="O8" s="74">
        <v>27</v>
      </c>
      <c r="P8" s="74">
        <v>25</v>
      </c>
      <c r="Q8" s="74">
        <v>30</v>
      </c>
      <c r="R8" s="74">
        <v>32</v>
      </c>
      <c r="S8" s="74">
        <v>24</v>
      </c>
      <c r="T8" s="74">
        <v>22</v>
      </c>
      <c r="U8" s="74">
        <v>26</v>
      </c>
      <c r="V8" s="74">
        <v>27</v>
      </c>
      <c r="W8" s="74">
        <v>26</v>
      </c>
      <c r="X8" s="74">
        <v>15</v>
      </c>
      <c r="Y8" s="74">
        <v>25</v>
      </c>
      <c r="Z8" s="74">
        <v>23</v>
      </c>
      <c r="AA8" s="74">
        <v>25</v>
      </c>
      <c r="AB8" s="74">
        <v>23</v>
      </c>
      <c r="AC8" s="74">
        <v>26</v>
      </c>
      <c r="AD8" s="74">
        <v>30</v>
      </c>
      <c r="AE8" s="74">
        <v>27</v>
      </c>
    </row>
    <row r="9" spans="1:99" ht="26.4" ph="1">
      <c r="B9" s="237" ph="1">
        <v>0.66666666666666663</v>
      </c>
      <c r="C9" s="155" t="s" ph="1">
        <v>180</v>
      </c>
      <c r="D9" s="71">
        <v>126</v>
      </c>
      <c r="E9" s="71">
        <v>3442</v>
      </c>
      <c r="F9" s="71">
        <v>2588</v>
      </c>
      <c r="G9" s="71">
        <v>6476</v>
      </c>
      <c r="H9" s="71">
        <v>2176</v>
      </c>
      <c r="I9" s="71">
        <v>4.5</v>
      </c>
      <c r="J9" s="71">
        <v>6.71</v>
      </c>
      <c r="K9" s="71">
        <v>7.86</v>
      </c>
      <c r="L9" s="71">
        <v>7.22</v>
      </c>
      <c r="M9" s="71">
        <v>3426</v>
      </c>
      <c r="N9" s="71">
        <v>2290</v>
      </c>
      <c r="O9" s="71">
        <v>448</v>
      </c>
      <c r="P9" s="71">
        <v>4042</v>
      </c>
      <c r="Q9" s="71">
        <v>0</v>
      </c>
      <c r="R9" s="71">
        <v>0</v>
      </c>
      <c r="S9" s="71">
        <v>0</v>
      </c>
      <c r="T9" s="71">
        <v>7193</v>
      </c>
      <c r="U9" s="71">
        <v>7030</v>
      </c>
      <c r="V9" s="71">
        <v>7195</v>
      </c>
      <c r="W9" s="71">
        <v>5559</v>
      </c>
      <c r="X9" s="71">
        <v>0</v>
      </c>
      <c r="Y9" s="71">
        <v>0</v>
      </c>
      <c r="Z9" s="71">
        <v>3286</v>
      </c>
      <c r="AA9" s="71">
        <v>1303</v>
      </c>
      <c r="AB9" s="71">
        <v>1338</v>
      </c>
      <c r="AC9" s="71">
        <v>8240</v>
      </c>
      <c r="AD9" s="71">
        <v>5438</v>
      </c>
      <c r="AE9" s="71">
        <v>5395</v>
      </c>
    </row>
    <row r="10" spans="1:99" s="72" customFormat="1" ht="22.2" ph="1">
      <c r="B10" s="237" ph="1"/>
      <c r="C10" s="155" t="s" ph="1">
        <v>178</v>
      </c>
      <c r="D10" s="73" ph="1">
        <f>D9*33.183*LOOKUP(D11,密度!$A$2:$A$50,密度!$Q$2:$Q$50)</f>
        <v>3944.11744314</v>
      </c>
      <c r="E10" s="73" ph="1">
        <f>E9*51.53*LOOKUP(E11,密度!$A$2:$A$50,密度!$B$2:$B$50)</f>
        <v>137352.431744</v>
      </c>
      <c r="F10" s="73" ph="1">
        <f>F9*33.183*LOOKUP(F11,密度!$A$2:$A$50,密度!$C$2:$C$50)</f>
        <v>94972.042263600015</v>
      </c>
      <c r="G10" s="73" ph="1">
        <f xml:space="preserve"> (G9+2)*51.53*LOOKUP(G11,密度!$A$2:$A$50,密度!$B$2:$B$50)</f>
        <v>257936.02241800004</v>
      </c>
      <c r="H10" s="73" ph="1">
        <f>(H9)*51.53*LOOKUP(H11,密度!$A$2:$A$50,密度!$B$2:$B$50)</f>
        <v>86541.378303999998</v>
      </c>
      <c r="I10" s="73" ph="1">
        <f>I9*290.8*1.0267</f>
        <v>1343.53962</v>
      </c>
      <c r="J10" s="73" ph="1">
        <f>J9*290.8*0.7892</f>
        <v>1539.9407056</v>
      </c>
      <c r="K10" s="73" ph="1">
        <f>K9*290.8*1.1126</f>
        <v>2543.0564688000004</v>
      </c>
      <c r="L10" s="73" ph="1">
        <f>L9*290.8*0.777</f>
        <v>1631.3705520000001</v>
      </c>
      <c r="M10" s="73" ph="1">
        <f>M9*33.183*LOOKUP(M11,密度!$A$2:$A$50,密度!$D$2:$D$50)</f>
        <v>116186.027076</v>
      </c>
      <c r="N10" s="73" ph="1">
        <f>N9*33.183*LOOKUP(N11,密度!$A$2:$A$50,密度!$E$2:$E$50)</f>
        <v>59089.100831999989</v>
      </c>
      <c r="O10" s="73" ph="1">
        <f>O9*20.428*LOOKUP(O11,密度!$A$2:$A$50,密度!$C$2:$C$50)</f>
        <v>10008.3472384</v>
      </c>
      <c r="P10" s="73" ph="1">
        <f>P9*51.53*LOOKUP(P11,密度!$A$2:$A$50,密度!$B$2:$B$50)</f>
        <v>161482.78677800001</v>
      </c>
      <c r="Q10" s="73" ph="1">
        <f>Q9*1.5*1.5*3.1416*LOOKUP(W11,密度!$A$2:$A$50,密度!$L$2:$L$50)</f>
        <v>0</v>
      </c>
      <c r="R10" s="73" ph="1">
        <f>R9*1.5*1.5*3.1416*LOOKUP(R11,密度!$A$2:$A$50,密度!$L$2:$L$50)</f>
        <v>0</v>
      </c>
      <c r="S10" s="73" ph="1">
        <f>S9*1.5*1.5*3.1416*LOOKUP(S11,密度!$A$2:$A$50,密度!$L$2:$L$50)</f>
        <v>0</v>
      </c>
      <c r="T10" s="73" ph="1">
        <f>T9*1.5*1.5*3.1416*LOOKUP(T11,密度!$A$2:$A$50,密度!$L$2:$L$50)</f>
        <v>47590.395652800005</v>
      </c>
      <c r="U10" s="73" ph="1">
        <f>U9*1.5*1.5*3.1416*LOOKUP(U11,密度!$A$2:$A$50,密度!$L$2:$L$50)</f>
        <v>46462.261230000004</v>
      </c>
      <c r="V10" s="73" ph="1">
        <f>V9*1.5*1.5*3.1416*LOOKUP(V11,密度!$A$2:$A$50,密度!$L$2:$L$50)</f>
        <v>47552.769495</v>
      </c>
      <c r="W10" s="73" ph="1">
        <f>W9*1.5*1.5*3.1416*LOOKUP(W11,密度!$A$2:$A$50,密度!$L$2:$L$50)</f>
        <v>36740.214819000001</v>
      </c>
      <c r="X10" s="73" ph="1">
        <f>X9*1.5*1.5*3.1416*LOOKUP(X11,密度!$A$2:$A$50,密度!$L$2:$L$50)</f>
        <v>0</v>
      </c>
      <c r="Y10" s="73" ph="1">
        <f>Y9*1.5*1.5*3.1416*LOOKUP(Y11,密度!$A$2:$A$50,密度!$L$2:$L$50)</f>
        <v>0</v>
      </c>
      <c r="Z10" s="73" ph="1">
        <f>Z9*33.183*LOOKUP(Z11,密度!$A$2:$A$50,密度!$L$2:$L$50)</f>
        <v>102169.859706</v>
      </c>
      <c r="AA10" s="73" ph="1">
        <f>AA9*33.183*LOOKUP(AA11,密度!$A$2:$A$50,密度!$D$2:$D$50)</f>
        <v>44227.586582099997</v>
      </c>
      <c r="AB10" s="73" ph="1">
        <f>AB9*20.428*LOOKUP(AB11,密度!$A$2:$A$50,密度!$D$2:$D$50)</f>
        <v>28037.846731200003</v>
      </c>
      <c r="AC10" s="73" ph="1">
        <f>AC9*51.53*LOOKUP(AC11,密度!$A$2:$A$50,密度!$Q$2:$Q$50)</f>
        <v>400226.25457599998</v>
      </c>
      <c r="AD10" s="73" ph="1">
        <f>AD9*20.428*LOOKUP(AD11,密度!$A$2:$A$50,密度!$V$2:$V$50)</f>
        <v>106377.3555264</v>
      </c>
      <c r="AE10" s="73" ph="1">
        <f>AE9*20.428</f>
        <v>110209.06</v>
      </c>
    </row>
    <row r="11" spans="1:99" ph="1">
      <c r="A11" s="64" t="s" ph="1">
        <v>162</v>
      </c>
      <c r="B11" s="237" ph="1"/>
      <c r="C11" s="155" t="s" ph="1">
        <v>179</v>
      </c>
      <c r="D11" s="74">
        <v>30</v>
      </c>
      <c r="E11" s="74">
        <v>31</v>
      </c>
      <c r="F11" s="74">
        <v>29</v>
      </c>
      <c r="G11" s="74">
        <v>33</v>
      </c>
      <c r="H11" s="74">
        <v>34</v>
      </c>
      <c r="I11" s="74">
        <v>25</v>
      </c>
      <c r="J11" s="74">
        <v>25</v>
      </c>
      <c r="K11" s="74">
        <v>25</v>
      </c>
      <c r="L11" s="74">
        <v>25</v>
      </c>
      <c r="M11" s="74">
        <v>30</v>
      </c>
      <c r="N11" s="74">
        <v>30</v>
      </c>
      <c r="O11" s="74">
        <v>41</v>
      </c>
      <c r="P11" s="74">
        <v>30</v>
      </c>
      <c r="Q11" s="74">
        <v>41</v>
      </c>
      <c r="R11" s="74">
        <v>35</v>
      </c>
      <c r="S11" s="74">
        <v>29</v>
      </c>
      <c r="T11" s="74">
        <v>26</v>
      </c>
      <c r="U11" s="74">
        <v>27</v>
      </c>
      <c r="V11" s="74">
        <v>27</v>
      </c>
      <c r="W11" s="74">
        <v>27</v>
      </c>
      <c r="X11" s="74">
        <v>26</v>
      </c>
      <c r="Y11" s="74">
        <v>30</v>
      </c>
      <c r="Z11" s="74">
        <v>25</v>
      </c>
      <c r="AA11" s="74">
        <v>29</v>
      </c>
      <c r="AB11" s="74">
        <v>26</v>
      </c>
      <c r="AC11" s="74">
        <v>31</v>
      </c>
      <c r="AD11" s="74">
        <v>35</v>
      </c>
      <c r="AE11" s="74">
        <v>30</v>
      </c>
    </row>
    <row r="12" spans="1:99" ht="9.9" customHeight="1" ph="1"/>
    <row r="13" spans="1:99" s="72" customFormat="1" ht="29.25" customHeight="1" ph="1">
      <c r="B13" s="214" t="s" ph="1">
        <v>37</v>
      </c>
      <c r="C13" s="155" t="s" ph="1">
        <v>176</v>
      </c>
      <c r="D13" s="76" t="s" ph="1">
        <v>52</v>
      </c>
      <c r="E13" s="76" t="s" ph="1">
        <v>53</v>
      </c>
      <c r="F13" s="76" t="s" ph="1">
        <v>57</v>
      </c>
      <c r="G13" s="76" t="s" ph="1">
        <v>58</v>
      </c>
      <c r="H13" s="76" t="s" ph="1">
        <v>128</v>
      </c>
      <c r="I13" s="76" t="s" ph="1">
        <v>59</v>
      </c>
      <c r="J13" s="76" t="s" ph="1">
        <v>129</v>
      </c>
      <c r="K13" s="76" t="s" ph="1">
        <v>55</v>
      </c>
      <c r="L13" s="76" t="s" ph="1">
        <v>60</v>
      </c>
      <c r="M13" s="76" t="s" ph="1">
        <v>61</v>
      </c>
      <c r="N13" s="76" t="s" ph="1">
        <v>130</v>
      </c>
      <c r="O13" s="76" t="s" ph="1">
        <v>56</v>
      </c>
      <c r="P13" s="76" t="s" ph="1">
        <v>62</v>
      </c>
      <c r="Q13" s="76" t="s" ph="1">
        <v>63</v>
      </c>
      <c r="R13" s="76" t="s" ph="1">
        <v>64</v>
      </c>
      <c r="S13" s="76" t="s" ph="1">
        <v>65</v>
      </c>
      <c r="T13" s="76" t="s" ph="1">
        <v>66</v>
      </c>
      <c r="U13" s="76" t="s" ph="1">
        <v>67</v>
      </c>
      <c r="V13" s="76" t="s" ph="1">
        <v>131</v>
      </c>
      <c r="W13" s="76" t="s" ph="1">
        <v>132</v>
      </c>
      <c r="X13" s="76" t="s" ph="1">
        <v>133</v>
      </c>
      <c r="Y13" s="105" t="s" ph="1">
        <v>68</v>
      </c>
      <c r="Z13" s="76" t="s" ph="1">
        <v>74</v>
      </c>
      <c r="AA13" s="76" t="s" ph="1">
        <v>134</v>
      </c>
      <c r="AB13" s="76" t="s" ph="1">
        <v>135</v>
      </c>
      <c r="AC13" s="76" t="s" ph="1">
        <v>136</v>
      </c>
      <c r="AD13" s="76" t="s" ph="1">
        <v>137</v>
      </c>
      <c r="AE13" s="76" t="s" ph="1">
        <v>138</v>
      </c>
      <c r="AG13" s="72" t="s" ph="1">
        <v>325</v>
      </c>
      <c r="AH13" s="72" t="s" ph="1">
        <v>188</v>
      </c>
      <c r="AI13" s="72" t="s" ph="1">
        <v>189</v>
      </c>
      <c r="AJ13" s="72" t="s" ph="1">
        <v>190</v>
      </c>
      <c r="AK13" s="72" t="s" ph="1">
        <v>191</v>
      </c>
      <c r="AL13" s="72" t="s" ph="1">
        <v>192</v>
      </c>
      <c r="AM13" s="72" t="s" ph="1">
        <v>193</v>
      </c>
      <c r="AN13" s="72" t="s" ph="1">
        <v>194</v>
      </c>
      <c r="AO13" s="72" t="s" ph="1">
        <v>195</v>
      </c>
      <c r="AP13" s="72" t="s" ph="1">
        <v>196</v>
      </c>
      <c r="AQ13" s="72" t="s" ph="1">
        <v>197</v>
      </c>
      <c r="AR13" s="72" t="s" ph="1">
        <v>198</v>
      </c>
      <c r="AS13" s="72" t="s" ph="1">
        <v>199</v>
      </c>
      <c r="AT13" s="72" t="s" ph="1">
        <v>200</v>
      </c>
      <c r="AU13" s="72" t="s" ph="1">
        <v>201</v>
      </c>
      <c r="AV13" s="72" t="s" ph="1">
        <v>202</v>
      </c>
      <c r="AW13" s="72" t="s" ph="1">
        <v>203</v>
      </c>
      <c r="AX13" s="72" t="s" ph="1">
        <v>204</v>
      </c>
      <c r="AY13" s="72" t="s" ph="1">
        <v>326</v>
      </c>
      <c r="AZ13" s="72" t="s" ph="1">
        <v>205</v>
      </c>
      <c r="BA13" s="72" t="s" ph="1">
        <v>206</v>
      </c>
      <c r="BB13" s="72" t="s" ph="1">
        <v>591</v>
      </c>
      <c r="BC13" s="72" t="s" ph="1">
        <v>207</v>
      </c>
      <c r="BD13" s="72" t="s" ph="1">
        <v>327</v>
      </c>
      <c r="BE13" s="72" t="s" ph="1">
        <v>328</v>
      </c>
      <c r="BF13" s="72" t="s" ph="1">
        <v>329</v>
      </c>
      <c r="BG13" s="72" t="s" ph="1">
        <v>330</v>
      </c>
      <c r="BH13" s="72" t="s" ph="1">
        <v>331</v>
      </c>
    </row>
    <row r="14" spans="1:99" s="72" customFormat="1" ht="24" ph="1">
      <c r="B14" s="215" ph="1"/>
      <c r="C14" s="67" t="s" ph="1">
        <v>36</v>
      </c>
      <c r="D14" s="77" t="s" ph="1">
        <v>616</v>
      </c>
      <c r="E14" s="77" t="s" ph="1">
        <v>616</v>
      </c>
      <c r="F14" s="77" t="s" ph="1">
        <v>639</v>
      </c>
      <c r="G14" s="77" t="s" ph="1">
        <v>617</v>
      </c>
      <c r="H14" s="77" t="s" ph="1">
        <v>636</v>
      </c>
      <c r="I14" s="138" t="s" ph="1">
        <v>618</v>
      </c>
      <c r="J14" s="77" t="s" ph="1">
        <v>619</v>
      </c>
      <c r="K14" s="77" t="s" ph="1">
        <v>186</v>
      </c>
      <c r="L14" s="77" t="s" ph="1">
        <v>41</v>
      </c>
      <c r="M14" s="104" t="s" ph="1">
        <v>620</v>
      </c>
      <c r="N14" s="104" t="s" ph="1">
        <v>621</v>
      </c>
      <c r="O14" s="104" t="s" ph="1">
        <v>637</v>
      </c>
      <c r="P14" s="77" t="s" ph="1">
        <v>622</v>
      </c>
      <c r="Q14" s="77" t="s" ph="1">
        <v>622</v>
      </c>
      <c r="R14" s="77" t="s" ph="1">
        <v>622</v>
      </c>
      <c r="S14" s="77" t="s" ph="1">
        <v>622</v>
      </c>
      <c r="T14" s="77" t="s" ph="1">
        <v>624</v>
      </c>
      <c r="U14" s="77" t="s" ph="1">
        <v>605</v>
      </c>
      <c r="V14" s="77" t="s" ph="1">
        <v>633</v>
      </c>
      <c r="W14" s="77" t="s" ph="1">
        <v>622</v>
      </c>
      <c r="X14" s="77" t="s" ph="1">
        <v>625</v>
      </c>
      <c r="Y14" s="143" t="s" ph="1">
        <v>0</v>
      </c>
      <c r="Z14" s="77" t="s" ph="1">
        <v>54</v>
      </c>
      <c r="AA14" s="77" t="s" ph="1">
        <v>613</v>
      </c>
      <c r="AB14" s="77" t="s" ph="1">
        <v>632</v>
      </c>
      <c r="AC14" s="77" t="s" ph="1">
        <v>632</v>
      </c>
      <c r="AD14" s="77" t="s" ph="1">
        <v>612</v>
      </c>
      <c r="AE14" s="77" t="s" ph="1">
        <v>612</v>
      </c>
      <c r="AG14" s="72" t="s" ph="1">
        <v>208</v>
      </c>
      <c r="AI14" s="72" t="s" ph="1">
        <v>209</v>
      </c>
      <c r="AJ14" s="72" t="s" ph="1">
        <v>332</v>
      </c>
      <c r="AK14" s="72" t="s" ph="1">
        <v>210</v>
      </c>
      <c r="AM14" s="72" t="s" ph="1">
        <v>212</v>
      </c>
      <c r="AN14" s="72" t="s" ph="1">
        <v>210</v>
      </c>
      <c r="AO14" s="72" t="s" ph="1">
        <v>211</v>
      </c>
      <c r="AP14" s="72" t="s" ph="1">
        <v>212</v>
      </c>
      <c r="AQ14" s="72" t="s" ph="1">
        <v>210</v>
      </c>
      <c r="AR14" s="72" t="s" ph="1">
        <v>211</v>
      </c>
      <c r="AS14" s="72" t="s" ph="1">
        <v>212</v>
      </c>
      <c r="AT14" s="72" t="s" ph="1">
        <v>210</v>
      </c>
      <c r="AU14" s="72" t="s" ph="1">
        <v>211</v>
      </c>
      <c r="AV14" s="72" t="s" ph="1">
        <v>212</v>
      </c>
      <c r="AW14" s="72" t="s" ph="1">
        <v>210</v>
      </c>
      <c r="AX14" s="72" t="s" ph="1">
        <v>211</v>
      </c>
      <c r="AY14" s="72" t="s" ph="1">
        <v>212</v>
      </c>
      <c r="AZ14" s="72" t="s" ph="1">
        <v>211</v>
      </c>
    </row>
    <row r="15" spans="1:99" ph="1">
      <c r="B15" s="216" ph="1">
        <v>0.33333333333333331</v>
      </c>
      <c r="C15" s="155" t="s" ph="1">
        <v>177</v>
      </c>
      <c r="D15" s="78">
        <v>4263</v>
      </c>
      <c r="E15" s="78">
        <v>1505</v>
      </c>
      <c r="F15" s="78">
        <v>3689</v>
      </c>
      <c r="G15" s="78">
        <v>4920</v>
      </c>
      <c r="H15" s="78">
        <v>2185</v>
      </c>
      <c r="I15" s="78">
        <v>5049</v>
      </c>
      <c r="J15" s="78">
        <v>5103</v>
      </c>
      <c r="K15" s="78">
        <v>3017</v>
      </c>
      <c r="L15" s="78">
        <v>5342</v>
      </c>
      <c r="M15" s="78">
        <v>5132</v>
      </c>
      <c r="N15" s="78">
        <v>230</v>
      </c>
      <c r="O15" s="78">
        <v>1907</v>
      </c>
      <c r="P15" s="78">
        <v>2034</v>
      </c>
      <c r="Q15" s="78">
        <v>6654</v>
      </c>
      <c r="R15" s="78">
        <v>0</v>
      </c>
      <c r="S15" s="78">
        <v>4790</v>
      </c>
      <c r="T15" s="78">
        <v>5682</v>
      </c>
      <c r="U15" s="78">
        <v>1777</v>
      </c>
      <c r="V15" s="78">
        <v>-817</v>
      </c>
      <c r="W15" s="71">
        <v>-776</v>
      </c>
      <c r="X15" s="78">
        <v>856</v>
      </c>
      <c r="Y15" s="106">
        <v>-2366</v>
      </c>
      <c r="Z15" s="78">
        <v>0</v>
      </c>
      <c r="AA15" s="78">
        <v>2466</v>
      </c>
      <c r="AB15" s="78" ph="1">
        <v>0</v>
      </c>
      <c r="AC15" s="78" ph="1">
        <v>0</v>
      </c>
      <c r="AD15" s="78">
        <v>5.17</v>
      </c>
      <c r="AE15" s="78">
        <v>31.02</v>
      </c>
      <c r="AG15" s="64" t="s" ph="1">
        <v>214</v>
      </c>
      <c r="AH15" s="64" ph="1">
        <v>1</v>
      </c>
      <c r="AI15" s="64" t="s" ph="1">
        <v>333</v>
      </c>
      <c r="AK15" s="64" t="s" ph="1">
        <v>587</v>
      </c>
      <c r="AM15" s="64" t="s" ph="1">
        <v>335</v>
      </c>
      <c r="AZ15" s="64" t="s" ph="1">
        <v>216</v>
      </c>
      <c r="BA15" s="64" ph="1">
        <v>0</v>
      </c>
    </row>
    <row r="16" spans="1:99" s="72" customFormat="1" ht="22.2" ph="1">
      <c r="B16" s="217" ph="1"/>
      <c r="C16" s="155" t="s" ph="1">
        <v>178</v>
      </c>
      <c r="D16" s="73" ph="1">
        <f>D15*7.0686*LOOKUP(D17,密度!$A$2:$A$50,密度!$L$2:$L$50)</f>
        <v>28174.768083000003</v>
      </c>
      <c r="E16" s="73" ph="1">
        <f>E15*7.0686*LOOKUP(E17,密度!$A$2:$A$50,密度!$L$2:$L$50)</f>
        <v>9946.7572050000017</v>
      </c>
      <c r="F16" s="73" ph="1">
        <f>F15*9.0746*LOOKUP(F17,密度!$A$2:$A$50,密度!$L$2:$L$50)</f>
        <v>31166.341641399998</v>
      </c>
      <c r="G16" s="73" ph="1">
        <f>G15*9.0746*LOOKUP(G17,密度!$A$2:$A$50,密度!$B$2:$B$50)</f>
        <v>34806.826147199994</v>
      </c>
      <c r="H16" s="73" ph="1">
        <f>H15*9.0746*LOOKUP(H17,密度!$A$2:$A$50,密度!$L$2:$L$50)</f>
        <v>18598.664937999998</v>
      </c>
      <c r="I16" s="73" ph="1">
        <f>I15*9.0746*LOOKUP(I17,密度!$A$2:$A$50,密度!$U$2:$U$50)</f>
        <v>46963.096785000002</v>
      </c>
      <c r="J16" s="73" ph="1">
        <f>J15*9.0746*LOOKUP(J17,密度!$A$2:$A$50,密度!$L$2:$L$50)</f>
        <v>43297.684353000004</v>
      </c>
      <c r="K16" s="73" ph="1">
        <f>K15*9.0746*LOOKUP(K17,密度!$A$2:$A$50,密度!$C$2:$C$50)</f>
        <v>30337.637372420006</v>
      </c>
      <c r="L16" s="73" ph="1">
        <f>L15*9.0746*LOOKUP(L17,密度!$A$2:$A$50,密度!$E$2:$E$50)</f>
        <v>37860.156809200002</v>
      </c>
      <c r="M16" s="73" ph="1">
        <f>M15*9.0746*LOOKUP(M17,密度!$A$2:$A$50,密度!$M$2:$M$50)</f>
        <v>40563.207911200006</v>
      </c>
      <c r="N16" s="73" ph="1">
        <f>N15*9.0746*LOOKUP(N17,密度!$A$2:$A$50,密度!$M$2:$M$50)</f>
        <v>1832.5247239999999</v>
      </c>
      <c r="O16" s="73" ph="1">
        <f>O15*9.0746*LOOKUP(O17,密度!$A$2:$A$50,密度!$G$2:$G$50)</f>
        <v>16616.512764440002</v>
      </c>
      <c r="P16" s="73" ph="1">
        <f ca="1">P15*9.0746*LOOKUP(P17,密度!$A$2:$A$51,密度!$Q$2:$Q$50)</f>
        <v>17448.467373648004</v>
      </c>
      <c r="Q16" s="73" ph="1">
        <f>Q15*9.0746*LOOKUP(Q17,密度!$A$2:$A$50,密度!$Q$2:$Q$50)</f>
        <v>57080.679402288006</v>
      </c>
      <c r="R16" s="73" ph="1">
        <f>MAX(R15*9.0746*LOOKUP(R17,密度!$A$2:$A$50,密度!$Q$2:$Q$50),0)</f>
        <v>0</v>
      </c>
      <c r="S16" s="73" ph="1">
        <f>S15*9.0746*LOOKUP(S17,密度!$A$2:$A$50,密度!$Q$2:$Q$50)</f>
        <v>41060.113043080004</v>
      </c>
      <c r="T16" s="73" ph="1">
        <f>T15*9.0746*LOOKUP(T17,密度!$A$2:$A$50,密度!$O$2:$O$50)</f>
        <v>47746.298287200007</v>
      </c>
      <c r="U16" s="73" ph="1">
        <f>U15*9.0746*LOOKUP(U17,密度!$A$2:$A$50,密度!$H$2:$H$50)</f>
        <v>14766.17913794</v>
      </c>
      <c r="V16" s="73" ph="1">
        <f>MAX(5600*LOOKUP(V17,密度!$A$2:$A$50,密度!$Q$2:$Q$50)+V15*9.0476*LOOKUP(V17,密度!$A$2:$A$50,密度!$Q$2:$Q$50),0)</f>
        <v>0</v>
      </c>
      <c r="W16" s="73" ph="1">
        <f>MAX(5600*LOOKUP(W17,密度!$A$2:$A$50,密度!$Q$2:$Q$50)+W15*9.0476*LOOKUP(W17,密度!$A$2:$A$50,密度!$Q$2:$Q$50),0)</f>
        <v>0</v>
      </c>
      <c r="X16" s="73" ph="1">
        <f>MAX(5600*LOOKUP(X17,密度!$A$2:$A$50,密度!$I$2:$I$50)+X15*9.0476*LOOKUP(X17,密度!$A$2:$A$50,密度!$I$2:$I$50),0)</f>
        <v>13879.869898559999</v>
      </c>
      <c r="Y16" s="107" ph="1">
        <v>0</v>
      </c>
      <c r="Z16" s="73" ph="1">
        <f>Z15*9.0746*LOOKUP(Z17,密度!$A$2:$A$50,密度!$D$2:$D$50)</f>
        <v>0</v>
      </c>
      <c r="AA16" s="73" ph="1">
        <f>AA15*9.0746*LOOKUP(AA17,密度!$A$2:$A$50,密度!$B$2:$B$50)</f>
        <v>17445.860422559999</v>
      </c>
      <c r="AB16" s="73" ph="1">
        <f>AB15*9.0746*LOOKUP(AB17,密度!$A$2:$A$50,密度!$L$2:$L$50)</f>
        <v>0</v>
      </c>
      <c r="AC16" s="73" ph="1">
        <f>AC15*9.0746*LOOKUP(AC17,密度!$A$2:$A$50,密度!$L$2:$L$50)</f>
        <v>0</v>
      </c>
      <c r="AD16" s="73" ph="1">
        <f>AD15*268.68*LOOKUP(AD17,密度!$A$2:$A$50,密度!B2:B50)+IF(AD15&lt;=0,0,1566*LOOKUP(AD17,密度!$A$2:$A$50,密度!B2:B50))</f>
        <v>2303.7769377599998</v>
      </c>
      <c r="AE16" s="73" ph="1">
        <f>AE15*268.68*LOOKUP(AE17,密度!$A$2:$A$50,密度!B2:B50)+IF(AE15&lt;=0,0,1566*LOOKUP(AE17,密度!$A$2:$A$50,密度!B2:B50))</f>
        <v>7718.3936265600005</v>
      </c>
      <c r="AH16" s="72" ph="1">
        <v>2</v>
      </c>
      <c r="AI16" s="72" t="s" ph="1">
        <v>337</v>
      </c>
      <c r="AZ16" s="72" t="s" ph="1">
        <v>216</v>
      </c>
      <c r="BA16" s="72" ph="1">
        <v>0</v>
      </c>
    </row>
    <row r="17" spans="1:57" ph="1">
      <c r="A17" s="64" t="s" ph="1">
        <v>73</v>
      </c>
      <c r="B17" s="218" ph="1"/>
      <c r="C17" s="79" t="s" ph="1">
        <v>179</v>
      </c>
      <c r="D17" s="74">
        <v>27</v>
      </c>
      <c r="E17" s="74">
        <v>27</v>
      </c>
      <c r="F17" s="74">
        <v>31</v>
      </c>
      <c r="G17" s="74">
        <v>25</v>
      </c>
      <c r="H17" s="74">
        <v>24</v>
      </c>
      <c r="I17" s="74">
        <v>25</v>
      </c>
      <c r="J17" s="74">
        <v>27</v>
      </c>
      <c r="K17" s="74">
        <v>26</v>
      </c>
      <c r="L17" s="74">
        <v>27</v>
      </c>
      <c r="M17" s="74">
        <v>29</v>
      </c>
      <c r="N17" s="74">
        <v>22</v>
      </c>
      <c r="O17" s="74">
        <v>25</v>
      </c>
      <c r="P17" s="74">
        <v>27</v>
      </c>
      <c r="Q17" s="74">
        <v>27</v>
      </c>
      <c r="R17" s="74">
        <v>26</v>
      </c>
      <c r="S17" s="74">
        <v>28</v>
      </c>
      <c r="T17" s="74">
        <v>26</v>
      </c>
      <c r="U17" s="74">
        <v>24</v>
      </c>
      <c r="V17" s="74">
        <v>26</v>
      </c>
      <c r="W17" s="74">
        <v>27</v>
      </c>
      <c r="X17" s="74">
        <v>27</v>
      </c>
      <c r="Y17" s="108">
        <v>27</v>
      </c>
      <c r="Z17" s="74">
        <v>25</v>
      </c>
      <c r="AA17" s="74">
        <v>25</v>
      </c>
      <c r="AB17" s="74">
        <v>24</v>
      </c>
      <c r="AC17" s="74">
        <v>23</v>
      </c>
      <c r="AD17" s="74">
        <v>25</v>
      </c>
      <c r="AE17" s="74">
        <v>25</v>
      </c>
      <c r="AH17" s="64" ph="1">
        <v>3</v>
      </c>
      <c r="AI17" s="64" t="s" ph="1">
        <v>338</v>
      </c>
      <c r="AK17" s="64" t="s" ph="1">
        <v>570</v>
      </c>
      <c r="AL17" s="64" ph="1">
        <v>80</v>
      </c>
      <c r="AM17" s="64" t="s" ph="1">
        <v>335</v>
      </c>
      <c r="AZ17" s="64" t="s" ph="1">
        <v>216</v>
      </c>
      <c r="BA17" s="64" ph="1">
        <v>80</v>
      </c>
      <c r="BD17" s="64" t="s" ph="1">
        <v>214</v>
      </c>
      <c r="BE17" s="64" ph="1">
        <v>2270</v>
      </c>
    </row>
    <row r="18" spans="1:57" ht="26.4" ph="1">
      <c r="B18" s="216" ph="1">
        <v>0.66666666666666663</v>
      </c>
      <c r="C18" s="79" t="s" ph="1">
        <v>180</v>
      </c>
      <c r="D18" s="71">
        <v>2052</v>
      </c>
      <c r="E18" s="71">
        <v>3572</v>
      </c>
      <c r="F18" s="71">
        <v>3973</v>
      </c>
      <c r="G18" s="71">
        <v>5071</v>
      </c>
      <c r="H18" s="71">
        <v>2186</v>
      </c>
      <c r="I18" s="71">
        <v>5053</v>
      </c>
      <c r="J18" s="71">
        <v>5109</v>
      </c>
      <c r="K18" s="71">
        <v>2061</v>
      </c>
      <c r="L18" s="71">
        <v>5353</v>
      </c>
      <c r="M18" s="71">
        <v>5141</v>
      </c>
      <c r="N18" s="71">
        <v>2615</v>
      </c>
      <c r="O18" s="71">
        <v>1908</v>
      </c>
      <c r="P18" s="71">
        <v>2035</v>
      </c>
      <c r="Q18" s="71">
        <v>6661</v>
      </c>
      <c r="R18" s="71">
        <v>0</v>
      </c>
      <c r="S18" s="71">
        <v>4827</v>
      </c>
      <c r="T18" s="71">
        <v>5079</v>
      </c>
      <c r="U18" s="71">
        <v>1775</v>
      </c>
      <c r="V18" s="71">
        <v>-817</v>
      </c>
      <c r="W18" s="71">
        <v>28</v>
      </c>
      <c r="X18" s="71">
        <v>857</v>
      </c>
      <c r="Y18" s="109">
        <v>-9908</v>
      </c>
      <c r="Z18" s="71">
        <v>0</v>
      </c>
      <c r="AA18" s="71">
        <v>2468</v>
      </c>
      <c r="AB18" s="71">
        <v>0</v>
      </c>
      <c r="AC18" s="71">
        <v>0</v>
      </c>
      <c r="AD18" s="71">
        <v>5.08</v>
      </c>
      <c r="AE18" s="71">
        <v>80.260000000000005</v>
      </c>
      <c r="AH18" s="64" ph="1">
        <v>4</v>
      </c>
      <c r="AI18" s="64" t="s" ph="1">
        <v>340</v>
      </c>
      <c r="AJ18" s="64" t="s" ph="1">
        <v>588</v>
      </c>
      <c r="AK18" s="64" t="s" ph="1">
        <v>587</v>
      </c>
      <c r="AL18" s="64" ph="1">
        <v>740</v>
      </c>
      <c r="AM18" s="64" t="s" ph="1">
        <v>339</v>
      </c>
      <c r="AZ18" s="64" t="s" ph="1">
        <v>216</v>
      </c>
      <c r="BA18" s="64" ph="1">
        <v>740</v>
      </c>
    </row>
    <row r="19" spans="1:57" s="72" customFormat="1" ht="22.2" ph="1">
      <c r="B19" s="217" ph="1"/>
      <c r="C19" s="155" t="s" ph="1">
        <v>178</v>
      </c>
      <c r="D19" s="73" ph="1">
        <f>D18*7.0686*LOOKUP(D20,密度!$A$2:$A$50,密度!$L$2:$L$50)</f>
        <v>13518.443030400002</v>
      </c>
      <c r="E19" s="73" ph="1">
        <f>E18*7.0686*LOOKUP(E20,密度!$A$2:$A$50,密度!$L$2:$L$50)</f>
        <v>23532.104534400001</v>
      </c>
      <c r="F19" s="73" ph="1">
        <f>F18*9.0746*LOOKUP(F20,密度!$A$2:$A$50,密度!$L$2:$L$50)</f>
        <v>33493.595408200003</v>
      </c>
      <c r="G19" s="73" ph="1">
        <f>G18*9.0746*LOOKUP(G20,密度!$A$2:$A$50,密度!$B$2:$B$50)</f>
        <v>35718.62562092</v>
      </c>
      <c r="H19" s="73" ph="1">
        <f>H18*9.0746*LOOKUP(H20,密度!$A$2:$A$50,密度!$L$2:$L$50)</f>
        <v>18567.502761600001</v>
      </c>
      <c r="I19" s="73" ph="1">
        <f>I18*9.0746*LOOKUP(I20,密度!$A$2:$A$50,密度!$U$2:$U$50)</f>
        <v>46862.740783600006</v>
      </c>
      <c r="J19" s="73" ph="1">
        <f>J18*9.0746*LOOKUP(J20,密度!$A$2:$A$50,密度!$L$2:$L$50)</f>
        <v>43163.1443334</v>
      </c>
      <c r="K19" s="73" ph="1">
        <f>K18*9.0746*LOOKUP(K20,密度!$A$2:$A$50,密度!$C$2:$C$50)</f>
        <v>20668.409688059997</v>
      </c>
      <c r="L19" s="73" ph="1">
        <f>L18*9.0746*LOOKUP(L20,密度!$A$2:$A$50,密度!$E$2:$E$50)</f>
        <v>37826.391130060001</v>
      </c>
      <c r="M19" s="73" ph="1">
        <f>M18*9.0746*LOOKUP(M20,密度!$A$2:$A$50,密度!$M$2:$M$50)</f>
        <v>40388.018402392008</v>
      </c>
      <c r="N19" s="73" ph="1">
        <f>N18*9.0746*LOOKUP(N20,密度!$A$2:$A$50,密度!$M$2:$M$50)</f>
        <v>20766.1921329</v>
      </c>
      <c r="O19" s="73" ph="1">
        <f>O18*9.0746*LOOKUP(O20,密度!$A$2:$A$50,密度!$G$2:$G$50)</f>
        <v>16550.77454712</v>
      </c>
      <c r="P19" s="73" ph="1">
        <f ca="1">P18*9.0746*LOOKUP(P20,密度!$A$2:$A$51,密度!$Q$2:$Q$50)</f>
        <v>17420.296820630003</v>
      </c>
      <c r="Q19" s="73" ph="1">
        <f>Q18*9.0746*LOOKUP(Q20,密度!$A$2:$A$50,密度!$Q$2:$Q$50)</f>
        <v>57020.440846298006</v>
      </c>
      <c r="R19" s="73" ph="1">
        <f>MAX(R18*9.0746*LOOKUP(R20,密度!$A$2:$A$50,密度!$Q$2:$Q$50),0)</f>
        <v>0</v>
      </c>
      <c r="S19" s="73" ph="1">
        <f>S18*9.0746*LOOKUP(S20,密度!$A$2:$A$50,密度!$Q$2:$Q$50)</f>
        <v>41320.772851686001</v>
      </c>
      <c r="T19" s="73" ph="1">
        <f>T18*9.0746*LOOKUP(T20,密度!$A$2:$A$50,密度!$O$2:$O$50)</f>
        <v>42494.881714800002</v>
      </c>
      <c r="U19" s="73" ph="1">
        <f>U18*9.0746*LOOKUP(U20,密度!$A$2:$A$50,密度!$H$2:$H$50)</f>
        <v>14704.459153500002</v>
      </c>
      <c r="V19" s="73" ph="1">
        <f>MAX(5600*LOOKUP(V20,密度!$A$2:$A$50,密度!$Q$2:$Q$50)+V18*9.0476*LOOKUP(V20,密度!$A$2:$A$50,密度!$Q$2:$Q$50),0)</f>
        <v>0</v>
      </c>
      <c r="W19" s="73" ph="1">
        <f>MAX(5600*LOOKUP(W20,密度!$A$2:$A$50,密度!$Q$2:$Q$50)+W18*9.0476*LOOKUP(W20,密度!$A$2:$A$50,密度!$Q$2:$Q$50),0)</f>
        <v>5509.4494979999999</v>
      </c>
      <c r="X19" s="73" ph="1">
        <f>MAX(5600*LOOKUP(X20,密度!$A$2:$A$50,密度!$I$2:$I$50)+X18*9.0476*LOOKUP(X20,密度!$A$2:$A$50,密度!$I$2:$I$50),0)</f>
        <v>13843.877410439998</v>
      </c>
      <c r="Y19" s="73" ph="1">
        <f>MAX(5600*LOOKUP(Y20,密度!$A$2:$A$50,密度!$I$2:$I$50)+Y18*9.0476*LOOKUP(Y20,密度!$A$2:$A$50,密度!$I$2:$I$50),0)</f>
        <v>0</v>
      </c>
      <c r="Z19" s="73" ph="1">
        <f>Z18*9.0746*LOOKUP(Z20,密度!$A$2:$A$50,密度!$D$2:$D$50)</f>
        <v>0</v>
      </c>
      <c r="AA19" s="73" ph="1">
        <f>AA18*9.0746*LOOKUP(AA20,密度!$A$2:$A$50,密度!$B$2:$B$50)</f>
        <v>17439.853037359997</v>
      </c>
      <c r="AB19" s="73" ph="1">
        <f>AB18*9.0746*LOOKUP(AB20,密度!$A$2:$A$50,密度!$L$2:$L$50)</f>
        <v>0</v>
      </c>
      <c r="AC19" s="73" ph="1">
        <f>AC18*9.0746*LOOKUP(AC20,密度!$A$2:$A$50,密度!$L$2:$L$50)</f>
        <v>0</v>
      </c>
      <c r="AD19" s="73" ph="1">
        <f>AD18*268.68*LOOKUP(AD20,密度!$A$2:$A$50,密度!B5:B53)+IF(AD18&lt;=0,0,1566*LOOKUP(AD20,密度!$A$2:$A$50,密度!B5:B53))</f>
        <v>2277.3049488000001</v>
      </c>
      <c r="AE19" s="73" ph="1">
        <f>AE18*268.68*LOOKUP(AE20,密度!$A$2:$A$50,密度!B5:B53)+IF(AE18&lt;=0,0,1566*LOOKUP(AE20,密度!$A$2:$A$50,密度!B5:B53))</f>
        <v>17972.209533600002</v>
      </c>
      <c r="AH19" s="72" ph="1">
        <v>5</v>
      </c>
      <c r="AI19" s="72" t="s" ph="1">
        <v>341</v>
      </c>
      <c r="AZ19" s="72" t="s" ph="1">
        <v>216</v>
      </c>
      <c r="BA19" s="72" ph="1">
        <v>0</v>
      </c>
      <c r="BD19" s="72" t="s" ph="1">
        <v>342</v>
      </c>
      <c r="BE19" s="72" ph="1">
        <v>1440</v>
      </c>
    </row>
    <row r="20" spans="1:57" ph="1">
      <c r="A20" s="72" ph="1"/>
      <c r="B20" s="217" ph="1"/>
      <c r="C20" s="80" t="s" ph="1">
        <v>179</v>
      </c>
      <c r="D20" s="81">
        <v>30</v>
      </c>
      <c r="E20" s="81">
        <v>30</v>
      </c>
      <c r="F20" s="81">
        <v>33</v>
      </c>
      <c r="G20" s="81">
        <v>29</v>
      </c>
      <c r="H20" s="81">
        <v>26</v>
      </c>
      <c r="I20" s="81">
        <v>28</v>
      </c>
      <c r="J20" s="81">
        <v>31</v>
      </c>
      <c r="K20" s="81">
        <v>30</v>
      </c>
      <c r="L20" s="81">
        <v>29</v>
      </c>
      <c r="M20" s="81">
        <v>34</v>
      </c>
      <c r="N20" s="81">
        <v>25</v>
      </c>
      <c r="O20" s="81">
        <v>29</v>
      </c>
      <c r="P20" s="81">
        <v>30</v>
      </c>
      <c r="Q20" s="81">
        <v>30</v>
      </c>
      <c r="R20" s="81">
        <v>34</v>
      </c>
      <c r="S20" s="81">
        <v>30</v>
      </c>
      <c r="T20" s="81">
        <v>30</v>
      </c>
      <c r="U20" s="81">
        <v>27</v>
      </c>
      <c r="V20" s="81">
        <v>30</v>
      </c>
      <c r="W20" s="81">
        <v>33</v>
      </c>
      <c r="X20" s="81">
        <v>30</v>
      </c>
      <c r="Y20" s="110">
        <v>30</v>
      </c>
      <c r="Z20" s="81">
        <v>32</v>
      </c>
      <c r="AA20" s="81">
        <v>26</v>
      </c>
      <c r="AB20" s="81">
        <v>31</v>
      </c>
      <c r="AC20" s="81">
        <v>29</v>
      </c>
      <c r="AD20" s="81">
        <v>25</v>
      </c>
      <c r="AE20" s="81">
        <v>25</v>
      </c>
      <c r="AF20" s="64" t="s" ph="1">
        <v>35</v>
      </c>
      <c r="AH20" s="64" ph="1">
        <v>6</v>
      </c>
      <c r="AI20" s="64" t="s" ph="1">
        <v>343</v>
      </c>
      <c r="AZ20" s="64" t="s" ph="1">
        <v>216</v>
      </c>
      <c r="BA20" s="64" ph="1">
        <v>0</v>
      </c>
    </row>
    <row r="21" spans="1:57" ph="1">
      <c r="A21" s="72" ph="1"/>
      <c r="B21" s="82" ph="1"/>
      <c r="C21" s="83" ph="1"/>
      <c r="D21" s="84"/>
      <c r="E21" s="84"/>
      <c r="F21" s="84"/>
      <c r="G21" s="84"/>
      <c r="H21" s="84"/>
      <c r="I21" s="84"/>
      <c r="J21" s="84"/>
      <c r="K21" s="84"/>
      <c r="L21" s="84"/>
      <c r="M21" s="84"/>
      <c r="N21" s="84"/>
      <c r="O21" s="84"/>
      <c r="P21" s="84"/>
      <c r="Q21" s="84"/>
      <c r="R21" s="84"/>
      <c r="S21" s="84"/>
      <c r="T21" s="84"/>
      <c r="U21" s="84"/>
      <c r="V21" s="84"/>
      <c r="W21" s="84"/>
      <c r="X21" s="84"/>
      <c r="Y21" s="84"/>
      <c r="Z21" s="84"/>
      <c r="AA21" s="84"/>
      <c r="AB21" s="84"/>
      <c r="AC21" s="84"/>
      <c r="AD21" s="84"/>
      <c r="AE21" s="84"/>
      <c r="AH21" s="64" ph="1">
        <v>7</v>
      </c>
      <c r="AI21" s="64" t="s" ph="1">
        <v>344</v>
      </c>
      <c r="AZ21" s="64" t="s" ph="1">
        <v>216</v>
      </c>
      <c r="BA21" s="64" ph="1">
        <v>0</v>
      </c>
      <c r="BD21" s="64" t="s" ph="1">
        <v>232</v>
      </c>
      <c r="BE21" s="64" ph="1">
        <v>730</v>
      </c>
    </row>
    <row r="22" spans="1:57" ph="1">
      <c r="A22" s="72" ph="1"/>
      <c r="B22" s="215" t="s" ph="1">
        <v>37</v>
      </c>
      <c r="C22" s="85" t="s" ph="1">
        <v>176</v>
      </c>
      <c r="D22" s="86" t="s" ph="1">
        <v>86</v>
      </c>
      <c r="E22" s="86" t="s" ph="1">
        <v>87</v>
      </c>
      <c r="F22" s="86" t="s" ph="1">
        <v>88</v>
      </c>
      <c r="G22" s="86" t="s" ph="1">
        <v>89</v>
      </c>
      <c r="H22" s="86" t="s" ph="1">
        <v>90</v>
      </c>
      <c r="I22" s="86" t="s" ph="1">
        <v>91</v>
      </c>
      <c r="J22" s="86" t="s" ph="1">
        <v>92</v>
      </c>
      <c r="K22" s="86" t="s" ph="1">
        <v>93</v>
      </c>
      <c r="L22" s="86" t="s" ph="1">
        <v>94</v>
      </c>
      <c r="M22" s="86" t="s" ph="1">
        <v>95</v>
      </c>
      <c r="N22" s="86" t="s" ph="1">
        <v>96</v>
      </c>
      <c r="O22" s="86" t="s" ph="1">
        <v>97</v>
      </c>
      <c r="P22" s="86" t="s" ph="1">
        <v>98</v>
      </c>
      <c r="Q22" s="87" t="s" ph="1">
        <v>99</v>
      </c>
      <c r="R22" s="86" t="s" ph="1">
        <v>100</v>
      </c>
      <c r="S22" s="86" t="s" ph="1">
        <v>101</v>
      </c>
      <c r="T22" s="86" t="s" ph="1">
        <v>102</v>
      </c>
      <c r="U22" s="86" t="s" ph="1">
        <v>103</v>
      </c>
      <c r="V22" s="86" t="s" ph="1">
        <v>104</v>
      </c>
      <c r="W22" s="86" t="s" ph="1">
        <v>105</v>
      </c>
      <c r="X22" s="86" t="s" ph="1">
        <v>106</v>
      </c>
      <c r="Y22" s="86" t="s" ph="1">
        <v>108</v>
      </c>
      <c r="Z22" s="225" t="s" ph="1">
        <v>69</v>
      </c>
      <c r="AA22" s="226"/>
      <c r="AB22" s="226"/>
      <c r="AC22" s="226"/>
      <c r="AD22" s="226"/>
      <c r="AE22" s="227"/>
      <c r="AH22" s="64" ph="1">
        <v>8</v>
      </c>
      <c r="AI22" s="64" t="s" ph="1">
        <v>345</v>
      </c>
      <c r="AZ22" s="64" t="s" ph="1">
        <v>216</v>
      </c>
      <c r="BA22" s="64" ph="1">
        <v>0</v>
      </c>
    </row>
    <row r="23" spans="1:57" ph="1">
      <c r="A23" s="72" ph="1"/>
      <c r="B23" s="219" ph="1"/>
      <c r="C23" s="67" t="s" ph="1">
        <v>36</v>
      </c>
      <c r="D23" s="88" t="s" ph="1">
        <v>109</v>
      </c>
      <c r="E23" s="88" t="s" ph="1">
        <v>107</v>
      </c>
      <c r="F23" s="88" t="s" ph="1">
        <v>109</v>
      </c>
      <c r="G23" s="88" t="s" ph="1">
        <v>626</v>
      </c>
      <c r="H23" s="88" t="s" ph="1">
        <v>626</v>
      </c>
      <c r="I23" s="88" t="s" ph="1">
        <v>627</v>
      </c>
      <c r="J23" s="88" t="s" ph="1">
        <v>628</v>
      </c>
      <c r="K23" s="88" t="s" ph="1">
        <v>628</v>
      </c>
      <c r="L23" s="88" t="s" ph="1">
        <v>628</v>
      </c>
      <c r="M23" s="88" t="s" ph="1">
        <v>623</v>
      </c>
      <c r="N23" s="88" t="s" ph="1">
        <v>623</v>
      </c>
      <c r="O23" s="88" t="s" ph="1">
        <v>645</v>
      </c>
      <c r="P23" s="88" t="s" ph="1">
        <v>629</v>
      </c>
      <c r="Q23" s="89" t="s" ph="1">
        <v>643</v>
      </c>
      <c r="R23" s="88" t="s" ph="1">
        <v>610</v>
      </c>
      <c r="S23" s="88" t="s" ph="1">
        <v>629</v>
      </c>
      <c r="T23" s="88" t="s" ph="1">
        <v>604</v>
      </c>
      <c r="U23" s="104" t="s" ph="1">
        <v>606</v>
      </c>
      <c r="V23" s="88" t="s" ph="1">
        <v>629</v>
      </c>
      <c r="W23" s="88" t="s" ph="1">
        <v>629</v>
      </c>
      <c r="X23" s="88" t="s" ph="1">
        <v>187</v>
      </c>
      <c r="Y23" s="88" t="s" ph="1">
        <v>630</v>
      </c>
      <c r="Z23" s="228" t="s" ph="1">
        <v>646</v>
      </c>
      <c r="AA23" s="229"/>
      <c r="AB23" s="229"/>
      <c r="AC23" s="229"/>
      <c r="AD23" s="229"/>
      <c r="AE23" s="230"/>
      <c r="AH23" s="64" ph="1">
        <v>9</v>
      </c>
      <c r="AI23" s="64" t="s" ph="1">
        <v>346</v>
      </c>
      <c r="AZ23" s="64" t="s" ph="1">
        <v>216</v>
      </c>
      <c r="BA23" s="64" ph="1">
        <v>0</v>
      </c>
      <c r="BD23" s="64" t="s" ph="1">
        <v>238</v>
      </c>
      <c r="BE23" s="64" ph="1">
        <v>890</v>
      </c>
    </row>
    <row r="24" spans="1:57" ph="1">
      <c r="A24" s="72" ph="1"/>
      <c r="B24" s="237" ph="1">
        <v>0.33333333333333331</v>
      </c>
      <c r="C24" s="155" t="s" ph="1">
        <v>177</v>
      </c>
      <c r="D24" s="71">
        <v>3.93</v>
      </c>
      <c r="E24" s="71">
        <v>5.68</v>
      </c>
      <c r="F24" s="71">
        <v>1235</v>
      </c>
      <c r="G24" s="71">
        <v>1684</v>
      </c>
      <c r="H24" s="71">
        <v>1968</v>
      </c>
      <c r="I24" s="71">
        <v>1172</v>
      </c>
      <c r="J24" s="71">
        <v>296</v>
      </c>
      <c r="K24" s="71">
        <v>210</v>
      </c>
      <c r="L24" s="71">
        <v>301</v>
      </c>
      <c r="M24" s="71">
        <v>3715</v>
      </c>
      <c r="N24" s="71">
        <v>284</v>
      </c>
      <c r="O24" s="71">
        <v>318</v>
      </c>
      <c r="P24" s="71">
        <v>3240</v>
      </c>
      <c r="Q24" s="90">
        <v>1601</v>
      </c>
      <c r="R24" s="71">
        <v>5287</v>
      </c>
      <c r="S24" s="71">
        <v>2281</v>
      </c>
      <c r="T24" s="71">
        <v>22</v>
      </c>
      <c r="U24" s="71">
        <v>6479</v>
      </c>
      <c r="V24" s="71">
        <v>737</v>
      </c>
      <c r="W24" s="71">
        <v>433</v>
      </c>
      <c r="X24" s="71">
        <v>2957</v>
      </c>
      <c r="Y24" s="71">
        <v>2298</v>
      </c>
      <c r="Z24" s="231"/>
      <c r="AA24" s="232"/>
      <c r="AB24" s="232"/>
      <c r="AC24" s="232"/>
      <c r="AD24" s="232"/>
      <c r="AE24" s="233"/>
      <c r="AH24" s="64" ph="1">
        <v>10</v>
      </c>
      <c r="AI24" s="64" t="s" ph="1">
        <v>347</v>
      </c>
      <c r="AZ24" s="64" t="s" ph="1">
        <v>216</v>
      </c>
      <c r="BA24" s="64" ph="1">
        <v>0</v>
      </c>
    </row>
    <row r="25" spans="1:57" ph="1">
      <c r="A25" s="72" ph="1"/>
      <c r="B25" s="237" ph="1"/>
      <c r="C25" s="68" t="s" ph="1">
        <v>178</v>
      </c>
      <c r="D25" s="91" ph="1">
        <f>D24*268.68*LOOKUP(D26,密度!$A$2:$A$50,密度!$Q$2:$Q$50)+IF(D24&lt;=0,0,1566*LOOKUP(D26,密度!$A$2:$A$50,密度!$Q$2:$Q$50))</f>
        <v>2482.269345576</v>
      </c>
      <c r="E25" s="91" ph="1">
        <f>E24*268.68*LOOKUP(E26,密度!$A$2:$A$50,密度!$C$2:$C$50)+IF(E24&lt;=0,0,1566*LOOKUP(E26,密度!$A$2:$A$50,密度!$C$2:$C$50))</f>
        <v>3428.8323513599998</v>
      </c>
      <c r="F25" s="91" ph="1">
        <f>F24*11.702*LOOKUP(F26,密度!$A$2:$A$50,密度!$Q$2:$Q$50)</f>
        <v>13661.7362804</v>
      </c>
      <c r="G25" s="91" ph="1">
        <f>G24*18.322*LOOKUP(G26,密度!$A$2:$A$50,密度!$B$2:$B$50)</f>
        <v>24001.519519199999</v>
      </c>
      <c r="H25" s="91" ph="1">
        <f>H24*18.322*LOOKUP(H26,密度!$A$2:$A$50,密度!$B$2:$B$50)</f>
        <v>28078.127875199996</v>
      </c>
      <c r="I25" s="91" ph="1">
        <f>I24*18.322*LOOKUP(I26,密度!$A$2:$A$50,密度!$Q$2:$Q$50)</f>
        <v>20314.465465519999</v>
      </c>
      <c r="J25" s="91" ph="1">
        <f>J24*18.322*LOOKUP(J26,密度!$A$2:$A$50,密度!$Q$2:$Q$50)</f>
        <v>5126.7652998399999</v>
      </c>
      <c r="K25" s="91" ph="1">
        <f>K24*18.322*LOOKUP(K26,密度!$A$2:$A$50,密度!$Q$2:$Q$50)</f>
        <v>3639.9639486000001</v>
      </c>
      <c r="L25" s="91" ph="1">
        <f>L24*18.322*LOOKUP(L26,密度!$A$2:$A$50,密度!$Q$2:$Q$50)</f>
        <v>5217.2816596599996</v>
      </c>
      <c r="M25" s="91" ph="1">
        <f>M24*18.322*LOOKUP(M26,密度!$A$2:$A$50,密度!$Q$2:$Q$50)</f>
        <v>64490.710938099997</v>
      </c>
      <c r="N25" s="91" ph="1">
        <f>N24*18.322*LOOKUP(N26,密度!$A$2:$A$50,密度!$Q$2:$Q$50)</f>
        <v>4922.6179114399993</v>
      </c>
      <c r="O25" s="91" ph="1">
        <f>O24*18.322*LOOKUP(O26,密度!$A$2:$A$50,密度!$C$2:$C$50)</f>
        <v>6456.2294075999998</v>
      </c>
      <c r="P25" s="91" ph="1">
        <f>P24*11.702*LOOKUP(P26,密度!$A$2:$A$50,密度!$B$2:$B$50)</f>
        <v>29493.673992000004</v>
      </c>
      <c r="Q25" s="92" ph="1">
        <f>Q24*18.322*LOOKUP(Q26,密度!$A$2:$A$50,密度!$B$2:$B$50)</f>
        <v>22818.546763799997</v>
      </c>
      <c r="R25" s="91" ph="1">
        <f>R24*35.891*LOOKUP(R26,密度!$A$2:$A$50,密度!$C$2:$C$50)</f>
        <v>210135.48100579999</v>
      </c>
      <c r="S25" s="91" ph="1">
        <f>S24*35.891*LOOKUP(S26,密度!$A$2:$A$50,密度!$B$2:$B$50)</f>
        <v>63750.121797699998</v>
      </c>
      <c r="T25" s="91" ph="1">
        <f>T24*35.891*LOOKUP(T26,密度!$A$2:$A$50,密度!$Q$2:$Q$50)</f>
        <v>746.98718006000001</v>
      </c>
      <c r="U25" s="91" ph="1">
        <f>U24*35.891</f>
        <v>232537.78899999999</v>
      </c>
      <c r="V25" s="91" ph="1">
        <f>V24*47.051*LOOKUP(V26,密度!$A$2:$A$50,密度!$B$2:$B$50)</f>
        <v>26974.917027300002</v>
      </c>
      <c r="W25" s="91" ph="1">
        <f>W24*47.051*LOOKUP(W26,密度!$A$2:$A$50,密度!$B$2:$B$50)</f>
        <v>15848.221265700002</v>
      </c>
      <c r="X25" s="91" ph="1">
        <f>X24*47.051*LOOKUP(X26,密度!$A$2:$A$61,密度!$I$2:$I$61)</f>
        <v>144388.91370460001</v>
      </c>
      <c r="Y25" s="91" ph="1">
        <f>Y24*47.051*LOOKUP(Y26,密度!$A$2:$A$50,密度!$L$2:$L$50)</f>
        <v>100987.06693200002</v>
      </c>
      <c r="Z25" s="231"/>
      <c r="AA25" s="232"/>
      <c r="AB25" s="232"/>
      <c r="AC25" s="232"/>
      <c r="AD25" s="232"/>
      <c r="AE25" s="233"/>
      <c r="AH25" s="64" ph="1">
        <v>11</v>
      </c>
      <c r="AI25" s="64" t="s" ph="1">
        <v>348</v>
      </c>
      <c r="AZ25" s="64" t="s" ph="1">
        <v>216</v>
      </c>
      <c r="BA25" s="64" ph="1">
        <v>0</v>
      </c>
      <c r="BD25" s="64" t="s" ph="1">
        <v>241</v>
      </c>
      <c r="BE25" s="64" ph="1">
        <v>8920</v>
      </c>
    </row>
    <row r="26" spans="1:57" ph="1">
      <c r="A26" s="72" ph="1"/>
      <c r="B26" s="237" ph="1"/>
      <c r="C26" s="68" t="s" ph="1">
        <v>179</v>
      </c>
      <c r="D26" s="74">
        <v>25</v>
      </c>
      <c r="E26" s="74">
        <v>25</v>
      </c>
      <c r="F26" s="74">
        <v>27</v>
      </c>
      <c r="G26" s="74">
        <v>27</v>
      </c>
      <c r="H26" s="74">
        <v>26</v>
      </c>
      <c r="I26" s="74">
        <v>26</v>
      </c>
      <c r="J26" s="74">
        <v>27</v>
      </c>
      <c r="K26" s="74">
        <v>26</v>
      </c>
      <c r="L26" s="74">
        <v>26</v>
      </c>
      <c r="M26" s="74">
        <v>24</v>
      </c>
      <c r="N26" s="74">
        <v>26</v>
      </c>
      <c r="O26" s="74">
        <v>26</v>
      </c>
      <c r="P26" s="74">
        <v>27</v>
      </c>
      <c r="Q26" s="93">
        <v>27</v>
      </c>
      <c r="R26" s="74">
        <v>27</v>
      </c>
      <c r="S26" s="74">
        <v>26</v>
      </c>
      <c r="T26" s="74">
        <v>26</v>
      </c>
      <c r="U26" s="74">
        <v>27</v>
      </c>
      <c r="V26" s="74">
        <v>27</v>
      </c>
      <c r="W26" s="74">
        <v>27</v>
      </c>
      <c r="X26" s="74">
        <v>29</v>
      </c>
      <c r="Y26" s="74">
        <v>28</v>
      </c>
      <c r="Z26" s="231"/>
      <c r="AA26" s="232"/>
      <c r="AB26" s="232"/>
      <c r="AC26" s="232"/>
      <c r="AD26" s="232"/>
      <c r="AE26" s="233"/>
      <c r="AH26" s="64" ph="1">
        <v>12</v>
      </c>
      <c r="AI26" s="64" t="s" ph="1">
        <v>349</v>
      </c>
      <c r="AZ26" s="64" t="s" ph="1">
        <v>216</v>
      </c>
      <c r="BA26" s="64" ph="1">
        <v>0</v>
      </c>
    </row>
    <row r="27" spans="1:57" ht="26.4" ph="1">
      <c r="A27" s="72" ph="1"/>
      <c r="B27" s="237" ph="1">
        <v>0.66666666666666663</v>
      </c>
      <c r="C27" s="155" t="s" ph="1">
        <v>180</v>
      </c>
      <c r="D27" s="71">
        <v>3.35</v>
      </c>
      <c r="E27" s="71">
        <v>5.65</v>
      </c>
      <c r="F27" s="71">
        <v>0</v>
      </c>
      <c r="G27" s="71">
        <v>1260</v>
      </c>
      <c r="H27" s="71">
        <v>1480</v>
      </c>
      <c r="I27" s="71">
        <v>1747</v>
      </c>
      <c r="J27" s="71">
        <v>291</v>
      </c>
      <c r="K27" s="71">
        <v>205</v>
      </c>
      <c r="L27" s="71">
        <v>295</v>
      </c>
      <c r="M27" s="71">
        <v>4355</v>
      </c>
      <c r="N27" s="71">
        <v>279</v>
      </c>
      <c r="O27" s="71">
        <v>314</v>
      </c>
      <c r="P27" s="71">
        <v>2010</v>
      </c>
      <c r="Q27" s="90">
        <v>1892</v>
      </c>
      <c r="R27" s="71">
        <v>5284</v>
      </c>
      <c r="S27" s="71">
        <v>2274</v>
      </c>
      <c r="T27" s="71">
        <v>20</v>
      </c>
      <c r="U27" s="71">
        <v>6306</v>
      </c>
      <c r="V27" s="71">
        <v>732</v>
      </c>
      <c r="W27" s="71">
        <v>429</v>
      </c>
      <c r="X27" s="71">
        <v>2833</v>
      </c>
      <c r="Y27" s="71">
        <v>2315</v>
      </c>
      <c r="Z27" s="231"/>
      <c r="AA27" s="232"/>
      <c r="AB27" s="232"/>
      <c r="AC27" s="232"/>
      <c r="AD27" s="232"/>
      <c r="AE27" s="233"/>
      <c r="AH27" s="64" ph="1">
        <v>13</v>
      </c>
      <c r="AI27" s="64" t="s" ph="1">
        <v>350</v>
      </c>
      <c r="AZ27" s="64" t="s" ph="1">
        <v>216</v>
      </c>
      <c r="BA27" s="64" ph="1">
        <v>0</v>
      </c>
      <c r="BD27" s="64" t="s" ph="1">
        <v>295</v>
      </c>
      <c r="BE27" s="64" ph="1">
        <v>7100</v>
      </c>
    </row>
    <row r="28" spans="1:57" ph="1">
      <c r="A28" s="72" ph="1"/>
      <c r="B28" s="237" ph="1"/>
      <c r="C28" s="155" t="s" ph="1">
        <v>178</v>
      </c>
      <c r="D28" s="91" ph="1">
        <f>D27*268.68*LOOKUP(D29,密度!$A$2:$A$50,密度!$Q$2:$Q$50)+IF(D27&lt;=0,0,1566*LOOKUP(D29,密度!$A$2:$A$50,密度!$Q$2:$Q$50))</f>
        <v>2334.73468572</v>
      </c>
      <c r="E28" s="91" ph="1">
        <f>E27*268.68*LOOKUP(E29,密度!$A$2:$A$50,密度!$C$2:$C$50)+IF(E27&lt;=0,0,1566*LOOKUP(E29,密度!$A$2:$A$50,密度!$C$2:$C$50))</f>
        <v>3419.8941738000003</v>
      </c>
      <c r="F28" s="91" ph="1">
        <f>F27*11.702*LOOKUP(F29,密度!$A$2:$A$50,密度!$Q$2:$Q$50)</f>
        <v>0</v>
      </c>
      <c r="G28" s="91" ph="1">
        <f>G27*18.322*LOOKUP(G29,密度!$A$2:$A$50,密度!$B$2:$B$50)</f>
        <v>17898.358715999999</v>
      </c>
      <c r="H28" s="91" ph="1">
        <f>H27*18.322*LOOKUP(H29,密度!$A$2:$A$50,密度!$B$2:$B$50)</f>
        <v>21047.873871999996</v>
      </c>
      <c r="I28" s="91" ph="1">
        <f>I27*18.322*LOOKUP(I29,密度!$A$2:$A$50,密度!$Q$2:$Q$50)</f>
        <v>30128.032627500001</v>
      </c>
      <c r="J28" s="91" ph="1">
        <f>J27*18.322*LOOKUP(J29,密度!$A$2:$A$50,密度!$Q$2:$Q$50)</f>
        <v>5018.4645074999999</v>
      </c>
      <c r="K28" s="91" ph="1">
        <f>K27*18.322*LOOKUP(K29,密度!$A$2:$A$50,密度!$Q$2:$Q$50)</f>
        <v>3545.4105193</v>
      </c>
      <c r="L28" s="91" ph="1">
        <f>L27*18.322*LOOKUP(L29,密度!$A$2:$A$50,密度!$Q$2:$Q$50)</f>
        <v>5098.6892166999996</v>
      </c>
      <c r="M28" s="91" ph="1">
        <f>M27*18.322*LOOKUP(M29,密度!$A$2:$A$50,密度!$Q$2:$Q$50)</f>
        <v>75210.635559799994</v>
      </c>
      <c r="N28" s="91" ph="1">
        <f>N27*18.322*LOOKUP(N29,密度!$A$2:$A$50,密度!$Q$2:$Q$50)</f>
        <v>4818.3162620399999</v>
      </c>
      <c r="O28" s="91" ph="1">
        <f>O27*18.322*LOOKUP(O29,密度!$A$2:$A$50,密度!$C$2:$C$50)</f>
        <v>6345.678124</v>
      </c>
      <c r="P28" s="91" ph="1">
        <f>P27*11.702*LOOKUP(P29,密度!$A$2:$A$50,密度!$B$2:$B$50)</f>
        <v>18193.508969999999</v>
      </c>
      <c r="Q28" s="92" ph="1">
        <f>Q27*18.322*LOOKUP(Q29,密度!$A$2:$A$50,密度!$B$2:$B$50)</f>
        <v>26813.550764</v>
      </c>
      <c r="R28" s="91" ph="1">
        <f>R27*35.891*LOOKUP(R29,密度!$A$2:$A$50,密度!$C$2:$C$50)</f>
        <v>209390.40538040001</v>
      </c>
      <c r="S28" s="91" ph="1">
        <f>S27*35.891*LOOKUP(S29,密度!$A$2:$A$50,密度!$B$2:$B$50)</f>
        <v>63203.534169599989</v>
      </c>
      <c r="T28" s="91" ph="1">
        <f>T27*35.891*LOOKUP(T29,密度!$A$2:$A$50,密度!$Q$2:$Q$50)</f>
        <v>677.14114059999997</v>
      </c>
      <c r="U28" s="91" ph="1">
        <f>U27*35.891</f>
        <v>226328.64599999998</v>
      </c>
      <c r="V28" s="91" ph="1">
        <f>V27*47.051*LOOKUP(V29,密度!$A$2:$A$50,密度!$B$2:$B$50)</f>
        <v>26671.367500799999</v>
      </c>
      <c r="W28" s="91" ph="1">
        <f>W27*47.051*LOOKUP(W29,密度!$A$2:$A$50,密度!$B$2:$B$50)</f>
        <v>15613.0039065</v>
      </c>
      <c r="X28" s="91" ph="1">
        <f>X27*47.051*LOOKUP(X29,密度!$A$2:$A$61,密度!$I$2:$I$61)</f>
        <v>137587.5975526</v>
      </c>
      <c r="Y28" s="91" ph="1">
        <f>Y27*47.051*LOOKUP(Y29,密度!$A$2:$A$50,密度!$L$2:$L$50)</f>
        <v>101407.37351500001</v>
      </c>
      <c r="Z28" s="231"/>
      <c r="AA28" s="232"/>
      <c r="AB28" s="232"/>
      <c r="AC28" s="232"/>
      <c r="AD28" s="232"/>
      <c r="AE28" s="233"/>
      <c r="AH28" s="64" ph="1">
        <v>14</v>
      </c>
      <c r="AI28" s="64" t="s" ph="1">
        <v>351</v>
      </c>
      <c r="AZ28" s="64" t="s" ph="1">
        <v>216</v>
      </c>
      <c r="BA28" s="64" ph="1">
        <v>0</v>
      </c>
    </row>
    <row r="29" spans="1:57" ph="1">
      <c r="A29" s="72" ph="1"/>
      <c r="B29" s="237" ph="1"/>
      <c r="C29" s="155" t="s" ph="1">
        <v>179</v>
      </c>
      <c r="D29" s="74">
        <v>25</v>
      </c>
      <c r="E29" s="74">
        <v>25</v>
      </c>
      <c r="F29" s="74">
        <v>30</v>
      </c>
      <c r="G29" s="74">
        <v>30</v>
      </c>
      <c r="H29" s="74">
        <v>29</v>
      </c>
      <c r="I29" s="74">
        <v>33</v>
      </c>
      <c r="J29" s="74">
        <v>33</v>
      </c>
      <c r="K29" s="74">
        <v>29</v>
      </c>
      <c r="L29" s="74">
        <v>30</v>
      </c>
      <c r="M29" s="74">
        <v>31</v>
      </c>
      <c r="N29" s="74">
        <v>31</v>
      </c>
      <c r="O29" s="74">
        <v>32</v>
      </c>
      <c r="P29" s="74">
        <v>32</v>
      </c>
      <c r="Q29" s="93">
        <v>32</v>
      </c>
      <c r="R29" s="74">
        <v>31</v>
      </c>
      <c r="S29" s="74">
        <v>31</v>
      </c>
      <c r="T29" s="74">
        <v>30</v>
      </c>
      <c r="U29" s="74">
        <v>31</v>
      </c>
      <c r="V29" s="74">
        <v>31</v>
      </c>
      <c r="W29" s="74">
        <v>32</v>
      </c>
      <c r="X29" s="74">
        <v>34</v>
      </c>
      <c r="Y29" s="74">
        <v>31</v>
      </c>
      <c r="Z29" s="234"/>
      <c r="AA29" s="235"/>
      <c r="AB29" s="235"/>
      <c r="AC29" s="235"/>
      <c r="AD29" s="235"/>
      <c r="AE29" s="236"/>
      <c r="AH29" s="64" ph="1">
        <v>15</v>
      </c>
      <c r="AI29" s="64" t="s" ph="1">
        <v>352</v>
      </c>
      <c r="AZ29" s="64" t="s" ph="1">
        <v>216</v>
      </c>
      <c r="BA29" s="64" ph="1">
        <v>0</v>
      </c>
      <c r="BD29" s="64" t="s" ph="1">
        <v>353</v>
      </c>
      <c r="BE29" s="64" ph="1">
        <v>890</v>
      </c>
    </row>
    <row r="30" spans="1:57" ph="1">
      <c r="D30" s="94" ph="1"/>
      <c r="Z30" s="64" t="s" ph="1">
        <v>35</v>
      </c>
      <c r="AE30" s="95" ph="1"/>
      <c r="AH30" s="64" ph="1">
        <v>16</v>
      </c>
      <c r="AI30" s="64" t="s" ph="1">
        <v>354</v>
      </c>
      <c r="AZ30" s="64" t="s" ph="1">
        <v>216</v>
      </c>
      <c r="BA30" s="64" ph="1">
        <v>0</v>
      </c>
    </row>
    <row r="31" spans="1:57" ht="28.2" ph="1">
      <c r="A31" s="64"/>
      <c r="B31" s="220" t="s" ph="1">
        <v>35</v>
      </c>
      <c r="C31" s="221" ph="1"/>
      <c r="D31" s="224" t="s" ph="1">
        <v>9</v>
      </c>
      <c r="E31" s="199" ph="1"/>
      <c r="F31" s="200" ph="1"/>
      <c r="G31" s="224" t="s" ph="1">
        <v>18</v>
      </c>
      <c r="H31" s="199" ph="1"/>
      <c r="I31" s="200" ph="1"/>
      <c r="J31" s="198" t="s" ph="1">
        <v>1</v>
      </c>
      <c r="K31" s="199" ph="1"/>
      <c r="L31" s="200" ph="1"/>
      <c r="M31" s="198" t="s" ph="1">
        <v>7</v>
      </c>
      <c r="N31" s="199" ph="1"/>
      <c r="O31" s="200" ph="1"/>
      <c r="P31" s="198" t="s" ph="1">
        <v>41</v>
      </c>
      <c r="Q31" s="199"/>
      <c r="R31" s="200"/>
      <c r="S31" s="198" t="s" ph="1">
        <v>2</v>
      </c>
      <c r="T31" s="199"/>
      <c r="U31" s="200"/>
      <c r="V31" s="198" t="s" ph="1">
        <v>71</v>
      </c>
      <c r="W31" s="199" ph="1"/>
      <c r="X31" s="200" ph="1"/>
      <c r="Y31" s="198" t="s" ph="1">
        <v>3</v>
      </c>
      <c r="Z31" s="199" ph="1"/>
      <c r="AA31" s="200" ph="1"/>
      <c r="AB31" s="201" t="s">
        <v>42</v>
      </c>
      <c r="AC31" s="202"/>
      <c r="AD31" s="202"/>
      <c r="AE31" s="203"/>
      <c r="AH31" s="64" ph="1">
        <v>17</v>
      </c>
      <c r="AI31" s="64" t="s" ph="1">
        <v>355</v>
      </c>
      <c r="AZ31" s="64" t="s" ph="1">
        <v>216</v>
      </c>
      <c r="BA31" s="64" ph="1">
        <v>0</v>
      </c>
      <c r="BD31" s="64" t="s" ph="1">
        <v>356</v>
      </c>
      <c r="BE31" s="64" ph="1">
        <v>9310</v>
      </c>
    </row>
    <row r="32" spans="1:57" ph="1">
      <c r="A32" s="64"/>
      <c r="B32" s="222" ph="1"/>
      <c r="C32" s="223" ph="1"/>
      <c r="D32" s="96" t="s" ph="1">
        <v>4</v>
      </c>
      <c r="E32" s="155" t="s" ph="1">
        <v>5</v>
      </c>
      <c r="F32" s="154" t="s" ph="1">
        <v>43</v>
      </c>
      <c r="G32" s="97" t="s" ph="1">
        <v>4</v>
      </c>
      <c r="H32" s="155" t="s" ph="1">
        <v>5</v>
      </c>
      <c r="I32" s="154" t="s" ph="1">
        <v>43</v>
      </c>
      <c r="J32" s="97" t="s" ph="1">
        <v>4</v>
      </c>
      <c r="K32" s="155" t="s" ph="1">
        <v>5</v>
      </c>
      <c r="L32" s="154" t="s" ph="1">
        <v>43</v>
      </c>
      <c r="M32" s="97" t="s" ph="1">
        <v>4</v>
      </c>
      <c r="N32" s="155" t="s" ph="1">
        <v>5</v>
      </c>
      <c r="O32" s="154" t="s" ph="1">
        <v>43</v>
      </c>
      <c r="P32" s="97" t="s" ph="1">
        <v>4</v>
      </c>
      <c r="Q32" s="98" t="s" ph="1">
        <v>5</v>
      </c>
      <c r="R32" s="99" t="s" ph="1">
        <v>43</v>
      </c>
      <c r="S32" s="97" t="s" ph="1">
        <v>4</v>
      </c>
      <c r="T32" s="155" t="s" ph="1">
        <v>5</v>
      </c>
      <c r="U32" s="99" t="s" ph="1">
        <v>43</v>
      </c>
      <c r="V32" s="97" t="s" ph="1">
        <v>4</v>
      </c>
      <c r="W32" s="155" t="s" ph="1">
        <v>5</v>
      </c>
      <c r="X32" s="99" t="s" ph="1">
        <v>43</v>
      </c>
      <c r="Y32" s="100" t="s" ph="1">
        <v>4</v>
      </c>
      <c r="Z32" s="155" t="s" ph="1">
        <v>5</v>
      </c>
      <c r="AA32" s="154" t="s" ph="1">
        <v>43</v>
      </c>
      <c r="AB32" s="97" t="s" ph="1">
        <v>85</v>
      </c>
      <c r="AC32" s="155" t="s" ph="1">
        <v>84</v>
      </c>
      <c r="AD32" s="204" t="s" ph="1">
        <v>83</v>
      </c>
      <c r="AE32" s="205"/>
      <c r="AH32" s="64" ph="1">
        <v>18</v>
      </c>
      <c r="AI32" s="64" t="s" ph="1">
        <v>357</v>
      </c>
      <c r="AZ32" s="64" t="s" ph="1">
        <v>216</v>
      </c>
      <c r="BA32" s="64" ph="1">
        <v>0</v>
      </c>
    </row>
    <row r="33" spans="1:57" ph="1">
      <c r="A33" s="64"/>
      <c r="B33" s="206" t="s" ph="1">
        <v>181</v>
      </c>
      <c r="C33" s="207" ph="1"/>
      <c r="D33" s="186" ph="1">
        <f>AA10+AB10+Z19</f>
        <v>72265.433313300004</v>
      </c>
      <c r="E33" s="186" ph="1">
        <f>M10+I10</f>
        <v>117529.56669599999</v>
      </c>
      <c r="F33" s="210" ph="1">
        <f>表格_取樣回收每月庫存表_0620更新1522252632456786910111213141516171819202123456789101112131415161718192022232424356789101112131415161718192021222345678910111213141516171819202345678910111213149101516171819222123234567891012131415161711181920212224252345678910111213129[[#This Row],[F25]]</f>
        <v>3880</v>
      </c>
      <c r="G33" s="212" ph="1">
        <f>N19</f>
        <v>20766.1921329</v>
      </c>
      <c r="H33" s="186" ph="1">
        <f>M19</f>
        <v>40388.018402392008</v>
      </c>
      <c r="I33" s="190" ph="1">
        <v>0</v>
      </c>
      <c r="J33" s="194" ph="1">
        <f>F10+O28</f>
        <v>101317.72038760001</v>
      </c>
      <c r="K33" s="186" ph="1">
        <f>O10+K10+E28+R28</f>
        <v>225361.70326140002</v>
      </c>
      <c r="L33" s="196" ph="1">
        <f>K19</f>
        <v>20668.409688059997</v>
      </c>
      <c r="M33" s="194" ph="1">
        <f>G10+H10+W28+S28+V28+E10+R19+P28+Q28</f>
        <v>632324.79777690012</v>
      </c>
      <c r="N33" s="186" ph="1">
        <f>L10+P10++G28+H28+AD19+AE19</f>
        <v>222309.9044004</v>
      </c>
      <c r="O33" s="190" ph="1">
        <f>G19</f>
        <v>35718.62562092</v>
      </c>
      <c r="P33" s="194" ph="1">
        <f>L19</f>
        <v>37826.391130060001</v>
      </c>
      <c r="Q33" s="186" ph="1">
        <f>J10+N10</f>
        <v>60629.041537599987</v>
      </c>
      <c r="R33" s="190" ph="1">
        <f>BE23</f>
        <v>890</v>
      </c>
      <c r="S33" s="194" ph="1">
        <f>X28</f>
        <v>137587.5975526</v>
      </c>
      <c r="T33" s="186" ph="1">
        <f>X19</f>
        <v>13843.877410439998</v>
      </c>
      <c r="U33" s="175" ph="1">
        <f>BE21</f>
        <v>730</v>
      </c>
      <c r="V33" s="188" ph="1">
        <f ca="1">P19+Q19+S19+M28+N28+J28+D10+AC10+D19+E19+H19+J19+O19+V19+W19+K28+L28</f>
        <v>734464.81730801391</v>
      </c>
      <c r="W33" s="188" ph="1">
        <f>D28+F28+T28+I28</f>
        <v>33139.908453819997</v>
      </c>
      <c r="X33" s="190" ph="1">
        <f>BE29+BE31</f>
        <v>10200</v>
      </c>
      <c r="Y33" s="192" ph="1">
        <f>+Q10+R10+S10+T10+U10+V10+W10+X10+Y10</f>
        <v>178345.64119679999</v>
      </c>
      <c r="Z33" s="173" ph="1">
        <f>T19+U19+Y28+Z10</f>
        <v>260776.5740893</v>
      </c>
      <c r="AA33" s="175" ph="1">
        <f>BE19</f>
        <v>1440</v>
      </c>
      <c r="AB33" s="177" ph="1">
        <f>I19</f>
        <v>46862.740783600006</v>
      </c>
      <c r="AC33" s="179" ph="1">
        <f>AD10+AB19</f>
        <v>106377.3555264</v>
      </c>
      <c r="AD33" s="181" ph="1">
        <v>0</v>
      </c>
      <c r="AE33" s="182"/>
      <c r="AH33" s="64" ph="1">
        <v>19</v>
      </c>
      <c r="AI33" s="64" t="s" ph="1">
        <v>358</v>
      </c>
      <c r="AJ33" s="64" t="s" ph="1">
        <v>592</v>
      </c>
      <c r="AK33" s="64" t="s" ph="1">
        <v>589</v>
      </c>
      <c r="AL33" s="64" ph="1">
        <v>730</v>
      </c>
      <c r="AM33" s="64" t="s" ph="1">
        <v>339</v>
      </c>
      <c r="AZ33" s="64" t="s" ph="1">
        <v>216</v>
      </c>
      <c r="BA33" s="64" ph="1">
        <v>730</v>
      </c>
      <c r="BD33" s="64" t="s" ph="1">
        <v>290</v>
      </c>
      <c r="BE33" s="64" ph="1">
        <v>3880</v>
      </c>
    </row>
    <row r="34" spans="1:57" ph="1">
      <c r="A34" s="64"/>
      <c r="B34" s="208" ph="1"/>
      <c r="C34" s="209" ph="1"/>
      <c r="D34" s="187" ph="1"/>
      <c r="E34" s="187" ph="1"/>
      <c r="F34" s="211" ph="1"/>
      <c r="G34" s="213" ph="1"/>
      <c r="H34" s="187" ph="1"/>
      <c r="I34" s="191" ph="1"/>
      <c r="J34" s="195" ph="1"/>
      <c r="K34" s="187" ph="1"/>
      <c r="L34" s="197" ph="1"/>
      <c r="M34" s="195" ph="1"/>
      <c r="N34" s="187" ph="1"/>
      <c r="O34" s="191" ph="1"/>
      <c r="P34" s="195" ph="1"/>
      <c r="Q34" s="187" ph="1"/>
      <c r="R34" s="191" ph="1"/>
      <c r="S34" s="195" ph="1"/>
      <c r="T34" s="187"/>
      <c r="U34" s="176"/>
      <c r="V34" s="189" ph="1"/>
      <c r="W34" s="189" ph="1"/>
      <c r="X34" s="191" ph="1"/>
      <c r="Y34" s="193" ph="1"/>
      <c r="Z34" s="174" ph="1"/>
      <c r="AA34" s="176" ph="1"/>
      <c r="AB34" s="178"/>
      <c r="AC34" s="180"/>
      <c r="AD34" s="183"/>
      <c r="AE34" s="184"/>
      <c r="AH34" s="64" ph="1">
        <v>20</v>
      </c>
      <c r="AI34" s="64" t="s" ph="1">
        <v>359</v>
      </c>
      <c r="AJ34" s="64" t="s" ph="1">
        <v>593</v>
      </c>
      <c r="AK34" s="64" t="s" ph="1">
        <v>589</v>
      </c>
      <c r="AL34" s="64" ph="1">
        <v>720</v>
      </c>
      <c r="AM34" s="64" t="s" ph="1">
        <v>339</v>
      </c>
      <c r="AZ34" s="64" t="s" ph="1">
        <v>216</v>
      </c>
      <c r="BA34" s="64" ph="1">
        <v>720</v>
      </c>
    </row>
    <row r="35" spans="1:57" ph="1">
      <c r="A35" s="64"/>
      <c r="AC35" s="185" t="s" ph="1">
        <v>631</v>
      </c>
      <c r="AD35" s="185"/>
      <c r="AE35" s="185"/>
      <c r="AH35" s="64" ph="1">
        <v>21</v>
      </c>
      <c r="AI35" s="64" t="s" ph="1">
        <v>360</v>
      </c>
      <c r="AZ35" s="64" t="s" ph="1">
        <v>216</v>
      </c>
      <c r="BA35" s="64" ph="1">
        <v>0</v>
      </c>
      <c r="BD35" s="64" t="s" ph="1">
        <v>361</v>
      </c>
      <c r="BE35" s="64" ph="1">
        <v>2030</v>
      </c>
    </row>
    <row r="36" spans="1:57" ht="28.2" ph="1">
      <c r="A36" s="64"/>
      <c r="B36" s="103" t="s" ph="1">
        <v>182</v>
      </c>
      <c r="I36" s="171" t="s" ph="1">
        <v>183</v>
      </c>
      <c r="J36" s="171" ph="1"/>
      <c r="K36" s="101" ph="1"/>
      <c r="P36" s="101" ph="1"/>
      <c r="R36" s="171" t="s" ph="1">
        <v>184</v>
      </c>
      <c r="S36" s="171" ph="1"/>
      <c r="Y36" s="102" ph="1"/>
      <c r="Z36" s="153" t="s" ph="1">
        <v>185</v>
      </c>
      <c r="AA36" s="153" ph="1"/>
      <c r="AB36" s="172" t="s" ph="1">
        <v>640</v>
      </c>
      <c r="AC36" s="172" ph="1"/>
      <c r="AD36" s="172" ph="1"/>
      <c r="AE36" s="172" ph="1"/>
      <c r="BA36" s="64" ph="1">
        <v>2270</v>
      </c>
    </row>
    <row r="37" spans="1:57" s="153" customFormat="1" ph="1">
      <c r="A37" s="64" ph="1"/>
      <c r="B37" s="64" ph="1"/>
      <c r="C37" s="64" ph="1"/>
      <c r="D37" s="64" ph="1"/>
      <c r="E37" s="64" ph="1"/>
      <c r="F37" s="64" ph="1"/>
      <c r="G37" s="64" ph="1"/>
      <c r="H37" s="64" ph="1"/>
      <c r="I37" s="64" ph="1"/>
      <c r="J37" s="64" ph="1"/>
      <c r="K37" s="64" ph="1"/>
      <c r="L37" s="64" ph="1"/>
      <c r="M37" s="64" ph="1"/>
      <c r="N37" s="64" ph="1"/>
      <c r="O37" s="64" ph="1"/>
      <c r="P37" s="64" ph="1"/>
      <c r="Q37" s="64" ph="1"/>
      <c r="R37" s="64" ph="1"/>
      <c r="S37" s="64" ph="1"/>
      <c r="T37" s="64" ph="1"/>
      <c r="U37" s="64" ph="1"/>
      <c r="V37" s="64" ph="1"/>
      <c r="W37" s="64" ph="1"/>
      <c r="X37" s="64" ph="1"/>
      <c r="Y37" s="64" ph="1"/>
      <c r="Z37" s="64" ph="1"/>
      <c r="AA37" s="64" ph="1"/>
      <c r="AB37" s="64" ph="1"/>
      <c r="AC37" s="64" ph="1"/>
      <c r="AD37" s="64" ph="1"/>
      <c r="AE37" s="64" ph="1"/>
      <c r="AG37" s="153" t="s" ph="1">
        <v>342</v>
      </c>
      <c r="AI37" s="153" t="s" ph="1">
        <v>209</v>
      </c>
      <c r="AJ37" s="153" t="s" ph="1">
        <v>210</v>
      </c>
      <c r="AK37" s="153" t="s" ph="1">
        <v>211</v>
      </c>
      <c r="AM37" s="153" t="s" ph="1">
        <v>210</v>
      </c>
      <c r="AN37" s="153" t="s" ph="1">
        <v>211</v>
      </c>
      <c r="AO37" s="153" t="s" ph="1">
        <v>212</v>
      </c>
      <c r="AP37" s="153" t="s" ph="1">
        <v>210</v>
      </c>
      <c r="AQ37" s="153" t="s" ph="1">
        <v>211</v>
      </c>
      <c r="AR37" s="153" t="s" ph="1">
        <v>212</v>
      </c>
      <c r="AS37" s="153" t="s" ph="1">
        <v>210</v>
      </c>
      <c r="AT37" s="153" t="s" ph="1">
        <v>211</v>
      </c>
      <c r="AU37" s="153" t="s" ph="1">
        <v>212</v>
      </c>
      <c r="AV37" s="153" t="s" ph="1">
        <v>210</v>
      </c>
      <c r="AW37" s="153" t="s" ph="1">
        <v>211</v>
      </c>
      <c r="AX37" s="153" t="s" ph="1">
        <v>212</v>
      </c>
      <c r="AY37" s="153" t="s" ph="1">
        <v>211</v>
      </c>
      <c r="AZ37" s="153" t="s" ph="1">
        <v>213</v>
      </c>
      <c r="BD37" s="153" t="s" ph="1">
        <v>305</v>
      </c>
      <c r="BE37" s="153" ph="1">
        <v>0</v>
      </c>
    </row>
    <row r="38" spans="1:57" ph="1">
      <c r="AE38" s="64" ph="1"/>
      <c r="AH38" s="64" ph="1">
        <v>1</v>
      </c>
      <c r="AI38" s="64" t="s" ph="1">
        <v>362</v>
      </c>
      <c r="AY38" s="64" t="s" ph="1">
        <v>216</v>
      </c>
      <c r="AZ38" s="64" t="s" ph="1">
        <v>367</v>
      </c>
    </row>
    <row r="39" spans="1:57" ph="1">
      <c r="AH39" s="64" ph="1">
        <v>2</v>
      </c>
      <c r="AI39" s="64" t="s" ph="1">
        <v>364</v>
      </c>
      <c r="AJ39" s="64" t="s" ph="1">
        <v>336</v>
      </c>
      <c r="AK39" s="64" t="s" ph="1">
        <v>365</v>
      </c>
      <c r="AM39" s="64" t="s" ph="1">
        <v>570</v>
      </c>
      <c r="AN39" s="64" t="s" ph="1">
        <v>228</v>
      </c>
      <c r="AO39" s="64" t="s" ph="1">
        <v>363</v>
      </c>
      <c r="AY39" s="64" t="s" ph="1">
        <v>216</v>
      </c>
      <c r="AZ39" s="64" t="s" ph="1">
        <v>499</v>
      </c>
    </row>
    <row r="40" spans="1:57" ph="1">
      <c r="AH40" s="64" ph="1">
        <v>3</v>
      </c>
      <c r="AI40" s="64" t="s" ph="1">
        <v>366</v>
      </c>
      <c r="AJ40" s="64" t="s" ph="1">
        <v>570</v>
      </c>
      <c r="AK40" s="64" t="s" ph="1">
        <v>571</v>
      </c>
      <c r="AY40" s="64" t="s" ph="1">
        <v>216</v>
      </c>
      <c r="AZ40" s="64" t="s" ph="1">
        <v>571</v>
      </c>
    </row>
    <row r="41" spans="1:57" ph="1">
      <c r="AH41" s="64" ph="1">
        <v>4</v>
      </c>
      <c r="AI41" s="64" t="s" ph="1">
        <v>368</v>
      </c>
      <c r="AJ41" s="64" t="s" ph="1">
        <v>572</v>
      </c>
      <c r="AK41" s="64" t="s" ph="1">
        <v>573</v>
      </c>
      <c r="AM41" s="64" t="s" ph="1">
        <v>574</v>
      </c>
      <c r="AY41" s="64" t="s" ph="1">
        <v>216</v>
      </c>
      <c r="AZ41" s="64" t="s" ph="1">
        <v>573</v>
      </c>
    </row>
    <row r="42" spans="1:57" ph="1">
      <c r="P42" s="64"/>
      <c r="Q42" s="64"/>
      <c r="R42" s="64"/>
      <c r="S42" s="64"/>
      <c r="T42" s="64"/>
      <c r="U42" s="64"/>
      <c r="V42" s="64"/>
      <c r="W42" s="64"/>
      <c r="X42" s="64"/>
      <c r="Y42" s="64"/>
      <c r="Z42" s="64"/>
      <c r="AA42" s="64"/>
      <c r="AB42" s="64"/>
      <c r="AC42" s="64"/>
      <c r="AD42" s="64"/>
      <c r="AE42" s="75"/>
      <c r="AH42" s="64" ph="1">
        <v>5</v>
      </c>
      <c r="AI42" s="64" t="s" ph="1">
        <v>369</v>
      </c>
      <c r="AY42" s="64" t="s" ph="1">
        <v>216</v>
      </c>
      <c r="AZ42" s="64" t="s" ph="1">
        <v>367</v>
      </c>
    </row>
    <row r="43" spans="1:57" ph="1">
      <c r="C43" s="64"/>
      <c r="D43" s="64"/>
      <c r="E43" s="64"/>
      <c r="F43" s="64"/>
      <c r="G43" s="64"/>
      <c r="H43" s="64"/>
      <c r="I43" s="64"/>
      <c r="J43" s="64"/>
      <c r="K43" s="64"/>
      <c r="L43" s="64"/>
      <c r="M43" s="64"/>
      <c r="N43" s="64"/>
      <c r="O43" s="64"/>
      <c r="P43" s="64"/>
      <c r="R43" s="64"/>
      <c r="S43" s="64"/>
      <c r="T43" s="64"/>
      <c r="U43" s="64"/>
      <c r="V43" s="64"/>
      <c r="W43" s="64"/>
      <c r="X43" s="64"/>
      <c r="Y43" s="64"/>
      <c r="Z43" s="64"/>
      <c r="AA43" s="64"/>
      <c r="AB43" s="64"/>
      <c r="AC43" s="64"/>
      <c r="AD43" s="64"/>
      <c r="AE43" s="75"/>
      <c r="AH43" s="64" ph="1">
        <v>6</v>
      </c>
      <c r="AI43" s="64" t="s" ph="1">
        <v>370</v>
      </c>
      <c r="AY43" s="64" t="s" ph="1">
        <v>216</v>
      </c>
      <c r="AZ43" s="64" t="s" ph="1">
        <v>367</v>
      </c>
    </row>
    <row r="44" spans="1:57" ph="1">
      <c r="R44" s="64"/>
      <c r="S44" s="64"/>
      <c r="T44" s="64"/>
      <c r="U44" s="64"/>
      <c r="V44" s="64"/>
      <c r="W44" s="64"/>
      <c r="X44" s="64"/>
      <c r="Y44" s="64"/>
      <c r="Z44" s="64"/>
      <c r="AA44" s="64"/>
      <c r="AB44" s="64"/>
      <c r="AC44" s="64"/>
      <c r="AD44" s="64"/>
      <c r="AE44" s="75"/>
      <c r="AH44" s="64" ph="1">
        <v>7</v>
      </c>
      <c r="AI44" s="64" t="s" ph="1">
        <v>371</v>
      </c>
      <c r="AV44" s="64" t="s" ph="1">
        <v>217</v>
      </c>
      <c r="AY44" s="64" t="s" ph="1">
        <v>216</v>
      </c>
      <c r="AZ44" s="64" t="s" ph="1">
        <v>367</v>
      </c>
    </row>
    <row r="45" spans="1:57" ph="1">
      <c r="R45" s="64"/>
      <c r="S45" s="64"/>
      <c r="T45" s="64"/>
      <c r="U45" s="64"/>
      <c r="V45" s="64"/>
      <c r="W45" s="64"/>
      <c r="X45" s="64"/>
      <c r="Y45" s="64"/>
      <c r="Z45" s="64"/>
      <c r="AA45" s="64"/>
      <c r="AB45" s="64"/>
      <c r="AC45" s="64"/>
      <c r="AD45" s="64"/>
      <c r="AE45" s="75"/>
      <c r="AH45" s="64" ph="1">
        <v>8</v>
      </c>
      <c r="AI45" s="64" t="s" ph="1">
        <v>372</v>
      </c>
      <c r="AV45" s="64" t="s" ph="1">
        <v>217</v>
      </c>
      <c r="AY45" s="64" t="s" ph="1">
        <v>216</v>
      </c>
      <c r="AZ45" s="64" t="s" ph="1">
        <v>367</v>
      </c>
    </row>
    <row r="46" spans="1:57" ph="1">
      <c r="R46" s="64"/>
      <c r="S46" s="64"/>
      <c r="T46" s="64"/>
      <c r="U46" s="64"/>
      <c r="V46" s="64"/>
      <c r="W46" s="64"/>
      <c r="X46" s="64"/>
      <c r="Y46" s="64"/>
      <c r="Z46" s="64"/>
      <c r="AA46" s="64"/>
      <c r="AB46" s="64"/>
      <c r="AC46" s="64"/>
      <c r="AD46" s="64"/>
      <c r="AE46" s="75"/>
      <c r="AH46" s="64" ph="1">
        <v>9</v>
      </c>
      <c r="AI46" s="64" t="s" ph="1">
        <v>373</v>
      </c>
      <c r="AV46" s="64" t="s" ph="1">
        <v>217</v>
      </c>
      <c r="AY46" s="64" t="s" ph="1">
        <v>216</v>
      </c>
      <c r="AZ46" s="64" t="s" ph="1">
        <v>367</v>
      </c>
    </row>
    <row r="47" spans="1:57" ph="1">
      <c r="R47" s="64"/>
      <c r="S47" s="64"/>
      <c r="T47" s="64"/>
      <c r="U47" s="64"/>
      <c r="V47" s="64"/>
      <c r="W47" s="64"/>
      <c r="X47" s="64"/>
      <c r="Y47" s="64"/>
      <c r="Z47" s="64"/>
      <c r="AA47" s="64"/>
      <c r="AB47" s="64"/>
      <c r="AC47" s="64"/>
      <c r="AD47" s="64"/>
      <c r="AE47" s="75"/>
      <c r="AH47" s="64" ph="1">
        <v>10</v>
      </c>
      <c r="AI47" s="64" t="s" ph="1">
        <v>374</v>
      </c>
      <c r="AV47" s="64" t="s" ph="1">
        <v>217</v>
      </c>
      <c r="AY47" s="64" t="s" ph="1">
        <v>216</v>
      </c>
      <c r="AZ47" s="64" t="s" ph="1">
        <v>367</v>
      </c>
    </row>
    <row r="48" spans="1:57" ph="1">
      <c r="R48" s="64"/>
      <c r="S48" s="64"/>
      <c r="T48" s="64"/>
      <c r="U48" s="64"/>
      <c r="V48" s="64"/>
      <c r="W48" s="64"/>
      <c r="X48" s="64"/>
      <c r="Y48" s="64"/>
      <c r="Z48" s="64"/>
      <c r="AA48" s="64"/>
      <c r="AB48" s="64"/>
      <c r="AC48" s="64"/>
      <c r="AD48" s="64"/>
      <c r="AE48" s="75"/>
      <c r="AZ48" s="64" t="s" ph="1">
        <v>575</v>
      </c>
    </row>
    <row r="49" spans="16:52" ph="1">
      <c r="R49" s="64"/>
      <c r="S49" s="64"/>
      <c r="T49" s="64"/>
      <c r="U49" s="64"/>
      <c r="V49" s="64"/>
      <c r="W49" s="64"/>
      <c r="X49" s="64"/>
      <c r="Y49" s="64"/>
      <c r="Z49" s="64"/>
      <c r="AA49" s="64"/>
      <c r="AB49" s="64"/>
      <c r="AC49" s="64"/>
      <c r="AD49" s="64"/>
      <c r="AE49" s="75"/>
      <c r="AG49" s="64" t="s" ph="1">
        <v>232</v>
      </c>
      <c r="AI49" s="64" t="s" ph="1">
        <v>209</v>
      </c>
      <c r="AJ49" s="64" t="s" ph="1">
        <v>210</v>
      </c>
      <c r="AK49" s="64" t="s" ph="1">
        <v>211</v>
      </c>
      <c r="AM49" s="64" t="s" ph="1">
        <v>210</v>
      </c>
      <c r="AN49" s="64" t="s" ph="1">
        <v>211</v>
      </c>
      <c r="AO49" s="64" t="s" ph="1">
        <v>212</v>
      </c>
      <c r="AP49" s="64" t="s" ph="1">
        <v>210</v>
      </c>
      <c r="AQ49" s="64" t="s" ph="1">
        <v>211</v>
      </c>
      <c r="AR49" s="64" t="s" ph="1">
        <v>212</v>
      </c>
      <c r="AS49" s="64" t="s" ph="1">
        <v>210</v>
      </c>
      <c r="AT49" s="64" t="s" ph="1">
        <v>211</v>
      </c>
      <c r="AU49" s="64" t="s" ph="1">
        <v>212</v>
      </c>
      <c r="AV49" s="64" t="s" ph="1">
        <v>210</v>
      </c>
      <c r="AW49" s="64" t="s" ph="1">
        <v>211</v>
      </c>
      <c r="AX49" s="64" t="s" ph="1">
        <v>212</v>
      </c>
      <c r="AY49" s="64" t="s" ph="1">
        <v>211</v>
      </c>
      <c r="AZ49" s="64" t="s" ph="1">
        <v>213</v>
      </c>
    </row>
    <row r="50" spans="16:52" ph="1">
      <c r="R50" s="64"/>
      <c r="S50" s="64"/>
      <c r="T50" s="64"/>
      <c r="U50" s="64"/>
      <c r="V50" s="64"/>
      <c r="W50" s="64"/>
      <c r="X50" s="64"/>
      <c r="Y50" s="64"/>
      <c r="Z50" s="64"/>
      <c r="AA50" s="64"/>
      <c r="AB50" s="64"/>
      <c r="AC50" s="64"/>
      <c r="AD50" s="64"/>
      <c r="AE50" s="75"/>
      <c r="AH50" s="64" ph="1">
        <v>1</v>
      </c>
      <c r="AI50" s="64" t="s" ph="1">
        <v>375</v>
      </c>
      <c r="AY50" s="64" t="s" ph="1">
        <v>216</v>
      </c>
      <c r="AZ50" s="64" t="s" ph="1">
        <v>367</v>
      </c>
    </row>
    <row r="51" spans="16:52" ph="1">
      <c r="R51" s="64"/>
      <c r="S51" s="64"/>
      <c r="T51" s="64"/>
      <c r="U51" s="64"/>
      <c r="V51" s="64"/>
      <c r="W51" s="64"/>
      <c r="X51" s="64"/>
      <c r="Y51" s="64"/>
      <c r="Z51" s="64"/>
      <c r="AA51" s="64"/>
      <c r="AB51" s="64"/>
      <c r="AC51" s="64"/>
      <c r="AD51" s="64"/>
      <c r="AE51" s="75"/>
      <c r="AH51" s="64" ph="1">
        <v>2</v>
      </c>
      <c r="AI51" s="64" t="s" ph="1">
        <v>376</v>
      </c>
      <c r="AY51" s="64" t="s" ph="1">
        <v>216</v>
      </c>
      <c r="AZ51" s="64" t="s" ph="1">
        <v>367</v>
      </c>
    </row>
    <row r="52" spans="16:52" ph="1">
      <c r="R52" s="64"/>
      <c r="S52" s="64"/>
      <c r="T52" s="64"/>
      <c r="U52" s="64"/>
      <c r="V52" s="64"/>
      <c r="W52" s="64"/>
      <c r="X52" s="64"/>
      <c r="Y52" s="64"/>
      <c r="Z52" s="64"/>
      <c r="AA52" s="64"/>
      <c r="AB52" s="64"/>
      <c r="AC52" s="64"/>
      <c r="AD52" s="64"/>
      <c r="AE52" s="75"/>
      <c r="AH52" s="64" ph="1">
        <v>3</v>
      </c>
      <c r="AI52" s="64" t="s" ph="1">
        <v>377</v>
      </c>
      <c r="AJ52" s="64" t="s" ph="1">
        <v>334</v>
      </c>
      <c r="AK52" s="64" t="s" ph="1">
        <v>228</v>
      </c>
      <c r="AM52" s="64" t="s" ph="1">
        <v>336</v>
      </c>
      <c r="AN52" s="64" t="s" ph="1">
        <v>300</v>
      </c>
      <c r="AO52" s="64" t="s" ph="1">
        <v>233</v>
      </c>
      <c r="AP52" s="64" t="s" ph="1">
        <v>570</v>
      </c>
      <c r="AQ52" s="64" t="s" ph="1">
        <v>282</v>
      </c>
      <c r="AR52" s="64" t="s" ph="1">
        <v>233</v>
      </c>
      <c r="AY52" s="64" t="s" ph="1">
        <v>216</v>
      </c>
      <c r="AZ52" s="64" t="s" ph="1">
        <v>576</v>
      </c>
    </row>
    <row r="53" spans="16:52" ph="1">
      <c r="R53" s="64"/>
      <c r="S53" s="64"/>
      <c r="T53" s="64"/>
      <c r="U53" s="64"/>
      <c r="W53" s="64"/>
      <c r="X53" s="64"/>
      <c r="Y53" s="64"/>
      <c r="Z53" s="64"/>
      <c r="AA53" s="64"/>
      <c r="AB53" s="64"/>
      <c r="AC53" s="64"/>
      <c r="AD53" s="64"/>
      <c r="AH53" s="64" ph="1">
        <v>4</v>
      </c>
      <c r="AI53" s="64" t="s" ph="1">
        <v>378</v>
      </c>
      <c r="AY53" s="64" t="s" ph="1">
        <v>216</v>
      </c>
      <c r="AZ53" s="64" t="s" ph="1">
        <v>367</v>
      </c>
    </row>
    <row r="54" spans="16:52" ph="1">
      <c r="R54" s="64"/>
      <c r="S54" s="64"/>
      <c r="T54" s="64"/>
      <c r="U54" s="64"/>
      <c r="W54" s="64"/>
      <c r="X54" s="64"/>
      <c r="Y54" s="64"/>
      <c r="Z54" s="64"/>
      <c r="AA54" s="64"/>
      <c r="AC54" s="64"/>
      <c r="AD54" s="64"/>
      <c r="AH54" s="64" ph="1">
        <v>5</v>
      </c>
      <c r="AI54" s="64" t="s" ph="1">
        <v>379</v>
      </c>
      <c r="AJ54" s="64" t="s" ph="1">
        <v>334</v>
      </c>
      <c r="AK54" s="64" t="s" ph="1">
        <v>219</v>
      </c>
      <c r="AM54" s="64" t="s" ph="1">
        <v>336</v>
      </c>
      <c r="AN54" s="64" t="s" ph="1">
        <v>224</v>
      </c>
      <c r="AO54" s="64" t="s" ph="1">
        <v>233</v>
      </c>
      <c r="AP54" s="64" t="s" ph="1">
        <v>570</v>
      </c>
      <c r="AQ54" s="64" t="s" ph="1">
        <v>240</v>
      </c>
      <c r="AR54" s="64" t="s" ph="1">
        <v>233</v>
      </c>
      <c r="AY54" s="64" t="s" ph="1">
        <v>216</v>
      </c>
      <c r="AZ54" s="64" t="s" ph="1">
        <v>234</v>
      </c>
    </row>
    <row r="55" spans="16:52" ph="1">
      <c r="R55" s="64"/>
      <c r="S55" s="64"/>
      <c r="T55" s="64"/>
      <c r="U55" s="64"/>
      <c r="V55" s="64"/>
      <c r="W55" s="64"/>
      <c r="X55" s="64"/>
      <c r="Z55" s="64"/>
      <c r="AC55" s="64"/>
      <c r="AD55" s="64"/>
      <c r="AE55" s="75"/>
      <c r="AH55" s="64" ph="1">
        <v>6</v>
      </c>
      <c r="AI55" s="64" t="s" ph="1">
        <v>380</v>
      </c>
      <c r="AY55" s="64" t="s" ph="1">
        <v>216</v>
      </c>
      <c r="AZ55" s="64" t="s" ph="1">
        <v>367</v>
      </c>
    </row>
    <row r="56" spans="16:52" ph="1">
      <c r="P56" s="64" ph="1">
        <v>20260804</v>
      </c>
      <c r="R56" s="64"/>
      <c r="S56" s="64"/>
      <c r="T56" s="64"/>
      <c r="U56" s="64"/>
      <c r="V56" s="64"/>
      <c r="W56" s="64"/>
      <c r="X56" s="64"/>
      <c r="Z56" s="64"/>
      <c r="AA56" s="64"/>
      <c r="AB56" s="64"/>
      <c r="AC56" s="64"/>
      <c r="AD56" s="64"/>
      <c r="AE56" s="75"/>
      <c r="AH56" s="64" ph="1">
        <v>7</v>
      </c>
      <c r="AI56" s="64" t="s" ph="1">
        <v>381</v>
      </c>
      <c r="AY56" s="64" t="s" ph="1">
        <v>216</v>
      </c>
      <c r="AZ56" s="64" t="s" ph="1">
        <v>367</v>
      </c>
    </row>
    <row r="57" spans="16:52" ph="1">
      <c r="R57" s="64"/>
      <c r="S57" s="64"/>
      <c r="T57" s="64"/>
      <c r="U57" s="64"/>
      <c r="V57" s="64"/>
      <c r="W57" s="64"/>
      <c r="AA57" s="64"/>
      <c r="AB57" s="64"/>
      <c r="AC57" s="64"/>
      <c r="AD57" s="64"/>
      <c r="AE57" s="75"/>
      <c r="AH57" s="64" ph="1">
        <v>8</v>
      </c>
      <c r="AI57" s="64" t="s" ph="1">
        <v>382</v>
      </c>
      <c r="AY57" s="64" t="s" ph="1">
        <v>216</v>
      </c>
      <c r="AZ57" s="64" t="s" ph="1">
        <v>367</v>
      </c>
    </row>
    <row r="58" spans="16:52" ph="1">
      <c r="P58" s="64"/>
      <c r="AN58" s="64" t="s" ph="1">
        <v>217</v>
      </c>
      <c r="AZ58" s="64" t="s" ph="1">
        <v>577</v>
      </c>
    </row>
    <row r="59" spans="16:52" ph="1">
      <c r="V59" s="64"/>
      <c r="AG59" s="64" t="s" ph="1">
        <v>235</v>
      </c>
      <c r="AI59" s="64" t="s" ph="1">
        <v>209</v>
      </c>
      <c r="AJ59" s="64" t="s" ph="1">
        <v>210</v>
      </c>
      <c r="AK59" s="64" t="s" ph="1">
        <v>211</v>
      </c>
      <c r="AM59" s="64" t="s" ph="1">
        <v>210</v>
      </c>
      <c r="AN59" s="64" t="s" ph="1">
        <v>211</v>
      </c>
      <c r="AO59" s="64" t="s" ph="1">
        <v>212</v>
      </c>
      <c r="AP59" s="64" t="s" ph="1">
        <v>210</v>
      </c>
      <c r="AQ59" s="64" t="s" ph="1">
        <v>211</v>
      </c>
      <c r="AR59" s="64" t="s" ph="1">
        <v>212</v>
      </c>
      <c r="AS59" s="64" t="s" ph="1">
        <v>210</v>
      </c>
      <c r="AT59" s="64" t="s" ph="1">
        <v>211</v>
      </c>
      <c r="AU59" s="64" t="s" ph="1">
        <v>212</v>
      </c>
      <c r="AV59" s="64" t="s" ph="1">
        <v>210</v>
      </c>
      <c r="AW59" s="64" t="s" ph="1">
        <v>211</v>
      </c>
      <c r="AX59" s="64" t="s" ph="1">
        <v>212</v>
      </c>
      <c r="AY59" s="64" t="s" ph="1">
        <v>211</v>
      </c>
      <c r="AZ59" s="64" t="s" ph="1">
        <v>213</v>
      </c>
    </row>
    <row r="60" spans="16:52" ph="1">
      <c r="R60" s="64"/>
      <c r="S60" s="64"/>
      <c r="T60" s="64"/>
      <c r="AH60" s="64" ph="1">
        <v>1</v>
      </c>
      <c r="AI60" s="64" t="s" ph="1">
        <v>383</v>
      </c>
      <c r="AY60" s="64" t="s" ph="1">
        <v>216</v>
      </c>
      <c r="AZ60" s="64" t="s" ph="1">
        <v>367</v>
      </c>
    </row>
    <row r="61" spans="16:52" ph="1">
      <c r="AH61" s="64" ph="1">
        <v>2</v>
      </c>
      <c r="AI61" s="64" t="s" ph="1">
        <v>384</v>
      </c>
      <c r="AS61" s="64" t="s" ph="1">
        <v>217</v>
      </c>
      <c r="AY61" s="64" t="s" ph="1">
        <v>216</v>
      </c>
      <c r="AZ61" s="64" t="s" ph="1">
        <v>367</v>
      </c>
    </row>
    <row r="62" spans="16:52" ph="1">
      <c r="AZ62" s="64" t="s" ph="1">
        <v>385</v>
      </c>
    </row>
    <row r="63" spans="16:52" ph="1">
      <c r="AG63" s="64" t="s" ph="1">
        <v>238</v>
      </c>
      <c r="AI63" s="64" t="s" ph="1">
        <v>209</v>
      </c>
      <c r="AJ63" s="64" t="s" ph="1">
        <v>210</v>
      </c>
      <c r="AK63" s="64" t="s" ph="1">
        <v>211</v>
      </c>
      <c r="AM63" s="64" t="s" ph="1">
        <v>210</v>
      </c>
      <c r="AN63" s="64" t="s" ph="1">
        <v>211</v>
      </c>
      <c r="AO63" s="64" t="s" ph="1">
        <v>212</v>
      </c>
      <c r="AP63" s="64" t="s" ph="1">
        <v>210</v>
      </c>
      <c r="AQ63" s="64" t="s" ph="1">
        <v>211</v>
      </c>
      <c r="AR63" s="64" t="s" ph="1">
        <v>212</v>
      </c>
      <c r="AS63" s="64" t="s" ph="1">
        <v>210</v>
      </c>
      <c r="AT63" s="64" t="s" ph="1">
        <v>211</v>
      </c>
      <c r="AU63" s="64" t="s" ph="1">
        <v>212</v>
      </c>
      <c r="AV63" s="64" t="s" ph="1">
        <v>210</v>
      </c>
      <c r="AW63" s="64" t="s" ph="1">
        <v>211</v>
      </c>
      <c r="AX63" s="64" t="s" ph="1">
        <v>212</v>
      </c>
      <c r="AY63" s="64" t="s" ph="1">
        <v>211</v>
      </c>
      <c r="AZ63" s="64" t="s" ph="1">
        <v>213</v>
      </c>
    </row>
    <row r="64" spans="16:52" ph="1">
      <c r="AH64" s="64" ph="1">
        <v>1</v>
      </c>
      <c r="AI64" s="64" t="s" ph="1">
        <v>386</v>
      </c>
      <c r="AJ64" s="64" t="s" ph="1">
        <v>387</v>
      </c>
      <c r="AK64" s="64" t="s" ph="1">
        <v>388</v>
      </c>
      <c r="AY64" s="64" t="s" ph="1">
        <v>216</v>
      </c>
      <c r="AZ64" s="64" t="s" ph="1">
        <v>388</v>
      </c>
    </row>
    <row r="65" spans="33:52" ph="1">
      <c r="AH65" s="64" ph="1">
        <v>2</v>
      </c>
      <c r="AI65" s="64" t="s" ph="1">
        <v>389</v>
      </c>
      <c r="AY65" s="64" t="s" ph="1">
        <v>216</v>
      </c>
      <c r="AZ65" s="64" t="s" ph="1">
        <v>367</v>
      </c>
    </row>
    <row r="66" spans="33:52" ph="1">
      <c r="AH66" s="64" ph="1">
        <v>3</v>
      </c>
      <c r="AI66" s="64" t="s" ph="1">
        <v>390</v>
      </c>
      <c r="AY66" s="64" t="s" ph="1">
        <v>216</v>
      </c>
      <c r="AZ66" s="64" t="s" ph="1">
        <v>367</v>
      </c>
    </row>
    <row r="67" spans="33:52" ph="1">
      <c r="AH67" s="64" ph="1">
        <v>4</v>
      </c>
      <c r="AI67" s="64" t="s" ph="1">
        <v>391</v>
      </c>
      <c r="AY67" s="64" t="s" ph="1">
        <v>216</v>
      </c>
      <c r="AZ67" s="64" t="s" ph="1">
        <v>367</v>
      </c>
    </row>
    <row r="68" spans="33:52" ph="1">
      <c r="AH68" s="64" ph="1">
        <v>5</v>
      </c>
      <c r="AI68" s="64" t="s" ph="1">
        <v>392</v>
      </c>
      <c r="AY68" s="64" t="s" ph="1">
        <v>216</v>
      </c>
      <c r="AZ68" s="64" t="s" ph="1">
        <v>367</v>
      </c>
    </row>
    <row r="69" spans="33:52" ph="1">
      <c r="AH69" s="64" ph="1">
        <v>6</v>
      </c>
      <c r="AI69" s="64" t="s" ph="1">
        <v>393</v>
      </c>
      <c r="AY69" s="64" t="s" ph="1">
        <v>216</v>
      </c>
      <c r="AZ69" s="64" t="s" ph="1">
        <v>367</v>
      </c>
    </row>
    <row r="70" spans="33:52" ph="1">
      <c r="AI70" s="64" t="s" ph="1">
        <v>394</v>
      </c>
      <c r="AY70" s="64" t="s" ph="1">
        <v>216</v>
      </c>
      <c r="AZ70" s="64" t="s" ph="1">
        <v>367</v>
      </c>
    </row>
    <row r="71" spans="33:52" ph="1">
      <c r="AH71" s="64" ph="1">
        <v>7</v>
      </c>
      <c r="AI71" s="64" t="s" ph="1">
        <v>395</v>
      </c>
      <c r="AJ71" s="64" t="s" ph="1">
        <v>334</v>
      </c>
      <c r="AK71" s="64" t="s" ph="1">
        <v>228</v>
      </c>
      <c r="AM71" s="64" t="s" ph="1">
        <v>336</v>
      </c>
      <c r="AN71" s="64" t="s" ph="1">
        <v>228</v>
      </c>
      <c r="AO71" s="64" t="s" ph="1">
        <v>396</v>
      </c>
      <c r="AP71" s="64" t="s" ph="1">
        <v>570</v>
      </c>
      <c r="AQ71" s="64" t="s" ph="1">
        <v>219</v>
      </c>
      <c r="AR71" s="64" t="s" ph="1">
        <v>396</v>
      </c>
      <c r="AY71" s="64" t="s" ph="1">
        <v>216</v>
      </c>
      <c r="AZ71" s="64" t="s" ph="1">
        <v>578</v>
      </c>
    </row>
    <row r="72" spans="33:52" ph="1">
      <c r="AZ72" s="64" t="s" ph="1">
        <v>579</v>
      </c>
    </row>
    <row r="73" spans="33:52" ph="1">
      <c r="AG73" s="64" t="s" ph="1">
        <v>241</v>
      </c>
      <c r="AI73" s="64" t="s" ph="1">
        <v>209</v>
      </c>
      <c r="AJ73" s="64" t="s" ph="1">
        <v>210</v>
      </c>
      <c r="AK73" s="64" t="s" ph="1">
        <v>211</v>
      </c>
      <c r="AM73" s="64" t="s" ph="1">
        <v>210</v>
      </c>
      <c r="AN73" s="64" t="s" ph="1">
        <v>211</v>
      </c>
      <c r="AO73" s="64" t="s" ph="1">
        <v>212</v>
      </c>
      <c r="AP73" s="64" t="s" ph="1">
        <v>210</v>
      </c>
      <c r="AQ73" s="64" t="s" ph="1">
        <v>211</v>
      </c>
      <c r="AR73" s="64" t="s" ph="1">
        <v>212</v>
      </c>
      <c r="AS73" s="64" t="s" ph="1">
        <v>210</v>
      </c>
      <c r="AT73" s="64" t="s" ph="1">
        <v>211</v>
      </c>
      <c r="AU73" s="64" t="s" ph="1">
        <v>212</v>
      </c>
      <c r="AV73" s="64" t="s" ph="1">
        <v>210</v>
      </c>
      <c r="AW73" s="64" t="s" ph="1">
        <v>211</v>
      </c>
      <c r="AX73" s="64" t="s" ph="1">
        <v>212</v>
      </c>
      <c r="AY73" s="64" t="s" ph="1">
        <v>211</v>
      </c>
      <c r="AZ73" s="64" t="s" ph="1">
        <v>213</v>
      </c>
    </row>
    <row r="74" spans="33:52" ph="1">
      <c r="AH74" s="64" ph="1">
        <v>1</v>
      </c>
      <c r="AI74" s="64" t="s" ph="1">
        <v>397</v>
      </c>
      <c r="AJ74" s="64" t="s" ph="1">
        <v>242</v>
      </c>
      <c r="AK74" s="64" t="s" ph="1">
        <v>224</v>
      </c>
      <c r="AM74" s="64" t="s" ph="1">
        <v>244</v>
      </c>
      <c r="AN74" s="64" t="s" ph="1">
        <v>254</v>
      </c>
      <c r="AO74" s="64" t="s" ph="1">
        <v>243</v>
      </c>
      <c r="AP74" s="64" t="s" ph="1">
        <v>245</v>
      </c>
      <c r="AQ74" s="64" t="s" ph="1">
        <v>222</v>
      </c>
      <c r="AR74" s="64" t="s" ph="1">
        <v>243</v>
      </c>
      <c r="AS74" s="64" t="s" ph="1">
        <v>215</v>
      </c>
      <c r="AT74" s="64" t="s" ph="1">
        <v>217</v>
      </c>
      <c r="AV74" s="64" t="s" ph="1">
        <v>398</v>
      </c>
      <c r="AW74" s="64" t="s" ph="1">
        <v>399</v>
      </c>
      <c r="AX74" s="64" t="s" ph="1">
        <v>400</v>
      </c>
      <c r="AY74" s="64" t="s" ph="1">
        <v>216</v>
      </c>
      <c r="AZ74" s="64" t="s" ph="1">
        <v>401</v>
      </c>
    </row>
    <row r="75" spans="33:52" ph="1">
      <c r="AJ75" s="64" t="s" ph="1">
        <v>247</v>
      </c>
      <c r="AK75" s="64" t="s" ph="1">
        <v>300</v>
      </c>
      <c r="AM75" s="64" t="s" ph="1">
        <v>245</v>
      </c>
      <c r="AN75" s="64" t="s" ph="1">
        <v>225</v>
      </c>
      <c r="AO75" s="64" t="s" ph="1">
        <v>243</v>
      </c>
      <c r="AS75" s="64" t="s" ph="1">
        <v>215</v>
      </c>
      <c r="AT75" s="64" t="s" ph="1">
        <v>246</v>
      </c>
    </row>
    <row r="76" spans="33:52" ph="1">
      <c r="AJ76" s="64" t="s" ph="1">
        <v>247</v>
      </c>
      <c r="AK76" s="64" t="s" ph="1">
        <v>240</v>
      </c>
      <c r="AM76" s="64" t="s" ph="1">
        <v>245</v>
      </c>
      <c r="AN76" s="64" t="s" ph="1">
        <v>228</v>
      </c>
      <c r="AO76" s="64" t="s" ph="1">
        <v>243</v>
      </c>
      <c r="AS76" s="64" t="s" ph="1">
        <v>215</v>
      </c>
      <c r="AT76" s="64" t="s" ph="1">
        <v>246</v>
      </c>
    </row>
    <row r="77" spans="33:52" ph="1">
      <c r="AJ77" s="64" t="s" ph="1">
        <v>283</v>
      </c>
      <c r="AK77" s="64" t="s" ph="1">
        <v>240</v>
      </c>
      <c r="AM77" s="64" t="s" ph="1">
        <v>284</v>
      </c>
      <c r="AN77" s="64" t="s" ph="1">
        <v>223</v>
      </c>
      <c r="AO77" s="64" t="s" ph="1">
        <v>243</v>
      </c>
      <c r="AS77" s="64" t="s" ph="1">
        <v>215</v>
      </c>
      <c r="AT77" s="64" t="s" ph="1">
        <v>285</v>
      </c>
    </row>
    <row r="78" spans="33:52" ph="1">
      <c r="AH78" s="64" ph="1">
        <v>2</v>
      </c>
      <c r="AI78" s="64" t="s" ph="1">
        <v>249</v>
      </c>
      <c r="AJ78" s="64" t="s" ph="1">
        <v>250</v>
      </c>
      <c r="AK78" s="64" t="s" ph="1">
        <v>219</v>
      </c>
      <c r="AM78" s="64" t="s" ph="1">
        <v>251</v>
      </c>
      <c r="AN78" s="64" t="s" ph="1">
        <v>254</v>
      </c>
      <c r="AO78" s="64" t="s" ph="1">
        <v>243</v>
      </c>
      <c r="AP78" s="64" t="s" ph="1">
        <v>252</v>
      </c>
      <c r="AQ78" s="64" t="s" ph="1">
        <v>298</v>
      </c>
      <c r="AR78" s="64" t="s" ph="1">
        <v>243</v>
      </c>
      <c r="AS78" s="64" t="s" ph="1">
        <v>253</v>
      </c>
      <c r="AT78" s="64" t="s" ph="1">
        <v>254</v>
      </c>
      <c r="AU78" s="64" t="s" ph="1">
        <v>243</v>
      </c>
      <c r="AV78" s="64" t="s" ph="1">
        <v>255</v>
      </c>
      <c r="AW78" s="64" t="s" ph="1">
        <v>243</v>
      </c>
      <c r="AY78" s="64" t="s" ph="1">
        <v>216</v>
      </c>
      <c r="AZ78" s="64" t="s" ph="1">
        <v>402</v>
      </c>
    </row>
    <row r="79" spans="33:52" ph="1">
      <c r="AJ79" s="64" t="s" ph="1">
        <v>245</v>
      </c>
      <c r="AK79" s="64" t="s" ph="1">
        <v>256</v>
      </c>
      <c r="AM79" s="64" t="s" ph="1">
        <v>257</v>
      </c>
      <c r="AN79" s="64" t="s" ph="1">
        <v>225</v>
      </c>
      <c r="AO79" s="64" t="s" ph="1">
        <v>243</v>
      </c>
      <c r="AP79" s="64" t="s" ph="1">
        <v>258</v>
      </c>
      <c r="AQ79" s="64" t="s" ph="1">
        <v>223</v>
      </c>
      <c r="AR79" s="64" t="s" ph="1">
        <v>259</v>
      </c>
      <c r="AS79" s="64" t="s" ph="1">
        <v>215</v>
      </c>
      <c r="AT79" s="64" t="s" ph="1">
        <v>260</v>
      </c>
      <c r="AV79" s="64" t="s" ph="1">
        <v>403</v>
      </c>
      <c r="AW79" s="64" t="s" ph="1">
        <v>302</v>
      </c>
      <c r="AX79" s="64" t="s" ph="1">
        <v>400</v>
      </c>
    </row>
    <row r="80" spans="33:52" ph="1">
      <c r="AH80" s="64" ph="1">
        <v>3</v>
      </c>
      <c r="AI80" s="64" t="s" ph="1">
        <v>261</v>
      </c>
      <c r="AJ80" s="64" t="s" ph="1">
        <v>262</v>
      </c>
      <c r="AK80" s="64" t="s" ph="1">
        <v>263</v>
      </c>
      <c r="AM80" s="64" t="s" ph="1">
        <v>264</v>
      </c>
      <c r="AN80" s="64" t="s" ph="1">
        <v>254</v>
      </c>
      <c r="AO80" s="64" t="s" ph="1">
        <v>243</v>
      </c>
      <c r="AP80" s="64" t="s" ph="1">
        <v>265</v>
      </c>
      <c r="AQ80" s="64" t="s" ph="1">
        <v>228</v>
      </c>
      <c r="AR80" s="64" t="s" ph="1">
        <v>243</v>
      </c>
      <c r="AS80" s="64" t="s" ph="1">
        <v>266</v>
      </c>
      <c r="AT80" s="64" t="s" ph="1">
        <v>227</v>
      </c>
      <c r="AU80" s="64" t="s" ph="1">
        <v>243</v>
      </c>
      <c r="AV80" s="64" t="s" ph="1">
        <v>267</v>
      </c>
      <c r="AW80" s="64" t="s" ph="1">
        <v>243</v>
      </c>
      <c r="AY80" s="64" t="s" ph="1">
        <v>216</v>
      </c>
      <c r="AZ80" s="64" t="s" ph="1">
        <v>404</v>
      </c>
    </row>
    <row r="81" spans="34:52" ph="1">
      <c r="AJ81" s="64" t="s" ph="1">
        <v>268</v>
      </c>
      <c r="AK81" s="64" t="s" ph="1">
        <v>222</v>
      </c>
      <c r="AM81" s="64" t="s" ph="1">
        <v>269</v>
      </c>
      <c r="AN81" s="64" t="s" ph="1">
        <v>225</v>
      </c>
      <c r="AO81" s="64" t="s" ph="1">
        <v>243</v>
      </c>
      <c r="AP81" s="64" t="s" ph="1">
        <v>270</v>
      </c>
      <c r="AQ81" s="64" t="s" ph="1">
        <v>254</v>
      </c>
      <c r="AR81" s="64" t="s" ph="1">
        <v>243</v>
      </c>
      <c r="AS81" s="64" t="s" ph="1">
        <v>271</v>
      </c>
      <c r="AT81" s="64" t="s" ph="1">
        <v>272</v>
      </c>
      <c r="AU81" s="64" t="s" ph="1">
        <v>243</v>
      </c>
      <c r="AV81" s="64" t="s" ph="1">
        <v>273</v>
      </c>
    </row>
    <row r="82" spans="34:52" ph="1">
      <c r="AJ82" s="64" t="s" ph="1">
        <v>274</v>
      </c>
      <c r="AK82" s="64" t="s" ph="1">
        <v>222</v>
      </c>
      <c r="AM82" s="64" t="s" ph="1">
        <v>275</v>
      </c>
      <c r="AN82" s="64" t="s" ph="1">
        <v>272</v>
      </c>
      <c r="AO82" s="64" t="s" ph="1">
        <v>276</v>
      </c>
      <c r="AP82" s="64" t="s" ph="1">
        <v>277</v>
      </c>
      <c r="AQ82" s="64" t="s" ph="1">
        <v>254</v>
      </c>
      <c r="AR82" s="64" t="s" ph="1">
        <v>243</v>
      </c>
      <c r="AS82" s="64" t="s" ph="1">
        <v>278</v>
      </c>
      <c r="AT82" s="64" t="s" ph="1">
        <v>229</v>
      </c>
      <c r="AU82" s="64" t="s" ph="1">
        <v>243</v>
      </c>
      <c r="AV82" s="64" t="s" ph="1">
        <v>403</v>
      </c>
      <c r="AW82" s="64" t="s" ph="1">
        <v>303</v>
      </c>
      <c r="AX82" s="64" t="s" ph="1">
        <v>400</v>
      </c>
    </row>
    <row r="83" spans="34:52" ph="1">
      <c r="AJ83" s="64" t="s" ph="1">
        <v>279</v>
      </c>
      <c r="AK83" s="64" t="s" ph="1">
        <v>296</v>
      </c>
      <c r="AM83" s="64" t="s" ph="1">
        <v>280</v>
      </c>
      <c r="AN83" s="64" t="s" ph="1">
        <v>228</v>
      </c>
      <c r="AO83" s="64" t="s" ph="1">
        <v>259</v>
      </c>
      <c r="AP83" s="64" t="s" ph="1">
        <v>281</v>
      </c>
      <c r="AQ83" s="64" t="s" ph="1">
        <v>282</v>
      </c>
      <c r="AR83" s="64" t="s" ph="1">
        <v>259</v>
      </c>
      <c r="AS83" s="64" t="s" ph="1">
        <v>405</v>
      </c>
      <c r="AT83" s="64" t="s" ph="1">
        <v>254</v>
      </c>
      <c r="AU83" s="64" t="s" ph="1">
        <v>259</v>
      </c>
      <c r="AV83" s="64" t="s" ph="1">
        <v>406</v>
      </c>
      <c r="AW83" s="64" t="s" ph="1">
        <v>303</v>
      </c>
      <c r="AX83" s="64" t="s" ph="1">
        <v>407</v>
      </c>
    </row>
    <row r="84" spans="34:52" ph="1">
      <c r="AH84" s="64" ph="1">
        <v>4</v>
      </c>
      <c r="AI84" s="64" t="s" ph="1">
        <v>286</v>
      </c>
      <c r="AJ84" s="64" t="s" ph="1">
        <v>226</v>
      </c>
      <c r="AK84" s="64" t="s" ph="1">
        <v>229</v>
      </c>
      <c r="AM84" s="64" t="s" ph="1">
        <v>230</v>
      </c>
      <c r="AN84" s="64" t="s" ph="1">
        <v>223</v>
      </c>
      <c r="AO84" s="64" t="s" ph="1">
        <v>259</v>
      </c>
      <c r="AP84" s="64" t="s" ph="1">
        <v>288</v>
      </c>
      <c r="AQ84" s="64" t="s" ph="1">
        <v>222</v>
      </c>
      <c r="AR84" s="64" t="s" ph="1">
        <v>259</v>
      </c>
      <c r="AS84" s="64" t="s" ph="1">
        <v>288</v>
      </c>
      <c r="AT84" s="64" t="s" ph="1">
        <v>224</v>
      </c>
      <c r="AU84" s="64" t="s" ph="1">
        <v>259</v>
      </c>
      <c r="AY84" s="64" t="s" ph="1">
        <v>216</v>
      </c>
      <c r="AZ84" s="64" t="s" ph="1">
        <v>408</v>
      </c>
    </row>
    <row r="85" spans="34:52" ph="1">
      <c r="AJ85" s="64" t="s" ph="1">
        <v>218</v>
      </c>
      <c r="AK85" s="64" t="s" ph="1">
        <v>222</v>
      </c>
      <c r="AM85" s="64" t="s" ph="1">
        <v>409</v>
      </c>
      <c r="AN85" s="64" t="s" ph="1">
        <v>229</v>
      </c>
      <c r="AO85" s="64" t="s" ph="1">
        <v>259</v>
      </c>
      <c r="AP85" s="64" t="s" ph="1">
        <v>410</v>
      </c>
      <c r="AQ85" s="64" t="s" ph="1">
        <v>225</v>
      </c>
      <c r="AR85" s="64" t="s" ph="1">
        <v>259</v>
      </c>
      <c r="AS85" s="64" t="s" ph="1">
        <v>411</v>
      </c>
      <c r="AT85" s="64" t="s" ph="1">
        <v>225</v>
      </c>
      <c r="AU85" s="64" t="s" ph="1">
        <v>259</v>
      </c>
    </row>
    <row r="86" spans="34:52" ph="1">
      <c r="AJ86" s="64" t="s" ph="1">
        <v>412</v>
      </c>
      <c r="AK86" s="64" t="s" ph="1">
        <v>231</v>
      </c>
      <c r="AM86" s="64" t="s" ph="1">
        <v>413</v>
      </c>
      <c r="AN86" s="64" t="s" ph="1">
        <v>272</v>
      </c>
      <c r="AO86" s="64" t="s" ph="1">
        <v>259</v>
      </c>
      <c r="AP86" s="64" t="s" ph="1">
        <v>414</v>
      </c>
      <c r="AQ86" s="64" t="s" ph="1">
        <v>219</v>
      </c>
      <c r="AR86" s="64" t="s" ph="1">
        <v>259</v>
      </c>
      <c r="AS86" s="64" t="s" ph="1">
        <v>415</v>
      </c>
      <c r="AT86" s="64" t="s" ph="1">
        <v>237</v>
      </c>
      <c r="AU86" s="64" t="s" ph="1">
        <v>259</v>
      </c>
    </row>
    <row r="87" spans="34:52" ph="1">
      <c r="AJ87" s="64" t="s" ph="1">
        <v>416</v>
      </c>
      <c r="AK87" s="64" t="s" ph="1">
        <v>272</v>
      </c>
      <c r="AM87" s="64" t="s" ph="1">
        <v>403</v>
      </c>
      <c r="AN87" s="64" t="s" ph="1">
        <v>417</v>
      </c>
      <c r="AO87" s="64" t="s" ph="1">
        <v>400</v>
      </c>
    </row>
    <row r="88" spans="34:52" ph="1">
      <c r="AH88" s="64" ph="1">
        <v>5</v>
      </c>
      <c r="AI88" s="64" t="s" ph="1">
        <v>289</v>
      </c>
      <c r="AJ88" s="64" t="s" ph="1">
        <v>418</v>
      </c>
      <c r="AK88" s="64" t="s" ph="1">
        <v>272</v>
      </c>
      <c r="AM88" s="64" t="s" ph="1">
        <v>419</v>
      </c>
      <c r="AN88" s="64" t="s" ph="1">
        <v>272</v>
      </c>
      <c r="AO88" s="64" t="s" ph="1">
        <v>259</v>
      </c>
      <c r="AP88" s="64" t="s" ph="1">
        <v>420</v>
      </c>
      <c r="AQ88" s="64" t="s" ph="1">
        <v>222</v>
      </c>
      <c r="AR88" s="64" t="s" ph="1">
        <v>259</v>
      </c>
      <c r="AS88" s="64" t="s" ph="1">
        <v>421</v>
      </c>
      <c r="AT88" s="64" t="s" ph="1">
        <v>272</v>
      </c>
      <c r="AU88" s="64" t="s" ph="1">
        <v>259</v>
      </c>
      <c r="AV88" s="64" t="s" ph="1">
        <v>422</v>
      </c>
      <c r="AW88" s="64" t="s" ph="1">
        <v>227</v>
      </c>
      <c r="AX88" s="64" t="s" ph="1">
        <v>259</v>
      </c>
      <c r="AY88" s="64" t="s" ph="1">
        <v>216</v>
      </c>
      <c r="AZ88" s="64" t="s" ph="1">
        <v>423</v>
      </c>
    </row>
    <row r="89" spans="34:52" ph="1">
      <c r="AJ89" s="64" t="s" ph="1">
        <v>424</v>
      </c>
      <c r="AK89" s="64" t="s" ph="1">
        <v>225</v>
      </c>
      <c r="AM89" s="64" t="s" ph="1">
        <v>425</v>
      </c>
      <c r="AN89" s="64" t="s" ph="1">
        <v>228</v>
      </c>
      <c r="AO89" s="64" t="s" ph="1">
        <v>259</v>
      </c>
      <c r="AP89" s="64" t="s" ph="1">
        <v>426</v>
      </c>
      <c r="AQ89" s="64" t="s" ph="1">
        <v>237</v>
      </c>
      <c r="AR89" s="64" t="s" ph="1">
        <v>259</v>
      </c>
      <c r="AS89" s="64" t="s" ph="1">
        <v>427</v>
      </c>
      <c r="AT89" s="64" t="s" ph="1">
        <v>272</v>
      </c>
      <c r="AU89" s="64" t="s" ph="1">
        <v>259</v>
      </c>
      <c r="AV89" s="64" t="s" ph="1">
        <v>428</v>
      </c>
      <c r="AW89" s="64" t="s" ph="1">
        <v>254</v>
      </c>
      <c r="AX89" s="64" t="s" ph="1">
        <v>287</v>
      </c>
    </row>
    <row r="90" spans="34:52" ph="1">
      <c r="AJ90" s="64" t="s" ph="1">
        <v>429</v>
      </c>
      <c r="AK90" s="64" t="s" ph="1">
        <v>228</v>
      </c>
      <c r="AM90" s="64" t="s" ph="1">
        <v>430</v>
      </c>
      <c r="AN90" s="64" t="s" ph="1">
        <v>225</v>
      </c>
      <c r="AO90" s="64" t="s" ph="1">
        <v>259</v>
      </c>
      <c r="AP90" s="64" t="s" ph="1">
        <v>431</v>
      </c>
      <c r="AQ90" s="64" t="s" ph="1">
        <v>294</v>
      </c>
      <c r="AR90" s="64" t="s" ph="1">
        <v>259</v>
      </c>
      <c r="AS90" s="64" t="s" ph="1">
        <v>432</v>
      </c>
      <c r="AT90" s="64" t="s" ph="1">
        <v>282</v>
      </c>
      <c r="AU90" s="64" t="s" ph="1">
        <v>259</v>
      </c>
      <c r="AV90" s="64" t="s" ph="1">
        <v>433</v>
      </c>
      <c r="AW90" s="64" t="s" ph="1">
        <v>219</v>
      </c>
      <c r="AX90" s="64" t="s" ph="1">
        <v>259</v>
      </c>
    </row>
    <row r="91" spans="34:52" ph="1">
      <c r="AJ91" s="64" t="s" ph="1">
        <v>434</v>
      </c>
      <c r="AK91" s="64" t="s" ph="1">
        <v>272</v>
      </c>
      <c r="AM91" s="64" t="s" ph="1">
        <v>435</v>
      </c>
      <c r="AN91" s="64" t="s" ph="1">
        <v>239</v>
      </c>
      <c r="AO91" s="64" t="s" ph="1">
        <v>259</v>
      </c>
      <c r="AP91" s="64" t="s" ph="1">
        <v>436</v>
      </c>
      <c r="AQ91" s="64" t="s" ph="1">
        <v>219</v>
      </c>
      <c r="AS91" s="64" t="s" ph="1">
        <v>403</v>
      </c>
      <c r="AT91" s="64" t="s" ph="1">
        <v>399</v>
      </c>
      <c r="AU91" s="64" t="s" ph="1">
        <v>400</v>
      </c>
    </row>
    <row r="92" spans="34:52" ph="1">
      <c r="AH92" s="64" ph="1">
        <v>6</v>
      </c>
      <c r="AI92" s="64" t="s" ph="1">
        <v>437</v>
      </c>
      <c r="AJ92" s="64" t="s" ph="1">
        <v>438</v>
      </c>
      <c r="AK92" s="64" t="s" ph="1">
        <v>367</v>
      </c>
      <c r="AM92" s="64" t="s" ph="1">
        <v>439</v>
      </c>
      <c r="AN92" s="64" t="s" ph="1">
        <v>227</v>
      </c>
      <c r="AO92" s="64" t="s" ph="1">
        <v>259</v>
      </c>
      <c r="AP92" s="64" t="s" ph="1">
        <v>440</v>
      </c>
      <c r="AQ92" s="64" t="s" ph="1">
        <v>299</v>
      </c>
      <c r="AR92" s="64" t="s" ph="1">
        <v>259</v>
      </c>
      <c r="AS92" s="64" t="s" ph="1">
        <v>441</v>
      </c>
      <c r="AT92" s="64" t="s" ph="1">
        <v>272</v>
      </c>
      <c r="AU92" s="64" t="s" ph="1">
        <v>259</v>
      </c>
      <c r="AV92" s="64" t="s" ph="1">
        <v>442</v>
      </c>
      <c r="AW92" s="64" t="s" ph="1">
        <v>228</v>
      </c>
      <c r="AX92" s="64" t="s" ph="1">
        <v>259</v>
      </c>
      <c r="AY92" s="64" t="s" ph="1">
        <v>216</v>
      </c>
      <c r="AZ92" s="64" t="s" ph="1">
        <v>423</v>
      </c>
    </row>
    <row r="93" spans="34:52" ph="1">
      <c r="AJ93" s="64" t="s" ph="1">
        <v>443</v>
      </c>
      <c r="AK93" s="64" t="s" ph="1">
        <v>222</v>
      </c>
      <c r="AM93" s="64" t="s" ph="1">
        <v>444</v>
      </c>
      <c r="AN93" s="64" t="s" ph="1">
        <v>227</v>
      </c>
      <c r="AO93" s="64" t="s" ph="1">
        <v>259</v>
      </c>
      <c r="AP93" s="64" t="s" ph="1">
        <v>445</v>
      </c>
      <c r="AQ93" s="64" t="s" ph="1">
        <v>231</v>
      </c>
      <c r="AR93" s="64" t="s" ph="1">
        <v>259</v>
      </c>
      <c r="AS93" s="64" t="s" ph="1">
        <v>446</v>
      </c>
      <c r="AT93" s="64" t="s" ph="1">
        <v>237</v>
      </c>
      <c r="AU93" s="64" t="s" ph="1">
        <v>259</v>
      </c>
      <c r="AV93" s="64" t="s" ph="1">
        <v>447</v>
      </c>
      <c r="AW93" s="64" t="s" ph="1">
        <v>231</v>
      </c>
      <c r="AX93" s="64" t="s" ph="1">
        <v>259</v>
      </c>
    </row>
    <row r="94" spans="34:52" ph="1">
      <c r="AJ94" s="64" t="s" ph="1">
        <v>448</v>
      </c>
      <c r="AK94" s="64" t="s" ph="1">
        <v>294</v>
      </c>
      <c r="AM94" s="64" t="s" ph="1">
        <v>449</v>
      </c>
      <c r="AN94" s="64" t="s" ph="1">
        <v>231</v>
      </c>
      <c r="AO94" s="64" t="s" ph="1">
        <v>259</v>
      </c>
      <c r="AP94" s="64" t="s" ph="1">
        <v>450</v>
      </c>
      <c r="AQ94" s="64" t="s" ph="1">
        <v>239</v>
      </c>
      <c r="AR94" s="64" t="s" ph="1">
        <v>259</v>
      </c>
      <c r="AS94" s="64" t="s" ph="1">
        <v>451</v>
      </c>
      <c r="AT94" s="64" t="s" ph="1">
        <v>225</v>
      </c>
      <c r="AU94" s="64" t="s" ph="1">
        <v>259</v>
      </c>
      <c r="AV94" s="64" t="s" ph="1">
        <v>452</v>
      </c>
      <c r="AW94" s="64" t="s" ph="1">
        <v>225</v>
      </c>
      <c r="AX94" s="64" t="s" ph="1">
        <v>259</v>
      </c>
    </row>
    <row r="95" spans="34:52" ph="1">
      <c r="AJ95" s="64" t="s" ph="1">
        <v>453</v>
      </c>
      <c r="AK95" s="64" t="s" ph="1">
        <v>299</v>
      </c>
    </row>
    <row r="96" spans="34:52" ph="1">
      <c r="AH96" s="64" ph="1">
        <v>7</v>
      </c>
      <c r="AI96" s="64" t="s" ph="1">
        <v>454</v>
      </c>
      <c r="AJ96" s="64" t="s" ph="1">
        <v>453</v>
      </c>
      <c r="AK96" s="64" t="s" ph="1">
        <v>254</v>
      </c>
      <c r="AM96" s="64" t="s" ph="1">
        <v>455</v>
      </c>
      <c r="AN96" s="64" t="s" ph="1">
        <v>228</v>
      </c>
      <c r="AO96" s="64" t="s" ph="1">
        <v>259</v>
      </c>
      <c r="AP96" s="64" t="s" ph="1">
        <v>456</v>
      </c>
      <c r="AQ96" s="64" t="s" ph="1">
        <v>272</v>
      </c>
      <c r="AR96" s="64" t="s" ph="1">
        <v>287</v>
      </c>
      <c r="AS96" s="64" t="s" ph="1">
        <v>457</v>
      </c>
      <c r="AT96" s="64" t="s" ph="1">
        <v>231</v>
      </c>
      <c r="AU96" s="64" t="s" ph="1">
        <v>287</v>
      </c>
      <c r="AV96" s="64" t="s" ph="1">
        <v>458</v>
      </c>
      <c r="AW96" s="64" t="s" ph="1">
        <v>227</v>
      </c>
      <c r="AX96" s="64" t="s" ph="1">
        <v>287</v>
      </c>
      <c r="AY96" s="64" t="s" ph="1">
        <v>216</v>
      </c>
      <c r="AZ96" s="64" t="s" ph="1">
        <v>459</v>
      </c>
    </row>
    <row r="97" spans="33:52" ph="1">
      <c r="AJ97" s="64" t="s" ph="1">
        <v>460</v>
      </c>
      <c r="AK97" s="64" t="s" ph="1">
        <v>282</v>
      </c>
      <c r="AM97" s="64" t="s" ph="1">
        <v>461</v>
      </c>
      <c r="AN97" s="64" t="s" ph="1">
        <v>225</v>
      </c>
      <c r="AO97" s="64" t="s" ph="1">
        <v>259</v>
      </c>
      <c r="AP97" s="64" t="s" ph="1">
        <v>462</v>
      </c>
      <c r="AQ97" s="64" t="s" ph="1">
        <v>219</v>
      </c>
      <c r="AR97" s="64" t="s" ph="1">
        <v>287</v>
      </c>
      <c r="AS97" s="64" t="s" ph="1">
        <v>463</v>
      </c>
      <c r="AT97" s="64" t="s" ph="1">
        <v>222</v>
      </c>
      <c r="AU97" s="64" t="s" ph="1">
        <v>287</v>
      </c>
      <c r="AV97" s="64" t="s" ph="1">
        <v>464</v>
      </c>
      <c r="AW97" s="64" t="s" ph="1">
        <v>228</v>
      </c>
      <c r="AX97" s="64" t="s" ph="1">
        <v>287</v>
      </c>
    </row>
    <row r="98" spans="33:52" ph="1">
      <c r="AJ98" s="64" t="s" ph="1">
        <v>465</v>
      </c>
      <c r="AK98" s="64" t="s" ph="1">
        <v>231</v>
      </c>
      <c r="AM98" s="64" t="s" ph="1">
        <v>466</v>
      </c>
      <c r="AN98" s="64" t="s" ph="1">
        <v>239</v>
      </c>
      <c r="AO98" s="64" t="s" ph="1">
        <v>259</v>
      </c>
      <c r="AP98" s="64" t="s" ph="1">
        <v>467</v>
      </c>
      <c r="AQ98" s="64" t="s" ph="1">
        <v>219</v>
      </c>
      <c r="AR98" s="64" t="s" ph="1">
        <v>287</v>
      </c>
      <c r="AS98" s="64" t="s" ph="1">
        <v>468</v>
      </c>
      <c r="AT98" s="64" t="s" ph="1">
        <v>299</v>
      </c>
      <c r="AU98" s="64" t="s" ph="1">
        <v>287</v>
      </c>
      <c r="AV98" s="64" t="s" ph="1">
        <v>469</v>
      </c>
      <c r="AW98" s="64" t="s" ph="1">
        <v>222</v>
      </c>
      <c r="AX98" s="64" t="s" ph="1">
        <v>287</v>
      </c>
    </row>
    <row r="99" spans="33:52" ph="1">
      <c r="AH99" s="64" ph="1">
        <v>8</v>
      </c>
      <c r="AI99" s="64" t="s" ph="1">
        <v>470</v>
      </c>
      <c r="AJ99" s="64" t="s" ph="1">
        <v>471</v>
      </c>
      <c r="AK99" s="64" t="s" ph="1">
        <v>367</v>
      </c>
      <c r="AM99" s="64" t="s" ph="1">
        <v>472</v>
      </c>
      <c r="AN99" s="64" t="s" ph="1">
        <v>254</v>
      </c>
      <c r="AO99" s="64" t="s" ph="1">
        <v>259</v>
      </c>
      <c r="AP99" s="64" t="s" ph="1">
        <v>473</v>
      </c>
      <c r="AQ99" s="64" t="s" ph="1">
        <v>224</v>
      </c>
      <c r="AR99" s="64" t="s" ph="1">
        <v>287</v>
      </c>
      <c r="AS99" s="64" t="s" ph="1">
        <v>474</v>
      </c>
      <c r="AT99" s="64" t="s" ph="1">
        <v>239</v>
      </c>
      <c r="AU99" s="64" t="s" ph="1">
        <v>287</v>
      </c>
      <c r="AV99" s="64" t="s" ph="1">
        <v>475</v>
      </c>
      <c r="AW99" s="64" t="s" ph="1">
        <v>224</v>
      </c>
      <c r="AX99" s="64" t="s" ph="1">
        <v>287</v>
      </c>
      <c r="AY99" s="64" t="s" ph="1">
        <v>216</v>
      </c>
      <c r="AZ99" s="64" t="s" ph="1">
        <v>476</v>
      </c>
    </row>
    <row r="100" spans="33:52" ph="1">
      <c r="AJ100" s="64" t="s" ph="1">
        <v>477</v>
      </c>
      <c r="AK100" s="64" t="s" ph="1">
        <v>222</v>
      </c>
      <c r="AM100" s="64" t="s" ph="1">
        <v>478</v>
      </c>
      <c r="AN100" s="64" t="s" ph="1">
        <v>294</v>
      </c>
      <c r="AO100" s="64" t="s" ph="1">
        <v>259</v>
      </c>
      <c r="AP100" s="64" t="s" ph="1">
        <v>479</v>
      </c>
      <c r="AQ100" s="64" t="s" ph="1">
        <v>300</v>
      </c>
      <c r="AR100" s="64" t="s" ph="1">
        <v>287</v>
      </c>
      <c r="AS100" s="64" t="s" ph="1">
        <v>480</v>
      </c>
      <c r="AT100" s="64" t="s" ph="1">
        <v>367</v>
      </c>
      <c r="AU100" s="64" t="s" ph="1">
        <v>259</v>
      </c>
      <c r="AV100" s="64" t="s" ph="1">
        <v>481</v>
      </c>
      <c r="AW100" s="64" t="s" ph="1">
        <v>367</v>
      </c>
      <c r="AX100" s="64" t="s" ph="1">
        <v>259</v>
      </c>
    </row>
    <row r="101" spans="33:52" ph="1">
      <c r="AJ101" s="64" t="s" ph="1">
        <v>482</v>
      </c>
      <c r="AK101" s="64" t="s" ph="1">
        <v>367</v>
      </c>
      <c r="AM101" s="64" t="s" ph="1">
        <v>483</v>
      </c>
      <c r="AN101" s="64" t="s" ph="1">
        <v>225</v>
      </c>
      <c r="AO101" s="64" t="s" ph="1">
        <v>259</v>
      </c>
      <c r="AP101" s="64" t="s" ph="1">
        <v>484</v>
      </c>
      <c r="AQ101" s="64" t="s" ph="1">
        <v>237</v>
      </c>
      <c r="AR101" s="64" t="s" ph="1">
        <v>287</v>
      </c>
      <c r="AS101" s="64" t="s" ph="1">
        <v>485</v>
      </c>
      <c r="AT101" s="64" t="s" ph="1">
        <v>294</v>
      </c>
      <c r="AU101" s="64" t="s" ph="1">
        <v>287</v>
      </c>
      <c r="AV101" s="64" t="s" ph="1">
        <v>486</v>
      </c>
      <c r="AW101" s="64" t="s" ph="1">
        <v>225</v>
      </c>
      <c r="AX101" s="64" t="s" ph="1">
        <v>259</v>
      </c>
    </row>
    <row r="102" spans="33:52" ph="1">
      <c r="AJ102" s="64" t="s" ph="1">
        <v>487</v>
      </c>
      <c r="AK102" s="64" t="s" ph="1">
        <v>222</v>
      </c>
      <c r="AM102" s="64" t="s" ph="1">
        <v>488</v>
      </c>
      <c r="AN102" s="64" t="s" ph="1">
        <v>231</v>
      </c>
      <c r="AO102" s="64" t="s" ph="1">
        <v>259</v>
      </c>
      <c r="AP102" s="64" t="s" ph="1">
        <v>489</v>
      </c>
      <c r="AQ102" s="64" t="s" ph="1">
        <v>237</v>
      </c>
      <c r="AR102" s="64" t="s" ph="1">
        <v>259</v>
      </c>
      <c r="AS102" s="64" t="s" ph="1">
        <v>490</v>
      </c>
      <c r="AT102" s="64" t="s" ph="1">
        <v>254</v>
      </c>
      <c r="AU102" s="64" t="s" ph="1">
        <v>259</v>
      </c>
      <c r="AV102" s="64" t="s" ph="1">
        <v>491</v>
      </c>
      <c r="AW102" s="64" t="s" ph="1">
        <v>272</v>
      </c>
      <c r="AX102" s="64" t="s" ph="1">
        <v>259</v>
      </c>
    </row>
    <row r="103" spans="33:52" ph="1">
      <c r="AH103" s="64" ph="1">
        <v>9</v>
      </c>
      <c r="AI103" s="64" t="s" ph="1">
        <v>492</v>
      </c>
      <c r="AJ103" s="64" t="s" ph="1">
        <v>493</v>
      </c>
      <c r="AK103" s="64" t="s" ph="1">
        <v>367</v>
      </c>
      <c r="AM103" s="64" t="s" ph="1">
        <v>494</v>
      </c>
      <c r="AN103" s="64" t="s" ph="1">
        <v>282</v>
      </c>
      <c r="AO103" s="64" t="s" ph="1">
        <v>259</v>
      </c>
      <c r="AP103" s="64" t="s" ph="1">
        <v>336</v>
      </c>
      <c r="AQ103" s="64" t="s" ph="1">
        <v>225</v>
      </c>
      <c r="AR103" s="64" t="s" ph="1">
        <v>259</v>
      </c>
      <c r="AS103" s="64" t="s" ph="1">
        <v>570</v>
      </c>
      <c r="AT103" s="64" t="s" ph="1">
        <v>367</v>
      </c>
      <c r="AU103" s="64" t="s" ph="1">
        <v>259</v>
      </c>
      <c r="AY103" s="64" t="s" ph="1">
        <v>216</v>
      </c>
      <c r="AZ103" s="64" t="s" ph="1">
        <v>224</v>
      </c>
    </row>
    <row r="104" spans="33:52" ph="1">
      <c r="AZ104" s="64" t="s" ph="1">
        <v>495</v>
      </c>
    </row>
    <row r="105" spans="33:52" ph="1">
      <c r="AG105" s="64" t="s" ph="1">
        <v>295</v>
      </c>
      <c r="AI105" s="64" t="s" ph="1">
        <v>209</v>
      </c>
      <c r="AJ105" s="64" t="s" ph="1">
        <v>210</v>
      </c>
      <c r="AK105" s="64" t="s" ph="1">
        <v>211</v>
      </c>
      <c r="AM105" s="64" t="s" ph="1">
        <v>210</v>
      </c>
      <c r="AN105" s="64" t="s" ph="1">
        <v>211</v>
      </c>
      <c r="AO105" s="64" t="s" ph="1">
        <v>212</v>
      </c>
      <c r="AP105" s="64" t="s" ph="1">
        <v>210</v>
      </c>
      <c r="AQ105" s="64" t="s" ph="1">
        <v>211</v>
      </c>
      <c r="AR105" s="64" t="s" ph="1">
        <v>212</v>
      </c>
      <c r="AS105" s="64" t="s" ph="1">
        <v>210</v>
      </c>
      <c r="AT105" s="64" t="s" ph="1">
        <v>211</v>
      </c>
      <c r="AU105" s="64" t="s" ph="1">
        <v>212</v>
      </c>
      <c r="AV105" s="64" t="s" ph="1">
        <v>210</v>
      </c>
      <c r="AW105" s="64" t="s" ph="1">
        <v>211</v>
      </c>
      <c r="AX105" s="64" t="s" ph="1">
        <v>212</v>
      </c>
      <c r="AZ105" s="64" t="s" ph="1">
        <v>213</v>
      </c>
    </row>
    <row r="106" spans="33:52" ph="1">
      <c r="AH106" s="64" ph="1">
        <v>1</v>
      </c>
      <c r="AI106" s="64" t="s" ph="1">
        <v>496</v>
      </c>
      <c r="AJ106" s="64" t="s" ph="1">
        <v>570</v>
      </c>
      <c r="AK106" s="64" t="s" ph="1">
        <v>231</v>
      </c>
      <c r="AZ106" s="64" t="s" ph="1">
        <v>231</v>
      </c>
    </row>
    <row r="107" spans="33:52" ph="1">
      <c r="AH107" s="64" ph="1">
        <v>2</v>
      </c>
      <c r="AI107" s="64" t="s" ph="1">
        <v>497</v>
      </c>
      <c r="AJ107" s="64" t="s" ph="1">
        <v>498</v>
      </c>
      <c r="AK107" s="64" t="s" ph="1">
        <v>228</v>
      </c>
      <c r="AM107" s="64" t="s" ph="1">
        <v>334</v>
      </c>
      <c r="AN107" s="64" t="s" ph="1">
        <v>499</v>
      </c>
      <c r="AO107" s="64" t="s" ph="1">
        <v>500</v>
      </c>
      <c r="AP107" s="64" t="s" ph="1">
        <v>336</v>
      </c>
      <c r="AQ107" s="64" t="s" ph="1">
        <v>304</v>
      </c>
      <c r="AR107" s="64" t="s" ph="1">
        <v>500</v>
      </c>
      <c r="AS107" s="64" t="s" ph="1">
        <v>570</v>
      </c>
      <c r="AT107" s="64" t="s" ph="1">
        <v>499</v>
      </c>
      <c r="AU107" s="64" t="s" ph="1">
        <v>500</v>
      </c>
      <c r="AY107" s="64" t="s" ph="1">
        <v>216</v>
      </c>
      <c r="AZ107" s="64" t="s" ph="1">
        <v>580</v>
      </c>
    </row>
    <row r="108" spans="33:52" ph="1">
      <c r="AH108" s="64" ph="1">
        <v>3</v>
      </c>
      <c r="AI108" s="64" t="s" ph="1">
        <v>501</v>
      </c>
      <c r="AY108" s="64" t="s" ph="1">
        <v>216</v>
      </c>
      <c r="AZ108" s="64" t="s" ph="1">
        <v>367</v>
      </c>
    </row>
    <row r="109" spans="33:52" ph="1">
      <c r="AH109" s="64" ph="1">
        <v>4</v>
      </c>
      <c r="AI109" s="64" t="s" ph="1">
        <v>502</v>
      </c>
      <c r="AY109" s="64" t="s" ph="1">
        <v>216</v>
      </c>
      <c r="AZ109" s="64" t="s" ph="1">
        <v>367</v>
      </c>
    </row>
    <row r="110" spans="33:52" ph="1">
      <c r="AH110" s="64" ph="1">
        <v>5</v>
      </c>
      <c r="AI110" s="64" t="s" ph="1">
        <v>503</v>
      </c>
      <c r="AY110" s="64" t="s" ph="1">
        <v>216</v>
      </c>
      <c r="AZ110" s="64" t="s" ph="1">
        <v>367</v>
      </c>
    </row>
    <row r="111" spans="33:52" ph="1">
      <c r="AH111" s="64" ph="1">
        <v>6</v>
      </c>
      <c r="AI111" s="64" t="s" ph="1">
        <v>581</v>
      </c>
      <c r="AJ111" s="64" t="s" ph="1">
        <v>486</v>
      </c>
      <c r="AK111" s="64" t="s" ph="1">
        <v>225</v>
      </c>
      <c r="AM111" s="64" t="s" ph="1">
        <v>487</v>
      </c>
      <c r="AN111" s="64" t="s" ph="1">
        <v>219</v>
      </c>
      <c r="AO111" s="64" t="s" ph="1">
        <v>500</v>
      </c>
      <c r="AP111" s="64" t="s" ph="1">
        <v>488</v>
      </c>
      <c r="AQ111" s="64" t="s" ph="1">
        <v>228</v>
      </c>
      <c r="AR111" s="64" t="s" ph="1">
        <v>500</v>
      </c>
      <c r="AS111" s="64" t="s" ph="1">
        <v>489</v>
      </c>
      <c r="AT111" s="64" t="s" ph="1">
        <v>237</v>
      </c>
      <c r="AU111" s="64" t="s" ph="1">
        <v>500</v>
      </c>
      <c r="AV111" s="64" t="s" ph="1">
        <v>490</v>
      </c>
      <c r="AW111" s="64" t="s" ph="1">
        <v>227</v>
      </c>
      <c r="AX111" s="64" t="s" ph="1">
        <v>500</v>
      </c>
      <c r="AY111" s="64" t="s" ph="1">
        <v>216</v>
      </c>
      <c r="AZ111" s="64" t="s" ph="1">
        <v>504</v>
      </c>
    </row>
    <row r="112" spans="33:52" ph="1">
      <c r="AJ112" s="64" t="s" ph="1">
        <v>491</v>
      </c>
      <c r="AK112" s="64" t="s" ph="1">
        <v>272</v>
      </c>
      <c r="AM112" s="64" t="s" ph="1">
        <v>493</v>
      </c>
      <c r="AN112" s="64" t="s" ph="1">
        <v>296</v>
      </c>
      <c r="AO112" s="64" t="s" ph="1">
        <v>500</v>
      </c>
      <c r="AP112" s="64" t="s" ph="1">
        <v>494</v>
      </c>
      <c r="AQ112" s="64" t="s" ph="1">
        <v>505</v>
      </c>
      <c r="AR112" s="64" t="s" ph="1">
        <v>500</v>
      </c>
      <c r="AS112" s="64" t="s" ph="1">
        <v>506</v>
      </c>
      <c r="AT112" s="64" t="s" ph="1">
        <v>248</v>
      </c>
      <c r="AU112" s="64" t="s" ph="1">
        <v>500</v>
      </c>
      <c r="AV112" s="64" t="s" ph="1">
        <v>507</v>
      </c>
      <c r="AW112" s="64" t="s" ph="1">
        <v>294</v>
      </c>
      <c r="AX112" s="64" t="s" ph="1">
        <v>500</v>
      </c>
    </row>
    <row r="113" spans="33:52" ph="1">
      <c r="AH113" s="64" ph="1">
        <v>7</v>
      </c>
      <c r="AI113" s="64" t="s" ph="1">
        <v>508</v>
      </c>
      <c r="AJ113" s="64" t="s" ph="1">
        <v>589</v>
      </c>
      <c r="AK113" s="64" t="s" ph="1">
        <v>594</v>
      </c>
      <c r="AY113" s="64" t="s" ph="1">
        <v>216</v>
      </c>
      <c r="AZ113" s="64" t="s" ph="1">
        <v>594</v>
      </c>
    </row>
    <row r="114" spans="33:52" ph="1">
      <c r="AH114" s="64" ph="1">
        <v>8</v>
      </c>
      <c r="AI114" s="64" t="s" ph="1">
        <v>509</v>
      </c>
      <c r="AJ114" s="64" t="s" ph="1">
        <v>589</v>
      </c>
      <c r="AK114" s="64" t="s" ph="1">
        <v>595</v>
      </c>
      <c r="AY114" s="64" t="s" ph="1">
        <v>216</v>
      </c>
      <c r="AZ114" s="64" t="s" ph="1">
        <v>595</v>
      </c>
    </row>
    <row r="115" spans="33:52" ph="1">
      <c r="AH115" s="64" ph="1">
        <v>9</v>
      </c>
      <c r="AI115" s="64" t="s" ph="1">
        <v>510</v>
      </c>
      <c r="AJ115" s="64" t="s" ph="1">
        <v>589</v>
      </c>
      <c r="AK115" s="64" t="s" ph="1">
        <v>595</v>
      </c>
      <c r="AY115" s="64" t="s" ph="1">
        <v>216</v>
      </c>
      <c r="AZ115" s="64" t="s" ph="1">
        <v>595</v>
      </c>
    </row>
    <row r="116" spans="33:52" ph="1">
      <c r="AH116" s="64" ph="1">
        <v>10</v>
      </c>
      <c r="AI116" s="64" t="s" ph="1">
        <v>511</v>
      </c>
      <c r="AJ116" s="64" t="s" ph="1">
        <v>589</v>
      </c>
      <c r="AK116" s="64" t="s" ph="1">
        <v>595</v>
      </c>
      <c r="AY116" s="64" t="s" ph="1">
        <v>216</v>
      </c>
      <c r="AZ116" s="64" t="s" ph="1">
        <v>595</v>
      </c>
    </row>
    <row r="117" spans="33:52" ph="1">
      <c r="AH117" s="64" ph="1">
        <v>11</v>
      </c>
      <c r="AI117" s="64" t="s" ph="1">
        <v>512</v>
      </c>
      <c r="AJ117" s="64" t="s" ph="1">
        <v>589</v>
      </c>
      <c r="AK117" s="64" t="s" ph="1">
        <v>595</v>
      </c>
      <c r="AY117" s="64" t="s" ph="1">
        <v>216</v>
      </c>
      <c r="AZ117" s="64" t="s" ph="1">
        <v>595</v>
      </c>
    </row>
    <row r="118" spans="33:52" ph="1">
      <c r="AZ118" s="64" t="s" ph="1">
        <v>596</v>
      </c>
    </row>
    <row r="119" spans="33:52" ph="1">
      <c r="AI119" s="64" t="s" ph="1">
        <v>209</v>
      </c>
      <c r="AJ119" s="64" t="s" ph="1">
        <v>210</v>
      </c>
      <c r="AK119" s="64" t="s" ph="1">
        <v>211</v>
      </c>
      <c r="AM119" s="64" t="s" ph="1">
        <v>210</v>
      </c>
      <c r="AN119" s="64" t="s" ph="1">
        <v>211</v>
      </c>
      <c r="AO119" s="64" t="s" ph="1">
        <v>212</v>
      </c>
      <c r="AP119" s="64" t="s" ph="1">
        <v>210</v>
      </c>
      <c r="AQ119" s="64" t="s" ph="1">
        <v>211</v>
      </c>
      <c r="AR119" s="64" t="s" ph="1">
        <v>212</v>
      </c>
      <c r="AS119" s="64" t="s" ph="1">
        <v>210</v>
      </c>
      <c r="AT119" s="64" t="s" ph="1">
        <v>211</v>
      </c>
      <c r="AU119" s="64" t="s" ph="1">
        <v>212</v>
      </c>
      <c r="AV119" s="64" t="s" ph="1">
        <v>210</v>
      </c>
      <c r="AW119" s="64" t="s" ph="1">
        <v>211</v>
      </c>
      <c r="AX119" s="64" t="s" ph="1">
        <v>212</v>
      </c>
      <c r="AY119" s="64" t="s" ph="1">
        <v>211</v>
      </c>
      <c r="AZ119" s="64" t="s" ph="1">
        <v>213</v>
      </c>
    </row>
    <row r="120" spans="33:52" ph="1">
      <c r="AG120" s="64" t="s" ph="1">
        <v>353</v>
      </c>
      <c r="AH120" s="64" ph="1">
        <v>1</v>
      </c>
      <c r="AI120" s="64" t="s" ph="1">
        <v>513</v>
      </c>
      <c r="AJ120" s="64" t="s" ph="1">
        <v>587</v>
      </c>
      <c r="AK120" s="64" t="s" ph="1">
        <v>367</v>
      </c>
      <c r="AY120" s="64" t="s" ph="1">
        <v>216</v>
      </c>
      <c r="AZ120" s="64" t="s" ph="1">
        <v>367</v>
      </c>
    </row>
    <row r="121" spans="33:52" ph="1">
      <c r="AH121" s="64" ph="1">
        <v>2</v>
      </c>
      <c r="AI121" s="64" t="s" ph="1">
        <v>514</v>
      </c>
      <c r="AY121" s="64" t="s" ph="1">
        <v>216</v>
      </c>
      <c r="AZ121" s="64" t="s" ph="1">
        <v>367</v>
      </c>
    </row>
    <row r="122" spans="33:52" ph="1">
      <c r="AH122" s="64" ph="1">
        <v>3</v>
      </c>
      <c r="AI122" s="64" t="s" ph="1">
        <v>515</v>
      </c>
      <c r="AJ122" s="64" t="s" ph="1">
        <v>570</v>
      </c>
      <c r="AK122" s="64" t="s" ph="1">
        <v>582</v>
      </c>
      <c r="AM122" s="64" t="s" ph="1">
        <v>597</v>
      </c>
      <c r="AN122" s="64" t="s" ph="1">
        <v>590</v>
      </c>
      <c r="AO122" s="64" t="s" ph="1">
        <v>91</v>
      </c>
      <c r="AY122" s="64" t="s" ph="1">
        <v>216</v>
      </c>
      <c r="AZ122" s="64" t="s" ph="1">
        <v>579</v>
      </c>
    </row>
    <row r="123" spans="33:52" ph="1">
      <c r="AY123" s="64" t="s" ph="1">
        <v>216</v>
      </c>
      <c r="AZ123" s="64" t="s" ph="1">
        <v>579</v>
      </c>
    </row>
    <row r="124" spans="33:52" ph="1">
      <c r="AG124" s="64" t="s" ph="1">
        <v>356</v>
      </c>
      <c r="AH124" s="64" ph="1">
        <v>4</v>
      </c>
      <c r="AI124" s="64" t="s" ph="1">
        <v>516</v>
      </c>
      <c r="AJ124" s="64" t="s" ph="1">
        <v>517</v>
      </c>
      <c r="AK124" s="64" t="s" ph="1">
        <v>518</v>
      </c>
      <c r="AY124" s="64" t="s" ph="1">
        <v>216</v>
      </c>
      <c r="AZ124" s="64" t="s" ph="1">
        <v>518</v>
      </c>
    </row>
    <row r="125" spans="33:52" ph="1">
      <c r="AH125" s="64" ph="1">
        <v>5</v>
      </c>
      <c r="AI125" s="64" t="s" ph="1">
        <v>519</v>
      </c>
      <c r="AJ125" s="64" t="s" ph="1">
        <v>517</v>
      </c>
      <c r="AK125" s="64" t="s" ph="1">
        <v>518</v>
      </c>
      <c r="AY125" s="64" t="s" ph="1">
        <v>216</v>
      </c>
      <c r="AZ125" s="64" t="s" ph="1">
        <v>518</v>
      </c>
    </row>
    <row r="126" spans="33:52" ph="1">
      <c r="AH126" s="64" ph="1">
        <v>6</v>
      </c>
      <c r="AI126" s="64" t="s" ph="1">
        <v>520</v>
      </c>
      <c r="AJ126" s="64" t="s" ph="1">
        <v>589</v>
      </c>
      <c r="AK126" s="64" t="s" ph="1">
        <v>598</v>
      </c>
      <c r="AY126" s="64" t="s" ph="1">
        <v>216</v>
      </c>
      <c r="AZ126" s="64" t="s" ph="1">
        <v>598</v>
      </c>
    </row>
    <row r="127" spans="33:52" ph="1">
      <c r="AH127" s="64" ph="1">
        <v>7</v>
      </c>
      <c r="AI127" s="64" t="s" ph="1">
        <v>521</v>
      </c>
      <c r="AJ127" s="64" t="s" ph="1">
        <v>589</v>
      </c>
      <c r="AK127" s="64" t="s" ph="1">
        <v>599</v>
      </c>
      <c r="AY127" s="64" t="s" ph="1">
        <v>216</v>
      </c>
      <c r="AZ127" s="64" t="s" ph="1">
        <v>599</v>
      </c>
    </row>
    <row r="128" spans="33:52" ph="1">
      <c r="AH128" s="64" ph="1">
        <v>8</v>
      </c>
      <c r="AI128" s="64" t="s" ph="1">
        <v>522</v>
      </c>
      <c r="AY128" s="64" t="s" ph="1">
        <v>216</v>
      </c>
      <c r="AZ128" s="64" t="s" ph="1">
        <v>367</v>
      </c>
    </row>
    <row r="129" spans="33:52" ph="1">
      <c r="AH129" s="64" ph="1">
        <v>9</v>
      </c>
      <c r="AI129" s="64" t="s" ph="1">
        <v>523</v>
      </c>
      <c r="AY129" s="64" t="s" ph="1">
        <v>216</v>
      </c>
      <c r="AZ129" s="64" t="s" ph="1">
        <v>367</v>
      </c>
    </row>
    <row r="130" spans="33:52" ph="1">
      <c r="AH130" s="64" ph="1">
        <v>10</v>
      </c>
      <c r="AI130" s="64" t="s" ph="1">
        <v>524</v>
      </c>
      <c r="AY130" s="64" t="s" ph="1">
        <v>216</v>
      </c>
      <c r="AZ130" s="64" t="s" ph="1">
        <v>367</v>
      </c>
    </row>
    <row r="131" spans="33:52" ph="1">
      <c r="AH131" s="64" ph="1">
        <v>11</v>
      </c>
      <c r="AI131" s="64" t="s" ph="1">
        <v>525</v>
      </c>
      <c r="AJ131" s="64" t="s" ph="1">
        <v>583</v>
      </c>
      <c r="AK131" s="64" t="s" ph="1">
        <v>579</v>
      </c>
      <c r="AY131" s="64" t="s" ph="1">
        <v>216</v>
      </c>
      <c r="AZ131" s="64" t="s" ph="1">
        <v>579</v>
      </c>
    </row>
    <row r="132" spans="33:52" ph="1">
      <c r="AH132" s="64" ph="1">
        <v>12</v>
      </c>
      <c r="AI132" s="64" t="s" ph="1">
        <v>526</v>
      </c>
      <c r="AJ132" s="64" t="s" ph="1">
        <v>583</v>
      </c>
      <c r="AK132" s="64" t="s" ph="1">
        <v>518</v>
      </c>
      <c r="AY132" s="64" t="s" ph="1">
        <v>216</v>
      </c>
      <c r="AZ132" s="64" t="s" ph="1">
        <v>518</v>
      </c>
    </row>
    <row r="133" spans="33:52" ph="1">
      <c r="AH133" s="64" ph="1">
        <v>13</v>
      </c>
      <c r="AI133" s="64" t="s" ph="1">
        <v>527</v>
      </c>
      <c r="AJ133" s="64" t="s" ph="1">
        <v>583</v>
      </c>
      <c r="AK133" s="64" t="s" ph="1">
        <v>584</v>
      </c>
      <c r="AY133" s="64" t="s" ph="1">
        <v>216</v>
      </c>
      <c r="AZ133" s="64" t="s" ph="1">
        <v>584</v>
      </c>
    </row>
    <row r="134" spans="33:52" ph="1">
      <c r="AH134" s="64" ph="1">
        <v>14</v>
      </c>
      <c r="AI134" s="64" t="s" ph="1">
        <v>528</v>
      </c>
      <c r="AJ134" s="64" t="s" ph="1">
        <v>583</v>
      </c>
      <c r="AK134" s="64" t="s" ph="1">
        <v>585</v>
      </c>
      <c r="AY134" s="64" t="s" ph="1">
        <v>216</v>
      </c>
      <c r="AZ134" s="64" t="s" ph="1">
        <v>585</v>
      </c>
    </row>
    <row r="135" spans="33:52" ph="1">
      <c r="AH135" s="64" ph="1">
        <v>15</v>
      </c>
      <c r="AI135" s="64" t="s" ph="1">
        <v>529</v>
      </c>
      <c r="AJ135" s="64" t="s" ph="1">
        <v>583</v>
      </c>
      <c r="AK135" s="64" t="s" ph="1">
        <v>586</v>
      </c>
      <c r="AY135" s="64" t="s" ph="1">
        <v>216</v>
      </c>
      <c r="AZ135" s="64" t="s" ph="1">
        <v>586</v>
      </c>
    </row>
    <row r="136" spans="33:52" ph="1">
      <c r="AZ136" s="64" t="s" ph="1">
        <v>600</v>
      </c>
    </row>
    <row r="137" spans="33:52" ph="1">
      <c r="AG137" s="64" t="s" ph="1">
        <v>290</v>
      </c>
      <c r="AI137" s="64" t="s" ph="1">
        <v>209</v>
      </c>
      <c r="AJ137" s="64" t="s" ph="1">
        <v>210</v>
      </c>
      <c r="AK137" s="64" t="s" ph="1">
        <v>211</v>
      </c>
      <c r="AM137" s="64" t="s" ph="1">
        <v>210</v>
      </c>
      <c r="AN137" s="64" t="s" ph="1">
        <v>211</v>
      </c>
      <c r="AO137" s="64" t="s" ph="1">
        <v>212</v>
      </c>
      <c r="AP137" s="64" t="s" ph="1">
        <v>210</v>
      </c>
      <c r="AQ137" s="64" t="s" ph="1">
        <v>211</v>
      </c>
      <c r="AR137" s="64" t="s" ph="1">
        <v>212</v>
      </c>
      <c r="AS137" s="64" t="s" ph="1">
        <v>210</v>
      </c>
      <c r="AT137" s="64" t="s" ph="1">
        <v>211</v>
      </c>
      <c r="AU137" s="64" t="s" ph="1">
        <v>212</v>
      </c>
      <c r="AV137" s="64" t="s" ph="1">
        <v>210</v>
      </c>
      <c r="AW137" s="64" t="s" ph="1">
        <v>211</v>
      </c>
      <c r="AX137" s="64" t="s" ph="1">
        <v>212</v>
      </c>
      <c r="AY137" s="64" t="s" ph="1">
        <v>211</v>
      </c>
      <c r="AZ137" s="64" t="s" ph="1">
        <v>213</v>
      </c>
    </row>
    <row r="138" spans="33:52" ph="1">
      <c r="AH138" s="64" ph="1">
        <v>1</v>
      </c>
      <c r="AI138" s="64" t="s" ph="1">
        <v>530</v>
      </c>
      <c r="AJ138" s="64" t="s" ph="1">
        <v>531</v>
      </c>
      <c r="AK138" s="64" t="s" ph="1">
        <v>532</v>
      </c>
      <c r="AY138" s="64" t="s" ph="1">
        <v>216</v>
      </c>
      <c r="AZ138" s="64" t="s" ph="1">
        <v>532</v>
      </c>
    </row>
    <row r="139" spans="33:52" ph="1">
      <c r="AH139" s="64" ph="1">
        <v>2</v>
      </c>
      <c r="AI139" s="64" t="s" ph="1">
        <v>533</v>
      </c>
      <c r="AJ139" s="64" t="s" ph="1">
        <v>589</v>
      </c>
      <c r="AK139" s="64" t="s" ph="1">
        <v>601</v>
      </c>
      <c r="AY139" s="64" t="s" ph="1">
        <v>216</v>
      </c>
      <c r="AZ139" s="64" t="s" ph="1">
        <v>601</v>
      </c>
    </row>
    <row r="140" spans="33:52" ph="1">
      <c r="AH140" s="64" ph="1">
        <v>3</v>
      </c>
      <c r="AI140" s="64" t="s" ph="1">
        <v>534</v>
      </c>
      <c r="AJ140" s="64" t="s" ph="1">
        <v>487</v>
      </c>
      <c r="AK140" s="64" t="s" ph="1">
        <v>299</v>
      </c>
      <c r="AM140" s="64" t="s" ph="1">
        <v>488</v>
      </c>
      <c r="AN140" s="64" t="s" ph="1">
        <v>219</v>
      </c>
      <c r="AO140" s="64" t="s" ph="1">
        <v>535</v>
      </c>
      <c r="AP140" s="64" t="s" ph="1">
        <v>489</v>
      </c>
      <c r="AQ140" s="64" t="s" ph="1">
        <v>236</v>
      </c>
      <c r="AR140" s="64" t="s" ph="1">
        <v>535</v>
      </c>
      <c r="AS140" s="64" t="s" ph="1">
        <v>490</v>
      </c>
      <c r="AT140" s="64" t="s" ph="1">
        <v>229</v>
      </c>
      <c r="AU140" s="64" t="s" ph="1">
        <v>535</v>
      </c>
      <c r="AV140" s="64" t="s" ph="1">
        <v>491</v>
      </c>
      <c r="AW140" s="64" t="s" ph="1">
        <v>222</v>
      </c>
      <c r="AX140" s="64" t="s" ph="1">
        <v>535</v>
      </c>
      <c r="AY140" s="64" t="s" ph="1">
        <v>216</v>
      </c>
      <c r="AZ140" s="64" t="s" ph="1">
        <v>291</v>
      </c>
    </row>
    <row r="141" spans="33:52" ph="1">
      <c r="AJ141" s="64" t="s" ph="1">
        <v>493</v>
      </c>
      <c r="AK141" s="64" t="s" ph="1">
        <v>222</v>
      </c>
      <c r="AM141" s="64" t="s" ph="1">
        <v>494</v>
      </c>
      <c r="AN141" s="64" t="s" ph="1">
        <v>225</v>
      </c>
      <c r="AO141" s="64" t="s" ph="1">
        <v>535</v>
      </c>
      <c r="AP141" s="64" t="s" ph="1">
        <v>506</v>
      </c>
      <c r="AQ141" s="64" t="s" ph="1">
        <v>294</v>
      </c>
      <c r="AR141" s="64" t="s" ph="1">
        <v>535</v>
      </c>
      <c r="AS141" s="64" t="s" ph="1">
        <v>498</v>
      </c>
      <c r="AT141" s="64" t="s" ph="1">
        <v>222</v>
      </c>
      <c r="AU141" s="64" t="s" ph="1">
        <v>535</v>
      </c>
      <c r="AV141" s="64" t="s" ph="1">
        <v>334</v>
      </c>
      <c r="AW141" s="64" t="s" ph="1">
        <v>228</v>
      </c>
      <c r="AX141" s="64" t="s" ph="1">
        <v>535</v>
      </c>
    </row>
    <row r="142" spans="33:52" ph="1">
      <c r="AJ142" s="64" t="s" ph="1">
        <v>536</v>
      </c>
      <c r="AK142" s="64" t="s" ph="1">
        <v>239</v>
      </c>
    </row>
    <row r="143" spans="33:52" ph="1">
      <c r="AH143" s="64" ph="1">
        <v>4</v>
      </c>
      <c r="AI143" s="64" t="s" ph="1">
        <v>537</v>
      </c>
      <c r="AJ143" s="64" t="s" ph="1">
        <v>517</v>
      </c>
      <c r="AK143" s="64" t="s" ph="1">
        <v>538</v>
      </c>
      <c r="AY143" s="64" t="s" ph="1">
        <v>216</v>
      </c>
      <c r="AZ143" s="64" t="s" ph="1">
        <v>538</v>
      </c>
    </row>
    <row r="144" spans="33:52" ph="1">
      <c r="AH144" s="64" ph="1">
        <v>5</v>
      </c>
      <c r="AI144" s="64" t="s" ph="1">
        <v>539</v>
      </c>
      <c r="AY144" s="64" t="s" ph="1">
        <v>216</v>
      </c>
      <c r="AZ144" s="64" t="s" ph="1">
        <v>367</v>
      </c>
    </row>
    <row r="145" spans="33:52" ph="1">
      <c r="AH145" s="64" ph="1">
        <v>6</v>
      </c>
      <c r="AI145" s="64" t="s" ph="1">
        <v>540</v>
      </c>
      <c r="AY145" s="64" t="s" ph="1">
        <v>216</v>
      </c>
      <c r="AZ145" s="64" t="s" ph="1">
        <v>367</v>
      </c>
    </row>
    <row r="146" spans="33:52" ph="1">
      <c r="AH146" s="64" ph="1">
        <v>7</v>
      </c>
      <c r="AI146" s="64" t="s" ph="1">
        <v>541</v>
      </c>
      <c r="AY146" s="64" t="s" ph="1">
        <v>216</v>
      </c>
      <c r="AZ146" s="64" t="s" ph="1">
        <v>367</v>
      </c>
    </row>
    <row r="147" spans="33:52" ph="1">
      <c r="AH147" s="64" ph="1">
        <v>8</v>
      </c>
      <c r="AI147" s="64" t="s" ph="1">
        <v>542</v>
      </c>
      <c r="AY147" s="64" t="s" ph="1">
        <v>216</v>
      </c>
      <c r="AZ147" s="64" t="s" ph="1">
        <v>367</v>
      </c>
    </row>
    <row r="148" spans="33:52" ph="1">
      <c r="AH148" s="64" ph="1">
        <v>9</v>
      </c>
      <c r="AI148" s="64" t="s" ph="1">
        <v>543</v>
      </c>
      <c r="AY148" s="64" t="s" ph="1">
        <v>216</v>
      </c>
      <c r="AZ148" s="64" t="s" ph="1">
        <v>367</v>
      </c>
    </row>
    <row r="149" spans="33:52" ph="1">
      <c r="AH149" s="64" ph="1">
        <v>10</v>
      </c>
      <c r="AI149" s="64" t="s" ph="1">
        <v>544</v>
      </c>
      <c r="AY149" s="64" t="s" ph="1">
        <v>216</v>
      </c>
      <c r="AZ149" s="64" t="s" ph="1">
        <v>367</v>
      </c>
    </row>
    <row r="150" spans="33:52" ph="1">
      <c r="AH150" s="64" ph="1">
        <v>11</v>
      </c>
      <c r="AI150" s="64" t="s" ph="1">
        <v>545</v>
      </c>
      <c r="AY150" s="64" t="s" ph="1">
        <v>216</v>
      </c>
      <c r="AZ150" s="64" t="s" ph="1">
        <v>367</v>
      </c>
    </row>
    <row r="151" spans="33:52" ph="1">
      <c r="AH151" s="64" ph="1">
        <v>12</v>
      </c>
      <c r="AI151" s="64" t="s" ph="1">
        <v>546</v>
      </c>
      <c r="AY151" s="64" t="s" ph="1">
        <v>216</v>
      </c>
      <c r="AZ151" s="64" t="s" ph="1">
        <v>367</v>
      </c>
    </row>
    <row r="152" spans="33:52" ph="1">
      <c r="AH152" s="64" ph="1">
        <v>13</v>
      </c>
      <c r="AI152" s="64" t="s" ph="1">
        <v>547</v>
      </c>
      <c r="AY152" s="64" t="s" ph="1">
        <v>216</v>
      </c>
      <c r="AZ152" s="64" t="s" ph="1">
        <v>367</v>
      </c>
    </row>
    <row r="153" spans="33:52" ph="1">
      <c r="AH153" s="64" ph="1">
        <v>14</v>
      </c>
      <c r="AI153" s="64" t="s" ph="1">
        <v>548</v>
      </c>
      <c r="AY153" s="64" t="s" ph="1">
        <v>216</v>
      </c>
      <c r="AZ153" s="64" t="s" ph="1">
        <v>367</v>
      </c>
    </row>
    <row r="154" spans="33:52" ph="1">
      <c r="AH154" s="64" ph="1">
        <v>15</v>
      </c>
      <c r="AI154" s="64" t="s" ph="1">
        <v>549</v>
      </c>
      <c r="AY154" s="64" t="s" ph="1">
        <v>216</v>
      </c>
      <c r="AZ154" s="64" t="s" ph="1">
        <v>367</v>
      </c>
    </row>
    <row r="155" spans="33:52" ph="1">
      <c r="AH155" s="64" ph="1">
        <v>16</v>
      </c>
      <c r="AI155" s="64" t="s" ph="1">
        <v>550</v>
      </c>
      <c r="AJ155" s="64" t="s" ph="1">
        <v>336</v>
      </c>
      <c r="AK155" s="64" t="s" ph="1">
        <v>231</v>
      </c>
      <c r="AM155" s="64" t="s" ph="1">
        <v>570</v>
      </c>
      <c r="AN155" s="64" t="s" ph="1">
        <v>282</v>
      </c>
      <c r="AO155" s="64" t="s" ph="1">
        <v>535</v>
      </c>
      <c r="AY155" s="64" t="s" ph="1">
        <v>216</v>
      </c>
      <c r="AZ155" s="64" t="s" ph="1">
        <v>223</v>
      </c>
    </row>
    <row r="156" spans="33:52" ph="1">
      <c r="AZ156" s="64" t="s" ph="1">
        <v>602</v>
      </c>
    </row>
    <row r="157" spans="33:52" ph="1">
      <c r="AG157" s="64" t="s" ph="1">
        <v>551</v>
      </c>
      <c r="AI157" s="64" t="s" ph="1">
        <v>209</v>
      </c>
      <c r="AJ157" s="64" t="s" ph="1">
        <v>210</v>
      </c>
      <c r="AK157" s="64" t="s" ph="1">
        <v>211</v>
      </c>
      <c r="AM157" s="64" t="s" ph="1">
        <v>210</v>
      </c>
      <c r="AN157" s="64" t="s" ph="1">
        <v>211</v>
      </c>
      <c r="AO157" s="64" t="s" ph="1">
        <v>212</v>
      </c>
      <c r="AP157" s="64" t="s" ph="1">
        <v>210</v>
      </c>
      <c r="AQ157" s="64" t="s" ph="1">
        <v>211</v>
      </c>
      <c r="AR157" s="64" t="s" ph="1">
        <v>212</v>
      </c>
      <c r="AS157" s="64" t="s" ph="1">
        <v>210</v>
      </c>
      <c r="AT157" s="64" t="s" ph="1">
        <v>211</v>
      </c>
      <c r="AU157" s="64" t="s" ph="1">
        <v>212</v>
      </c>
      <c r="AV157" s="64" t="s" ph="1">
        <v>210</v>
      </c>
      <c r="AW157" s="64" t="s" ph="1">
        <v>211</v>
      </c>
      <c r="AX157" s="64" t="s" ph="1">
        <v>212</v>
      </c>
      <c r="AY157" s="64" t="s" ph="1">
        <v>211</v>
      </c>
      <c r="AZ157" s="64" t="s" ph="1">
        <v>213</v>
      </c>
    </row>
    <row r="158" spans="33:52" ph="1">
      <c r="AH158" s="64" ph="1">
        <v>1</v>
      </c>
      <c r="AI158" s="64" t="s" ph="1">
        <v>552</v>
      </c>
      <c r="AY158" s="64" t="s" ph="1">
        <v>216</v>
      </c>
      <c r="AZ158" s="64" t="s" ph="1">
        <v>367</v>
      </c>
    </row>
    <row r="159" spans="33:52" ph="1">
      <c r="AH159" s="64" ph="1">
        <v>2</v>
      </c>
      <c r="AI159" s="64" t="s" ph="1">
        <v>553</v>
      </c>
      <c r="AY159" s="64" t="s" ph="1">
        <v>216</v>
      </c>
      <c r="AZ159" s="64" t="s" ph="1">
        <v>367</v>
      </c>
    </row>
    <row r="160" spans="33:52" ph="1">
      <c r="AZ160" s="64" t="s" ph="1">
        <v>385</v>
      </c>
    </row>
    <row r="161" spans="33:52" ph="1">
      <c r="AG161" s="64" t="s" ph="1">
        <v>361</v>
      </c>
      <c r="AI161" s="64" t="s" ph="1">
        <v>209</v>
      </c>
      <c r="AJ161" s="64" t="s" ph="1">
        <v>210</v>
      </c>
      <c r="AK161" s="64" t="s" ph="1">
        <v>211</v>
      </c>
      <c r="AM161" s="64" t="s" ph="1">
        <v>210</v>
      </c>
      <c r="AN161" s="64" t="s" ph="1">
        <v>211</v>
      </c>
      <c r="AO161" s="64" t="s" ph="1">
        <v>212</v>
      </c>
      <c r="AP161" s="64" t="s" ph="1">
        <v>210</v>
      </c>
      <c r="AQ161" s="64" t="s" ph="1">
        <v>211</v>
      </c>
      <c r="AR161" s="64" t="s" ph="1">
        <v>212</v>
      </c>
      <c r="AS161" s="64" t="s" ph="1">
        <v>210</v>
      </c>
      <c r="AT161" s="64" t="s" ph="1">
        <v>211</v>
      </c>
      <c r="AU161" s="64" t="s" ph="1">
        <v>212</v>
      </c>
      <c r="AV161" s="64" t="s" ph="1">
        <v>210</v>
      </c>
      <c r="AW161" s="64" t="s" ph="1">
        <v>211</v>
      </c>
      <c r="AX161" s="64" t="s" ph="1">
        <v>212</v>
      </c>
      <c r="AY161" s="64" t="s" ph="1">
        <v>211</v>
      </c>
      <c r="AZ161" s="64" t="s" ph="1">
        <v>213</v>
      </c>
    </row>
    <row r="162" spans="33:52" ph="1">
      <c r="AH162" s="64" ph="1">
        <v>1</v>
      </c>
      <c r="AI162" s="64" t="s" ph="1">
        <v>554</v>
      </c>
      <c r="AJ162" s="64" t="s" ph="1">
        <v>555</v>
      </c>
      <c r="AK162" s="64" t="s" ph="1">
        <v>499</v>
      </c>
      <c r="AM162" s="64" t="s" ph="1">
        <v>556</v>
      </c>
      <c r="AN162" s="64" t="s" ph="1">
        <v>220</v>
      </c>
      <c r="AO162" s="64" t="s" ph="1">
        <v>557</v>
      </c>
      <c r="AY162" s="64" t="s" ph="1">
        <v>216</v>
      </c>
      <c r="AZ162" s="64" t="s" ph="1">
        <v>292</v>
      </c>
    </row>
    <row r="163" spans="33:52" ph="1">
      <c r="AH163" s="64" ph="1">
        <v>2</v>
      </c>
      <c r="AI163" s="64" t="s" ph="1">
        <v>558</v>
      </c>
      <c r="AJ163" s="64" t="s" ph="1">
        <v>555</v>
      </c>
      <c r="AK163" s="64" t="s" ph="1">
        <v>388</v>
      </c>
      <c r="AY163" s="64" t="s" ph="1">
        <v>216</v>
      </c>
      <c r="AZ163" s="64" t="s" ph="1">
        <v>388</v>
      </c>
    </row>
    <row r="164" spans="33:52" ph="1">
      <c r="AH164" s="64" ph="1">
        <v>3</v>
      </c>
      <c r="AI164" s="64" t="s" ph="1">
        <v>559</v>
      </c>
      <c r="AJ164" s="64" t="s" ph="1">
        <v>555</v>
      </c>
      <c r="AK164" s="64" t="s" ph="1">
        <v>292</v>
      </c>
      <c r="AY164" s="64" t="s" ph="1">
        <v>216</v>
      </c>
      <c r="AZ164" s="64" t="s" ph="1">
        <v>292</v>
      </c>
    </row>
    <row r="165" spans="33:52" ph="1">
      <c r="AH165" s="64" ph="1">
        <v>4</v>
      </c>
      <c r="AI165" s="64" t="s" ph="1">
        <v>560</v>
      </c>
      <c r="AY165" s="64" t="s" ph="1">
        <v>216</v>
      </c>
      <c r="AZ165" s="64" t="s" ph="1">
        <v>367</v>
      </c>
    </row>
    <row r="166" spans="33:52" ph="1">
      <c r="AH166" s="64" ph="1">
        <v>5</v>
      </c>
      <c r="AI166" s="64" t="s" ph="1">
        <v>561</v>
      </c>
      <c r="AY166" s="64" t="s" ph="1">
        <v>216</v>
      </c>
      <c r="AZ166" s="64" t="s" ph="1">
        <v>367</v>
      </c>
    </row>
    <row r="167" spans="33:52" ph="1">
      <c r="AZ167" s="64" t="s" ph="1">
        <v>562</v>
      </c>
    </row>
    <row r="168" spans="33:52" ph="1">
      <c r="AG168" s="64" t="s" ph="1">
        <v>305</v>
      </c>
      <c r="AI168" s="64" t="s" ph="1">
        <v>209</v>
      </c>
      <c r="AJ168" s="64" t="s" ph="1">
        <v>210</v>
      </c>
      <c r="AK168" s="64" t="s" ph="1">
        <v>211</v>
      </c>
      <c r="AM168" s="64" t="s" ph="1">
        <v>210</v>
      </c>
      <c r="AN168" s="64" t="s" ph="1">
        <v>211</v>
      </c>
      <c r="AO168" s="64" t="s" ph="1">
        <v>212</v>
      </c>
      <c r="AP168" s="64" t="s" ph="1">
        <v>210</v>
      </c>
      <c r="AQ168" s="64" t="s" ph="1">
        <v>211</v>
      </c>
      <c r="AR168" s="64" t="s" ph="1">
        <v>212</v>
      </c>
      <c r="AS168" s="64" t="s" ph="1">
        <v>210</v>
      </c>
      <c r="AT168" s="64" t="s" ph="1">
        <v>211</v>
      </c>
      <c r="AU168" s="64" t="s" ph="1">
        <v>212</v>
      </c>
      <c r="AV168" s="64" t="s" ph="1">
        <v>210</v>
      </c>
      <c r="AW168" s="64" t="s" ph="1">
        <v>211</v>
      </c>
      <c r="AX168" s="64" t="s" ph="1">
        <v>212</v>
      </c>
      <c r="AY168" s="64" t="s" ph="1">
        <v>211</v>
      </c>
      <c r="AZ168" s="64" t="s" ph="1">
        <v>213</v>
      </c>
    </row>
    <row r="169" spans="33:52" ph="1">
      <c r="AH169" s="64" ph="1">
        <v>1</v>
      </c>
      <c r="AI169" s="64" t="s" ph="1">
        <v>563</v>
      </c>
      <c r="AY169" s="64" t="s" ph="1">
        <v>216</v>
      </c>
      <c r="AZ169" s="64" t="s" ph="1">
        <v>367</v>
      </c>
    </row>
    <row r="170" spans="33:52" ph="1">
      <c r="AH170" s="64" ph="1">
        <v>2</v>
      </c>
      <c r="AI170" s="64" t="s" ph="1">
        <v>564</v>
      </c>
      <c r="AY170" s="64" t="s" ph="1">
        <v>216</v>
      </c>
      <c r="AZ170" s="64" t="s" ph="1">
        <v>367</v>
      </c>
    </row>
    <row r="171" spans="33:52" ph="1">
      <c r="AH171" s="64" ph="1">
        <v>3</v>
      </c>
      <c r="AI171" s="64" t="s" ph="1">
        <v>565</v>
      </c>
      <c r="AY171" s="64" t="s" ph="1">
        <v>216</v>
      </c>
      <c r="AZ171" s="64" t="s" ph="1">
        <v>367</v>
      </c>
    </row>
    <row r="172" spans="33:52" ph="1">
      <c r="AH172" s="64" ph="1">
        <v>4</v>
      </c>
      <c r="AI172" s="64" t="s" ph="1">
        <v>566</v>
      </c>
      <c r="AY172" s="64" t="s" ph="1">
        <v>216</v>
      </c>
      <c r="AZ172" s="64" t="s" ph="1">
        <v>367</v>
      </c>
    </row>
    <row r="173" spans="33:52" ph="1">
      <c r="AH173" s="64" ph="1">
        <v>5</v>
      </c>
      <c r="AI173" s="64" t="s" ph="1">
        <v>567</v>
      </c>
      <c r="AY173" s="64" t="s" ph="1">
        <v>216</v>
      </c>
      <c r="AZ173" s="64" t="s" ph="1">
        <v>367</v>
      </c>
    </row>
    <row r="174" spans="33:52" ph="1">
      <c r="AZ174" s="64" t="s" ph="1">
        <v>385</v>
      </c>
    </row>
    <row r="175" spans="33:52" ph="1">
      <c r="AJ175" s="64" t="s" ph="1">
        <v>306</v>
      </c>
    </row>
    <row r="176" spans="33:52" ph="1">
      <c r="AJ176" s="64" t="s" ph="1">
        <v>307</v>
      </c>
      <c r="AK176" s="64" t="s" ph="1">
        <v>308</v>
      </c>
      <c r="AM176" s="64" t="s" ph="1">
        <v>309</v>
      </c>
      <c r="AO176" s="64" t="s" ph="1">
        <v>310</v>
      </c>
      <c r="AP176" s="64" t="s" ph="1">
        <v>311</v>
      </c>
      <c r="AQ176" s="64" t="s" ph="1">
        <v>301</v>
      </c>
      <c r="AR176" s="64" t="s" ph="1">
        <v>221</v>
      </c>
    </row>
    <row r="177" spans="36:56" ph="1">
      <c r="AJ177" s="64" t="s" ph="1">
        <v>603</v>
      </c>
      <c r="AK177" s="64" t="s" ph="1">
        <v>312</v>
      </c>
      <c r="AO177" s="64" t="s" ph="1">
        <v>312</v>
      </c>
      <c r="AP177" s="64" t="s" ph="1">
        <v>312</v>
      </c>
      <c r="AQ177" s="64" t="s" ph="1">
        <v>313</v>
      </c>
      <c r="AR177" s="64" t="s" ph="1">
        <v>314</v>
      </c>
    </row>
    <row r="179" spans="36:56" ph="1">
      <c r="AJ179" s="64" t="s" ph="1">
        <v>315</v>
      </c>
      <c r="AK179" s="64" t="s" ph="1">
        <v>316</v>
      </c>
      <c r="AM179" s="64" t="s" ph="1">
        <v>317</v>
      </c>
      <c r="AN179" s="64" t="s" ph="1">
        <v>293</v>
      </c>
      <c r="AO179" s="64" t="s" ph="1">
        <v>318</v>
      </c>
      <c r="AP179" s="64" t="s" ph="1">
        <v>297</v>
      </c>
      <c r="AQ179" s="64" t="s" ph="1">
        <v>319</v>
      </c>
      <c r="AR179" s="64" t="s" ph="1">
        <v>320</v>
      </c>
    </row>
    <row r="180" spans="36:56" ph="1">
      <c r="AJ180" s="64" t="s" ph="1">
        <v>312</v>
      </c>
      <c r="AK180" s="64" t="s" ph="1">
        <v>312</v>
      </c>
      <c r="AL180" s="64" ph="1">
        <v>116</v>
      </c>
      <c r="AM180" s="64" t="s" ph="1">
        <v>312</v>
      </c>
      <c r="AN180" s="64" t="s" ph="1">
        <v>321</v>
      </c>
      <c r="AO180" s="64" t="s" ph="1">
        <v>312</v>
      </c>
      <c r="AP180" s="64" t="s" ph="1">
        <v>322</v>
      </c>
      <c r="AQ180" s="64" t="s" ph="1">
        <v>323</v>
      </c>
      <c r="AR180" s="64" t="s" ph="1">
        <v>324</v>
      </c>
    </row>
    <row r="189" spans="36:56" ph="1">
      <c r="BD189" s="64" t="s" ph="1">
        <v>568</v>
      </c>
    </row>
    <row r="223" spans="18:18" ph="1">
      <c r="R223" s="135" ph="1">
        <v>45496</v>
      </c>
    </row>
  </sheetData>
  <mergeCells count="58">
    <mergeCell ref="Z22:AE22"/>
    <mergeCell ref="Z23:AE29"/>
    <mergeCell ref="B24:B26"/>
    <mergeCell ref="B27:B29"/>
    <mergeCell ref="B1:AE1"/>
    <mergeCell ref="B2:AE2"/>
    <mergeCell ref="B3:AE3"/>
    <mergeCell ref="B4:B5"/>
    <mergeCell ref="B6:B8"/>
    <mergeCell ref="B9:B11"/>
    <mergeCell ref="P31:R31"/>
    <mergeCell ref="B13:B14"/>
    <mergeCell ref="B15:B17"/>
    <mergeCell ref="B18:B20"/>
    <mergeCell ref="B22:B23"/>
    <mergeCell ref="B31:C32"/>
    <mergeCell ref="D31:F31"/>
    <mergeCell ref="G31:I31"/>
    <mergeCell ref="J31:L31"/>
    <mergeCell ref="M31:O31"/>
    <mergeCell ref="B33:C34"/>
    <mergeCell ref="D33:D34"/>
    <mergeCell ref="E33:E34"/>
    <mergeCell ref="F33:F34"/>
    <mergeCell ref="G33:G34"/>
    <mergeCell ref="S31:U31"/>
    <mergeCell ref="V31:X31"/>
    <mergeCell ref="Y31:AA31"/>
    <mergeCell ref="AB31:AE31"/>
    <mergeCell ref="AD32:AE32"/>
    <mergeCell ref="S33:S34"/>
    <mergeCell ref="H33:H34"/>
    <mergeCell ref="I33:I34"/>
    <mergeCell ref="J33:J34"/>
    <mergeCell ref="K33:K34"/>
    <mergeCell ref="L33:L34"/>
    <mergeCell ref="M33:M34"/>
    <mergeCell ref="N33:N34"/>
    <mergeCell ref="O33:O34"/>
    <mergeCell ref="P33:P34"/>
    <mergeCell ref="Q33:Q34"/>
    <mergeCell ref="R33:R34"/>
    <mergeCell ref="I36:J36"/>
    <mergeCell ref="R36:S36"/>
    <mergeCell ref="AB36:AC36"/>
    <mergeCell ref="AD36:AE36"/>
    <mergeCell ref="Z33:Z34"/>
    <mergeCell ref="AA33:AA34"/>
    <mergeCell ref="AB33:AB34"/>
    <mergeCell ref="AC33:AC34"/>
    <mergeCell ref="AD33:AE34"/>
    <mergeCell ref="AC35:AE35"/>
    <mergeCell ref="T33:T34"/>
    <mergeCell ref="U33:U34"/>
    <mergeCell ref="V33:V34"/>
    <mergeCell ref="W33:W34"/>
    <mergeCell ref="X33:X34"/>
    <mergeCell ref="Y33:Y34"/>
  </mergeCells>
  <phoneticPr fontId="2" type="noConversion"/>
  <conditionalFormatting sqref="D4:D11">
    <cfRule type="expression" dxfId="1861" priority="104">
      <formula>ABS(D$7-D$10)&gt;=1000</formula>
    </cfRule>
  </conditionalFormatting>
  <conditionalFormatting sqref="E4 E6:E11">
    <cfRule type="expression" dxfId="1860" priority="103">
      <formula>ABS(E$7-E$10)&gt;=1000</formula>
    </cfRule>
  </conditionalFormatting>
  <conditionalFormatting sqref="F4:F11">
    <cfRule type="expression" dxfId="1859" priority="102">
      <formula>ABS(F$7-F$10)&gt;=1000</formula>
    </cfRule>
  </conditionalFormatting>
  <conditionalFormatting sqref="G4:G11">
    <cfRule type="expression" dxfId="1858" priority="101">
      <formula>ABS(G$7-G$10)&gt;=1000</formula>
    </cfRule>
  </conditionalFormatting>
  <conditionalFormatting sqref="H4:H11">
    <cfRule type="expression" dxfId="1857" priority="100">
      <formula>ABS(H$7-H$10)&gt;=1000</formula>
    </cfRule>
  </conditionalFormatting>
  <conditionalFormatting sqref="I4:I11">
    <cfRule type="expression" dxfId="1856" priority="99">
      <formula>ABS(I$7-I$10)&gt;=1000</formula>
    </cfRule>
  </conditionalFormatting>
  <conditionalFormatting sqref="J4:J11">
    <cfRule type="expression" dxfId="1855" priority="98">
      <formula>ABS(J$7-J$10)&gt;=1000</formula>
    </cfRule>
  </conditionalFormatting>
  <conditionalFormatting sqref="K4:K11">
    <cfRule type="expression" dxfId="1854" priority="97">
      <formula>ABS(K$7-K$10)&gt;=1000</formula>
    </cfRule>
  </conditionalFormatting>
  <conditionalFormatting sqref="L4:L11">
    <cfRule type="expression" dxfId="1853" priority="96">
      <formula>ABS(L$7-L$10)&gt;=1000</formula>
    </cfRule>
  </conditionalFormatting>
  <conditionalFormatting sqref="M4 M6:M11">
    <cfRule type="expression" dxfId="1852" priority="95">
      <formula>ABS(M$7-M$10)&gt;=1000</formula>
    </cfRule>
  </conditionalFormatting>
  <conditionalFormatting sqref="N4 N6:N11">
    <cfRule type="expression" dxfId="1851" priority="94">
      <formula>ABS(N$7-N$10)&gt;=1000</formula>
    </cfRule>
  </conditionalFormatting>
  <conditionalFormatting sqref="O4 O6:O11">
    <cfRule type="expression" dxfId="1850" priority="93">
      <formula>ABS(O$7-O$10)&gt;=1000</formula>
    </cfRule>
  </conditionalFormatting>
  <conditionalFormatting sqref="P4 P6:P11">
    <cfRule type="expression" dxfId="1849" priority="92">
      <formula>ABS(P$7-P$10)&gt;=1000</formula>
    </cfRule>
  </conditionalFormatting>
  <conditionalFormatting sqref="Q4:Q11">
    <cfRule type="expression" dxfId="1848" priority="91">
      <formula>ABS(Q$7-Q$10)&gt;=1000</formula>
    </cfRule>
  </conditionalFormatting>
  <conditionalFormatting sqref="R4:R11">
    <cfRule type="expression" dxfId="1847" priority="90">
      <formula>ABS(R$7-R$10)&gt;=1000</formula>
    </cfRule>
  </conditionalFormatting>
  <conditionalFormatting sqref="S4:S11">
    <cfRule type="expression" dxfId="1846" priority="89">
      <formula>ABS(S$7-S$10)&gt;=1000</formula>
    </cfRule>
  </conditionalFormatting>
  <conditionalFormatting sqref="T4:T9 T11">
    <cfRule type="expression" dxfId="1845" priority="88">
      <formula>ABS(T$7-T$10)&gt;=1000</formula>
    </cfRule>
  </conditionalFormatting>
  <conditionalFormatting sqref="U4:U9 U11">
    <cfRule type="expression" dxfId="1844" priority="87">
      <formula>ABS(U$7-U$10)&gt;=1000</formula>
    </cfRule>
  </conditionalFormatting>
  <conditionalFormatting sqref="V4:V9 V11">
    <cfRule type="expression" dxfId="1843" priority="86">
      <formula>ABS(V$7-V$10)&gt;=1000</formula>
    </cfRule>
  </conditionalFormatting>
  <conditionalFormatting sqref="W4:W9 W11">
    <cfRule type="expression" dxfId="1842" priority="85">
      <formula>ABS(W$7-W$10)&gt;=1000</formula>
    </cfRule>
  </conditionalFormatting>
  <conditionalFormatting sqref="X4:X9 X11">
    <cfRule type="expression" dxfId="1841" priority="84">
      <formula>ABS(X$7-X$10)&gt;=1000</formula>
    </cfRule>
  </conditionalFormatting>
  <conditionalFormatting sqref="Y4:Y9 Y11">
    <cfRule type="expression" dxfId="1840" priority="83">
      <formula>ABS(Y$7-Y$10)&gt;=1000</formula>
    </cfRule>
  </conditionalFormatting>
  <conditionalFormatting sqref="Z4:Z11">
    <cfRule type="expression" dxfId="1839" priority="82">
      <formula>ABS(Z$7-Z$10)&gt;=1000</formula>
    </cfRule>
  </conditionalFormatting>
  <conditionalFormatting sqref="AA4:AA11">
    <cfRule type="expression" dxfId="1838" priority="81">
      <formula>ABS(AA$7-AA$10)&gt;=1000</formula>
    </cfRule>
  </conditionalFormatting>
  <conditionalFormatting sqref="AB4:AB11">
    <cfRule type="expression" dxfId="1837" priority="80">
      <formula>ABS(AB$7-AB$10)&gt;=1000</formula>
    </cfRule>
  </conditionalFormatting>
  <conditionalFormatting sqref="AC4 AC6:AC11">
    <cfRule type="expression" dxfId="1836" priority="79">
      <formula>ABS(AC$7-AC$10)&gt;=1000</formula>
    </cfRule>
  </conditionalFormatting>
  <conditionalFormatting sqref="AD4 AD6:AD11">
    <cfRule type="expression" dxfId="1835" priority="78">
      <formula>ABS(AD$7-AD$10)&gt;=1000</formula>
    </cfRule>
  </conditionalFormatting>
  <conditionalFormatting sqref="AE4 AE6:AE11">
    <cfRule type="expression" dxfId="1834" priority="77">
      <formula>ABS(AE$7-AE$10)&gt;=1000</formula>
    </cfRule>
  </conditionalFormatting>
  <conditionalFormatting sqref="D13:D20">
    <cfRule type="expression" dxfId="1833" priority="76">
      <formula>ABS(D$16-D$19)&gt;=1000</formula>
    </cfRule>
  </conditionalFormatting>
  <conditionalFormatting sqref="E13:E20">
    <cfRule type="expression" dxfId="1832" priority="75">
      <formula>ABS(E$16-E$19)&gt;=1000</formula>
    </cfRule>
  </conditionalFormatting>
  <conditionalFormatting sqref="F13 F15:F20">
    <cfRule type="expression" dxfId="1831" priority="74">
      <formula>ABS(F$16-F$19)&gt;=1000</formula>
    </cfRule>
  </conditionalFormatting>
  <conditionalFormatting sqref="G13:G20">
    <cfRule type="expression" dxfId="1830" priority="73">
      <formula>ABS(G$16-G$19)&gt;=1000</formula>
    </cfRule>
  </conditionalFormatting>
  <conditionalFormatting sqref="H13 H15:H20">
    <cfRule type="expression" dxfId="1829" priority="72">
      <formula>ABS(H$16-H$19)&gt;=1000</formula>
    </cfRule>
  </conditionalFormatting>
  <conditionalFormatting sqref="I13:I20">
    <cfRule type="expression" dxfId="1828" priority="71">
      <formula>ABS(I$16-I$19)&gt;=1000</formula>
    </cfRule>
  </conditionalFormatting>
  <conditionalFormatting sqref="J13:J20">
    <cfRule type="expression" dxfId="1827" priority="70">
      <formula>ABS(J$16-J$19)&gt;=1000</formula>
    </cfRule>
  </conditionalFormatting>
  <conditionalFormatting sqref="L13:L20">
    <cfRule type="expression" dxfId="1826" priority="69">
      <formula>ABS(L$16-L$19)&gt;=1000</formula>
    </cfRule>
  </conditionalFormatting>
  <conditionalFormatting sqref="M13 M15 M17:M18 M20">
    <cfRule type="expression" dxfId="1825" priority="68">
      <formula>ABS(M$16-M$19)&gt;=1000</formula>
    </cfRule>
  </conditionalFormatting>
  <conditionalFormatting sqref="N13:N20">
    <cfRule type="expression" dxfId="1824" priority="67">
      <formula>ABS(N$16-N$19)&gt;=1000</formula>
    </cfRule>
  </conditionalFormatting>
  <conditionalFormatting sqref="O13:O20">
    <cfRule type="expression" dxfId="1823" priority="66">
      <formula>ABS(O$16-O$19)&gt;=1000</formula>
    </cfRule>
  </conditionalFormatting>
  <conditionalFormatting sqref="P13:P20">
    <cfRule type="expression" dxfId="1822" priority="65">
      <formula>ABS(P$16-P$19)&gt;=1000</formula>
    </cfRule>
  </conditionalFormatting>
  <conditionalFormatting sqref="Q13 Q15:Q20">
    <cfRule type="expression" dxfId="1821" priority="64">
      <formula>ABS(Q$16-Q$19)&gt;=1000</formula>
    </cfRule>
  </conditionalFormatting>
  <conditionalFormatting sqref="R13 R15:R20">
    <cfRule type="expression" dxfId="1820" priority="63">
      <formula>ABS(R$16-R$19)&gt;=1000</formula>
    </cfRule>
  </conditionalFormatting>
  <conditionalFormatting sqref="S13:S20">
    <cfRule type="expression" dxfId="1819" priority="62">
      <formula>ABS(S$16-S$19)&gt;=1000</formula>
    </cfRule>
  </conditionalFormatting>
  <conditionalFormatting sqref="T13:T15 T17:T20">
    <cfRule type="expression" dxfId="1818" priority="61">
      <formula>ABS(T$16-T$19)&gt;=1000</formula>
    </cfRule>
  </conditionalFormatting>
  <conditionalFormatting sqref="U13:U20">
    <cfRule type="expression" dxfId="1817" priority="60">
      <formula>ABS(U$16-U$19)&gt;=1000</formula>
    </cfRule>
  </conditionalFormatting>
  <conditionalFormatting sqref="V13:V20">
    <cfRule type="expression" dxfId="1816" priority="59">
      <formula>ABS(V$16-V$19)&gt;=1000</formula>
    </cfRule>
  </conditionalFormatting>
  <conditionalFormatting sqref="W13 W20 W15:W18">
    <cfRule type="expression" dxfId="1815" priority="58">
      <formula>ABS(W$16-W$19)&gt;=1000</formula>
    </cfRule>
  </conditionalFormatting>
  <conditionalFormatting sqref="X13 X15:X20 Y19">
    <cfRule type="expression" dxfId="1814" priority="57">
      <formula>ABS(X$16-X$19)&gt;=1000</formula>
    </cfRule>
  </conditionalFormatting>
  <conditionalFormatting sqref="Y13 Y15:Y18 Y20">
    <cfRule type="expression" dxfId="1813" priority="56">
      <formula>ABS(Y$16-Y$19)&gt;=1000</formula>
    </cfRule>
  </conditionalFormatting>
  <conditionalFormatting sqref="Z13:Z20">
    <cfRule type="expression" dxfId="1812" priority="55">
      <formula>ABS(Z$16-Z$19)&gt;=1000</formula>
    </cfRule>
  </conditionalFormatting>
  <conditionalFormatting sqref="AA13:AA20">
    <cfRule type="expression" dxfId="1811" priority="54">
      <formula>ABS(AA$16-AA$19)&gt;=1000</formula>
    </cfRule>
  </conditionalFormatting>
  <conditionalFormatting sqref="AB13 AB15:AB20">
    <cfRule type="expression" dxfId="1810" priority="53">
      <formula>ABS(AB$16-AB$19)&gt;=1000</formula>
    </cfRule>
  </conditionalFormatting>
  <conditionalFormatting sqref="AC13 AC15:AC20">
    <cfRule type="expression" dxfId="1809" priority="52">
      <formula>ABS(AC$16-AC$19)&gt;=1000</formula>
    </cfRule>
  </conditionalFormatting>
  <conditionalFormatting sqref="AD13:AD20">
    <cfRule type="expression" dxfId="1808" priority="51">
      <formula>ABS(AD$16-AD$19)&gt;=1000</formula>
    </cfRule>
  </conditionalFormatting>
  <conditionalFormatting sqref="AE13:AE20">
    <cfRule type="expression" dxfId="1807" priority="50">
      <formula>ABS(AE$16-AE$19)&gt;=1000</formula>
    </cfRule>
  </conditionalFormatting>
  <conditionalFormatting sqref="D22:D29">
    <cfRule type="expression" dxfId="1806" priority="49">
      <formula>ABS(D$25-D$28)&gt;=1000</formula>
    </cfRule>
  </conditionalFormatting>
  <conditionalFormatting sqref="E22:E29">
    <cfRule type="expression" dxfId="1805" priority="48">
      <formula>ABS(E$25-E$28)&gt;=1000</formula>
    </cfRule>
  </conditionalFormatting>
  <conditionalFormatting sqref="F22:F29">
    <cfRule type="expression" dxfId="1804" priority="47">
      <formula>ABS(F$25-F$28)&gt;=1000</formula>
    </cfRule>
  </conditionalFormatting>
  <conditionalFormatting sqref="G22:G29">
    <cfRule type="expression" dxfId="1803" priority="46">
      <formula>ABS(G$25-G$28)&gt;=1000</formula>
    </cfRule>
  </conditionalFormatting>
  <conditionalFormatting sqref="H22:H29">
    <cfRule type="expression" dxfId="1802" priority="45">
      <formula>ABS(H$25-H$28)&gt;=1000</formula>
    </cfRule>
  </conditionalFormatting>
  <conditionalFormatting sqref="I22 I24:I29">
    <cfRule type="expression" dxfId="1801" priority="44">
      <formula>ABS(I$25-I$28)&gt;=1000</formula>
    </cfRule>
  </conditionalFormatting>
  <conditionalFormatting sqref="J22:J29 K22">
    <cfRule type="expression" dxfId="1800" priority="43">
      <formula>ABS(J$25-J$28)&gt;=1000</formula>
    </cfRule>
  </conditionalFormatting>
  <conditionalFormatting sqref="K23:K29 L25 L28">
    <cfRule type="expression" dxfId="1799" priority="42">
      <formula>ABS(K$25-K$28)&gt;=1000</formula>
    </cfRule>
  </conditionalFormatting>
  <conditionalFormatting sqref="L22 L26:L27 L29 L24">
    <cfRule type="expression" dxfId="1798" priority="41">
      <formula>ABS(L$25-L$28)&gt;=1000</formula>
    </cfRule>
  </conditionalFormatting>
  <conditionalFormatting sqref="M22:M29">
    <cfRule type="expression" dxfId="1797" priority="40">
      <formula>ABS(M$25-M$28)&gt;=1000</formula>
    </cfRule>
  </conditionalFormatting>
  <conditionalFormatting sqref="N22:N29">
    <cfRule type="expression" dxfId="1796" priority="39">
      <formula>ABS(N$25-N$28)&gt;=1000</formula>
    </cfRule>
  </conditionalFormatting>
  <conditionalFormatting sqref="O22 O24:O29">
    <cfRule type="expression" dxfId="1795" priority="38">
      <formula>ABS(O$25-O$28)&gt;=1000</formula>
    </cfRule>
  </conditionalFormatting>
  <conditionalFormatting sqref="P22:P29">
    <cfRule type="expression" dxfId="1794" priority="37">
      <formula>ABS(P$25-P$28)&gt;=1000</formula>
    </cfRule>
  </conditionalFormatting>
  <conditionalFormatting sqref="Q22:Q29">
    <cfRule type="expression" dxfId="1793" priority="36">
      <formula>ABS(Q$25-Q$28)&gt;=1000</formula>
    </cfRule>
  </conditionalFormatting>
  <conditionalFormatting sqref="R22:R29">
    <cfRule type="expression" dxfId="1792" priority="35">
      <formula>ABS(R$25-R$28)&gt;=1000</formula>
    </cfRule>
  </conditionalFormatting>
  <conditionalFormatting sqref="S22:S29">
    <cfRule type="expression" dxfId="1791" priority="34">
      <formula>ABS(S$25-S$28)&gt;=1000</formula>
    </cfRule>
  </conditionalFormatting>
  <conditionalFormatting sqref="T22:T29">
    <cfRule type="expression" dxfId="1790" priority="33">
      <formula>ABS(T$25-T$28)&gt;=1000</formula>
    </cfRule>
  </conditionalFormatting>
  <conditionalFormatting sqref="U22:U29">
    <cfRule type="expression" dxfId="1789" priority="32">
      <formula>ABS(U$25-U$28)&gt;=1000</formula>
    </cfRule>
  </conditionalFormatting>
  <conditionalFormatting sqref="V22:V29">
    <cfRule type="expression" dxfId="1788" priority="31">
      <formula>ABS(V$25-V$28)&gt;=1000</formula>
    </cfRule>
  </conditionalFormatting>
  <conditionalFormatting sqref="W22:W29">
    <cfRule type="expression" dxfId="1787" priority="30">
      <formula>ABS(W$25-W$28)&gt;=1000</formula>
    </cfRule>
  </conditionalFormatting>
  <conditionalFormatting sqref="X22:X29">
    <cfRule type="expression" dxfId="1786" priority="29">
      <formula>ABS(X$25-X$28)&gt;=1000</formula>
    </cfRule>
  </conditionalFormatting>
  <conditionalFormatting sqref="Y22:Y29">
    <cfRule type="expression" dxfId="1785" priority="28">
      <formula>ABS(Y$25-Y$28)&gt;=1000</formula>
    </cfRule>
  </conditionalFormatting>
  <conditionalFormatting sqref="I23">
    <cfRule type="expression" dxfId="1784" priority="27">
      <formula>ABS(I$25-I$28)&gt;=1000</formula>
    </cfRule>
  </conditionalFormatting>
  <conditionalFormatting sqref="Q14">
    <cfRule type="expression" dxfId="1783" priority="26">
      <formula>ABS(Q$16-Q$19)&gt;=1000</formula>
    </cfRule>
  </conditionalFormatting>
  <conditionalFormatting sqref="W14">
    <cfRule type="expression" dxfId="1782" priority="25">
      <formula>ABS(W$16-W$19)&gt;=1000</formula>
    </cfRule>
  </conditionalFormatting>
  <conditionalFormatting sqref="X14">
    <cfRule type="expression" dxfId="1781" priority="24">
      <formula>ABS(X$16-X$19)&gt;=1000</formula>
    </cfRule>
  </conditionalFormatting>
  <conditionalFormatting sqref="T10:Y10">
    <cfRule type="expression" dxfId="1780" priority="23">
      <formula>ABS(T$7-T$10)&gt;=1000</formula>
    </cfRule>
  </conditionalFormatting>
  <conditionalFormatting sqref="W19">
    <cfRule type="expression" dxfId="1779" priority="22">
      <formula>ABS(W$16-W$19)&gt;=1000</formula>
    </cfRule>
  </conditionalFormatting>
  <conditionalFormatting sqref="AC5">
    <cfRule type="expression" dxfId="1778" priority="21">
      <formula>ABS(AC$7-AC$10)&gt;=1000</formula>
    </cfRule>
  </conditionalFormatting>
  <conditionalFormatting sqref="M14">
    <cfRule type="expression" dxfId="1777" priority="20">
      <formula>ABS(M$16-M$19)&gt;=1000</formula>
    </cfRule>
  </conditionalFormatting>
  <conditionalFormatting sqref="M16">
    <cfRule type="expression" dxfId="1776" priority="19">
      <formula>ABS(M$16-M$19)&gt;=1000</formula>
    </cfRule>
  </conditionalFormatting>
  <conditionalFormatting sqref="M19">
    <cfRule type="expression" dxfId="1775" priority="18">
      <formula>ABS(M$16-M$19)&gt;=1000</formula>
    </cfRule>
  </conditionalFormatting>
  <conditionalFormatting sqref="K13:K20">
    <cfRule type="expression" dxfId="1774" priority="17">
      <formula>ABS(K$16-K$19)&gt;=1000</formula>
    </cfRule>
  </conditionalFormatting>
  <conditionalFormatting sqref="E5">
    <cfRule type="expression" dxfId="1773" priority="16">
      <formula>ABS(E$7-E$10)&gt;=1000</formula>
    </cfRule>
  </conditionalFormatting>
  <conditionalFormatting sqref="AB14:AC14">
    <cfRule type="expression" dxfId="1772" priority="15">
      <formula>ABS(AB$16-AB$19)&gt;=1000</formula>
    </cfRule>
  </conditionalFormatting>
  <conditionalFormatting sqref="M5">
    <cfRule type="expression" dxfId="1771" priority="14">
      <formula>ABS(M$7-M$10)&gt;=1000</formula>
    </cfRule>
  </conditionalFormatting>
  <conditionalFormatting sqref="N5">
    <cfRule type="expression" dxfId="1770" priority="13">
      <formula>ABS(N$7-N$10)&gt;=1000</formula>
    </cfRule>
  </conditionalFormatting>
  <conditionalFormatting sqref="O5">
    <cfRule type="expression" dxfId="1769" priority="12">
      <formula>ABS(O$7-O$10)&gt;=1000</formula>
    </cfRule>
  </conditionalFormatting>
  <conditionalFormatting sqref="P5">
    <cfRule type="expression" dxfId="1768" priority="11">
      <formula>ABS(P$7-P$10)&gt;=1000</formula>
    </cfRule>
  </conditionalFormatting>
  <conditionalFormatting sqref="L23">
    <cfRule type="expression" dxfId="1767" priority="10">
      <formula>ABS(L$25-L$28)&gt;=1000</formula>
    </cfRule>
  </conditionalFormatting>
  <conditionalFormatting sqref="Y14">
    <cfRule type="expression" dxfId="1766" priority="9">
      <formula>ABS(Y$16-Y$19)&gt;=1000</formula>
    </cfRule>
  </conditionalFormatting>
  <conditionalFormatting sqref="H14">
    <cfRule type="expression" dxfId="1765" priority="8">
      <formula>ABS(H$16-H$19)&gt;=1000</formula>
    </cfRule>
  </conditionalFormatting>
  <conditionalFormatting sqref="AD5">
    <cfRule type="expression" dxfId="1764" priority="7">
      <formula>ABS(AD$7-AD$10)&gt;=1000</formula>
    </cfRule>
  </conditionalFormatting>
  <conditionalFormatting sqref="AE5">
    <cfRule type="expression" dxfId="1763" priority="6">
      <formula>ABS(AE$7-AE$10)&gt;=1000</formula>
    </cfRule>
  </conditionalFormatting>
  <conditionalFormatting sqref="T16">
    <cfRule type="expression" dxfId="1762" priority="5">
      <formula>ABS(T$16-T$19)&gt;=1000</formula>
    </cfRule>
  </conditionalFormatting>
  <conditionalFormatting sqref="F14">
    <cfRule type="expression" dxfId="1761" priority="3">
      <formula>ABS(F$16-F$19)&gt;=1000</formula>
    </cfRule>
  </conditionalFormatting>
  <conditionalFormatting sqref="R14">
    <cfRule type="expression" dxfId="1760" priority="2">
      <formula>ABS(R$16-R$19)&gt;=1000</formula>
    </cfRule>
  </conditionalFormatting>
  <conditionalFormatting sqref="O23">
    <cfRule type="expression" dxfId="1759" priority="1">
      <formula>ABS(O$25-O$28)&gt;=1000</formula>
    </cfRule>
  </conditionalFormatting>
  <dataValidations count="1">
    <dataValidation operator="greaterThanOrEqual" allowBlank="1" showErrorMessage="1" sqref="D6"/>
  </dataValidations>
  <printOptions horizontalCentered="1"/>
  <pageMargins left="0.39370078740157483" right="0.39370078740157483" top="0.39370078740157483" bottom="0.39370078740157483" header="0.51181102362204722" footer="0.51181102362204722"/>
  <pageSetup paperSize="9" scale="60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1409" r:id="rId4" name="Button 1">
              <controlPr defaultSize="0" print="0" autoFill="0" autoPict="0">
                <anchor moveWithCells="1">
                  <from>
                    <xdr:col>31</xdr:col>
                    <xdr:colOff>0</xdr:colOff>
                    <xdr:row>0</xdr:row>
                    <xdr:rowOff>342900</xdr:rowOff>
                  </from>
                  <to>
                    <xdr:col>32</xdr:col>
                    <xdr:colOff>411480</xdr:colOff>
                    <xdr:row>3</xdr:row>
                    <xdr:rowOff>30480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973">
    <pageSetUpPr fitToPage="1"/>
  </sheetPr>
  <dimension ref="A1:CU223"/>
  <sheetViews>
    <sheetView view="pageBreakPreview" topLeftCell="B13" zoomScale="85" zoomScaleNormal="100" zoomScaleSheetLayoutView="85" workbookViewId="0">
      <selection activeCell="Z23" sqref="Z23:AE29"/>
    </sheetView>
  </sheetViews>
  <sheetFormatPr defaultColWidth="8.109375" defaultRowHeight="25.8"/>
  <cols>
    <col min="1" max="1" width="11.6640625" style="64" customWidth="1" phonetic="1"/>
    <col min="2" max="2" width="7.6640625" style="64" customWidth="1" phonetic="1"/>
    <col min="3" max="3" width="8" style="64" customWidth="1" phonetic="1"/>
    <col min="4" max="8" width="7.6640625" style="64" customWidth="1" phonetic="1"/>
    <col min="9" max="9" width="8" style="64" customWidth="1" phonetic="1"/>
    <col min="10" max="12" width="7.6640625" style="64" customWidth="1" phonetic="1"/>
    <col min="13" max="13" width="7.77734375" style="64" bestFit="1" customWidth="1" phonetic="1"/>
    <col min="14" max="30" width="7.6640625" style="64" customWidth="1" phonetic="1"/>
    <col min="31" max="31" width="7.6640625" style="75" customWidth="1" phonetic="1"/>
    <col min="32" max="32" width="11.6640625" style="64" bestFit="1" customWidth="1" phonetic="1"/>
    <col min="33" max="33" width="22.109375" style="64" customWidth="1" phonetic="1"/>
    <col min="34" max="34" width="5.6640625" style="64" customWidth="1" phonetic="1"/>
    <col min="35" max="35" width="18.21875" style="64" customWidth="1" phonetic="1"/>
    <col min="36" max="36" width="12" style="64" bestFit="1" customWidth="1" phonetic="1"/>
    <col min="37" max="37" width="11.6640625" style="64" bestFit="1" customWidth="1" phonetic="1"/>
    <col min="38" max="38" width="5.6640625" style="64" customWidth="1" phonetic="1"/>
    <col min="39" max="39" width="11.44140625" style="64" bestFit="1" customWidth="1" phonetic="1"/>
    <col min="40" max="40" width="6.21875" style="64" customWidth="1" phonetic="1"/>
    <col min="41" max="41" width="8.6640625" style="64" customWidth="1" phonetic="1"/>
    <col min="42" max="42" width="11.21875" style="64" customWidth="1" phonetic="1"/>
    <col min="43" max="43" width="11.77734375" style="64" customWidth="1" phonetic="1"/>
    <col min="44" max="44" width="11.21875" style="64" customWidth="1" phonetic="1"/>
    <col min="45" max="45" width="11.21875" style="64" bestFit="1" customWidth="1" phonetic="1"/>
    <col min="46" max="46" width="41.77734375" style="64" customWidth="1" phonetic="1"/>
    <col min="47" max="47" width="7.77734375" style="64" customWidth="1" phonetic="1"/>
    <col min="48" max="48" width="17.109375" style="64" customWidth="1" phonetic="1"/>
    <col min="49" max="49" width="6.21875" style="64" customWidth="1" phonetic="1"/>
    <col min="50" max="50" width="10" style="64" customWidth="1" phonetic="1"/>
    <col min="51" max="51" width="6.21875" style="64" customWidth="1" phonetic="1"/>
    <col min="52" max="52" width="6.88671875" style="64" customWidth="1" phonetic="1"/>
    <col min="53" max="53" width="6.44140625" style="64" customWidth="1" phonetic="1"/>
    <col min="54" max="54" width="15.44140625" style="64" customWidth="1" phonetic="1"/>
    <col min="55" max="55" width="6.21875" style="64" customWidth="1" phonetic="1"/>
    <col min="56" max="56" width="22.109375" style="64" bestFit="1" customWidth="1" phonetic="1"/>
    <col min="57" max="57" width="6.44140625" style="64" customWidth="1" phonetic="1"/>
    <col min="58" max="60" width="6.21875" style="64" customWidth="1" phonetic="1"/>
    <col min="61" max="16384" width="8.109375" style="64" phonetic="1"/>
  </cols>
  <sheetData>
    <row r="1" spans="1:99" ht="31.2" ph="1">
      <c r="A1" s="64"/>
      <c r="B1" s="238" t="s" ph="1">
        <v>161</v>
      </c>
      <c r="C1" s="238" ph="1"/>
      <c r="D1" s="238" ph="1"/>
      <c r="E1" s="238" ph="1"/>
      <c r="F1" s="238" ph="1"/>
      <c r="G1" s="238" ph="1"/>
      <c r="H1" s="238" ph="1"/>
      <c r="I1" s="238" ph="1"/>
      <c r="J1" s="238" ph="1"/>
      <c r="K1" s="238" ph="1"/>
      <c r="L1" s="238" ph="1"/>
      <c r="M1" s="238" ph="1"/>
      <c r="N1" s="238" ph="1"/>
      <c r="O1" s="238" ph="1"/>
      <c r="P1" s="238" ph="1"/>
      <c r="Q1" s="238" ph="1"/>
      <c r="R1" s="238" ph="1"/>
      <c r="S1" s="238" ph="1"/>
      <c r="T1" s="238" ph="1"/>
      <c r="U1" s="238" ph="1"/>
      <c r="V1" s="238" ph="1"/>
      <c r="W1" s="238" ph="1"/>
      <c r="X1" s="238" ph="1"/>
      <c r="Y1" s="238" ph="1"/>
      <c r="Z1" s="238" ph="1"/>
      <c r="AA1" s="238" ph="1"/>
      <c r="AB1" s="238" ph="1"/>
      <c r="AC1" s="238" ph="1"/>
      <c r="AD1" s="238" ph="1"/>
      <c r="AE1" s="238" ph="1"/>
    </row>
    <row r="2" spans="1:99" s="66" customFormat="1" ht="24" customHeight="1" ph="1">
      <c r="B2" s="239" t="s" ph="1">
        <v>82</v>
      </c>
      <c r="C2" s="239" ph="1"/>
      <c r="D2" s="239" ph="1"/>
      <c r="E2" s="239" ph="1"/>
      <c r="F2" s="239" ph="1"/>
      <c r="G2" s="239" ph="1"/>
      <c r="H2" s="239" ph="1"/>
      <c r="I2" s="239" ph="1"/>
      <c r="J2" s="239" ph="1"/>
      <c r="K2" s="239" ph="1"/>
      <c r="L2" s="239" ph="1"/>
      <c r="M2" s="239" ph="1"/>
      <c r="N2" s="239" ph="1"/>
      <c r="O2" s="239" ph="1"/>
      <c r="P2" s="239" ph="1"/>
      <c r="Q2" s="239" ph="1"/>
      <c r="R2" s="239" ph="1"/>
      <c r="S2" s="239" ph="1"/>
      <c r="T2" s="239" ph="1"/>
      <c r="U2" s="239" ph="1"/>
      <c r="V2" s="239" ph="1"/>
      <c r="W2" s="239" ph="1"/>
      <c r="X2" s="239" ph="1"/>
      <c r="Y2" s="239" ph="1"/>
      <c r="Z2" s="239" ph="1"/>
      <c r="AA2" s="239" ph="1"/>
      <c r="AB2" s="239" ph="1"/>
      <c r="AC2" s="239" ph="1"/>
      <c r="AD2" s="239" ph="1"/>
      <c r="AE2" s="239" ph="1"/>
    </row>
    <row r="3" spans="1:99" ht="21" customHeight="1" ph="1">
      <c r="B3" s="240" ph="1">
        <v>46275</v>
      </c>
      <c r="C3" s="240"/>
      <c r="D3" s="240"/>
      <c r="E3" s="240"/>
      <c r="F3" s="240"/>
      <c r="G3" s="240"/>
      <c r="H3" s="240"/>
      <c r="I3" s="240"/>
      <c r="J3" s="240"/>
      <c r="K3" s="240"/>
      <c r="L3" s="240"/>
      <c r="M3" s="240"/>
      <c r="N3" s="240"/>
      <c r="O3" s="240"/>
      <c r="P3" s="240"/>
      <c r="Q3" s="240"/>
      <c r="R3" s="240"/>
      <c r="S3" s="240"/>
      <c r="T3" s="240"/>
      <c r="U3" s="240"/>
      <c r="V3" s="240"/>
      <c r="W3" s="240"/>
      <c r="X3" s="240"/>
      <c r="Y3" s="240"/>
      <c r="Z3" s="240"/>
      <c r="AA3" s="240"/>
      <c r="AB3" s="240"/>
      <c r="AC3" s="240"/>
      <c r="AD3" s="240"/>
      <c r="AE3" s="240"/>
    </row>
    <row r="4" spans="1:99" s="69" customFormat="1" ph="1">
      <c r="A4" s="65" ph="1"/>
      <c r="B4" s="219" t="s" ph="1">
        <v>37</v>
      </c>
      <c r="C4" s="67" t="s" ph="1">
        <v>176</v>
      </c>
      <c r="D4" s="68" t="s" ph="1">
        <v>44</v>
      </c>
      <c r="E4" s="68" t="s" ph="1">
        <v>45</v>
      </c>
      <c r="F4" s="68" t="s" ph="1">
        <v>39</v>
      </c>
      <c r="G4" s="68" t="s" ph="1">
        <v>46</v>
      </c>
      <c r="H4" s="68" t="s" ph="1">
        <v>47</v>
      </c>
      <c r="I4" s="68" t="s" ph="1">
        <v>110</v>
      </c>
      <c r="J4" s="68" t="s" ph="1">
        <v>48</v>
      </c>
      <c r="K4" s="68" t="s" ph="1">
        <v>111</v>
      </c>
      <c r="L4" s="68" t="s" ph="1">
        <v>112</v>
      </c>
      <c r="M4" s="68" t="s" ph="1">
        <v>49</v>
      </c>
      <c r="N4" s="68" t="s" ph="1">
        <v>50</v>
      </c>
      <c r="O4" s="68" t="s" ph="1">
        <v>113</v>
      </c>
      <c r="P4" s="68" t="s" ph="1">
        <v>114</v>
      </c>
      <c r="Q4" s="68" t="s" ph="1">
        <v>115</v>
      </c>
      <c r="R4" s="68" t="s" ph="1">
        <v>116</v>
      </c>
      <c r="S4" s="68" t="s" ph="1">
        <v>117</v>
      </c>
      <c r="T4" s="68" t="s" ph="1">
        <v>118</v>
      </c>
      <c r="U4" s="68" t="s" ph="1">
        <v>119</v>
      </c>
      <c r="V4" s="68" t="s" ph="1">
        <v>120</v>
      </c>
      <c r="W4" s="68" t="s" ph="1">
        <v>121</v>
      </c>
      <c r="X4" s="68" t="s" ph="1">
        <v>122</v>
      </c>
      <c r="Y4" s="68" t="s" ph="1">
        <v>123</v>
      </c>
      <c r="Z4" s="68" t="s" ph="1">
        <v>51</v>
      </c>
      <c r="AA4" s="68" t="s" ph="1">
        <v>124</v>
      </c>
      <c r="AB4" s="68" t="s" ph="1">
        <v>125</v>
      </c>
      <c r="AC4" s="68" t="s" ph="1">
        <v>126</v>
      </c>
      <c r="AD4" s="68" t="s" ph="1">
        <v>40</v>
      </c>
      <c r="AE4" s="68" t="s" ph="1">
        <v>127</v>
      </c>
      <c r="AF4" s="65" ph="1"/>
      <c r="AG4" s="65" ph="1"/>
      <c r="AH4" s="65" ph="1"/>
      <c r="AI4" s="65" ph="1"/>
      <c r="AJ4" s="65" ph="1"/>
      <c r="AK4" s="65" ph="1"/>
      <c r="AL4" s="65" ph="1"/>
      <c r="AM4" s="65" ph="1"/>
      <c r="AN4" s="65" ph="1"/>
      <c r="AO4" s="65" ph="1"/>
      <c r="AP4" s="65" ph="1"/>
      <c r="AQ4" s="65" ph="1"/>
      <c r="AR4" s="65" ph="1"/>
      <c r="AS4" s="65" ph="1"/>
      <c r="AT4" s="65" ph="1"/>
      <c r="AU4" s="65" ph="1"/>
      <c r="AV4" s="65" ph="1"/>
      <c r="AW4" s="65" ph="1"/>
      <c r="AX4" s="65" ph="1"/>
      <c r="AY4" s="65" ph="1"/>
      <c r="AZ4" s="65" ph="1"/>
      <c r="BA4" s="65" ph="1"/>
      <c r="BB4" s="65" ph="1"/>
      <c r="BC4" s="65" ph="1"/>
      <c r="BD4" s="65" ph="1"/>
      <c r="BE4" s="65" ph="1"/>
      <c r="BF4" s="65" ph="1"/>
      <c r="BG4" s="65" ph="1"/>
      <c r="BH4" s="65" ph="1"/>
      <c r="BI4" s="65" ph="1"/>
      <c r="BJ4" s="65" ph="1"/>
      <c r="BK4" s="65" ph="1"/>
      <c r="BL4" s="65" ph="1"/>
      <c r="BM4" s="65" ph="1"/>
      <c r="BN4" s="65" ph="1"/>
      <c r="BO4" s="65" ph="1"/>
      <c r="BP4" s="65" ph="1"/>
      <c r="BQ4" s="65" ph="1"/>
      <c r="BR4" s="65" ph="1"/>
      <c r="BS4" s="65" ph="1"/>
      <c r="BT4" s="65" ph="1"/>
      <c r="BU4" s="65" ph="1"/>
      <c r="BV4" s="65" ph="1"/>
      <c r="BW4" s="65" ph="1"/>
      <c r="BX4" s="65" ph="1"/>
      <c r="BY4" s="65" ph="1"/>
      <c r="BZ4" s="65" ph="1"/>
      <c r="CA4" s="65" ph="1"/>
      <c r="CB4" s="65" ph="1"/>
      <c r="CC4" s="65" ph="1"/>
      <c r="CD4" s="65" ph="1"/>
      <c r="CE4" s="65" ph="1"/>
      <c r="CF4" s="65" ph="1"/>
      <c r="CG4" s="65" ph="1"/>
      <c r="CH4" s="65" ph="1"/>
      <c r="CI4" s="65" ph="1"/>
      <c r="CJ4" s="65" ph="1"/>
      <c r="CK4" s="65" ph="1"/>
      <c r="CL4" s="65" ph="1"/>
      <c r="CM4" s="65" ph="1"/>
      <c r="CN4" s="65" ph="1"/>
      <c r="CO4" s="65" ph="1"/>
      <c r="CP4" s="65" ph="1"/>
      <c r="CQ4" s="65" ph="1"/>
      <c r="CR4" s="65" ph="1"/>
      <c r="CS4" s="65" ph="1"/>
      <c r="CT4" s="65" ph="1"/>
      <c r="CU4" s="65" ph="1"/>
    </row>
    <row r="5" spans="1:99" s="69" customFormat="1" ht="29.25" customHeight="1" ph="1">
      <c r="A5" s="65" ph="1"/>
      <c r="B5" s="219" ph="1"/>
      <c r="C5" s="67" t="s" ph="1">
        <v>36</v>
      </c>
      <c r="D5" s="70" t="s" ph="1">
        <v>160</v>
      </c>
      <c r="E5" s="142" t="s" ph="1">
        <v>642</v>
      </c>
      <c r="F5" s="142" t="s" ph="1">
        <v>1</v>
      </c>
      <c r="G5" s="142" t="s" ph="1">
        <v>7</v>
      </c>
      <c r="H5" s="142" t="s" ph="1">
        <v>7</v>
      </c>
      <c r="I5" s="141" t="s" ph="1">
        <v>608</v>
      </c>
      <c r="J5" s="141" t="s" ph="1">
        <v>609</v>
      </c>
      <c r="K5" s="141" t="s" ph="1">
        <v>611</v>
      </c>
      <c r="L5" s="141" t="s" ph="1">
        <v>613</v>
      </c>
      <c r="M5" s="141" t="s" ph="1">
        <v>608</v>
      </c>
      <c r="N5" s="70" t="s" ph="1">
        <v>609</v>
      </c>
      <c r="O5" s="70" t="s" ph="1">
        <v>611</v>
      </c>
      <c r="P5" s="70" t="s" ph="1">
        <v>613</v>
      </c>
      <c r="Q5" s="70" t="s" ph="1">
        <v>607</v>
      </c>
      <c r="R5" s="70" t="s" ph="1">
        <v>607</v>
      </c>
      <c r="S5" s="70" t="s" ph="1">
        <v>607</v>
      </c>
      <c r="T5" s="70" t="s" ph="1">
        <v>607</v>
      </c>
      <c r="U5" s="70" t="s" ph="1">
        <v>607</v>
      </c>
      <c r="V5" s="70" t="s" ph="1">
        <v>607</v>
      </c>
      <c r="W5" s="70" t="s" ph="1">
        <v>607</v>
      </c>
      <c r="X5" s="70" t="s" ph="1">
        <v>607</v>
      </c>
      <c r="Y5" s="70" t="s" ph="1">
        <v>607</v>
      </c>
      <c r="Z5" s="70" t="s" ph="1">
        <v>614</v>
      </c>
      <c r="AA5" s="70" t="s" ph="1">
        <v>54</v>
      </c>
      <c r="AB5" s="70" t="s" ph="1">
        <v>54</v>
      </c>
      <c r="AC5" s="70" t="s" ph="1">
        <v>615</v>
      </c>
      <c r="AD5" s="71" t="s">
        <v>72</v>
      </c>
      <c r="AE5" s="71" t="s">
        <v>635</v>
      </c>
      <c r="AF5" s="65" ph="1"/>
      <c r="AG5" s="65" ph="1"/>
      <c r="AH5" s="65" ph="1"/>
      <c r="AI5" s="65" ph="1"/>
      <c r="AJ5" s="65" ph="1"/>
      <c r="AK5" s="65" ph="1"/>
      <c r="AL5" s="65" ph="1"/>
      <c r="AM5" s="65" ph="1"/>
      <c r="AN5" s="65" ph="1"/>
      <c r="AO5" s="65" ph="1"/>
      <c r="AP5" s="65" ph="1"/>
      <c r="AQ5" s="65" ph="1"/>
      <c r="AR5" s="65" ph="1"/>
      <c r="AS5" s="65" ph="1"/>
      <c r="AT5" s="65" ph="1"/>
      <c r="AU5" s="65" ph="1"/>
      <c r="AV5" s="65" ph="1"/>
      <c r="AW5" s="65" ph="1"/>
      <c r="AX5" s="65" ph="1"/>
      <c r="AY5" s="65" ph="1"/>
      <c r="AZ5" s="65" ph="1"/>
      <c r="BA5" s="65" ph="1"/>
      <c r="BB5" s="65" ph="1"/>
      <c r="BC5" s="65" ph="1"/>
      <c r="BD5" s="65" ph="1"/>
      <c r="BE5" s="65" ph="1"/>
      <c r="BF5" s="65" ph="1"/>
      <c r="BG5" s="65" ph="1"/>
      <c r="BH5" s="65" ph="1"/>
      <c r="BI5" s="65" ph="1"/>
      <c r="BJ5" s="65" ph="1"/>
      <c r="BK5" s="65" ph="1"/>
      <c r="BL5" s="65" ph="1"/>
      <c r="BM5" s="65" ph="1"/>
      <c r="BN5" s="65" ph="1"/>
      <c r="BO5" s="65" ph="1"/>
      <c r="BP5" s="65" ph="1"/>
      <c r="BQ5" s="65" ph="1"/>
      <c r="BR5" s="65" ph="1"/>
      <c r="BS5" s="65" ph="1"/>
      <c r="BT5" s="65" ph="1"/>
      <c r="BU5" s="65" ph="1"/>
      <c r="BV5" s="65" ph="1"/>
      <c r="BW5" s="65" ph="1"/>
      <c r="BX5" s="65" ph="1"/>
      <c r="BY5" s="65" ph="1"/>
      <c r="BZ5" s="65" ph="1"/>
      <c r="CA5" s="65" ph="1"/>
      <c r="CB5" s="65" ph="1"/>
      <c r="CC5" s="65" ph="1"/>
      <c r="CD5" s="65" ph="1"/>
      <c r="CE5" s="65" ph="1"/>
      <c r="CF5" s="65" ph="1"/>
      <c r="CG5" s="65" ph="1"/>
      <c r="CH5" s="65" ph="1"/>
      <c r="CI5" s="65" ph="1"/>
      <c r="CJ5" s="65" ph="1"/>
      <c r="CK5" s="65" ph="1"/>
      <c r="CL5" s="65" ph="1"/>
      <c r="CM5" s="65" ph="1"/>
      <c r="CN5" s="65" ph="1"/>
      <c r="CO5" s="65" ph="1"/>
      <c r="CP5" s="65" ph="1"/>
      <c r="CQ5" s="65" ph="1"/>
      <c r="CR5" s="65" ph="1"/>
      <c r="CS5" s="65" ph="1"/>
      <c r="CT5" s="65" ph="1"/>
      <c r="CU5" s="65" ph="1"/>
    </row>
    <row r="6" spans="1:99" ph="1">
      <c r="B6" s="237" ph="1">
        <v>0.33333333333333331</v>
      </c>
      <c r="C6" s="155" t="s" ph="1">
        <v>177</v>
      </c>
      <c r="D6" s="71">
        <v>128</v>
      </c>
      <c r="E6" s="71">
        <v>3444</v>
      </c>
      <c r="F6" s="71">
        <v>3071</v>
      </c>
      <c r="G6" s="71">
        <v>6280</v>
      </c>
      <c r="H6" s="71">
        <v>2619</v>
      </c>
      <c r="I6" s="71">
        <v>4.5</v>
      </c>
      <c r="J6" s="71">
        <v>6.65</v>
      </c>
      <c r="K6" s="71">
        <v>7.74</v>
      </c>
      <c r="L6" s="71">
        <v>7.22</v>
      </c>
      <c r="M6" s="71">
        <v>3425</v>
      </c>
      <c r="N6" s="71">
        <v>2287</v>
      </c>
      <c r="O6" s="71">
        <v>449</v>
      </c>
      <c r="P6" s="71">
        <v>3953</v>
      </c>
      <c r="Q6" s="71">
        <v>0</v>
      </c>
      <c r="R6" s="71">
        <v>0</v>
      </c>
      <c r="S6" s="71">
        <v>0</v>
      </c>
      <c r="T6" s="71">
        <v>7187</v>
      </c>
      <c r="U6" s="71">
        <v>7026</v>
      </c>
      <c r="V6" s="71">
        <v>7190</v>
      </c>
      <c r="W6" s="71">
        <v>5560</v>
      </c>
      <c r="X6" s="71">
        <v>0</v>
      </c>
      <c r="Y6" s="71">
        <v>0</v>
      </c>
      <c r="Z6" s="71">
        <v>3282</v>
      </c>
      <c r="AA6" s="71">
        <v>1302</v>
      </c>
      <c r="AB6" s="71">
        <v>1339</v>
      </c>
      <c r="AC6" s="71">
        <v>8372</v>
      </c>
      <c r="AD6" s="71">
        <v>5428</v>
      </c>
      <c r="AE6" s="71">
        <v>5346</v>
      </c>
    </row>
    <row r="7" spans="1:99" s="72" customFormat="1" ht="22.2" ph="1">
      <c r="B7" s="237" ph="1"/>
      <c r="C7" s="68" t="s" ph="1">
        <v>178</v>
      </c>
      <c r="D7" s="73" ph="1">
        <f>D6*33.183*LOOKUP(D8,密度!$A$2:$A$50,密度!$Q$2:$Q$50)</f>
        <v>4021.2061977600001</v>
      </c>
      <c r="E7" s="73" ph="1">
        <f>E6*51.53*LOOKUP(E8,密度!$A$2:$A$50,密度!$B$2:$B$50)</f>
        <v>138195.35948399999</v>
      </c>
      <c r="F7" s="73" ph="1">
        <f>F6*33.183*LOOKUP(F8,密度!$A$2:$A$50,密度!$C$2:$C$50)</f>
        <v>112849.58924819999</v>
      </c>
      <c r="G7" s="73" ph="1">
        <f xml:space="preserve"> (G6+2)*51.53*LOOKUP(G8,密度!$A$2:$A$50,密度!$B$2:$B$50)</f>
        <v>251264.83525200002</v>
      </c>
      <c r="H7" s="73" ph="1">
        <f>(H6)*51.53*LOOKUP(H8,密度!$A$2:$A$50,密度!$B$2:$B$50)</f>
        <v>105212.531772</v>
      </c>
      <c r="I7" s="73" ph="1">
        <f>I6*290.8*1.0267</f>
        <v>1343.53962</v>
      </c>
      <c r="J7" s="73" ph="1">
        <f>J6*290.8*0.7892</f>
        <v>1526.1707440000002</v>
      </c>
      <c r="K7" s="73" ph="1">
        <f>K6*290.8*1.1126</f>
        <v>2504.2311792000005</v>
      </c>
      <c r="L7" s="73" ph="1">
        <f>L6*290.8*0.777</f>
        <v>1631.3705520000001</v>
      </c>
      <c r="M7" s="73" ph="1">
        <f>M6*33.183*LOOKUP(M8,密度!$A$2:$A$50,密度!$D$2:$D$50)</f>
        <v>116470.33901999998</v>
      </c>
      <c r="N7" s="73" ph="1">
        <f>N6*33.183*LOOKUP(N8,密度!$A$2:$A$50,密度!$E$2:$E$50)</f>
        <v>59095.17000269999</v>
      </c>
      <c r="O7" s="73" ph="1">
        <f>O6*20.428*LOOKUP(O8,密度!$A$2:$A$50,密度!$C$2:$C$50)</f>
        <v>10143.505014800001</v>
      </c>
      <c r="P7" s="73" ph="1">
        <f>P6*51.53*LOOKUP(P8,密度!$A$2:$A$50,密度!$B$2:$B$50)</f>
        <v>158803.03096399998</v>
      </c>
      <c r="Q7" s="73" ph="1">
        <f>Q6*1.5*1.5*3.1416*LOOKUP(W8,密度!$A$2:$A$50,密度!$L$2:$L$50)</f>
        <v>0</v>
      </c>
      <c r="R7" s="73" ph="1">
        <f>R6*1.5*1.5*3.1416*LOOKUP(R8,密度!$A$2:$A$50,密度!$L$2:$L$50)</f>
        <v>0</v>
      </c>
      <c r="S7" s="73" ph="1">
        <f>S6*1.5*1.5*3.1416*LOOKUP(S8,密度!$A$2:$A$50,密度!$L$2:$L$50)</f>
        <v>0</v>
      </c>
      <c r="T7" s="73" ph="1">
        <f>T6*1.5*1.5*3.1416*LOOKUP(T8,密度!$A$2:$A$50,密度!$L$2:$L$50)</f>
        <v>47703.1044798</v>
      </c>
      <c r="U7" s="73" ph="1">
        <f>U6*1.5*1.5*3.1416*LOOKUP(U8,密度!$A$2:$A$50,密度!$L$2:$L$50)</f>
        <v>46485.488649600004</v>
      </c>
      <c r="V7" s="73" ph="1">
        <f>V6*1.5*1.5*3.1416*LOOKUP(V8,密度!$A$2:$A$50,密度!$L$2:$L$50)</f>
        <v>47519.723789999996</v>
      </c>
      <c r="W7" s="73" ph="1">
        <f>W6*1.5*1.5*3.1416*LOOKUP(W8,密度!$A$2:$A$50,密度!$L$2:$L$50)</f>
        <v>36746.823960000002</v>
      </c>
      <c r="X7" s="73" ph="1">
        <f>X6*1.5*1.5*3.1416*LOOKUP(X8,密度!$A$2:$A$50,密度!$L$2:$L$50)</f>
        <v>0</v>
      </c>
      <c r="Y7" s="73" ph="1">
        <f>Y6*1.5*1.5*3.1416*LOOKUP(Y8,密度!$A$2:$A$50,密度!$L$2:$L$50)</f>
        <v>0</v>
      </c>
      <c r="Z7" s="73" ph="1">
        <f>Z6*33.183*LOOKUP(Z8,密度!$A$2:$A$50,密度!$L$2:$L$50)</f>
        <v>102372.20964</v>
      </c>
      <c r="AA7" s="73" ph="1">
        <f>AA6*33.183*LOOKUP(AA8,密度!$A$2:$A$50,密度!$D$2:$D$50)</f>
        <v>44318.936062800007</v>
      </c>
      <c r="AB7" s="73" ph="1">
        <f>AB6*20.428*LOOKUP(AB8,密度!$A$2:$A$50,密度!$D$2:$D$50)</f>
        <v>28108.037339200004</v>
      </c>
      <c r="AC7" s="73" ph="1">
        <f>AC6*51.53*LOOKUP(AC8,密度!$A$2:$A$50,密度!$Q$2:$Q$50)</f>
        <v>408126.00763480004</v>
      </c>
      <c r="AD7" s="73" ph="1">
        <f>AD6*20.428*LOOKUP(AD8,密度!$A$2:$A$50,密度!$V$2:$V$50)</f>
        <v>106181.73699840001</v>
      </c>
      <c r="AE7" s="73" ph="1">
        <f>AE6*20.428</f>
        <v>109208.088</v>
      </c>
    </row>
    <row r="8" spans="1:99" ph="1">
      <c r="B8" s="237" ph="1"/>
      <c r="C8" s="68" t="s" ph="1">
        <v>179</v>
      </c>
      <c r="D8" s="74">
        <v>25</v>
      </c>
      <c r="E8" s="74">
        <v>26</v>
      </c>
      <c r="F8" s="74">
        <v>27</v>
      </c>
      <c r="G8" s="74">
        <v>29</v>
      </c>
      <c r="H8" s="74">
        <v>25</v>
      </c>
      <c r="I8" s="74">
        <v>25</v>
      </c>
      <c r="J8" s="74">
        <v>25</v>
      </c>
      <c r="K8" s="74">
        <v>25</v>
      </c>
      <c r="L8" s="74">
        <v>25</v>
      </c>
      <c r="M8" s="74">
        <v>27</v>
      </c>
      <c r="N8" s="74">
        <v>29</v>
      </c>
      <c r="O8" s="74">
        <v>29</v>
      </c>
      <c r="P8" s="74">
        <v>25</v>
      </c>
      <c r="Q8" s="74">
        <v>30</v>
      </c>
      <c r="R8" s="74">
        <v>32</v>
      </c>
      <c r="S8" s="74">
        <v>24</v>
      </c>
      <c r="T8" s="74">
        <v>23</v>
      </c>
      <c r="U8" s="74">
        <v>26</v>
      </c>
      <c r="V8" s="74">
        <v>27</v>
      </c>
      <c r="W8" s="74">
        <v>27</v>
      </c>
      <c r="X8" s="74">
        <v>16</v>
      </c>
      <c r="Y8" s="74">
        <v>26</v>
      </c>
      <c r="Z8" s="74">
        <v>22</v>
      </c>
      <c r="AA8" s="74">
        <v>26</v>
      </c>
      <c r="AB8" s="74">
        <v>24</v>
      </c>
      <c r="AC8" s="74">
        <v>26</v>
      </c>
      <c r="AD8" s="74">
        <v>29</v>
      </c>
      <c r="AE8" s="74">
        <v>27</v>
      </c>
    </row>
    <row r="9" spans="1:99" ht="26.4" ph="1">
      <c r="B9" s="237" ph="1">
        <v>0.66666666666666663</v>
      </c>
      <c r="C9" s="155" t="s" ph="1">
        <v>180</v>
      </c>
      <c r="D9" s="71">
        <v>126</v>
      </c>
      <c r="E9" s="71">
        <v>3441</v>
      </c>
      <c r="F9" s="71">
        <v>3192</v>
      </c>
      <c r="G9" s="71">
        <v>6000</v>
      </c>
      <c r="H9" s="71">
        <v>2617</v>
      </c>
      <c r="I9" s="71">
        <v>4.5</v>
      </c>
      <c r="J9" s="71">
        <v>6.69</v>
      </c>
      <c r="K9" s="71">
        <v>7.78</v>
      </c>
      <c r="L9" s="71">
        <v>7.05</v>
      </c>
      <c r="M9" s="71">
        <v>3419</v>
      </c>
      <c r="N9" s="71">
        <v>2291</v>
      </c>
      <c r="O9" s="71">
        <v>447</v>
      </c>
      <c r="P9" s="71">
        <v>3918</v>
      </c>
      <c r="Q9" s="71">
        <v>0</v>
      </c>
      <c r="R9" s="71">
        <v>0</v>
      </c>
      <c r="S9" s="71">
        <v>0</v>
      </c>
      <c r="T9" s="71">
        <v>7194</v>
      </c>
      <c r="U9" s="71">
        <v>7032</v>
      </c>
      <c r="V9" s="71">
        <v>7200</v>
      </c>
      <c r="W9" s="71">
        <v>7027</v>
      </c>
      <c r="X9" s="71">
        <v>6850</v>
      </c>
      <c r="Y9" s="71">
        <v>2637</v>
      </c>
      <c r="Z9" s="71">
        <v>974</v>
      </c>
      <c r="AA9" s="71">
        <v>1304</v>
      </c>
      <c r="AB9" s="71">
        <v>1212</v>
      </c>
      <c r="AC9" s="71">
        <v>8492</v>
      </c>
      <c r="AD9" s="71">
        <v>5428</v>
      </c>
      <c r="AE9" s="71">
        <v>5249</v>
      </c>
    </row>
    <row r="10" spans="1:99" s="72" customFormat="1" ht="22.2" ph="1">
      <c r="B10" s="237" ph="1"/>
      <c r="C10" s="155" t="s" ph="1">
        <v>178</v>
      </c>
      <c r="D10" s="73" ph="1">
        <f>D9*33.183*LOOKUP(D11,密度!$A$2:$A$50,密度!$Q$2:$Q$50)</f>
        <v>3944.11744314</v>
      </c>
      <c r="E10" s="73" ph="1">
        <f>E9*51.53*LOOKUP(E11,密度!$A$2:$A$50,密度!$B$2:$B$50)</f>
        <v>137312.526912</v>
      </c>
      <c r="F10" s="73" ph="1">
        <f>F9*33.183*LOOKUP(F11,密度!$A$2:$A$50,密度!$C$2:$C$50)</f>
        <v>117211.2224976</v>
      </c>
      <c r="G10" s="73" ph="1">
        <f xml:space="preserve"> (G9+2)*51.53*LOOKUP(G11,密度!$A$2:$A$50,密度!$B$2:$B$50)</f>
        <v>238983.02046200001</v>
      </c>
      <c r="H10" s="73" ph="1">
        <f>(H9)*51.53*LOOKUP(H11,密度!$A$2:$A$50,密度!$B$2:$B$50)</f>
        <v>104201.69352700001</v>
      </c>
      <c r="I10" s="73" ph="1">
        <f>I9*290.8*1.0267</f>
        <v>1343.53962</v>
      </c>
      <c r="J10" s="73" ph="1">
        <f>J9*290.8*0.7892</f>
        <v>1535.3507184000002</v>
      </c>
      <c r="K10" s="73" ph="1">
        <f>K9*290.8*1.1126</f>
        <v>2517.1729424</v>
      </c>
      <c r="L10" s="73" ph="1">
        <f>L9*290.8*0.777</f>
        <v>1592.9587799999999</v>
      </c>
      <c r="M10" s="73" ph="1">
        <f>M9*33.183*LOOKUP(M11,密度!$A$2:$A$50,密度!$D$2:$D$50)</f>
        <v>115948.63589399999</v>
      </c>
      <c r="N10" s="73" ph="1">
        <f>N9*33.183*LOOKUP(N11,密度!$A$2:$A$50,密度!$E$2:$E$50)</f>
        <v>59114.903932799993</v>
      </c>
      <c r="O10" s="73" ph="1">
        <f>O9*20.428*LOOKUP(O11,密度!$A$2:$A$50,密度!$C$2:$C$50)</f>
        <v>9995.1384936000013</v>
      </c>
      <c r="P10" s="73" ph="1">
        <f>P9*51.53*LOOKUP(P11,密度!$A$2:$A$50,密度!$B$2:$B$50)</f>
        <v>156872.05758000002</v>
      </c>
      <c r="Q10" s="73" ph="1">
        <f>Q9*1.5*1.5*3.1416*LOOKUP(W11,密度!$A$2:$A$50,密度!$L$2:$L$50)</f>
        <v>0</v>
      </c>
      <c r="R10" s="73" ph="1">
        <f>R9*1.5*1.5*3.1416*LOOKUP(R11,密度!$A$2:$A$50,密度!$L$2:$L$50)</f>
        <v>0</v>
      </c>
      <c r="S10" s="73" ph="1">
        <f>S9*1.5*1.5*3.1416*LOOKUP(S11,密度!$A$2:$A$50,密度!$L$2:$L$50)</f>
        <v>0</v>
      </c>
      <c r="T10" s="73" ph="1">
        <f>T9*1.5*1.5*3.1416*LOOKUP(T11,密度!$A$2:$A$50,密度!$L$2:$L$50)</f>
        <v>47647.863370800005</v>
      </c>
      <c r="U10" s="73" ph="1">
        <f>U9*1.5*1.5*3.1416*LOOKUP(U11,密度!$A$2:$A$50,密度!$L$2:$L$50)</f>
        <v>46475.479512000005</v>
      </c>
      <c r="V10" s="73" ph="1">
        <f>V9*1.5*1.5*3.1416*LOOKUP(V11,密度!$A$2:$A$50,密度!$L$2:$L$50)</f>
        <v>47585.815200000005</v>
      </c>
      <c r="W10" s="73" ph="1">
        <f>W9*1.5*1.5*3.1416*LOOKUP(W11,密度!$A$2:$A$50,密度!$L$2:$L$50)</f>
        <v>46442.433807000001</v>
      </c>
      <c r="X10" s="73" ph="1">
        <f>X9*1.5*1.5*3.1416*LOOKUP(X11,密度!$A$2:$A$50,密度!$L$2:$L$50)</f>
        <v>45611.555219999995</v>
      </c>
      <c r="Y10" s="73" ph="1">
        <f>Y9*1.5*1.5*3.1416*LOOKUP(Y11,密度!$A$2:$A$50,密度!$L$2:$L$50)</f>
        <v>17465.584613400002</v>
      </c>
      <c r="Z10" s="73" ph="1">
        <f>Z9*33.183*LOOKUP(Z11,密度!$A$2:$A$50,密度!$L$2:$L$50)</f>
        <v>30316.386995999997</v>
      </c>
      <c r="AA10" s="73" ph="1">
        <f>AA9*33.183*LOOKUP(AA11,密度!$A$2:$A$50,密度!$D$2:$D$50)</f>
        <v>44222.585904</v>
      </c>
      <c r="AB10" s="73" ph="1">
        <f>AB9*20.428*LOOKUP(AB11,密度!$A$2:$A$50,密度!$D$2:$D$50)</f>
        <v>25397.511388800001</v>
      </c>
      <c r="AC10" s="73" ph="1">
        <f>AC9*51.53*LOOKUP(AC11,密度!$A$2:$A$50,密度!$Q$2:$Q$50)</f>
        <v>412794.37829080003</v>
      </c>
      <c r="AD10" s="73" ph="1">
        <f>AD9*20.428*LOOKUP(AD11,密度!$A$2:$A$50,密度!$V$2:$V$50)</f>
        <v>106181.73699840001</v>
      </c>
      <c r="AE10" s="73" ph="1">
        <f>AE9*20.428</f>
        <v>107226.572</v>
      </c>
    </row>
    <row r="11" spans="1:99" ph="1">
      <c r="A11" s="64" t="s" ph="1">
        <v>162</v>
      </c>
      <c r="B11" s="237" ph="1"/>
      <c r="C11" s="155" t="s" ph="1">
        <v>179</v>
      </c>
      <c r="D11" s="74">
        <v>30</v>
      </c>
      <c r="E11" s="74">
        <v>31</v>
      </c>
      <c r="F11" s="74">
        <v>28</v>
      </c>
      <c r="G11" s="74">
        <v>33</v>
      </c>
      <c r="H11" s="74">
        <v>33</v>
      </c>
      <c r="I11" s="74">
        <v>25</v>
      </c>
      <c r="J11" s="74">
        <v>25</v>
      </c>
      <c r="K11" s="74">
        <v>25</v>
      </c>
      <c r="L11" s="74">
        <v>25</v>
      </c>
      <c r="M11" s="74">
        <v>30</v>
      </c>
      <c r="N11" s="74">
        <v>30</v>
      </c>
      <c r="O11" s="74">
        <v>40</v>
      </c>
      <c r="P11" s="74">
        <v>28</v>
      </c>
      <c r="Q11" s="74">
        <v>40</v>
      </c>
      <c r="R11" s="74">
        <v>35</v>
      </c>
      <c r="S11" s="74">
        <v>27</v>
      </c>
      <c r="T11" s="74">
        <v>25</v>
      </c>
      <c r="U11" s="74">
        <v>27</v>
      </c>
      <c r="V11" s="74">
        <v>27</v>
      </c>
      <c r="W11" s="74">
        <v>27</v>
      </c>
      <c r="X11" s="74">
        <v>20</v>
      </c>
      <c r="Y11" s="74">
        <v>25</v>
      </c>
      <c r="Z11" s="74">
        <v>24</v>
      </c>
      <c r="AA11" s="74">
        <v>30</v>
      </c>
      <c r="AB11" s="74">
        <v>26</v>
      </c>
      <c r="AC11" s="74">
        <v>30</v>
      </c>
      <c r="AD11" s="74">
        <v>34</v>
      </c>
      <c r="AE11" s="74">
        <v>30</v>
      </c>
    </row>
    <row r="12" spans="1:99" ht="9.9" customHeight="1" ph="1"/>
    <row r="13" spans="1:99" s="72" customFormat="1" ht="29.25" customHeight="1" ph="1">
      <c r="B13" s="214" t="s" ph="1">
        <v>37</v>
      </c>
      <c r="C13" s="155" t="s" ph="1">
        <v>176</v>
      </c>
      <c r="D13" s="76" t="s" ph="1">
        <v>52</v>
      </c>
      <c r="E13" s="76" t="s" ph="1">
        <v>53</v>
      </c>
      <c r="F13" s="76" t="s" ph="1">
        <v>57</v>
      </c>
      <c r="G13" s="76" t="s" ph="1">
        <v>58</v>
      </c>
      <c r="H13" s="76" t="s" ph="1">
        <v>128</v>
      </c>
      <c r="I13" s="76" t="s" ph="1">
        <v>59</v>
      </c>
      <c r="J13" s="76" t="s" ph="1">
        <v>129</v>
      </c>
      <c r="K13" s="76" t="s" ph="1">
        <v>55</v>
      </c>
      <c r="L13" s="76" t="s" ph="1">
        <v>60</v>
      </c>
      <c r="M13" s="76" t="s" ph="1">
        <v>61</v>
      </c>
      <c r="N13" s="76" t="s" ph="1">
        <v>130</v>
      </c>
      <c r="O13" s="76" t="s" ph="1">
        <v>56</v>
      </c>
      <c r="P13" s="76" t="s" ph="1">
        <v>62</v>
      </c>
      <c r="Q13" s="76" t="s" ph="1">
        <v>63</v>
      </c>
      <c r="R13" s="76" t="s" ph="1">
        <v>64</v>
      </c>
      <c r="S13" s="76" t="s" ph="1">
        <v>65</v>
      </c>
      <c r="T13" s="76" t="s" ph="1">
        <v>66</v>
      </c>
      <c r="U13" s="76" t="s" ph="1">
        <v>67</v>
      </c>
      <c r="V13" s="76" t="s" ph="1">
        <v>131</v>
      </c>
      <c r="W13" s="76" t="s" ph="1">
        <v>132</v>
      </c>
      <c r="X13" s="76" t="s" ph="1">
        <v>133</v>
      </c>
      <c r="Y13" s="105" t="s" ph="1">
        <v>68</v>
      </c>
      <c r="Z13" s="76" t="s" ph="1">
        <v>74</v>
      </c>
      <c r="AA13" s="76" t="s" ph="1">
        <v>134</v>
      </c>
      <c r="AB13" s="76" t="s" ph="1">
        <v>135</v>
      </c>
      <c r="AC13" s="76" t="s" ph="1">
        <v>136</v>
      </c>
      <c r="AD13" s="76" t="s" ph="1">
        <v>137</v>
      </c>
      <c r="AE13" s="76" t="s" ph="1">
        <v>138</v>
      </c>
      <c r="AG13" s="72" t="s" ph="1">
        <v>325</v>
      </c>
      <c r="AH13" s="72" t="s" ph="1">
        <v>188</v>
      </c>
      <c r="AI13" s="72" t="s" ph="1">
        <v>189</v>
      </c>
      <c r="AJ13" s="72" t="s" ph="1">
        <v>190</v>
      </c>
      <c r="AK13" s="72" t="s" ph="1">
        <v>191</v>
      </c>
      <c r="AL13" s="72" t="s" ph="1">
        <v>192</v>
      </c>
      <c r="AM13" s="72" t="s" ph="1">
        <v>193</v>
      </c>
      <c r="AN13" s="72" t="s" ph="1">
        <v>194</v>
      </c>
      <c r="AO13" s="72" t="s" ph="1">
        <v>195</v>
      </c>
      <c r="AP13" s="72" t="s" ph="1">
        <v>196</v>
      </c>
      <c r="AQ13" s="72" t="s" ph="1">
        <v>197</v>
      </c>
      <c r="AR13" s="72" t="s" ph="1">
        <v>198</v>
      </c>
      <c r="AS13" s="72" t="s" ph="1">
        <v>199</v>
      </c>
      <c r="AT13" s="72" t="s" ph="1">
        <v>200</v>
      </c>
      <c r="AU13" s="72" t="s" ph="1">
        <v>201</v>
      </c>
      <c r="AV13" s="72" t="s" ph="1">
        <v>202</v>
      </c>
      <c r="AW13" s="72" t="s" ph="1">
        <v>203</v>
      </c>
      <c r="AX13" s="72" t="s" ph="1">
        <v>204</v>
      </c>
      <c r="AY13" s="72" t="s" ph="1">
        <v>326</v>
      </c>
      <c r="AZ13" s="72" t="s" ph="1">
        <v>205</v>
      </c>
      <c r="BA13" s="72" t="s" ph="1">
        <v>206</v>
      </c>
      <c r="BB13" s="72" t="s" ph="1">
        <v>591</v>
      </c>
      <c r="BC13" s="72" t="s" ph="1">
        <v>207</v>
      </c>
      <c r="BD13" s="72" t="s" ph="1">
        <v>327</v>
      </c>
      <c r="BE13" s="72" t="s" ph="1">
        <v>328</v>
      </c>
      <c r="BF13" s="72" t="s" ph="1">
        <v>329</v>
      </c>
      <c r="BG13" s="72" t="s" ph="1">
        <v>330</v>
      </c>
      <c r="BH13" s="72" t="s" ph="1">
        <v>331</v>
      </c>
    </row>
    <row r="14" spans="1:99" s="72" customFormat="1" ht="24" ph="1">
      <c r="B14" s="215" ph="1"/>
      <c r="C14" s="67" t="s" ph="1">
        <v>36</v>
      </c>
      <c r="D14" s="77" t="s" ph="1">
        <v>616</v>
      </c>
      <c r="E14" s="77" t="s" ph="1">
        <v>616</v>
      </c>
      <c r="F14" s="77" t="s" ph="1">
        <v>639</v>
      </c>
      <c r="G14" s="77" t="s" ph="1">
        <v>617</v>
      </c>
      <c r="H14" s="77" t="s" ph="1">
        <v>636</v>
      </c>
      <c r="I14" s="138" t="s" ph="1">
        <v>618</v>
      </c>
      <c r="J14" s="77" t="s" ph="1">
        <v>619</v>
      </c>
      <c r="K14" s="77" t="s" ph="1">
        <v>186</v>
      </c>
      <c r="L14" s="77" t="s" ph="1">
        <v>41</v>
      </c>
      <c r="M14" s="104" t="s" ph="1">
        <v>620</v>
      </c>
      <c r="N14" s="104" t="s" ph="1">
        <v>621</v>
      </c>
      <c r="O14" s="104" t="s" ph="1">
        <v>637</v>
      </c>
      <c r="P14" s="77" t="s" ph="1">
        <v>622</v>
      </c>
      <c r="Q14" s="77" t="s" ph="1">
        <v>622</v>
      </c>
      <c r="R14" s="77" t="s" ph="1">
        <v>622</v>
      </c>
      <c r="S14" s="77" t="s" ph="1">
        <v>622</v>
      </c>
      <c r="T14" s="77" t="s" ph="1">
        <v>624</v>
      </c>
      <c r="U14" s="77" t="s" ph="1">
        <v>605</v>
      </c>
      <c r="V14" s="77" t="s" ph="1">
        <v>633</v>
      </c>
      <c r="W14" s="77" t="s" ph="1">
        <v>622</v>
      </c>
      <c r="X14" s="77" t="s" ph="1">
        <v>625</v>
      </c>
      <c r="Y14" s="143" t="s" ph="1">
        <v>0</v>
      </c>
      <c r="Z14" s="77" t="s" ph="1">
        <v>54</v>
      </c>
      <c r="AA14" s="77" t="s" ph="1">
        <v>613</v>
      </c>
      <c r="AB14" s="77" t="s" ph="1">
        <v>632</v>
      </c>
      <c r="AC14" s="77" t="s" ph="1">
        <v>632</v>
      </c>
      <c r="AD14" s="77" t="s" ph="1">
        <v>612</v>
      </c>
      <c r="AE14" s="77" t="s" ph="1">
        <v>612</v>
      </c>
      <c r="AG14" s="72" t="s" ph="1">
        <v>208</v>
      </c>
      <c r="AI14" s="72" t="s" ph="1">
        <v>209</v>
      </c>
      <c r="AJ14" s="72" t="s" ph="1">
        <v>332</v>
      </c>
      <c r="AK14" s="72" t="s" ph="1">
        <v>210</v>
      </c>
      <c r="AM14" s="72" t="s" ph="1">
        <v>212</v>
      </c>
      <c r="AN14" s="72" t="s" ph="1">
        <v>210</v>
      </c>
      <c r="AO14" s="72" t="s" ph="1">
        <v>211</v>
      </c>
      <c r="AP14" s="72" t="s" ph="1">
        <v>212</v>
      </c>
      <c r="AQ14" s="72" t="s" ph="1">
        <v>210</v>
      </c>
      <c r="AR14" s="72" t="s" ph="1">
        <v>211</v>
      </c>
      <c r="AS14" s="72" t="s" ph="1">
        <v>212</v>
      </c>
      <c r="AT14" s="72" t="s" ph="1">
        <v>210</v>
      </c>
      <c r="AU14" s="72" t="s" ph="1">
        <v>211</v>
      </c>
      <c r="AV14" s="72" t="s" ph="1">
        <v>212</v>
      </c>
      <c r="AW14" s="72" t="s" ph="1">
        <v>210</v>
      </c>
      <c r="AX14" s="72" t="s" ph="1">
        <v>211</v>
      </c>
      <c r="AY14" s="72" t="s" ph="1">
        <v>212</v>
      </c>
      <c r="AZ14" s="72" t="s" ph="1">
        <v>211</v>
      </c>
    </row>
    <row r="15" spans="1:99" ph="1">
      <c r="B15" s="216" ph="1">
        <v>0.33333333333333331</v>
      </c>
      <c r="C15" s="155" t="s" ph="1">
        <v>177</v>
      </c>
      <c r="D15" s="78">
        <v>951</v>
      </c>
      <c r="E15" s="78">
        <v>3571</v>
      </c>
      <c r="F15" s="78">
        <v>4092</v>
      </c>
      <c r="G15" s="78">
        <v>5298</v>
      </c>
      <c r="H15" s="78">
        <v>2185</v>
      </c>
      <c r="I15" s="78">
        <v>5048</v>
      </c>
      <c r="J15" s="78">
        <v>5113</v>
      </c>
      <c r="K15" s="78">
        <v>194</v>
      </c>
      <c r="L15" s="78">
        <v>5340</v>
      </c>
      <c r="M15" s="78">
        <v>5132</v>
      </c>
      <c r="N15" s="78">
        <v>2614</v>
      </c>
      <c r="O15" s="78">
        <v>1907</v>
      </c>
      <c r="P15" s="78">
        <v>2033</v>
      </c>
      <c r="Q15" s="78">
        <v>6654</v>
      </c>
      <c r="R15" s="78">
        <v>0</v>
      </c>
      <c r="S15" s="78">
        <v>4914</v>
      </c>
      <c r="T15" s="78">
        <v>5075</v>
      </c>
      <c r="U15" s="78">
        <v>1775</v>
      </c>
      <c r="V15" s="78">
        <v>-817</v>
      </c>
      <c r="W15" s="71">
        <v>27</v>
      </c>
      <c r="X15" s="78">
        <v>856</v>
      </c>
      <c r="Y15" s="106">
        <v>-2366</v>
      </c>
      <c r="Z15" s="78">
        <v>0</v>
      </c>
      <c r="AA15" s="78">
        <v>2465</v>
      </c>
      <c r="AB15" s="78" ph="1">
        <v>0</v>
      </c>
      <c r="AC15" s="78" ph="1">
        <v>0</v>
      </c>
      <c r="AD15" s="78">
        <v>5.15</v>
      </c>
      <c r="AE15" s="78">
        <v>31.22</v>
      </c>
      <c r="AG15" s="64" t="s" ph="1">
        <v>214</v>
      </c>
      <c r="AH15" s="64" ph="1">
        <v>1</v>
      </c>
      <c r="AI15" s="64" t="s" ph="1">
        <v>333</v>
      </c>
      <c r="AK15" s="64" t="s" ph="1">
        <v>587</v>
      </c>
      <c r="AM15" s="64" t="s" ph="1">
        <v>335</v>
      </c>
      <c r="AZ15" s="64" t="s" ph="1">
        <v>216</v>
      </c>
      <c r="BA15" s="64" ph="1">
        <v>0</v>
      </c>
    </row>
    <row r="16" spans="1:99" s="72" customFormat="1" ht="22.2" ph="1">
      <c r="B16" s="217" ph="1"/>
      <c r="C16" s="155" t="s" ph="1">
        <v>178</v>
      </c>
      <c r="D16" s="73" ph="1">
        <f>D15*7.0686*LOOKUP(D17,密度!$A$2:$A$50,密度!$L$2:$L$50)</f>
        <v>6278.5708524000001</v>
      </c>
      <c r="E16" s="73" ph="1">
        <f>E15*7.0686*LOOKUP(E17,密度!$A$2:$A$50,密度!$L$2:$L$50)</f>
        <v>23576.0005404</v>
      </c>
      <c r="F16" s="73" ph="1">
        <f>F15*9.0746*LOOKUP(F17,密度!$A$2:$A$50,密度!$L$2:$L$50)</f>
        <v>34571.068039199999</v>
      </c>
      <c r="G16" s="73" ph="1">
        <f>G15*9.0746*LOOKUP(G17,密度!$A$2:$A$50,密度!$B$2:$B$50)</f>
        <v>37437.739623959998</v>
      </c>
      <c r="H16" s="73" ph="1">
        <f>H15*9.0746*LOOKUP(H17,密度!$A$2:$A$50,密度!$L$2:$L$50)</f>
        <v>18618.492939</v>
      </c>
      <c r="I16" s="73" ph="1">
        <f>I15*9.0746*LOOKUP(I17,密度!$A$2:$A$50,密度!$U$2:$U$50)</f>
        <v>46862.178158399998</v>
      </c>
      <c r="J16" s="73" ph="1">
        <f>J15*9.0746*LOOKUP(J17,密度!$A$2:$A$50,密度!$L$2:$L$50)</f>
        <v>43382.531863000004</v>
      </c>
      <c r="K16" s="73" ph="1">
        <f>K15*9.0746*LOOKUP(K17,密度!$A$2:$A$50,密度!$C$2:$C$50)</f>
        <v>1952.1878443600001</v>
      </c>
      <c r="L16" s="73" ph="1">
        <f>L15*9.0746*LOOKUP(L17,密度!$A$2:$A$50,密度!$E$2:$E$50)</f>
        <v>37845.982284000005</v>
      </c>
      <c r="M16" s="73" ph="1">
        <f>M15*9.0746*LOOKUP(M17,密度!$A$2:$A$50,密度!$M$2:$M$50)</f>
        <v>40511.979979280004</v>
      </c>
      <c r="N16" s="73" ph="1">
        <f>N15*9.0746*LOOKUP(N17,密度!$A$2:$A$50,密度!$M$2:$M$50)</f>
        <v>20758.25095044</v>
      </c>
      <c r="O16" s="73" ph="1">
        <f>O15*9.0746*LOOKUP(O17,密度!$A$2:$A$50,密度!$G$2:$G$50)</f>
        <v>16578.441187600001</v>
      </c>
      <c r="P16" s="73" ph="1">
        <f ca="1">P15*9.0746*LOOKUP(P17,密度!$A$2:$A$51,密度!$Q$2:$Q$50)</f>
        <v>17439.888972776003</v>
      </c>
      <c r="Q16" s="73" ph="1">
        <f>Q15*9.0746*LOOKUP(Q17,密度!$A$2:$A$50,密度!$Q$2:$Q$50)</f>
        <v>57038.411730408006</v>
      </c>
      <c r="R16" s="73" ph="1">
        <f>MAX(R15*9.0746*LOOKUP(R17,密度!$A$2:$A$50,密度!$Q$2:$Q$50),0)</f>
        <v>0</v>
      </c>
      <c r="S16" s="73" ph="1">
        <f>S15*9.0746*LOOKUP(S17,密度!$A$2:$A$50,密度!$Q$2:$Q$50)</f>
        <v>42123.047075928</v>
      </c>
      <c r="T16" s="73" ph="1">
        <f>T15*9.0746*LOOKUP(T17,密度!$A$2:$A$50,密度!$O$2:$O$50)</f>
        <v>42645.628970000005</v>
      </c>
      <c r="U16" s="73" ph="1">
        <f>U15*9.0746*LOOKUP(U17,密度!$A$2:$A$50,密度!$H$2:$H$50)</f>
        <v>14749.5599155</v>
      </c>
      <c r="V16" s="73" ph="1">
        <f>MAX(5600*LOOKUP(V17,密度!$A$2:$A$50,密度!$Q$2:$Q$50)+V15*9.0476*LOOKUP(V17,密度!$A$2:$A$50,密度!$Q$2:$Q$50),0)</f>
        <v>0</v>
      </c>
      <c r="W16" s="73" ph="1">
        <f>MAX(5600*LOOKUP(W17,密度!$A$2:$A$50,密度!$Q$2:$Q$50)+W15*9.0476*LOOKUP(W17,密度!$A$2:$A$50,密度!$Q$2:$Q$50),0)</f>
        <v>5516.5961288359995</v>
      </c>
      <c r="X16" s="73" ph="1">
        <f>MAX(5600*LOOKUP(X17,密度!$A$2:$A$50,密度!$I$2:$I$50)+X15*9.0476*LOOKUP(X17,密度!$A$2:$A$50,密度!$I$2:$I$50),0)</f>
        <v>13879.869898559999</v>
      </c>
      <c r="Y16" s="107" ph="1">
        <v>0</v>
      </c>
      <c r="Z16" s="73" ph="1">
        <f>Z15*9.0746*LOOKUP(Z17,密度!$A$2:$A$50,密度!$D$2:$D$50)</f>
        <v>0</v>
      </c>
      <c r="AA16" s="73" ph="1">
        <f>AA15*9.0746*LOOKUP(AA17,密度!$A$2:$A$50,密度!$B$2:$B$50)</f>
        <v>17438.785864399997</v>
      </c>
      <c r="AB16" s="73" ph="1">
        <f>AB15*9.0746*LOOKUP(AB17,密度!$A$2:$A$50,密度!$L$2:$L$50)</f>
        <v>0</v>
      </c>
      <c r="AC16" s="73" ph="1">
        <f>AC15*9.0746*LOOKUP(AC17,密度!$A$2:$A$50,密度!$L$2:$L$50)</f>
        <v>0</v>
      </c>
      <c r="AD16" s="73" ph="1">
        <f>AD15*268.68*LOOKUP(AD17,密度!$A$2:$A$50,密度!B2:B50)+IF(AD15&lt;=0,0,1566*LOOKUP(AD17,密度!$A$2:$A$50,密度!B2:B50))</f>
        <v>2299.5876791999999</v>
      </c>
      <c r="AE16" s="73" ph="1">
        <f>AE15*268.68*LOOKUP(AE17,密度!$A$2:$A$50,密度!B2:B50)+IF(AE15&lt;=0,0,1566*LOOKUP(AE17,密度!$A$2:$A$50,密度!B2:B50))</f>
        <v>7760.2862121599992</v>
      </c>
      <c r="AH16" s="72" ph="1">
        <v>2</v>
      </c>
      <c r="AI16" s="72" t="s" ph="1">
        <v>337</v>
      </c>
      <c r="AZ16" s="72" t="s" ph="1">
        <v>216</v>
      </c>
      <c r="BA16" s="72" ph="1">
        <v>0</v>
      </c>
    </row>
    <row r="17" spans="1:57" ph="1">
      <c r="A17" s="64" t="s" ph="1">
        <v>73</v>
      </c>
      <c r="B17" s="218" ph="1"/>
      <c r="C17" s="79" t="s" ph="1">
        <v>179</v>
      </c>
      <c r="D17" s="74">
        <v>28</v>
      </c>
      <c r="E17" s="74">
        <v>28</v>
      </c>
      <c r="F17" s="74">
        <v>31</v>
      </c>
      <c r="G17" s="74">
        <v>26</v>
      </c>
      <c r="H17" s="74">
        <v>23</v>
      </c>
      <c r="I17" s="74">
        <v>27</v>
      </c>
      <c r="J17" s="74">
        <v>27</v>
      </c>
      <c r="K17" s="74">
        <v>25</v>
      </c>
      <c r="L17" s="74">
        <v>27</v>
      </c>
      <c r="M17" s="74">
        <v>30</v>
      </c>
      <c r="N17" s="74">
        <v>25</v>
      </c>
      <c r="O17" s="74">
        <v>27</v>
      </c>
      <c r="P17" s="74">
        <v>27</v>
      </c>
      <c r="Q17" s="74">
        <v>28</v>
      </c>
      <c r="R17" s="74">
        <v>26</v>
      </c>
      <c r="S17" s="74">
        <v>28</v>
      </c>
      <c r="T17" s="74">
        <v>26</v>
      </c>
      <c r="U17" s="74">
        <v>24</v>
      </c>
      <c r="V17" s="74">
        <v>27</v>
      </c>
      <c r="W17" s="74">
        <v>29</v>
      </c>
      <c r="X17" s="74">
        <v>27</v>
      </c>
      <c r="Y17" s="108">
        <v>27</v>
      </c>
      <c r="Z17" s="74">
        <v>25</v>
      </c>
      <c r="AA17" s="74">
        <v>25</v>
      </c>
      <c r="AB17" s="74">
        <v>25</v>
      </c>
      <c r="AC17" s="74">
        <v>23</v>
      </c>
      <c r="AD17" s="74">
        <v>25</v>
      </c>
      <c r="AE17" s="74">
        <v>25</v>
      </c>
      <c r="AH17" s="64" ph="1">
        <v>3</v>
      </c>
      <c r="AI17" s="64" t="s" ph="1">
        <v>338</v>
      </c>
      <c r="AK17" s="64" t="s" ph="1">
        <v>570</v>
      </c>
      <c r="AL17" s="64" ph="1">
        <v>80</v>
      </c>
      <c r="AM17" s="64" t="s" ph="1">
        <v>335</v>
      </c>
      <c r="AZ17" s="64" t="s" ph="1">
        <v>216</v>
      </c>
      <c r="BA17" s="64" ph="1">
        <v>80</v>
      </c>
      <c r="BD17" s="64" t="s" ph="1">
        <v>214</v>
      </c>
      <c r="BE17" s="64" ph="1">
        <v>2270</v>
      </c>
    </row>
    <row r="18" spans="1:57" ht="26.4" ph="1">
      <c r="B18" s="216" ph="1">
        <v>0.66666666666666663</v>
      </c>
      <c r="C18" s="79" t="s" ph="1">
        <v>180</v>
      </c>
      <c r="D18" s="71">
        <v>0</v>
      </c>
      <c r="E18" s="71">
        <v>3558</v>
      </c>
      <c r="F18" s="71">
        <v>2596</v>
      </c>
      <c r="G18" s="71">
        <v>2013</v>
      </c>
      <c r="H18" s="71">
        <v>2186</v>
      </c>
      <c r="I18" s="71">
        <v>5052</v>
      </c>
      <c r="J18" s="71">
        <v>5120</v>
      </c>
      <c r="K18" s="71">
        <v>604</v>
      </c>
      <c r="L18" s="71">
        <v>5352</v>
      </c>
      <c r="M18" s="71">
        <v>2182</v>
      </c>
      <c r="N18" s="71">
        <v>2619</v>
      </c>
      <c r="O18" s="71">
        <v>1908</v>
      </c>
      <c r="P18" s="71">
        <v>2034</v>
      </c>
      <c r="Q18" s="71">
        <v>6661</v>
      </c>
      <c r="R18" s="71">
        <v>0</v>
      </c>
      <c r="S18" s="71">
        <v>4956</v>
      </c>
      <c r="T18" s="71">
        <v>4722</v>
      </c>
      <c r="U18" s="71">
        <v>1775</v>
      </c>
      <c r="V18" s="71">
        <v>-817</v>
      </c>
      <c r="W18" s="71">
        <v>27</v>
      </c>
      <c r="X18" s="71">
        <v>856</v>
      </c>
      <c r="Y18" s="109">
        <v>-9908</v>
      </c>
      <c r="Z18" s="71">
        <v>0</v>
      </c>
      <c r="AA18" s="71">
        <v>2467</v>
      </c>
      <c r="AB18" s="71">
        <v>0</v>
      </c>
      <c r="AC18" s="71">
        <v>13</v>
      </c>
      <c r="AD18" s="71">
        <v>5.09</v>
      </c>
      <c r="AE18" s="71">
        <v>80.069999999999993</v>
      </c>
      <c r="AH18" s="64" ph="1">
        <v>4</v>
      </c>
      <c r="AI18" s="64" t="s" ph="1">
        <v>340</v>
      </c>
      <c r="AJ18" s="64" t="s" ph="1">
        <v>588</v>
      </c>
      <c r="AK18" s="64" t="s" ph="1">
        <v>587</v>
      </c>
      <c r="AL18" s="64" ph="1">
        <v>740</v>
      </c>
      <c r="AM18" s="64" t="s" ph="1">
        <v>339</v>
      </c>
      <c r="AZ18" s="64" t="s" ph="1">
        <v>216</v>
      </c>
      <c r="BA18" s="64" ph="1">
        <v>740</v>
      </c>
    </row>
    <row r="19" spans="1:57" s="72" customFormat="1" ht="22.2" ph="1">
      <c r="B19" s="217" ph="1"/>
      <c r="C19" s="155" t="s" ph="1">
        <v>178</v>
      </c>
      <c r="D19" s="73" ph="1">
        <f>D18*7.0686*LOOKUP(D20,密度!$A$2:$A$50,密度!$L$2:$L$50)</f>
        <v>0</v>
      </c>
      <c r="E19" s="73" ph="1">
        <f>E18*7.0686*LOOKUP(E20,密度!$A$2:$A$50,密度!$L$2:$L$50)</f>
        <v>23439.873441600001</v>
      </c>
      <c r="F19" s="73" ph="1">
        <f>F18*9.0746*LOOKUP(F20,密度!$A$2:$A$50,密度!$L$2:$L$50)</f>
        <v>21861.5099648</v>
      </c>
      <c r="G19" s="73" ph="1">
        <f>G18*9.0746*LOOKUP(G20,密度!$A$2:$A$50,密度!$B$2:$B$50)</f>
        <v>14210.03138742</v>
      </c>
      <c r="H19" s="73" ph="1">
        <f>H18*9.0746*LOOKUP(H20,密度!$A$2:$A$50,密度!$L$2:$L$50)</f>
        <v>18607.176912799998</v>
      </c>
      <c r="I19" s="73" ph="1">
        <f>I18*9.0746*LOOKUP(I20,密度!$A$2:$A$50,密度!$U$2:$U$50)</f>
        <v>46807.6216632</v>
      </c>
      <c r="J19" s="73" ph="1">
        <f>J18*9.0746*LOOKUP(J20,密度!$A$2:$A$50,密度!$L$2:$L$50)</f>
        <v>43302.539264000006</v>
      </c>
      <c r="K19" s="73" ph="1">
        <f>K18*9.0746*LOOKUP(K20,密度!$A$2:$A$50,密度!$C$2:$C$50)</f>
        <v>6057.1176378399996</v>
      </c>
      <c r="L19" s="73" ph="1">
        <f>L18*9.0746*LOOKUP(L20,密度!$A$2:$A$50,密度!$E$2:$E$50)</f>
        <v>37819.324739039999</v>
      </c>
      <c r="M19" s="73" ph="1">
        <f>M18*9.0746*LOOKUP(M20,密度!$A$2:$A$50,密度!$M$2:$M$50)</f>
        <v>17162.719653644002</v>
      </c>
      <c r="N19" s="73" ph="1">
        <f>N18*9.0746*LOOKUP(N20,密度!$A$2:$A$50,密度!$M$2:$M$50)</f>
        <v>20750.424107940002</v>
      </c>
      <c r="O19" s="73" ph="1">
        <f>O18*9.0746*LOOKUP(O20,密度!$A$2:$A$50,密度!$G$2:$G$50)</f>
        <v>16550.77454712</v>
      </c>
      <c r="P19" s="73" ph="1">
        <f ca="1">P18*9.0746*LOOKUP(P20,密度!$A$2:$A$51,密度!$Q$2:$Q$50)</f>
        <v>17411.736478212002</v>
      </c>
      <c r="Q19" s="73" ph="1">
        <f>Q18*9.0746*LOOKUP(Q20,密度!$A$2:$A$50,密度!$Q$2:$Q$50)</f>
        <v>57020.440846298006</v>
      </c>
      <c r="R19" s="73" ph="1">
        <f>MAX(R18*9.0746*LOOKUP(R20,密度!$A$2:$A$50,密度!$Q$2:$Q$50),0)</f>
        <v>0</v>
      </c>
      <c r="S19" s="73" ph="1">
        <f>S18*9.0746*LOOKUP(S20,密度!$A$2:$A$50,密度!$Q$2:$Q$50)</f>
        <v>42425.057023608002</v>
      </c>
      <c r="T19" s="73" ph="1">
        <f>T18*9.0746*LOOKUP(T20,密度!$A$2:$A$50,密度!$O$2:$O$50)</f>
        <v>39507.940826400001</v>
      </c>
      <c r="U19" s="73" ph="1">
        <f>U18*9.0746*LOOKUP(U20,密度!$A$2:$A$50,密度!$H$2:$H$50)</f>
        <v>14704.459153500002</v>
      </c>
      <c r="V19" s="73" ph="1">
        <f>MAX(5600*LOOKUP(V20,密度!$A$2:$A$50,密度!$Q$2:$Q$50)+V18*9.0476*LOOKUP(V20,密度!$A$2:$A$50,密度!$Q$2:$Q$50),0)</f>
        <v>0</v>
      </c>
      <c r="W19" s="73" ph="1">
        <f>MAX(5600*LOOKUP(W20,密度!$A$2:$A$50,密度!$Q$2:$Q$50)+W18*9.0476*LOOKUP(W20,密度!$A$2:$A$50,密度!$Q$2:$Q$50),0)</f>
        <v>5508.7063438159994</v>
      </c>
      <c r="X19" s="73" ph="1">
        <f>MAX(5600*LOOKUP(X20,密度!$A$2:$A$50,密度!$I$2:$I$50)+X18*9.0476*LOOKUP(X20,密度!$A$2:$A$50,密度!$I$2:$I$50),0)</f>
        <v>13834.497763519998</v>
      </c>
      <c r="Y19" s="73" ph="1">
        <f>MAX(5600*LOOKUP(Y20,密度!$A$2:$A$50,密度!$I$2:$I$50)+Y18*9.0476*LOOKUP(Y20,密度!$A$2:$A$50,密度!$I$2:$I$50),0)</f>
        <v>0</v>
      </c>
      <c r="Z19" s="73" ph="1">
        <f>Z18*9.0746*LOOKUP(Z20,密度!$A$2:$A$50,密度!$D$2:$D$50)</f>
        <v>0</v>
      </c>
      <c r="AA19" s="73" ph="1">
        <f>AA18*9.0746*LOOKUP(AA20,密度!$A$2:$A$50,密度!$B$2:$B$50)</f>
        <v>17432.786646339999</v>
      </c>
      <c r="AB19" s="73" ph="1">
        <f>AB18*9.0746*LOOKUP(AB20,密度!$A$2:$A$50,密度!$L$2:$L$50)</f>
        <v>0</v>
      </c>
      <c r="AC19" s="73" ph="1">
        <f>AC18*9.0746*LOOKUP(AC20,密度!$A$2:$A$50,密度!$L$2:$L$50)</f>
        <v>110.30176300000001</v>
      </c>
      <c r="AD19" s="73" ph="1">
        <f>AD18*268.68*LOOKUP(AD20,密度!$A$2:$A$50,密度!B5:B53)+IF(AD18&lt;=0,0,1566*LOOKUP(AD20,密度!$A$2:$A$50,密度!B5:B53))</f>
        <v>2279.3925924</v>
      </c>
      <c r="AE19" s="73" ph="1">
        <f>AE18*268.68*LOOKUP(AE20,密度!$A$2:$A$50,密度!B5:B53)+IF(AE18&lt;=0,0,1566*LOOKUP(AE20,密度!$A$2:$A$50,密度!B5:B53))</f>
        <v>17932.544305199997</v>
      </c>
      <c r="AH19" s="72" ph="1">
        <v>5</v>
      </c>
      <c r="AI19" s="72" t="s" ph="1">
        <v>341</v>
      </c>
      <c r="AZ19" s="72" t="s" ph="1">
        <v>216</v>
      </c>
      <c r="BA19" s="72" ph="1">
        <v>0</v>
      </c>
      <c r="BD19" s="72" t="s" ph="1">
        <v>342</v>
      </c>
      <c r="BE19" s="72" ph="1">
        <v>1440</v>
      </c>
    </row>
    <row r="20" spans="1:57" ph="1">
      <c r="A20" s="72" ph="1"/>
      <c r="B20" s="217" ph="1"/>
      <c r="C20" s="80" t="s" ph="1">
        <v>179</v>
      </c>
      <c r="D20" s="81">
        <v>30</v>
      </c>
      <c r="E20" s="81">
        <v>30</v>
      </c>
      <c r="F20" s="81">
        <v>34</v>
      </c>
      <c r="G20" s="81">
        <v>27</v>
      </c>
      <c r="H20" s="81">
        <v>24</v>
      </c>
      <c r="I20" s="81">
        <v>29</v>
      </c>
      <c r="J20" s="81">
        <v>30</v>
      </c>
      <c r="K20" s="81">
        <v>30</v>
      </c>
      <c r="L20" s="81">
        <v>29</v>
      </c>
      <c r="M20" s="81">
        <v>33</v>
      </c>
      <c r="N20" s="81">
        <v>27</v>
      </c>
      <c r="O20" s="81">
        <v>29</v>
      </c>
      <c r="P20" s="81">
        <v>30</v>
      </c>
      <c r="Q20" s="81">
        <v>30</v>
      </c>
      <c r="R20" s="81">
        <v>35</v>
      </c>
      <c r="S20" s="81">
        <v>30</v>
      </c>
      <c r="T20" s="81">
        <v>30</v>
      </c>
      <c r="U20" s="81">
        <v>27</v>
      </c>
      <c r="V20" s="81">
        <v>30</v>
      </c>
      <c r="W20" s="81">
        <v>31</v>
      </c>
      <c r="X20" s="81">
        <v>30</v>
      </c>
      <c r="Y20" s="110">
        <v>30</v>
      </c>
      <c r="Z20" s="81">
        <v>32</v>
      </c>
      <c r="AA20" s="81">
        <v>26</v>
      </c>
      <c r="AB20" s="81">
        <v>31</v>
      </c>
      <c r="AC20" s="81">
        <v>27</v>
      </c>
      <c r="AD20" s="81">
        <v>25</v>
      </c>
      <c r="AE20" s="81">
        <v>25</v>
      </c>
      <c r="AF20" s="64" t="s" ph="1">
        <v>35</v>
      </c>
      <c r="AH20" s="64" ph="1">
        <v>6</v>
      </c>
      <c r="AI20" s="64" t="s" ph="1">
        <v>343</v>
      </c>
      <c r="AZ20" s="64" t="s" ph="1">
        <v>216</v>
      </c>
      <c r="BA20" s="64" ph="1">
        <v>0</v>
      </c>
    </row>
    <row r="21" spans="1:57" ph="1">
      <c r="A21" s="72" ph="1"/>
      <c r="B21" s="82" ph="1"/>
      <c r="C21" s="83" ph="1"/>
      <c r="D21" s="84"/>
      <c r="E21" s="84"/>
      <c r="F21" s="84"/>
      <c r="G21" s="84"/>
      <c r="H21" s="84"/>
      <c r="I21" s="84"/>
      <c r="J21" s="84"/>
      <c r="K21" s="84"/>
      <c r="L21" s="84"/>
      <c r="M21" s="84"/>
      <c r="N21" s="84"/>
      <c r="O21" s="84"/>
      <c r="P21" s="84"/>
      <c r="Q21" s="84"/>
      <c r="R21" s="84"/>
      <c r="S21" s="84"/>
      <c r="T21" s="84"/>
      <c r="U21" s="84"/>
      <c r="V21" s="84"/>
      <c r="W21" s="84"/>
      <c r="X21" s="84"/>
      <c r="Y21" s="84"/>
      <c r="Z21" s="84"/>
      <c r="AA21" s="84"/>
      <c r="AB21" s="84"/>
      <c r="AC21" s="84"/>
      <c r="AD21" s="84"/>
      <c r="AE21" s="84"/>
      <c r="AH21" s="64" ph="1">
        <v>7</v>
      </c>
      <c r="AI21" s="64" t="s" ph="1">
        <v>344</v>
      </c>
      <c r="AZ21" s="64" t="s" ph="1">
        <v>216</v>
      </c>
      <c r="BA21" s="64" ph="1">
        <v>0</v>
      </c>
      <c r="BD21" s="64" t="s" ph="1">
        <v>232</v>
      </c>
      <c r="BE21" s="64" ph="1">
        <v>730</v>
      </c>
    </row>
    <row r="22" spans="1:57" ph="1">
      <c r="A22" s="72" ph="1"/>
      <c r="B22" s="215" t="s" ph="1">
        <v>37</v>
      </c>
      <c r="C22" s="85" t="s" ph="1">
        <v>176</v>
      </c>
      <c r="D22" s="86" t="s" ph="1">
        <v>86</v>
      </c>
      <c r="E22" s="86" t="s" ph="1">
        <v>87</v>
      </c>
      <c r="F22" s="86" t="s" ph="1">
        <v>88</v>
      </c>
      <c r="G22" s="86" t="s" ph="1">
        <v>89</v>
      </c>
      <c r="H22" s="86" t="s" ph="1">
        <v>90</v>
      </c>
      <c r="I22" s="86" t="s" ph="1">
        <v>91</v>
      </c>
      <c r="J22" s="86" t="s" ph="1">
        <v>92</v>
      </c>
      <c r="K22" s="86" t="s" ph="1">
        <v>93</v>
      </c>
      <c r="L22" s="86" t="s" ph="1">
        <v>94</v>
      </c>
      <c r="M22" s="86" t="s" ph="1">
        <v>95</v>
      </c>
      <c r="N22" s="86" t="s" ph="1">
        <v>96</v>
      </c>
      <c r="O22" s="86" t="s" ph="1">
        <v>97</v>
      </c>
      <c r="P22" s="86" t="s" ph="1">
        <v>98</v>
      </c>
      <c r="Q22" s="87" t="s" ph="1">
        <v>99</v>
      </c>
      <c r="R22" s="86" t="s" ph="1">
        <v>100</v>
      </c>
      <c r="S22" s="86" t="s" ph="1">
        <v>101</v>
      </c>
      <c r="T22" s="86" t="s" ph="1">
        <v>102</v>
      </c>
      <c r="U22" s="86" t="s" ph="1">
        <v>103</v>
      </c>
      <c r="V22" s="86" t="s" ph="1">
        <v>104</v>
      </c>
      <c r="W22" s="86" t="s" ph="1">
        <v>105</v>
      </c>
      <c r="X22" s="86" t="s" ph="1">
        <v>106</v>
      </c>
      <c r="Y22" s="86" t="s" ph="1">
        <v>108</v>
      </c>
      <c r="Z22" s="225" t="s" ph="1">
        <v>69</v>
      </c>
      <c r="AA22" s="226"/>
      <c r="AB22" s="226"/>
      <c r="AC22" s="226"/>
      <c r="AD22" s="226"/>
      <c r="AE22" s="227"/>
      <c r="AH22" s="64" ph="1">
        <v>8</v>
      </c>
      <c r="AI22" s="64" t="s" ph="1">
        <v>345</v>
      </c>
      <c r="AZ22" s="64" t="s" ph="1">
        <v>216</v>
      </c>
      <c r="BA22" s="64" ph="1">
        <v>0</v>
      </c>
    </row>
    <row r="23" spans="1:57" ph="1">
      <c r="A23" s="72" ph="1"/>
      <c r="B23" s="219" ph="1"/>
      <c r="C23" s="67" t="s" ph="1">
        <v>36</v>
      </c>
      <c r="D23" s="88" t="s" ph="1">
        <v>109</v>
      </c>
      <c r="E23" s="88" t="s" ph="1">
        <v>107</v>
      </c>
      <c r="F23" s="88" t="s" ph="1">
        <v>109</v>
      </c>
      <c r="G23" s="88" t="s" ph="1">
        <v>626</v>
      </c>
      <c r="H23" s="88" t="s" ph="1">
        <v>626</v>
      </c>
      <c r="I23" s="88" t="s" ph="1">
        <v>627</v>
      </c>
      <c r="J23" s="88" t="s" ph="1">
        <v>628</v>
      </c>
      <c r="K23" s="88" t="s" ph="1">
        <v>628</v>
      </c>
      <c r="L23" s="88" t="s" ph="1">
        <v>628</v>
      </c>
      <c r="M23" s="88" t="s" ph="1">
        <v>623</v>
      </c>
      <c r="N23" s="88" t="s" ph="1">
        <v>623</v>
      </c>
      <c r="O23" s="88" t="s" ph="1">
        <v>645</v>
      </c>
      <c r="P23" s="88" t="s" ph="1">
        <v>629</v>
      </c>
      <c r="Q23" s="89" t="s" ph="1">
        <v>643</v>
      </c>
      <c r="R23" s="88" t="s" ph="1">
        <v>610</v>
      </c>
      <c r="S23" s="88" t="s" ph="1">
        <v>629</v>
      </c>
      <c r="T23" s="88" t="s" ph="1">
        <v>604</v>
      </c>
      <c r="U23" s="104" t="s" ph="1">
        <v>606</v>
      </c>
      <c r="V23" s="88" t="s" ph="1">
        <v>629</v>
      </c>
      <c r="W23" s="88" t="s" ph="1">
        <v>629</v>
      </c>
      <c r="X23" s="88" t="s" ph="1">
        <v>187</v>
      </c>
      <c r="Y23" s="88" t="s" ph="1">
        <v>630</v>
      </c>
      <c r="Z23" s="228" t="s" ph="1">
        <v>646</v>
      </c>
      <c r="AA23" s="229"/>
      <c r="AB23" s="229"/>
      <c r="AC23" s="229"/>
      <c r="AD23" s="229"/>
      <c r="AE23" s="230"/>
      <c r="AH23" s="64" ph="1">
        <v>9</v>
      </c>
      <c r="AI23" s="64" t="s" ph="1">
        <v>346</v>
      </c>
      <c r="AZ23" s="64" t="s" ph="1">
        <v>216</v>
      </c>
      <c r="BA23" s="64" ph="1">
        <v>0</v>
      </c>
      <c r="BD23" s="64" t="s" ph="1">
        <v>238</v>
      </c>
      <c r="BE23" s="64" ph="1">
        <v>890</v>
      </c>
    </row>
    <row r="24" spans="1:57" ph="1">
      <c r="A24" s="72" ph="1"/>
      <c r="B24" s="237" ph="1">
        <v>0.33333333333333331</v>
      </c>
      <c r="C24" s="155" t="s" ph="1">
        <v>177</v>
      </c>
      <c r="D24" s="71">
        <v>3.33</v>
      </c>
      <c r="E24" s="71">
        <v>5.67</v>
      </c>
      <c r="F24" s="71">
        <v>0</v>
      </c>
      <c r="G24" s="71">
        <v>2094</v>
      </c>
      <c r="H24" s="71">
        <v>1841</v>
      </c>
      <c r="I24" s="71">
        <v>2899</v>
      </c>
      <c r="J24" s="71">
        <v>298</v>
      </c>
      <c r="K24" s="71">
        <v>210</v>
      </c>
      <c r="L24" s="71">
        <v>302</v>
      </c>
      <c r="M24" s="71">
        <v>3147</v>
      </c>
      <c r="N24" s="71">
        <v>284</v>
      </c>
      <c r="O24" s="71">
        <v>318</v>
      </c>
      <c r="P24" s="71">
        <v>365</v>
      </c>
      <c r="Q24" s="90">
        <v>1931</v>
      </c>
      <c r="R24" s="71">
        <v>5286</v>
      </c>
      <c r="S24" s="71">
        <v>2277</v>
      </c>
      <c r="T24" s="71">
        <v>24</v>
      </c>
      <c r="U24" s="71">
        <v>6255</v>
      </c>
      <c r="V24" s="71">
        <v>737</v>
      </c>
      <c r="W24" s="71">
        <v>433</v>
      </c>
      <c r="X24" s="71">
        <v>2834</v>
      </c>
      <c r="Y24" s="71">
        <v>2314</v>
      </c>
      <c r="Z24" s="231"/>
      <c r="AA24" s="232"/>
      <c r="AB24" s="232"/>
      <c r="AC24" s="232"/>
      <c r="AD24" s="232"/>
      <c r="AE24" s="233"/>
      <c r="AH24" s="64" ph="1">
        <v>10</v>
      </c>
      <c r="AI24" s="64" t="s" ph="1">
        <v>347</v>
      </c>
      <c r="AZ24" s="64" t="s" ph="1">
        <v>216</v>
      </c>
      <c r="BA24" s="64" ph="1">
        <v>0</v>
      </c>
    </row>
    <row r="25" spans="1:57" ph="1">
      <c r="A25" s="72" ph="1"/>
      <c r="B25" s="237" ph="1"/>
      <c r="C25" s="68" t="s" ph="1">
        <v>178</v>
      </c>
      <c r="D25" s="91" ph="1">
        <f>D24*268.68*LOOKUP(D26,密度!$A$2:$A$50,密度!$Q$2:$Q$50)+IF(D24&lt;=0,0,1566*LOOKUP(D26,密度!$A$2:$A$50,密度!$Q$2:$Q$50))</f>
        <v>2329.6472836560001</v>
      </c>
      <c r="E25" s="91" ph="1">
        <f>E24*268.68*LOOKUP(E26,密度!$A$2:$A$50,密度!$C$2:$C$50)+IF(E24&lt;=0,0,1566*LOOKUP(E26,密度!$A$2:$A$50,密度!$C$2:$C$50))</f>
        <v>3425.8529588399997</v>
      </c>
      <c r="F25" s="91" ph="1">
        <f>F24*11.702*LOOKUP(F26,密度!$A$2:$A$50,密度!$Q$2:$Q$50)</f>
        <v>0</v>
      </c>
      <c r="G25" s="91" ph="1">
        <f>G24*18.322*LOOKUP(G26,密度!$A$2:$A$50,密度!$B$2:$B$50)</f>
        <v>29910.342532799994</v>
      </c>
      <c r="H25" s="91" ph="1">
        <f>H24*18.322*LOOKUP(H26,密度!$A$2:$A$50,密度!$B$2:$B$50)</f>
        <v>26266.175517399995</v>
      </c>
      <c r="I25" s="91" ph="1">
        <f>I24*18.322*LOOKUP(I26,密度!$A$2:$A$50,密度!$Q$2:$Q$50)</f>
        <v>50248.83565234</v>
      </c>
      <c r="J25" s="91" ph="1">
        <f>J24*18.322*LOOKUP(J26,密度!$A$2:$A$50,密度!$Q$2:$Q$50)</f>
        <v>5169.1587434399999</v>
      </c>
      <c r="K25" s="91" ph="1">
        <f>K24*18.322*LOOKUP(K26,密度!$A$2:$A$50,密度!$Q$2:$Q$50)</f>
        <v>3639.9639486000001</v>
      </c>
      <c r="L25" s="91" ph="1">
        <f>L24*18.322*LOOKUP(L26,密度!$A$2:$A$50,密度!$Q$2:$Q$50)</f>
        <v>5234.6148213199995</v>
      </c>
      <c r="M25" s="91" ph="1">
        <f>M24*18.322*LOOKUP(M26,密度!$A$2:$A$50,密度!$Q$2:$Q$50)</f>
        <v>54588.397871159999</v>
      </c>
      <c r="N25" s="91" ph="1">
        <f>N24*18.322*LOOKUP(N26,密度!$A$2:$A$50,密度!$Q$2:$Q$50)</f>
        <v>4922.6179114399993</v>
      </c>
      <c r="O25" s="91" ph="1">
        <f>O24*18.322*LOOKUP(O26,密度!$A$2:$A$50,密度!$C$2:$C$50)</f>
        <v>6452.1509303999992</v>
      </c>
      <c r="P25" s="91" ph="1">
        <f>P24*11.702*LOOKUP(P26,密度!$A$2:$A$50,密度!$B$2:$B$50)</f>
        <v>3322.589817</v>
      </c>
      <c r="Q25" s="92" ph="1">
        <f>Q24*18.322*LOOKUP(Q26,密度!$A$2:$A$50,密度!$B$2:$B$50)</f>
        <v>27550.236243399999</v>
      </c>
      <c r="R25" s="91" ph="1">
        <f>R24*35.891*LOOKUP(R26,密度!$A$2:$A$50,密度!$C$2:$C$50)</f>
        <v>210228.53919060001</v>
      </c>
      <c r="S25" s="91" ph="1">
        <f>S24*35.891*LOOKUP(S26,密度!$A$2:$A$50,密度!$B$2:$B$50)</f>
        <v>63638.328510899999</v>
      </c>
      <c r="T25" s="91" ph="1">
        <f>T24*35.891*LOOKUP(T26,密度!$A$2:$A$50,密度!$Q$2:$Q$50)</f>
        <v>814.28352288000008</v>
      </c>
      <c r="U25" s="91" ph="1">
        <f>U24*35.891</f>
        <v>224498.20499999999</v>
      </c>
      <c r="V25" s="91" ph="1">
        <f>V24*47.051*LOOKUP(V26,密度!$A$2:$A$50,密度!$B$2:$B$50)</f>
        <v>26974.917027300002</v>
      </c>
      <c r="W25" s="91" ph="1">
        <f>W24*47.051*LOOKUP(W26,密度!$A$2:$A$50,密度!$B$2:$B$50)</f>
        <v>15864.519732100001</v>
      </c>
      <c r="X25" s="91" ph="1">
        <f>X24*47.051*LOOKUP(X26,密度!$A$2:$A$61,密度!$I$2:$I$61)</f>
        <v>138542.892826</v>
      </c>
      <c r="Y25" s="91" ph="1">
        <f>Y24*47.051*LOOKUP(Y26,密度!$A$2:$A$50,密度!$L$2:$L$50)</f>
        <v>101907.94910400001</v>
      </c>
      <c r="Z25" s="231"/>
      <c r="AA25" s="232"/>
      <c r="AB25" s="232"/>
      <c r="AC25" s="232"/>
      <c r="AD25" s="232"/>
      <c r="AE25" s="233"/>
      <c r="AH25" s="64" ph="1">
        <v>11</v>
      </c>
      <c r="AI25" s="64" t="s" ph="1">
        <v>348</v>
      </c>
      <c r="AZ25" s="64" t="s" ph="1">
        <v>216</v>
      </c>
      <c r="BA25" s="64" ph="1">
        <v>0</v>
      </c>
      <c r="BD25" s="64" t="s" ph="1">
        <v>241</v>
      </c>
      <c r="BE25" s="64" ph="1">
        <v>8920</v>
      </c>
    </row>
    <row r="26" spans="1:57" ph="1">
      <c r="A26" s="72" ph="1"/>
      <c r="B26" s="237" ph="1"/>
      <c r="C26" s="68" t="s" ph="1">
        <v>179</v>
      </c>
      <c r="D26" s="74">
        <v>25</v>
      </c>
      <c r="E26" s="74">
        <v>25</v>
      </c>
      <c r="F26" s="74">
        <v>26</v>
      </c>
      <c r="G26" s="74">
        <v>25</v>
      </c>
      <c r="H26" s="74">
        <v>26</v>
      </c>
      <c r="I26" s="74">
        <v>26</v>
      </c>
      <c r="J26" s="74">
        <v>25</v>
      </c>
      <c r="K26" s="74">
        <v>26</v>
      </c>
      <c r="L26" s="74">
        <v>26</v>
      </c>
      <c r="M26" s="74">
        <v>25</v>
      </c>
      <c r="N26" s="74">
        <v>26</v>
      </c>
      <c r="O26" s="74">
        <v>27</v>
      </c>
      <c r="P26" s="74">
        <v>27</v>
      </c>
      <c r="Q26" s="93">
        <v>26</v>
      </c>
      <c r="R26" s="74">
        <v>26</v>
      </c>
      <c r="S26" s="74">
        <v>26</v>
      </c>
      <c r="T26" s="74">
        <v>27</v>
      </c>
      <c r="U26" s="74">
        <v>27</v>
      </c>
      <c r="V26" s="74">
        <v>27</v>
      </c>
      <c r="W26" s="74">
        <v>26</v>
      </c>
      <c r="X26" s="74">
        <v>28</v>
      </c>
      <c r="Y26" s="74">
        <v>26</v>
      </c>
      <c r="Z26" s="231"/>
      <c r="AA26" s="232"/>
      <c r="AB26" s="232"/>
      <c r="AC26" s="232"/>
      <c r="AD26" s="232"/>
      <c r="AE26" s="233"/>
      <c r="AH26" s="64" ph="1">
        <v>12</v>
      </c>
      <c r="AI26" s="64" t="s" ph="1">
        <v>349</v>
      </c>
      <c r="AZ26" s="64" t="s" ph="1">
        <v>216</v>
      </c>
      <c r="BA26" s="64" ph="1">
        <v>0</v>
      </c>
    </row>
    <row r="27" spans="1:57" ht="26.4" ph="1">
      <c r="A27" s="72" ph="1"/>
      <c r="B27" s="237" ph="1">
        <v>0.66666666666666663</v>
      </c>
      <c r="C27" s="155" t="s" ph="1">
        <v>180</v>
      </c>
      <c r="D27" s="71">
        <v>3.33</v>
      </c>
      <c r="E27" s="71">
        <v>5.66</v>
      </c>
      <c r="F27" s="71">
        <v>0</v>
      </c>
      <c r="G27" s="71">
        <v>1662</v>
      </c>
      <c r="H27" s="71">
        <v>1420</v>
      </c>
      <c r="I27" s="71">
        <v>3433</v>
      </c>
      <c r="J27" s="71">
        <v>292</v>
      </c>
      <c r="K27" s="71">
        <v>206</v>
      </c>
      <c r="L27" s="71">
        <v>296</v>
      </c>
      <c r="M27" s="71">
        <v>2517</v>
      </c>
      <c r="N27" s="71">
        <v>280</v>
      </c>
      <c r="O27" s="71">
        <v>314</v>
      </c>
      <c r="P27" s="71">
        <v>358</v>
      </c>
      <c r="Q27" s="90">
        <v>2143</v>
      </c>
      <c r="R27" s="71">
        <v>4753</v>
      </c>
      <c r="S27" s="71">
        <v>2274</v>
      </c>
      <c r="T27" s="71">
        <v>20</v>
      </c>
      <c r="U27" s="71">
        <v>6250</v>
      </c>
      <c r="V27" s="71">
        <v>732</v>
      </c>
      <c r="W27" s="71">
        <v>429</v>
      </c>
      <c r="X27" s="71">
        <v>2843</v>
      </c>
      <c r="Y27" s="71">
        <v>2310</v>
      </c>
      <c r="Z27" s="231"/>
      <c r="AA27" s="232"/>
      <c r="AB27" s="232"/>
      <c r="AC27" s="232"/>
      <c r="AD27" s="232"/>
      <c r="AE27" s="233"/>
      <c r="AH27" s="64" ph="1">
        <v>13</v>
      </c>
      <c r="AI27" s="64" t="s" ph="1">
        <v>350</v>
      </c>
      <c r="AZ27" s="64" t="s" ph="1">
        <v>216</v>
      </c>
      <c r="BA27" s="64" ph="1">
        <v>0</v>
      </c>
      <c r="BD27" s="64" t="s" ph="1">
        <v>295</v>
      </c>
      <c r="BE27" s="64" ph="1">
        <v>7100</v>
      </c>
    </row>
    <row r="28" spans="1:57" ph="1">
      <c r="A28" s="72" ph="1"/>
      <c r="B28" s="237" ph="1"/>
      <c r="C28" s="155" t="s" ph="1">
        <v>178</v>
      </c>
      <c r="D28" s="91" ph="1">
        <f>D27*268.68*LOOKUP(D29,密度!$A$2:$A$50,密度!$Q$2:$Q$50)+IF(D27&lt;=0,0,1566*LOOKUP(D29,密度!$A$2:$A$50,密度!$Q$2:$Q$50))</f>
        <v>2329.6472836560001</v>
      </c>
      <c r="E28" s="91" ph="1">
        <f>E27*268.68*LOOKUP(E29,密度!$A$2:$A$50,密度!$C$2:$C$50)+IF(E27&lt;=0,0,1566*LOOKUP(E29,密度!$A$2:$A$50,密度!$C$2:$C$50))</f>
        <v>3422.87356632</v>
      </c>
      <c r="F28" s="91" ph="1">
        <f>F27*11.702*LOOKUP(F29,密度!$A$2:$A$50,密度!$Q$2:$Q$50)</f>
        <v>0</v>
      </c>
      <c r="G28" s="91" ph="1">
        <f>G27*18.322*LOOKUP(G29,密度!$A$2:$A$50,密度!$B$2:$B$50)</f>
        <v>23687.960475599997</v>
      </c>
      <c r="H28" s="91" ph="1">
        <f>H27*18.322*LOOKUP(H29,密度!$A$2:$A$50,密度!$B$2:$B$50)</f>
        <v>20238.810996</v>
      </c>
      <c r="I28" s="91" ph="1">
        <f>I27*18.322*LOOKUP(I29,密度!$A$2:$A$50,密度!$Q$2:$Q$50)</f>
        <v>59504.743978780003</v>
      </c>
      <c r="J28" s="91" ph="1">
        <f>J27*18.322*LOOKUP(J29,密度!$A$2:$A$50,密度!$Q$2:$Q$50)</f>
        <v>5053.7396708799997</v>
      </c>
      <c r="K28" s="91" ph="1">
        <f>K27*18.322*LOOKUP(K29,密度!$A$2:$A$50,密度!$Q$2:$Q$50)</f>
        <v>3565.30949384</v>
      </c>
      <c r="L28" s="91" ph="1">
        <f>L27*18.322*LOOKUP(L29,密度!$A$2:$A$50,密度!$Q$2:$Q$50)</f>
        <v>5126.7652998399999</v>
      </c>
      <c r="M28" s="91" ph="1">
        <f>M27*18.322*LOOKUP(M29,密度!$A$2:$A$50,密度!$Q$2:$Q$50)</f>
        <v>43594.825201679996</v>
      </c>
      <c r="N28" s="91" ph="1">
        <f>N27*18.322*LOOKUP(N29,密度!$A$2:$A$50,密度!$Q$2:$Q$50)</f>
        <v>4842.5119288000005</v>
      </c>
      <c r="O28" s="91" ph="1">
        <f>O27*18.322*LOOKUP(O29,密度!$A$2:$A$50,密度!$C$2:$C$50)</f>
        <v>6362.3621372000007</v>
      </c>
      <c r="P28" s="91" ph="1">
        <f>P27*11.702*LOOKUP(P29,密度!$A$2:$A$50,密度!$B$2:$B$50)</f>
        <v>3247.9766947999997</v>
      </c>
      <c r="Q28" s="92" ph="1">
        <f>Q27*18.322*LOOKUP(Q29,密度!$A$2:$A$50,密度!$B$2:$B$50)</f>
        <v>30543.501383399998</v>
      </c>
      <c r="R28" s="91" ph="1">
        <f>R27*35.891*LOOKUP(R29,密度!$A$2:$A$50,密度!$C$2:$C$50)</f>
        <v>188911.28073019997</v>
      </c>
      <c r="S28" s="91" ph="1">
        <f>S27*35.891*LOOKUP(S29,密度!$A$2:$A$50,密度!$B$2:$B$50)</f>
        <v>63350.443210799996</v>
      </c>
      <c r="T28" s="91" ph="1">
        <f>T27*35.891*LOOKUP(T29,密度!$A$2:$A$50,密度!$Q$2:$Q$50)</f>
        <v>677.57183259999999</v>
      </c>
      <c r="U28" s="91" ph="1">
        <f>U27*35.891</f>
        <v>224318.75</v>
      </c>
      <c r="V28" s="91" ph="1">
        <f>V27*47.051*LOOKUP(V29,密度!$A$2:$A$50,密度!$B$2:$B$50)</f>
        <v>26791.912162800003</v>
      </c>
      <c r="W28" s="91" ph="1">
        <f>W27*47.051*LOOKUP(W29,密度!$A$2:$A$50,密度!$B$2:$B$50)</f>
        <v>15701.817374100001</v>
      </c>
      <c r="X28" s="91" ph="1">
        <f>X27*47.051*LOOKUP(X29,密度!$A$2:$A$61,密度!$I$2:$I$61)</f>
        <v>138528.06235080003</v>
      </c>
      <c r="Y28" s="91" ph="1">
        <f>Y27*47.051*LOOKUP(Y29,密度!$A$2:$A$50,密度!$L$2:$L$50)</f>
        <v>101297.03892000001</v>
      </c>
      <c r="Z28" s="231"/>
      <c r="AA28" s="232"/>
      <c r="AB28" s="232"/>
      <c r="AC28" s="232"/>
      <c r="AD28" s="232"/>
      <c r="AE28" s="233"/>
      <c r="AH28" s="64" ph="1">
        <v>14</v>
      </c>
      <c r="AI28" s="64" t="s" ph="1">
        <v>351</v>
      </c>
      <c r="AZ28" s="64" t="s" ph="1">
        <v>216</v>
      </c>
      <c r="BA28" s="64" ph="1">
        <v>0</v>
      </c>
    </row>
    <row r="29" spans="1:57" ph="1">
      <c r="A29" s="72" ph="1"/>
      <c r="B29" s="237" ph="1"/>
      <c r="C29" s="155" t="s" ph="1">
        <v>179</v>
      </c>
      <c r="D29" s="74">
        <v>25</v>
      </c>
      <c r="E29" s="74">
        <v>25</v>
      </c>
      <c r="F29" s="74">
        <v>28</v>
      </c>
      <c r="G29" s="74">
        <v>27</v>
      </c>
      <c r="H29" s="74">
        <v>27</v>
      </c>
      <c r="I29" s="74">
        <v>26</v>
      </c>
      <c r="J29" s="74">
        <v>28</v>
      </c>
      <c r="K29" s="74">
        <v>28</v>
      </c>
      <c r="L29" s="74">
        <v>27</v>
      </c>
      <c r="M29" s="74">
        <v>27</v>
      </c>
      <c r="N29" s="74">
        <v>29</v>
      </c>
      <c r="O29" s="74">
        <v>29</v>
      </c>
      <c r="P29" s="74">
        <v>30</v>
      </c>
      <c r="Q29" s="93">
        <v>27</v>
      </c>
      <c r="R29" s="74">
        <v>27</v>
      </c>
      <c r="S29" s="74">
        <v>29</v>
      </c>
      <c r="T29" s="74">
        <v>29</v>
      </c>
      <c r="U29" s="74">
        <v>29</v>
      </c>
      <c r="V29" s="74">
        <v>27</v>
      </c>
      <c r="W29" s="74">
        <v>27</v>
      </c>
      <c r="X29" s="74">
        <v>31</v>
      </c>
      <c r="Y29" s="74">
        <v>30</v>
      </c>
      <c r="Z29" s="234"/>
      <c r="AA29" s="235"/>
      <c r="AB29" s="235"/>
      <c r="AC29" s="235"/>
      <c r="AD29" s="235"/>
      <c r="AE29" s="236"/>
      <c r="AH29" s="64" ph="1">
        <v>15</v>
      </c>
      <c r="AI29" s="64" t="s" ph="1">
        <v>352</v>
      </c>
      <c r="AZ29" s="64" t="s" ph="1">
        <v>216</v>
      </c>
      <c r="BA29" s="64" ph="1">
        <v>0</v>
      </c>
      <c r="BD29" s="64" t="s" ph="1">
        <v>353</v>
      </c>
      <c r="BE29" s="64" ph="1">
        <v>890</v>
      </c>
    </row>
    <row r="30" spans="1:57" ph="1">
      <c r="D30" s="94" ph="1"/>
      <c r="Z30" s="64" t="s" ph="1">
        <v>35</v>
      </c>
      <c r="AE30" s="95" ph="1"/>
      <c r="AH30" s="64" ph="1">
        <v>16</v>
      </c>
      <c r="AI30" s="64" t="s" ph="1">
        <v>354</v>
      </c>
      <c r="AZ30" s="64" t="s" ph="1">
        <v>216</v>
      </c>
      <c r="BA30" s="64" ph="1">
        <v>0</v>
      </c>
    </row>
    <row r="31" spans="1:57" ht="28.2" ph="1">
      <c r="A31" s="64"/>
      <c r="B31" s="220" t="s" ph="1">
        <v>35</v>
      </c>
      <c r="C31" s="221" ph="1"/>
      <c r="D31" s="224" t="s" ph="1">
        <v>9</v>
      </c>
      <c r="E31" s="199" ph="1"/>
      <c r="F31" s="200" ph="1"/>
      <c r="G31" s="224" t="s" ph="1">
        <v>18</v>
      </c>
      <c r="H31" s="199" ph="1"/>
      <c r="I31" s="200" ph="1"/>
      <c r="J31" s="198" t="s" ph="1">
        <v>1</v>
      </c>
      <c r="K31" s="199" ph="1"/>
      <c r="L31" s="200" ph="1"/>
      <c r="M31" s="198" t="s" ph="1">
        <v>7</v>
      </c>
      <c r="N31" s="199" ph="1"/>
      <c r="O31" s="200" ph="1"/>
      <c r="P31" s="198" t="s" ph="1">
        <v>41</v>
      </c>
      <c r="Q31" s="199"/>
      <c r="R31" s="200"/>
      <c r="S31" s="198" t="s" ph="1">
        <v>2</v>
      </c>
      <c r="T31" s="199"/>
      <c r="U31" s="200"/>
      <c r="V31" s="198" t="s" ph="1">
        <v>71</v>
      </c>
      <c r="W31" s="199" ph="1"/>
      <c r="X31" s="200" ph="1"/>
      <c r="Y31" s="198" t="s" ph="1">
        <v>3</v>
      </c>
      <c r="Z31" s="199" ph="1"/>
      <c r="AA31" s="200" ph="1"/>
      <c r="AB31" s="201" t="s">
        <v>42</v>
      </c>
      <c r="AC31" s="202"/>
      <c r="AD31" s="202"/>
      <c r="AE31" s="203"/>
      <c r="AH31" s="64" ph="1">
        <v>17</v>
      </c>
      <c r="AI31" s="64" t="s" ph="1">
        <v>355</v>
      </c>
      <c r="AZ31" s="64" t="s" ph="1">
        <v>216</v>
      </c>
      <c r="BA31" s="64" ph="1">
        <v>0</v>
      </c>
      <c r="BD31" s="64" t="s" ph="1">
        <v>356</v>
      </c>
      <c r="BE31" s="64" ph="1">
        <v>9310</v>
      </c>
    </row>
    <row r="32" spans="1:57" ph="1">
      <c r="A32" s="64"/>
      <c r="B32" s="222" ph="1"/>
      <c r="C32" s="223" ph="1"/>
      <c r="D32" s="96" t="s" ph="1">
        <v>4</v>
      </c>
      <c r="E32" s="155" t="s" ph="1">
        <v>5</v>
      </c>
      <c r="F32" s="154" t="s" ph="1">
        <v>43</v>
      </c>
      <c r="G32" s="97" t="s" ph="1">
        <v>4</v>
      </c>
      <c r="H32" s="155" t="s" ph="1">
        <v>5</v>
      </c>
      <c r="I32" s="154" t="s" ph="1">
        <v>43</v>
      </c>
      <c r="J32" s="97" t="s" ph="1">
        <v>4</v>
      </c>
      <c r="K32" s="155" t="s" ph="1">
        <v>5</v>
      </c>
      <c r="L32" s="154" t="s" ph="1">
        <v>43</v>
      </c>
      <c r="M32" s="97" t="s" ph="1">
        <v>4</v>
      </c>
      <c r="N32" s="155" t="s" ph="1">
        <v>5</v>
      </c>
      <c r="O32" s="154" t="s" ph="1">
        <v>43</v>
      </c>
      <c r="P32" s="97" t="s" ph="1">
        <v>4</v>
      </c>
      <c r="Q32" s="98" t="s" ph="1">
        <v>5</v>
      </c>
      <c r="R32" s="99" t="s" ph="1">
        <v>43</v>
      </c>
      <c r="S32" s="97" t="s" ph="1">
        <v>4</v>
      </c>
      <c r="T32" s="155" t="s" ph="1">
        <v>5</v>
      </c>
      <c r="U32" s="99" t="s" ph="1">
        <v>43</v>
      </c>
      <c r="V32" s="97" t="s" ph="1">
        <v>4</v>
      </c>
      <c r="W32" s="155" t="s" ph="1">
        <v>5</v>
      </c>
      <c r="X32" s="99" t="s" ph="1">
        <v>43</v>
      </c>
      <c r="Y32" s="100" t="s" ph="1">
        <v>4</v>
      </c>
      <c r="Z32" s="155" t="s" ph="1">
        <v>5</v>
      </c>
      <c r="AA32" s="154" t="s" ph="1">
        <v>43</v>
      </c>
      <c r="AB32" s="97" t="s" ph="1">
        <v>85</v>
      </c>
      <c r="AC32" s="155" t="s" ph="1">
        <v>84</v>
      </c>
      <c r="AD32" s="204" t="s" ph="1">
        <v>83</v>
      </c>
      <c r="AE32" s="205"/>
      <c r="AH32" s="64" ph="1">
        <v>18</v>
      </c>
      <c r="AI32" s="64" t="s" ph="1">
        <v>357</v>
      </c>
      <c r="AZ32" s="64" t="s" ph="1">
        <v>216</v>
      </c>
      <c r="BA32" s="64" ph="1">
        <v>0</v>
      </c>
    </row>
    <row r="33" spans="1:57" ph="1">
      <c r="A33" s="64"/>
      <c r="B33" s="206" t="s" ph="1">
        <v>181</v>
      </c>
      <c r="C33" s="207" ph="1"/>
      <c r="D33" s="186" ph="1">
        <f>AA10+AB10+Z19</f>
        <v>69620.097292799997</v>
      </c>
      <c r="E33" s="186" ph="1">
        <f>M10+I10</f>
        <v>117292.17551399999</v>
      </c>
      <c r="F33" s="210" ph="1">
        <f>表格_取樣回收每月庫存表_0620更新1522252632456786910111213141516171819202123456789101112131415161718192022232424356789101112131415161718192021222345678910111213141516171819202345678910111213149101516171819222123234567891012131415161711181920212224252345678910111213110[[#This Row],[F25]]</f>
        <v>3880</v>
      </c>
      <c r="G33" s="212" ph="1">
        <f>N19</f>
        <v>20750.424107940002</v>
      </c>
      <c r="H33" s="186" ph="1">
        <f>M19</f>
        <v>17162.719653644002</v>
      </c>
      <c r="I33" s="190" ph="1">
        <v>0</v>
      </c>
      <c r="J33" s="194" ph="1">
        <f>F10+O28</f>
        <v>123573.58463480001</v>
      </c>
      <c r="K33" s="186" ph="1">
        <f>O10+K10+E28+R28</f>
        <v>204846.46573251998</v>
      </c>
      <c r="L33" s="196" ph="1">
        <f>K19</f>
        <v>6057.1176378399996</v>
      </c>
      <c r="M33" s="194" ph="1">
        <f>G10+H10+W28+S28+V28+E10+R19+P28+Q28</f>
        <v>620132.89172689989</v>
      </c>
      <c r="N33" s="186" ph="1">
        <f>L10+P10++G28+H28+AD19+AE19</f>
        <v>222603.72472919998</v>
      </c>
      <c r="O33" s="190" ph="1">
        <f>G19</f>
        <v>14210.03138742</v>
      </c>
      <c r="P33" s="194" ph="1">
        <f>L19</f>
        <v>37819.324739039999</v>
      </c>
      <c r="Q33" s="186" ph="1">
        <f>J10+N10</f>
        <v>60650.25465119999</v>
      </c>
      <c r="R33" s="190" ph="1">
        <f>BE23</f>
        <v>890</v>
      </c>
      <c r="S33" s="194" ph="1">
        <f>X28</f>
        <v>138528.06235080003</v>
      </c>
      <c r="T33" s="186" ph="1">
        <f>X19</f>
        <v>13834.497763519998</v>
      </c>
      <c r="U33" s="175" ph="1">
        <f>BE21</f>
        <v>730</v>
      </c>
      <c r="V33" s="188" ph="1">
        <f ca="1">P19+Q19+S19+M28+N28+J28+D10+AC10+D19+E19+H19+J19+O19+V19+W19+K28+L28</f>
        <v>703187.95218643395</v>
      </c>
      <c r="W33" s="188" ph="1">
        <f>D28+F28+T28+I28</f>
        <v>62511.963095036001</v>
      </c>
      <c r="X33" s="190" ph="1">
        <f>BE29+BE31</f>
        <v>10200</v>
      </c>
      <c r="Y33" s="192" ph="1">
        <f>+Q10+R10+S10+T10+U10+V10+W10+X10+Y10</f>
        <v>251228.73172320001</v>
      </c>
      <c r="Z33" s="173" ph="1">
        <f>T19+U19+Y28+Z10</f>
        <v>185825.82589589999</v>
      </c>
      <c r="AA33" s="175" ph="1">
        <f>BE19</f>
        <v>1440</v>
      </c>
      <c r="AB33" s="177" ph="1">
        <f>I19</f>
        <v>46807.6216632</v>
      </c>
      <c r="AC33" s="179" ph="1">
        <f>AD10+AB19</f>
        <v>106181.73699840001</v>
      </c>
      <c r="AD33" s="181" ph="1">
        <v>0</v>
      </c>
      <c r="AE33" s="182"/>
      <c r="AH33" s="64" ph="1">
        <v>19</v>
      </c>
      <c r="AI33" s="64" t="s" ph="1">
        <v>358</v>
      </c>
      <c r="AJ33" s="64" t="s" ph="1">
        <v>592</v>
      </c>
      <c r="AK33" s="64" t="s" ph="1">
        <v>589</v>
      </c>
      <c r="AL33" s="64" ph="1">
        <v>730</v>
      </c>
      <c r="AM33" s="64" t="s" ph="1">
        <v>339</v>
      </c>
      <c r="AZ33" s="64" t="s" ph="1">
        <v>216</v>
      </c>
      <c r="BA33" s="64" ph="1">
        <v>730</v>
      </c>
      <c r="BD33" s="64" t="s" ph="1">
        <v>290</v>
      </c>
      <c r="BE33" s="64" ph="1">
        <v>3880</v>
      </c>
    </row>
    <row r="34" spans="1:57" ph="1">
      <c r="A34" s="64"/>
      <c r="B34" s="208" ph="1"/>
      <c r="C34" s="209" ph="1"/>
      <c r="D34" s="187" ph="1"/>
      <c r="E34" s="187" ph="1"/>
      <c r="F34" s="211" ph="1"/>
      <c r="G34" s="213" ph="1"/>
      <c r="H34" s="187" ph="1"/>
      <c r="I34" s="191" ph="1"/>
      <c r="J34" s="195" ph="1"/>
      <c r="K34" s="187" ph="1"/>
      <c r="L34" s="197" ph="1"/>
      <c r="M34" s="195" ph="1"/>
      <c r="N34" s="187" ph="1"/>
      <c r="O34" s="191" ph="1"/>
      <c r="P34" s="195" ph="1"/>
      <c r="Q34" s="187" ph="1"/>
      <c r="R34" s="191" ph="1"/>
      <c r="S34" s="195" ph="1"/>
      <c r="T34" s="187"/>
      <c r="U34" s="176"/>
      <c r="V34" s="189" ph="1"/>
      <c r="W34" s="189" ph="1"/>
      <c r="X34" s="191" ph="1"/>
      <c r="Y34" s="193" ph="1"/>
      <c r="Z34" s="174" ph="1"/>
      <c r="AA34" s="176" ph="1"/>
      <c r="AB34" s="178"/>
      <c r="AC34" s="180"/>
      <c r="AD34" s="183"/>
      <c r="AE34" s="184"/>
      <c r="AH34" s="64" ph="1">
        <v>20</v>
      </c>
      <c r="AI34" s="64" t="s" ph="1">
        <v>359</v>
      </c>
      <c r="AJ34" s="64" t="s" ph="1">
        <v>593</v>
      </c>
      <c r="AK34" s="64" t="s" ph="1">
        <v>589</v>
      </c>
      <c r="AL34" s="64" ph="1">
        <v>720</v>
      </c>
      <c r="AM34" s="64" t="s" ph="1">
        <v>339</v>
      </c>
      <c r="AZ34" s="64" t="s" ph="1">
        <v>216</v>
      </c>
      <c r="BA34" s="64" ph="1">
        <v>720</v>
      </c>
    </row>
    <row r="35" spans="1:57" ph="1">
      <c r="A35" s="64"/>
      <c r="AC35" s="185" t="s" ph="1">
        <v>631</v>
      </c>
      <c r="AD35" s="185"/>
      <c r="AE35" s="185"/>
      <c r="AH35" s="64" ph="1">
        <v>21</v>
      </c>
      <c r="AI35" s="64" t="s" ph="1">
        <v>360</v>
      </c>
      <c r="AZ35" s="64" t="s" ph="1">
        <v>216</v>
      </c>
      <c r="BA35" s="64" ph="1">
        <v>0</v>
      </c>
      <c r="BD35" s="64" t="s" ph="1">
        <v>361</v>
      </c>
      <c r="BE35" s="64" ph="1">
        <v>2030</v>
      </c>
    </row>
    <row r="36" spans="1:57" ht="28.2" ph="1">
      <c r="A36" s="64"/>
      <c r="B36" s="103" t="s" ph="1">
        <v>182</v>
      </c>
      <c r="I36" s="171" t="s" ph="1">
        <v>183</v>
      </c>
      <c r="J36" s="171" ph="1"/>
      <c r="K36" s="101" ph="1"/>
      <c r="P36" s="101" ph="1"/>
      <c r="R36" s="171" t="s" ph="1">
        <v>184</v>
      </c>
      <c r="S36" s="171" ph="1"/>
      <c r="Y36" s="102" ph="1"/>
      <c r="Z36" s="153" t="s" ph="1">
        <v>185</v>
      </c>
      <c r="AA36" s="153" ph="1"/>
      <c r="AB36" s="172" t="s" ph="1">
        <v>640</v>
      </c>
      <c r="AC36" s="172" ph="1"/>
      <c r="AD36" s="172" ph="1"/>
      <c r="AE36" s="172" ph="1"/>
      <c r="BA36" s="64" ph="1">
        <v>2270</v>
      </c>
    </row>
    <row r="37" spans="1:57" s="153" customFormat="1" ph="1">
      <c r="A37" s="64" ph="1"/>
      <c r="B37" s="64" ph="1"/>
      <c r="C37" s="64" ph="1"/>
      <c r="D37" s="64" ph="1"/>
      <c r="E37" s="64" ph="1"/>
      <c r="F37" s="64" ph="1"/>
      <c r="G37" s="64" ph="1"/>
      <c r="H37" s="64" ph="1"/>
      <c r="I37" s="64" ph="1"/>
      <c r="J37" s="64" ph="1"/>
      <c r="K37" s="64" ph="1"/>
      <c r="L37" s="64" ph="1"/>
      <c r="M37" s="64" ph="1"/>
      <c r="N37" s="64" ph="1"/>
      <c r="O37" s="64" ph="1"/>
      <c r="P37" s="64" ph="1"/>
      <c r="Q37" s="64" ph="1"/>
      <c r="R37" s="64" ph="1"/>
      <c r="S37" s="64" ph="1"/>
      <c r="T37" s="64" ph="1"/>
      <c r="U37" s="64" ph="1"/>
      <c r="V37" s="64" ph="1"/>
      <c r="W37" s="64" ph="1"/>
      <c r="X37" s="64" ph="1"/>
      <c r="Y37" s="64" ph="1"/>
      <c r="Z37" s="64" ph="1"/>
      <c r="AA37" s="64" ph="1"/>
      <c r="AB37" s="64" ph="1"/>
      <c r="AC37" s="64" ph="1"/>
      <c r="AD37" s="64" ph="1"/>
      <c r="AE37" s="64" ph="1"/>
      <c r="AG37" s="153" t="s" ph="1">
        <v>342</v>
      </c>
      <c r="AI37" s="153" t="s" ph="1">
        <v>209</v>
      </c>
      <c r="AJ37" s="153" t="s" ph="1">
        <v>210</v>
      </c>
      <c r="AK37" s="153" t="s" ph="1">
        <v>211</v>
      </c>
      <c r="AM37" s="153" t="s" ph="1">
        <v>210</v>
      </c>
      <c r="AN37" s="153" t="s" ph="1">
        <v>211</v>
      </c>
      <c r="AO37" s="153" t="s" ph="1">
        <v>212</v>
      </c>
      <c r="AP37" s="153" t="s" ph="1">
        <v>210</v>
      </c>
      <c r="AQ37" s="153" t="s" ph="1">
        <v>211</v>
      </c>
      <c r="AR37" s="153" t="s" ph="1">
        <v>212</v>
      </c>
      <c r="AS37" s="153" t="s" ph="1">
        <v>210</v>
      </c>
      <c r="AT37" s="153" t="s" ph="1">
        <v>211</v>
      </c>
      <c r="AU37" s="153" t="s" ph="1">
        <v>212</v>
      </c>
      <c r="AV37" s="153" t="s" ph="1">
        <v>210</v>
      </c>
      <c r="AW37" s="153" t="s" ph="1">
        <v>211</v>
      </c>
      <c r="AX37" s="153" t="s" ph="1">
        <v>212</v>
      </c>
      <c r="AY37" s="153" t="s" ph="1">
        <v>211</v>
      </c>
      <c r="AZ37" s="153" t="s" ph="1">
        <v>213</v>
      </c>
      <c r="BD37" s="153" t="s" ph="1">
        <v>305</v>
      </c>
      <c r="BE37" s="153" ph="1">
        <v>0</v>
      </c>
    </row>
    <row r="38" spans="1:57" ph="1">
      <c r="AE38" s="64" ph="1"/>
      <c r="AH38" s="64" ph="1">
        <v>1</v>
      </c>
      <c r="AI38" s="64" t="s" ph="1">
        <v>362</v>
      </c>
      <c r="AY38" s="64" t="s" ph="1">
        <v>216</v>
      </c>
      <c r="AZ38" s="64" t="s" ph="1">
        <v>367</v>
      </c>
    </row>
    <row r="39" spans="1:57" ph="1">
      <c r="AH39" s="64" ph="1">
        <v>2</v>
      </c>
      <c r="AI39" s="64" t="s" ph="1">
        <v>364</v>
      </c>
      <c r="AJ39" s="64" t="s" ph="1">
        <v>336</v>
      </c>
      <c r="AK39" s="64" t="s" ph="1">
        <v>365</v>
      </c>
      <c r="AM39" s="64" t="s" ph="1">
        <v>570</v>
      </c>
      <c r="AN39" s="64" t="s" ph="1">
        <v>228</v>
      </c>
      <c r="AO39" s="64" t="s" ph="1">
        <v>363</v>
      </c>
      <c r="AY39" s="64" t="s" ph="1">
        <v>216</v>
      </c>
      <c r="AZ39" s="64" t="s" ph="1">
        <v>499</v>
      </c>
    </row>
    <row r="40" spans="1:57" ph="1">
      <c r="AH40" s="64" ph="1">
        <v>3</v>
      </c>
      <c r="AI40" s="64" t="s" ph="1">
        <v>366</v>
      </c>
      <c r="AJ40" s="64" t="s" ph="1">
        <v>570</v>
      </c>
      <c r="AK40" s="64" t="s" ph="1">
        <v>571</v>
      </c>
      <c r="AY40" s="64" t="s" ph="1">
        <v>216</v>
      </c>
      <c r="AZ40" s="64" t="s" ph="1">
        <v>571</v>
      </c>
    </row>
    <row r="41" spans="1:57" ph="1">
      <c r="AH41" s="64" ph="1">
        <v>4</v>
      </c>
      <c r="AI41" s="64" t="s" ph="1">
        <v>368</v>
      </c>
      <c r="AJ41" s="64" t="s" ph="1">
        <v>572</v>
      </c>
      <c r="AK41" s="64" t="s" ph="1">
        <v>573</v>
      </c>
      <c r="AM41" s="64" t="s" ph="1">
        <v>574</v>
      </c>
      <c r="AY41" s="64" t="s" ph="1">
        <v>216</v>
      </c>
      <c r="AZ41" s="64" t="s" ph="1">
        <v>573</v>
      </c>
    </row>
    <row r="42" spans="1:57" ph="1">
      <c r="P42" s="64"/>
      <c r="Q42" s="64"/>
      <c r="R42" s="64"/>
      <c r="S42" s="64"/>
      <c r="T42" s="64"/>
      <c r="U42" s="64"/>
      <c r="V42" s="64"/>
      <c r="W42" s="64"/>
      <c r="X42" s="64"/>
      <c r="Y42" s="64"/>
      <c r="Z42" s="64"/>
      <c r="AA42" s="64"/>
      <c r="AB42" s="64"/>
      <c r="AC42" s="64"/>
      <c r="AD42" s="64"/>
      <c r="AE42" s="75"/>
      <c r="AH42" s="64" ph="1">
        <v>5</v>
      </c>
      <c r="AI42" s="64" t="s" ph="1">
        <v>369</v>
      </c>
      <c r="AY42" s="64" t="s" ph="1">
        <v>216</v>
      </c>
      <c r="AZ42" s="64" t="s" ph="1">
        <v>367</v>
      </c>
    </row>
    <row r="43" spans="1:57" ph="1">
      <c r="C43" s="64"/>
      <c r="D43" s="64"/>
      <c r="E43" s="64"/>
      <c r="F43" s="64"/>
      <c r="G43" s="64"/>
      <c r="H43" s="64"/>
      <c r="I43" s="64"/>
      <c r="J43" s="64"/>
      <c r="K43" s="64"/>
      <c r="L43" s="64"/>
      <c r="M43" s="64"/>
      <c r="N43" s="64"/>
      <c r="O43" s="64"/>
      <c r="P43" s="64"/>
      <c r="R43" s="64"/>
      <c r="S43" s="64"/>
      <c r="T43" s="64"/>
      <c r="U43" s="64"/>
      <c r="V43" s="64"/>
      <c r="W43" s="64"/>
      <c r="X43" s="64"/>
      <c r="Y43" s="64"/>
      <c r="Z43" s="64"/>
      <c r="AA43" s="64"/>
      <c r="AB43" s="64"/>
      <c r="AC43" s="64"/>
      <c r="AD43" s="64"/>
      <c r="AE43" s="75"/>
      <c r="AH43" s="64" ph="1">
        <v>6</v>
      </c>
      <c r="AI43" s="64" t="s" ph="1">
        <v>370</v>
      </c>
      <c r="AY43" s="64" t="s" ph="1">
        <v>216</v>
      </c>
      <c r="AZ43" s="64" t="s" ph="1">
        <v>367</v>
      </c>
    </row>
    <row r="44" spans="1:57" ph="1">
      <c r="R44" s="64"/>
      <c r="S44" s="64"/>
      <c r="T44" s="64"/>
      <c r="U44" s="64"/>
      <c r="V44" s="64"/>
      <c r="W44" s="64"/>
      <c r="X44" s="64"/>
      <c r="Y44" s="64"/>
      <c r="Z44" s="64"/>
      <c r="AA44" s="64"/>
      <c r="AB44" s="64"/>
      <c r="AC44" s="64"/>
      <c r="AD44" s="64"/>
      <c r="AE44" s="75"/>
      <c r="AH44" s="64" ph="1">
        <v>7</v>
      </c>
      <c r="AI44" s="64" t="s" ph="1">
        <v>371</v>
      </c>
      <c r="AV44" s="64" t="s" ph="1">
        <v>217</v>
      </c>
      <c r="AY44" s="64" t="s" ph="1">
        <v>216</v>
      </c>
      <c r="AZ44" s="64" t="s" ph="1">
        <v>367</v>
      </c>
    </row>
    <row r="45" spans="1:57" ph="1">
      <c r="R45" s="64"/>
      <c r="S45" s="64"/>
      <c r="T45" s="64"/>
      <c r="U45" s="64"/>
      <c r="V45" s="64"/>
      <c r="W45" s="64"/>
      <c r="X45" s="64"/>
      <c r="Y45" s="64"/>
      <c r="Z45" s="64"/>
      <c r="AA45" s="64"/>
      <c r="AB45" s="64"/>
      <c r="AC45" s="64"/>
      <c r="AD45" s="64"/>
      <c r="AE45" s="75"/>
      <c r="AH45" s="64" ph="1">
        <v>8</v>
      </c>
      <c r="AI45" s="64" t="s" ph="1">
        <v>372</v>
      </c>
      <c r="AV45" s="64" t="s" ph="1">
        <v>217</v>
      </c>
      <c r="AY45" s="64" t="s" ph="1">
        <v>216</v>
      </c>
      <c r="AZ45" s="64" t="s" ph="1">
        <v>367</v>
      </c>
    </row>
    <row r="46" spans="1:57" ph="1">
      <c r="R46" s="64"/>
      <c r="S46" s="64"/>
      <c r="T46" s="64"/>
      <c r="U46" s="64"/>
      <c r="V46" s="64"/>
      <c r="W46" s="64"/>
      <c r="X46" s="64"/>
      <c r="Y46" s="64"/>
      <c r="Z46" s="64"/>
      <c r="AA46" s="64"/>
      <c r="AB46" s="64"/>
      <c r="AC46" s="64"/>
      <c r="AD46" s="64"/>
      <c r="AE46" s="75"/>
      <c r="AH46" s="64" ph="1">
        <v>9</v>
      </c>
      <c r="AI46" s="64" t="s" ph="1">
        <v>373</v>
      </c>
      <c r="AV46" s="64" t="s" ph="1">
        <v>217</v>
      </c>
      <c r="AY46" s="64" t="s" ph="1">
        <v>216</v>
      </c>
      <c r="AZ46" s="64" t="s" ph="1">
        <v>367</v>
      </c>
    </row>
    <row r="47" spans="1:57" ph="1">
      <c r="R47" s="64"/>
      <c r="S47" s="64"/>
      <c r="T47" s="64"/>
      <c r="U47" s="64"/>
      <c r="V47" s="64"/>
      <c r="W47" s="64"/>
      <c r="X47" s="64"/>
      <c r="Y47" s="64"/>
      <c r="Z47" s="64"/>
      <c r="AA47" s="64"/>
      <c r="AB47" s="64"/>
      <c r="AC47" s="64"/>
      <c r="AD47" s="64"/>
      <c r="AE47" s="75"/>
      <c r="AH47" s="64" ph="1">
        <v>10</v>
      </c>
      <c r="AI47" s="64" t="s" ph="1">
        <v>374</v>
      </c>
      <c r="AV47" s="64" t="s" ph="1">
        <v>217</v>
      </c>
      <c r="AY47" s="64" t="s" ph="1">
        <v>216</v>
      </c>
      <c r="AZ47" s="64" t="s" ph="1">
        <v>367</v>
      </c>
    </row>
    <row r="48" spans="1:57" ph="1">
      <c r="R48" s="64"/>
      <c r="S48" s="64"/>
      <c r="T48" s="64"/>
      <c r="U48" s="64"/>
      <c r="V48" s="64"/>
      <c r="W48" s="64"/>
      <c r="X48" s="64"/>
      <c r="Y48" s="64"/>
      <c r="Z48" s="64"/>
      <c r="AA48" s="64"/>
      <c r="AB48" s="64"/>
      <c r="AC48" s="64"/>
      <c r="AD48" s="64"/>
      <c r="AE48" s="75"/>
      <c r="AZ48" s="64" t="s" ph="1">
        <v>575</v>
      </c>
    </row>
    <row r="49" spans="16:52" ph="1">
      <c r="R49" s="64"/>
      <c r="S49" s="64"/>
      <c r="T49" s="64"/>
      <c r="U49" s="64"/>
      <c r="V49" s="64"/>
      <c r="W49" s="64"/>
      <c r="X49" s="64"/>
      <c r="Y49" s="64"/>
      <c r="Z49" s="64"/>
      <c r="AA49" s="64"/>
      <c r="AB49" s="64"/>
      <c r="AC49" s="64"/>
      <c r="AD49" s="64"/>
      <c r="AE49" s="75"/>
      <c r="AG49" s="64" t="s" ph="1">
        <v>232</v>
      </c>
      <c r="AI49" s="64" t="s" ph="1">
        <v>209</v>
      </c>
      <c r="AJ49" s="64" t="s" ph="1">
        <v>210</v>
      </c>
      <c r="AK49" s="64" t="s" ph="1">
        <v>211</v>
      </c>
      <c r="AM49" s="64" t="s" ph="1">
        <v>210</v>
      </c>
      <c r="AN49" s="64" t="s" ph="1">
        <v>211</v>
      </c>
      <c r="AO49" s="64" t="s" ph="1">
        <v>212</v>
      </c>
      <c r="AP49" s="64" t="s" ph="1">
        <v>210</v>
      </c>
      <c r="AQ49" s="64" t="s" ph="1">
        <v>211</v>
      </c>
      <c r="AR49" s="64" t="s" ph="1">
        <v>212</v>
      </c>
      <c r="AS49" s="64" t="s" ph="1">
        <v>210</v>
      </c>
      <c r="AT49" s="64" t="s" ph="1">
        <v>211</v>
      </c>
      <c r="AU49" s="64" t="s" ph="1">
        <v>212</v>
      </c>
      <c r="AV49" s="64" t="s" ph="1">
        <v>210</v>
      </c>
      <c r="AW49" s="64" t="s" ph="1">
        <v>211</v>
      </c>
      <c r="AX49" s="64" t="s" ph="1">
        <v>212</v>
      </c>
      <c r="AY49" s="64" t="s" ph="1">
        <v>211</v>
      </c>
      <c r="AZ49" s="64" t="s" ph="1">
        <v>213</v>
      </c>
    </row>
    <row r="50" spans="16:52" ph="1">
      <c r="R50" s="64"/>
      <c r="S50" s="64"/>
      <c r="T50" s="64"/>
      <c r="U50" s="64"/>
      <c r="V50" s="64"/>
      <c r="W50" s="64"/>
      <c r="X50" s="64"/>
      <c r="Y50" s="64"/>
      <c r="Z50" s="64"/>
      <c r="AA50" s="64"/>
      <c r="AB50" s="64"/>
      <c r="AC50" s="64"/>
      <c r="AD50" s="64"/>
      <c r="AE50" s="75"/>
      <c r="AH50" s="64" ph="1">
        <v>1</v>
      </c>
      <c r="AI50" s="64" t="s" ph="1">
        <v>375</v>
      </c>
      <c r="AY50" s="64" t="s" ph="1">
        <v>216</v>
      </c>
      <c r="AZ50" s="64" t="s" ph="1">
        <v>367</v>
      </c>
    </row>
    <row r="51" spans="16:52" ph="1">
      <c r="R51" s="64"/>
      <c r="S51" s="64"/>
      <c r="T51" s="64"/>
      <c r="U51" s="64"/>
      <c r="V51" s="64"/>
      <c r="W51" s="64"/>
      <c r="X51" s="64"/>
      <c r="Y51" s="64"/>
      <c r="Z51" s="64"/>
      <c r="AA51" s="64"/>
      <c r="AB51" s="64"/>
      <c r="AC51" s="64"/>
      <c r="AD51" s="64"/>
      <c r="AE51" s="75"/>
      <c r="AH51" s="64" ph="1">
        <v>2</v>
      </c>
      <c r="AI51" s="64" t="s" ph="1">
        <v>376</v>
      </c>
      <c r="AY51" s="64" t="s" ph="1">
        <v>216</v>
      </c>
      <c r="AZ51" s="64" t="s" ph="1">
        <v>367</v>
      </c>
    </row>
    <row r="52" spans="16:52" ph="1">
      <c r="R52" s="64"/>
      <c r="S52" s="64"/>
      <c r="T52" s="64"/>
      <c r="U52" s="64"/>
      <c r="V52" s="64"/>
      <c r="W52" s="64"/>
      <c r="X52" s="64"/>
      <c r="Y52" s="64"/>
      <c r="Z52" s="64"/>
      <c r="AA52" s="64"/>
      <c r="AB52" s="64"/>
      <c r="AC52" s="64"/>
      <c r="AD52" s="64"/>
      <c r="AE52" s="75"/>
      <c r="AH52" s="64" ph="1">
        <v>3</v>
      </c>
      <c r="AI52" s="64" t="s" ph="1">
        <v>377</v>
      </c>
      <c r="AJ52" s="64" t="s" ph="1">
        <v>334</v>
      </c>
      <c r="AK52" s="64" t="s" ph="1">
        <v>228</v>
      </c>
      <c r="AM52" s="64" t="s" ph="1">
        <v>336</v>
      </c>
      <c r="AN52" s="64" t="s" ph="1">
        <v>300</v>
      </c>
      <c r="AO52" s="64" t="s" ph="1">
        <v>233</v>
      </c>
      <c r="AP52" s="64" t="s" ph="1">
        <v>570</v>
      </c>
      <c r="AQ52" s="64" t="s" ph="1">
        <v>282</v>
      </c>
      <c r="AR52" s="64" t="s" ph="1">
        <v>233</v>
      </c>
      <c r="AY52" s="64" t="s" ph="1">
        <v>216</v>
      </c>
      <c r="AZ52" s="64" t="s" ph="1">
        <v>576</v>
      </c>
    </row>
    <row r="53" spans="16:52" ph="1">
      <c r="R53" s="64"/>
      <c r="S53" s="64"/>
      <c r="T53" s="64"/>
      <c r="U53" s="64"/>
      <c r="W53" s="64"/>
      <c r="X53" s="64"/>
      <c r="Y53" s="64"/>
      <c r="Z53" s="64"/>
      <c r="AA53" s="64"/>
      <c r="AB53" s="64"/>
      <c r="AC53" s="64"/>
      <c r="AD53" s="64"/>
      <c r="AH53" s="64" ph="1">
        <v>4</v>
      </c>
      <c r="AI53" s="64" t="s" ph="1">
        <v>378</v>
      </c>
      <c r="AY53" s="64" t="s" ph="1">
        <v>216</v>
      </c>
      <c r="AZ53" s="64" t="s" ph="1">
        <v>367</v>
      </c>
    </row>
    <row r="54" spans="16:52" ph="1">
      <c r="R54" s="64"/>
      <c r="S54" s="64"/>
      <c r="T54" s="64"/>
      <c r="U54" s="64"/>
      <c r="W54" s="64"/>
      <c r="X54" s="64"/>
      <c r="Y54" s="64"/>
      <c r="Z54" s="64"/>
      <c r="AA54" s="64"/>
      <c r="AC54" s="64"/>
      <c r="AD54" s="64"/>
      <c r="AH54" s="64" ph="1">
        <v>5</v>
      </c>
      <c r="AI54" s="64" t="s" ph="1">
        <v>379</v>
      </c>
      <c r="AJ54" s="64" t="s" ph="1">
        <v>334</v>
      </c>
      <c r="AK54" s="64" t="s" ph="1">
        <v>219</v>
      </c>
      <c r="AM54" s="64" t="s" ph="1">
        <v>336</v>
      </c>
      <c r="AN54" s="64" t="s" ph="1">
        <v>224</v>
      </c>
      <c r="AO54" s="64" t="s" ph="1">
        <v>233</v>
      </c>
      <c r="AP54" s="64" t="s" ph="1">
        <v>570</v>
      </c>
      <c r="AQ54" s="64" t="s" ph="1">
        <v>240</v>
      </c>
      <c r="AR54" s="64" t="s" ph="1">
        <v>233</v>
      </c>
      <c r="AY54" s="64" t="s" ph="1">
        <v>216</v>
      </c>
      <c r="AZ54" s="64" t="s" ph="1">
        <v>234</v>
      </c>
    </row>
    <row r="55" spans="16:52" ph="1">
      <c r="R55" s="64"/>
      <c r="S55" s="64"/>
      <c r="T55" s="64"/>
      <c r="U55" s="64"/>
      <c r="V55" s="64"/>
      <c r="W55" s="64"/>
      <c r="X55" s="64"/>
      <c r="Z55" s="64"/>
      <c r="AC55" s="64"/>
      <c r="AD55" s="64"/>
      <c r="AE55" s="75"/>
      <c r="AH55" s="64" ph="1">
        <v>6</v>
      </c>
      <c r="AI55" s="64" t="s" ph="1">
        <v>380</v>
      </c>
      <c r="AY55" s="64" t="s" ph="1">
        <v>216</v>
      </c>
      <c r="AZ55" s="64" t="s" ph="1">
        <v>367</v>
      </c>
    </row>
    <row r="56" spans="16:52" ph="1">
      <c r="P56" s="64" ph="1">
        <v>20260804</v>
      </c>
      <c r="R56" s="64"/>
      <c r="S56" s="64"/>
      <c r="T56" s="64"/>
      <c r="U56" s="64"/>
      <c r="V56" s="64"/>
      <c r="W56" s="64"/>
      <c r="X56" s="64"/>
      <c r="Z56" s="64"/>
      <c r="AA56" s="64"/>
      <c r="AB56" s="64"/>
      <c r="AC56" s="64"/>
      <c r="AD56" s="64"/>
      <c r="AE56" s="75"/>
      <c r="AH56" s="64" ph="1">
        <v>7</v>
      </c>
      <c r="AI56" s="64" t="s" ph="1">
        <v>381</v>
      </c>
      <c r="AY56" s="64" t="s" ph="1">
        <v>216</v>
      </c>
      <c r="AZ56" s="64" t="s" ph="1">
        <v>367</v>
      </c>
    </row>
    <row r="57" spans="16:52" ph="1">
      <c r="R57" s="64"/>
      <c r="S57" s="64"/>
      <c r="T57" s="64"/>
      <c r="U57" s="64"/>
      <c r="V57" s="64"/>
      <c r="W57" s="64"/>
      <c r="AA57" s="64"/>
      <c r="AB57" s="64"/>
      <c r="AC57" s="64"/>
      <c r="AD57" s="64"/>
      <c r="AE57" s="75"/>
      <c r="AH57" s="64" ph="1">
        <v>8</v>
      </c>
      <c r="AI57" s="64" t="s" ph="1">
        <v>382</v>
      </c>
      <c r="AY57" s="64" t="s" ph="1">
        <v>216</v>
      </c>
      <c r="AZ57" s="64" t="s" ph="1">
        <v>367</v>
      </c>
    </row>
    <row r="58" spans="16:52" ph="1">
      <c r="P58" s="64"/>
      <c r="AN58" s="64" t="s" ph="1">
        <v>217</v>
      </c>
      <c r="AZ58" s="64" t="s" ph="1">
        <v>577</v>
      </c>
    </row>
    <row r="59" spans="16:52" ph="1">
      <c r="V59" s="64"/>
      <c r="AG59" s="64" t="s" ph="1">
        <v>235</v>
      </c>
      <c r="AI59" s="64" t="s" ph="1">
        <v>209</v>
      </c>
      <c r="AJ59" s="64" t="s" ph="1">
        <v>210</v>
      </c>
      <c r="AK59" s="64" t="s" ph="1">
        <v>211</v>
      </c>
      <c r="AM59" s="64" t="s" ph="1">
        <v>210</v>
      </c>
      <c r="AN59" s="64" t="s" ph="1">
        <v>211</v>
      </c>
      <c r="AO59" s="64" t="s" ph="1">
        <v>212</v>
      </c>
      <c r="AP59" s="64" t="s" ph="1">
        <v>210</v>
      </c>
      <c r="AQ59" s="64" t="s" ph="1">
        <v>211</v>
      </c>
      <c r="AR59" s="64" t="s" ph="1">
        <v>212</v>
      </c>
      <c r="AS59" s="64" t="s" ph="1">
        <v>210</v>
      </c>
      <c r="AT59" s="64" t="s" ph="1">
        <v>211</v>
      </c>
      <c r="AU59" s="64" t="s" ph="1">
        <v>212</v>
      </c>
      <c r="AV59" s="64" t="s" ph="1">
        <v>210</v>
      </c>
      <c r="AW59" s="64" t="s" ph="1">
        <v>211</v>
      </c>
      <c r="AX59" s="64" t="s" ph="1">
        <v>212</v>
      </c>
      <c r="AY59" s="64" t="s" ph="1">
        <v>211</v>
      </c>
      <c r="AZ59" s="64" t="s" ph="1">
        <v>213</v>
      </c>
    </row>
    <row r="60" spans="16:52" ph="1">
      <c r="R60" s="64"/>
      <c r="S60" s="64"/>
      <c r="T60" s="64"/>
      <c r="AH60" s="64" ph="1">
        <v>1</v>
      </c>
      <c r="AI60" s="64" t="s" ph="1">
        <v>383</v>
      </c>
      <c r="AY60" s="64" t="s" ph="1">
        <v>216</v>
      </c>
      <c r="AZ60" s="64" t="s" ph="1">
        <v>367</v>
      </c>
    </row>
    <row r="61" spans="16:52" ph="1">
      <c r="AH61" s="64" ph="1">
        <v>2</v>
      </c>
      <c r="AI61" s="64" t="s" ph="1">
        <v>384</v>
      </c>
      <c r="AS61" s="64" t="s" ph="1">
        <v>217</v>
      </c>
      <c r="AY61" s="64" t="s" ph="1">
        <v>216</v>
      </c>
      <c r="AZ61" s="64" t="s" ph="1">
        <v>367</v>
      </c>
    </row>
    <row r="62" spans="16:52" ph="1">
      <c r="AZ62" s="64" t="s" ph="1">
        <v>385</v>
      </c>
    </row>
    <row r="63" spans="16:52" ph="1">
      <c r="AG63" s="64" t="s" ph="1">
        <v>238</v>
      </c>
      <c r="AI63" s="64" t="s" ph="1">
        <v>209</v>
      </c>
      <c r="AJ63" s="64" t="s" ph="1">
        <v>210</v>
      </c>
      <c r="AK63" s="64" t="s" ph="1">
        <v>211</v>
      </c>
      <c r="AM63" s="64" t="s" ph="1">
        <v>210</v>
      </c>
      <c r="AN63" s="64" t="s" ph="1">
        <v>211</v>
      </c>
      <c r="AO63" s="64" t="s" ph="1">
        <v>212</v>
      </c>
      <c r="AP63" s="64" t="s" ph="1">
        <v>210</v>
      </c>
      <c r="AQ63" s="64" t="s" ph="1">
        <v>211</v>
      </c>
      <c r="AR63" s="64" t="s" ph="1">
        <v>212</v>
      </c>
      <c r="AS63" s="64" t="s" ph="1">
        <v>210</v>
      </c>
      <c r="AT63" s="64" t="s" ph="1">
        <v>211</v>
      </c>
      <c r="AU63" s="64" t="s" ph="1">
        <v>212</v>
      </c>
      <c r="AV63" s="64" t="s" ph="1">
        <v>210</v>
      </c>
      <c r="AW63" s="64" t="s" ph="1">
        <v>211</v>
      </c>
      <c r="AX63" s="64" t="s" ph="1">
        <v>212</v>
      </c>
      <c r="AY63" s="64" t="s" ph="1">
        <v>211</v>
      </c>
      <c r="AZ63" s="64" t="s" ph="1">
        <v>213</v>
      </c>
    </row>
    <row r="64" spans="16:52" ph="1">
      <c r="AH64" s="64" ph="1">
        <v>1</v>
      </c>
      <c r="AI64" s="64" t="s" ph="1">
        <v>386</v>
      </c>
      <c r="AJ64" s="64" t="s" ph="1">
        <v>387</v>
      </c>
      <c r="AK64" s="64" t="s" ph="1">
        <v>388</v>
      </c>
      <c r="AY64" s="64" t="s" ph="1">
        <v>216</v>
      </c>
      <c r="AZ64" s="64" t="s" ph="1">
        <v>388</v>
      </c>
    </row>
    <row r="65" spans="33:52" ph="1">
      <c r="AH65" s="64" ph="1">
        <v>2</v>
      </c>
      <c r="AI65" s="64" t="s" ph="1">
        <v>389</v>
      </c>
      <c r="AY65" s="64" t="s" ph="1">
        <v>216</v>
      </c>
      <c r="AZ65" s="64" t="s" ph="1">
        <v>367</v>
      </c>
    </row>
    <row r="66" spans="33:52" ph="1">
      <c r="AH66" s="64" ph="1">
        <v>3</v>
      </c>
      <c r="AI66" s="64" t="s" ph="1">
        <v>390</v>
      </c>
      <c r="AY66" s="64" t="s" ph="1">
        <v>216</v>
      </c>
      <c r="AZ66" s="64" t="s" ph="1">
        <v>367</v>
      </c>
    </row>
    <row r="67" spans="33:52" ph="1">
      <c r="AH67" s="64" ph="1">
        <v>4</v>
      </c>
      <c r="AI67" s="64" t="s" ph="1">
        <v>391</v>
      </c>
      <c r="AY67" s="64" t="s" ph="1">
        <v>216</v>
      </c>
      <c r="AZ67" s="64" t="s" ph="1">
        <v>367</v>
      </c>
    </row>
    <row r="68" spans="33:52" ph="1">
      <c r="AH68" s="64" ph="1">
        <v>5</v>
      </c>
      <c r="AI68" s="64" t="s" ph="1">
        <v>392</v>
      </c>
      <c r="AY68" s="64" t="s" ph="1">
        <v>216</v>
      </c>
      <c r="AZ68" s="64" t="s" ph="1">
        <v>367</v>
      </c>
    </row>
    <row r="69" spans="33:52" ph="1">
      <c r="AH69" s="64" ph="1">
        <v>6</v>
      </c>
      <c r="AI69" s="64" t="s" ph="1">
        <v>393</v>
      </c>
      <c r="AY69" s="64" t="s" ph="1">
        <v>216</v>
      </c>
      <c r="AZ69" s="64" t="s" ph="1">
        <v>367</v>
      </c>
    </row>
    <row r="70" spans="33:52" ph="1">
      <c r="AI70" s="64" t="s" ph="1">
        <v>394</v>
      </c>
      <c r="AY70" s="64" t="s" ph="1">
        <v>216</v>
      </c>
      <c r="AZ70" s="64" t="s" ph="1">
        <v>367</v>
      </c>
    </row>
    <row r="71" spans="33:52" ph="1">
      <c r="AH71" s="64" ph="1">
        <v>7</v>
      </c>
      <c r="AI71" s="64" t="s" ph="1">
        <v>395</v>
      </c>
      <c r="AJ71" s="64" t="s" ph="1">
        <v>334</v>
      </c>
      <c r="AK71" s="64" t="s" ph="1">
        <v>228</v>
      </c>
      <c r="AM71" s="64" t="s" ph="1">
        <v>336</v>
      </c>
      <c r="AN71" s="64" t="s" ph="1">
        <v>228</v>
      </c>
      <c r="AO71" s="64" t="s" ph="1">
        <v>396</v>
      </c>
      <c r="AP71" s="64" t="s" ph="1">
        <v>570</v>
      </c>
      <c r="AQ71" s="64" t="s" ph="1">
        <v>219</v>
      </c>
      <c r="AR71" s="64" t="s" ph="1">
        <v>396</v>
      </c>
      <c r="AY71" s="64" t="s" ph="1">
        <v>216</v>
      </c>
      <c r="AZ71" s="64" t="s" ph="1">
        <v>578</v>
      </c>
    </row>
    <row r="72" spans="33:52" ph="1">
      <c r="AZ72" s="64" t="s" ph="1">
        <v>579</v>
      </c>
    </row>
    <row r="73" spans="33:52" ph="1">
      <c r="AG73" s="64" t="s" ph="1">
        <v>241</v>
      </c>
      <c r="AI73" s="64" t="s" ph="1">
        <v>209</v>
      </c>
      <c r="AJ73" s="64" t="s" ph="1">
        <v>210</v>
      </c>
      <c r="AK73" s="64" t="s" ph="1">
        <v>211</v>
      </c>
      <c r="AM73" s="64" t="s" ph="1">
        <v>210</v>
      </c>
      <c r="AN73" s="64" t="s" ph="1">
        <v>211</v>
      </c>
      <c r="AO73" s="64" t="s" ph="1">
        <v>212</v>
      </c>
      <c r="AP73" s="64" t="s" ph="1">
        <v>210</v>
      </c>
      <c r="AQ73" s="64" t="s" ph="1">
        <v>211</v>
      </c>
      <c r="AR73" s="64" t="s" ph="1">
        <v>212</v>
      </c>
      <c r="AS73" s="64" t="s" ph="1">
        <v>210</v>
      </c>
      <c r="AT73" s="64" t="s" ph="1">
        <v>211</v>
      </c>
      <c r="AU73" s="64" t="s" ph="1">
        <v>212</v>
      </c>
      <c r="AV73" s="64" t="s" ph="1">
        <v>210</v>
      </c>
      <c r="AW73" s="64" t="s" ph="1">
        <v>211</v>
      </c>
      <c r="AX73" s="64" t="s" ph="1">
        <v>212</v>
      </c>
      <c r="AY73" s="64" t="s" ph="1">
        <v>211</v>
      </c>
      <c r="AZ73" s="64" t="s" ph="1">
        <v>213</v>
      </c>
    </row>
    <row r="74" spans="33:52" ph="1">
      <c r="AH74" s="64" ph="1">
        <v>1</v>
      </c>
      <c r="AI74" s="64" t="s" ph="1">
        <v>397</v>
      </c>
      <c r="AJ74" s="64" t="s" ph="1">
        <v>242</v>
      </c>
      <c r="AK74" s="64" t="s" ph="1">
        <v>224</v>
      </c>
      <c r="AM74" s="64" t="s" ph="1">
        <v>244</v>
      </c>
      <c r="AN74" s="64" t="s" ph="1">
        <v>254</v>
      </c>
      <c r="AO74" s="64" t="s" ph="1">
        <v>243</v>
      </c>
      <c r="AP74" s="64" t="s" ph="1">
        <v>245</v>
      </c>
      <c r="AQ74" s="64" t="s" ph="1">
        <v>222</v>
      </c>
      <c r="AR74" s="64" t="s" ph="1">
        <v>243</v>
      </c>
      <c r="AS74" s="64" t="s" ph="1">
        <v>215</v>
      </c>
      <c r="AT74" s="64" t="s" ph="1">
        <v>217</v>
      </c>
      <c r="AV74" s="64" t="s" ph="1">
        <v>398</v>
      </c>
      <c r="AW74" s="64" t="s" ph="1">
        <v>399</v>
      </c>
      <c r="AX74" s="64" t="s" ph="1">
        <v>400</v>
      </c>
      <c r="AY74" s="64" t="s" ph="1">
        <v>216</v>
      </c>
      <c r="AZ74" s="64" t="s" ph="1">
        <v>401</v>
      </c>
    </row>
    <row r="75" spans="33:52" ph="1">
      <c r="AJ75" s="64" t="s" ph="1">
        <v>247</v>
      </c>
      <c r="AK75" s="64" t="s" ph="1">
        <v>300</v>
      </c>
      <c r="AM75" s="64" t="s" ph="1">
        <v>245</v>
      </c>
      <c r="AN75" s="64" t="s" ph="1">
        <v>225</v>
      </c>
      <c r="AO75" s="64" t="s" ph="1">
        <v>243</v>
      </c>
      <c r="AS75" s="64" t="s" ph="1">
        <v>215</v>
      </c>
      <c r="AT75" s="64" t="s" ph="1">
        <v>246</v>
      </c>
    </row>
    <row r="76" spans="33:52" ph="1">
      <c r="AJ76" s="64" t="s" ph="1">
        <v>247</v>
      </c>
      <c r="AK76" s="64" t="s" ph="1">
        <v>240</v>
      </c>
      <c r="AM76" s="64" t="s" ph="1">
        <v>245</v>
      </c>
      <c r="AN76" s="64" t="s" ph="1">
        <v>228</v>
      </c>
      <c r="AO76" s="64" t="s" ph="1">
        <v>243</v>
      </c>
      <c r="AS76" s="64" t="s" ph="1">
        <v>215</v>
      </c>
      <c r="AT76" s="64" t="s" ph="1">
        <v>246</v>
      </c>
    </row>
    <row r="77" spans="33:52" ph="1">
      <c r="AJ77" s="64" t="s" ph="1">
        <v>283</v>
      </c>
      <c r="AK77" s="64" t="s" ph="1">
        <v>240</v>
      </c>
      <c r="AM77" s="64" t="s" ph="1">
        <v>284</v>
      </c>
      <c r="AN77" s="64" t="s" ph="1">
        <v>223</v>
      </c>
      <c r="AO77" s="64" t="s" ph="1">
        <v>243</v>
      </c>
      <c r="AS77" s="64" t="s" ph="1">
        <v>215</v>
      </c>
      <c r="AT77" s="64" t="s" ph="1">
        <v>285</v>
      </c>
    </row>
    <row r="78" spans="33:52" ph="1">
      <c r="AH78" s="64" ph="1">
        <v>2</v>
      </c>
      <c r="AI78" s="64" t="s" ph="1">
        <v>249</v>
      </c>
      <c r="AJ78" s="64" t="s" ph="1">
        <v>250</v>
      </c>
      <c r="AK78" s="64" t="s" ph="1">
        <v>219</v>
      </c>
      <c r="AM78" s="64" t="s" ph="1">
        <v>251</v>
      </c>
      <c r="AN78" s="64" t="s" ph="1">
        <v>254</v>
      </c>
      <c r="AO78" s="64" t="s" ph="1">
        <v>243</v>
      </c>
      <c r="AP78" s="64" t="s" ph="1">
        <v>252</v>
      </c>
      <c r="AQ78" s="64" t="s" ph="1">
        <v>298</v>
      </c>
      <c r="AR78" s="64" t="s" ph="1">
        <v>243</v>
      </c>
      <c r="AS78" s="64" t="s" ph="1">
        <v>253</v>
      </c>
      <c r="AT78" s="64" t="s" ph="1">
        <v>254</v>
      </c>
      <c r="AU78" s="64" t="s" ph="1">
        <v>243</v>
      </c>
      <c r="AV78" s="64" t="s" ph="1">
        <v>255</v>
      </c>
      <c r="AW78" s="64" t="s" ph="1">
        <v>243</v>
      </c>
      <c r="AY78" s="64" t="s" ph="1">
        <v>216</v>
      </c>
      <c r="AZ78" s="64" t="s" ph="1">
        <v>402</v>
      </c>
    </row>
    <row r="79" spans="33:52" ph="1">
      <c r="AJ79" s="64" t="s" ph="1">
        <v>245</v>
      </c>
      <c r="AK79" s="64" t="s" ph="1">
        <v>256</v>
      </c>
      <c r="AM79" s="64" t="s" ph="1">
        <v>257</v>
      </c>
      <c r="AN79" s="64" t="s" ph="1">
        <v>225</v>
      </c>
      <c r="AO79" s="64" t="s" ph="1">
        <v>243</v>
      </c>
      <c r="AP79" s="64" t="s" ph="1">
        <v>258</v>
      </c>
      <c r="AQ79" s="64" t="s" ph="1">
        <v>223</v>
      </c>
      <c r="AR79" s="64" t="s" ph="1">
        <v>259</v>
      </c>
      <c r="AS79" s="64" t="s" ph="1">
        <v>215</v>
      </c>
      <c r="AT79" s="64" t="s" ph="1">
        <v>260</v>
      </c>
      <c r="AV79" s="64" t="s" ph="1">
        <v>403</v>
      </c>
      <c r="AW79" s="64" t="s" ph="1">
        <v>302</v>
      </c>
      <c r="AX79" s="64" t="s" ph="1">
        <v>400</v>
      </c>
    </row>
    <row r="80" spans="33:52" ph="1">
      <c r="AH80" s="64" ph="1">
        <v>3</v>
      </c>
      <c r="AI80" s="64" t="s" ph="1">
        <v>261</v>
      </c>
      <c r="AJ80" s="64" t="s" ph="1">
        <v>262</v>
      </c>
      <c r="AK80" s="64" t="s" ph="1">
        <v>263</v>
      </c>
      <c r="AM80" s="64" t="s" ph="1">
        <v>264</v>
      </c>
      <c r="AN80" s="64" t="s" ph="1">
        <v>254</v>
      </c>
      <c r="AO80" s="64" t="s" ph="1">
        <v>243</v>
      </c>
      <c r="AP80" s="64" t="s" ph="1">
        <v>265</v>
      </c>
      <c r="AQ80" s="64" t="s" ph="1">
        <v>228</v>
      </c>
      <c r="AR80" s="64" t="s" ph="1">
        <v>243</v>
      </c>
      <c r="AS80" s="64" t="s" ph="1">
        <v>266</v>
      </c>
      <c r="AT80" s="64" t="s" ph="1">
        <v>227</v>
      </c>
      <c r="AU80" s="64" t="s" ph="1">
        <v>243</v>
      </c>
      <c r="AV80" s="64" t="s" ph="1">
        <v>267</v>
      </c>
      <c r="AW80" s="64" t="s" ph="1">
        <v>243</v>
      </c>
      <c r="AY80" s="64" t="s" ph="1">
        <v>216</v>
      </c>
      <c r="AZ80" s="64" t="s" ph="1">
        <v>404</v>
      </c>
    </row>
    <row r="81" spans="34:52" ph="1">
      <c r="AJ81" s="64" t="s" ph="1">
        <v>268</v>
      </c>
      <c r="AK81" s="64" t="s" ph="1">
        <v>222</v>
      </c>
      <c r="AM81" s="64" t="s" ph="1">
        <v>269</v>
      </c>
      <c r="AN81" s="64" t="s" ph="1">
        <v>225</v>
      </c>
      <c r="AO81" s="64" t="s" ph="1">
        <v>243</v>
      </c>
      <c r="AP81" s="64" t="s" ph="1">
        <v>270</v>
      </c>
      <c r="AQ81" s="64" t="s" ph="1">
        <v>254</v>
      </c>
      <c r="AR81" s="64" t="s" ph="1">
        <v>243</v>
      </c>
      <c r="AS81" s="64" t="s" ph="1">
        <v>271</v>
      </c>
      <c r="AT81" s="64" t="s" ph="1">
        <v>272</v>
      </c>
      <c r="AU81" s="64" t="s" ph="1">
        <v>243</v>
      </c>
      <c r="AV81" s="64" t="s" ph="1">
        <v>273</v>
      </c>
    </row>
    <row r="82" spans="34:52" ph="1">
      <c r="AJ82" s="64" t="s" ph="1">
        <v>274</v>
      </c>
      <c r="AK82" s="64" t="s" ph="1">
        <v>222</v>
      </c>
      <c r="AM82" s="64" t="s" ph="1">
        <v>275</v>
      </c>
      <c r="AN82" s="64" t="s" ph="1">
        <v>272</v>
      </c>
      <c r="AO82" s="64" t="s" ph="1">
        <v>276</v>
      </c>
      <c r="AP82" s="64" t="s" ph="1">
        <v>277</v>
      </c>
      <c r="AQ82" s="64" t="s" ph="1">
        <v>254</v>
      </c>
      <c r="AR82" s="64" t="s" ph="1">
        <v>243</v>
      </c>
      <c r="AS82" s="64" t="s" ph="1">
        <v>278</v>
      </c>
      <c r="AT82" s="64" t="s" ph="1">
        <v>229</v>
      </c>
      <c r="AU82" s="64" t="s" ph="1">
        <v>243</v>
      </c>
      <c r="AV82" s="64" t="s" ph="1">
        <v>403</v>
      </c>
      <c r="AW82" s="64" t="s" ph="1">
        <v>303</v>
      </c>
      <c r="AX82" s="64" t="s" ph="1">
        <v>400</v>
      </c>
    </row>
    <row r="83" spans="34:52" ph="1">
      <c r="AJ83" s="64" t="s" ph="1">
        <v>279</v>
      </c>
      <c r="AK83" s="64" t="s" ph="1">
        <v>296</v>
      </c>
      <c r="AM83" s="64" t="s" ph="1">
        <v>280</v>
      </c>
      <c r="AN83" s="64" t="s" ph="1">
        <v>228</v>
      </c>
      <c r="AO83" s="64" t="s" ph="1">
        <v>259</v>
      </c>
      <c r="AP83" s="64" t="s" ph="1">
        <v>281</v>
      </c>
      <c r="AQ83" s="64" t="s" ph="1">
        <v>282</v>
      </c>
      <c r="AR83" s="64" t="s" ph="1">
        <v>259</v>
      </c>
      <c r="AS83" s="64" t="s" ph="1">
        <v>405</v>
      </c>
      <c r="AT83" s="64" t="s" ph="1">
        <v>254</v>
      </c>
      <c r="AU83" s="64" t="s" ph="1">
        <v>259</v>
      </c>
      <c r="AV83" s="64" t="s" ph="1">
        <v>406</v>
      </c>
      <c r="AW83" s="64" t="s" ph="1">
        <v>303</v>
      </c>
      <c r="AX83" s="64" t="s" ph="1">
        <v>407</v>
      </c>
    </row>
    <row r="84" spans="34:52" ph="1">
      <c r="AH84" s="64" ph="1">
        <v>4</v>
      </c>
      <c r="AI84" s="64" t="s" ph="1">
        <v>286</v>
      </c>
      <c r="AJ84" s="64" t="s" ph="1">
        <v>226</v>
      </c>
      <c r="AK84" s="64" t="s" ph="1">
        <v>229</v>
      </c>
      <c r="AM84" s="64" t="s" ph="1">
        <v>230</v>
      </c>
      <c r="AN84" s="64" t="s" ph="1">
        <v>223</v>
      </c>
      <c r="AO84" s="64" t="s" ph="1">
        <v>259</v>
      </c>
      <c r="AP84" s="64" t="s" ph="1">
        <v>288</v>
      </c>
      <c r="AQ84" s="64" t="s" ph="1">
        <v>222</v>
      </c>
      <c r="AR84" s="64" t="s" ph="1">
        <v>259</v>
      </c>
      <c r="AS84" s="64" t="s" ph="1">
        <v>288</v>
      </c>
      <c r="AT84" s="64" t="s" ph="1">
        <v>224</v>
      </c>
      <c r="AU84" s="64" t="s" ph="1">
        <v>259</v>
      </c>
      <c r="AY84" s="64" t="s" ph="1">
        <v>216</v>
      </c>
      <c r="AZ84" s="64" t="s" ph="1">
        <v>408</v>
      </c>
    </row>
    <row r="85" spans="34:52" ph="1">
      <c r="AJ85" s="64" t="s" ph="1">
        <v>218</v>
      </c>
      <c r="AK85" s="64" t="s" ph="1">
        <v>222</v>
      </c>
      <c r="AM85" s="64" t="s" ph="1">
        <v>409</v>
      </c>
      <c r="AN85" s="64" t="s" ph="1">
        <v>229</v>
      </c>
      <c r="AO85" s="64" t="s" ph="1">
        <v>259</v>
      </c>
      <c r="AP85" s="64" t="s" ph="1">
        <v>410</v>
      </c>
      <c r="AQ85" s="64" t="s" ph="1">
        <v>225</v>
      </c>
      <c r="AR85" s="64" t="s" ph="1">
        <v>259</v>
      </c>
      <c r="AS85" s="64" t="s" ph="1">
        <v>411</v>
      </c>
      <c r="AT85" s="64" t="s" ph="1">
        <v>225</v>
      </c>
      <c r="AU85" s="64" t="s" ph="1">
        <v>259</v>
      </c>
    </row>
    <row r="86" spans="34:52" ph="1">
      <c r="AJ86" s="64" t="s" ph="1">
        <v>412</v>
      </c>
      <c r="AK86" s="64" t="s" ph="1">
        <v>231</v>
      </c>
      <c r="AM86" s="64" t="s" ph="1">
        <v>413</v>
      </c>
      <c r="AN86" s="64" t="s" ph="1">
        <v>272</v>
      </c>
      <c r="AO86" s="64" t="s" ph="1">
        <v>259</v>
      </c>
      <c r="AP86" s="64" t="s" ph="1">
        <v>414</v>
      </c>
      <c r="AQ86" s="64" t="s" ph="1">
        <v>219</v>
      </c>
      <c r="AR86" s="64" t="s" ph="1">
        <v>259</v>
      </c>
      <c r="AS86" s="64" t="s" ph="1">
        <v>415</v>
      </c>
      <c r="AT86" s="64" t="s" ph="1">
        <v>237</v>
      </c>
      <c r="AU86" s="64" t="s" ph="1">
        <v>259</v>
      </c>
    </row>
    <row r="87" spans="34:52" ph="1">
      <c r="AJ87" s="64" t="s" ph="1">
        <v>416</v>
      </c>
      <c r="AK87" s="64" t="s" ph="1">
        <v>272</v>
      </c>
      <c r="AM87" s="64" t="s" ph="1">
        <v>403</v>
      </c>
      <c r="AN87" s="64" t="s" ph="1">
        <v>417</v>
      </c>
      <c r="AO87" s="64" t="s" ph="1">
        <v>400</v>
      </c>
    </row>
    <row r="88" spans="34:52" ph="1">
      <c r="AH88" s="64" ph="1">
        <v>5</v>
      </c>
      <c r="AI88" s="64" t="s" ph="1">
        <v>289</v>
      </c>
      <c r="AJ88" s="64" t="s" ph="1">
        <v>418</v>
      </c>
      <c r="AK88" s="64" t="s" ph="1">
        <v>272</v>
      </c>
      <c r="AM88" s="64" t="s" ph="1">
        <v>419</v>
      </c>
      <c r="AN88" s="64" t="s" ph="1">
        <v>272</v>
      </c>
      <c r="AO88" s="64" t="s" ph="1">
        <v>259</v>
      </c>
      <c r="AP88" s="64" t="s" ph="1">
        <v>420</v>
      </c>
      <c r="AQ88" s="64" t="s" ph="1">
        <v>222</v>
      </c>
      <c r="AR88" s="64" t="s" ph="1">
        <v>259</v>
      </c>
      <c r="AS88" s="64" t="s" ph="1">
        <v>421</v>
      </c>
      <c r="AT88" s="64" t="s" ph="1">
        <v>272</v>
      </c>
      <c r="AU88" s="64" t="s" ph="1">
        <v>259</v>
      </c>
      <c r="AV88" s="64" t="s" ph="1">
        <v>422</v>
      </c>
      <c r="AW88" s="64" t="s" ph="1">
        <v>227</v>
      </c>
      <c r="AX88" s="64" t="s" ph="1">
        <v>259</v>
      </c>
      <c r="AY88" s="64" t="s" ph="1">
        <v>216</v>
      </c>
      <c r="AZ88" s="64" t="s" ph="1">
        <v>423</v>
      </c>
    </row>
    <row r="89" spans="34:52" ph="1">
      <c r="AJ89" s="64" t="s" ph="1">
        <v>424</v>
      </c>
      <c r="AK89" s="64" t="s" ph="1">
        <v>225</v>
      </c>
      <c r="AM89" s="64" t="s" ph="1">
        <v>425</v>
      </c>
      <c r="AN89" s="64" t="s" ph="1">
        <v>228</v>
      </c>
      <c r="AO89" s="64" t="s" ph="1">
        <v>259</v>
      </c>
      <c r="AP89" s="64" t="s" ph="1">
        <v>426</v>
      </c>
      <c r="AQ89" s="64" t="s" ph="1">
        <v>237</v>
      </c>
      <c r="AR89" s="64" t="s" ph="1">
        <v>259</v>
      </c>
      <c r="AS89" s="64" t="s" ph="1">
        <v>427</v>
      </c>
      <c r="AT89" s="64" t="s" ph="1">
        <v>272</v>
      </c>
      <c r="AU89" s="64" t="s" ph="1">
        <v>259</v>
      </c>
      <c r="AV89" s="64" t="s" ph="1">
        <v>428</v>
      </c>
      <c r="AW89" s="64" t="s" ph="1">
        <v>254</v>
      </c>
      <c r="AX89" s="64" t="s" ph="1">
        <v>287</v>
      </c>
    </row>
    <row r="90" spans="34:52" ph="1">
      <c r="AJ90" s="64" t="s" ph="1">
        <v>429</v>
      </c>
      <c r="AK90" s="64" t="s" ph="1">
        <v>228</v>
      </c>
      <c r="AM90" s="64" t="s" ph="1">
        <v>430</v>
      </c>
      <c r="AN90" s="64" t="s" ph="1">
        <v>225</v>
      </c>
      <c r="AO90" s="64" t="s" ph="1">
        <v>259</v>
      </c>
      <c r="AP90" s="64" t="s" ph="1">
        <v>431</v>
      </c>
      <c r="AQ90" s="64" t="s" ph="1">
        <v>294</v>
      </c>
      <c r="AR90" s="64" t="s" ph="1">
        <v>259</v>
      </c>
      <c r="AS90" s="64" t="s" ph="1">
        <v>432</v>
      </c>
      <c r="AT90" s="64" t="s" ph="1">
        <v>282</v>
      </c>
      <c r="AU90" s="64" t="s" ph="1">
        <v>259</v>
      </c>
      <c r="AV90" s="64" t="s" ph="1">
        <v>433</v>
      </c>
      <c r="AW90" s="64" t="s" ph="1">
        <v>219</v>
      </c>
      <c r="AX90" s="64" t="s" ph="1">
        <v>259</v>
      </c>
    </row>
    <row r="91" spans="34:52" ph="1">
      <c r="AJ91" s="64" t="s" ph="1">
        <v>434</v>
      </c>
      <c r="AK91" s="64" t="s" ph="1">
        <v>272</v>
      </c>
      <c r="AM91" s="64" t="s" ph="1">
        <v>435</v>
      </c>
      <c r="AN91" s="64" t="s" ph="1">
        <v>239</v>
      </c>
      <c r="AO91" s="64" t="s" ph="1">
        <v>259</v>
      </c>
      <c r="AP91" s="64" t="s" ph="1">
        <v>436</v>
      </c>
      <c r="AQ91" s="64" t="s" ph="1">
        <v>219</v>
      </c>
      <c r="AS91" s="64" t="s" ph="1">
        <v>403</v>
      </c>
      <c r="AT91" s="64" t="s" ph="1">
        <v>399</v>
      </c>
      <c r="AU91" s="64" t="s" ph="1">
        <v>400</v>
      </c>
    </row>
    <row r="92" spans="34:52" ph="1">
      <c r="AH92" s="64" ph="1">
        <v>6</v>
      </c>
      <c r="AI92" s="64" t="s" ph="1">
        <v>437</v>
      </c>
      <c r="AJ92" s="64" t="s" ph="1">
        <v>438</v>
      </c>
      <c r="AK92" s="64" t="s" ph="1">
        <v>367</v>
      </c>
      <c r="AM92" s="64" t="s" ph="1">
        <v>439</v>
      </c>
      <c r="AN92" s="64" t="s" ph="1">
        <v>227</v>
      </c>
      <c r="AO92" s="64" t="s" ph="1">
        <v>259</v>
      </c>
      <c r="AP92" s="64" t="s" ph="1">
        <v>440</v>
      </c>
      <c r="AQ92" s="64" t="s" ph="1">
        <v>299</v>
      </c>
      <c r="AR92" s="64" t="s" ph="1">
        <v>259</v>
      </c>
      <c r="AS92" s="64" t="s" ph="1">
        <v>441</v>
      </c>
      <c r="AT92" s="64" t="s" ph="1">
        <v>272</v>
      </c>
      <c r="AU92" s="64" t="s" ph="1">
        <v>259</v>
      </c>
      <c r="AV92" s="64" t="s" ph="1">
        <v>442</v>
      </c>
      <c r="AW92" s="64" t="s" ph="1">
        <v>228</v>
      </c>
      <c r="AX92" s="64" t="s" ph="1">
        <v>259</v>
      </c>
      <c r="AY92" s="64" t="s" ph="1">
        <v>216</v>
      </c>
      <c r="AZ92" s="64" t="s" ph="1">
        <v>423</v>
      </c>
    </row>
    <row r="93" spans="34:52" ph="1">
      <c r="AJ93" s="64" t="s" ph="1">
        <v>443</v>
      </c>
      <c r="AK93" s="64" t="s" ph="1">
        <v>222</v>
      </c>
      <c r="AM93" s="64" t="s" ph="1">
        <v>444</v>
      </c>
      <c r="AN93" s="64" t="s" ph="1">
        <v>227</v>
      </c>
      <c r="AO93" s="64" t="s" ph="1">
        <v>259</v>
      </c>
      <c r="AP93" s="64" t="s" ph="1">
        <v>445</v>
      </c>
      <c r="AQ93" s="64" t="s" ph="1">
        <v>231</v>
      </c>
      <c r="AR93" s="64" t="s" ph="1">
        <v>259</v>
      </c>
      <c r="AS93" s="64" t="s" ph="1">
        <v>446</v>
      </c>
      <c r="AT93" s="64" t="s" ph="1">
        <v>237</v>
      </c>
      <c r="AU93" s="64" t="s" ph="1">
        <v>259</v>
      </c>
      <c r="AV93" s="64" t="s" ph="1">
        <v>447</v>
      </c>
      <c r="AW93" s="64" t="s" ph="1">
        <v>231</v>
      </c>
      <c r="AX93" s="64" t="s" ph="1">
        <v>259</v>
      </c>
    </row>
    <row r="94" spans="34:52" ph="1">
      <c r="AJ94" s="64" t="s" ph="1">
        <v>448</v>
      </c>
      <c r="AK94" s="64" t="s" ph="1">
        <v>294</v>
      </c>
      <c r="AM94" s="64" t="s" ph="1">
        <v>449</v>
      </c>
      <c r="AN94" s="64" t="s" ph="1">
        <v>231</v>
      </c>
      <c r="AO94" s="64" t="s" ph="1">
        <v>259</v>
      </c>
      <c r="AP94" s="64" t="s" ph="1">
        <v>450</v>
      </c>
      <c r="AQ94" s="64" t="s" ph="1">
        <v>239</v>
      </c>
      <c r="AR94" s="64" t="s" ph="1">
        <v>259</v>
      </c>
      <c r="AS94" s="64" t="s" ph="1">
        <v>451</v>
      </c>
      <c r="AT94" s="64" t="s" ph="1">
        <v>225</v>
      </c>
      <c r="AU94" s="64" t="s" ph="1">
        <v>259</v>
      </c>
      <c r="AV94" s="64" t="s" ph="1">
        <v>452</v>
      </c>
      <c r="AW94" s="64" t="s" ph="1">
        <v>225</v>
      </c>
      <c r="AX94" s="64" t="s" ph="1">
        <v>259</v>
      </c>
    </row>
    <row r="95" spans="34:52" ph="1">
      <c r="AJ95" s="64" t="s" ph="1">
        <v>453</v>
      </c>
      <c r="AK95" s="64" t="s" ph="1">
        <v>299</v>
      </c>
    </row>
    <row r="96" spans="34:52" ph="1">
      <c r="AH96" s="64" ph="1">
        <v>7</v>
      </c>
      <c r="AI96" s="64" t="s" ph="1">
        <v>454</v>
      </c>
      <c r="AJ96" s="64" t="s" ph="1">
        <v>453</v>
      </c>
      <c r="AK96" s="64" t="s" ph="1">
        <v>254</v>
      </c>
      <c r="AM96" s="64" t="s" ph="1">
        <v>455</v>
      </c>
      <c r="AN96" s="64" t="s" ph="1">
        <v>228</v>
      </c>
      <c r="AO96" s="64" t="s" ph="1">
        <v>259</v>
      </c>
      <c r="AP96" s="64" t="s" ph="1">
        <v>456</v>
      </c>
      <c r="AQ96" s="64" t="s" ph="1">
        <v>272</v>
      </c>
      <c r="AR96" s="64" t="s" ph="1">
        <v>287</v>
      </c>
      <c r="AS96" s="64" t="s" ph="1">
        <v>457</v>
      </c>
      <c r="AT96" s="64" t="s" ph="1">
        <v>231</v>
      </c>
      <c r="AU96" s="64" t="s" ph="1">
        <v>287</v>
      </c>
      <c r="AV96" s="64" t="s" ph="1">
        <v>458</v>
      </c>
      <c r="AW96" s="64" t="s" ph="1">
        <v>227</v>
      </c>
      <c r="AX96" s="64" t="s" ph="1">
        <v>287</v>
      </c>
      <c r="AY96" s="64" t="s" ph="1">
        <v>216</v>
      </c>
      <c r="AZ96" s="64" t="s" ph="1">
        <v>459</v>
      </c>
    </row>
    <row r="97" spans="33:52" ph="1">
      <c r="AJ97" s="64" t="s" ph="1">
        <v>460</v>
      </c>
      <c r="AK97" s="64" t="s" ph="1">
        <v>282</v>
      </c>
      <c r="AM97" s="64" t="s" ph="1">
        <v>461</v>
      </c>
      <c r="AN97" s="64" t="s" ph="1">
        <v>225</v>
      </c>
      <c r="AO97" s="64" t="s" ph="1">
        <v>259</v>
      </c>
      <c r="AP97" s="64" t="s" ph="1">
        <v>462</v>
      </c>
      <c r="AQ97" s="64" t="s" ph="1">
        <v>219</v>
      </c>
      <c r="AR97" s="64" t="s" ph="1">
        <v>287</v>
      </c>
      <c r="AS97" s="64" t="s" ph="1">
        <v>463</v>
      </c>
      <c r="AT97" s="64" t="s" ph="1">
        <v>222</v>
      </c>
      <c r="AU97" s="64" t="s" ph="1">
        <v>287</v>
      </c>
      <c r="AV97" s="64" t="s" ph="1">
        <v>464</v>
      </c>
      <c r="AW97" s="64" t="s" ph="1">
        <v>228</v>
      </c>
      <c r="AX97" s="64" t="s" ph="1">
        <v>287</v>
      </c>
    </row>
    <row r="98" spans="33:52" ph="1">
      <c r="AJ98" s="64" t="s" ph="1">
        <v>465</v>
      </c>
      <c r="AK98" s="64" t="s" ph="1">
        <v>231</v>
      </c>
      <c r="AM98" s="64" t="s" ph="1">
        <v>466</v>
      </c>
      <c r="AN98" s="64" t="s" ph="1">
        <v>239</v>
      </c>
      <c r="AO98" s="64" t="s" ph="1">
        <v>259</v>
      </c>
      <c r="AP98" s="64" t="s" ph="1">
        <v>467</v>
      </c>
      <c r="AQ98" s="64" t="s" ph="1">
        <v>219</v>
      </c>
      <c r="AR98" s="64" t="s" ph="1">
        <v>287</v>
      </c>
      <c r="AS98" s="64" t="s" ph="1">
        <v>468</v>
      </c>
      <c r="AT98" s="64" t="s" ph="1">
        <v>299</v>
      </c>
      <c r="AU98" s="64" t="s" ph="1">
        <v>287</v>
      </c>
      <c r="AV98" s="64" t="s" ph="1">
        <v>469</v>
      </c>
      <c r="AW98" s="64" t="s" ph="1">
        <v>222</v>
      </c>
      <c r="AX98" s="64" t="s" ph="1">
        <v>287</v>
      </c>
    </row>
    <row r="99" spans="33:52" ph="1">
      <c r="AH99" s="64" ph="1">
        <v>8</v>
      </c>
      <c r="AI99" s="64" t="s" ph="1">
        <v>470</v>
      </c>
      <c r="AJ99" s="64" t="s" ph="1">
        <v>471</v>
      </c>
      <c r="AK99" s="64" t="s" ph="1">
        <v>367</v>
      </c>
      <c r="AM99" s="64" t="s" ph="1">
        <v>472</v>
      </c>
      <c r="AN99" s="64" t="s" ph="1">
        <v>254</v>
      </c>
      <c r="AO99" s="64" t="s" ph="1">
        <v>259</v>
      </c>
      <c r="AP99" s="64" t="s" ph="1">
        <v>473</v>
      </c>
      <c r="AQ99" s="64" t="s" ph="1">
        <v>224</v>
      </c>
      <c r="AR99" s="64" t="s" ph="1">
        <v>287</v>
      </c>
      <c r="AS99" s="64" t="s" ph="1">
        <v>474</v>
      </c>
      <c r="AT99" s="64" t="s" ph="1">
        <v>239</v>
      </c>
      <c r="AU99" s="64" t="s" ph="1">
        <v>287</v>
      </c>
      <c r="AV99" s="64" t="s" ph="1">
        <v>475</v>
      </c>
      <c r="AW99" s="64" t="s" ph="1">
        <v>224</v>
      </c>
      <c r="AX99" s="64" t="s" ph="1">
        <v>287</v>
      </c>
      <c r="AY99" s="64" t="s" ph="1">
        <v>216</v>
      </c>
      <c r="AZ99" s="64" t="s" ph="1">
        <v>476</v>
      </c>
    </row>
    <row r="100" spans="33:52" ph="1">
      <c r="AJ100" s="64" t="s" ph="1">
        <v>477</v>
      </c>
      <c r="AK100" s="64" t="s" ph="1">
        <v>222</v>
      </c>
      <c r="AM100" s="64" t="s" ph="1">
        <v>478</v>
      </c>
      <c r="AN100" s="64" t="s" ph="1">
        <v>294</v>
      </c>
      <c r="AO100" s="64" t="s" ph="1">
        <v>259</v>
      </c>
      <c r="AP100" s="64" t="s" ph="1">
        <v>479</v>
      </c>
      <c r="AQ100" s="64" t="s" ph="1">
        <v>300</v>
      </c>
      <c r="AR100" s="64" t="s" ph="1">
        <v>287</v>
      </c>
      <c r="AS100" s="64" t="s" ph="1">
        <v>480</v>
      </c>
      <c r="AT100" s="64" t="s" ph="1">
        <v>367</v>
      </c>
      <c r="AU100" s="64" t="s" ph="1">
        <v>259</v>
      </c>
      <c r="AV100" s="64" t="s" ph="1">
        <v>481</v>
      </c>
      <c r="AW100" s="64" t="s" ph="1">
        <v>367</v>
      </c>
      <c r="AX100" s="64" t="s" ph="1">
        <v>259</v>
      </c>
    </row>
    <row r="101" spans="33:52" ph="1">
      <c r="AJ101" s="64" t="s" ph="1">
        <v>482</v>
      </c>
      <c r="AK101" s="64" t="s" ph="1">
        <v>367</v>
      </c>
      <c r="AM101" s="64" t="s" ph="1">
        <v>483</v>
      </c>
      <c r="AN101" s="64" t="s" ph="1">
        <v>225</v>
      </c>
      <c r="AO101" s="64" t="s" ph="1">
        <v>259</v>
      </c>
      <c r="AP101" s="64" t="s" ph="1">
        <v>484</v>
      </c>
      <c r="AQ101" s="64" t="s" ph="1">
        <v>237</v>
      </c>
      <c r="AR101" s="64" t="s" ph="1">
        <v>287</v>
      </c>
      <c r="AS101" s="64" t="s" ph="1">
        <v>485</v>
      </c>
      <c r="AT101" s="64" t="s" ph="1">
        <v>294</v>
      </c>
      <c r="AU101" s="64" t="s" ph="1">
        <v>287</v>
      </c>
      <c r="AV101" s="64" t="s" ph="1">
        <v>486</v>
      </c>
      <c r="AW101" s="64" t="s" ph="1">
        <v>225</v>
      </c>
      <c r="AX101" s="64" t="s" ph="1">
        <v>259</v>
      </c>
    </row>
    <row r="102" spans="33:52" ph="1">
      <c r="AJ102" s="64" t="s" ph="1">
        <v>487</v>
      </c>
      <c r="AK102" s="64" t="s" ph="1">
        <v>222</v>
      </c>
      <c r="AM102" s="64" t="s" ph="1">
        <v>488</v>
      </c>
      <c r="AN102" s="64" t="s" ph="1">
        <v>231</v>
      </c>
      <c r="AO102" s="64" t="s" ph="1">
        <v>259</v>
      </c>
      <c r="AP102" s="64" t="s" ph="1">
        <v>489</v>
      </c>
      <c r="AQ102" s="64" t="s" ph="1">
        <v>237</v>
      </c>
      <c r="AR102" s="64" t="s" ph="1">
        <v>259</v>
      </c>
      <c r="AS102" s="64" t="s" ph="1">
        <v>490</v>
      </c>
      <c r="AT102" s="64" t="s" ph="1">
        <v>254</v>
      </c>
      <c r="AU102" s="64" t="s" ph="1">
        <v>259</v>
      </c>
      <c r="AV102" s="64" t="s" ph="1">
        <v>491</v>
      </c>
      <c r="AW102" s="64" t="s" ph="1">
        <v>272</v>
      </c>
      <c r="AX102" s="64" t="s" ph="1">
        <v>259</v>
      </c>
    </row>
    <row r="103" spans="33:52" ph="1">
      <c r="AH103" s="64" ph="1">
        <v>9</v>
      </c>
      <c r="AI103" s="64" t="s" ph="1">
        <v>492</v>
      </c>
      <c r="AJ103" s="64" t="s" ph="1">
        <v>493</v>
      </c>
      <c r="AK103" s="64" t="s" ph="1">
        <v>367</v>
      </c>
      <c r="AM103" s="64" t="s" ph="1">
        <v>494</v>
      </c>
      <c r="AN103" s="64" t="s" ph="1">
        <v>282</v>
      </c>
      <c r="AO103" s="64" t="s" ph="1">
        <v>259</v>
      </c>
      <c r="AP103" s="64" t="s" ph="1">
        <v>336</v>
      </c>
      <c r="AQ103" s="64" t="s" ph="1">
        <v>225</v>
      </c>
      <c r="AR103" s="64" t="s" ph="1">
        <v>259</v>
      </c>
      <c r="AS103" s="64" t="s" ph="1">
        <v>570</v>
      </c>
      <c r="AT103" s="64" t="s" ph="1">
        <v>367</v>
      </c>
      <c r="AU103" s="64" t="s" ph="1">
        <v>259</v>
      </c>
      <c r="AY103" s="64" t="s" ph="1">
        <v>216</v>
      </c>
      <c r="AZ103" s="64" t="s" ph="1">
        <v>224</v>
      </c>
    </row>
    <row r="104" spans="33:52" ph="1">
      <c r="AZ104" s="64" t="s" ph="1">
        <v>495</v>
      </c>
    </row>
    <row r="105" spans="33:52" ph="1">
      <c r="AG105" s="64" t="s" ph="1">
        <v>295</v>
      </c>
      <c r="AI105" s="64" t="s" ph="1">
        <v>209</v>
      </c>
      <c r="AJ105" s="64" t="s" ph="1">
        <v>210</v>
      </c>
      <c r="AK105" s="64" t="s" ph="1">
        <v>211</v>
      </c>
      <c r="AM105" s="64" t="s" ph="1">
        <v>210</v>
      </c>
      <c r="AN105" s="64" t="s" ph="1">
        <v>211</v>
      </c>
      <c r="AO105" s="64" t="s" ph="1">
        <v>212</v>
      </c>
      <c r="AP105" s="64" t="s" ph="1">
        <v>210</v>
      </c>
      <c r="AQ105" s="64" t="s" ph="1">
        <v>211</v>
      </c>
      <c r="AR105" s="64" t="s" ph="1">
        <v>212</v>
      </c>
      <c r="AS105" s="64" t="s" ph="1">
        <v>210</v>
      </c>
      <c r="AT105" s="64" t="s" ph="1">
        <v>211</v>
      </c>
      <c r="AU105" s="64" t="s" ph="1">
        <v>212</v>
      </c>
      <c r="AV105" s="64" t="s" ph="1">
        <v>210</v>
      </c>
      <c r="AW105" s="64" t="s" ph="1">
        <v>211</v>
      </c>
      <c r="AX105" s="64" t="s" ph="1">
        <v>212</v>
      </c>
      <c r="AZ105" s="64" t="s" ph="1">
        <v>213</v>
      </c>
    </row>
    <row r="106" spans="33:52" ph="1">
      <c r="AH106" s="64" ph="1">
        <v>1</v>
      </c>
      <c r="AI106" s="64" t="s" ph="1">
        <v>496</v>
      </c>
      <c r="AJ106" s="64" t="s" ph="1">
        <v>570</v>
      </c>
      <c r="AK106" s="64" t="s" ph="1">
        <v>231</v>
      </c>
      <c r="AZ106" s="64" t="s" ph="1">
        <v>231</v>
      </c>
    </row>
    <row r="107" spans="33:52" ph="1">
      <c r="AH107" s="64" ph="1">
        <v>2</v>
      </c>
      <c r="AI107" s="64" t="s" ph="1">
        <v>497</v>
      </c>
      <c r="AJ107" s="64" t="s" ph="1">
        <v>498</v>
      </c>
      <c r="AK107" s="64" t="s" ph="1">
        <v>228</v>
      </c>
      <c r="AM107" s="64" t="s" ph="1">
        <v>334</v>
      </c>
      <c r="AN107" s="64" t="s" ph="1">
        <v>499</v>
      </c>
      <c r="AO107" s="64" t="s" ph="1">
        <v>500</v>
      </c>
      <c r="AP107" s="64" t="s" ph="1">
        <v>336</v>
      </c>
      <c r="AQ107" s="64" t="s" ph="1">
        <v>304</v>
      </c>
      <c r="AR107" s="64" t="s" ph="1">
        <v>500</v>
      </c>
      <c r="AS107" s="64" t="s" ph="1">
        <v>570</v>
      </c>
      <c r="AT107" s="64" t="s" ph="1">
        <v>499</v>
      </c>
      <c r="AU107" s="64" t="s" ph="1">
        <v>500</v>
      </c>
      <c r="AY107" s="64" t="s" ph="1">
        <v>216</v>
      </c>
      <c r="AZ107" s="64" t="s" ph="1">
        <v>580</v>
      </c>
    </row>
    <row r="108" spans="33:52" ph="1">
      <c r="AH108" s="64" ph="1">
        <v>3</v>
      </c>
      <c r="AI108" s="64" t="s" ph="1">
        <v>501</v>
      </c>
      <c r="AY108" s="64" t="s" ph="1">
        <v>216</v>
      </c>
      <c r="AZ108" s="64" t="s" ph="1">
        <v>367</v>
      </c>
    </row>
    <row r="109" spans="33:52" ph="1">
      <c r="AH109" s="64" ph="1">
        <v>4</v>
      </c>
      <c r="AI109" s="64" t="s" ph="1">
        <v>502</v>
      </c>
      <c r="AY109" s="64" t="s" ph="1">
        <v>216</v>
      </c>
      <c r="AZ109" s="64" t="s" ph="1">
        <v>367</v>
      </c>
    </row>
    <row r="110" spans="33:52" ph="1">
      <c r="AH110" s="64" ph="1">
        <v>5</v>
      </c>
      <c r="AI110" s="64" t="s" ph="1">
        <v>503</v>
      </c>
      <c r="AY110" s="64" t="s" ph="1">
        <v>216</v>
      </c>
      <c r="AZ110" s="64" t="s" ph="1">
        <v>367</v>
      </c>
    </row>
    <row r="111" spans="33:52" ph="1">
      <c r="AH111" s="64" ph="1">
        <v>6</v>
      </c>
      <c r="AI111" s="64" t="s" ph="1">
        <v>581</v>
      </c>
      <c r="AJ111" s="64" t="s" ph="1">
        <v>486</v>
      </c>
      <c r="AK111" s="64" t="s" ph="1">
        <v>225</v>
      </c>
      <c r="AM111" s="64" t="s" ph="1">
        <v>487</v>
      </c>
      <c r="AN111" s="64" t="s" ph="1">
        <v>219</v>
      </c>
      <c r="AO111" s="64" t="s" ph="1">
        <v>500</v>
      </c>
      <c r="AP111" s="64" t="s" ph="1">
        <v>488</v>
      </c>
      <c r="AQ111" s="64" t="s" ph="1">
        <v>228</v>
      </c>
      <c r="AR111" s="64" t="s" ph="1">
        <v>500</v>
      </c>
      <c r="AS111" s="64" t="s" ph="1">
        <v>489</v>
      </c>
      <c r="AT111" s="64" t="s" ph="1">
        <v>237</v>
      </c>
      <c r="AU111" s="64" t="s" ph="1">
        <v>500</v>
      </c>
      <c r="AV111" s="64" t="s" ph="1">
        <v>490</v>
      </c>
      <c r="AW111" s="64" t="s" ph="1">
        <v>227</v>
      </c>
      <c r="AX111" s="64" t="s" ph="1">
        <v>500</v>
      </c>
      <c r="AY111" s="64" t="s" ph="1">
        <v>216</v>
      </c>
      <c r="AZ111" s="64" t="s" ph="1">
        <v>504</v>
      </c>
    </row>
    <row r="112" spans="33:52" ph="1">
      <c r="AJ112" s="64" t="s" ph="1">
        <v>491</v>
      </c>
      <c r="AK112" s="64" t="s" ph="1">
        <v>272</v>
      </c>
      <c r="AM112" s="64" t="s" ph="1">
        <v>493</v>
      </c>
      <c r="AN112" s="64" t="s" ph="1">
        <v>296</v>
      </c>
      <c r="AO112" s="64" t="s" ph="1">
        <v>500</v>
      </c>
      <c r="AP112" s="64" t="s" ph="1">
        <v>494</v>
      </c>
      <c r="AQ112" s="64" t="s" ph="1">
        <v>505</v>
      </c>
      <c r="AR112" s="64" t="s" ph="1">
        <v>500</v>
      </c>
      <c r="AS112" s="64" t="s" ph="1">
        <v>506</v>
      </c>
      <c r="AT112" s="64" t="s" ph="1">
        <v>248</v>
      </c>
      <c r="AU112" s="64" t="s" ph="1">
        <v>500</v>
      </c>
      <c r="AV112" s="64" t="s" ph="1">
        <v>507</v>
      </c>
      <c r="AW112" s="64" t="s" ph="1">
        <v>294</v>
      </c>
      <c r="AX112" s="64" t="s" ph="1">
        <v>500</v>
      </c>
    </row>
    <row r="113" spans="33:52" ph="1">
      <c r="AH113" s="64" ph="1">
        <v>7</v>
      </c>
      <c r="AI113" s="64" t="s" ph="1">
        <v>508</v>
      </c>
      <c r="AJ113" s="64" t="s" ph="1">
        <v>589</v>
      </c>
      <c r="AK113" s="64" t="s" ph="1">
        <v>594</v>
      </c>
      <c r="AY113" s="64" t="s" ph="1">
        <v>216</v>
      </c>
      <c r="AZ113" s="64" t="s" ph="1">
        <v>594</v>
      </c>
    </row>
    <row r="114" spans="33:52" ph="1">
      <c r="AH114" s="64" ph="1">
        <v>8</v>
      </c>
      <c r="AI114" s="64" t="s" ph="1">
        <v>509</v>
      </c>
      <c r="AJ114" s="64" t="s" ph="1">
        <v>589</v>
      </c>
      <c r="AK114" s="64" t="s" ph="1">
        <v>595</v>
      </c>
      <c r="AY114" s="64" t="s" ph="1">
        <v>216</v>
      </c>
      <c r="AZ114" s="64" t="s" ph="1">
        <v>595</v>
      </c>
    </row>
    <row r="115" spans="33:52" ph="1">
      <c r="AH115" s="64" ph="1">
        <v>9</v>
      </c>
      <c r="AI115" s="64" t="s" ph="1">
        <v>510</v>
      </c>
      <c r="AJ115" s="64" t="s" ph="1">
        <v>589</v>
      </c>
      <c r="AK115" s="64" t="s" ph="1">
        <v>595</v>
      </c>
      <c r="AY115" s="64" t="s" ph="1">
        <v>216</v>
      </c>
      <c r="AZ115" s="64" t="s" ph="1">
        <v>595</v>
      </c>
    </row>
    <row r="116" spans="33:52" ph="1">
      <c r="AH116" s="64" ph="1">
        <v>10</v>
      </c>
      <c r="AI116" s="64" t="s" ph="1">
        <v>511</v>
      </c>
      <c r="AJ116" s="64" t="s" ph="1">
        <v>589</v>
      </c>
      <c r="AK116" s="64" t="s" ph="1">
        <v>595</v>
      </c>
      <c r="AY116" s="64" t="s" ph="1">
        <v>216</v>
      </c>
      <c r="AZ116" s="64" t="s" ph="1">
        <v>595</v>
      </c>
    </row>
    <row r="117" spans="33:52" ph="1">
      <c r="AH117" s="64" ph="1">
        <v>11</v>
      </c>
      <c r="AI117" s="64" t="s" ph="1">
        <v>512</v>
      </c>
      <c r="AJ117" s="64" t="s" ph="1">
        <v>589</v>
      </c>
      <c r="AK117" s="64" t="s" ph="1">
        <v>595</v>
      </c>
      <c r="AY117" s="64" t="s" ph="1">
        <v>216</v>
      </c>
      <c r="AZ117" s="64" t="s" ph="1">
        <v>595</v>
      </c>
    </row>
    <row r="118" spans="33:52" ph="1">
      <c r="AZ118" s="64" t="s" ph="1">
        <v>596</v>
      </c>
    </row>
    <row r="119" spans="33:52" ph="1">
      <c r="AI119" s="64" t="s" ph="1">
        <v>209</v>
      </c>
      <c r="AJ119" s="64" t="s" ph="1">
        <v>210</v>
      </c>
      <c r="AK119" s="64" t="s" ph="1">
        <v>211</v>
      </c>
      <c r="AM119" s="64" t="s" ph="1">
        <v>210</v>
      </c>
      <c r="AN119" s="64" t="s" ph="1">
        <v>211</v>
      </c>
      <c r="AO119" s="64" t="s" ph="1">
        <v>212</v>
      </c>
      <c r="AP119" s="64" t="s" ph="1">
        <v>210</v>
      </c>
      <c r="AQ119" s="64" t="s" ph="1">
        <v>211</v>
      </c>
      <c r="AR119" s="64" t="s" ph="1">
        <v>212</v>
      </c>
      <c r="AS119" s="64" t="s" ph="1">
        <v>210</v>
      </c>
      <c r="AT119" s="64" t="s" ph="1">
        <v>211</v>
      </c>
      <c r="AU119" s="64" t="s" ph="1">
        <v>212</v>
      </c>
      <c r="AV119" s="64" t="s" ph="1">
        <v>210</v>
      </c>
      <c r="AW119" s="64" t="s" ph="1">
        <v>211</v>
      </c>
      <c r="AX119" s="64" t="s" ph="1">
        <v>212</v>
      </c>
      <c r="AY119" s="64" t="s" ph="1">
        <v>211</v>
      </c>
      <c r="AZ119" s="64" t="s" ph="1">
        <v>213</v>
      </c>
    </row>
    <row r="120" spans="33:52" ph="1">
      <c r="AG120" s="64" t="s" ph="1">
        <v>353</v>
      </c>
      <c r="AH120" s="64" ph="1">
        <v>1</v>
      </c>
      <c r="AI120" s="64" t="s" ph="1">
        <v>513</v>
      </c>
      <c r="AJ120" s="64" t="s" ph="1">
        <v>587</v>
      </c>
      <c r="AK120" s="64" t="s" ph="1">
        <v>367</v>
      </c>
      <c r="AY120" s="64" t="s" ph="1">
        <v>216</v>
      </c>
      <c r="AZ120" s="64" t="s" ph="1">
        <v>367</v>
      </c>
    </row>
    <row r="121" spans="33:52" ph="1">
      <c r="AH121" s="64" ph="1">
        <v>2</v>
      </c>
      <c r="AI121" s="64" t="s" ph="1">
        <v>514</v>
      </c>
      <c r="AY121" s="64" t="s" ph="1">
        <v>216</v>
      </c>
      <c r="AZ121" s="64" t="s" ph="1">
        <v>367</v>
      </c>
    </row>
    <row r="122" spans="33:52" ph="1">
      <c r="AH122" s="64" ph="1">
        <v>3</v>
      </c>
      <c r="AI122" s="64" t="s" ph="1">
        <v>515</v>
      </c>
      <c r="AJ122" s="64" t="s" ph="1">
        <v>570</v>
      </c>
      <c r="AK122" s="64" t="s" ph="1">
        <v>582</v>
      </c>
      <c r="AM122" s="64" t="s" ph="1">
        <v>597</v>
      </c>
      <c r="AN122" s="64" t="s" ph="1">
        <v>590</v>
      </c>
      <c r="AO122" s="64" t="s" ph="1">
        <v>91</v>
      </c>
      <c r="AY122" s="64" t="s" ph="1">
        <v>216</v>
      </c>
      <c r="AZ122" s="64" t="s" ph="1">
        <v>579</v>
      </c>
    </row>
    <row r="123" spans="33:52" ph="1">
      <c r="AY123" s="64" t="s" ph="1">
        <v>216</v>
      </c>
      <c r="AZ123" s="64" t="s" ph="1">
        <v>579</v>
      </c>
    </row>
    <row r="124" spans="33:52" ph="1">
      <c r="AG124" s="64" t="s" ph="1">
        <v>356</v>
      </c>
      <c r="AH124" s="64" ph="1">
        <v>4</v>
      </c>
      <c r="AI124" s="64" t="s" ph="1">
        <v>516</v>
      </c>
      <c r="AJ124" s="64" t="s" ph="1">
        <v>517</v>
      </c>
      <c r="AK124" s="64" t="s" ph="1">
        <v>518</v>
      </c>
      <c r="AY124" s="64" t="s" ph="1">
        <v>216</v>
      </c>
      <c r="AZ124" s="64" t="s" ph="1">
        <v>518</v>
      </c>
    </row>
    <row r="125" spans="33:52" ph="1">
      <c r="AH125" s="64" ph="1">
        <v>5</v>
      </c>
      <c r="AI125" s="64" t="s" ph="1">
        <v>519</v>
      </c>
      <c r="AJ125" s="64" t="s" ph="1">
        <v>517</v>
      </c>
      <c r="AK125" s="64" t="s" ph="1">
        <v>518</v>
      </c>
      <c r="AY125" s="64" t="s" ph="1">
        <v>216</v>
      </c>
      <c r="AZ125" s="64" t="s" ph="1">
        <v>518</v>
      </c>
    </row>
    <row r="126" spans="33:52" ph="1">
      <c r="AH126" s="64" ph="1">
        <v>6</v>
      </c>
      <c r="AI126" s="64" t="s" ph="1">
        <v>520</v>
      </c>
      <c r="AJ126" s="64" t="s" ph="1">
        <v>589</v>
      </c>
      <c r="AK126" s="64" t="s" ph="1">
        <v>598</v>
      </c>
      <c r="AY126" s="64" t="s" ph="1">
        <v>216</v>
      </c>
      <c r="AZ126" s="64" t="s" ph="1">
        <v>598</v>
      </c>
    </row>
    <row r="127" spans="33:52" ph="1">
      <c r="AH127" s="64" ph="1">
        <v>7</v>
      </c>
      <c r="AI127" s="64" t="s" ph="1">
        <v>521</v>
      </c>
      <c r="AJ127" s="64" t="s" ph="1">
        <v>589</v>
      </c>
      <c r="AK127" s="64" t="s" ph="1">
        <v>599</v>
      </c>
      <c r="AY127" s="64" t="s" ph="1">
        <v>216</v>
      </c>
      <c r="AZ127" s="64" t="s" ph="1">
        <v>599</v>
      </c>
    </row>
    <row r="128" spans="33:52" ph="1">
      <c r="AH128" s="64" ph="1">
        <v>8</v>
      </c>
      <c r="AI128" s="64" t="s" ph="1">
        <v>522</v>
      </c>
      <c r="AY128" s="64" t="s" ph="1">
        <v>216</v>
      </c>
      <c r="AZ128" s="64" t="s" ph="1">
        <v>367</v>
      </c>
    </row>
    <row r="129" spans="33:52" ph="1">
      <c r="AH129" s="64" ph="1">
        <v>9</v>
      </c>
      <c r="AI129" s="64" t="s" ph="1">
        <v>523</v>
      </c>
      <c r="AY129" s="64" t="s" ph="1">
        <v>216</v>
      </c>
      <c r="AZ129" s="64" t="s" ph="1">
        <v>367</v>
      </c>
    </row>
    <row r="130" spans="33:52" ph="1">
      <c r="AH130" s="64" ph="1">
        <v>10</v>
      </c>
      <c r="AI130" s="64" t="s" ph="1">
        <v>524</v>
      </c>
      <c r="AY130" s="64" t="s" ph="1">
        <v>216</v>
      </c>
      <c r="AZ130" s="64" t="s" ph="1">
        <v>367</v>
      </c>
    </row>
    <row r="131" spans="33:52" ph="1">
      <c r="AH131" s="64" ph="1">
        <v>11</v>
      </c>
      <c r="AI131" s="64" t="s" ph="1">
        <v>525</v>
      </c>
      <c r="AJ131" s="64" t="s" ph="1">
        <v>583</v>
      </c>
      <c r="AK131" s="64" t="s" ph="1">
        <v>579</v>
      </c>
      <c r="AY131" s="64" t="s" ph="1">
        <v>216</v>
      </c>
      <c r="AZ131" s="64" t="s" ph="1">
        <v>579</v>
      </c>
    </row>
    <row r="132" spans="33:52" ph="1">
      <c r="AH132" s="64" ph="1">
        <v>12</v>
      </c>
      <c r="AI132" s="64" t="s" ph="1">
        <v>526</v>
      </c>
      <c r="AJ132" s="64" t="s" ph="1">
        <v>583</v>
      </c>
      <c r="AK132" s="64" t="s" ph="1">
        <v>518</v>
      </c>
      <c r="AY132" s="64" t="s" ph="1">
        <v>216</v>
      </c>
      <c r="AZ132" s="64" t="s" ph="1">
        <v>518</v>
      </c>
    </row>
    <row r="133" spans="33:52" ph="1">
      <c r="AH133" s="64" ph="1">
        <v>13</v>
      </c>
      <c r="AI133" s="64" t="s" ph="1">
        <v>527</v>
      </c>
      <c r="AJ133" s="64" t="s" ph="1">
        <v>583</v>
      </c>
      <c r="AK133" s="64" t="s" ph="1">
        <v>584</v>
      </c>
      <c r="AY133" s="64" t="s" ph="1">
        <v>216</v>
      </c>
      <c r="AZ133" s="64" t="s" ph="1">
        <v>584</v>
      </c>
    </row>
    <row r="134" spans="33:52" ph="1">
      <c r="AH134" s="64" ph="1">
        <v>14</v>
      </c>
      <c r="AI134" s="64" t="s" ph="1">
        <v>528</v>
      </c>
      <c r="AJ134" s="64" t="s" ph="1">
        <v>583</v>
      </c>
      <c r="AK134" s="64" t="s" ph="1">
        <v>585</v>
      </c>
      <c r="AY134" s="64" t="s" ph="1">
        <v>216</v>
      </c>
      <c r="AZ134" s="64" t="s" ph="1">
        <v>585</v>
      </c>
    </row>
    <row r="135" spans="33:52" ph="1">
      <c r="AH135" s="64" ph="1">
        <v>15</v>
      </c>
      <c r="AI135" s="64" t="s" ph="1">
        <v>529</v>
      </c>
      <c r="AJ135" s="64" t="s" ph="1">
        <v>583</v>
      </c>
      <c r="AK135" s="64" t="s" ph="1">
        <v>586</v>
      </c>
      <c r="AY135" s="64" t="s" ph="1">
        <v>216</v>
      </c>
      <c r="AZ135" s="64" t="s" ph="1">
        <v>586</v>
      </c>
    </row>
    <row r="136" spans="33:52" ph="1">
      <c r="AZ136" s="64" t="s" ph="1">
        <v>600</v>
      </c>
    </row>
    <row r="137" spans="33:52" ph="1">
      <c r="AG137" s="64" t="s" ph="1">
        <v>290</v>
      </c>
      <c r="AI137" s="64" t="s" ph="1">
        <v>209</v>
      </c>
      <c r="AJ137" s="64" t="s" ph="1">
        <v>210</v>
      </c>
      <c r="AK137" s="64" t="s" ph="1">
        <v>211</v>
      </c>
      <c r="AM137" s="64" t="s" ph="1">
        <v>210</v>
      </c>
      <c r="AN137" s="64" t="s" ph="1">
        <v>211</v>
      </c>
      <c r="AO137" s="64" t="s" ph="1">
        <v>212</v>
      </c>
      <c r="AP137" s="64" t="s" ph="1">
        <v>210</v>
      </c>
      <c r="AQ137" s="64" t="s" ph="1">
        <v>211</v>
      </c>
      <c r="AR137" s="64" t="s" ph="1">
        <v>212</v>
      </c>
      <c r="AS137" s="64" t="s" ph="1">
        <v>210</v>
      </c>
      <c r="AT137" s="64" t="s" ph="1">
        <v>211</v>
      </c>
      <c r="AU137" s="64" t="s" ph="1">
        <v>212</v>
      </c>
      <c r="AV137" s="64" t="s" ph="1">
        <v>210</v>
      </c>
      <c r="AW137" s="64" t="s" ph="1">
        <v>211</v>
      </c>
      <c r="AX137" s="64" t="s" ph="1">
        <v>212</v>
      </c>
      <c r="AY137" s="64" t="s" ph="1">
        <v>211</v>
      </c>
      <c r="AZ137" s="64" t="s" ph="1">
        <v>213</v>
      </c>
    </row>
    <row r="138" spans="33:52" ph="1">
      <c r="AH138" s="64" ph="1">
        <v>1</v>
      </c>
      <c r="AI138" s="64" t="s" ph="1">
        <v>530</v>
      </c>
      <c r="AJ138" s="64" t="s" ph="1">
        <v>531</v>
      </c>
      <c r="AK138" s="64" t="s" ph="1">
        <v>532</v>
      </c>
      <c r="AY138" s="64" t="s" ph="1">
        <v>216</v>
      </c>
      <c r="AZ138" s="64" t="s" ph="1">
        <v>532</v>
      </c>
    </row>
    <row r="139" spans="33:52" ph="1">
      <c r="AH139" s="64" ph="1">
        <v>2</v>
      </c>
      <c r="AI139" s="64" t="s" ph="1">
        <v>533</v>
      </c>
      <c r="AJ139" s="64" t="s" ph="1">
        <v>589</v>
      </c>
      <c r="AK139" s="64" t="s" ph="1">
        <v>601</v>
      </c>
      <c r="AY139" s="64" t="s" ph="1">
        <v>216</v>
      </c>
      <c r="AZ139" s="64" t="s" ph="1">
        <v>601</v>
      </c>
    </row>
    <row r="140" spans="33:52" ph="1">
      <c r="AH140" s="64" ph="1">
        <v>3</v>
      </c>
      <c r="AI140" s="64" t="s" ph="1">
        <v>534</v>
      </c>
      <c r="AJ140" s="64" t="s" ph="1">
        <v>487</v>
      </c>
      <c r="AK140" s="64" t="s" ph="1">
        <v>299</v>
      </c>
      <c r="AM140" s="64" t="s" ph="1">
        <v>488</v>
      </c>
      <c r="AN140" s="64" t="s" ph="1">
        <v>219</v>
      </c>
      <c r="AO140" s="64" t="s" ph="1">
        <v>535</v>
      </c>
      <c r="AP140" s="64" t="s" ph="1">
        <v>489</v>
      </c>
      <c r="AQ140" s="64" t="s" ph="1">
        <v>236</v>
      </c>
      <c r="AR140" s="64" t="s" ph="1">
        <v>535</v>
      </c>
      <c r="AS140" s="64" t="s" ph="1">
        <v>490</v>
      </c>
      <c r="AT140" s="64" t="s" ph="1">
        <v>229</v>
      </c>
      <c r="AU140" s="64" t="s" ph="1">
        <v>535</v>
      </c>
      <c r="AV140" s="64" t="s" ph="1">
        <v>491</v>
      </c>
      <c r="AW140" s="64" t="s" ph="1">
        <v>222</v>
      </c>
      <c r="AX140" s="64" t="s" ph="1">
        <v>535</v>
      </c>
      <c r="AY140" s="64" t="s" ph="1">
        <v>216</v>
      </c>
      <c r="AZ140" s="64" t="s" ph="1">
        <v>291</v>
      </c>
    </row>
    <row r="141" spans="33:52" ph="1">
      <c r="AJ141" s="64" t="s" ph="1">
        <v>493</v>
      </c>
      <c r="AK141" s="64" t="s" ph="1">
        <v>222</v>
      </c>
      <c r="AM141" s="64" t="s" ph="1">
        <v>494</v>
      </c>
      <c r="AN141" s="64" t="s" ph="1">
        <v>225</v>
      </c>
      <c r="AO141" s="64" t="s" ph="1">
        <v>535</v>
      </c>
      <c r="AP141" s="64" t="s" ph="1">
        <v>506</v>
      </c>
      <c r="AQ141" s="64" t="s" ph="1">
        <v>294</v>
      </c>
      <c r="AR141" s="64" t="s" ph="1">
        <v>535</v>
      </c>
      <c r="AS141" s="64" t="s" ph="1">
        <v>498</v>
      </c>
      <c r="AT141" s="64" t="s" ph="1">
        <v>222</v>
      </c>
      <c r="AU141" s="64" t="s" ph="1">
        <v>535</v>
      </c>
      <c r="AV141" s="64" t="s" ph="1">
        <v>334</v>
      </c>
      <c r="AW141" s="64" t="s" ph="1">
        <v>228</v>
      </c>
      <c r="AX141" s="64" t="s" ph="1">
        <v>535</v>
      </c>
    </row>
    <row r="142" spans="33:52" ph="1">
      <c r="AJ142" s="64" t="s" ph="1">
        <v>536</v>
      </c>
      <c r="AK142" s="64" t="s" ph="1">
        <v>239</v>
      </c>
    </row>
    <row r="143" spans="33:52" ph="1">
      <c r="AH143" s="64" ph="1">
        <v>4</v>
      </c>
      <c r="AI143" s="64" t="s" ph="1">
        <v>537</v>
      </c>
      <c r="AJ143" s="64" t="s" ph="1">
        <v>517</v>
      </c>
      <c r="AK143" s="64" t="s" ph="1">
        <v>538</v>
      </c>
      <c r="AY143" s="64" t="s" ph="1">
        <v>216</v>
      </c>
      <c r="AZ143" s="64" t="s" ph="1">
        <v>538</v>
      </c>
    </row>
    <row r="144" spans="33:52" ph="1">
      <c r="AH144" s="64" ph="1">
        <v>5</v>
      </c>
      <c r="AI144" s="64" t="s" ph="1">
        <v>539</v>
      </c>
      <c r="AY144" s="64" t="s" ph="1">
        <v>216</v>
      </c>
      <c r="AZ144" s="64" t="s" ph="1">
        <v>367</v>
      </c>
    </row>
    <row r="145" spans="33:52" ph="1">
      <c r="AH145" s="64" ph="1">
        <v>6</v>
      </c>
      <c r="AI145" s="64" t="s" ph="1">
        <v>540</v>
      </c>
      <c r="AY145" s="64" t="s" ph="1">
        <v>216</v>
      </c>
      <c r="AZ145" s="64" t="s" ph="1">
        <v>367</v>
      </c>
    </row>
    <row r="146" spans="33:52" ph="1">
      <c r="AH146" s="64" ph="1">
        <v>7</v>
      </c>
      <c r="AI146" s="64" t="s" ph="1">
        <v>541</v>
      </c>
      <c r="AY146" s="64" t="s" ph="1">
        <v>216</v>
      </c>
      <c r="AZ146" s="64" t="s" ph="1">
        <v>367</v>
      </c>
    </row>
    <row r="147" spans="33:52" ph="1">
      <c r="AH147" s="64" ph="1">
        <v>8</v>
      </c>
      <c r="AI147" s="64" t="s" ph="1">
        <v>542</v>
      </c>
      <c r="AY147" s="64" t="s" ph="1">
        <v>216</v>
      </c>
      <c r="AZ147" s="64" t="s" ph="1">
        <v>367</v>
      </c>
    </row>
    <row r="148" spans="33:52" ph="1">
      <c r="AH148" s="64" ph="1">
        <v>9</v>
      </c>
      <c r="AI148" s="64" t="s" ph="1">
        <v>543</v>
      </c>
      <c r="AY148" s="64" t="s" ph="1">
        <v>216</v>
      </c>
      <c r="AZ148" s="64" t="s" ph="1">
        <v>367</v>
      </c>
    </row>
    <row r="149" spans="33:52" ph="1">
      <c r="AH149" s="64" ph="1">
        <v>10</v>
      </c>
      <c r="AI149" s="64" t="s" ph="1">
        <v>544</v>
      </c>
      <c r="AY149" s="64" t="s" ph="1">
        <v>216</v>
      </c>
      <c r="AZ149" s="64" t="s" ph="1">
        <v>367</v>
      </c>
    </row>
    <row r="150" spans="33:52" ph="1">
      <c r="AH150" s="64" ph="1">
        <v>11</v>
      </c>
      <c r="AI150" s="64" t="s" ph="1">
        <v>545</v>
      </c>
      <c r="AY150" s="64" t="s" ph="1">
        <v>216</v>
      </c>
      <c r="AZ150" s="64" t="s" ph="1">
        <v>367</v>
      </c>
    </row>
    <row r="151" spans="33:52" ph="1">
      <c r="AH151" s="64" ph="1">
        <v>12</v>
      </c>
      <c r="AI151" s="64" t="s" ph="1">
        <v>546</v>
      </c>
      <c r="AY151" s="64" t="s" ph="1">
        <v>216</v>
      </c>
      <c r="AZ151" s="64" t="s" ph="1">
        <v>367</v>
      </c>
    </row>
    <row r="152" spans="33:52" ph="1">
      <c r="AH152" s="64" ph="1">
        <v>13</v>
      </c>
      <c r="AI152" s="64" t="s" ph="1">
        <v>547</v>
      </c>
      <c r="AY152" s="64" t="s" ph="1">
        <v>216</v>
      </c>
      <c r="AZ152" s="64" t="s" ph="1">
        <v>367</v>
      </c>
    </row>
    <row r="153" spans="33:52" ph="1">
      <c r="AH153" s="64" ph="1">
        <v>14</v>
      </c>
      <c r="AI153" s="64" t="s" ph="1">
        <v>548</v>
      </c>
      <c r="AY153" s="64" t="s" ph="1">
        <v>216</v>
      </c>
      <c r="AZ153" s="64" t="s" ph="1">
        <v>367</v>
      </c>
    </row>
    <row r="154" spans="33:52" ph="1">
      <c r="AH154" s="64" ph="1">
        <v>15</v>
      </c>
      <c r="AI154" s="64" t="s" ph="1">
        <v>549</v>
      </c>
      <c r="AY154" s="64" t="s" ph="1">
        <v>216</v>
      </c>
      <c r="AZ154" s="64" t="s" ph="1">
        <v>367</v>
      </c>
    </row>
    <row r="155" spans="33:52" ph="1">
      <c r="AH155" s="64" ph="1">
        <v>16</v>
      </c>
      <c r="AI155" s="64" t="s" ph="1">
        <v>550</v>
      </c>
      <c r="AJ155" s="64" t="s" ph="1">
        <v>336</v>
      </c>
      <c r="AK155" s="64" t="s" ph="1">
        <v>231</v>
      </c>
      <c r="AM155" s="64" t="s" ph="1">
        <v>570</v>
      </c>
      <c r="AN155" s="64" t="s" ph="1">
        <v>282</v>
      </c>
      <c r="AO155" s="64" t="s" ph="1">
        <v>535</v>
      </c>
      <c r="AY155" s="64" t="s" ph="1">
        <v>216</v>
      </c>
      <c r="AZ155" s="64" t="s" ph="1">
        <v>223</v>
      </c>
    </row>
    <row r="156" spans="33:52" ph="1">
      <c r="AZ156" s="64" t="s" ph="1">
        <v>602</v>
      </c>
    </row>
    <row r="157" spans="33:52" ph="1">
      <c r="AG157" s="64" t="s" ph="1">
        <v>551</v>
      </c>
      <c r="AI157" s="64" t="s" ph="1">
        <v>209</v>
      </c>
      <c r="AJ157" s="64" t="s" ph="1">
        <v>210</v>
      </c>
      <c r="AK157" s="64" t="s" ph="1">
        <v>211</v>
      </c>
      <c r="AM157" s="64" t="s" ph="1">
        <v>210</v>
      </c>
      <c r="AN157" s="64" t="s" ph="1">
        <v>211</v>
      </c>
      <c r="AO157" s="64" t="s" ph="1">
        <v>212</v>
      </c>
      <c r="AP157" s="64" t="s" ph="1">
        <v>210</v>
      </c>
      <c r="AQ157" s="64" t="s" ph="1">
        <v>211</v>
      </c>
      <c r="AR157" s="64" t="s" ph="1">
        <v>212</v>
      </c>
      <c r="AS157" s="64" t="s" ph="1">
        <v>210</v>
      </c>
      <c r="AT157" s="64" t="s" ph="1">
        <v>211</v>
      </c>
      <c r="AU157" s="64" t="s" ph="1">
        <v>212</v>
      </c>
      <c r="AV157" s="64" t="s" ph="1">
        <v>210</v>
      </c>
      <c r="AW157" s="64" t="s" ph="1">
        <v>211</v>
      </c>
      <c r="AX157" s="64" t="s" ph="1">
        <v>212</v>
      </c>
      <c r="AY157" s="64" t="s" ph="1">
        <v>211</v>
      </c>
      <c r="AZ157" s="64" t="s" ph="1">
        <v>213</v>
      </c>
    </row>
    <row r="158" spans="33:52" ph="1">
      <c r="AH158" s="64" ph="1">
        <v>1</v>
      </c>
      <c r="AI158" s="64" t="s" ph="1">
        <v>552</v>
      </c>
      <c r="AY158" s="64" t="s" ph="1">
        <v>216</v>
      </c>
      <c r="AZ158" s="64" t="s" ph="1">
        <v>367</v>
      </c>
    </row>
    <row r="159" spans="33:52" ph="1">
      <c r="AH159" s="64" ph="1">
        <v>2</v>
      </c>
      <c r="AI159" s="64" t="s" ph="1">
        <v>553</v>
      </c>
      <c r="AY159" s="64" t="s" ph="1">
        <v>216</v>
      </c>
      <c r="AZ159" s="64" t="s" ph="1">
        <v>367</v>
      </c>
    </row>
    <row r="160" spans="33:52" ph="1">
      <c r="AZ160" s="64" t="s" ph="1">
        <v>385</v>
      </c>
    </row>
    <row r="161" spans="33:52" ph="1">
      <c r="AG161" s="64" t="s" ph="1">
        <v>361</v>
      </c>
      <c r="AI161" s="64" t="s" ph="1">
        <v>209</v>
      </c>
      <c r="AJ161" s="64" t="s" ph="1">
        <v>210</v>
      </c>
      <c r="AK161" s="64" t="s" ph="1">
        <v>211</v>
      </c>
      <c r="AM161" s="64" t="s" ph="1">
        <v>210</v>
      </c>
      <c r="AN161" s="64" t="s" ph="1">
        <v>211</v>
      </c>
      <c r="AO161" s="64" t="s" ph="1">
        <v>212</v>
      </c>
      <c r="AP161" s="64" t="s" ph="1">
        <v>210</v>
      </c>
      <c r="AQ161" s="64" t="s" ph="1">
        <v>211</v>
      </c>
      <c r="AR161" s="64" t="s" ph="1">
        <v>212</v>
      </c>
      <c r="AS161" s="64" t="s" ph="1">
        <v>210</v>
      </c>
      <c r="AT161" s="64" t="s" ph="1">
        <v>211</v>
      </c>
      <c r="AU161" s="64" t="s" ph="1">
        <v>212</v>
      </c>
      <c r="AV161" s="64" t="s" ph="1">
        <v>210</v>
      </c>
      <c r="AW161" s="64" t="s" ph="1">
        <v>211</v>
      </c>
      <c r="AX161" s="64" t="s" ph="1">
        <v>212</v>
      </c>
      <c r="AY161" s="64" t="s" ph="1">
        <v>211</v>
      </c>
      <c r="AZ161" s="64" t="s" ph="1">
        <v>213</v>
      </c>
    </row>
    <row r="162" spans="33:52" ph="1">
      <c r="AH162" s="64" ph="1">
        <v>1</v>
      </c>
      <c r="AI162" s="64" t="s" ph="1">
        <v>554</v>
      </c>
      <c r="AJ162" s="64" t="s" ph="1">
        <v>555</v>
      </c>
      <c r="AK162" s="64" t="s" ph="1">
        <v>499</v>
      </c>
      <c r="AM162" s="64" t="s" ph="1">
        <v>556</v>
      </c>
      <c r="AN162" s="64" t="s" ph="1">
        <v>220</v>
      </c>
      <c r="AO162" s="64" t="s" ph="1">
        <v>557</v>
      </c>
      <c r="AY162" s="64" t="s" ph="1">
        <v>216</v>
      </c>
      <c r="AZ162" s="64" t="s" ph="1">
        <v>292</v>
      </c>
    </row>
    <row r="163" spans="33:52" ph="1">
      <c r="AH163" s="64" ph="1">
        <v>2</v>
      </c>
      <c r="AI163" s="64" t="s" ph="1">
        <v>558</v>
      </c>
      <c r="AJ163" s="64" t="s" ph="1">
        <v>555</v>
      </c>
      <c r="AK163" s="64" t="s" ph="1">
        <v>388</v>
      </c>
      <c r="AY163" s="64" t="s" ph="1">
        <v>216</v>
      </c>
      <c r="AZ163" s="64" t="s" ph="1">
        <v>388</v>
      </c>
    </row>
    <row r="164" spans="33:52" ph="1">
      <c r="AH164" s="64" ph="1">
        <v>3</v>
      </c>
      <c r="AI164" s="64" t="s" ph="1">
        <v>559</v>
      </c>
      <c r="AJ164" s="64" t="s" ph="1">
        <v>555</v>
      </c>
      <c r="AK164" s="64" t="s" ph="1">
        <v>292</v>
      </c>
      <c r="AY164" s="64" t="s" ph="1">
        <v>216</v>
      </c>
      <c r="AZ164" s="64" t="s" ph="1">
        <v>292</v>
      </c>
    </row>
    <row r="165" spans="33:52" ph="1">
      <c r="AH165" s="64" ph="1">
        <v>4</v>
      </c>
      <c r="AI165" s="64" t="s" ph="1">
        <v>560</v>
      </c>
      <c r="AY165" s="64" t="s" ph="1">
        <v>216</v>
      </c>
      <c r="AZ165" s="64" t="s" ph="1">
        <v>367</v>
      </c>
    </row>
    <row r="166" spans="33:52" ph="1">
      <c r="AH166" s="64" ph="1">
        <v>5</v>
      </c>
      <c r="AI166" s="64" t="s" ph="1">
        <v>561</v>
      </c>
      <c r="AY166" s="64" t="s" ph="1">
        <v>216</v>
      </c>
      <c r="AZ166" s="64" t="s" ph="1">
        <v>367</v>
      </c>
    </row>
    <row r="167" spans="33:52" ph="1">
      <c r="AZ167" s="64" t="s" ph="1">
        <v>562</v>
      </c>
    </row>
    <row r="168" spans="33:52" ph="1">
      <c r="AG168" s="64" t="s" ph="1">
        <v>305</v>
      </c>
      <c r="AI168" s="64" t="s" ph="1">
        <v>209</v>
      </c>
      <c r="AJ168" s="64" t="s" ph="1">
        <v>210</v>
      </c>
      <c r="AK168" s="64" t="s" ph="1">
        <v>211</v>
      </c>
      <c r="AM168" s="64" t="s" ph="1">
        <v>210</v>
      </c>
      <c r="AN168" s="64" t="s" ph="1">
        <v>211</v>
      </c>
      <c r="AO168" s="64" t="s" ph="1">
        <v>212</v>
      </c>
      <c r="AP168" s="64" t="s" ph="1">
        <v>210</v>
      </c>
      <c r="AQ168" s="64" t="s" ph="1">
        <v>211</v>
      </c>
      <c r="AR168" s="64" t="s" ph="1">
        <v>212</v>
      </c>
      <c r="AS168" s="64" t="s" ph="1">
        <v>210</v>
      </c>
      <c r="AT168" s="64" t="s" ph="1">
        <v>211</v>
      </c>
      <c r="AU168" s="64" t="s" ph="1">
        <v>212</v>
      </c>
      <c r="AV168" s="64" t="s" ph="1">
        <v>210</v>
      </c>
      <c r="AW168" s="64" t="s" ph="1">
        <v>211</v>
      </c>
      <c r="AX168" s="64" t="s" ph="1">
        <v>212</v>
      </c>
      <c r="AY168" s="64" t="s" ph="1">
        <v>211</v>
      </c>
      <c r="AZ168" s="64" t="s" ph="1">
        <v>213</v>
      </c>
    </row>
    <row r="169" spans="33:52" ph="1">
      <c r="AH169" s="64" ph="1">
        <v>1</v>
      </c>
      <c r="AI169" s="64" t="s" ph="1">
        <v>563</v>
      </c>
      <c r="AY169" s="64" t="s" ph="1">
        <v>216</v>
      </c>
      <c r="AZ169" s="64" t="s" ph="1">
        <v>367</v>
      </c>
    </row>
    <row r="170" spans="33:52" ph="1">
      <c r="AH170" s="64" ph="1">
        <v>2</v>
      </c>
      <c r="AI170" s="64" t="s" ph="1">
        <v>564</v>
      </c>
      <c r="AY170" s="64" t="s" ph="1">
        <v>216</v>
      </c>
      <c r="AZ170" s="64" t="s" ph="1">
        <v>367</v>
      </c>
    </row>
    <row r="171" spans="33:52" ph="1">
      <c r="AH171" s="64" ph="1">
        <v>3</v>
      </c>
      <c r="AI171" s="64" t="s" ph="1">
        <v>565</v>
      </c>
      <c r="AY171" s="64" t="s" ph="1">
        <v>216</v>
      </c>
      <c r="AZ171" s="64" t="s" ph="1">
        <v>367</v>
      </c>
    </row>
    <row r="172" spans="33:52" ph="1">
      <c r="AH172" s="64" ph="1">
        <v>4</v>
      </c>
      <c r="AI172" s="64" t="s" ph="1">
        <v>566</v>
      </c>
      <c r="AY172" s="64" t="s" ph="1">
        <v>216</v>
      </c>
      <c r="AZ172" s="64" t="s" ph="1">
        <v>367</v>
      </c>
    </row>
    <row r="173" spans="33:52" ph="1">
      <c r="AH173" s="64" ph="1">
        <v>5</v>
      </c>
      <c r="AI173" s="64" t="s" ph="1">
        <v>567</v>
      </c>
      <c r="AY173" s="64" t="s" ph="1">
        <v>216</v>
      </c>
      <c r="AZ173" s="64" t="s" ph="1">
        <v>367</v>
      </c>
    </row>
    <row r="174" spans="33:52" ph="1">
      <c r="AZ174" s="64" t="s" ph="1">
        <v>385</v>
      </c>
    </row>
    <row r="175" spans="33:52" ph="1">
      <c r="AJ175" s="64" t="s" ph="1">
        <v>306</v>
      </c>
    </row>
    <row r="176" spans="33:52" ph="1">
      <c r="AJ176" s="64" t="s" ph="1">
        <v>307</v>
      </c>
      <c r="AK176" s="64" t="s" ph="1">
        <v>308</v>
      </c>
      <c r="AM176" s="64" t="s" ph="1">
        <v>309</v>
      </c>
      <c r="AO176" s="64" t="s" ph="1">
        <v>310</v>
      </c>
      <c r="AP176" s="64" t="s" ph="1">
        <v>311</v>
      </c>
      <c r="AQ176" s="64" t="s" ph="1">
        <v>301</v>
      </c>
      <c r="AR176" s="64" t="s" ph="1">
        <v>221</v>
      </c>
    </row>
    <row r="177" spans="36:56" ph="1">
      <c r="AJ177" s="64" t="s" ph="1">
        <v>603</v>
      </c>
      <c r="AK177" s="64" t="s" ph="1">
        <v>312</v>
      </c>
      <c r="AO177" s="64" t="s" ph="1">
        <v>312</v>
      </c>
      <c r="AP177" s="64" t="s" ph="1">
        <v>312</v>
      </c>
      <c r="AQ177" s="64" t="s" ph="1">
        <v>313</v>
      </c>
      <c r="AR177" s="64" t="s" ph="1">
        <v>314</v>
      </c>
    </row>
    <row r="179" spans="36:56" ph="1">
      <c r="AJ179" s="64" t="s" ph="1">
        <v>315</v>
      </c>
      <c r="AK179" s="64" t="s" ph="1">
        <v>316</v>
      </c>
      <c r="AM179" s="64" t="s" ph="1">
        <v>317</v>
      </c>
      <c r="AN179" s="64" t="s" ph="1">
        <v>293</v>
      </c>
      <c r="AO179" s="64" t="s" ph="1">
        <v>318</v>
      </c>
      <c r="AP179" s="64" t="s" ph="1">
        <v>297</v>
      </c>
      <c r="AQ179" s="64" t="s" ph="1">
        <v>319</v>
      </c>
      <c r="AR179" s="64" t="s" ph="1">
        <v>320</v>
      </c>
    </row>
    <row r="180" spans="36:56" ph="1">
      <c r="AJ180" s="64" t="s" ph="1">
        <v>312</v>
      </c>
      <c r="AK180" s="64" t="s" ph="1">
        <v>312</v>
      </c>
      <c r="AL180" s="64" ph="1">
        <v>116</v>
      </c>
      <c r="AM180" s="64" t="s" ph="1">
        <v>312</v>
      </c>
      <c r="AN180" s="64" t="s" ph="1">
        <v>321</v>
      </c>
      <c r="AO180" s="64" t="s" ph="1">
        <v>312</v>
      </c>
      <c r="AP180" s="64" t="s" ph="1">
        <v>322</v>
      </c>
      <c r="AQ180" s="64" t="s" ph="1">
        <v>323</v>
      </c>
      <c r="AR180" s="64" t="s" ph="1">
        <v>324</v>
      </c>
    </row>
    <row r="189" spans="36:56" ph="1">
      <c r="BD189" s="64" t="s" ph="1">
        <v>568</v>
      </c>
    </row>
    <row r="223" spans="18:18" ph="1">
      <c r="R223" s="135" ph="1">
        <v>45496</v>
      </c>
    </row>
  </sheetData>
  <mergeCells count="58">
    <mergeCell ref="Z22:AE22"/>
    <mergeCell ref="Z23:AE29"/>
    <mergeCell ref="B24:B26"/>
    <mergeCell ref="B27:B29"/>
    <mergeCell ref="B1:AE1"/>
    <mergeCell ref="B2:AE2"/>
    <mergeCell ref="B3:AE3"/>
    <mergeCell ref="B4:B5"/>
    <mergeCell ref="B6:B8"/>
    <mergeCell ref="B9:B11"/>
    <mergeCell ref="P31:R31"/>
    <mergeCell ref="B13:B14"/>
    <mergeCell ref="B15:B17"/>
    <mergeCell ref="B18:B20"/>
    <mergeCell ref="B22:B23"/>
    <mergeCell ref="B31:C32"/>
    <mergeCell ref="D31:F31"/>
    <mergeCell ref="G31:I31"/>
    <mergeCell ref="J31:L31"/>
    <mergeCell ref="M31:O31"/>
    <mergeCell ref="B33:C34"/>
    <mergeCell ref="D33:D34"/>
    <mergeCell ref="E33:E34"/>
    <mergeCell ref="F33:F34"/>
    <mergeCell ref="G33:G34"/>
    <mergeCell ref="S31:U31"/>
    <mergeCell ref="V31:X31"/>
    <mergeCell ref="Y31:AA31"/>
    <mergeCell ref="AB31:AE31"/>
    <mergeCell ref="AD32:AE32"/>
    <mergeCell ref="S33:S34"/>
    <mergeCell ref="H33:H34"/>
    <mergeCell ref="I33:I34"/>
    <mergeCell ref="J33:J34"/>
    <mergeCell ref="K33:K34"/>
    <mergeCell ref="L33:L34"/>
    <mergeCell ref="M33:M34"/>
    <mergeCell ref="N33:N34"/>
    <mergeCell ref="O33:O34"/>
    <mergeCell ref="P33:P34"/>
    <mergeCell ref="Q33:Q34"/>
    <mergeCell ref="R33:R34"/>
    <mergeCell ref="I36:J36"/>
    <mergeCell ref="R36:S36"/>
    <mergeCell ref="AB36:AC36"/>
    <mergeCell ref="AD36:AE36"/>
    <mergeCell ref="Z33:Z34"/>
    <mergeCell ref="AA33:AA34"/>
    <mergeCell ref="AB33:AB34"/>
    <mergeCell ref="AC33:AC34"/>
    <mergeCell ref="AD33:AE34"/>
    <mergeCell ref="AC35:AE35"/>
    <mergeCell ref="T33:T34"/>
    <mergeCell ref="U33:U34"/>
    <mergeCell ref="V33:V34"/>
    <mergeCell ref="W33:W34"/>
    <mergeCell ref="X33:X34"/>
    <mergeCell ref="Y33:Y34"/>
  </mergeCells>
  <phoneticPr fontId="2" type="noConversion"/>
  <conditionalFormatting sqref="D4:D11">
    <cfRule type="expression" dxfId="1728" priority="103">
      <formula>ABS(D$7-D$10)&gt;=1000</formula>
    </cfRule>
  </conditionalFormatting>
  <conditionalFormatting sqref="E4 E6:E11">
    <cfRule type="expression" dxfId="1727" priority="102">
      <formula>ABS(E$7-E$10)&gt;=1000</formula>
    </cfRule>
  </conditionalFormatting>
  <conditionalFormatting sqref="F4:F11">
    <cfRule type="expression" dxfId="1726" priority="101">
      <formula>ABS(F$7-F$10)&gt;=1000</formula>
    </cfRule>
  </conditionalFormatting>
  <conditionalFormatting sqref="G4:G11">
    <cfRule type="expression" dxfId="1725" priority="100">
      <formula>ABS(G$7-G$10)&gt;=1000</formula>
    </cfRule>
  </conditionalFormatting>
  <conditionalFormatting sqref="H4:H11">
    <cfRule type="expression" dxfId="1724" priority="99">
      <formula>ABS(H$7-H$10)&gt;=1000</formula>
    </cfRule>
  </conditionalFormatting>
  <conditionalFormatting sqref="I4:I11">
    <cfRule type="expression" dxfId="1723" priority="98">
      <formula>ABS(I$7-I$10)&gt;=1000</formula>
    </cfRule>
  </conditionalFormatting>
  <conditionalFormatting sqref="J4:J11">
    <cfRule type="expression" dxfId="1722" priority="97">
      <formula>ABS(J$7-J$10)&gt;=1000</formula>
    </cfRule>
  </conditionalFormatting>
  <conditionalFormatting sqref="K4:K11">
    <cfRule type="expression" dxfId="1721" priority="96">
      <formula>ABS(K$7-K$10)&gt;=1000</formula>
    </cfRule>
  </conditionalFormatting>
  <conditionalFormatting sqref="L4:L11">
    <cfRule type="expression" dxfId="1720" priority="95">
      <formula>ABS(L$7-L$10)&gt;=1000</formula>
    </cfRule>
  </conditionalFormatting>
  <conditionalFormatting sqref="M4 M6:M11">
    <cfRule type="expression" dxfId="1719" priority="94">
      <formula>ABS(M$7-M$10)&gt;=1000</formula>
    </cfRule>
  </conditionalFormatting>
  <conditionalFormatting sqref="N4 N6:N11">
    <cfRule type="expression" dxfId="1718" priority="93">
      <formula>ABS(N$7-N$10)&gt;=1000</formula>
    </cfRule>
  </conditionalFormatting>
  <conditionalFormatting sqref="O4 O6:O11">
    <cfRule type="expression" dxfId="1717" priority="92">
      <formula>ABS(O$7-O$10)&gt;=1000</formula>
    </cfRule>
  </conditionalFormatting>
  <conditionalFormatting sqref="P4 P6:P11">
    <cfRule type="expression" dxfId="1716" priority="91">
      <formula>ABS(P$7-P$10)&gt;=1000</formula>
    </cfRule>
  </conditionalFormatting>
  <conditionalFormatting sqref="Q4:Q11">
    <cfRule type="expression" dxfId="1715" priority="90">
      <formula>ABS(Q$7-Q$10)&gt;=1000</formula>
    </cfRule>
  </conditionalFormatting>
  <conditionalFormatting sqref="R4:R11">
    <cfRule type="expression" dxfId="1714" priority="89">
      <formula>ABS(R$7-R$10)&gt;=1000</formula>
    </cfRule>
  </conditionalFormatting>
  <conditionalFormatting sqref="S4:S11">
    <cfRule type="expression" dxfId="1713" priority="88">
      <formula>ABS(S$7-S$10)&gt;=1000</formula>
    </cfRule>
  </conditionalFormatting>
  <conditionalFormatting sqref="T4:T9 T11">
    <cfRule type="expression" dxfId="1712" priority="87">
      <formula>ABS(T$7-T$10)&gt;=1000</formula>
    </cfRule>
  </conditionalFormatting>
  <conditionalFormatting sqref="U4:U9 U11">
    <cfRule type="expression" dxfId="1711" priority="86">
      <formula>ABS(U$7-U$10)&gt;=1000</formula>
    </cfRule>
  </conditionalFormatting>
  <conditionalFormatting sqref="V4:V9 V11">
    <cfRule type="expression" dxfId="1710" priority="85">
      <formula>ABS(V$7-V$10)&gt;=1000</formula>
    </cfRule>
  </conditionalFormatting>
  <conditionalFormatting sqref="W4:W9 W11">
    <cfRule type="expression" dxfId="1709" priority="84">
      <formula>ABS(W$7-W$10)&gt;=1000</formula>
    </cfRule>
  </conditionalFormatting>
  <conditionalFormatting sqref="X4:X9 X11">
    <cfRule type="expression" dxfId="1708" priority="83">
      <formula>ABS(X$7-X$10)&gt;=1000</formula>
    </cfRule>
  </conditionalFormatting>
  <conditionalFormatting sqref="Y4:Y9 Y11">
    <cfRule type="expression" dxfId="1707" priority="82">
      <formula>ABS(Y$7-Y$10)&gt;=1000</formula>
    </cfRule>
  </conditionalFormatting>
  <conditionalFormatting sqref="Z4:Z11">
    <cfRule type="expression" dxfId="1706" priority="81">
      <formula>ABS(Z$7-Z$10)&gt;=1000</formula>
    </cfRule>
  </conditionalFormatting>
  <conditionalFormatting sqref="AA4:AA11">
    <cfRule type="expression" dxfId="1705" priority="80">
      <formula>ABS(AA$7-AA$10)&gt;=1000</formula>
    </cfRule>
  </conditionalFormatting>
  <conditionalFormatting sqref="AB4:AB11">
    <cfRule type="expression" dxfId="1704" priority="79">
      <formula>ABS(AB$7-AB$10)&gt;=1000</formula>
    </cfRule>
  </conditionalFormatting>
  <conditionalFormatting sqref="AC4 AC6:AC11">
    <cfRule type="expression" dxfId="1703" priority="78">
      <formula>ABS(AC$7-AC$10)&gt;=1000</formula>
    </cfRule>
  </conditionalFormatting>
  <conditionalFormatting sqref="AD4 AD6:AD11">
    <cfRule type="expression" dxfId="1702" priority="77">
      <formula>ABS(AD$7-AD$10)&gt;=1000</formula>
    </cfRule>
  </conditionalFormatting>
  <conditionalFormatting sqref="AE4 AE6:AE11">
    <cfRule type="expression" dxfId="1701" priority="76">
      <formula>ABS(AE$7-AE$10)&gt;=1000</formula>
    </cfRule>
  </conditionalFormatting>
  <conditionalFormatting sqref="D13:D20">
    <cfRule type="expression" dxfId="1700" priority="75">
      <formula>ABS(D$16-D$19)&gt;=1000</formula>
    </cfRule>
  </conditionalFormatting>
  <conditionalFormatting sqref="E13:E20">
    <cfRule type="expression" dxfId="1699" priority="74">
      <formula>ABS(E$16-E$19)&gt;=1000</formula>
    </cfRule>
  </conditionalFormatting>
  <conditionalFormatting sqref="F13 F15:F20">
    <cfRule type="expression" dxfId="1698" priority="73">
      <formula>ABS(F$16-F$19)&gt;=1000</formula>
    </cfRule>
  </conditionalFormatting>
  <conditionalFormatting sqref="G13:G20">
    <cfRule type="expression" dxfId="1697" priority="72">
      <formula>ABS(G$16-G$19)&gt;=1000</formula>
    </cfRule>
  </conditionalFormatting>
  <conditionalFormatting sqref="H13 H15:H20">
    <cfRule type="expression" dxfId="1696" priority="71">
      <formula>ABS(H$16-H$19)&gt;=1000</formula>
    </cfRule>
  </conditionalFormatting>
  <conditionalFormatting sqref="I13:I20">
    <cfRule type="expression" dxfId="1695" priority="70">
      <formula>ABS(I$16-I$19)&gt;=1000</formula>
    </cfRule>
  </conditionalFormatting>
  <conditionalFormatting sqref="J13:J20">
    <cfRule type="expression" dxfId="1694" priority="69">
      <formula>ABS(J$16-J$19)&gt;=1000</formula>
    </cfRule>
  </conditionalFormatting>
  <conditionalFormatting sqref="L13:L20">
    <cfRule type="expression" dxfId="1693" priority="68">
      <formula>ABS(L$16-L$19)&gt;=1000</formula>
    </cfRule>
  </conditionalFormatting>
  <conditionalFormatting sqref="M13 M15 M17:M18 M20">
    <cfRule type="expression" dxfId="1692" priority="67">
      <formula>ABS(M$16-M$19)&gt;=1000</formula>
    </cfRule>
  </conditionalFormatting>
  <conditionalFormatting sqref="N13:N20">
    <cfRule type="expression" dxfId="1691" priority="66">
      <formula>ABS(N$16-N$19)&gt;=1000</formula>
    </cfRule>
  </conditionalFormatting>
  <conditionalFormatting sqref="O13:O20">
    <cfRule type="expression" dxfId="1690" priority="65">
      <formula>ABS(O$16-O$19)&gt;=1000</formula>
    </cfRule>
  </conditionalFormatting>
  <conditionalFormatting sqref="P13:P20">
    <cfRule type="expression" dxfId="1689" priority="64">
      <formula>ABS(P$16-P$19)&gt;=1000</formula>
    </cfRule>
  </conditionalFormatting>
  <conditionalFormatting sqref="Q13 Q15:Q20">
    <cfRule type="expression" dxfId="1688" priority="63">
      <formula>ABS(Q$16-Q$19)&gt;=1000</formula>
    </cfRule>
  </conditionalFormatting>
  <conditionalFormatting sqref="R13 R15:R20">
    <cfRule type="expression" dxfId="1687" priority="62">
      <formula>ABS(R$16-R$19)&gt;=1000</formula>
    </cfRule>
  </conditionalFormatting>
  <conditionalFormatting sqref="S13:S20">
    <cfRule type="expression" dxfId="1686" priority="61">
      <formula>ABS(S$16-S$19)&gt;=1000</formula>
    </cfRule>
  </conditionalFormatting>
  <conditionalFormatting sqref="T13:T15 T17:T20">
    <cfRule type="expression" dxfId="1685" priority="60">
      <formula>ABS(T$16-T$19)&gt;=1000</formula>
    </cfRule>
  </conditionalFormatting>
  <conditionalFormatting sqref="U13:U20">
    <cfRule type="expression" dxfId="1684" priority="59">
      <formula>ABS(U$16-U$19)&gt;=1000</formula>
    </cfRule>
  </conditionalFormatting>
  <conditionalFormatting sqref="V13:V20">
    <cfRule type="expression" dxfId="1683" priority="58">
      <formula>ABS(V$16-V$19)&gt;=1000</formula>
    </cfRule>
  </conditionalFormatting>
  <conditionalFormatting sqref="W13 W20 W15:W18">
    <cfRule type="expression" dxfId="1682" priority="57">
      <formula>ABS(W$16-W$19)&gt;=1000</formula>
    </cfRule>
  </conditionalFormatting>
  <conditionalFormatting sqref="X13 X15:X20 Y19">
    <cfRule type="expression" dxfId="1681" priority="56">
      <formula>ABS(X$16-X$19)&gt;=1000</formula>
    </cfRule>
  </conditionalFormatting>
  <conditionalFormatting sqref="Y13 Y15:Y18 Y20">
    <cfRule type="expression" dxfId="1680" priority="55">
      <formula>ABS(Y$16-Y$19)&gt;=1000</formula>
    </cfRule>
  </conditionalFormatting>
  <conditionalFormatting sqref="Z13:Z20">
    <cfRule type="expression" dxfId="1679" priority="54">
      <formula>ABS(Z$16-Z$19)&gt;=1000</formula>
    </cfRule>
  </conditionalFormatting>
  <conditionalFormatting sqref="AA13:AA20">
    <cfRule type="expression" dxfId="1678" priority="53">
      <formula>ABS(AA$16-AA$19)&gt;=1000</formula>
    </cfRule>
  </conditionalFormatting>
  <conditionalFormatting sqref="AB13 AB15:AB20">
    <cfRule type="expression" dxfId="1677" priority="52">
      <formula>ABS(AB$16-AB$19)&gt;=1000</formula>
    </cfRule>
  </conditionalFormatting>
  <conditionalFormatting sqref="AC13 AC15:AC20">
    <cfRule type="expression" dxfId="1676" priority="51">
      <formula>ABS(AC$16-AC$19)&gt;=1000</formula>
    </cfRule>
  </conditionalFormatting>
  <conditionalFormatting sqref="AD13:AD20">
    <cfRule type="expression" dxfId="1675" priority="50">
      <formula>ABS(AD$16-AD$19)&gt;=1000</formula>
    </cfRule>
  </conditionalFormatting>
  <conditionalFormatting sqref="AE13:AE20">
    <cfRule type="expression" dxfId="1674" priority="49">
      <formula>ABS(AE$16-AE$19)&gt;=1000</formula>
    </cfRule>
  </conditionalFormatting>
  <conditionalFormatting sqref="D22:D29">
    <cfRule type="expression" dxfId="1673" priority="48">
      <formula>ABS(D$25-D$28)&gt;=1000</formula>
    </cfRule>
  </conditionalFormatting>
  <conditionalFormatting sqref="E22:E29">
    <cfRule type="expression" dxfId="1672" priority="47">
      <formula>ABS(E$25-E$28)&gt;=1000</formula>
    </cfRule>
  </conditionalFormatting>
  <conditionalFormatting sqref="F22:F29">
    <cfRule type="expression" dxfId="1671" priority="46">
      <formula>ABS(F$25-F$28)&gt;=1000</formula>
    </cfRule>
  </conditionalFormatting>
  <conditionalFormatting sqref="G22:G29">
    <cfRule type="expression" dxfId="1670" priority="45">
      <formula>ABS(G$25-G$28)&gt;=1000</formula>
    </cfRule>
  </conditionalFormatting>
  <conditionalFormatting sqref="H22:H29">
    <cfRule type="expression" dxfId="1669" priority="44">
      <formula>ABS(H$25-H$28)&gt;=1000</formula>
    </cfRule>
  </conditionalFormatting>
  <conditionalFormatting sqref="I22 I24:I29">
    <cfRule type="expression" dxfId="1668" priority="43">
      <formula>ABS(I$25-I$28)&gt;=1000</formula>
    </cfRule>
  </conditionalFormatting>
  <conditionalFormatting sqref="J22:J29 K22">
    <cfRule type="expression" dxfId="1667" priority="42">
      <formula>ABS(J$25-J$28)&gt;=1000</formula>
    </cfRule>
  </conditionalFormatting>
  <conditionalFormatting sqref="K23:K29 L25 L28">
    <cfRule type="expression" dxfId="1666" priority="41">
      <formula>ABS(K$25-K$28)&gt;=1000</formula>
    </cfRule>
  </conditionalFormatting>
  <conditionalFormatting sqref="L22 L26:L27 L29 L24">
    <cfRule type="expression" dxfId="1665" priority="40">
      <formula>ABS(L$25-L$28)&gt;=1000</formula>
    </cfRule>
  </conditionalFormatting>
  <conditionalFormatting sqref="M22:M29">
    <cfRule type="expression" dxfId="1664" priority="39">
      <formula>ABS(M$25-M$28)&gt;=1000</formula>
    </cfRule>
  </conditionalFormatting>
  <conditionalFormatting sqref="N22:N29">
    <cfRule type="expression" dxfId="1663" priority="38">
      <formula>ABS(N$25-N$28)&gt;=1000</formula>
    </cfRule>
  </conditionalFormatting>
  <conditionalFormatting sqref="O22 O24:O29">
    <cfRule type="expression" dxfId="1662" priority="37">
      <formula>ABS(O$25-O$28)&gt;=1000</formula>
    </cfRule>
  </conditionalFormatting>
  <conditionalFormatting sqref="P22:P29">
    <cfRule type="expression" dxfId="1661" priority="36">
      <formula>ABS(P$25-P$28)&gt;=1000</formula>
    </cfRule>
  </conditionalFormatting>
  <conditionalFormatting sqref="Q22:Q29">
    <cfRule type="expression" dxfId="1660" priority="35">
      <formula>ABS(Q$25-Q$28)&gt;=1000</formula>
    </cfRule>
  </conditionalFormatting>
  <conditionalFormatting sqref="R22:R29">
    <cfRule type="expression" dxfId="1659" priority="34">
      <formula>ABS(R$25-R$28)&gt;=1000</formula>
    </cfRule>
  </conditionalFormatting>
  <conditionalFormatting sqref="S22:S29">
    <cfRule type="expression" dxfId="1658" priority="33">
      <formula>ABS(S$25-S$28)&gt;=1000</formula>
    </cfRule>
  </conditionalFormatting>
  <conditionalFormatting sqref="T22:T29">
    <cfRule type="expression" dxfId="1657" priority="32">
      <formula>ABS(T$25-T$28)&gt;=1000</formula>
    </cfRule>
  </conditionalFormatting>
  <conditionalFormatting sqref="U22:U29">
    <cfRule type="expression" dxfId="1656" priority="31">
      <formula>ABS(U$25-U$28)&gt;=1000</formula>
    </cfRule>
  </conditionalFormatting>
  <conditionalFormatting sqref="V22:V29">
    <cfRule type="expression" dxfId="1655" priority="30">
      <formula>ABS(V$25-V$28)&gt;=1000</formula>
    </cfRule>
  </conditionalFormatting>
  <conditionalFormatting sqref="W22:W29">
    <cfRule type="expression" dxfId="1654" priority="29">
      <formula>ABS(W$25-W$28)&gt;=1000</formula>
    </cfRule>
  </conditionalFormatting>
  <conditionalFormatting sqref="X22:X29">
    <cfRule type="expression" dxfId="1653" priority="28">
      <formula>ABS(X$25-X$28)&gt;=1000</formula>
    </cfRule>
  </conditionalFormatting>
  <conditionalFormatting sqref="Y22:Y29">
    <cfRule type="expression" dxfId="1652" priority="27">
      <formula>ABS(Y$25-Y$28)&gt;=1000</formula>
    </cfRule>
  </conditionalFormatting>
  <conditionalFormatting sqref="I23">
    <cfRule type="expression" dxfId="1651" priority="26">
      <formula>ABS(I$25-I$28)&gt;=1000</formula>
    </cfRule>
  </conditionalFormatting>
  <conditionalFormatting sqref="Q14">
    <cfRule type="expression" dxfId="1650" priority="25">
      <formula>ABS(Q$16-Q$19)&gt;=1000</formula>
    </cfRule>
  </conditionalFormatting>
  <conditionalFormatting sqref="W14">
    <cfRule type="expression" dxfId="1649" priority="24">
      <formula>ABS(W$16-W$19)&gt;=1000</formula>
    </cfRule>
  </conditionalFormatting>
  <conditionalFormatting sqref="X14">
    <cfRule type="expression" dxfId="1648" priority="23">
      <formula>ABS(X$16-X$19)&gt;=1000</formula>
    </cfRule>
  </conditionalFormatting>
  <conditionalFormatting sqref="T10:Y10">
    <cfRule type="expression" dxfId="1647" priority="22">
      <formula>ABS(T$7-T$10)&gt;=1000</formula>
    </cfRule>
  </conditionalFormatting>
  <conditionalFormatting sqref="W19">
    <cfRule type="expression" dxfId="1646" priority="21">
      <formula>ABS(W$16-W$19)&gt;=1000</formula>
    </cfRule>
  </conditionalFormatting>
  <conditionalFormatting sqref="AC5">
    <cfRule type="expression" dxfId="1645" priority="20">
      <formula>ABS(AC$7-AC$10)&gt;=1000</formula>
    </cfRule>
  </conditionalFormatting>
  <conditionalFormatting sqref="M14">
    <cfRule type="expression" dxfId="1644" priority="19">
      <formula>ABS(M$16-M$19)&gt;=1000</formula>
    </cfRule>
  </conditionalFormatting>
  <conditionalFormatting sqref="M16">
    <cfRule type="expression" dxfId="1643" priority="18">
      <formula>ABS(M$16-M$19)&gt;=1000</formula>
    </cfRule>
  </conditionalFormatting>
  <conditionalFormatting sqref="M19">
    <cfRule type="expression" dxfId="1642" priority="17">
      <formula>ABS(M$16-M$19)&gt;=1000</formula>
    </cfRule>
  </conditionalFormatting>
  <conditionalFormatting sqref="K13:K20">
    <cfRule type="expression" dxfId="1641" priority="16">
      <formula>ABS(K$16-K$19)&gt;=1000</formula>
    </cfRule>
  </conditionalFormatting>
  <conditionalFormatting sqref="E5">
    <cfRule type="expression" dxfId="1640" priority="15">
      <formula>ABS(E$7-E$10)&gt;=1000</formula>
    </cfRule>
  </conditionalFormatting>
  <conditionalFormatting sqref="AB14:AC14">
    <cfRule type="expression" dxfId="1639" priority="14">
      <formula>ABS(AB$16-AB$19)&gt;=1000</formula>
    </cfRule>
  </conditionalFormatting>
  <conditionalFormatting sqref="M5">
    <cfRule type="expression" dxfId="1638" priority="13">
      <formula>ABS(M$7-M$10)&gt;=1000</formula>
    </cfRule>
  </conditionalFormatting>
  <conditionalFormatting sqref="N5">
    <cfRule type="expression" dxfId="1637" priority="12">
      <formula>ABS(N$7-N$10)&gt;=1000</formula>
    </cfRule>
  </conditionalFormatting>
  <conditionalFormatting sqref="O5">
    <cfRule type="expression" dxfId="1636" priority="11">
      <formula>ABS(O$7-O$10)&gt;=1000</formula>
    </cfRule>
  </conditionalFormatting>
  <conditionalFormatting sqref="P5">
    <cfRule type="expression" dxfId="1635" priority="10">
      <formula>ABS(P$7-P$10)&gt;=1000</formula>
    </cfRule>
  </conditionalFormatting>
  <conditionalFormatting sqref="L23">
    <cfRule type="expression" dxfId="1634" priority="9">
      <formula>ABS(L$25-L$28)&gt;=1000</formula>
    </cfRule>
  </conditionalFormatting>
  <conditionalFormatting sqref="Y14">
    <cfRule type="expression" dxfId="1633" priority="8">
      <formula>ABS(Y$16-Y$19)&gt;=1000</formula>
    </cfRule>
  </conditionalFormatting>
  <conditionalFormatting sqref="H14">
    <cfRule type="expression" dxfId="1632" priority="7">
      <formula>ABS(H$16-H$19)&gt;=1000</formula>
    </cfRule>
  </conditionalFormatting>
  <conditionalFormatting sqref="AD5">
    <cfRule type="expression" dxfId="1631" priority="6">
      <formula>ABS(AD$7-AD$10)&gt;=1000</formula>
    </cfRule>
  </conditionalFormatting>
  <conditionalFormatting sqref="AE5">
    <cfRule type="expression" dxfId="1630" priority="5">
      <formula>ABS(AE$7-AE$10)&gt;=1000</formula>
    </cfRule>
  </conditionalFormatting>
  <conditionalFormatting sqref="T16">
    <cfRule type="expression" dxfId="1629" priority="4">
      <formula>ABS(T$16-T$19)&gt;=1000</formula>
    </cfRule>
  </conditionalFormatting>
  <conditionalFormatting sqref="F14">
    <cfRule type="expression" dxfId="1628" priority="3">
      <formula>ABS(F$16-F$19)&gt;=1000</formula>
    </cfRule>
  </conditionalFormatting>
  <conditionalFormatting sqref="R14">
    <cfRule type="expression" dxfId="1627" priority="2">
      <formula>ABS(R$16-R$19)&gt;=1000</formula>
    </cfRule>
  </conditionalFormatting>
  <conditionalFormatting sqref="O23">
    <cfRule type="expression" dxfId="1626" priority="1">
      <formula>ABS(O$25-O$28)&gt;=1000</formula>
    </cfRule>
  </conditionalFormatting>
  <dataValidations count="1">
    <dataValidation operator="greaterThanOrEqual" allowBlank="1" showErrorMessage="1" sqref="D6"/>
  </dataValidations>
  <printOptions horizontalCentered="1"/>
  <pageMargins left="0.39370078740157483" right="0.39370078740157483" top="0.39370078740157483" bottom="0.39370078740157483" header="0.51181102362204722" footer="0.51181102362204722"/>
  <pageSetup paperSize="9" scale="60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2433" r:id="rId4" name="Button 1">
              <controlPr defaultSize="0" print="0" autoFill="0" autoPict="0">
                <anchor moveWithCells="1">
                  <from>
                    <xdr:col>31</xdr:col>
                    <xdr:colOff>0</xdr:colOff>
                    <xdr:row>0</xdr:row>
                    <xdr:rowOff>342900</xdr:rowOff>
                  </from>
                  <to>
                    <xdr:col>32</xdr:col>
                    <xdr:colOff>411480</xdr:colOff>
                    <xdr:row>3</xdr:row>
                    <xdr:rowOff>30480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974">
    <pageSetUpPr fitToPage="1"/>
  </sheetPr>
  <dimension ref="A1:CU223"/>
  <sheetViews>
    <sheetView view="pageBreakPreview" topLeftCell="B1" zoomScale="85" zoomScaleNormal="100" zoomScaleSheetLayoutView="85" workbookViewId="0">
      <selection activeCell="Z23" sqref="Z23:AE29"/>
    </sheetView>
  </sheetViews>
  <sheetFormatPr defaultColWidth="8.109375" defaultRowHeight="25.8"/>
  <cols>
    <col min="1" max="1" width="11.6640625" style="64" customWidth="1" phonetic="1"/>
    <col min="2" max="2" width="7.6640625" style="64" customWidth="1" phonetic="1"/>
    <col min="3" max="3" width="8" style="64" customWidth="1" phonetic="1"/>
    <col min="4" max="8" width="7.6640625" style="64" customWidth="1" phonetic="1"/>
    <col min="9" max="9" width="8" style="64" customWidth="1" phonetic="1"/>
    <col min="10" max="12" width="7.6640625" style="64" customWidth="1" phonetic="1"/>
    <col min="13" max="13" width="7.77734375" style="64" bestFit="1" customWidth="1" phonetic="1"/>
    <col min="14" max="30" width="7.6640625" style="64" customWidth="1" phonetic="1"/>
    <col min="31" max="31" width="7.6640625" style="75" customWidth="1" phonetic="1"/>
    <col min="32" max="32" width="11.6640625" style="64" bestFit="1" customWidth="1" phonetic="1"/>
    <col min="33" max="33" width="22.109375" style="64" customWidth="1" phonetic="1"/>
    <col min="34" max="34" width="5.6640625" style="64" customWidth="1" phonetic="1"/>
    <col min="35" max="35" width="18.21875" style="64" customWidth="1" phonetic="1"/>
    <col min="36" max="36" width="12" style="64" bestFit="1" customWidth="1" phonetic="1"/>
    <col min="37" max="37" width="11.6640625" style="64" bestFit="1" customWidth="1" phonetic="1"/>
    <col min="38" max="38" width="5.6640625" style="64" customWidth="1" phonetic="1"/>
    <col min="39" max="39" width="11.44140625" style="64" bestFit="1" customWidth="1" phonetic="1"/>
    <col min="40" max="40" width="6.21875" style="64" customWidth="1" phonetic="1"/>
    <col min="41" max="41" width="8.6640625" style="64" customWidth="1" phonetic="1"/>
    <col min="42" max="42" width="11.21875" style="64" customWidth="1" phonetic="1"/>
    <col min="43" max="43" width="11.77734375" style="64" customWidth="1" phonetic="1"/>
    <col min="44" max="44" width="11.21875" style="64" customWidth="1" phonetic="1"/>
    <col min="45" max="45" width="11.21875" style="64" bestFit="1" customWidth="1" phonetic="1"/>
    <col min="46" max="46" width="41.77734375" style="64" customWidth="1" phonetic="1"/>
    <col min="47" max="47" width="7.77734375" style="64" customWidth="1" phonetic="1"/>
    <col min="48" max="48" width="17.109375" style="64" customWidth="1" phonetic="1"/>
    <col min="49" max="49" width="6.21875" style="64" customWidth="1" phonetic="1"/>
    <col min="50" max="50" width="10" style="64" customWidth="1" phonetic="1"/>
    <col min="51" max="51" width="6.21875" style="64" customWidth="1" phonetic="1"/>
    <col min="52" max="52" width="6.88671875" style="64" customWidth="1" phonetic="1"/>
    <col min="53" max="53" width="6.44140625" style="64" customWidth="1" phonetic="1"/>
    <col min="54" max="54" width="15.44140625" style="64" customWidth="1" phonetic="1"/>
    <col min="55" max="55" width="6.21875" style="64" customWidth="1" phonetic="1"/>
    <col min="56" max="56" width="22.109375" style="64" bestFit="1" customWidth="1" phonetic="1"/>
    <col min="57" max="57" width="6.44140625" style="64" customWidth="1" phonetic="1"/>
    <col min="58" max="60" width="6.21875" style="64" customWidth="1" phonetic="1"/>
    <col min="61" max="16384" width="8.109375" style="64" phonetic="1"/>
  </cols>
  <sheetData>
    <row r="1" spans="1:99" ht="31.2" ph="1">
      <c r="A1" s="64"/>
      <c r="B1" s="238" t="s" ph="1">
        <v>161</v>
      </c>
      <c r="C1" s="238" ph="1"/>
      <c r="D1" s="238" ph="1"/>
      <c r="E1" s="238" ph="1"/>
      <c r="F1" s="238" ph="1"/>
      <c r="G1" s="238" ph="1"/>
      <c r="H1" s="238" ph="1"/>
      <c r="I1" s="238" ph="1"/>
      <c r="J1" s="238" ph="1"/>
      <c r="K1" s="238" ph="1"/>
      <c r="L1" s="238" ph="1"/>
      <c r="M1" s="238" ph="1"/>
      <c r="N1" s="238" ph="1"/>
      <c r="O1" s="238" ph="1"/>
      <c r="P1" s="238" ph="1"/>
      <c r="Q1" s="238" ph="1"/>
      <c r="R1" s="238" ph="1"/>
      <c r="S1" s="238" ph="1"/>
      <c r="T1" s="238" ph="1"/>
      <c r="U1" s="238" ph="1"/>
      <c r="V1" s="238" ph="1"/>
      <c r="W1" s="238" ph="1"/>
      <c r="X1" s="238" ph="1"/>
      <c r="Y1" s="238" ph="1"/>
      <c r="Z1" s="238" ph="1"/>
      <c r="AA1" s="238" ph="1"/>
      <c r="AB1" s="238" ph="1"/>
      <c r="AC1" s="238" ph="1"/>
      <c r="AD1" s="238" ph="1"/>
      <c r="AE1" s="238" ph="1"/>
    </row>
    <row r="2" spans="1:99" s="66" customFormat="1" ht="24" customHeight="1" ph="1">
      <c r="B2" s="239" t="s" ph="1">
        <v>82</v>
      </c>
      <c r="C2" s="239" ph="1"/>
      <c r="D2" s="239" ph="1"/>
      <c r="E2" s="239" ph="1"/>
      <c r="F2" s="239" ph="1"/>
      <c r="G2" s="239" ph="1"/>
      <c r="H2" s="239" ph="1"/>
      <c r="I2" s="239" ph="1"/>
      <c r="J2" s="239" ph="1"/>
      <c r="K2" s="239" ph="1"/>
      <c r="L2" s="239" ph="1"/>
      <c r="M2" s="239" ph="1"/>
      <c r="N2" s="239" ph="1"/>
      <c r="O2" s="239" ph="1"/>
      <c r="P2" s="239" ph="1"/>
      <c r="Q2" s="239" ph="1"/>
      <c r="R2" s="239" ph="1"/>
      <c r="S2" s="239" ph="1"/>
      <c r="T2" s="239" ph="1"/>
      <c r="U2" s="239" ph="1"/>
      <c r="V2" s="239" ph="1"/>
      <c r="W2" s="239" ph="1"/>
      <c r="X2" s="239" ph="1"/>
      <c r="Y2" s="239" ph="1"/>
      <c r="Z2" s="239" ph="1"/>
      <c r="AA2" s="239" ph="1"/>
      <c r="AB2" s="239" ph="1"/>
      <c r="AC2" s="239" ph="1"/>
      <c r="AD2" s="239" ph="1"/>
      <c r="AE2" s="239" ph="1"/>
    </row>
    <row r="3" spans="1:99" ht="21" customHeight="1" ph="1">
      <c r="B3" s="240" ph="1">
        <v>46276</v>
      </c>
      <c r="C3" s="240"/>
      <c r="D3" s="240"/>
      <c r="E3" s="240"/>
      <c r="F3" s="240"/>
      <c r="G3" s="240"/>
      <c r="H3" s="240"/>
      <c r="I3" s="240"/>
      <c r="J3" s="240"/>
      <c r="K3" s="240"/>
      <c r="L3" s="240"/>
      <c r="M3" s="240"/>
      <c r="N3" s="240"/>
      <c r="O3" s="240"/>
      <c r="P3" s="240"/>
      <c r="Q3" s="240"/>
      <c r="R3" s="240"/>
      <c r="S3" s="240"/>
      <c r="T3" s="240"/>
      <c r="U3" s="240"/>
      <c r="V3" s="240"/>
      <c r="W3" s="240"/>
      <c r="X3" s="240"/>
      <c r="Y3" s="240"/>
      <c r="Z3" s="240"/>
      <c r="AA3" s="240"/>
      <c r="AB3" s="240"/>
      <c r="AC3" s="240"/>
      <c r="AD3" s="240"/>
      <c r="AE3" s="240"/>
    </row>
    <row r="4" spans="1:99" s="69" customFormat="1" ph="1">
      <c r="A4" s="65" ph="1"/>
      <c r="B4" s="219" t="s" ph="1">
        <v>37</v>
      </c>
      <c r="C4" s="67" t="s" ph="1">
        <v>176</v>
      </c>
      <c r="D4" s="68" t="s" ph="1">
        <v>44</v>
      </c>
      <c r="E4" s="68" t="s" ph="1">
        <v>45</v>
      </c>
      <c r="F4" s="68" t="s" ph="1">
        <v>39</v>
      </c>
      <c r="G4" s="68" t="s" ph="1">
        <v>46</v>
      </c>
      <c r="H4" s="68" t="s" ph="1">
        <v>47</v>
      </c>
      <c r="I4" s="68" t="s" ph="1">
        <v>110</v>
      </c>
      <c r="J4" s="68" t="s" ph="1">
        <v>48</v>
      </c>
      <c r="K4" s="68" t="s" ph="1">
        <v>111</v>
      </c>
      <c r="L4" s="68" t="s" ph="1">
        <v>112</v>
      </c>
      <c r="M4" s="68" t="s" ph="1">
        <v>49</v>
      </c>
      <c r="N4" s="68" t="s" ph="1">
        <v>50</v>
      </c>
      <c r="O4" s="68" t="s" ph="1">
        <v>113</v>
      </c>
      <c r="P4" s="68" t="s" ph="1">
        <v>114</v>
      </c>
      <c r="Q4" s="68" t="s" ph="1">
        <v>115</v>
      </c>
      <c r="R4" s="68" t="s" ph="1">
        <v>116</v>
      </c>
      <c r="S4" s="68" t="s" ph="1">
        <v>117</v>
      </c>
      <c r="T4" s="68" t="s" ph="1">
        <v>118</v>
      </c>
      <c r="U4" s="68" t="s" ph="1">
        <v>119</v>
      </c>
      <c r="V4" s="68" t="s" ph="1">
        <v>120</v>
      </c>
      <c r="W4" s="68" t="s" ph="1">
        <v>121</v>
      </c>
      <c r="X4" s="68" t="s" ph="1">
        <v>122</v>
      </c>
      <c r="Y4" s="68" t="s" ph="1">
        <v>123</v>
      </c>
      <c r="Z4" s="68" t="s" ph="1">
        <v>51</v>
      </c>
      <c r="AA4" s="68" t="s" ph="1">
        <v>124</v>
      </c>
      <c r="AB4" s="68" t="s" ph="1">
        <v>125</v>
      </c>
      <c r="AC4" s="68" t="s" ph="1">
        <v>126</v>
      </c>
      <c r="AD4" s="68" t="s" ph="1">
        <v>40</v>
      </c>
      <c r="AE4" s="68" t="s" ph="1">
        <v>127</v>
      </c>
      <c r="AF4" s="65" ph="1"/>
      <c r="AG4" s="65" ph="1"/>
      <c r="AH4" s="65" ph="1"/>
      <c r="AI4" s="65" ph="1"/>
      <c r="AJ4" s="65" ph="1"/>
      <c r="AK4" s="65" ph="1"/>
      <c r="AL4" s="65" ph="1"/>
      <c r="AM4" s="65" ph="1"/>
      <c r="AN4" s="65" ph="1"/>
      <c r="AO4" s="65" ph="1"/>
      <c r="AP4" s="65" ph="1"/>
      <c r="AQ4" s="65" ph="1"/>
      <c r="AR4" s="65" ph="1"/>
      <c r="AS4" s="65" ph="1"/>
      <c r="AT4" s="65" ph="1"/>
      <c r="AU4" s="65" ph="1"/>
      <c r="AV4" s="65" ph="1"/>
      <c r="AW4" s="65" ph="1"/>
      <c r="AX4" s="65" ph="1"/>
      <c r="AY4" s="65" ph="1"/>
      <c r="AZ4" s="65" ph="1"/>
      <c r="BA4" s="65" ph="1"/>
      <c r="BB4" s="65" ph="1"/>
      <c r="BC4" s="65" ph="1"/>
      <c r="BD4" s="65" ph="1"/>
      <c r="BE4" s="65" ph="1"/>
      <c r="BF4" s="65" ph="1"/>
      <c r="BG4" s="65" ph="1"/>
      <c r="BH4" s="65" ph="1"/>
      <c r="BI4" s="65" ph="1"/>
      <c r="BJ4" s="65" ph="1"/>
      <c r="BK4" s="65" ph="1"/>
      <c r="BL4" s="65" ph="1"/>
      <c r="BM4" s="65" ph="1"/>
      <c r="BN4" s="65" ph="1"/>
      <c r="BO4" s="65" ph="1"/>
      <c r="BP4" s="65" ph="1"/>
      <c r="BQ4" s="65" ph="1"/>
      <c r="BR4" s="65" ph="1"/>
      <c r="BS4" s="65" ph="1"/>
      <c r="BT4" s="65" ph="1"/>
      <c r="BU4" s="65" ph="1"/>
      <c r="BV4" s="65" ph="1"/>
      <c r="BW4" s="65" ph="1"/>
      <c r="BX4" s="65" ph="1"/>
      <c r="BY4" s="65" ph="1"/>
      <c r="BZ4" s="65" ph="1"/>
      <c r="CA4" s="65" ph="1"/>
      <c r="CB4" s="65" ph="1"/>
      <c r="CC4" s="65" ph="1"/>
      <c r="CD4" s="65" ph="1"/>
      <c r="CE4" s="65" ph="1"/>
      <c r="CF4" s="65" ph="1"/>
      <c r="CG4" s="65" ph="1"/>
      <c r="CH4" s="65" ph="1"/>
      <c r="CI4" s="65" ph="1"/>
      <c r="CJ4" s="65" ph="1"/>
      <c r="CK4" s="65" ph="1"/>
      <c r="CL4" s="65" ph="1"/>
      <c r="CM4" s="65" ph="1"/>
      <c r="CN4" s="65" ph="1"/>
      <c r="CO4" s="65" ph="1"/>
      <c r="CP4" s="65" ph="1"/>
      <c r="CQ4" s="65" ph="1"/>
      <c r="CR4" s="65" ph="1"/>
      <c r="CS4" s="65" ph="1"/>
      <c r="CT4" s="65" ph="1"/>
      <c r="CU4" s="65" ph="1"/>
    </row>
    <row r="5" spans="1:99" s="69" customFormat="1" ht="29.25" customHeight="1" ph="1">
      <c r="A5" s="65" ph="1"/>
      <c r="B5" s="219" ph="1"/>
      <c r="C5" s="67" t="s" ph="1">
        <v>36</v>
      </c>
      <c r="D5" s="70" t="s" ph="1">
        <v>160</v>
      </c>
      <c r="E5" s="142" t="s" ph="1">
        <v>642</v>
      </c>
      <c r="F5" s="142" t="s" ph="1">
        <v>1</v>
      </c>
      <c r="G5" s="142" t="s" ph="1">
        <v>7</v>
      </c>
      <c r="H5" s="142" t="s" ph="1">
        <v>7</v>
      </c>
      <c r="I5" s="141" t="s" ph="1">
        <v>608</v>
      </c>
      <c r="J5" s="141" t="s" ph="1">
        <v>609</v>
      </c>
      <c r="K5" s="141" t="s" ph="1">
        <v>611</v>
      </c>
      <c r="L5" s="141" t="s" ph="1">
        <v>613</v>
      </c>
      <c r="M5" s="141" t="s" ph="1">
        <v>608</v>
      </c>
      <c r="N5" s="70" t="s" ph="1">
        <v>609</v>
      </c>
      <c r="O5" s="70" t="s" ph="1">
        <v>611</v>
      </c>
      <c r="P5" s="70" t="s" ph="1">
        <v>613</v>
      </c>
      <c r="Q5" s="70" t="s" ph="1">
        <v>607</v>
      </c>
      <c r="R5" s="70" t="s" ph="1">
        <v>607</v>
      </c>
      <c r="S5" s="70" t="s" ph="1">
        <v>607</v>
      </c>
      <c r="T5" s="70" t="s" ph="1">
        <v>607</v>
      </c>
      <c r="U5" s="70" t="s" ph="1">
        <v>607</v>
      </c>
      <c r="V5" s="70" t="s" ph="1">
        <v>607</v>
      </c>
      <c r="W5" s="70" t="s" ph="1">
        <v>607</v>
      </c>
      <c r="X5" s="70" t="s" ph="1">
        <v>607</v>
      </c>
      <c r="Y5" s="70" t="s" ph="1">
        <v>607</v>
      </c>
      <c r="Z5" s="70" t="s" ph="1">
        <v>614</v>
      </c>
      <c r="AA5" s="70" t="s" ph="1">
        <v>54</v>
      </c>
      <c r="AB5" s="70" t="s" ph="1">
        <v>54</v>
      </c>
      <c r="AC5" s="70" t="s" ph="1">
        <v>615</v>
      </c>
      <c r="AD5" s="71" t="s">
        <v>72</v>
      </c>
      <c r="AE5" s="71" t="s">
        <v>635</v>
      </c>
      <c r="AF5" s="65" ph="1"/>
      <c r="AG5" s="65" ph="1"/>
      <c r="AH5" s="65" ph="1"/>
      <c r="AI5" s="65" ph="1"/>
      <c r="AJ5" s="65" ph="1"/>
      <c r="AK5" s="65" ph="1"/>
      <c r="AL5" s="65" ph="1"/>
      <c r="AM5" s="65" ph="1"/>
      <c r="AN5" s="65" ph="1"/>
      <c r="AO5" s="65" ph="1"/>
      <c r="AP5" s="65" ph="1"/>
      <c r="AQ5" s="65" ph="1"/>
      <c r="AR5" s="65" ph="1"/>
      <c r="AS5" s="65" ph="1"/>
      <c r="AT5" s="65" ph="1"/>
      <c r="AU5" s="65" ph="1"/>
      <c r="AV5" s="65" ph="1"/>
      <c r="AW5" s="65" ph="1"/>
      <c r="AX5" s="65" ph="1"/>
      <c r="AY5" s="65" ph="1"/>
      <c r="AZ5" s="65" ph="1"/>
      <c r="BA5" s="65" ph="1"/>
      <c r="BB5" s="65" ph="1"/>
      <c r="BC5" s="65" ph="1"/>
      <c r="BD5" s="65" ph="1"/>
      <c r="BE5" s="65" ph="1"/>
      <c r="BF5" s="65" ph="1"/>
      <c r="BG5" s="65" ph="1"/>
      <c r="BH5" s="65" ph="1"/>
      <c r="BI5" s="65" ph="1"/>
      <c r="BJ5" s="65" ph="1"/>
      <c r="BK5" s="65" ph="1"/>
      <c r="BL5" s="65" ph="1"/>
      <c r="BM5" s="65" ph="1"/>
      <c r="BN5" s="65" ph="1"/>
      <c r="BO5" s="65" ph="1"/>
      <c r="BP5" s="65" ph="1"/>
      <c r="BQ5" s="65" ph="1"/>
      <c r="BR5" s="65" ph="1"/>
      <c r="BS5" s="65" ph="1"/>
      <c r="BT5" s="65" ph="1"/>
      <c r="BU5" s="65" ph="1"/>
      <c r="BV5" s="65" ph="1"/>
      <c r="BW5" s="65" ph="1"/>
      <c r="BX5" s="65" ph="1"/>
      <c r="BY5" s="65" ph="1"/>
      <c r="BZ5" s="65" ph="1"/>
      <c r="CA5" s="65" ph="1"/>
      <c r="CB5" s="65" ph="1"/>
      <c r="CC5" s="65" ph="1"/>
      <c r="CD5" s="65" ph="1"/>
      <c r="CE5" s="65" ph="1"/>
      <c r="CF5" s="65" ph="1"/>
      <c r="CG5" s="65" ph="1"/>
      <c r="CH5" s="65" ph="1"/>
      <c r="CI5" s="65" ph="1"/>
      <c r="CJ5" s="65" ph="1"/>
      <c r="CK5" s="65" ph="1"/>
      <c r="CL5" s="65" ph="1"/>
      <c r="CM5" s="65" ph="1"/>
      <c r="CN5" s="65" ph="1"/>
      <c r="CO5" s="65" ph="1"/>
      <c r="CP5" s="65" ph="1"/>
      <c r="CQ5" s="65" ph="1"/>
      <c r="CR5" s="65" ph="1"/>
      <c r="CS5" s="65" ph="1"/>
      <c r="CT5" s="65" ph="1"/>
      <c r="CU5" s="65" ph="1"/>
    </row>
    <row r="6" spans="1:99" ph="1">
      <c r="B6" s="237" ph="1">
        <v>0.33333333333333331</v>
      </c>
      <c r="C6" s="155" t="s" ph="1">
        <v>177</v>
      </c>
      <c r="D6" s="71">
        <v>128</v>
      </c>
      <c r="E6" s="71">
        <v>3444</v>
      </c>
      <c r="F6" s="71">
        <v>3188</v>
      </c>
      <c r="G6" s="71">
        <v>5434</v>
      </c>
      <c r="H6" s="71">
        <v>2619</v>
      </c>
      <c r="I6" s="71">
        <v>4.5</v>
      </c>
      <c r="J6" s="71">
        <v>6.66</v>
      </c>
      <c r="K6" s="71">
        <v>7.74</v>
      </c>
      <c r="L6" s="71">
        <v>7.24</v>
      </c>
      <c r="M6" s="71">
        <v>3231</v>
      </c>
      <c r="N6" s="71">
        <v>2018</v>
      </c>
      <c r="O6" s="71">
        <v>448</v>
      </c>
      <c r="P6" s="71">
        <v>4013</v>
      </c>
      <c r="Q6" s="71">
        <v>0</v>
      </c>
      <c r="R6" s="71">
        <v>0</v>
      </c>
      <c r="S6" s="71">
        <v>0</v>
      </c>
      <c r="T6" s="71">
        <v>0</v>
      </c>
      <c r="U6" s="71">
        <v>4358</v>
      </c>
      <c r="V6" s="71">
        <v>7192</v>
      </c>
      <c r="W6" s="71">
        <v>7023</v>
      </c>
      <c r="X6" s="71">
        <v>6848</v>
      </c>
      <c r="Y6" s="71">
        <v>2638</v>
      </c>
      <c r="Z6" s="71">
        <v>2790</v>
      </c>
      <c r="AA6" s="71">
        <v>1302</v>
      </c>
      <c r="AB6" s="71">
        <v>1212</v>
      </c>
      <c r="AC6" s="71">
        <v>8482</v>
      </c>
      <c r="AD6" s="71">
        <v>5421</v>
      </c>
      <c r="AE6" s="71">
        <v>5428</v>
      </c>
    </row>
    <row r="7" spans="1:99" s="72" customFormat="1" ht="22.2" ph="1">
      <c r="B7" s="237" ph="1"/>
      <c r="C7" s="68" t="s" ph="1">
        <v>178</v>
      </c>
      <c r="D7" s="73" ph="1">
        <f>D6*33.183*LOOKUP(D8,密度!$A$2:$A$50,密度!$Q$2:$Q$50)</f>
        <v>4021.2061977600001</v>
      </c>
      <c r="E7" s="73" ph="1">
        <f>E6*51.53*LOOKUP(E8,密度!$A$2:$A$50,密度!$B$2:$B$50)</f>
        <v>138355.08187200001</v>
      </c>
      <c r="F7" s="73" ph="1">
        <f>F6*33.183*LOOKUP(F8,密度!$A$2:$A$50,密度!$C$2:$C$50)</f>
        <v>117148.97118959999</v>
      </c>
      <c r="G7" s="73" ph="1">
        <f xml:space="preserve"> (G6+2)*51.53*LOOKUP(G8,密度!$A$2:$A$50,密度!$B$2:$B$50)</f>
        <v>217903.07653200004</v>
      </c>
      <c r="H7" s="73" ph="1">
        <f>(H6)*51.53*LOOKUP(H8,密度!$A$2:$A$50,密度!$B$2:$B$50)</f>
        <v>105212.531772</v>
      </c>
      <c r="I7" s="73" ph="1">
        <f>I6*290.8*1.0267</f>
        <v>1343.53962</v>
      </c>
      <c r="J7" s="73" ph="1">
        <f>J6*290.8*0.7892</f>
        <v>1528.4657376</v>
      </c>
      <c r="K7" s="73" ph="1">
        <f>K6*290.8*1.1126</f>
        <v>2504.2311792000005</v>
      </c>
      <c r="L7" s="73" ph="1">
        <f>L6*290.8*0.777</f>
        <v>1635.8895840000002</v>
      </c>
      <c r="M7" s="73" ph="1">
        <f>M6*33.183*LOOKUP(M8,密度!$A$2:$A$50,密度!$D$2:$D$50)</f>
        <v>109980.4012434</v>
      </c>
      <c r="N7" s="73" ph="1">
        <f>N6*33.183*LOOKUP(N8,密度!$A$2:$A$50,密度!$E$2:$E$50)</f>
        <v>52217.976661200002</v>
      </c>
      <c r="O7" s="73" ph="1">
        <f>O6*20.428*LOOKUP(O8,密度!$A$2:$A$50,密度!$C$2:$C$50)</f>
        <v>10120.913689600002</v>
      </c>
      <c r="P7" s="73" ph="1">
        <f>P6*51.53*LOOKUP(P8,密度!$A$2:$A$50,密度!$B$2:$B$50)</f>
        <v>161213.39824400001</v>
      </c>
      <c r="Q7" s="73" ph="1">
        <f>Q6*1.5*1.5*3.1416*LOOKUP(W8,密度!$A$2:$A$50,密度!$L$2:$L$50)</f>
        <v>0</v>
      </c>
      <c r="R7" s="73" ph="1">
        <f>R6*1.5*1.5*3.1416*LOOKUP(R8,密度!$A$2:$A$50,密度!$L$2:$L$50)</f>
        <v>0</v>
      </c>
      <c r="S7" s="73" ph="1">
        <f>S6*1.5*1.5*3.1416*LOOKUP(S8,密度!$A$2:$A$50,密度!$L$2:$L$50)</f>
        <v>0</v>
      </c>
      <c r="T7" s="73" ph="1">
        <f>T6*1.5*1.5*3.1416*LOOKUP(T8,密度!$A$2:$A$50,密度!$L$2:$L$50)</f>
        <v>0</v>
      </c>
      <c r="U7" s="73" ph="1">
        <f>U6*1.5*1.5*3.1416*LOOKUP(U8,密度!$A$2:$A$50,密度!$L$2:$L$50)</f>
        <v>28833.441436800003</v>
      </c>
      <c r="V7" s="73" ph="1">
        <f>V6*1.5*1.5*3.1416*LOOKUP(V8,密度!$A$2:$A$50,密度!$L$2:$L$50)</f>
        <v>47482.104700800002</v>
      </c>
      <c r="W7" s="73" ph="1">
        <f>W6*1.5*1.5*3.1416*LOOKUP(W8,密度!$A$2:$A$50,密度!$L$2:$L$50)</f>
        <v>46465.640020799998</v>
      </c>
      <c r="X7" s="73" ph="1">
        <f>X6*1.5*1.5*3.1416*LOOKUP(X8,密度!$A$2:$A$50,密度!$L$2:$L$50)</f>
        <v>45743.455296</v>
      </c>
      <c r="Y7" s="73" ph="1">
        <f>Y6*1.5*1.5*3.1416*LOOKUP(Y8,密度!$A$2:$A$50,密度!$L$2:$L$50)</f>
        <v>17472.207891599999</v>
      </c>
      <c r="Z7" s="73" ph="1">
        <f>Z6*33.183*LOOKUP(Z8,密度!$A$2:$A$50,密度!$L$2:$L$50)</f>
        <v>86933.155229999989</v>
      </c>
      <c r="AA7" s="73" ph="1">
        <f>AA6*33.183*LOOKUP(AA8,密度!$A$2:$A$50,密度!$D$2:$D$50)</f>
        <v>44318.936062800007</v>
      </c>
      <c r="AB7" s="73" ph="1">
        <f>AB6*20.428*LOOKUP(AB8,密度!$A$2:$A$50,密度!$D$2:$D$50)</f>
        <v>25466.8358496</v>
      </c>
      <c r="AC7" s="73" ph="1">
        <f>AC6*51.53*LOOKUP(AC8,密度!$A$2:$A$50,密度!$Q$2:$Q$50)</f>
        <v>413488.38948380004</v>
      </c>
      <c r="AD7" s="73" ph="1">
        <f>AD6*20.428*LOOKUP(AD8,密度!$A$2:$A$50,密度!$V$2:$V$50)</f>
        <v>106044.8040288</v>
      </c>
      <c r="AE7" s="73" ph="1">
        <f>AE6*20.428</f>
        <v>110883.18400000001</v>
      </c>
    </row>
    <row r="8" spans="1:99" ph="1">
      <c r="B8" s="237" ph="1"/>
      <c r="C8" s="68" t="s" ph="1">
        <v>179</v>
      </c>
      <c r="D8" s="74">
        <v>25</v>
      </c>
      <c r="E8" s="74">
        <v>25</v>
      </c>
      <c r="F8" s="74">
        <v>27</v>
      </c>
      <c r="G8" s="74">
        <v>27</v>
      </c>
      <c r="H8" s="74">
        <v>25</v>
      </c>
      <c r="I8" s="74">
        <v>25</v>
      </c>
      <c r="J8" s="74">
        <v>25</v>
      </c>
      <c r="K8" s="74">
        <v>25</v>
      </c>
      <c r="L8" s="74">
        <v>25</v>
      </c>
      <c r="M8" s="74">
        <v>26</v>
      </c>
      <c r="N8" s="74">
        <v>28</v>
      </c>
      <c r="O8" s="74">
        <v>29</v>
      </c>
      <c r="P8" s="74">
        <v>25</v>
      </c>
      <c r="Q8" s="74">
        <v>30</v>
      </c>
      <c r="R8" s="74">
        <v>32</v>
      </c>
      <c r="S8" s="74">
        <v>24</v>
      </c>
      <c r="T8" s="74">
        <v>21</v>
      </c>
      <c r="U8" s="74">
        <v>26</v>
      </c>
      <c r="V8" s="74">
        <v>28</v>
      </c>
      <c r="W8" s="74">
        <v>26</v>
      </c>
      <c r="X8" s="74">
        <v>17</v>
      </c>
      <c r="Y8" s="74">
        <v>25</v>
      </c>
      <c r="Z8" s="74">
        <v>23</v>
      </c>
      <c r="AA8" s="74">
        <v>26</v>
      </c>
      <c r="AB8" s="74">
        <v>23</v>
      </c>
      <c r="AC8" s="74">
        <v>26</v>
      </c>
      <c r="AD8" s="74">
        <v>27</v>
      </c>
      <c r="AE8" s="74">
        <v>27</v>
      </c>
    </row>
    <row r="9" spans="1:99" ht="26.4" ph="1">
      <c r="B9" s="237" ph="1">
        <v>0.66666666666666663</v>
      </c>
      <c r="C9" s="155" t="s" ph="1">
        <v>180</v>
      </c>
      <c r="D9" s="71">
        <v>126</v>
      </c>
      <c r="E9" s="71">
        <v>3442</v>
      </c>
      <c r="F9" s="71">
        <v>3190</v>
      </c>
      <c r="G9" s="71">
        <v>5161</v>
      </c>
      <c r="H9" s="71">
        <v>3488</v>
      </c>
      <c r="I9" s="71">
        <v>4.5</v>
      </c>
      <c r="J9" s="71">
        <v>6.67</v>
      </c>
      <c r="K9" s="71">
        <v>7.77</v>
      </c>
      <c r="L9" s="71">
        <v>7.35</v>
      </c>
      <c r="M9" s="71">
        <v>3233</v>
      </c>
      <c r="N9" s="71">
        <v>2013</v>
      </c>
      <c r="O9" s="71">
        <v>447</v>
      </c>
      <c r="P9" s="71">
        <v>3918</v>
      </c>
      <c r="Q9" s="71">
        <v>2699</v>
      </c>
      <c r="R9" s="71">
        <v>0</v>
      </c>
      <c r="S9" s="71">
        <v>0</v>
      </c>
      <c r="T9" s="71">
        <v>0</v>
      </c>
      <c r="U9" s="71">
        <v>0</v>
      </c>
      <c r="V9" s="71">
        <v>7076</v>
      </c>
      <c r="W9" s="71">
        <v>7032</v>
      </c>
      <c r="X9" s="71">
        <v>6855</v>
      </c>
      <c r="Y9" s="71">
        <v>6626</v>
      </c>
      <c r="Z9" s="71">
        <v>3798</v>
      </c>
      <c r="AA9" s="71">
        <v>1304</v>
      </c>
      <c r="AB9" s="71">
        <v>1086</v>
      </c>
      <c r="AC9" s="71">
        <v>8488</v>
      </c>
      <c r="AD9" s="71">
        <v>5123</v>
      </c>
      <c r="AE9" s="71">
        <v>5183</v>
      </c>
    </row>
    <row r="10" spans="1:99" s="72" customFormat="1" ht="22.2" ph="1">
      <c r="B10" s="237" ph="1"/>
      <c r="C10" s="155" t="s" ph="1">
        <v>178</v>
      </c>
      <c r="D10" s="73" ph="1">
        <f>D9*33.183*LOOKUP(D11,密度!$A$2:$A$50,密度!$Q$2:$Q$50)</f>
        <v>3946.6260779400004</v>
      </c>
      <c r="E10" s="73" ph="1">
        <f>E9*51.53*LOOKUP(E11,密度!$A$2:$A$50,密度!$B$2:$B$50)</f>
        <v>137671.691012</v>
      </c>
      <c r="F10" s="73" ph="1">
        <f>F9*33.183*LOOKUP(F11,密度!$A$2:$A$50,密度!$C$2:$C$50)</f>
        <v>117222.46489799999</v>
      </c>
      <c r="G10" s="73" ph="1">
        <f xml:space="preserve"> (G9+2)*51.53*LOOKUP(G11,密度!$A$2:$A$50,密度!$B$2:$B$50)</f>
        <v>206268.09206700002</v>
      </c>
      <c r="H10" s="73" ph="1">
        <f>(H9)*51.53*LOOKUP(H11,密度!$A$2:$A$50,密度!$B$2:$B$50)</f>
        <v>139349.81699200001</v>
      </c>
      <c r="I10" s="73" ph="1">
        <f>I9*290.8*1.0267</f>
        <v>1343.53962</v>
      </c>
      <c r="J10" s="73" ph="1">
        <f>J9*290.8*0.7892</f>
        <v>1530.7607312</v>
      </c>
      <c r="K10" s="73" ph="1">
        <f>K9*290.8*1.1126</f>
        <v>2513.9375016000004</v>
      </c>
      <c r="L10" s="73" ph="1">
        <f>L9*290.8*0.777</f>
        <v>1660.7442600000002</v>
      </c>
      <c r="M10" s="73" ph="1">
        <f>M9*33.183*LOOKUP(M11,密度!$A$2:$A$50,密度!$D$2:$D$50)</f>
        <v>109737.36563309998</v>
      </c>
      <c r="N10" s="73" ph="1">
        <f>N9*33.183*LOOKUP(N11,密度!$A$2:$A$50,密度!$E$2:$E$50)</f>
        <v>52015.119027299996</v>
      </c>
      <c r="O10" s="73" ph="1">
        <f>O9*20.428*LOOKUP(O11,密度!$A$2:$A$50,密度!$C$2:$C$50)</f>
        <v>10033.4900208</v>
      </c>
      <c r="P10" s="73" ph="1">
        <f>P9*51.53*LOOKUP(P11,密度!$A$2:$A$50,密度!$B$2:$B$50)</f>
        <v>156710.541948</v>
      </c>
      <c r="Q10" s="73" ph="1">
        <f>Q9*1.5*1.5*3.1416*LOOKUP(W11,密度!$A$2:$A$50,密度!$L$2:$L$50)</f>
        <v>17838.071559</v>
      </c>
      <c r="R10" s="73" ph="1">
        <f>R9*1.5*1.5*3.1416*LOOKUP(R11,密度!$A$2:$A$50,密度!$L$2:$L$50)</f>
        <v>0</v>
      </c>
      <c r="S10" s="73" ph="1">
        <f>S9*1.5*1.5*3.1416*LOOKUP(S11,密度!$A$2:$A$50,密度!$L$2:$L$50)</f>
        <v>0</v>
      </c>
      <c r="T10" s="73" ph="1">
        <f>T9*1.5*1.5*3.1416*LOOKUP(T11,密度!$A$2:$A$50,密度!$L$2:$L$50)</f>
        <v>0</v>
      </c>
      <c r="U10" s="73" ph="1">
        <f>U9*1.5*1.5*3.1416*LOOKUP(U11,密度!$A$2:$A$50,密度!$L$2:$L$50)</f>
        <v>0</v>
      </c>
      <c r="V10" s="73" ph="1">
        <f>V9*1.5*1.5*3.1416*LOOKUP(V11,密度!$A$2:$A$50,密度!$L$2:$L$50)</f>
        <v>46716.264302399999</v>
      </c>
      <c r="W10" s="73" ph="1">
        <f>W9*1.5*1.5*3.1416*LOOKUP(W11,密度!$A$2:$A$50,密度!$L$2:$L$50)</f>
        <v>46475.479512000005</v>
      </c>
      <c r="X10" s="73" ph="1">
        <f>X9*1.5*1.5*3.1416*LOOKUP(X11,密度!$A$2:$A$50,密度!$L$2:$L$50)</f>
        <v>45644.848325999992</v>
      </c>
      <c r="Y10" s="73" ph="1">
        <f>Y9*1.5*1.5*3.1416*LOOKUP(Y11,密度!$A$2:$A$50,密度!$L$2:$L$50)</f>
        <v>43839.004809600003</v>
      </c>
      <c r="Z10" s="73" ph="1">
        <f>Z9*33.183*LOOKUP(Z11,密度!$A$2:$A$50,密度!$L$2:$L$50)</f>
        <v>118089.20485800001</v>
      </c>
      <c r="AA10" s="73" ph="1">
        <f>AA9*33.183*LOOKUP(AA11,密度!$A$2:$A$50,密度!$D$2:$D$50)</f>
        <v>44261.529472799994</v>
      </c>
      <c r="AB10" s="73" ph="1">
        <f>AB9*20.428*LOOKUP(AB11,密度!$A$2:$A$50,密度!$D$2:$D$50)</f>
        <v>22757.176046400004</v>
      </c>
      <c r="AC10" s="73" ph="1">
        <f>AC9*51.53*LOOKUP(AC11,密度!$A$2:$A$50,密度!$Q$2:$Q$50)</f>
        <v>412599.93911119999</v>
      </c>
      <c r="AD10" s="73" ph="1">
        <f>AD9*20.428*LOOKUP(AD11,密度!$A$2:$A$50,密度!$V$2:$V$50)</f>
        <v>100215.3718944</v>
      </c>
      <c r="AE10" s="73" ph="1">
        <f>AE9*20.428</f>
        <v>105878.32400000001</v>
      </c>
    </row>
    <row r="11" spans="1:99" ph="1">
      <c r="A11" s="64" t="s" ph="1">
        <v>162</v>
      </c>
      <c r="B11" s="237" ph="1"/>
      <c r="C11" s="155" t="s" ph="1">
        <v>179</v>
      </c>
      <c r="D11" s="74">
        <v>29</v>
      </c>
      <c r="E11" s="74">
        <v>29</v>
      </c>
      <c r="F11" s="74">
        <v>27</v>
      </c>
      <c r="G11" s="74">
        <v>30</v>
      </c>
      <c r="H11" s="74">
        <v>30</v>
      </c>
      <c r="I11" s="74">
        <v>25</v>
      </c>
      <c r="J11" s="74">
        <v>25</v>
      </c>
      <c r="K11" s="74">
        <v>25</v>
      </c>
      <c r="L11" s="74">
        <v>25</v>
      </c>
      <c r="M11" s="74">
        <v>29</v>
      </c>
      <c r="N11" s="74">
        <v>29</v>
      </c>
      <c r="O11" s="74">
        <v>36</v>
      </c>
      <c r="P11" s="74">
        <v>29</v>
      </c>
      <c r="Q11" s="74">
        <v>31</v>
      </c>
      <c r="R11" s="74">
        <v>35</v>
      </c>
      <c r="S11" s="74">
        <v>27</v>
      </c>
      <c r="T11" s="74">
        <v>32</v>
      </c>
      <c r="U11" s="74">
        <v>29</v>
      </c>
      <c r="V11" s="74">
        <v>28</v>
      </c>
      <c r="W11" s="74">
        <v>27</v>
      </c>
      <c r="X11" s="74">
        <v>20</v>
      </c>
      <c r="Y11" s="74">
        <v>26</v>
      </c>
      <c r="Z11" s="74">
        <v>25</v>
      </c>
      <c r="AA11" s="74">
        <v>29</v>
      </c>
      <c r="AB11" s="74">
        <v>26</v>
      </c>
      <c r="AC11" s="74">
        <v>30</v>
      </c>
      <c r="AD11" s="74">
        <v>30</v>
      </c>
      <c r="AE11" s="74">
        <v>31</v>
      </c>
    </row>
    <row r="12" spans="1:99" ht="9.9" customHeight="1" ph="1"/>
    <row r="13" spans="1:99" s="72" customFormat="1" ht="29.25" customHeight="1" ph="1">
      <c r="B13" s="214" t="s" ph="1">
        <v>37</v>
      </c>
      <c r="C13" s="155" t="s" ph="1">
        <v>176</v>
      </c>
      <c r="D13" s="76" t="s" ph="1">
        <v>52</v>
      </c>
      <c r="E13" s="76" t="s" ph="1">
        <v>53</v>
      </c>
      <c r="F13" s="76" t="s" ph="1">
        <v>57</v>
      </c>
      <c r="G13" s="76" t="s" ph="1">
        <v>58</v>
      </c>
      <c r="H13" s="76" t="s" ph="1">
        <v>128</v>
      </c>
      <c r="I13" s="76" t="s" ph="1">
        <v>59</v>
      </c>
      <c r="J13" s="76" t="s" ph="1">
        <v>129</v>
      </c>
      <c r="K13" s="76" t="s" ph="1">
        <v>55</v>
      </c>
      <c r="L13" s="76" t="s" ph="1">
        <v>60</v>
      </c>
      <c r="M13" s="76" t="s" ph="1">
        <v>61</v>
      </c>
      <c r="N13" s="76" t="s" ph="1">
        <v>130</v>
      </c>
      <c r="O13" s="76" t="s" ph="1">
        <v>56</v>
      </c>
      <c r="P13" s="76" t="s" ph="1">
        <v>62</v>
      </c>
      <c r="Q13" s="76" t="s" ph="1">
        <v>63</v>
      </c>
      <c r="R13" s="76" t="s" ph="1">
        <v>64</v>
      </c>
      <c r="S13" s="76" t="s" ph="1">
        <v>65</v>
      </c>
      <c r="T13" s="76" t="s" ph="1">
        <v>66</v>
      </c>
      <c r="U13" s="76" t="s" ph="1">
        <v>67</v>
      </c>
      <c r="V13" s="76" t="s" ph="1">
        <v>131</v>
      </c>
      <c r="W13" s="76" t="s" ph="1">
        <v>132</v>
      </c>
      <c r="X13" s="76" t="s" ph="1">
        <v>133</v>
      </c>
      <c r="Y13" s="105" t="s" ph="1">
        <v>68</v>
      </c>
      <c r="Z13" s="76" t="s" ph="1">
        <v>74</v>
      </c>
      <c r="AA13" s="76" t="s" ph="1">
        <v>134</v>
      </c>
      <c r="AB13" s="76" t="s" ph="1">
        <v>135</v>
      </c>
      <c r="AC13" s="76" t="s" ph="1">
        <v>136</v>
      </c>
      <c r="AD13" s="76" t="s" ph="1">
        <v>137</v>
      </c>
      <c r="AE13" s="76" t="s" ph="1">
        <v>138</v>
      </c>
      <c r="AG13" s="72" t="s" ph="1">
        <v>325</v>
      </c>
      <c r="AH13" s="72" t="s" ph="1">
        <v>188</v>
      </c>
      <c r="AI13" s="72" t="s" ph="1">
        <v>189</v>
      </c>
      <c r="AJ13" s="72" t="s" ph="1">
        <v>190</v>
      </c>
      <c r="AK13" s="72" t="s" ph="1">
        <v>191</v>
      </c>
      <c r="AL13" s="72" t="s" ph="1">
        <v>192</v>
      </c>
      <c r="AM13" s="72" t="s" ph="1">
        <v>193</v>
      </c>
      <c r="AN13" s="72" t="s" ph="1">
        <v>194</v>
      </c>
      <c r="AO13" s="72" t="s" ph="1">
        <v>195</v>
      </c>
      <c r="AP13" s="72" t="s" ph="1">
        <v>196</v>
      </c>
      <c r="AQ13" s="72" t="s" ph="1">
        <v>197</v>
      </c>
      <c r="AR13" s="72" t="s" ph="1">
        <v>198</v>
      </c>
      <c r="AS13" s="72" t="s" ph="1">
        <v>199</v>
      </c>
      <c r="AT13" s="72" t="s" ph="1">
        <v>200</v>
      </c>
      <c r="AU13" s="72" t="s" ph="1">
        <v>201</v>
      </c>
      <c r="AV13" s="72" t="s" ph="1">
        <v>202</v>
      </c>
      <c r="AW13" s="72" t="s" ph="1">
        <v>203</v>
      </c>
      <c r="AX13" s="72" t="s" ph="1">
        <v>204</v>
      </c>
      <c r="AY13" s="72" t="s" ph="1">
        <v>326</v>
      </c>
      <c r="AZ13" s="72" t="s" ph="1">
        <v>205</v>
      </c>
      <c r="BA13" s="72" t="s" ph="1">
        <v>206</v>
      </c>
      <c r="BB13" s="72" t="s" ph="1">
        <v>591</v>
      </c>
      <c r="BC13" s="72" t="s" ph="1">
        <v>207</v>
      </c>
      <c r="BD13" s="72" t="s" ph="1">
        <v>327</v>
      </c>
      <c r="BE13" s="72" t="s" ph="1">
        <v>328</v>
      </c>
      <c r="BF13" s="72" t="s" ph="1">
        <v>329</v>
      </c>
      <c r="BG13" s="72" t="s" ph="1">
        <v>330</v>
      </c>
      <c r="BH13" s="72" t="s" ph="1">
        <v>331</v>
      </c>
    </row>
    <row r="14" spans="1:99" s="72" customFormat="1" ht="24" ph="1">
      <c r="B14" s="215" ph="1"/>
      <c r="C14" s="67" t="s" ph="1">
        <v>36</v>
      </c>
      <c r="D14" s="77" t="s" ph="1">
        <v>616</v>
      </c>
      <c r="E14" s="77" t="s" ph="1">
        <v>616</v>
      </c>
      <c r="F14" s="77" t="s" ph="1">
        <v>639</v>
      </c>
      <c r="G14" s="77" t="s" ph="1">
        <v>617</v>
      </c>
      <c r="H14" s="77" t="s" ph="1">
        <v>636</v>
      </c>
      <c r="I14" s="138" t="s" ph="1">
        <v>618</v>
      </c>
      <c r="J14" s="77" t="s" ph="1">
        <v>619</v>
      </c>
      <c r="K14" s="77" t="s" ph="1">
        <v>186</v>
      </c>
      <c r="L14" s="77" t="s" ph="1">
        <v>41</v>
      </c>
      <c r="M14" s="104" t="s" ph="1">
        <v>620</v>
      </c>
      <c r="N14" s="104" t="s" ph="1">
        <v>621</v>
      </c>
      <c r="O14" s="104" t="s" ph="1">
        <v>637</v>
      </c>
      <c r="P14" s="77" t="s" ph="1">
        <v>622</v>
      </c>
      <c r="Q14" s="77" t="s" ph="1">
        <v>622</v>
      </c>
      <c r="R14" s="77" t="s" ph="1">
        <v>622</v>
      </c>
      <c r="S14" s="77" t="s" ph="1">
        <v>622</v>
      </c>
      <c r="T14" s="77" t="s" ph="1">
        <v>624</v>
      </c>
      <c r="U14" s="77" t="s" ph="1">
        <v>605</v>
      </c>
      <c r="V14" s="77" t="s" ph="1">
        <v>633</v>
      </c>
      <c r="W14" s="77" t="s" ph="1">
        <v>622</v>
      </c>
      <c r="X14" s="77" t="s" ph="1">
        <v>625</v>
      </c>
      <c r="Y14" s="143" t="s" ph="1">
        <v>0</v>
      </c>
      <c r="Z14" s="77" t="s" ph="1">
        <v>54</v>
      </c>
      <c r="AA14" s="77" t="s" ph="1">
        <v>613</v>
      </c>
      <c r="AB14" s="77" t="s" ph="1">
        <v>632</v>
      </c>
      <c r="AC14" s="77" t="s" ph="1">
        <v>632</v>
      </c>
      <c r="AD14" s="77" t="s" ph="1">
        <v>612</v>
      </c>
      <c r="AE14" s="77" t="s" ph="1">
        <v>612</v>
      </c>
      <c r="AG14" s="72" t="s" ph="1">
        <v>208</v>
      </c>
      <c r="AI14" s="72" t="s" ph="1">
        <v>209</v>
      </c>
      <c r="AJ14" s="72" t="s" ph="1">
        <v>332</v>
      </c>
      <c r="AK14" s="72" t="s" ph="1">
        <v>210</v>
      </c>
      <c r="AM14" s="72" t="s" ph="1">
        <v>212</v>
      </c>
      <c r="AN14" s="72" t="s" ph="1">
        <v>210</v>
      </c>
      <c r="AO14" s="72" t="s" ph="1">
        <v>211</v>
      </c>
      <c r="AP14" s="72" t="s" ph="1">
        <v>212</v>
      </c>
      <c r="AQ14" s="72" t="s" ph="1">
        <v>210</v>
      </c>
      <c r="AR14" s="72" t="s" ph="1">
        <v>211</v>
      </c>
      <c r="AS14" s="72" t="s" ph="1">
        <v>212</v>
      </c>
      <c r="AT14" s="72" t="s" ph="1">
        <v>210</v>
      </c>
      <c r="AU14" s="72" t="s" ph="1">
        <v>211</v>
      </c>
      <c r="AV14" s="72" t="s" ph="1">
        <v>212</v>
      </c>
      <c r="AW14" s="72" t="s" ph="1">
        <v>210</v>
      </c>
      <c r="AX14" s="72" t="s" ph="1">
        <v>211</v>
      </c>
      <c r="AY14" s="72" t="s" ph="1">
        <v>212</v>
      </c>
      <c r="AZ14" s="72" t="s" ph="1">
        <v>211</v>
      </c>
    </row>
    <row r="15" spans="1:99" ph="1">
      <c r="B15" s="216" ph="1">
        <v>0.33333333333333331</v>
      </c>
      <c r="C15" s="155" t="s" ph="1">
        <v>177</v>
      </c>
      <c r="D15" s="78">
        <v>0</v>
      </c>
      <c r="E15" s="78">
        <v>3554</v>
      </c>
      <c r="F15" s="78">
        <v>2912</v>
      </c>
      <c r="G15" s="78">
        <v>2305</v>
      </c>
      <c r="H15" s="78">
        <v>2184</v>
      </c>
      <c r="I15" s="78">
        <v>5046</v>
      </c>
      <c r="J15" s="78">
        <v>5112</v>
      </c>
      <c r="K15" s="78">
        <v>672</v>
      </c>
      <c r="L15" s="78">
        <v>5337</v>
      </c>
      <c r="M15" s="78">
        <v>2175</v>
      </c>
      <c r="N15" s="78">
        <v>2616</v>
      </c>
      <c r="O15" s="78">
        <v>1906</v>
      </c>
      <c r="P15" s="78">
        <v>2032</v>
      </c>
      <c r="Q15" s="78">
        <v>6651</v>
      </c>
      <c r="R15" s="78">
        <v>0</v>
      </c>
      <c r="S15" s="78">
        <v>4950</v>
      </c>
      <c r="T15" s="78">
        <v>4716</v>
      </c>
      <c r="U15" s="78">
        <v>1775</v>
      </c>
      <c r="V15" s="78">
        <v>-817</v>
      </c>
      <c r="W15" s="71">
        <v>27</v>
      </c>
      <c r="X15" s="78">
        <v>857</v>
      </c>
      <c r="Y15" s="106">
        <v>-2366</v>
      </c>
      <c r="Z15" s="78">
        <v>0</v>
      </c>
      <c r="AA15" s="78">
        <v>2463</v>
      </c>
      <c r="AB15" s="78" ph="1">
        <v>0</v>
      </c>
      <c r="AC15" s="78" ph="1">
        <v>0</v>
      </c>
      <c r="AD15" s="78">
        <v>5.83</v>
      </c>
      <c r="AE15" s="78">
        <v>52.91</v>
      </c>
      <c r="AG15" s="64" t="s" ph="1">
        <v>214</v>
      </c>
      <c r="AH15" s="64" ph="1">
        <v>1</v>
      </c>
      <c r="AI15" s="64" t="s" ph="1">
        <v>333</v>
      </c>
      <c r="AK15" s="64" t="s" ph="1">
        <v>587</v>
      </c>
      <c r="AM15" s="64" t="s" ph="1">
        <v>335</v>
      </c>
      <c r="AZ15" s="64" t="s" ph="1">
        <v>216</v>
      </c>
      <c r="BA15" s="64" ph="1">
        <v>0</v>
      </c>
    </row>
    <row r="16" spans="1:99" s="72" customFormat="1" ht="22.2" ph="1">
      <c r="B16" s="217" ph="1"/>
      <c r="C16" s="155" t="s" ph="1">
        <v>178</v>
      </c>
      <c r="D16" s="73" ph="1">
        <f>D15*7.0686*LOOKUP(D17,密度!$A$2:$A$50,密度!$L$2:$L$50)</f>
        <v>0</v>
      </c>
      <c r="E16" s="73" ph="1">
        <f>E15*7.0686*LOOKUP(E17,密度!$A$2:$A$50,密度!$L$2:$L$50)</f>
        <v>23463.765309600003</v>
      </c>
      <c r="F16" s="73" ph="1">
        <f>F15*9.0746*LOOKUP(F17,密度!$A$2:$A$50,密度!$L$2:$L$50)</f>
        <v>24628.3192064</v>
      </c>
      <c r="G16" s="73" ph="1">
        <f>G15*9.0746*LOOKUP(G17,密度!$A$2:$A$50,密度!$B$2:$B$50)</f>
        <v>16288.0313011</v>
      </c>
      <c r="H16" s="73" ph="1">
        <f>H15*9.0746*LOOKUP(H17,密度!$A$2:$A$50,密度!$L$2:$L$50)</f>
        <v>18609.971889599998</v>
      </c>
      <c r="I16" s="73" ph="1">
        <f>I15*9.0746*LOOKUP(I17,密度!$A$2:$A$50,密度!$U$2:$U$50)</f>
        <v>46889.401958400005</v>
      </c>
      <c r="J16" s="73" ph="1">
        <f>J15*9.0746*LOOKUP(J17,密度!$A$2:$A$50,密度!$L$2:$L$50)</f>
        <v>43374.047112</v>
      </c>
      <c r="K16" s="73" ph="1">
        <f>K15*9.0746*LOOKUP(K17,密度!$A$2:$A$50,密度!$C$2:$C$50)</f>
        <v>6762.2176876799995</v>
      </c>
      <c r="L16" s="73" ph="1">
        <f>L15*9.0746*LOOKUP(L17,密度!$A$2:$A$50,密度!$E$2:$E$50)</f>
        <v>37824.720496200003</v>
      </c>
      <c r="M16" s="73" ph="1">
        <f>M15*9.0746*LOOKUP(M17,密度!$A$2:$A$50,密度!$M$2:$M$50)</f>
        <v>17191.149105</v>
      </c>
      <c r="N16" s="73" ph="1">
        <f>N15*9.0746*LOOKUP(N17,密度!$A$2:$A$50,密度!$M$2:$M$50)</f>
        <v>20774.133315360003</v>
      </c>
      <c r="O16" s="73" ph="1">
        <f>O15*9.0746*LOOKUP(O17,密度!$A$2:$A$50,密度!$G$2:$G$50)</f>
        <v>16587.043908399999</v>
      </c>
      <c r="P16" s="73" ph="1">
        <f ca="1">P15*9.0746*LOOKUP(P17,密度!$A$2:$A$51,密度!$Q$2:$Q$50)</f>
        <v>17431.310571904003</v>
      </c>
      <c r="Q16" s="73" ph="1">
        <f>Q15*9.0746*LOOKUP(Q17,密度!$A$2:$A$50,密度!$Q$2:$Q$50)</f>
        <v>57012.695584452005</v>
      </c>
      <c r="R16" s="73" ph="1">
        <f>MAX(R15*9.0746*LOOKUP(R17,密度!$A$2:$A$50,密度!$Q$2:$Q$50),0)</f>
        <v>0</v>
      </c>
      <c r="S16" s="73" ph="1">
        <f>S15*9.0746*LOOKUP(S17,密度!$A$2:$A$50,密度!$Q$2:$Q$50)</f>
        <v>42431.640827400006</v>
      </c>
      <c r="T16" s="73" ph="1">
        <f>T15*9.0746*LOOKUP(T17,密度!$A$2:$A$50,密度!$O$2:$O$50)</f>
        <v>39628.923393600002</v>
      </c>
      <c r="U16" s="73" ph="1">
        <f>U15*9.0746*LOOKUP(U17,密度!$A$2:$A$50,密度!$H$2:$H$50)</f>
        <v>14749.5599155</v>
      </c>
      <c r="V16" s="73" ph="1">
        <f>MAX(5600*LOOKUP(V17,密度!$A$2:$A$50,密度!$Q$2:$Q$50)+V15*9.0476*LOOKUP(V17,密度!$A$2:$A$50,密度!$Q$2:$Q$50),0)</f>
        <v>0</v>
      </c>
      <c r="W16" s="73" ph="1">
        <f>MAX(5600*LOOKUP(W17,密度!$A$2:$A$50,密度!$Q$2:$Q$50)+W15*9.0476*LOOKUP(W17,密度!$A$2:$A$50,密度!$Q$2:$Q$50),0)</f>
        <v>5520.6286856240004</v>
      </c>
      <c r="X16" s="73" ph="1">
        <f>MAX(5600*LOOKUP(X17,密度!$A$2:$A$50,密度!$I$2:$I$50)+X15*9.0476*LOOKUP(X17,密度!$A$2:$A$50,密度!$I$2:$I$50),0)</f>
        <v>13889.280307319999</v>
      </c>
      <c r="Y16" s="107" ph="1">
        <v>0</v>
      </c>
      <c r="Z16" s="73" ph="1">
        <f>Z15*9.0746*LOOKUP(Z17,密度!$A$2:$A$50,密度!$D$2:$D$50)</f>
        <v>0</v>
      </c>
      <c r="AA16" s="73" ph="1">
        <f>AA15*9.0746*LOOKUP(AA17,密度!$A$2:$A$50,密度!$B$2:$B$50)</f>
        <v>17424.63674808</v>
      </c>
      <c r="AB16" s="73" ph="1">
        <f>AB15*9.0746*LOOKUP(AB17,密度!$A$2:$A$50,密度!$L$2:$L$50)</f>
        <v>0</v>
      </c>
      <c r="AC16" s="73" ph="1">
        <f>AC15*9.0746*LOOKUP(AC17,密度!$A$2:$A$50,密度!$L$2:$L$50)</f>
        <v>0</v>
      </c>
      <c r="AD16" s="73" ph="1">
        <f>AD15*268.68*LOOKUP(AD17,密度!$A$2:$A$50,密度!B2:B50)+IF(AD15&lt;=0,0,1566*LOOKUP(AD17,密度!$A$2:$A$50,密度!B2:B50))</f>
        <v>2442.0224702400001</v>
      </c>
      <c r="AE16" s="73" ph="1">
        <f>AE15*268.68*LOOKUP(AE17,密度!$A$2:$A$50,密度!B2:B50)+IF(AE15&lt;=0,0,1566*LOOKUP(AE17,密度!$A$2:$A$50,密度!B2:B50))</f>
        <v>12303.537120479999</v>
      </c>
      <c r="AH16" s="72" ph="1">
        <v>2</v>
      </c>
      <c r="AI16" s="72" t="s" ph="1">
        <v>337</v>
      </c>
      <c r="AZ16" s="72" t="s" ph="1">
        <v>216</v>
      </c>
      <c r="BA16" s="72" ph="1">
        <v>0</v>
      </c>
    </row>
    <row r="17" spans="1:57" ph="1">
      <c r="A17" s="64" t="s" ph="1">
        <v>73</v>
      </c>
      <c r="B17" s="218" ph="1"/>
      <c r="C17" s="79" t="s" ph="1">
        <v>179</v>
      </c>
      <c r="D17" s="74">
        <v>28</v>
      </c>
      <c r="E17" s="74">
        <v>28</v>
      </c>
      <c r="F17" s="74">
        <v>30</v>
      </c>
      <c r="G17" s="74">
        <v>26</v>
      </c>
      <c r="H17" s="74">
        <v>23</v>
      </c>
      <c r="I17" s="74">
        <v>26</v>
      </c>
      <c r="J17" s="74">
        <v>27</v>
      </c>
      <c r="K17" s="74">
        <v>25</v>
      </c>
      <c r="L17" s="74">
        <v>27</v>
      </c>
      <c r="M17" s="74">
        <v>29</v>
      </c>
      <c r="N17" s="74">
        <v>25</v>
      </c>
      <c r="O17" s="74">
        <v>26</v>
      </c>
      <c r="P17" s="74">
        <v>27</v>
      </c>
      <c r="Q17" s="74">
        <v>28</v>
      </c>
      <c r="R17" s="74">
        <v>26</v>
      </c>
      <c r="S17" s="74">
        <v>28</v>
      </c>
      <c r="T17" s="74">
        <v>27</v>
      </c>
      <c r="U17" s="74">
        <v>24</v>
      </c>
      <c r="V17" s="74">
        <v>27</v>
      </c>
      <c r="W17" s="74">
        <v>28</v>
      </c>
      <c r="X17" s="74">
        <v>27</v>
      </c>
      <c r="Y17" s="108">
        <v>27</v>
      </c>
      <c r="Z17" s="74">
        <v>25</v>
      </c>
      <c r="AA17" s="74">
        <v>25</v>
      </c>
      <c r="AB17" s="74">
        <v>25</v>
      </c>
      <c r="AC17" s="74">
        <v>23</v>
      </c>
      <c r="AD17" s="74">
        <v>25</v>
      </c>
      <c r="AE17" s="74">
        <v>25</v>
      </c>
      <c r="AH17" s="64" ph="1">
        <v>3</v>
      </c>
      <c r="AI17" s="64" t="s" ph="1">
        <v>338</v>
      </c>
      <c r="AK17" s="64" t="s" ph="1">
        <v>570</v>
      </c>
      <c r="AL17" s="64" ph="1">
        <v>80</v>
      </c>
      <c r="AM17" s="64" t="s" ph="1">
        <v>335</v>
      </c>
      <c r="AZ17" s="64" t="s" ph="1">
        <v>216</v>
      </c>
      <c r="BA17" s="64" ph="1">
        <v>80</v>
      </c>
      <c r="BD17" s="64" t="s" ph="1">
        <v>214</v>
      </c>
      <c r="BE17" s="64" ph="1">
        <v>2270</v>
      </c>
    </row>
    <row r="18" spans="1:57" ht="26.4" ph="1">
      <c r="B18" s="216" ph="1">
        <v>0.66666666666666663</v>
      </c>
      <c r="C18" s="79" t="s" ph="1">
        <v>180</v>
      </c>
      <c r="D18" s="71">
        <v>2636</v>
      </c>
      <c r="E18" s="71">
        <v>3558</v>
      </c>
      <c r="F18" s="71">
        <v>3013</v>
      </c>
      <c r="G18" s="71">
        <v>2453</v>
      </c>
      <c r="H18" s="71">
        <v>2183</v>
      </c>
      <c r="I18" s="71">
        <v>5049</v>
      </c>
      <c r="J18" s="71">
        <v>5118</v>
      </c>
      <c r="K18" s="71">
        <v>672</v>
      </c>
      <c r="L18" s="71">
        <v>5347</v>
      </c>
      <c r="M18" s="71">
        <v>732</v>
      </c>
      <c r="N18" s="71">
        <v>3367</v>
      </c>
      <c r="O18" s="71">
        <v>1908</v>
      </c>
      <c r="P18" s="71">
        <v>2033</v>
      </c>
      <c r="Q18" s="71">
        <v>4964</v>
      </c>
      <c r="R18" s="71">
        <v>0</v>
      </c>
      <c r="S18" s="71">
        <v>4954</v>
      </c>
      <c r="T18" s="71">
        <v>4204</v>
      </c>
      <c r="U18" s="71">
        <v>1775</v>
      </c>
      <c r="V18" s="71">
        <v>-817</v>
      </c>
      <c r="W18" s="71">
        <v>27</v>
      </c>
      <c r="X18" s="71">
        <v>856</v>
      </c>
      <c r="Y18" s="109">
        <v>-9907</v>
      </c>
      <c r="Z18" s="71">
        <v>0</v>
      </c>
      <c r="AA18" s="71">
        <v>2465</v>
      </c>
      <c r="AB18" s="71">
        <v>0</v>
      </c>
      <c r="AC18" s="71">
        <v>12</v>
      </c>
      <c r="AD18" s="71">
        <v>22.62</v>
      </c>
      <c r="AE18" s="71">
        <v>84.72</v>
      </c>
      <c r="AH18" s="64" ph="1">
        <v>4</v>
      </c>
      <c r="AI18" s="64" t="s" ph="1">
        <v>340</v>
      </c>
      <c r="AJ18" s="64" t="s" ph="1">
        <v>588</v>
      </c>
      <c r="AK18" s="64" t="s" ph="1">
        <v>587</v>
      </c>
      <c r="AL18" s="64" ph="1">
        <v>740</v>
      </c>
      <c r="AM18" s="64" t="s" ph="1">
        <v>339</v>
      </c>
      <c r="AZ18" s="64" t="s" ph="1">
        <v>216</v>
      </c>
      <c r="BA18" s="64" ph="1">
        <v>740</v>
      </c>
    </row>
    <row r="19" spans="1:57" s="72" customFormat="1" ht="22.2" ph="1">
      <c r="B19" s="217" ph="1"/>
      <c r="C19" s="155" t="s" ph="1">
        <v>178</v>
      </c>
      <c r="D19" s="73" ph="1">
        <f>D18*7.0686*LOOKUP(D20,密度!$A$2:$A$50,密度!$L$2:$L$50)</f>
        <v>17384.430016800001</v>
      </c>
      <c r="E19" s="73" ph="1">
        <f>E18*7.0686*LOOKUP(E20,密度!$A$2:$A$50,密度!$L$2:$L$50)</f>
        <v>23465.023520400002</v>
      </c>
      <c r="F19" s="73" ph="1">
        <f>F18*9.0746*LOOKUP(F20,密度!$A$2:$A$50,密度!$L$2:$L$50)</f>
        <v>25427.845914000001</v>
      </c>
      <c r="G19" s="73" ph="1">
        <f>G18*9.0746*LOOKUP(G20,密度!$A$2:$A$50,密度!$B$2:$B$50)</f>
        <v>17296.0151826</v>
      </c>
      <c r="H19" s="73" ph="1">
        <f>H18*9.0746*LOOKUP(H20,密度!$A$2:$A$50,密度!$L$2:$L$50)</f>
        <v>18581.640988399999</v>
      </c>
      <c r="I19" s="73" ph="1">
        <f>I18*9.0746*LOOKUP(I20,密度!$A$2:$A$50,密度!$U$2:$U$50)</f>
        <v>46779.826163400001</v>
      </c>
      <c r="J19" s="73" ph="1">
        <f>J18*9.0746*LOOKUP(J20,密度!$A$2:$A$50,密度!$L$2:$L$50)</f>
        <v>43332.068012399999</v>
      </c>
      <c r="K19" s="73" ph="1">
        <f>K18*9.0746*LOOKUP(K20,密度!$A$2:$A$50,密度!$C$2:$C$50)</f>
        <v>6739.0447891199992</v>
      </c>
      <c r="L19" s="73" ph="1">
        <f>L18*9.0746*LOOKUP(L20,密度!$A$2:$A$50,密度!$E$2:$E$50)</f>
        <v>37730.618709119997</v>
      </c>
      <c r="M19" s="73" ph="1">
        <f>M18*9.0746*LOOKUP(M20,密度!$A$2:$A$50,密度!$M$2:$M$50)</f>
        <v>5764.5873803040004</v>
      </c>
      <c r="N19" s="73" ph="1">
        <f>N18*9.0746*LOOKUP(N20,密度!$A$2:$A$50,密度!$M$2:$M$50)</f>
        <v>26707.407164620003</v>
      </c>
      <c r="O19" s="73" ph="1">
        <f>O18*9.0746*LOOKUP(O20,密度!$A$2:$A$50,密度!$G$2:$G$50)</f>
        <v>16550.77454712</v>
      </c>
      <c r="P19" s="73" ph="1">
        <f ca="1">P18*9.0746*LOOKUP(P20,密度!$A$2:$A$51,密度!$Q$2:$Q$50)</f>
        <v>17414.245332874001</v>
      </c>
      <c r="Q19" s="73" ph="1">
        <f>Q18*9.0746*LOOKUP(Q20,密度!$A$2:$A$50,密度!$Q$2:$Q$50)</f>
        <v>42520.567551592008</v>
      </c>
      <c r="R19" s="73" ph="1">
        <f>MAX(R18*9.0746*LOOKUP(R20,密度!$A$2:$A$50,密度!$Q$2:$Q$50),0)</f>
        <v>0</v>
      </c>
      <c r="S19" s="73" ph="1">
        <f>S18*9.0746*LOOKUP(S20,密度!$A$2:$A$50,密度!$Q$2:$Q$50)</f>
        <v>42434.909679812008</v>
      </c>
      <c r="T19" s="73" ph="1">
        <f>T18*9.0746*LOOKUP(T20,密度!$A$2:$A$50,密度!$O$2:$O$50)</f>
        <v>35173.9481648</v>
      </c>
      <c r="U19" s="73" ph="1">
        <f>U18*9.0746*LOOKUP(U20,密度!$A$2:$A$50,密度!$H$2:$H$50)</f>
        <v>14704.459153500002</v>
      </c>
      <c r="V19" s="73" ph="1">
        <f>MAX(5600*LOOKUP(V20,密度!$A$2:$A$50,密度!$Q$2:$Q$50)+V18*9.0476*LOOKUP(V20,密度!$A$2:$A$50,密度!$Q$2:$Q$50),0)</f>
        <v>0</v>
      </c>
      <c r="W19" s="73" ph="1">
        <f>MAX(5600*LOOKUP(W20,密度!$A$2:$A$50,密度!$Q$2:$Q$50)+W18*9.0476*LOOKUP(W20,密度!$A$2:$A$50,密度!$Q$2:$Q$50),0)</f>
        <v>5513.0895577159999</v>
      </c>
      <c r="X19" s="73" ph="1">
        <f>MAX(5600*LOOKUP(X20,密度!$A$2:$A$50,密度!$I$2:$I$50)+X18*9.0476*LOOKUP(X20,密度!$A$2:$A$50,密度!$I$2:$I$50),0)</f>
        <v>13834.497763519998</v>
      </c>
      <c r="Y19" s="73" ph="1">
        <f>MAX(5600*LOOKUP(Y20,密度!$A$2:$A$50,密度!$I$2:$I$50)+Y18*9.0476*LOOKUP(Y20,密度!$A$2:$A$50,密度!$I$2:$I$50),0)</f>
        <v>0</v>
      </c>
      <c r="Z19" s="73" ph="1">
        <f>Z18*9.0746*LOOKUP(Z20,密度!$A$2:$A$50,密度!$D$2:$D$50)</f>
        <v>0</v>
      </c>
      <c r="AA19" s="73" ph="1">
        <f>AA18*9.0746*LOOKUP(AA20,密度!$A$2:$A$50,密度!$B$2:$B$50)</f>
        <v>17418.653864299999</v>
      </c>
      <c r="AB19" s="73" ph="1">
        <f>AB18*9.0746*LOOKUP(AB20,密度!$A$2:$A$50,密度!$L$2:$L$50)</f>
        <v>0</v>
      </c>
      <c r="AC19" s="73" ph="1">
        <f>AC18*9.0746*LOOKUP(AC20,密度!$A$2:$A$50,密度!$L$2:$L$50)</f>
        <v>101.81701200000001</v>
      </c>
      <c r="AD19" s="73" ph="1">
        <f>AD18*268.68*LOOKUP(AD20,密度!$A$2:$A$50,密度!B5:B53)+IF(AD18&lt;=0,0,1566*LOOKUP(AD20,密度!$A$2:$A$50,密度!B5:B53))</f>
        <v>5939.0318232000009</v>
      </c>
      <c r="AE19" s="73" ph="1">
        <f>AE18*268.68*LOOKUP(AE20,密度!$A$2:$A$50,密度!B5:B53)+IF(AE18&lt;=0,0,1566*LOOKUP(AE20,密度!$A$2:$A$50,密度!B5:B53))</f>
        <v>18903.2985792</v>
      </c>
      <c r="AH19" s="72" ph="1">
        <v>5</v>
      </c>
      <c r="AI19" s="72" t="s" ph="1">
        <v>341</v>
      </c>
      <c r="AZ19" s="72" t="s" ph="1">
        <v>216</v>
      </c>
      <c r="BA19" s="72" ph="1">
        <v>0</v>
      </c>
      <c r="BD19" s="72" t="s" ph="1">
        <v>342</v>
      </c>
      <c r="BE19" s="72" ph="1">
        <v>1440</v>
      </c>
    </row>
    <row r="20" spans="1:57" ph="1">
      <c r="A20" s="72" ph="1"/>
      <c r="B20" s="217" ph="1"/>
      <c r="C20" s="80" t="s" ph="1">
        <v>179</v>
      </c>
      <c r="D20" s="81">
        <v>29</v>
      </c>
      <c r="E20" s="81">
        <v>29</v>
      </c>
      <c r="F20" s="81">
        <v>32</v>
      </c>
      <c r="G20" s="81">
        <v>28</v>
      </c>
      <c r="H20" s="81">
        <v>24</v>
      </c>
      <c r="I20" s="81">
        <v>29</v>
      </c>
      <c r="J20" s="81">
        <v>29</v>
      </c>
      <c r="K20" s="81">
        <v>30</v>
      </c>
      <c r="L20" s="81">
        <v>30</v>
      </c>
      <c r="M20" s="81">
        <v>32</v>
      </c>
      <c r="N20" s="81">
        <v>26</v>
      </c>
      <c r="O20" s="81">
        <v>29</v>
      </c>
      <c r="P20" s="81">
        <v>29</v>
      </c>
      <c r="Q20" s="81">
        <v>29</v>
      </c>
      <c r="R20" s="81">
        <v>33</v>
      </c>
      <c r="S20" s="81">
        <v>29</v>
      </c>
      <c r="T20" s="81">
        <v>30</v>
      </c>
      <c r="U20" s="81">
        <v>27</v>
      </c>
      <c r="V20" s="81">
        <v>29</v>
      </c>
      <c r="W20" s="81">
        <v>30</v>
      </c>
      <c r="X20" s="81">
        <v>30</v>
      </c>
      <c r="Y20" s="110">
        <v>30</v>
      </c>
      <c r="Z20" s="81">
        <v>30</v>
      </c>
      <c r="AA20" s="81">
        <v>26</v>
      </c>
      <c r="AB20" s="81">
        <v>30</v>
      </c>
      <c r="AC20" s="81">
        <v>27</v>
      </c>
      <c r="AD20" s="81">
        <v>25</v>
      </c>
      <c r="AE20" s="81">
        <v>25</v>
      </c>
      <c r="AF20" s="64" t="s" ph="1">
        <v>35</v>
      </c>
      <c r="AH20" s="64" ph="1">
        <v>6</v>
      </c>
      <c r="AI20" s="64" t="s" ph="1">
        <v>343</v>
      </c>
      <c r="AZ20" s="64" t="s" ph="1">
        <v>216</v>
      </c>
      <c r="BA20" s="64" ph="1">
        <v>0</v>
      </c>
    </row>
    <row r="21" spans="1:57" ph="1">
      <c r="A21" s="72" ph="1"/>
      <c r="B21" s="82" ph="1"/>
      <c r="C21" s="83" ph="1"/>
      <c r="D21" s="84"/>
      <c r="E21" s="84"/>
      <c r="F21" s="84"/>
      <c r="G21" s="84"/>
      <c r="H21" s="84"/>
      <c r="I21" s="84"/>
      <c r="J21" s="84"/>
      <c r="K21" s="84"/>
      <c r="L21" s="84"/>
      <c r="M21" s="84"/>
      <c r="N21" s="84"/>
      <c r="O21" s="84"/>
      <c r="P21" s="84"/>
      <c r="Q21" s="84"/>
      <c r="R21" s="84"/>
      <c r="S21" s="84"/>
      <c r="T21" s="84"/>
      <c r="U21" s="84"/>
      <c r="V21" s="84"/>
      <c r="W21" s="84"/>
      <c r="X21" s="84"/>
      <c r="Y21" s="84"/>
      <c r="Z21" s="84"/>
      <c r="AA21" s="84"/>
      <c r="AB21" s="84"/>
      <c r="AC21" s="84"/>
      <c r="AD21" s="84"/>
      <c r="AE21" s="84"/>
      <c r="AH21" s="64" ph="1">
        <v>7</v>
      </c>
      <c r="AI21" s="64" t="s" ph="1">
        <v>344</v>
      </c>
      <c r="AZ21" s="64" t="s" ph="1">
        <v>216</v>
      </c>
      <c r="BA21" s="64" ph="1">
        <v>0</v>
      </c>
      <c r="BD21" s="64" t="s" ph="1">
        <v>232</v>
      </c>
      <c r="BE21" s="64" ph="1">
        <v>730</v>
      </c>
    </row>
    <row r="22" spans="1:57" ph="1">
      <c r="A22" s="72" ph="1"/>
      <c r="B22" s="215" t="s" ph="1">
        <v>37</v>
      </c>
      <c r="C22" s="85" t="s" ph="1">
        <v>176</v>
      </c>
      <c r="D22" s="86" t="s" ph="1">
        <v>86</v>
      </c>
      <c r="E22" s="86" t="s" ph="1">
        <v>87</v>
      </c>
      <c r="F22" s="86" t="s" ph="1">
        <v>88</v>
      </c>
      <c r="G22" s="86" t="s" ph="1">
        <v>89</v>
      </c>
      <c r="H22" s="86" t="s" ph="1">
        <v>90</v>
      </c>
      <c r="I22" s="86" t="s" ph="1">
        <v>91</v>
      </c>
      <c r="J22" s="86" t="s" ph="1">
        <v>92</v>
      </c>
      <c r="K22" s="86" t="s" ph="1">
        <v>93</v>
      </c>
      <c r="L22" s="86" t="s" ph="1">
        <v>94</v>
      </c>
      <c r="M22" s="86" t="s" ph="1">
        <v>95</v>
      </c>
      <c r="N22" s="86" t="s" ph="1">
        <v>96</v>
      </c>
      <c r="O22" s="86" t="s" ph="1">
        <v>97</v>
      </c>
      <c r="P22" s="86" t="s" ph="1">
        <v>98</v>
      </c>
      <c r="Q22" s="87" t="s" ph="1">
        <v>99</v>
      </c>
      <c r="R22" s="86" t="s" ph="1">
        <v>100</v>
      </c>
      <c r="S22" s="86" t="s" ph="1">
        <v>101</v>
      </c>
      <c r="T22" s="86" t="s" ph="1">
        <v>102</v>
      </c>
      <c r="U22" s="86" t="s" ph="1">
        <v>103</v>
      </c>
      <c r="V22" s="86" t="s" ph="1">
        <v>104</v>
      </c>
      <c r="W22" s="86" t="s" ph="1">
        <v>105</v>
      </c>
      <c r="X22" s="86" t="s" ph="1">
        <v>106</v>
      </c>
      <c r="Y22" s="86" t="s" ph="1">
        <v>108</v>
      </c>
      <c r="Z22" s="225" t="s" ph="1">
        <v>69</v>
      </c>
      <c r="AA22" s="226"/>
      <c r="AB22" s="226"/>
      <c r="AC22" s="226"/>
      <c r="AD22" s="226"/>
      <c r="AE22" s="227"/>
      <c r="AH22" s="64" ph="1">
        <v>8</v>
      </c>
      <c r="AI22" s="64" t="s" ph="1">
        <v>345</v>
      </c>
      <c r="AZ22" s="64" t="s" ph="1">
        <v>216</v>
      </c>
      <c r="BA22" s="64" ph="1">
        <v>0</v>
      </c>
    </row>
    <row r="23" spans="1:57" ph="1">
      <c r="A23" s="72" ph="1"/>
      <c r="B23" s="219" ph="1"/>
      <c r="C23" s="67" t="s" ph="1">
        <v>36</v>
      </c>
      <c r="D23" s="88" t="s" ph="1">
        <v>109</v>
      </c>
      <c r="E23" s="88" t="s" ph="1">
        <v>107</v>
      </c>
      <c r="F23" s="88" t="s" ph="1">
        <v>109</v>
      </c>
      <c r="G23" s="88" t="s" ph="1">
        <v>626</v>
      </c>
      <c r="H23" s="88" t="s" ph="1">
        <v>626</v>
      </c>
      <c r="I23" s="88" t="s" ph="1">
        <v>627</v>
      </c>
      <c r="J23" s="88" t="s" ph="1">
        <v>628</v>
      </c>
      <c r="K23" s="88" t="s" ph="1">
        <v>628</v>
      </c>
      <c r="L23" s="88" t="s" ph="1">
        <v>628</v>
      </c>
      <c r="M23" s="88" t="s" ph="1">
        <v>623</v>
      </c>
      <c r="N23" s="88" t="s" ph="1">
        <v>623</v>
      </c>
      <c r="O23" s="88" t="s" ph="1">
        <v>645</v>
      </c>
      <c r="P23" s="88" t="s" ph="1">
        <v>629</v>
      </c>
      <c r="Q23" s="89" t="s" ph="1">
        <v>643</v>
      </c>
      <c r="R23" s="88" t="s" ph="1">
        <v>610</v>
      </c>
      <c r="S23" s="88" t="s" ph="1">
        <v>629</v>
      </c>
      <c r="T23" s="88" t="s" ph="1">
        <v>604</v>
      </c>
      <c r="U23" s="104" t="s" ph="1">
        <v>606</v>
      </c>
      <c r="V23" s="88" t="s" ph="1">
        <v>629</v>
      </c>
      <c r="W23" s="88" t="s" ph="1">
        <v>629</v>
      </c>
      <c r="X23" s="88" t="s" ph="1">
        <v>187</v>
      </c>
      <c r="Y23" s="88" t="s" ph="1">
        <v>630</v>
      </c>
      <c r="Z23" s="228" t="s" ph="1">
        <v>641</v>
      </c>
      <c r="AA23" s="229"/>
      <c r="AB23" s="229"/>
      <c r="AC23" s="229"/>
      <c r="AD23" s="229"/>
      <c r="AE23" s="230"/>
      <c r="AH23" s="64" ph="1">
        <v>9</v>
      </c>
      <c r="AI23" s="64" t="s" ph="1">
        <v>346</v>
      </c>
      <c r="AZ23" s="64" t="s" ph="1">
        <v>216</v>
      </c>
      <c r="BA23" s="64" ph="1">
        <v>0</v>
      </c>
      <c r="BD23" s="64" t="s" ph="1">
        <v>238</v>
      </c>
      <c r="BE23" s="64" ph="1">
        <v>890</v>
      </c>
    </row>
    <row r="24" spans="1:57" ph="1">
      <c r="A24" s="72" ph="1"/>
      <c r="B24" s="237" ph="1">
        <v>0.33333333333333331</v>
      </c>
      <c r="C24" s="155" t="s" ph="1">
        <v>177</v>
      </c>
      <c r="D24" s="71">
        <v>3.32</v>
      </c>
      <c r="E24" s="71">
        <v>5.66</v>
      </c>
      <c r="F24" s="71">
        <v>2</v>
      </c>
      <c r="G24" s="71">
        <v>1685</v>
      </c>
      <c r="H24" s="71">
        <v>2261</v>
      </c>
      <c r="I24" s="71">
        <v>4150</v>
      </c>
      <c r="J24" s="71">
        <v>298</v>
      </c>
      <c r="K24" s="71">
        <v>210</v>
      </c>
      <c r="L24" s="71">
        <v>301</v>
      </c>
      <c r="M24" s="71">
        <v>1616</v>
      </c>
      <c r="N24" s="71">
        <v>284</v>
      </c>
      <c r="O24" s="71">
        <v>318</v>
      </c>
      <c r="P24" s="71">
        <v>363</v>
      </c>
      <c r="Q24" s="90">
        <v>2175</v>
      </c>
      <c r="R24" s="71">
        <v>4752</v>
      </c>
      <c r="S24" s="71">
        <v>2276</v>
      </c>
      <c r="T24" s="71">
        <v>24</v>
      </c>
      <c r="U24" s="71">
        <v>6339</v>
      </c>
      <c r="V24" s="71">
        <v>737</v>
      </c>
      <c r="W24" s="71">
        <v>432</v>
      </c>
      <c r="X24" s="71">
        <v>2842</v>
      </c>
      <c r="Y24" s="71">
        <v>2308</v>
      </c>
      <c r="Z24" s="231"/>
      <c r="AA24" s="232"/>
      <c r="AB24" s="232"/>
      <c r="AC24" s="232"/>
      <c r="AD24" s="232"/>
      <c r="AE24" s="233"/>
      <c r="AH24" s="64" ph="1">
        <v>10</v>
      </c>
      <c r="AI24" s="64" t="s" ph="1">
        <v>347</v>
      </c>
      <c r="AZ24" s="64" t="s" ph="1">
        <v>216</v>
      </c>
      <c r="BA24" s="64" ph="1">
        <v>0</v>
      </c>
    </row>
    <row r="25" spans="1:57" ph="1">
      <c r="A25" s="72" ph="1"/>
      <c r="B25" s="237" ph="1"/>
      <c r="C25" s="68" t="s" ph="1">
        <v>178</v>
      </c>
      <c r="D25" s="91" ph="1">
        <f>D24*268.68*LOOKUP(D26,密度!$A$2:$A$50,密度!$Q$2:$Q$50)+IF(D24&lt;=0,0,1566*LOOKUP(D26,密度!$A$2:$A$50,密度!$Q$2:$Q$50))</f>
        <v>2327.103582624</v>
      </c>
      <c r="E25" s="91" ph="1">
        <f>E24*268.68*LOOKUP(E26,密度!$A$2:$A$50,密度!$C$2:$C$50)+IF(E24&lt;=0,0,1566*LOOKUP(E26,密度!$A$2:$A$50,密度!$C$2:$C$50))</f>
        <v>3422.87356632</v>
      </c>
      <c r="F25" s="91" ph="1">
        <f>F24*11.702*LOOKUP(F26,密度!$A$2:$A$50,密度!$Q$2:$Q$50)</f>
        <v>22.12426928</v>
      </c>
      <c r="G25" s="91" ph="1">
        <f>G24*18.322*LOOKUP(G26,密度!$A$2:$A$50,密度!$B$2:$B$50)</f>
        <v>24068.255571999998</v>
      </c>
      <c r="H25" s="91" ph="1">
        <f>H24*18.322*LOOKUP(H26,密度!$A$2:$A$50,密度!$B$2:$B$50)</f>
        <v>32258.458905399999</v>
      </c>
      <c r="I25" s="91" ph="1">
        <f>I24*18.322*LOOKUP(I26,密度!$A$2:$A$50,密度!$Q$2:$Q$50)</f>
        <v>71932.620889000013</v>
      </c>
      <c r="J25" s="91" ph="1">
        <f>J24*18.322*LOOKUP(J26,密度!$A$2:$A$50,密度!$Q$2:$Q$50)</f>
        <v>5173.1445113200007</v>
      </c>
      <c r="K25" s="91" ph="1">
        <f>K24*18.322*LOOKUP(K26,密度!$A$2:$A$50,密度!$Q$2:$Q$50)</f>
        <v>3642.6957588</v>
      </c>
      <c r="L25" s="91" ph="1">
        <f>L24*18.322*LOOKUP(L26,密度!$A$2:$A$50,密度!$Q$2:$Q$50)</f>
        <v>5217.2816596599996</v>
      </c>
      <c r="M25" s="91" ph="1">
        <f>M24*18.322*LOOKUP(M26,密度!$A$2:$A$50,密度!$Q$2:$Q$50)</f>
        <v>28053.025269440001</v>
      </c>
      <c r="N25" s="91" ph="1">
        <f>N24*18.322*LOOKUP(N26,密度!$A$2:$A$50,密度!$Q$2:$Q$50)</f>
        <v>4926.3123595199995</v>
      </c>
      <c r="O25" s="91" ph="1">
        <f>O24*18.322*LOOKUP(O26,密度!$A$2:$A$50,密度!$C$2:$C$50)</f>
        <v>6460.8905243999998</v>
      </c>
      <c r="P25" s="91" ph="1">
        <f>P24*11.702*LOOKUP(P26,密度!$A$2:$A$50,密度!$B$2:$B$50)</f>
        <v>3307.7821061999998</v>
      </c>
      <c r="Q25" s="92" ph="1">
        <f>Q24*18.322*LOOKUP(Q26,密度!$A$2:$A$50,密度!$B$2:$B$50)</f>
        <v>30999.587265000002</v>
      </c>
      <c r="R25" s="91" ph="1">
        <f>R24*35.891*LOOKUP(R26,密度!$A$2:$A$50,密度!$C$2:$C$50)</f>
        <v>188990.92285919999</v>
      </c>
      <c r="S25" s="91" ph="1">
        <f>S24*35.891*LOOKUP(S26,密度!$A$2:$A$50,密度!$B$2:$B$50)</f>
        <v>63610.38018919999</v>
      </c>
      <c r="T25" s="91" ph="1">
        <f>T24*35.891*LOOKUP(T26,密度!$A$2:$A$50,密度!$Q$2:$Q$50)</f>
        <v>814.28352288000008</v>
      </c>
      <c r="U25" s="91" ph="1">
        <f>U24*35.891</f>
        <v>227513.049</v>
      </c>
      <c r="V25" s="91" ph="1">
        <f>V24*47.051*LOOKUP(V26,密度!$A$2:$A$50,密度!$B$2:$B$50)</f>
        <v>27002.658296899997</v>
      </c>
      <c r="W25" s="91" ph="1">
        <f>W24*47.051*LOOKUP(W26,密度!$A$2:$A$50,密度!$B$2:$B$50)</f>
        <v>15811.6202928</v>
      </c>
      <c r="X25" s="91" ph="1">
        <f>X24*47.051*LOOKUP(X26,密度!$A$2:$A$61,密度!$I$2:$I$61)</f>
        <v>138933.98073800001</v>
      </c>
      <c r="Y25" s="91" ph="1">
        <f>Y24*47.051*LOOKUP(Y26,密度!$A$2:$A$50,密度!$L$2:$L$50)</f>
        <v>101535.11698000001</v>
      </c>
      <c r="Z25" s="231"/>
      <c r="AA25" s="232"/>
      <c r="AB25" s="232"/>
      <c r="AC25" s="232"/>
      <c r="AD25" s="232"/>
      <c r="AE25" s="233"/>
      <c r="AH25" s="64" ph="1">
        <v>11</v>
      </c>
      <c r="AI25" s="64" t="s" ph="1">
        <v>348</v>
      </c>
      <c r="AZ25" s="64" t="s" ph="1">
        <v>216</v>
      </c>
      <c r="BA25" s="64" ph="1">
        <v>0</v>
      </c>
      <c r="BD25" s="64" t="s" ph="1">
        <v>241</v>
      </c>
      <c r="BE25" s="64" ph="1">
        <v>8920</v>
      </c>
    </row>
    <row r="26" spans="1:57" ph="1">
      <c r="A26" s="72" ph="1"/>
      <c r="B26" s="237" ph="1"/>
      <c r="C26" s="68" t="s" ph="1">
        <v>179</v>
      </c>
      <c r="D26" s="74">
        <v>25</v>
      </c>
      <c r="E26" s="74">
        <v>25</v>
      </c>
      <c r="F26" s="74">
        <v>27</v>
      </c>
      <c r="G26" s="74">
        <v>25</v>
      </c>
      <c r="H26" s="74">
        <v>26</v>
      </c>
      <c r="I26" s="74">
        <v>26</v>
      </c>
      <c r="J26" s="74">
        <v>24</v>
      </c>
      <c r="K26" s="74">
        <v>25</v>
      </c>
      <c r="L26" s="74">
        <v>26</v>
      </c>
      <c r="M26" s="74">
        <v>24</v>
      </c>
      <c r="N26" s="74">
        <v>25</v>
      </c>
      <c r="O26" s="74">
        <v>25</v>
      </c>
      <c r="P26" s="74">
        <v>26</v>
      </c>
      <c r="Q26" s="93">
        <v>27</v>
      </c>
      <c r="R26" s="74">
        <v>26</v>
      </c>
      <c r="S26" s="74">
        <v>26</v>
      </c>
      <c r="T26" s="74">
        <v>27</v>
      </c>
      <c r="U26" s="74">
        <v>26</v>
      </c>
      <c r="V26" s="74">
        <v>26</v>
      </c>
      <c r="W26" s="74">
        <v>27</v>
      </c>
      <c r="X26" s="74">
        <v>28</v>
      </c>
      <c r="Y26" s="74">
        <v>27</v>
      </c>
      <c r="Z26" s="231"/>
      <c r="AA26" s="232"/>
      <c r="AB26" s="232"/>
      <c r="AC26" s="232"/>
      <c r="AD26" s="232"/>
      <c r="AE26" s="233"/>
      <c r="AH26" s="64" ph="1">
        <v>12</v>
      </c>
      <c r="AI26" s="64" t="s" ph="1">
        <v>349</v>
      </c>
      <c r="AZ26" s="64" t="s" ph="1">
        <v>216</v>
      </c>
      <c r="BA26" s="64" ph="1">
        <v>0</v>
      </c>
    </row>
    <row r="27" spans="1:57" ht="26.4" ph="1">
      <c r="A27" s="72" ph="1"/>
      <c r="B27" s="237" ph="1">
        <v>0.66666666666666663</v>
      </c>
      <c r="C27" s="155" t="s" ph="1">
        <v>180</v>
      </c>
      <c r="D27" s="71">
        <v>3.3</v>
      </c>
      <c r="E27" s="71">
        <v>5.67</v>
      </c>
      <c r="F27" s="71">
        <v>0</v>
      </c>
      <c r="G27" s="71">
        <v>1290</v>
      </c>
      <c r="H27" s="71">
        <v>1819</v>
      </c>
      <c r="I27" s="71">
        <v>4491</v>
      </c>
      <c r="J27" s="71">
        <v>293</v>
      </c>
      <c r="K27" s="71">
        <v>207</v>
      </c>
      <c r="L27" s="71">
        <v>298</v>
      </c>
      <c r="M27" s="71">
        <v>1245</v>
      </c>
      <c r="N27" s="71">
        <v>281</v>
      </c>
      <c r="O27" s="71">
        <v>315</v>
      </c>
      <c r="P27" s="71">
        <v>361</v>
      </c>
      <c r="Q27" s="90">
        <v>2403</v>
      </c>
      <c r="R27" s="71">
        <v>4751</v>
      </c>
      <c r="S27" s="71">
        <v>2274</v>
      </c>
      <c r="T27" s="71">
        <v>23</v>
      </c>
      <c r="U27" s="71">
        <v>6285</v>
      </c>
      <c r="V27" s="71">
        <v>734</v>
      </c>
      <c r="W27" s="71">
        <v>430</v>
      </c>
      <c r="X27" s="71">
        <v>3103</v>
      </c>
      <c r="Y27" s="71">
        <v>688</v>
      </c>
      <c r="Z27" s="231"/>
      <c r="AA27" s="232"/>
      <c r="AB27" s="232"/>
      <c r="AC27" s="232"/>
      <c r="AD27" s="232"/>
      <c r="AE27" s="233"/>
      <c r="AH27" s="64" ph="1">
        <v>13</v>
      </c>
      <c r="AI27" s="64" t="s" ph="1">
        <v>350</v>
      </c>
      <c r="AZ27" s="64" t="s" ph="1">
        <v>216</v>
      </c>
      <c r="BA27" s="64" ph="1">
        <v>0</v>
      </c>
      <c r="BD27" s="64" t="s" ph="1">
        <v>295</v>
      </c>
      <c r="BE27" s="64" ph="1">
        <v>7100</v>
      </c>
    </row>
    <row r="28" spans="1:57" ph="1">
      <c r="A28" s="72" ph="1"/>
      <c r="B28" s="237" ph="1"/>
      <c r="C28" s="155" t="s" ph="1">
        <v>178</v>
      </c>
      <c r="D28" s="91" ph="1">
        <f>D27*268.68*LOOKUP(D29,密度!$A$2:$A$50,密度!$Q$2:$Q$50)+IF(D27&lt;=0,0,1566*LOOKUP(D29,密度!$A$2:$A$50,密度!$Q$2:$Q$50))</f>
        <v>2322.0161805600001</v>
      </c>
      <c r="E28" s="91" ph="1">
        <f>E27*268.68*LOOKUP(E29,密度!$A$2:$A$50,密度!$C$2:$C$50)+IF(E27&lt;=0,0,1566*LOOKUP(E29,密度!$A$2:$A$50,密度!$C$2:$C$50))</f>
        <v>3425.8529588399997</v>
      </c>
      <c r="F28" s="91" ph="1">
        <f>F27*11.702*LOOKUP(F29,密度!$A$2:$A$50,密度!$Q$2:$Q$50)</f>
        <v>0</v>
      </c>
      <c r="G28" s="91" ph="1">
        <f>G27*18.322*LOOKUP(G29,密度!$A$2:$A$50,密度!$B$2:$B$50)</f>
        <v>18345.781955999999</v>
      </c>
      <c r="H28" s="91" ph="1">
        <f>H27*18.322*LOOKUP(H29,密度!$A$2:$A$50,密度!$B$2:$B$50)</f>
        <v>25925.631832200001</v>
      </c>
      <c r="I28" s="91" ph="1">
        <f>I27*18.322*LOOKUP(I29,密度!$A$2:$A$50,密度!$Q$2:$Q$50)</f>
        <v>77784.807302640009</v>
      </c>
      <c r="J28" s="91" ph="1">
        <f>J27*18.322*LOOKUP(J29,密度!$A$2:$A$50,密度!$Q$2:$Q$50)</f>
        <v>5071.0469985199998</v>
      </c>
      <c r="K28" s="91" ph="1">
        <f>K27*18.322*LOOKUP(K29,密度!$A$2:$A$50,密度!$Q$2:$Q$50)</f>
        <v>3582.61682148</v>
      </c>
      <c r="L28" s="91" ph="1">
        <f>L27*18.322*LOOKUP(L29,密度!$A$2:$A$50,密度!$Q$2:$Q$50)</f>
        <v>5161.4056059200002</v>
      </c>
      <c r="M28" s="91" ph="1">
        <f>M27*18.322*LOOKUP(M29,密度!$A$2:$A$50,密度!$Q$2:$Q$50)</f>
        <v>21531.883397699999</v>
      </c>
      <c r="N28" s="91" ph="1">
        <f>N27*18.322*LOOKUP(N29,密度!$A$2:$A$50,密度!$Q$2:$Q$50)</f>
        <v>4866.9630042400004</v>
      </c>
      <c r="O28" s="91" ph="1">
        <f>O27*18.322*LOOKUP(O29,密度!$A$2:$A$50,密度!$C$2:$C$50)</f>
        <v>6391.2815819999987</v>
      </c>
      <c r="P28" s="91" ph="1">
        <f>P27*11.702*LOOKUP(P29,密度!$A$2:$A$50,密度!$B$2:$B$50)</f>
        <v>3282.3758939999998</v>
      </c>
      <c r="Q28" s="92" ph="1">
        <f>Q27*18.322*LOOKUP(Q29,密度!$A$2:$A$50,密度!$B$2:$B$50)</f>
        <v>34174.351969199997</v>
      </c>
      <c r="R28" s="91" ph="1">
        <f>R27*35.891*LOOKUP(R29,密度!$A$2:$A$50,密度!$C$2:$C$50)</f>
        <v>188576.01213190003</v>
      </c>
      <c r="S28" s="91" ph="1">
        <f>S27*35.891*LOOKUP(S29,密度!$A$2:$A$50,密度!$B$2:$B$50)</f>
        <v>63489.190638599997</v>
      </c>
      <c r="T28" s="91" ph="1">
        <f>T27*35.891*LOOKUP(T29,密度!$A$2:$A$50,密度!$Q$2:$Q$50)</f>
        <v>780.35504275999995</v>
      </c>
      <c r="U28" s="91" ph="1">
        <f>U27*35.891</f>
        <v>225574.935</v>
      </c>
      <c r="V28" s="91" ph="1">
        <f>V27*47.051*LOOKUP(V29,密度!$A$2:$A$50,密度!$B$2:$B$50)</f>
        <v>26834.032218</v>
      </c>
      <c r="W28" s="91" ph="1">
        <f>W27*47.051*LOOKUP(W29,密度!$A$2:$A$50,密度!$B$2:$B$50)</f>
        <v>15720.20961</v>
      </c>
      <c r="X28" s="91" ph="1">
        <f>X27*47.051*LOOKUP(X29,密度!$A$2:$A$61,密度!$I$2:$I$61)</f>
        <v>151036.22722850001</v>
      </c>
      <c r="Y28" s="91" ph="1">
        <f>Y27*47.051*LOOKUP(Y29,密度!$A$2:$A$50,密度!$L$2:$L$50)</f>
        <v>30137.482928000001</v>
      </c>
      <c r="Z28" s="231"/>
      <c r="AA28" s="232"/>
      <c r="AB28" s="232"/>
      <c r="AC28" s="232"/>
      <c r="AD28" s="232"/>
      <c r="AE28" s="233"/>
      <c r="AH28" s="64" ph="1">
        <v>14</v>
      </c>
      <c r="AI28" s="64" t="s" ph="1">
        <v>351</v>
      </c>
      <c r="AZ28" s="64" t="s" ph="1">
        <v>216</v>
      </c>
      <c r="BA28" s="64" ph="1">
        <v>0</v>
      </c>
    </row>
    <row r="29" spans="1:57" ph="1">
      <c r="A29" s="72" ph="1"/>
      <c r="B29" s="237" ph="1"/>
      <c r="C29" s="155" t="s" ph="1">
        <v>179</v>
      </c>
      <c r="D29" s="74">
        <v>25</v>
      </c>
      <c r="E29" s="74">
        <v>25</v>
      </c>
      <c r="F29" s="74">
        <v>29</v>
      </c>
      <c r="G29" s="74">
        <v>29</v>
      </c>
      <c r="H29" s="74">
        <v>27</v>
      </c>
      <c r="I29" s="74">
        <v>27</v>
      </c>
      <c r="J29" s="74">
        <v>28</v>
      </c>
      <c r="K29" s="74">
        <v>28</v>
      </c>
      <c r="L29" s="74">
        <v>27</v>
      </c>
      <c r="M29" s="74">
        <v>29</v>
      </c>
      <c r="N29" s="74">
        <v>27</v>
      </c>
      <c r="O29" s="74">
        <v>27</v>
      </c>
      <c r="P29" s="74">
        <v>28</v>
      </c>
      <c r="Q29" s="93">
        <v>29</v>
      </c>
      <c r="R29" s="74">
        <v>29</v>
      </c>
      <c r="S29" s="74">
        <v>27</v>
      </c>
      <c r="T29" s="74">
        <v>27</v>
      </c>
      <c r="U29" s="74">
        <v>26</v>
      </c>
      <c r="V29" s="74">
        <v>28</v>
      </c>
      <c r="W29" s="74">
        <v>28</v>
      </c>
      <c r="X29" s="74">
        <v>32</v>
      </c>
      <c r="Y29" s="74">
        <v>31</v>
      </c>
      <c r="Z29" s="234"/>
      <c r="AA29" s="235"/>
      <c r="AB29" s="235"/>
      <c r="AC29" s="235"/>
      <c r="AD29" s="235"/>
      <c r="AE29" s="236"/>
      <c r="AH29" s="64" ph="1">
        <v>15</v>
      </c>
      <c r="AI29" s="64" t="s" ph="1">
        <v>352</v>
      </c>
      <c r="AZ29" s="64" t="s" ph="1">
        <v>216</v>
      </c>
      <c r="BA29" s="64" ph="1">
        <v>0</v>
      </c>
      <c r="BD29" s="64" t="s" ph="1">
        <v>353</v>
      </c>
      <c r="BE29" s="64" ph="1">
        <v>890</v>
      </c>
    </row>
    <row r="30" spans="1:57" ph="1">
      <c r="D30" s="94" ph="1"/>
      <c r="Z30" s="64" t="s" ph="1">
        <v>35</v>
      </c>
      <c r="AE30" s="95" ph="1"/>
      <c r="AH30" s="64" ph="1">
        <v>16</v>
      </c>
      <c r="AI30" s="64" t="s" ph="1">
        <v>354</v>
      </c>
      <c r="AZ30" s="64" t="s" ph="1">
        <v>216</v>
      </c>
      <c r="BA30" s="64" ph="1">
        <v>0</v>
      </c>
    </row>
    <row r="31" spans="1:57" ht="28.2" ph="1">
      <c r="A31" s="64"/>
      <c r="B31" s="220" t="s" ph="1">
        <v>35</v>
      </c>
      <c r="C31" s="221" ph="1"/>
      <c r="D31" s="224" t="s" ph="1">
        <v>9</v>
      </c>
      <c r="E31" s="199" ph="1"/>
      <c r="F31" s="200" ph="1"/>
      <c r="G31" s="224" t="s" ph="1">
        <v>18</v>
      </c>
      <c r="H31" s="199" ph="1"/>
      <c r="I31" s="200" ph="1"/>
      <c r="J31" s="198" t="s" ph="1">
        <v>1</v>
      </c>
      <c r="K31" s="199" ph="1"/>
      <c r="L31" s="200" ph="1"/>
      <c r="M31" s="198" t="s" ph="1">
        <v>7</v>
      </c>
      <c r="N31" s="199" ph="1"/>
      <c r="O31" s="200" ph="1"/>
      <c r="P31" s="198" t="s" ph="1">
        <v>41</v>
      </c>
      <c r="Q31" s="199"/>
      <c r="R31" s="200"/>
      <c r="S31" s="198" t="s" ph="1">
        <v>2</v>
      </c>
      <c r="T31" s="199"/>
      <c r="U31" s="200"/>
      <c r="V31" s="198" t="s" ph="1">
        <v>71</v>
      </c>
      <c r="W31" s="199" ph="1"/>
      <c r="X31" s="200" ph="1"/>
      <c r="Y31" s="198" t="s" ph="1">
        <v>3</v>
      </c>
      <c r="Z31" s="199" ph="1"/>
      <c r="AA31" s="200" ph="1"/>
      <c r="AB31" s="201" t="s">
        <v>42</v>
      </c>
      <c r="AC31" s="202"/>
      <c r="AD31" s="202"/>
      <c r="AE31" s="203"/>
      <c r="AH31" s="64" ph="1">
        <v>17</v>
      </c>
      <c r="AI31" s="64" t="s" ph="1">
        <v>355</v>
      </c>
      <c r="AZ31" s="64" t="s" ph="1">
        <v>216</v>
      </c>
      <c r="BA31" s="64" ph="1">
        <v>0</v>
      </c>
      <c r="BD31" s="64" t="s" ph="1">
        <v>356</v>
      </c>
      <c r="BE31" s="64" ph="1">
        <v>9310</v>
      </c>
    </row>
    <row r="32" spans="1:57" ph="1">
      <c r="A32" s="64"/>
      <c r="B32" s="222" ph="1"/>
      <c r="C32" s="223" ph="1"/>
      <c r="D32" s="96" t="s" ph="1">
        <v>4</v>
      </c>
      <c r="E32" s="155" t="s" ph="1">
        <v>5</v>
      </c>
      <c r="F32" s="154" t="s" ph="1">
        <v>43</v>
      </c>
      <c r="G32" s="97" t="s" ph="1">
        <v>4</v>
      </c>
      <c r="H32" s="155" t="s" ph="1">
        <v>5</v>
      </c>
      <c r="I32" s="154" t="s" ph="1">
        <v>43</v>
      </c>
      <c r="J32" s="97" t="s" ph="1">
        <v>4</v>
      </c>
      <c r="K32" s="155" t="s" ph="1">
        <v>5</v>
      </c>
      <c r="L32" s="154" t="s" ph="1">
        <v>43</v>
      </c>
      <c r="M32" s="97" t="s" ph="1">
        <v>4</v>
      </c>
      <c r="N32" s="155" t="s" ph="1">
        <v>5</v>
      </c>
      <c r="O32" s="154" t="s" ph="1">
        <v>43</v>
      </c>
      <c r="P32" s="97" t="s" ph="1">
        <v>4</v>
      </c>
      <c r="Q32" s="98" t="s" ph="1">
        <v>5</v>
      </c>
      <c r="R32" s="99" t="s" ph="1">
        <v>43</v>
      </c>
      <c r="S32" s="97" t="s" ph="1">
        <v>4</v>
      </c>
      <c r="T32" s="155" t="s" ph="1">
        <v>5</v>
      </c>
      <c r="U32" s="99" t="s" ph="1">
        <v>43</v>
      </c>
      <c r="V32" s="97" t="s" ph="1">
        <v>4</v>
      </c>
      <c r="W32" s="155" t="s" ph="1">
        <v>5</v>
      </c>
      <c r="X32" s="99" t="s" ph="1">
        <v>43</v>
      </c>
      <c r="Y32" s="100" t="s" ph="1">
        <v>4</v>
      </c>
      <c r="Z32" s="155" t="s" ph="1">
        <v>5</v>
      </c>
      <c r="AA32" s="154" t="s" ph="1">
        <v>43</v>
      </c>
      <c r="AB32" s="97" t="s" ph="1">
        <v>85</v>
      </c>
      <c r="AC32" s="155" t="s" ph="1">
        <v>84</v>
      </c>
      <c r="AD32" s="204" t="s" ph="1">
        <v>83</v>
      </c>
      <c r="AE32" s="205"/>
      <c r="AH32" s="64" ph="1">
        <v>18</v>
      </c>
      <c r="AI32" s="64" t="s" ph="1">
        <v>357</v>
      </c>
      <c r="AZ32" s="64" t="s" ph="1">
        <v>216</v>
      </c>
      <c r="BA32" s="64" ph="1">
        <v>0</v>
      </c>
    </row>
    <row r="33" spans="1:57" ph="1">
      <c r="A33" s="64"/>
      <c r="B33" s="206" t="s" ph="1">
        <v>181</v>
      </c>
      <c r="C33" s="207" ph="1"/>
      <c r="D33" s="186" ph="1">
        <f>AA10+AB10+Z19</f>
        <v>67018.705519199997</v>
      </c>
      <c r="E33" s="186" ph="1">
        <f>M10+I10</f>
        <v>111080.90525309998</v>
      </c>
      <c r="F33" s="210" ph="1">
        <f>表格_取樣回收每月庫存表_0620更新1522252632456786910111213141516171819202123456789101112131415161718192022232424356789101112131415161718192021222345678910111213141516171819202345678910111213149101516171819222123234567891012131415161711181920212224252345678910111213111[[#This Row],[F25]]</f>
        <v>3880</v>
      </c>
      <c r="G33" s="212" ph="1">
        <f>N19</f>
        <v>26707.407164620003</v>
      </c>
      <c r="H33" s="186" ph="1">
        <f>M19</f>
        <v>5764.5873803040004</v>
      </c>
      <c r="I33" s="190" ph="1">
        <v>0</v>
      </c>
      <c r="J33" s="194" ph="1">
        <f>F10+O28</f>
        <v>123613.74647999999</v>
      </c>
      <c r="K33" s="186" ph="1">
        <f>O10+K10+E28+R28</f>
        <v>204549.29261314005</v>
      </c>
      <c r="L33" s="196" ph="1">
        <f>K19</f>
        <v>6739.0447891199992</v>
      </c>
      <c r="M33" s="194" ph="1">
        <f>G10+H10+W28+S28+V28+E10+R19+P28+Q28</f>
        <v>626789.76040080003</v>
      </c>
      <c r="N33" s="186" ph="1">
        <f>L10+P10++G28+H28+AD19+AE19</f>
        <v>227485.03039859998</v>
      </c>
      <c r="O33" s="190" ph="1">
        <f>G19</f>
        <v>17296.0151826</v>
      </c>
      <c r="P33" s="194" ph="1">
        <f>L19</f>
        <v>37730.618709119997</v>
      </c>
      <c r="Q33" s="186" ph="1">
        <f>J10+N10</f>
        <v>53545.879758499999</v>
      </c>
      <c r="R33" s="190" ph="1">
        <f>BE23</f>
        <v>890</v>
      </c>
      <c r="S33" s="194" ph="1">
        <f>X28</f>
        <v>151036.22722850001</v>
      </c>
      <c r="T33" s="186" ph="1">
        <f>X19</f>
        <v>13834.497763519998</v>
      </c>
      <c r="U33" s="175" ph="1">
        <f>BE21</f>
        <v>730</v>
      </c>
      <c r="V33" s="188" ph="1">
        <f ca="1">P19+Q19+S19+M28+N28+J28+D10+AC10+D19+E19+H19+J19+O19+V19+W19+K28+L28</f>
        <v>683957.23022411391</v>
      </c>
      <c r="W33" s="188" ph="1">
        <f>D28+F28+T28+I28</f>
        <v>80887.178525960015</v>
      </c>
      <c r="X33" s="190" ph="1">
        <f>BE29+BE31</f>
        <v>10200</v>
      </c>
      <c r="Y33" s="192" ph="1">
        <f>+Q10+R10+S10+T10+U10+V10+W10+X10+Y10</f>
        <v>200513.66850900001</v>
      </c>
      <c r="Z33" s="173" ph="1">
        <f>T19+U19+Y28+Z10</f>
        <v>198105.09510430001</v>
      </c>
      <c r="AA33" s="175" ph="1">
        <f>BE19</f>
        <v>1440</v>
      </c>
      <c r="AB33" s="177" ph="1">
        <f>I19</f>
        <v>46779.826163400001</v>
      </c>
      <c r="AC33" s="179" ph="1">
        <f>AD10+AB19</f>
        <v>100215.3718944</v>
      </c>
      <c r="AD33" s="181" ph="1">
        <v>0</v>
      </c>
      <c r="AE33" s="182"/>
      <c r="AH33" s="64" ph="1">
        <v>19</v>
      </c>
      <c r="AI33" s="64" t="s" ph="1">
        <v>358</v>
      </c>
      <c r="AJ33" s="64" t="s" ph="1">
        <v>592</v>
      </c>
      <c r="AK33" s="64" t="s" ph="1">
        <v>589</v>
      </c>
      <c r="AL33" s="64" ph="1">
        <v>730</v>
      </c>
      <c r="AM33" s="64" t="s" ph="1">
        <v>339</v>
      </c>
      <c r="AZ33" s="64" t="s" ph="1">
        <v>216</v>
      </c>
      <c r="BA33" s="64" ph="1">
        <v>730</v>
      </c>
      <c r="BD33" s="64" t="s" ph="1">
        <v>290</v>
      </c>
      <c r="BE33" s="64" ph="1">
        <v>3880</v>
      </c>
    </row>
    <row r="34" spans="1:57" ph="1">
      <c r="A34" s="64"/>
      <c r="B34" s="208" ph="1"/>
      <c r="C34" s="209" ph="1"/>
      <c r="D34" s="187" ph="1"/>
      <c r="E34" s="187" ph="1"/>
      <c r="F34" s="211" ph="1"/>
      <c r="G34" s="213" ph="1"/>
      <c r="H34" s="187" ph="1"/>
      <c r="I34" s="191" ph="1"/>
      <c r="J34" s="195" ph="1"/>
      <c r="K34" s="187" ph="1"/>
      <c r="L34" s="197" ph="1"/>
      <c r="M34" s="195" ph="1"/>
      <c r="N34" s="187" ph="1"/>
      <c r="O34" s="191" ph="1"/>
      <c r="P34" s="195" ph="1"/>
      <c r="Q34" s="187" ph="1"/>
      <c r="R34" s="191" ph="1"/>
      <c r="S34" s="195" ph="1"/>
      <c r="T34" s="187"/>
      <c r="U34" s="176"/>
      <c r="V34" s="189" ph="1"/>
      <c r="W34" s="189" ph="1"/>
      <c r="X34" s="191" ph="1"/>
      <c r="Y34" s="193" ph="1"/>
      <c r="Z34" s="174" ph="1"/>
      <c r="AA34" s="176" ph="1"/>
      <c r="AB34" s="178"/>
      <c r="AC34" s="180"/>
      <c r="AD34" s="183"/>
      <c r="AE34" s="184"/>
      <c r="AH34" s="64" ph="1">
        <v>20</v>
      </c>
      <c r="AI34" s="64" t="s" ph="1">
        <v>359</v>
      </c>
      <c r="AJ34" s="64" t="s" ph="1">
        <v>593</v>
      </c>
      <c r="AK34" s="64" t="s" ph="1">
        <v>589</v>
      </c>
      <c r="AL34" s="64" ph="1">
        <v>720</v>
      </c>
      <c r="AM34" s="64" t="s" ph="1">
        <v>339</v>
      </c>
      <c r="AZ34" s="64" t="s" ph="1">
        <v>216</v>
      </c>
      <c r="BA34" s="64" ph="1">
        <v>720</v>
      </c>
    </row>
    <row r="35" spans="1:57" ph="1">
      <c r="A35" s="64"/>
      <c r="AC35" s="185" t="s" ph="1">
        <v>631</v>
      </c>
      <c r="AD35" s="185"/>
      <c r="AE35" s="185"/>
      <c r="AH35" s="64" ph="1">
        <v>21</v>
      </c>
      <c r="AI35" s="64" t="s" ph="1">
        <v>360</v>
      </c>
      <c r="AZ35" s="64" t="s" ph="1">
        <v>216</v>
      </c>
      <c r="BA35" s="64" ph="1">
        <v>0</v>
      </c>
      <c r="BD35" s="64" t="s" ph="1">
        <v>361</v>
      </c>
      <c r="BE35" s="64" ph="1">
        <v>2030</v>
      </c>
    </row>
    <row r="36" spans="1:57" ht="28.2" ph="1">
      <c r="A36" s="64"/>
      <c r="B36" s="103" t="s" ph="1">
        <v>182</v>
      </c>
      <c r="I36" s="171" t="s" ph="1">
        <v>183</v>
      </c>
      <c r="J36" s="171" ph="1"/>
      <c r="K36" s="101" ph="1"/>
      <c r="P36" s="101" ph="1"/>
      <c r="R36" s="171" t="s" ph="1">
        <v>184</v>
      </c>
      <c r="S36" s="171" ph="1"/>
      <c r="Y36" s="102" ph="1"/>
      <c r="Z36" s="153" t="s" ph="1">
        <v>185</v>
      </c>
      <c r="AA36" s="153" ph="1"/>
      <c r="AB36" s="172" t="s" ph="1">
        <v>640</v>
      </c>
      <c r="AC36" s="172" ph="1"/>
      <c r="AD36" s="172" ph="1"/>
      <c r="AE36" s="172" ph="1"/>
      <c r="BA36" s="64" ph="1">
        <v>2270</v>
      </c>
    </row>
    <row r="37" spans="1:57" s="153" customFormat="1" ph="1">
      <c r="A37" s="64" ph="1"/>
      <c r="B37" s="64" ph="1"/>
      <c r="C37" s="64" ph="1"/>
      <c r="D37" s="64" ph="1"/>
      <c r="E37" s="64" ph="1"/>
      <c r="F37" s="64" ph="1"/>
      <c r="G37" s="64" ph="1"/>
      <c r="H37" s="64" ph="1"/>
      <c r="I37" s="64" ph="1"/>
      <c r="J37" s="64" ph="1"/>
      <c r="K37" s="64" ph="1"/>
      <c r="L37" s="64" ph="1"/>
      <c r="M37" s="64" ph="1"/>
      <c r="N37" s="64" ph="1"/>
      <c r="O37" s="64" ph="1"/>
      <c r="P37" s="64" ph="1"/>
      <c r="Q37" s="64" ph="1"/>
      <c r="R37" s="64" ph="1"/>
      <c r="S37" s="64" ph="1"/>
      <c r="T37" s="64" ph="1"/>
      <c r="U37" s="64" ph="1"/>
      <c r="V37" s="64" ph="1"/>
      <c r="W37" s="64" ph="1"/>
      <c r="X37" s="64" ph="1"/>
      <c r="Y37" s="64" ph="1"/>
      <c r="Z37" s="64" ph="1"/>
      <c r="AA37" s="64" ph="1"/>
      <c r="AB37" s="64" ph="1"/>
      <c r="AC37" s="64" ph="1"/>
      <c r="AD37" s="64" ph="1"/>
      <c r="AE37" s="64" ph="1"/>
      <c r="AG37" s="153" t="s" ph="1">
        <v>342</v>
      </c>
      <c r="AI37" s="153" t="s" ph="1">
        <v>209</v>
      </c>
      <c r="AJ37" s="153" t="s" ph="1">
        <v>210</v>
      </c>
      <c r="AK37" s="153" t="s" ph="1">
        <v>211</v>
      </c>
      <c r="AM37" s="153" t="s" ph="1">
        <v>210</v>
      </c>
      <c r="AN37" s="153" t="s" ph="1">
        <v>211</v>
      </c>
      <c r="AO37" s="153" t="s" ph="1">
        <v>212</v>
      </c>
      <c r="AP37" s="153" t="s" ph="1">
        <v>210</v>
      </c>
      <c r="AQ37" s="153" t="s" ph="1">
        <v>211</v>
      </c>
      <c r="AR37" s="153" t="s" ph="1">
        <v>212</v>
      </c>
      <c r="AS37" s="153" t="s" ph="1">
        <v>210</v>
      </c>
      <c r="AT37" s="153" t="s" ph="1">
        <v>211</v>
      </c>
      <c r="AU37" s="153" t="s" ph="1">
        <v>212</v>
      </c>
      <c r="AV37" s="153" t="s" ph="1">
        <v>210</v>
      </c>
      <c r="AW37" s="153" t="s" ph="1">
        <v>211</v>
      </c>
      <c r="AX37" s="153" t="s" ph="1">
        <v>212</v>
      </c>
      <c r="AY37" s="153" t="s" ph="1">
        <v>211</v>
      </c>
      <c r="AZ37" s="153" t="s" ph="1">
        <v>213</v>
      </c>
      <c r="BD37" s="153" t="s" ph="1">
        <v>305</v>
      </c>
      <c r="BE37" s="153" ph="1">
        <v>0</v>
      </c>
    </row>
    <row r="38" spans="1:57" ph="1">
      <c r="AE38" s="64" ph="1"/>
      <c r="AH38" s="64" ph="1">
        <v>1</v>
      </c>
      <c r="AI38" s="64" t="s" ph="1">
        <v>362</v>
      </c>
      <c r="AY38" s="64" t="s" ph="1">
        <v>216</v>
      </c>
      <c r="AZ38" s="64" t="s" ph="1">
        <v>367</v>
      </c>
    </row>
    <row r="39" spans="1:57" ph="1">
      <c r="AH39" s="64" ph="1">
        <v>2</v>
      </c>
      <c r="AI39" s="64" t="s" ph="1">
        <v>364</v>
      </c>
      <c r="AJ39" s="64" t="s" ph="1">
        <v>336</v>
      </c>
      <c r="AK39" s="64" t="s" ph="1">
        <v>365</v>
      </c>
      <c r="AM39" s="64" t="s" ph="1">
        <v>570</v>
      </c>
      <c r="AN39" s="64" t="s" ph="1">
        <v>228</v>
      </c>
      <c r="AO39" s="64" t="s" ph="1">
        <v>363</v>
      </c>
      <c r="AY39" s="64" t="s" ph="1">
        <v>216</v>
      </c>
      <c r="AZ39" s="64" t="s" ph="1">
        <v>499</v>
      </c>
    </row>
    <row r="40" spans="1:57" ph="1">
      <c r="AH40" s="64" ph="1">
        <v>3</v>
      </c>
      <c r="AI40" s="64" t="s" ph="1">
        <v>366</v>
      </c>
      <c r="AJ40" s="64" t="s" ph="1">
        <v>570</v>
      </c>
      <c r="AK40" s="64" t="s" ph="1">
        <v>571</v>
      </c>
      <c r="AY40" s="64" t="s" ph="1">
        <v>216</v>
      </c>
      <c r="AZ40" s="64" t="s" ph="1">
        <v>571</v>
      </c>
    </row>
    <row r="41" spans="1:57" ph="1">
      <c r="AH41" s="64" ph="1">
        <v>4</v>
      </c>
      <c r="AI41" s="64" t="s" ph="1">
        <v>368</v>
      </c>
      <c r="AJ41" s="64" t="s" ph="1">
        <v>572</v>
      </c>
      <c r="AK41" s="64" t="s" ph="1">
        <v>573</v>
      </c>
      <c r="AM41" s="64" t="s" ph="1">
        <v>574</v>
      </c>
      <c r="AY41" s="64" t="s" ph="1">
        <v>216</v>
      </c>
      <c r="AZ41" s="64" t="s" ph="1">
        <v>573</v>
      </c>
    </row>
    <row r="42" spans="1:57" ph="1">
      <c r="P42" s="64"/>
      <c r="Q42" s="64"/>
      <c r="R42" s="64"/>
      <c r="S42" s="64"/>
      <c r="T42" s="64"/>
      <c r="U42" s="64"/>
      <c r="V42" s="64"/>
      <c r="W42" s="64"/>
      <c r="X42" s="64"/>
      <c r="Y42" s="64"/>
      <c r="Z42" s="64"/>
      <c r="AA42" s="64"/>
      <c r="AB42" s="64"/>
      <c r="AC42" s="64"/>
      <c r="AD42" s="64"/>
      <c r="AE42" s="75"/>
      <c r="AH42" s="64" ph="1">
        <v>5</v>
      </c>
      <c r="AI42" s="64" t="s" ph="1">
        <v>369</v>
      </c>
      <c r="AY42" s="64" t="s" ph="1">
        <v>216</v>
      </c>
      <c r="AZ42" s="64" t="s" ph="1">
        <v>367</v>
      </c>
    </row>
    <row r="43" spans="1:57" ph="1">
      <c r="C43" s="64"/>
      <c r="D43" s="64"/>
      <c r="E43" s="64"/>
      <c r="F43" s="64"/>
      <c r="G43" s="64"/>
      <c r="H43" s="64"/>
      <c r="I43" s="64"/>
      <c r="J43" s="64"/>
      <c r="K43" s="64"/>
      <c r="L43" s="64"/>
      <c r="M43" s="64"/>
      <c r="N43" s="64"/>
      <c r="O43" s="64"/>
      <c r="P43" s="64"/>
      <c r="R43" s="64"/>
      <c r="S43" s="64"/>
      <c r="T43" s="64"/>
      <c r="U43" s="64"/>
      <c r="V43" s="64"/>
      <c r="W43" s="64"/>
      <c r="X43" s="64"/>
      <c r="Y43" s="64"/>
      <c r="Z43" s="64"/>
      <c r="AA43" s="64"/>
      <c r="AB43" s="64"/>
      <c r="AC43" s="64"/>
      <c r="AD43" s="64"/>
      <c r="AE43" s="75"/>
      <c r="AH43" s="64" ph="1">
        <v>6</v>
      </c>
      <c r="AI43" s="64" t="s" ph="1">
        <v>370</v>
      </c>
      <c r="AY43" s="64" t="s" ph="1">
        <v>216</v>
      </c>
      <c r="AZ43" s="64" t="s" ph="1">
        <v>367</v>
      </c>
    </row>
    <row r="44" spans="1:57" ph="1">
      <c r="R44" s="64"/>
      <c r="S44" s="64"/>
      <c r="T44" s="64"/>
      <c r="U44" s="64"/>
      <c r="V44" s="64"/>
      <c r="W44" s="64"/>
      <c r="X44" s="64"/>
      <c r="Y44" s="64"/>
      <c r="Z44" s="64"/>
      <c r="AA44" s="64"/>
      <c r="AB44" s="64"/>
      <c r="AC44" s="64"/>
      <c r="AD44" s="64"/>
      <c r="AE44" s="75"/>
      <c r="AH44" s="64" ph="1">
        <v>7</v>
      </c>
      <c r="AI44" s="64" t="s" ph="1">
        <v>371</v>
      </c>
      <c r="AV44" s="64" t="s" ph="1">
        <v>217</v>
      </c>
      <c r="AY44" s="64" t="s" ph="1">
        <v>216</v>
      </c>
      <c r="AZ44" s="64" t="s" ph="1">
        <v>367</v>
      </c>
    </row>
    <row r="45" spans="1:57" ph="1">
      <c r="R45" s="64"/>
      <c r="S45" s="64"/>
      <c r="T45" s="64"/>
      <c r="U45" s="64"/>
      <c r="V45" s="64"/>
      <c r="W45" s="64"/>
      <c r="X45" s="64"/>
      <c r="Y45" s="64"/>
      <c r="Z45" s="64"/>
      <c r="AA45" s="64"/>
      <c r="AB45" s="64"/>
      <c r="AC45" s="64"/>
      <c r="AD45" s="64"/>
      <c r="AE45" s="75"/>
      <c r="AH45" s="64" ph="1">
        <v>8</v>
      </c>
      <c r="AI45" s="64" t="s" ph="1">
        <v>372</v>
      </c>
      <c r="AV45" s="64" t="s" ph="1">
        <v>217</v>
      </c>
      <c r="AY45" s="64" t="s" ph="1">
        <v>216</v>
      </c>
      <c r="AZ45" s="64" t="s" ph="1">
        <v>367</v>
      </c>
    </row>
    <row r="46" spans="1:57" ph="1">
      <c r="R46" s="64"/>
      <c r="S46" s="64"/>
      <c r="T46" s="64"/>
      <c r="U46" s="64"/>
      <c r="V46" s="64"/>
      <c r="W46" s="64"/>
      <c r="X46" s="64"/>
      <c r="Y46" s="64"/>
      <c r="Z46" s="64"/>
      <c r="AA46" s="64"/>
      <c r="AB46" s="64"/>
      <c r="AC46" s="64"/>
      <c r="AD46" s="64"/>
      <c r="AE46" s="75"/>
      <c r="AH46" s="64" ph="1">
        <v>9</v>
      </c>
      <c r="AI46" s="64" t="s" ph="1">
        <v>373</v>
      </c>
      <c r="AV46" s="64" t="s" ph="1">
        <v>217</v>
      </c>
      <c r="AY46" s="64" t="s" ph="1">
        <v>216</v>
      </c>
      <c r="AZ46" s="64" t="s" ph="1">
        <v>367</v>
      </c>
    </row>
    <row r="47" spans="1:57" ph="1">
      <c r="R47" s="64"/>
      <c r="S47" s="64"/>
      <c r="T47" s="64"/>
      <c r="U47" s="64"/>
      <c r="V47" s="64"/>
      <c r="W47" s="64"/>
      <c r="X47" s="64"/>
      <c r="Y47" s="64"/>
      <c r="Z47" s="64"/>
      <c r="AA47" s="64"/>
      <c r="AB47" s="64"/>
      <c r="AC47" s="64"/>
      <c r="AD47" s="64"/>
      <c r="AE47" s="75"/>
      <c r="AH47" s="64" ph="1">
        <v>10</v>
      </c>
      <c r="AI47" s="64" t="s" ph="1">
        <v>374</v>
      </c>
      <c r="AV47" s="64" t="s" ph="1">
        <v>217</v>
      </c>
      <c r="AY47" s="64" t="s" ph="1">
        <v>216</v>
      </c>
      <c r="AZ47" s="64" t="s" ph="1">
        <v>367</v>
      </c>
    </row>
    <row r="48" spans="1:57" ph="1">
      <c r="R48" s="64"/>
      <c r="S48" s="64"/>
      <c r="T48" s="64"/>
      <c r="U48" s="64"/>
      <c r="V48" s="64"/>
      <c r="W48" s="64"/>
      <c r="X48" s="64"/>
      <c r="Y48" s="64"/>
      <c r="Z48" s="64"/>
      <c r="AA48" s="64"/>
      <c r="AB48" s="64"/>
      <c r="AC48" s="64"/>
      <c r="AD48" s="64"/>
      <c r="AE48" s="75"/>
      <c r="AZ48" s="64" t="s" ph="1">
        <v>575</v>
      </c>
    </row>
    <row r="49" spans="16:52" ph="1">
      <c r="R49" s="64"/>
      <c r="S49" s="64"/>
      <c r="T49" s="64"/>
      <c r="U49" s="64"/>
      <c r="V49" s="64"/>
      <c r="W49" s="64"/>
      <c r="X49" s="64"/>
      <c r="Y49" s="64"/>
      <c r="Z49" s="64"/>
      <c r="AA49" s="64"/>
      <c r="AB49" s="64"/>
      <c r="AC49" s="64"/>
      <c r="AD49" s="64"/>
      <c r="AE49" s="75"/>
      <c r="AG49" s="64" t="s" ph="1">
        <v>232</v>
      </c>
      <c r="AI49" s="64" t="s" ph="1">
        <v>209</v>
      </c>
      <c r="AJ49" s="64" t="s" ph="1">
        <v>210</v>
      </c>
      <c r="AK49" s="64" t="s" ph="1">
        <v>211</v>
      </c>
      <c r="AM49" s="64" t="s" ph="1">
        <v>210</v>
      </c>
      <c r="AN49" s="64" t="s" ph="1">
        <v>211</v>
      </c>
      <c r="AO49" s="64" t="s" ph="1">
        <v>212</v>
      </c>
      <c r="AP49" s="64" t="s" ph="1">
        <v>210</v>
      </c>
      <c r="AQ49" s="64" t="s" ph="1">
        <v>211</v>
      </c>
      <c r="AR49" s="64" t="s" ph="1">
        <v>212</v>
      </c>
      <c r="AS49" s="64" t="s" ph="1">
        <v>210</v>
      </c>
      <c r="AT49" s="64" t="s" ph="1">
        <v>211</v>
      </c>
      <c r="AU49" s="64" t="s" ph="1">
        <v>212</v>
      </c>
      <c r="AV49" s="64" t="s" ph="1">
        <v>210</v>
      </c>
      <c r="AW49" s="64" t="s" ph="1">
        <v>211</v>
      </c>
      <c r="AX49" s="64" t="s" ph="1">
        <v>212</v>
      </c>
      <c r="AY49" s="64" t="s" ph="1">
        <v>211</v>
      </c>
      <c r="AZ49" s="64" t="s" ph="1">
        <v>213</v>
      </c>
    </row>
    <row r="50" spans="16:52" ph="1">
      <c r="R50" s="64"/>
      <c r="S50" s="64"/>
      <c r="T50" s="64"/>
      <c r="U50" s="64"/>
      <c r="V50" s="64"/>
      <c r="W50" s="64"/>
      <c r="X50" s="64"/>
      <c r="Y50" s="64"/>
      <c r="Z50" s="64"/>
      <c r="AA50" s="64"/>
      <c r="AB50" s="64"/>
      <c r="AC50" s="64"/>
      <c r="AD50" s="64"/>
      <c r="AE50" s="75"/>
      <c r="AH50" s="64" ph="1">
        <v>1</v>
      </c>
      <c r="AI50" s="64" t="s" ph="1">
        <v>375</v>
      </c>
      <c r="AY50" s="64" t="s" ph="1">
        <v>216</v>
      </c>
      <c r="AZ50" s="64" t="s" ph="1">
        <v>367</v>
      </c>
    </row>
    <row r="51" spans="16:52" ph="1">
      <c r="R51" s="64"/>
      <c r="S51" s="64"/>
      <c r="T51" s="64"/>
      <c r="U51" s="64"/>
      <c r="V51" s="64"/>
      <c r="W51" s="64"/>
      <c r="X51" s="64"/>
      <c r="Y51" s="64"/>
      <c r="Z51" s="64"/>
      <c r="AA51" s="64"/>
      <c r="AB51" s="64"/>
      <c r="AC51" s="64"/>
      <c r="AD51" s="64"/>
      <c r="AE51" s="75"/>
      <c r="AH51" s="64" ph="1">
        <v>2</v>
      </c>
      <c r="AI51" s="64" t="s" ph="1">
        <v>376</v>
      </c>
      <c r="AY51" s="64" t="s" ph="1">
        <v>216</v>
      </c>
      <c r="AZ51" s="64" t="s" ph="1">
        <v>367</v>
      </c>
    </row>
    <row r="52" spans="16:52" ph="1">
      <c r="R52" s="64"/>
      <c r="S52" s="64"/>
      <c r="T52" s="64"/>
      <c r="U52" s="64"/>
      <c r="V52" s="64"/>
      <c r="W52" s="64"/>
      <c r="X52" s="64"/>
      <c r="Y52" s="64"/>
      <c r="Z52" s="64"/>
      <c r="AA52" s="64"/>
      <c r="AB52" s="64"/>
      <c r="AC52" s="64"/>
      <c r="AD52" s="64"/>
      <c r="AE52" s="75"/>
      <c r="AH52" s="64" ph="1">
        <v>3</v>
      </c>
      <c r="AI52" s="64" t="s" ph="1">
        <v>377</v>
      </c>
      <c r="AJ52" s="64" t="s" ph="1">
        <v>334</v>
      </c>
      <c r="AK52" s="64" t="s" ph="1">
        <v>228</v>
      </c>
      <c r="AM52" s="64" t="s" ph="1">
        <v>336</v>
      </c>
      <c r="AN52" s="64" t="s" ph="1">
        <v>300</v>
      </c>
      <c r="AO52" s="64" t="s" ph="1">
        <v>233</v>
      </c>
      <c r="AP52" s="64" t="s" ph="1">
        <v>570</v>
      </c>
      <c r="AQ52" s="64" t="s" ph="1">
        <v>282</v>
      </c>
      <c r="AR52" s="64" t="s" ph="1">
        <v>233</v>
      </c>
      <c r="AY52" s="64" t="s" ph="1">
        <v>216</v>
      </c>
      <c r="AZ52" s="64" t="s" ph="1">
        <v>576</v>
      </c>
    </row>
    <row r="53" spans="16:52" ph="1">
      <c r="R53" s="64"/>
      <c r="S53" s="64"/>
      <c r="T53" s="64"/>
      <c r="U53" s="64"/>
      <c r="W53" s="64"/>
      <c r="X53" s="64"/>
      <c r="Y53" s="64"/>
      <c r="Z53" s="64"/>
      <c r="AA53" s="64"/>
      <c r="AB53" s="64"/>
      <c r="AC53" s="64"/>
      <c r="AD53" s="64"/>
      <c r="AH53" s="64" ph="1">
        <v>4</v>
      </c>
      <c r="AI53" s="64" t="s" ph="1">
        <v>378</v>
      </c>
      <c r="AY53" s="64" t="s" ph="1">
        <v>216</v>
      </c>
      <c r="AZ53" s="64" t="s" ph="1">
        <v>367</v>
      </c>
    </row>
    <row r="54" spans="16:52" ph="1">
      <c r="R54" s="64"/>
      <c r="S54" s="64"/>
      <c r="T54" s="64"/>
      <c r="U54" s="64"/>
      <c r="W54" s="64"/>
      <c r="X54" s="64"/>
      <c r="Y54" s="64"/>
      <c r="Z54" s="64"/>
      <c r="AA54" s="64"/>
      <c r="AC54" s="64"/>
      <c r="AD54" s="64"/>
      <c r="AH54" s="64" ph="1">
        <v>5</v>
      </c>
      <c r="AI54" s="64" t="s" ph="1">
        <v>379</v>
      </c>
      <c r="AJ54" s="64" t="s" ph="1">
        <v>334</v>
      </c>
      <c r="AK54" s="64" t="s" ph="1">
        <v>219</v>
      </c>
      <c r="AM54" s="64" t="s" ph="1">
        <v>336</v>
      </c>
      <c r="AN54" s="64" t="s" ph="1">
        <v>224</v>
      </c>
      <c r="AO54" s="64" t="s" ph="1">
        <v>233</v>
      </c>
      <c r="AP54" s="64" t="s" ph="1">
        <v>570</v>
      </c>
      <c r="AQ54" s="64" t="s" ph="1">
        <v>240</v>
      </c>
      <c r="AR54" s="64" t="s" ph="1">
        <v>233</v>
      </c>
      <c r="AY54" s="64" t="s" ph="1">
        <v>216</v>
      </c>
      <c r="AZ54" s="64" t="s" ph="1">
        <v>234</v>
      </c>
    </row>
    <row r="55" spans="16:52" ph="1">
      <c r="R55" s="64"/>
      <c r="S55" s="64"/>
      <c r="T55" s="64"/>
      <c r="U55" s="64"/>
      <c r="V55" s="64"/>
      <c r="W55" s="64"/>
      <c r="X55" s="64"/>
      <c r="Z55" s="64"/>
      <c r="AC55" s="64"/>
      <c r="AD55" s="64"/>
      <c r="AE55" s="75"/>
      <c r="AH55" s="64" ph="1">
        <v>6</v>
      </c>
      <c r="AI55" s="64" t="s" ph="1">
        <v>380</v>
      </c>
      <c r="AY55" s="64" t="s" ph="1">
        <v>216</v>
      </c>
      <c r="AZ55" s="64" t="s" ph="1">
        <v>367</v>
      </c>
    </row>
    <row r="56" spans="16:52" ph="1">
      <c r="P56" s="64" ph="1">
        <v>20260804</v>
      </c>
      <c r="R56" s="64"/>
      <c r="S56" s="64"/>
      <c r="T56" s="64"/>
      <c r="U56" s="64"/>
      <c r="V56" s="64"/>
      <c r="W56" s="64"/>
      <c r="X56" s="64"/>
      <c r="Z56" s="64"/>
      <c r="AA56" s="64"/>
      <c r="AB56" s="64"/>
      <c r="AC56" s="64"/>
      <c r="AD56" s="64"/>
      <c r="AE56" s="75"/>
      <c r="AH56" s="64" ph="1">
        <v>7</v>
      </c>
      <c r="AI56" s="64" t="s" ph="1">
        <v>381</v>
      </c>
      <c r="AY56" s="64" t="s" ph="1">
        <v>216</v>
      </c>
      <c r="AZ56" s="64" t="s" ph="1">
        <v>367</v>
      </c>
    </row>
    <row r="57" spans="16:52" ph="1">
      <c r="R57" s="64"/>
      <c r="S57" s="64"/>
      <c r="T57" s="64"/>
      <c r="U57" s="64"/>
      <c r="V57" s="64"/>
      <c r="W57" s="64"/>
      <c r="AA57" s="64"/>
      <c r="AB57" s="64"/>
      <c r="AC57" s="64"/>
      <c r="AD57" s="64"/>
      <c r="AE57" s="75"/>
      <c r="AH57" s="64" ph="1">
        <v>8</v>
      </c>
      <c r="AI57" s="64" t="s" ph="1">
        <v>382</v>
      </c>
      <c r="AY57" s="64" t="s" ph="1">
        <v>216</v>
      </c>
      <c r="AZ57" s="64" t="s" ph="1">
        <v>367</v>
      </c>
    </row>
    <row r="58" spans="16:52" ph="1">
      <c r="P58" s="64"/>
      <c r="AN58" s="64" t="s" ph="1">
        <v>217</v>
      </c>
      <c r="AZ58" s="64" t="s" ph="1">
        <v>577</v>
      </c>
    </row>
    <row r="59" spans="16:52" ph="1">
      <c r="V59" s="64"/>
      <c r="AG59" s="64" t="s" ph="1">
        <v>235</v>
      </c>
      <c r="AI59" s="64" t="s" ph="1">
        <v>209</v>
      </c>
      <c r="AJ59" s="64" t="s" ph="1">
        <v>210</v>
      </c>
      <c r="AK59" s="64" t="s" ph="1">
        <v>211</v>
      </c>
      <c r="AM59" s="64" t="s" ph="1">
        <v>210</v>
      </c>
      <c r="AN59" s="64" t="s" ph="1">
        <v>211</v>
      </c>
      <c r="AO59" s="64" t="s" ph="1">
        <v>212</v>
      </c>
      <c r="AP59" s="64" t="s" ph="1">
        <v>210</v>
      </c>
      <c r="AQ59" s="64" t="s" ph="1">
        <v>211</v>
      </c>
      <c r="AR59" s="64" t="s" ph="1">
        <v>212</v>
      </c>
      <c r="AS59" s="64" t="s" ph="1">
        <v>210</v>
      </c>
      <c r="AT59" s="64" t="s" ph="1">
        <v>211</v>
      </c>
      <c r="AU59" s="64" t="s" ph="1">
        <v>212</v>
      </c>
      <c r="AV59" s="64" t="s" ph="1">
        <v>210</v>
      </c>
      <c r="AW59" s="64" t="s" ph="1">
        <v>211</v>
      </c>
      <c r="AX59" s="64" t="s" ph="1">
        <v>212</v>
      </c>
      <c r="AY59" s="64" t="s" ph="1">
        <v>211</v>
      </c>
      <c r="AZ59" s="64" t="s" ph="1">
        <v>213</v>
      </c>
    </row>
    <row r="60" spans="16:52" ph="1">
      <c r="R60" s="64"/>
      <c r="S60" s="64"/>
      <c r="T60" s="64"/>
      <c r="AH60" s="64" ph="1">
        <v>1</v>
      </c>
      <c r="AI60" s="64" t="s" ph="1">
        <v>383</v>
      </c>
      <c r="AY60" s="64" t="s" ph="1">
        <v>216</v>
      </c>
      <c r="AZ60" s="64" t="s" ph="1">
        <v>367</v>
      </c>
    </row>
    <row r="61" spans="16:52" ph="1">
      <c r="AH61" s="64" ph="1">
        <v>2</v>
      </c>
      <c r="AI61" s="64" t="s" ph="1">
        <v>384</v>
      </c>
      <c r="AS61" s="64" t="s" ph="1">
        <v>217</v>
      </c>
      <c r="AY61" s="64" t="s" ph="1">
        <v>216</v>
      </c>
      <c r="AZ61" s="64" t="s" ph="1">
        <v>367</v>
      </c>
    </row>
    <row r="62" spans="16:52" ph="1">
      <c r="AZ62" s="64" t="s" ph="1">
        <v>385</v>
      </c>
    </row>
    <row r="63" spans="16:52" ph="1">
      <c r="AG63" s="64" t="s" ph="1">
        <v>238</v>
      </c>
      <c r="AI63" s="64" t="s" ph="1">
        <v>209</v>
      </c>
      <c r="AJ63" s="64" t="s" ph="1">
        <v>210</v>
      </c>
      <c r="AK63" s="64" t="s" ph="1">
        <v>211</v>
      </c>
      <c r="AM63" s="64" t="s" ph="1">
        <v>210</v>
      </c>
      <c r="AN63" s="64" t="s" ph="1">
        <v>211</v>
      </c>
      <c r="AO63" s="64" t="s" ph="1">
        <v>212</v>
      </c>
      <c r="AP63" s="64" t="s" ph="1">
        <v>210</v>
      </c>
      <c r="AQ63" s="64" t="s" ph="1">
        <v>211</v>
      </c>
      <c r="AR63" s="64" t="s" ph="1">
        <v>212</v>
      </c>
      <c r="AS63" s="64" t="s" ph="1">
        <v>210</v>
      </c>
      <c r="AT63" s="64" t="s" ph="1">
        <v>211</v>
      </c>
      <c r="AU63" s="64" t="s" ph="1">
        <v>212</v>
      </c>
      <c r="AV63" s="64" t="s" ph="1">
        <v>210</v>
      </c>
      <c r="AW63" s="64" t="s" ph="1">
        <v>211</v>
      </c>
      <c r="AX63" s="64" t="s" ph="1">
        <v>212</v>
      </c>
      <c r="AY63" s="64" t="s" ph="1">
        <v>211</v>
      </c>
      <c r="AZ63" s="64" t="s" ph="1">
        <v>213</v>
      </c>
    </row>
    <row r="64" spans="16:52" ph="1">
      <c r="AH64" s="64" ph="1">
        <v>1</v>
      </c>
      <c r="AI64" s="64" t="s" ph="1">
        <v>386</v>
      </c>
      <c r="AJ64" s="64" t="s" ph="1">
        <v>387</v>
      </c>
      <c r="AK64" s="64" t="s" ph="1">
        <v>388</v>
      </c>
      <c r="AY64" s="64" t="s" ph="1">
        <v>216</v>
      </c>
      <c r="AZ64" s="64" t="s" ph="1">
        <v>388</v>
      </c>
    </row>
    <row r="65" spans="33:52" ph="1">
      <c r="AH65" s="64" ph="1">
        <v>2</v>
      </c>
      <c r="AI65" s="64" t="s" ph="1">
        <v>389</v>
      </c>
      <c r="AY65" s="64" t="s" ph="1">
        <v>216</v>
      </c>
      <c r="AZ65" s="64" t="s" ph="1">
        <v>367</v>
      </c>
    </row>
    <row r="66" spans="33:52" ph="1">
      <c r="AH66" s="64" ph="1">
        <v>3</v>
      </c>
      <c r="AI66" s="64" t="s" ph="1">
        <v>390</v>
      </c>
      <c r="AY66" s="64" t="s" ph="1">
        <v>216</v>
      </c>
      <c r="AZ66" s="64" t="s" ph="1">
        <v>367</v>
      </c>
    </row>
    <row r="67" spans="33:52" ph="1">
      <c r="AH67" s="64" ph="1">
        <v>4</v>
      </c>
      <c r="AI67" s="64" t="s" ph="1">
        <v>391</v>
      </c>
      <c r="AY67" s="64" t="s" ph="1">
        <v>216</v>
      </c>
      <c r="AZ67" s="64" t="s" ph="1">
        <v>367</v>
      </c>
    </row>
    <row r="68" spans="33:52" ph="1">
      <c r="AH68" s="64" ph="1">
        <v>5</v>
      </c>
      <c r="AI68" s="64" t="s" ph="1">
        <v>392</v>
      </c>
      <c r="AY68" s="64" t="s" ph="1">
        <v>216</v>
      </c>
      <c r="AZ68" s="64" t="s" ph="1">
        <v>367</v>
      </c>
    </row>
    <row r="69" spans="33:52" ph="1">
      <c r="AH69" s="64" ph="1">
        <v>6</v>
      </c>
      <c r="AI69" s="64" t="s" ph="1">
        <v>393</v>
      </c>
      <c r="AY69" s="64" t="s" ph="1">
        <v>216</v>
      </c>
      <c r="AZ69" s="64" t="s" ph="1">
        <v>367</v>
      </c>
    </row>
    <row r="70" spans="33:52" ph="1">
      <c r="AI70" s="64" t="s" ph="1">
        <v>394</v>
      </c>
      <c r="AY70" s="64" t="s" ph="1">
        <v>216</v>
      </c>
      <c r="AZ70" s="64" t="s" ph="1">
        <v>367</v>
      </c>
    </row>
    <row r="71" spans="33:52" ph="1">
      <c r="AH71" s="64" ph="1">
        <v>7</v>
      </c>
      <c r="AI71" s="64" t="s" ph="1">
        <v>395</v>
      </c>
      <c r="AJ71" s="64" t="s" ph="1">
        <v>334</v>
      </c>
      <c r="AK71" s="64" t="s" ph="1">
        <v>228</v>
      </c>
      <c r="AM71" s="64" t="s" ph="1">
        <v>336</v>
      </c>
      <c r="AN71" s="64" t="s" ph="1">
        <v>228</v>
      </c>
      <c r="AO71" s="64" t="s" ph="1">
        <v>396</v>
      </c>
      <c r="AP71" s="64" t="s" ph="1">
        <v>570</v>
      </c>
      <c r="AQ71" s="64" t="s" ph="1">
        <v>219</v>
      </c>
      <c r="AR71" s="64" t="s" ph="1">
        <v>396</v>
      </c>
      <c r="AY71" s="64" t="s" ph="1">
        <v>216</v>
      </c>
      <c r="AZ71" s="64" t="s" ph="1">
        <v>578</v>
      </c>
    </row>
    <row r="72" spans="33:52" ph="1">
      <c r="AZ72" s="64" t="s" ph="1">
        <v>579</v>
      </c>
    </row>
    <row r="73" spans="33:52" ph="1">
      <c r="AG73" s="64" t="s" ph="1">
        <v>241</v>
      </c>
      <c r="AI73" s="64" t="s" ph="1">
        <v>209</v>
      </c>
      <c r="AJ73" s="64" t="s" ph="1">
        <v>210</v>
      </c>
      <c r="AK73" s="64" t="s" ph="1">
        <v>211</v>
      </c>
      <c r="AM73" s="64" t="s" ph="1">
        <v>210</v>
      </c>
      <c r="AN73" s="64" t="s" ph="1">
        <v>211</v>
      </c>
      <c r="AO73" s="64" t="s" ph="1">
        <v>212</v>
      </c>
      <c r="AP73" s="64" t="s" ph="1">
        <v>210</v>
      </c>
      <c r="AQ73" s="64" t="s" ph="1">
        <v>211</v>
      </c>
      <c r="AR73" s="64" t="s" ph="1">
        <v>212</v>
      </c>
      <c r="AS73" s="64" t="s" ph="1">
        <v>210</v>
      </c>
      <c r="AT73" s="64" t="s" ph="1">
        <v>211</v>
      </c>
      <c r="AU73" s="64" t="s" ph="1">
        <v>212</v>
      </c>
      <c r="AV73" s="64" t="s" ph="1">
        <v>210</v>
      </c>
      <c r="AW73" s="64" t="s" ph="1">
        <v>211</v>
      </c>
      <c r="AX73" s="64" t="s" ph="1">
        <v>212</v>
      </c>
      <c r="AY73" s="64" t="s" ph="1">
        <v>211</v>
      </c>
      <c r="AZ73" s="64" t="s" ph="1">
        <v>213</v>
      </c>
    </row>
    <row r="74" spans="33:52" ph="1">
      <c r="AH74" s="64" ph="1">
        <v>1</v>
      </c>
      <c r="AI74" s="64" t="s" ph="1">
        <v>397</v>
      </c>
      <c r="AJ74" s="64" t="s" ph="1">
        <v>242</v>
      </c>
      <c r="AK74" s="64" t="s" ph="1">
        <v>224</v>
      </c>
      <c r="AM74" s="64" t="s" ph="1">
        <v>244</v>
      </c>
      <c r="AN74" s="64" t="s" ph="1">
        <v>254</v>
      </c>
      <c r="AO74" s="64" t="s" ph="1">
        <v>243</v>
      </c>
      <c r="AP74" s="64" t="s" ph="1">
        <v>245</v>
      </c>
      <c r="AQ74" s="64" t="s" ph="1">
        <v>222</v>
      </c>
      <c r="AR74" s="64" t="s" ph="1">
        <v>243</v>
      </c>
      <c r="AS74" s="64" t="s" ph="1">
        <v>215</v>
      </c>
      <c r="AT74" s="64" t="s" ph="1">
        <v>217</v>
      </c>
      <c r="AV74" s="64" t="s" ph="1">
        <v>398</v>
      </c>
      <c r="AW74" s="64" t="s" ph="1">
        <v>399</v>
      </c>
      <c r="AX74" s="64" t="s" ph="1">
        <v>400</v>
      </c>
      <c r="AY74" s="64" t="s" ph="1">
        <v>216</v>
      </c>
      <c r="AZ74" s="64" t="s" ph="1">
        <v>401</v>
      </c>
    </row>
    <row r="75" spans="33:52" ph="1">
      <c r="AJ75" s="64" t="s" ph="1">
        <v>247</v>
      </c>
      <c r="AK75" s="64" t="s" ph="1">
        <v>300</v>
      </c>
      <c r="AM75" s="64" t="s" ph="1">
        <v>245</v>
      </c>
      <c r="AN75" s="64" t="s" ph="1">
        <v>225</v>
      </c>
      <c r="AO75" s="64" t="s" ph="1">
        <v>243</v>
      </c>
      <c r="AS75" s="64" t="s" ph="1">
        <v>215</v>
      </c>
      <c r="AT75" s="64" t="s" ph="1">
        <v>246</v>
      </c>
    </row>
    <row r="76" spans="33:52" ph="1">
      <c r="AJ76" s="64" t="s" ph="1">
        <v>247</v>
      </c>
      <c r="AK76" s="64" t="s" ph="1">
        <v>240</v>
      </c>
      <c r="AM76" s="64" t="s" ph="1">
        <v>245</v>
      </c>
      <c r="AN76" s="64" t="s" ph="1">
        <v>228</v>
      </c>
      <c r="AO76" s="64" t="s" ph="1">
        <v>243</v>
      </c>
      <c r="AS76" s="64" t="s" ph="1">
        <v>215</v>
      </c>
      <c r="AT76" s="64" t="s" ph="1">
        <v>246</v>
      </c>
    </row>
    <row r="77" spans="33:52" ph="1">
      <c r="AJ77" s="64" t="s" ph="1">
        <v>283</v>
      </c>
      <c r="AK77" s="64" t="s" ph="1">
        <v>240</v>
      </c>
      <c r="AM77" s="64" t="s" ph="1">
        <v>284</v>
      </c>
      <c r="AN77" s="64" t="s" ph="1">
        <v>223</v>
      </c>
      <c r="AO77" s="64" t="s" ph="1">
        <v>243</v>
      </c>
      <c r="AS77" s="64" t="s" ph="1">
        <v>215</v>
      </c>
      <c r="AT77" s="64" t="s" ph="1">
        <v>285</v>
      </c>
    </row>
    <row r="78" spans="33:52" ph="1">
      <c r="AH78" s="64" ph="1">
        <v>2</v>
      </c>
      <c r="AI78" s="64" t="s" ph="1">
        <v>249</v>
      </c>
      <c r="AJ78" s="64" t="s" ph="1">
        <v>250</v>
      </c>
      <c r="AK78" s="64" t="s" ph="1">
        <v>219</v>
      </c>
      <c r="AM78" s="64" t="s" ph="1">
        <v>251</v>
      </c>
      <c r="AN78" s="64" t="s" ph="1">
        <v>254</v>
      </c>
      <c r="AO78" s="64" t="s" ph="1">
        <v>243</v>
      </c>
      <c r="AP78" s="64" t="s" ph="1">
        <v>252</v>
      </c>
      <c r="AQ78" s="64" t="s" ph="1">
        <v>298</v>
      </c>
      <c r="AR78" s="64" t="s" ph="1">
        <v>243</v>
      </c>
      <c r="AS78" s="64" t="s" ph="1">
        <v>253</v>
      </c>
      <c r="AT78" s="64" t="s" ph="1">
        <v>254</v>
      </c>
      <c r="AU78" s="64" t="s" ph="1">
        <v>243</v>
      </c>
      <c r="AV78" s="64" t="s" ph="1">
        <v>255</v>
      </c>
      <c r="AW78" s="64" t="s" ph="1">
        <v>243</v>
      </c>
      <c r="AY78" s="64" t="s" ph="1">
        <v>216</v>
      </c>
      <c r="AZ78" s="64" t="s" ph="1">
        <v>402</v>
      </c>
    </row>
    <row r="79" spans="33:52" ph="1">
      <c r="AJ79" s="64" t="s" ph="1">
        <v>245</v>
      </c>
      <c r="AK79" s="64" t="s" ph="1">
        <v>256</v>
      </c>
      <c r="AM79" s="64" t="s" ph="1">
        <v>257</v>
      </c>
      <c r="AN79" s="64" t="s" ph="1">
        <v>225</v>
      </c>
      <c r="AO79" s="64" t="s" ph="1">
        <v>243</v>
      </c>
      <c r="AP79" s="64" t="s" ph="1">
        <v>258</v>
      </c>
      <c r="AQ79" s="64" t="s" ph="1">
        <v>223</v>
      </c>
      <c r="AR79" s="64" t="s" ph="1">
        <v>259</v>
      </c>
      <c r="AS79" s="64" t="s" ph="1">
        <v>215</v>
      </c>
      <c r="AT79" s="64" t="s" ph="1">
        <v>260</v>
      </c>
      <c r="AV79" s="64" t="s" ph="1">
        <v>403</v>
      </c>
      <c r="AW79" s="64" t="s" ph="1">
        <v>302</v>
      </c>
      <c r="AX79" s="64" t="s" ph="1">
        <v>400</v>
      </c>
    </row>
    <row r="80" spans="33:52" ph="1">
      <c r="AH80" s="64" ph="1">
        <v>3</v>
      </c>
      <c r="AI80" s="64" t="s" ph="1">
        <v>261</v>
      </c>
      <c r="AJ80" s="64" t="s" ph="1">
        <v>262</v>
      </c>
      <c r="AK80" s="64" t="s" ph="1">
        <v>263</v>
      </c>
      <c r="AM80" s="64" t="s" ph="1">
        <v>264</v>
      </c>
      <c r="AN80" s="64" t="s" ph="1">
        <v>254</v>
      </c>
      <c r="AO80" s="64" t="s" ph="1">
        <v>243</v>
      </c>
      <c r="AP80" s="64" t="s" ph="1">
        <v>265</v>
      </c>
      <c r="AQ80" s="64" t="s" ph="1">
        <v>228</v>
      </c>
      <c r="AR80" s="64" t="s" ph="1">
        <v>243</v>
      </c>
      <c r="AS80" s="64" t="s" ph="1">
        <v>266</v>
      </c>
      <c r="AT80" s="64" t="s" ph="1">
        <v>227</v>
      </c>
      <c r="AU80" s="64" t="s" ph="1">
        <v>243</v>
      </c>
      <c r="AV80" s="64" t="s" ph="1">
        <v>267</v>
      </c>
      <c r="AW80" s="64" t="s" ph="1">
        <v>243</v>
      </c>
      <c r="AY80" s="64" t="s" ph="1">
        <v>216</v>
      </c>
      <c r="AZ80" s="64" t="s" ph="1">
        <v>404</v>
      </c>
    </row>
    <row r="81" spans="34:52" ph="1">
      <c r="AJ81" s="64" t="s" ph="1">
        <v>268</v>
      </c>
      <c r="AK81" s="64" t="s" ph="1">
        <v>222</v>
      </c>
      <c r="AM81" s="64" t="s" ph="1">
        <v>269</v>
      </c>
      <c r="AN81" s="64" t="s" ph="1">
        <v>225</v>
      </c>
      <c r="AO81" s="64" t="s" ph="1">
        <v>243</v>
      </c>
      <c r="AP81" s="64" t="s" ph="1">
        <v>270</v>
      </c>
      <c r="AQ81" s="64" t="s" ph="1">
        <v>254</v>
      </c>
      <c r="AR81" s="64" t="s" ph="1">
        <v>243</v>
      </c>
      <c r="AS81" s="64" t="s" ph="1">
        <v>271</v>
      </c>
      <c r="AT81" s="64" t="s" ph="1">
        <v>272</v>
      </c>
      <c r="AU81" s="64" t="s" ph="1">
        <v>243</v>
      </c>
      <c r="AV81" s="64" t="s" ph="1">
        <v>273</v>
      </c>
    </row>
    <row r="82" spans="34:52" ph="1">
      <c r="AJ82" s="64" t="s" ph="1">
        <v>274</v>
      </c>
      <c r="AK82" s="64" t="s" ph="1">
        <v>222</v>
      </c>
      <c r="AM82" s="64" t="s" ph="1">
        <v>275</v>
      </c>
      <c r="AN82" s="64" t="s" ph="1">
        <v>272</v>
      </c>
      <c r="AO82" s="64" t="s" ph="1">
        <v>276</v>
      </c>
      <c r="AP82" s="64" t="s" ph="1">
        <v>277</v>
      </c>
      <c r="AQ82" s="64" t="s" ph="1">
        <v>254</v>
      </c>
      <c r="AR82" s="64" t="s" ph="1">
        <v>243</v>
      </c>
      <c r="AS82" s="64" t="s" ph="1">
        <v>278</v>
      </c>
      <c r="AT82" s="64" t="s" ph="1">
        <v>229</v>
      </c>
      <c r="AU82" s="64" t="s" ph="1">
        <v>243</v>
      </c>
      <c r="AV82" s="64" t="s" ph="1">
        <v>403</v>
      </c>
      <c r="AW82" s="64" t="s" ph="1">
        <v>303</v>
      </c>
      <c r="AX82" s="64" t="s" ph="1">
        <v>400</v>
      </c>
    </row>
    <row r="83" spans="34:52" ph="1">
      <c r="AJ83" s="64" t="s" ph="1">
        <v>279</v>
      </c>
      <c r="AK83" s="64" t="s" ph="1">
        <v>296</v>
      </c>
      <c r="AM83" s="64" t="s" ph="1">
        <v>280</v>
      </c>
      <c r="AN83" s="64" t="s" ph="1">
        <v>228</v>
      </c>
      <c r="AO83" s="64" t="s" ph="1">
        <v>259</v>
      </c>
      <c r="AP83" s="64" t="s" ph="1">
        <v>281</v>
      </c>
      <c r="AQ83" s="64" t="s" ph="1">
        <v>282</v>
      </c>
      <c r="AR83" s="64" t="s" ph="1">
        <v>259</v>
      </c>
      <c r="AS83" s="64" t="s" ph="1">
        <v>405</v>
      </c>
      <c r="AT83" s="64" t="s" ph="1">
        <v>254</v>
      </c>
      <c r="AU83" s="64" t="s" ph="1">
        <v>259</v>
      </c>
      <c r="AV83" s="64" t="s" ph="1">
        <v>406</v>
      </c>
      <c r="AW83" s="64" t="s" ph="1">
        <v>303</v>
      </c>
      <c r="AX83" s="64" t="s" ph="1">
        <v>407</v>
      </c>
    </row>
    <row r="84" spans="34:52" ph="1">
      <c r="AH84" s="64" ph="1">
        <v>4</v>
      </c>
      <c r="AI84" s="64" t="s" ph="1">
        <v>286</v>
      </c>
      <c r="AJ84" s="64" t="s" ph="1">
        <v>226</v>
      </c>
      <c r="AK84" s="64" t="s" ph="1">
        <v>229</v>
      </c>
      <c r="AM84" s="64" t="s" ph="1">
        <v>230</v>
      </c>
      <c r="AN84" s="64" t="s" ph="1">
        <v>223</v>
      </c>
      <c r="AO84" s="64" t="s" ph="1">
        <v>259</v>
      </c>
      <c r="AP84" s="64" t="s" ph="1">
        <v>288</v>
      </c>
      <c r="AQ84" s="64" t="s" ph="1">
        <v>222</v>
      </c>
      <c r="AR84" s="64" t="s" ph="1">
        <v>259</v>
      </c>
      <c r="AS84" s="64" t="s" ph="1">
        <v>288</v>
      </c>
      <c r="AT84" s="64" t="s" ph="1">
        <v>224</v>
      </c>
      <c r="AU84" s="64" t="s" ph="1">
        <v>259</v>
      </c>
      <c r="AY84" s="64" t="s" ph="1">
        <v>216</v>
      </c>
      <c r="AZ84" s="64" t="s" ph="1">
        <v>408</v>
      </c>
    </row>
    <row r="85" spans="34:52" ph="1">
      <c r="AJ85" s="64" t="s" ph="1">
        <v>218</v>
      </c>
      <c r="AK85" s="64" t="s" ph="1">
        <v>222</v>
      </c>
      <c r="AM85" s="64" t="s" ph="1">
        <v>409</v>
      </c>
      <c r="AN85" s="64" t="s" ph="1">
        <v>229</v>
      </c>
      <c r="AO85" s="64" t="s" ph="1">
        <v>259</v>
      </c>
      <c r="AP85" s="64" t="s" ph="1">
        <v>410</v>
      </c>
      <c r="AQ85" s="64" t="s" ph="1">
        <v>225</v>
      </c>
      <c r="AR85" s="64" t="s" ph="1">
        <v>259</v>
      </c>
      <c r="AS85" s="64" t="s" ph="1">
        <v>411</v>
      </c>
      <c r="AT85" s="64" t="s" ph="1">
        <v>225</v>
      </c>
      <c r="AU85" s="64" t="s" ph="1">
        <v>259</v>
      </c>
    </row>
    <row r="86" spans="34:52" ph="1">
      <c r="AJ86" s="64" t="s" ph="1">
        <v>412</v>
      </c>
      <c r="AK86" s="64" t="s" ph="1">
        <v>231</v>
      </c>
      <c r="AM86" s="64" t="s" ph="1">
        <v>413</v>
      </c>
      <c r="AN86" s="64" t="s" ph="1">
        <v>272</v>
      </c>
      <c r="AO86" s="64" t="s" ph="1">
        <v>259</v>
      </c>
      <c r="AP86" s="64" t="s" ph="1">
        <v>414</v>
      </c>
      <c r="AQ86" s="64" t="s" ph="1">
        <v>219</v>
      </c>
      <c r="AR86" s="64" t="s" ph="1">
        <v>259</v>
      </c>
      <c r="AS86" s="64" t="s" ph="1">
        <v>415</v>
      </c>
      <c r="AT86" s="64" t="s" ph="1">
        <v>237</v>
      </c>
      <c r="AU86" s="64" t="s" ph="1">
        <v>259</v>
      </c>
    </row>
    <row r="87" spans="34:52" ph="1">
      <c r="AJ87" s="64" t="s" ph="1">
        <v>416</v>
      </c>
      <c r="AK87" s="64" t="s" ph="1">
        <v>272</v>
      </c>
      <c r="AM87" s="64" t="s" ph="1">
        <v>403</v>
      </c>
      <c r="AN87" s="64" t="s" ph="1">
        <v>417</v>
      </c>
      <c r="AO87" s="64" t="s" ph="1">
        <v>400</v>
      </c>
    </row>
    <row r="88" spans="34:52" ph="1">
      <c r="AH88" s="64" ph="1">
        <v>5</v>
      </c>
      <c r="AI88" s="64" t="s" ph="1">
        <v>289</v>
      </c>
      <c r="AJ88" s="64" t="s" ph="1">
        <v>418</v>
      </c>
      <c r="AK88" s="64" t="s" ph="1">
        <v>272</v>
      </c>
      <c r="AM88" s="64" t="s" ph="1">
        <v>419</v>
      </c>
      <c r="AN88" s="64" t="s" ph="1">
        <v>272</v>
      </c>
      <c r="AO88" s="64" t="s" ph="1">
        <v>259</v>
      </c>
      <c r="AP88" s="64" t="s" ph="1">
        <v>420</v>
      </c>
      <c r="AQ88" s="64" t="s" ph="1">
        <v>222</v>
      </c>
      <c r="AR88" s="64" t="s" ph="1">
        <v>259</v>
      </c>
      <c r="AS88" s="64" t="s" ph="1">
        <v>421</v>
      </c>
      <c r="AT88" s="64" t="s" ph="1">
        <v>272</v>
      </c>
      <c r="AU88" s="64" t="s" ph="1">
        <v>259</v>
      </c>
      <c r="AV88" s="64" t="s" ph="1">
        <v>422</v>
      </c>
      <c r="AW88" s="64" t="s" ph="1">
        <v>227</v>
      </c>
      <c r="AX88" s="64" t="s" ph="1">
        <v>259</v>
      </c>
      <c r="AY88" s="64" t="s" ph="1">
        <v>216</v>
      </c>
      <c r="AZ88" s="64" t="s" ph="1">
        <v>423</v>
      </c>
    </row>
    <row r="89" spans="34:52" ph="1">
      <c r="AJ89" s="64" t="s" ph="1">
        <v>424</v>
      </c>
      <c r="AK89" s="64" t="s" ph="1">
        <v>225</v>
      </c>
      <c r="AM89" s="64" t="s" ph="1">
        <v>425</v>
      </c>
      <c r="AN89" s="64" t="s" ph="1">
        <v>228</v>
      </c>
      <c r="AO89" s="64" t="s" ph="1">
        <v>259</v>
      </c>
      <c r="AP89" s="64" t="s" ph="1">
        <v>426</v>
      </c>
      <c r="AQ89" s="64" t="s" ph="1">
        <v>237</v>
      </c>
      <c r="AR89" s="64" t="s" ph="1">
        <v>259</v>
      </c>
      <c r="AS89" s="64" t="s" ph="1">
        <v>427</v>
      </c>
      <c r="AT89" s="64" t="s" ph="1">
        <v>272</v>
      </c>
      <c r="AU89" s="64" t="s" ph="1">
        <v>259</v>
      </c>
      <c r="AV89" s="64" t="s" ph="1">
        <v>428</v>
      </c>
      <c r="AW89" s="64" t="s" ph="1">
        <v>254</v>
      </c>
      <c r="AX89" s="64" t="s" ph="1">
        <v>287</v>
      </c>
    </row>
    <row r="90" spans="34:52" ph="1">
      <c r="AJ90" s="64" t="s" ph="1">
        <v>429</v>
      </c>
      <c r="AK90" s="64" t="s" ph="1">
        <v>228</v>
      </c>
      <c r="AM90" s="64" t="s" ph="1">
        <v>430</v>
      </c>
      <c r="AN90" s="64" t="s" ph="1">
        <v>225</v>
      </c>
      <c r="AO90" s="64" t="s" ph="1">
        <v>259</v>
      </c>
      <c r="AP90" s="64" t="s" ph="1">
        <v>431</v>
      </c>
      <c r="AQ90" s="64" t="s" ph="1">
        <v>294</v>
      </c>
      <c r="AR90" s="64" t="s" ph="1">
        <v>259</v>
      </c>
      <c r="AS90" s="64" t="s" ph="1">
        <v>432</v>
      </c>
      <c r="AT90" s="64" t="s" ph="1">
        <v>282</v>
      </c>
      <c r="AU90" s="64" t="s" ph="1">
        <v>259</v>
      </c>
      <c r="AV90" s="64" t="s" ph="1">
        <v>433</v>
      </c>
      <c r="AW90" s="64" t="s" ph="1">
        <v>219</v>
      </c>
      <c r="AX90" s="64" t="s" ph="1">
        <v>259</v>
      </c>
    </row>
    <row r="91" spans="34:52" ph="1">
      <c r="AJ91" s="64" t="s" ph="1">
        <v>434</v>
      </c>
      <c r="AK91" s="64" t="s" ph="1">
        <v>272</v>
      </c>
      <c r="AM91" s="64" t="s" ph="1">
        <v>435</v>
      </c>
      <c r="AN91" s="64" t="s" ph="1">
        <v>239</v>
      </c>
      <c r="AO91" s="64" t="s" ph="1">
        <v>259</v>
      </c>
      <c r="AP91" s="64" t="s" ph="1">
        <v>436</v>
      </c>
      <c r="AQ91" s="64" t="s" ph="1">
        <v>219</v>
      </c>
      <c r="AS91" s="64" t="s" ph="1">
        <v>403</v>
      </c>
      <c r="AT91" s="64" t="s" ph="1">
        <v>399</v>
      </c>
      <c r="AU91" s="64" t="s" ph="1">
        <v>400</v>
      </c>
    </row>
    <row r="92" spans="34:52" ph="1">
      <c r="AH92" s="64" ph="1">
        <v>6</v>
      </c>
      <c r="AI92" s="64" t="s" ph="1">
        <v>437</v>
      </c>
      <c r="AJ92" s="64" t="s" ph="1">
        <v>438</v>
      </c>
      <c r="AK92" s="64" t="s" ph="1">
        <v>367</v>
      </c>
      <c r="AM92" s="64" t="s" ph="1">
        <v>439</v>
      </c>
      <c r="AN92" s="64" t="s" ph="1">
        <v>227</v>
      </c>
      <c r="AO92" s="64" t="s" ph="1">
        <v>259</v>
      </c>
      <c r="AP92" s="64" t="s" ph="1">
        <v>440</v>
      </c>
      <c r="AQ92" s="64" t="s" ph="1">
        <v>299</v>
      </c>
      <c r="AR92" s="64" t="s" ph="1">
        <v>259</v>
      </c>
      <c r="AS92" s="64" t="s" ph="1">
        <v>441</v>
      </c>
      <c r="AT92" s="64" t="s" ph="1">
        <v>272</v>
      </c>
      <c r="AU92" s="64" t="s" ph="1">
        <v>259</v>
      </c>
      <c r="AV92" s="64" t="s" ph="1">
        <v>442</v>
      </c>
      <c r="AW92" s="64" t="s" ph="1">
        <v>228</v>
      </c>
      <c r="AX92" s="64" t="s" ph="1">
        <v>259</v>
      </c>
      <c r="AY92" s="64" t="s" ph="1">
        <v>216</v>
      </c>
      <c r="AZ92" s="64" t="s" ph="1">
        <v>423</v>
      </c>
    </row>
    <row r="93" spans="34:52" ph="1">
      <c r="AJ93" s="64" t="s" ph="1">
        <v>443</v>
      </c>
      <c r="AK93" s="64" t="s" ph="1">
        <v>222</v>
      </c>
      <c r="AM93" s="64" t="s" ph="1">
        <v>444</v>
      </c>
      <c r="AN93" s="64" t="s" ph="1">
        <v>227</v>
      </c>
      <c r="AO93" s="64" t="s" ph="1">
        <v>259</v>
      </c>
      <c r="AP93" s="64" t="s" ph="1">
        <v>445</v>
      </c>
      <c r="AQ93" s="64" t="s" ph="1">
        <v>231</v>
      </c>
      <c r="AR93" s="64" t="s" ph="1">
        <v>259</v>
      </c>
      <c r="AS93" s="64" t="s" ph="1">
        <v>446</v>
      </c>
      <c r="AT93" s="64" t="s" ph="1">
        <v>237</v>
      </c>
      <c r="AU93" s="64" t="s" ph="1">
        <v>259</v>
      </c>
      <c r="AV93" s="64" t="s" ph="1">
        <v>447</v>
      </c>
      <c r="AW93" s="64" t="s" ph="1">
        <v>231</v>
      </c>
      <c r="AX93" s="64" t="s" ph="1">
        <v>259</v>
      </c>
    </row>
    <row r="94" spans="34:52" ph="1">
      <c r="AJ94" s="64" t="s" ph="1">
        <v>448</v>
      </c>
      <c r="AK94" s="64" t="s" ph="1">
        <v>294</v>
      </c>
      <c r="AM94" s="64" t="s" ph="1">
        <v>449</v>
      </c>
      <c r="AN94" s="64" t="s" ph="1">
        <v>231</v>
      </c>
      <c r="AO94" s="64" t="s" ph="1">
        <v>259</v>
      </c>
      <c r="AP94" s="64" t="s" ph="1">
        <v>450</v>
      </c>
      <c r="AQ94" s="64" t="s" ph="1">
        <v>239</v>
      </c>
      <c r="AR94" s="64" t="s" ph="1">
        <v>259</v>
      </c>
      <c r="AS94" s="64" t="s" ph="1">
        <v>451</v>
      </c>
      <c r="AT94" s="64" t="s" ph="1">
        <v>225</v>
      </c>
      <c r="AU94" s="64" t="s" ph="1">
        <v>259</v>
      </c>
      <c r="AV94" s="64" t="s" ph="1">
        <v>452</v>
      </c>
      <c r="AW94" s="64" t="s" ph="1">
        <v>225</v>
      </c>
      <c r="AX94" s="64" t="s" ph="1">
        <v>259</v>
      </c>
    </row>
    <row r="95" spans="34:52" ph="1">
      <c r="AJ95" s="64" t="s" ph="1">
        <v>453</v>
      </c>
      <c r="AK95" s="64" t="s" ph="1">
        <v>299</v>
      </c>
    </row>
    <row r="96" spans="34:52" ph="1">
      <c r="AH96" s="64" ph="1">
        <v>7</v>
      </c>
      <c r="AI96" s="64" t="s" ph="1">
        <v>454</v>
      </c>
      <c r="AJ96" s="64" t="s" ph="1">
        <v>453</v>
      </c>
      <c r="AK96" s="64" t="s" ph="1">
        <v>254</v>
      </c>
      <c r="AM96" s="64" t="s" ph="1">
        <v>455</v>
      </c>
      <c r="AN96" s="64" t="s" ph="1">
        <v>228</v>
      </c>
      <c r="AO96" s="64" t="s" ph="1">
        <v>259</v>
      </c>
      <c r="AP96" s="64" t="s" ph="1">
        <v>456</v>
      </c>
      <c r="AQ96" s="64" t="s" ph="1">
        <v>272</v>
      </c>
      <c r="AR96" s="64" t="s" ph="1">
        <v>287</v>
      </c>
      <c r="AS96" s="64" t="s" ph="1">
        <v>457</v>
      </c>
      <c r="AT96" s="64" t="s" ph="1">
        <v>231</v>
      </c>
      <c r="AU96" s="64" t="s" ph="1">
        <v>287</v>
      </c>
      <c r="AV96" s="64" t="s" ph="1">
        <v>458</v>
      </c>
      <c r="AW96" s="64" t="s" ph="1">
        <v>227</v>
      </c>
      <c r="AX96" s="64" t="s" ph="1">
        <v>287</v>
      </c>
      <c r="AY96" s="64" t="s" ph="1">
        <v>216</v>
      </c>
      <c r="AZ96" s="64" t="s" ph="1">
        <v>459</v>
      </c>
    </row>
    <row r="97" spans="33:52" ph="1">
      <c r="AJ97" s="64" t="s" ph="1">
        <v>460</v>
      </c>
      <c r="AK97" s="64" t="s" ph="1">
        <v>282</v>
      </c>
      <c r="AM97" s="64" t="s" ph="1">
        <v>461</v>
      </c>
      <c r="AN97" s="64" t="s" ph="1">
        <v>225</v>
      </c>
      <c r="AO97" s="64" t="s" ph="1">
        <v>259</v>
      </c>
      <c r="AP97" s="64" t="s" ph="1">
        <v>462</v>
      </c>
      <c r="AQ97" s="64" t="s" ph="1">
        <v>219</v>
      </c>
      <c r="AR97" s="64" t="s" ph="1">
        <v>287</v>
      </c>
      <c r="AS97" s="64" t="s" ph="1">
        <v>463</v>
      </c>
      <c r="AT97" s="64" t="s" ph="1">
        <v>222</v>
      </c>
      <c r="AU97" s="64" t="s" ph="1">
        <v>287</v>
      </c>
      <c r="AV97" s="64" t="s" ph="1">
        <v>464</v>
      </c>
      <c r="AW97" s="64" t="s" ph="1">
        <v>228</v>
      </c>
      <c r="AX97" s="64" t="s" ph="1">
        <v>287</v>
      </c>
    </row>
    <row r="98" spans="33:52" ph="1">
      <c r="AJ98" s="64" t="s" ph="1">
        <v>465</v>
      </c>
      <c r="AK98" s="64" t="s" ph="1">
        <v>231</v>
      </c>
      <c r="AM98" s="64" t="s" ph="1">
        <v>466</v>
      </c>
      <c r="AN98" s="64" t="s" ph="1">
        <v>239</v>
      </c>
      <c r="AO98" s="64" t="s" ph="1">
        <v>259</v>
      </c>
      <c r="AP98" s="64" t="s" ph="1">
        <v>467</v>
      </c>
      <c r="AQ98" s="64" t="s" ph="1">
        <v>219</v>
      </c>
      <c r="AR98" s="64" t="s" ph="1">
        <v>287</v>
      </c>
      <c r="AS98" s="64" t="s" ph="1">
        <v>468</v>
      </c>
      <c r="AT98" s="64" t="s" ph="1">
        <v>299</v>
      </c>
      <c r="AU98" s="64" t="s" ph="1">
        <v>287</v>
      </c>
      <c r="AV98" s="64" t="s" ph="1">
        <v>469</v>
      </c>
      <c r="AW98" s="64" t="s" ph="1">
        <v>222</v>
      </c>
      <c r="AX98" s="64" t="s" ph="1">
        <v>287</v>
      </c>
    </row>
    <row r="99" spans="33:52" ph="1">
      <c r="AH99" s="64" ph="1">
        <v>8</v>
      </c>
      <c r="AI99" s="64" t="s" ph="1">
        <v>470</v>
      </c>
      <c r="AJ99" s="64" t="s" ph="1">
        <v>471</v>
      </c>
      <c r="AK99" s="64" t="s" ph="1">
        <v>367</v>
      </c>
      <c r="AM99" s="64" t="s" ph="1">
        <v>472</v>
      </c>
      <c r="AN99" s="64" t="s" ph="1">
        <v>254</v>
      </c>
      <c r="AO99" s="64" t="s" ph="1">
        <v>259</v>
      </c>
      <c r="AP99" s="64" t="s" ph="1">
        <v>473</v>
      </c>
      <c r="AQ99" s="64" t="s" ph="1">
        <v>224</v>
      </c>
      <c r="AR99" s="64" t="s" ph="1">
        <v>287</v>
      </c>
      <c r="AS99" s="64" t="s" ph="1">
        <v>474</v>
      </c>
      <c r="AT99" s="64" t="s" ph="1">
        <v>239</v>
      </c>
      <c r="AU99" s="64" t="s" ph="1">
        <v>287</v>
      </c>
      <c r="AV99" s="64" t="s" ph="1">
        <v>475</v>
      </c>
      <c r="AW99" s="64" t="s" ph="1">
        <v>224</v>
      </c>
      <c r="AX99" s="64" t="s" ph="1">
        <v>287</v>
      </c>
      <c r="AY99" s="64" t="s" ph="1">
        <v>216</v>
      </c>
      <c r="AZ99" s="64" t="s" ph="1">
        <v>476</v>
      </c>
    </row>
    <row r="100" spans="33:52" ph="1">
      <c r="AJ100" s="64" t="s" ph="1">
        <v>477</v>
      </c>
      <c r="AK100" s="64" t="s" ph="1">
        <v>222</v>
      </c>
      <c r="AM100" s="64" t="s" ph="1">
        <v>478</v>
      </c>
      <c r="AN100" s="64" t="s" ph="1">
        <v>294</v>
      </c>
      <c r="AO100" s="64" t="s" ph="1">
        <v>259</v>
      </c>
      <c r="AP100" s="64" t="s" ph="1">
        <v>479</v>
      </c>
      <c r="AQ100" s="64" t="s" ph="1">
        <v>300</v>
      </c>
      <c r="AR100" s="64" t="s" ph="1">
        <v>287</v>
      </c>
      <c r="AS100" s="64" t="s" ph="1">
        <v>480</v>
      </c>
      <c r="AT100" s="64" t="s" ph="1">
        <v>367</v>
      </c>
      <c r="AU100" s="64" t="s" ph="1">
        <v>259</v>
      </c>
      <c r="AV100" s="64" t="s" ph="1">
        <v>481</v>
      </c>
      <c r="AW100" s="64" t="s" ph="1">
        <v>367</v>
      </c>
      <c r="AX100" s="64" t="s" ph="1">
        <v>259</v>
      </c>
    </row>
    <row r="101" spans="33:52" ph="1">
      <c r="AJ101" s="64" t="s" ph="1">
        <v>482</v>
      </c>
      <c r="AK101" s="64" t="s" ph="1">
        <v>367</v>
      </c>
      <c r="AM101" s="64" t="s" ph="1">
        <v>483</v>
      </c>
      <c r="AN101" s="64" t="s" ph="1">
        <v>225</v>
      </c>
      <c r="AO101" s="64" t="s" ph="1">
        <v>259</v>
      </c>
      <c r="AP101" s="64" t="s" ph="1">
        <v>484</v>
      </c>
      <c r="AQ101" s="64" t="s" ph="1">
        <v>237</v>
      </c>
      <c r="AR101" s="64" t="s" ph="1">
        <v>287</v>
      </c>
      <c r="AS101" s="64" t="s" ph="1">
        <v>485</v>
      </c>
      <c r="AT101" s="64" t="s" ph="1">
        <v>294</v>
      </c>
      <c r="AU101" s="64" t="s" ph="1">
        <v>287</v>
      </c>
      <c r="AV101" s="64" t="s" ph="1">
        <v>486</v>
      </c>
      <c r="AW101" s="64" t="s" ph="1">
        <v>225</v>
      </c>
      <c r="AX101" s="64" t="s" ph="1">
        <v>259</v>
      </c>
    </row>
    <row r="102" spans="33:52" ph="1">
      <c r="AJ102" s="64" t="s" ph="1">
        <v>487</v>
      </c>
      <c r="AK102" s="64" t="s" ph="1">
        <v>222</v>
      </c>
      <c r="AM102" s="64" t="s" ph="1">
        <v>488</v>
      </c>
      <c r="AN102" s="64" t="s" ph="1">
        <v>231</v>
      </c>
      <c r="AO102" s="64" t="s" ph="1">
        <v>259</v>
      </c>
      <c r="AP102" s="64" t="s" ph="1">
        <v>489</v>
      </c>
      <c r="AQ102" s="64" t="s" ph="1">
        <v>237</v>
      </c>
      <c r="AR102" s="64" t="s" ph="1">
        <v>259</v>
      </c>
      <c r="AS102" s="64" t="s" ph="1">
        <v>490</v>
      </c>
      <c r="AT102" s="64" t="s" ph="1">
        <v>254</v>
      </c>
      <c r="AU102" s="64" t="s" ph="1">
        <v>259</v>
      </c>
      <c r="AV102" s="64" t="s" ph="1">
        <v>491</v>
      </c>
      <c r="AW102" s="64" t="s" ph="1">
        <v>272</v>
      </c>
      <c r="AX102" s="64" t="s" ph="1">
        <v>259</v>
      </c>
    </row>
    <row r="103" spans="33:52" ph="1">
      <c r="AH103" s="64" ph="1">
        <v>9</v>
      </c>
      <c r="AI103" s="64" t="s" ph="1">
        <v>492</v>
      </c>
      <c r="AJ103" s="64" t="s" ph="1">
        <v>493</v>
      </c>
      <c r="AK103" s="64" t="s" ph="1">
        <v>367</v>
      </c>
      <c r="AM103" s="64" t="s" ph="1">
        <v>494</v>
      </c>
      <c r="AN103" s="64" t="s" ph="1">
        <v>282</v>
      </c>
      <c r="AO103" s="64" t="s" ph="1">
        <v>259</v>
      </c>
      <c r="AP103" s="64" t="s" ph="1">
        <v>336</v>
      </c>
      <c r="AQ103" s="64" t="s" ph="1">
        <v>225</v>
      </c>
      <c r="AR103" s="64" t="s" ph="1">
        <v>259</v>
      </c>
      <c r="AS103" s="64" t="s" ph="1">
        <v>570</v>
      </c>
      <c r="AT103" s="64" t="s" ph="1">
        <v>367</v>
      </c>
      <c r="AU103" s="64" t="s" ph="1">
        <v>259</v>
      </c>
      <c r="AY103" s="64" t="s" ph="1">
        <v>216</v>
      </c>
      <c r="AZ103" s="64" t="s" ph="1">
        <v>224</v>
      </c>
    </row>
    <row r="104" spans="33:52" ph="1">
      <c r="AZ104" s="64" t="s" ph="1">
        <v>495</v>
      </c>
    </row>
    <row r="105" spans="33:52" ph="1">
      <c r="AG105" s="64" t="s" ph="1">
        <v>295</v>
      </c>
      <c r="AI105" s="64" t="s" ph="1">
        <v>209</v>
      </c>
      <c r="AJ105" s="64" t="s" ph="1">
        <v>210</v>
      </c>
      <c r="AK105" s="64" t="s" ph="1">
        <v>211</v>
      </c>
      <c r="AM105" s="64" t="s" ph="1">
        <v>210</v>
      </c>
      <c r="AN105" s="64" t="s" ph="1">
        <v>211</v>
      </c>
      <c r="AO105" s="64" t="s" ph="1">
        <v>212</v>
      </c>
      <c r="AP105" s="64" t="s" ph="1">
        <v>210</v>
      </c>
      <c r="AQ105" s="64" t="s" ph="1">
        <v>211</v>
      </c>
      <c r="AR105" s="64" t="s" ph="1">
        <v>212</v>
      </c>
      <c r="AS105" s="64" t="s" ph="1">
        <v>210</v>
      </c>
      <c r="AT105" s="64" t="s" ph="1">
        <v>211</v>
      </c>
      <c r="AU105" s="64" t="s" ph="1">
        <v>212</v>
      </c>
      <c r="AV105" s="64" t="s" ph="1">
        <v>210</v>
      </c>
      <c r="AW105" s="64" t="s" ph="1">
        <v>211</v>
      </c>
      <c r="AX105" s="64" t="s" ph="1">
        <v>212</v>
      </c>
      <c r="AZ105" s="64" t="s" ph="1">
        <v>213</v>
      </c>
    </row>
    <row r="106" spans="33:52" ph="1">
      <c r="AH106" s="64" ph="1">
        <v>1</v>
      </c>
      <c r="AI106" s="64" t="s" ph="1">
        <v>496</v>
      </c>
      <c r="AJ106" s="64" t="s" ph="1">
        <v>570</v>
      </c>
      <c r="AK106" s="64" t="s" ph="1">
        <v>231</v>
      </c>
      <c r="AZ106" s="64" t="s" ph="1">
        <v>231</v>
      </c>
    </row>
    <row r="107" spans="33:52" ph="1">
      <c r="AH107" s="64" ph="1">
        <v>2</v>
      </c>
      <c r="AI107" s="64" t="s" ph="1">
        <v>497</v>
      </c>
      <c r="AJ107" s="64" t="s" ph="1">
        <v>498</v>
      </c>
      <c r="AK107" s="64" t="s" ph="1">
        <v>228</v>
      </c>
      <c r="AM107" s="64" t="s" ph="1">
        <v>334</v>
      </c>
      <c r="AN107" s="64" t="s" ph="1">
        <v>499</v>
      </c>
      <c r="AO107" s="64" t="s" ph="1">
        <v>500</v>
      </c>
      <c r="AP107" s="64" t="s" ph="1">
        <v>336</v>
      </c>
      <c r="AQ107" s="64" t="s" ph="1">
        <v>304</v>
      </c>
      <c r="AR107" s="64" t="s" ph="1">
        <v>500</v>
      </c>
      <c r="AS107" s="64" t="s" ph="1">
        <v>570</v>
      </c>
      <c r="AT107" s="64" t="s" ph="1">
        <v>499</v>
      </c>
      <c r="AU107" s="64" t="s" ph="1">
        <v>500</v>
      </c>
      <c r="AY107" s="64" t="s" ph="1">
        <v>216</v>
      </c>
      <c r="AZ107" s="64" t="s" ph="1">
        <v>580</v>
      </c>
    </row>
    <row r="108" spans="33:52" ph="1">
      <c r="AH108" s="64" ph="1">
        <v>3</v>
      </c>
      <c r="AI108" s="64" t="s" ph="1">
        <v>501</v>
      </c>
      <c r="AY108" s="64" t="s" ph="1">
        <v>216</v>
      </c>
      <c r="AZ108" s="64" t="s" ph="1">
        <v>367</v>
      </c>
    </row>
    <row r="109" spans="33:52" ph="1">
      <c r="AH109" s="64" ph="1">
        <v>4</v>
      </c>
      <c r="AI109" s="64" t="s" ph="1">
        <v>502</v>
      </c>
      <c r="AY109" s="64" t="s" ph="1">
        <v>216</v>
      </c>
      <c r="AZ109" s="64" t="s" ph="1">
        <v>367</v>
      </c>
    </row>
    <row r="110" spans="33:52" ph="1">
      <c r="AH110" s="64" ph="1">
        <v>5</v>
      </c>
      <c r="AI110" s="64" t="s" ph="1">
        <v>503</v>
      </c>
      <c r="AY110" s="64" t="s" ph="1">
        <v>216</v>
      </c>
      <c r="AZ110" s="64" t="s" ph="1">
        <v>367</v>
      </c>
    </row>
    <row r="111" spans="33:52" ph="1">
      <c r="AH111" s="64" ph="1">
        <v>6</v>
      </c>
      <c r="AI111" s="64" t="s" ph="1">
        <v>581</v>
      </c>
      <c r="AJ111" s="64" t="s" ph="1">
        <v>486</v>
      </c>
      <c r="AK111" s="64" t="s" ph="1">
        <v>225</v>
      </c>
      <c r="AM111" s="64" t="s" ph="1">
        <v>487</v>
      </c>
      <c r="AN111" s="64" t="s" ph="1">
        <v>219</v>
      </c>
      <c r="AO111" s="64" t="s" ph="1">
        <v>500</v>
      </c>
      <c r="AP111" s="64" t="s" ph="1">
        <v>488</v>
      </c>
      <c r="AQ111" s="64" t="s" ph="1">
        <v>228</v>
      </c>
      <c r="AR111" s="64" t="s" ph="1">
        <v>500</v>
      </c>
      <c r="AS111" s="64" t="s" ph="1">
        <v>489</v>
      </c>
      <c r="AT111" s="64" t="s" ph="1">
        <v>237</v>
      </c>
      <c r="AU111" s="64" t="s" ph="1">
        <v>500</v>
      </c>
      <c r="AV111" s="64" t="s" ph="1">
        <v>490</v>
      </c>
      <c r="AW111" s="64" t="s" ph="1">
        <v>227</v>
      </c>
      <c r="AX111" s="64" t="s" ph="1">
        <v>500</v>
      </c>
      <c r="AY111" s="64" t="s" ph="1">
        <v>216</v>
      </c>
      <c r="AZ111" s="64" t="s" ph="1">
        <v>504</v>
      </c>
    </row>
    <row r="112" spans="33:52" ph="1">
      <c r="AJ112" s="64" t="s" ph="1">
        <v>491</v>
      </c>
      <c r="AK112" s="64" t="s" ph="1">
        <v>272</v>
      </c>
      <c r="AM112" s="64" t="s" ph="1">
        <v>493</v>
      </c>
      <c r="AN112" s="64" t="s" ph="1">
        <v>296</v>
      </c>
      <c r="AO112" s="64" t="s" ph="1">
        <v>500</v>
      </c>
      <c r="AP112" s="64" t="s" ph="1">
        <v>494</v>
      </c>
      <c r="AQ112" s="64" t="s" ph="1">
        <v>505</v>
      </c>
      <c r="AR112" s="64" t="s" ph="1">
        <v>500</v>
      </c>
      <c r="AS112" s="64" t="s" ph="1">
        <v>506</v>
      </c>
      <c r="AT112" s="64" t="s" ph="1">
        <v>248</v>
      </c>
      <c r="AU112" s="64" t="s" ph="1">
        <v>500</v>
      </c>
      <c r="AV112" s="64" t="s" ph="1">
        <v>507</v>
      </c>
      <c r="AW112" s="64" t="s" ph="1">
        <v>294</v>
      </c>
      <c r="AX112" s="64" t="s" ph="1">
        <v>500</v>
      </c>
    </row>
    <row r="113" spans="33:52" ph="1">
      <c r="AH113" s="64" ph="1">
        <v>7</v>
      </c>
      <c r="AI113" s="64" t="s" ph="1">
        <v>508</v>
      </c>
      <c r="AJ113" s="64" t="s" ph="1">
        <v>589</v>
      </c>
      <c r="AK113" s="64" t="s" ph="1">
        <v>594</v>
      </c>
      <c r="AY113" s="64" t="s" ph="1">
        <v>216</v>
      </c>
      <c r="AZ113" s="64" t="s" ph="1">
        <v>594</v>
      </c>
    </row>
    <row r="114" spans="33:52" ph="1">
      <c r="AH114" s="64" ph="1">
        <v>8</v>
      </c>
      <c r="AI114" s="64" t="s" ph="1">
        <v>509</v>
      </c>
      <c r="AJ114" s="64" t="s" ph="1">
        <v>589</v>
      </c>
      <c r="AK114" s="64" t="s" ph="1">
        <v>595</v>
      </c>
      <c r="AY114" s="64" t="s" ph="1">
        <v>216</v>
      </c>
      <c r="AZ114" s="64" t="s" ph="1">
        <v>595</v>
      </c>
    </row>
    <row r="115" spans="33:52" ph="1">
      <c r="AH115" s="64" ph="1">
        <v>9</v>
      </c>
      <c r="AI115" s="64" t="s" ph="1">
        <v>510</v>
      </c>
      <c r="AJ115" s="64" t="s" ph="1">
        <v>589</v>
      </c>
      <c r="AK115" s="64" t="s" ph="1">
        <v>595</v>
      </c>
      <c r="AY115" s="64" t="s" ph="1">
        <v>216</v>
      </c>
      <c r="AZ115" s="64" t="s" ph="1">
        <v>595</v>
      </c>
    </row>
    <row r="116" spans="33:52" ph="1">
      <c r="AH116" s="64" ph="1">
        <v>10</v>
      </c>
      <c r="AI116" s="64" t="s" ph="1">
        <v>511</v>
      </c>
      <c r="AJ116" s="64" t="s" ph="1">
        <v>589</v>
      </c>
      <c r="AK116" s="64" t="s" ph="1">
        <v>595</v>
      </c>
      <c r="AY116" s="64" t="s" ph="1">
        <v>216</v>
      </c>
      <c r="AZ116" s="64" t="s" ph="1">
        <v>595</v>
      </c>
    </row>
    <row r="117" spans="33:52" ph="1">
      <c r="AH117" s="64" ph="1">
        <v>11</v>
      </c>
      <c r="AI117" s="64" t="s" ph="1">
        <v>512</v>
      </c>
      <c r="AJ117" s="64" t="s" ph="1">
        <v>589</v>
      </c>
      <c r="AK117" s="64" t="s" ph="1">
        <v>595</v>
      </c>
      <c r="AY117" s="64" t="s" ph="1">
        <v>216</v>
      </c>
      <c r="AZ117" s="64" t="s" ph="1">
        <v>595</v>
      </c>
    </row>
    <row r="118" spans="33:52" ph="1">
      <c r="AZ118" s="64" t="s" ph="1">
        <v>596</v>
      </c>
    </row>
    <row r="119" spans="33:52" ph="1">
      <c r="AI119" s="64" t="s" ph="1">
        <v>209</v>
      </c>
      <c r="AJ119" s="64" t="s" ph="1">
        <v>210</v>
      </c>
      <c r="AK119" s="64" t="s" ph="1">
        <v>211</v>
      </c>
      <c r="AM119" s="64" t="s" ph="1">
        <v>210</v>
      </c>
      <c r="AN119" s="64" t="s" ph="1">
        <v>211</v>
      </c>
      <c r="AO119" s="64" t="s" ph="1">
        <v>212</v>
      </c>
      <c r="AP119" s="64" t="s" ph="1">
        <v>210</v>
      </c>
      <c r="AQ119" s="64" t="s" ph="1">
        <v>211</v>
      </c>
      <c r="AR119" s="64" t="s" ph="1">
        <v>212</v>
      </c>
      <c r="AS119" s="64" t="s" ph="1">
        <v>210</v>
      </c>
      <c r="AT119" s="64" t="s" ph="1">
        <v>211</v>
      </c>
      <c r="AU119" s="64" t="s" ph="1">
        <v>212</v>
      </c>
      <c r="AV119" s="64" t="s" ph="1">
        <v>210</v>
      </c>
      <c r="AW119" s="64" t="s" ph="1">
        <v>211</v>
      </c>
      <c r="AX119" s="64" t="s" ph="1">
        <v>212</v>
      </c>
      <c r="AY119" s="64" t="s" ph="1">
        <v>211</v>
      </c>
      <c r="AZ119" s="64" t="s" ph="1">
        <v>213</v>
      </c>
    </row>
    <row r="120" spans="33:52" ph="1">
      <c r="AG120" s="64" t="s" ph="1">
        <v>353</v>
      </c>
      <c r="AH120" s="64" ph="1">
        <v>1</v>
      </c>
      <c r="AI120" s="64" t="s" ph="1">
        <v>513</v>
      </c>
      <c r="AJ120" s="64" t="s" ph="1">
        <v>587</v>
      </c>
      <c r="AK120" s="64" t="s" ph="1">
        <v>367</v>
      </c>
      <c r="AY120" s="64" t="s" ph="1">
        <v>216</v>
      </c>
      <c r="AZ120" s="64" t="s" ph="1">
        <v>367</v>
      </c>
    </row>
    <row r="121" spans="33:52" ph="1">
      <c r="AH121" s="64" ph="1">
        <v>2</v>
      </c>
      <c r="AI121" s="64" t="s" ph="1">
        <v>514</v>
      </c>
      <c r="AY121" s="64" t="s" ph="1">
        <v>216</v>
      </c>
      <c r="AZ121" s="64" t="s" ph="1">
        <v>367</v>
      </c>
    </row>
    <row r="122" spans="33:52" ph="1">
      <c r="AH122" s="64" ph="1">
        <v>3</v>
      </c>
      <c r="AI122" s="64" t="s" ph="1">
        <v>515</v>
      </c>
      <c r="AJ122" s="64" t="s" ph="1">
        <v>570</v>
      </c>
      <c r="AK122" s="64" t="s" ph="1">
        <v>582</v>
      </c>
      <c r="AM122" s="64" t="s" ph="1">
        <v>597</v>
      </c>
      <c r="AN122" s="64" t="s" ph="1">
        <v>590</v>
      </c>
      <c r="AO122" s="64" t="s" ph="1">
        <v>91</v>
      </c>
      <c r="AY122" s="64" t="s" ph="1">
        <v>216</v>
      </c>
      <c r="AZ122" s="64" t="s" ph="1">
        <v>579</v>
      </c>
    </row>
    <row r="123" spans="33:52" ph="1">
      <c r="AY123" s="64" t="s" ph="1">
        <v>216</v>
      </c>
      <c r="AZ123" s="64" t="s" ph="1">
        <v>579</v>
      </c>
    </row>
    <row r="124" spans="33:52" ph="1">
      <c r="AG124" s="64" t="s" ph="1">
        <v>356</v>
      </c>
      <c r="AH124" s="64" ph="1">
        <v>4</v>
      </c>
      <c r="AI124" s="64" t="s" ph="1">
        <v>516</v>
      </c>
      <c r="AJ124" s="64" t="s" ph="1">
        <v>517</v>
      </c>
      <c r="AK124" s="64" t="s" ph="1">
        <v>518</v>
      </c>
      <c r="AY124" s="64" t="s" ph="1">
        <v>216</v>
      </c>
      <c r="AZ124" s="64" t="s" ph="1">
        <v>518</v>
      </c>
    </row>
    <row r="125" spans="33:52" ph="1">
      <c r="AH125" s="64" ph="1">
        <v>5</v>
      </c>
      <c r="AI125" s="64" t="s" ph="1">
        <v>519</v>
      </c>
      <c r="AJ125" s="64" t="s" ph="1">
        <v>517</v>
      </c>
      <c r="AK125" s="64" t="s" ph="1">
        <v>518</v>
      </c>
      <c r="AY125" s="64" t="s" ph="1">
        <v>216</v>
      </c>
      <c r="AZ125" s="64" t="s" ph="1">
        <v>518</v>
      </c>
    </row>
    <row r="126" spans="33:52" ph="1">
      <c r="AH126" s="64" ph="1">
        <v>6</v>
      </c>
      <c r="AI126" s="64" t="s" ph="1">
        <v>520</v>
      </c>
      <c r="AJ126" s="64" t="s" ph="1">
        <v>589</v>
      </c>
      <c r="AK126" s="64" t="s" ph="1">
        <v>598</v>
      </c>
      <c r="AY126" s="64" t="s" ph="1">
        <v>216</v>
      </c>
      <c r="AZ126" s="64" t="s" ph="1">
        <v>598</v>
      </c>
    </row>
    <row r="127" spans="33:52" ph="1">
      <c r="AH127" s="64" ph="1">
        <v>7</v>
      </c>
      <c r="AI127" s="64" t="s" ph="1">
        <v>521</v>
      </c>
      <c r="AJ127" s="64" t="s" ph="1">
        <v>589</v>
      </c>
      <c r="AK127" s="64" t="s" ph="1">
        <v>599</v>
      </c>
      <c r="AY127" s="64" t="s" ph="1">
        <v>216</v>
      </c>
      <c r="AZ127" s="64" t="s" ph="1">
        <v>599</v>
      </c>
    </row>
    <row r="128" spans="33:52" ph="1">
      <c r="AH128" s="64" ph="1">
        <v>8</v>
      </c>
      <c r="AI128" s="64" t="s" ph="1">
        <v>522</v>
      </c>
      <c r="AY128" s="64" t="s" ph="1">
        <v>216</v>
      </c>
      <c r="AZ128" s="64" t="s" ph="1">
        <v>367</v>
      </c>
    </row>
    <row r="129" spans="33:52" ph="1">
      <c r="AH129" s="64" ph="1">
        <v>9</v>
      </c>
      <c r="AI129" s="64" t="s" ph="1">
        <v>523</v>
      </c>
      <c r="AY129" s="64" t="s" ph="1">
        <v>216</v>
      </c>
      <c r="AZ129" s="64" t="s" ph="1">
        <v>367</v>
      </c>
    </row>
    <row r="130" spans="33:52" ph="1">
      <c r="AH130" s="64" ph="1">
        <v>10</v>
      </c>
      <c r="AI130" s="64" t="s" ph="1">
        <v>524</v>
      </c>
      <c r="AY130" s="64" t="s" ph="1">
        <v>216</v>
      </c>
      <c r="AZ130" s="64" t="s" ph="1">
        <v>367</v>
      </c>
    </row>
    <row r="131" spans="33:52" ph="1">
      <c r="AH131" s="64" ph="1">
        <v>11</v>
      </c>
      <c r="AI131" s="64" t="s" ph="1">
        <v>525</v>
      </c>
      <c r="AJ131" s="64" t="s" ph="1">
        <v>583</v>
      </c>
      <c r="AK131" s="64" t="s" ph="1">
        <v>579</v>
      </c>
      <c r="AY131" s="64" t="s" ph="1">
        <v>216</v>
      </c>
      <c r="AZ131" s="64" t="s" ph="1">
        <v>579</v>
      </c>
    </row>
    <row r="132" spans="33:52" ph="1">
      <c r="AH132" s="64" ph="1">
        <v>12</v>
      </c>
      <c r="AI132" s="64" t="s" ph="1">
        <v>526</v>
      </c>
      <c r="AJ132" s="64" t="s" ph="1">
        <v>583</v>
      </c>
      <c r="AK132" s="64" t="s" ph="1">
        <v>518</v>
      </c>
      <c r="AY132" s="64" t="s" ph="1">
        <v>216</v>
      </c>
      <c r="AZ132" s="64" t="s" ph="1">
        <v>518</v>
      </c>
    </row>
    <row r="133" spans="33:52" ph="1">
      <c r="AH133" s="64" ph="1">
        <v>13</v>
      </c>
      <c r="AI133" s="64" t="s" ph="1">
        <v>527</v>
      </c>
      <c r="AJ133" s="64" t="s" ph="1">
        <v>583</v>
      </c>
      <c r="AK133" s="64" t="s" ph="1">
        <v>584</v>
      </c>
      <c r="AY133" s="64" t="s" ph="1">
        <v>216</v>
      </c>
      <c r="AZ133" s="64" t="s" ph="1">
        <v>584</v>
      </c>
    </row>
    <row r="134" spans="33:52" ph="1">
      <c r="AH134" s="64" ph="1">
        <v>14</v>
      </c>
      <c r="AI134" s="64" t="s" ph="1">
        <v>528</v>
      </c>
      <c r="AJ134" s="64" t="s" ph="1">
        <v>583</v>
      </c>
      <c r="AK134" s="64" t="s" ph="1">
        <v>585</v>
      </c>
      <c r="AY134" s="64" t="s" ph="1">
        <v>216</v>
      </c>
      <c r="AZ134" s="64" t="s" ph="1">
        <v>585</v>
      </c>
    </row>
    <row r="135" spans="33:52" ph="1">
      <c r="AH135" s="64" ph="1">
        <v>15</v>
      </c>
      <c r="AI135" s="64" t="s" ph="1">
        <v>529</v>
      </c>
      <c r="AJ135" s="64" t="s" ph="1">
        <v>583</v>
      </c>
      <c r="AK135" s="64" t="s" ph="1">
        <v>586</v>
      </c>
      <c r="AY135" s="64" t="s" ph="1">
        <v>216</v>
      </c>
      <c r="AZ135" s="64" t="s" ph="1">
        <v>586</v>
      </c>
    </row>
    <row r="136" spans="33:52" ph="1">
      <c r="AZ136" s="64" t="s" ph="1">
        <v>600</v>
      </c>
    </row>
    <row r="137" spans="33:52" ph="1">
      <c r="AG137" s="64" t="s" ph="1">
        <v>290</v>
      </c>
      <c r="AI137" s="64" t="s" ph="1">
        <v>209</v>
      </c>
      <c r="AJ137" s="64" t="s" ph="1">
        <v>210</v>
      </c>
      <c r="AK137" s="64" t="s" ph="1">
        <v>211</v>
      </c>
      <c r="AM137" s="64" t="s" ph="1">
        <v>210</v>
      </c>
      <c r="AN137" s="64" t="s" ph="1">
        <v>211</v>
      </c>
      <c r="AO137" s="64" t="s" ph="1">
        <v>212</v>
      </c>
      <c r="AP137" s="64" t="s" ph="1">
        <v>210</v>
      </c>
      <c r="AQ137" s="64" t="s" ph="1">
        <v>211</v>
      </c>
      <c r="AR137" s="64" t="s" ph="1">
        <v>212</v>
      </c>
      <c r="AS137" s="64" t="s" ph="1">
        <v>210</v>
      </c>
      <c r="AT137" s="64" t="s" ph="1">
        <v>211</v>
      </c>
      <c r="AU137" s="64" t="s" ph="1">
        <v>212</v>
      </c>
      <c r="AV137" s="64" t="s" ph="1">
        <v>210</v>
      </c>
      <c r="AW137" s="64" t="s" ph="1">
        <v>211</v>
      </c>
      <c r="AX137" s="64" t="s" ph="1">
        <v>212</v>
      </c>
      <c r="AY137" s="64" t="s" ph="1">
        <v>211</v>
      </c>
      <c r="AZ137" s="64" t="s" ph="1">
        <v>213</v>
      </c>
    </row>
    <row r="138" spans="33:52" ph="1">
      <c r="AH138" s="64" ph="1">
        <v>1</v>
      </c>
      <c r="AI138" s="64" t="s" ph="1">
        <v>530</v>
      </c>
      <c r="AJ138" s="64" t="s" ph="1">
        <v>531</v>
      </c>
      <c r="AK138" s="64" t="s" ph="1">
        <v>532</v>
      </c>
      <c r="AY138" s="64" t="s" ph="1">
        <v>216</v>
      </c>
      <c r="AZ138" s="64" t="s" ph="1">
        <v>532</v>
      </c>
    </row>
    <row r="139" spans="33:52" ph="1">
      <c r="AH139" s="64" ph="1">
        <v>2</v>
      </c>
      <c r="AI139" s="64" t="s" ph="1">
        <v>533</v>
      </c>
      <c r="AJ139" s="64" t="s" ph="1">
        <v>589</v>
      </c>
      <c r="AK139" s="64" t="s" ph="1">
        <v>601</v>
      </c>
      <c r="AY139" s="64" t="s" ph="1">
        <v>216</v>
      </c>
      <c r="AZ139" s="64" t="s" ph="1">
        <v>601</v>
      </c>
    </row>
    <row r="140" spans="33:52" ph="1">
      <c r="AH140" s="64" ph="1">
        <v>3</v>
      </c>
      <c r="AI140" s="64" t="s" ph="1">
        <v>534</v>
      </c>
      <c r="AJ140" s="64" t="s" ph="1">
        <v>487</v>
      </c>
      <c r="AK140" s="64" t="s" ph="1">
        <v>299</v>
      </c>
      <c r="AM140" s="64" t="s" ph="1">
        <v>488</v>
      </c>
      <c r="AN140" s="64" t="s" ph="1">
        <v>219</v>
      </c>
      <c r="AO140" s="64" t="s" ph="1">
        <v>535</v>
      </c>
      <c r="AP140" s="64" t="s" ph="1">
        <v>489</v>
      </c>
      <c r="AQ140" s="64" t="s" ph="1">
        <v>236</v>
      </c>
      <c r="AR140" s="64" t="s" ph="1">
        <v>535</v>
      </c>
      <c r="AS140" s="64" t="s" ph="1">
        <v>490</v>
      </c>
      <c r="AT140" s="64" t="s" ph="1">
        <v>229</v>
      </c>
      <c r="AU140" s="64" t="s" ph="1">
        <v>535</v>
      </c>
      <c r="AV140" s="64" t="s" ph="1">
        <v>491</v>
      </c>
      <c r="AW140" s="64" t="s" ph="1">
        <v>222</v>
      </c>
      <c r="AX140" s="64" t="s" ph="1">
        <v>535</v>
      </c>
      <c r="AY140" s="64" t="s" ph="1">
        <v>216</v>
      </c>
      <c r="AZ140" s="64" t="s" ph="1">
        <v>291</v>
      </c>
    </row>
    <row r="141" spans="33:52" ph="1">
      <c r="AJ141" s="64" t="s" ph="1">
        <v>493</v>
      </c>
      <c r="AK141" s="64" t="s" ph="1">
        <v>222</v>
      </c>
      <c r="AM141" s="64" t="s" ph="1">
        <v>494</v>
      </c>
      <c r="AN141" s="64" t="s" ph="1">
        <v>225</v>
      </c>
      <c r="AO141" s="64" t="s" ph="1">
        <v>535</v>
      </c>
      <c r="AP141" s="64" t="s" ph="1">
        <v>506</v>
      </c>
      <c r="AQ141" s="64" t="s" ph="1">
        <v>294</v>
      </c>
      <c r="AR141" s="64" t="s" ph="1">
        <v>535</v>
      </c>
      <c r="AS141" s="64" t="s" ph="1">
        <v>498</v>
      </c>
      <c r="AT141" s="64" t="s" ph="1">
        <v>222</v>
      </c>
      <c r="AU141" s="64" t="s" ph="1">
        <v>535</v>
      </c>
      <c r="AV141" s="64" t="s" ph="1">
        <v>334</v>
      </c>
      <c r="AW141" s="64" t="s" ph="1">
        <v>228</v>
      </c>
      <c r="AX141" s="64" t="s" ph="1">
        <v>535</v>
      </c>
    </row>
    <row r="142" spans="33:52" ph="1">
      <c r="AJ142" s="64" t="s" ph="1">
        <v>536</v>
      </c>
      <c r="AK142" s="64" t="s" ph="1">
        <v>239</v>
      </c>
    </row>
    <row r="143" spans="33:52" ph="1">
      <c r="AH143" s="64" ph="1">
        <v>4</v>
      </c>
      <c r="AI143" s="64" t="s" ph="1">
        <v>537</v>
      </c>
      <c r="AJ143" s="64" t="s" ph="1">
        <v>517</v>
      </c>
      <c r="AK143" s="64" t="s" ph="1">
        <v>538</v>
      </c>
      <c r="AY143" s="64" t="s" ph="1">
        <v>216</v>
      </c>
      <c r="AZ143" s="64" t="s" ph="1">
        <v>538</v>
      </c>
    </row>
    <row r="144" spans="33:52" ph="1">
      <c r="AH144" s="64" ph="1">
        <v>5</v>
      </c>
      <c r="AI144" s="64" t="s" ph="1">
        <v>539</v>
      </c>
      <c r="AY144" s="64" t="s" ph="1">
        <v>216</v>
      </c>
      <c r="AZ144" s="64" t="s" ph="1">
        <v>367</v>
      </c>
    </row>
    <row r="145" spans="33:52" ph="1">
      <c r="AH145" s="64" ph="1">
        <v>6</v>
      </c>
      <c r="AI145" s="64" t="s" ph="1">
        <v>540</v>
      </c>
      <c r="AY145" s="64" t="s" ph="1">
        <v>216</v>
      </c>
      <c r="AZ145" s="64" t="s" ph="1">
        <v>367</v>
      </c>
    </row>
    <row r="146" spans="33:52" ph="1">
      <c r="AH146" s="64" ph="1">
        <v>7</v>
      </c>
      <c r="AI146" s="64" t="s" ph="1">
        <v>541</v>
      </c>
      <c r="AY146" s="64" t="s" ph="1">
        <v>216</v>
      </c>
      <c r="AZ146" s="64" t="s" ph="1">
        <v>367</v>
      </c>
    </row>
    <row r="147" spans="33:52" ph="1">
      <c r="AH147" s="64" ph="1">
        <v>8</v>
      </c>
      <c r="AI147" s="64" t="s" ph="1">
        <v>542</v>
      </c>
      <c r="AY147" s="64" t="s" ph="1">
        <v>216</v>
      </c>
      <c r="AZ147" s="64" t="s" ph="1">
        <v>367</v>
      </c>
    </row>
    <row r="148" spans="33:52" ph="1">
      <c r="AH148" s="64" ph="1">
        <v>9</v>
      </c>
      <c r="AI148" s="64" t="s" ph="1">
        <v>543</v>
      </c>
      <c r="AY148" s="64" t="s" ph="1">
        <v>216</v>
      </c>
      <c r="AZ148" s="64" t="s" ph="1">
        <v>367</v>
      </c>
    </row>
    <row r="149" spans="33:52" ph="1">
      <c r="AH149" s="64" ph="1">
        <v>10</v>
      </c>
      <c r="AI149" s="64" t="s" ph="1">
        <v>544</v>
      </c>
      <c r="AY149" s="64" t="s" ph="1">
        <v>216</v>
      </c>
      <c r="AZ149" s="64" t="s" ph="1">
        <v>367</v>
      </c>
    </row>
    <row r="150" spans="33:52" ph="1">
      <c r="AH150" s="64" ph="1">
        <v>11</v>
      </c>
      <c r="AI150" s="64" t="s" ph="1">
        <v>545</v>
      </c>
      <c r="AY150" s="64" t="s" ph="1">
        <v>216</v>
      </c>
      <c r="AZ150" s="64" t="s" ph="1">
        <v>367</v>
      </c>
    </row>
    <row r="151" spans="33:52" ph="1">
      <c r="AH151" s="64" ph="1">
        <v>12</v>
      </c>
      <c r="AI151" s="64" t="s" ph="1">
        <v>546</v>
      </c>
      <c r="AY151" s="64" t="s" ph="1">
        <v>216</v>
      </c>
      <c r="AZ151" s="64" t="s" ph="1">
        <v>367</v>
      </c>
    </row>
    <row r="152" spans="33:52" ph="1">
      <c r="AH152" s="64" ph="1">
        <v>13</v>
      </c>
      <c r="AI152" s="64" t="s" ph="1">
        <v>547</v>
      </c>
      <c r="AY152" s="64" t="s" ph="1">
        <v>216</v>
      </c>
      <c r="AZ152" s="64" t="s" ph="1">
        <v>367</v>
      </c>
    </row>
    <row r="153" spans="33:52" ph="1">
      <c r="AH153" s="64" ph="1">
        <v>14</v>
      </c>
      <c r="AI153" s="64" t="s" ph="1">
        <v>548</v>
      </c>
      <c r="AY153" s="64" t="s" ph="1">
        <v>216</v>
      </c>
      <c r="AZ153" s="64" t="s" ph="1">
        <v>367</v>
      </c>
    </row>
    <row r="154" spans="33:52" ph="1">
      <c r="AH154" s="64" ph="1">
        <v>15</v>
      </c>
      <c r="AI154" s="64" t="s" ph="1">
        <v>549</v>
      </c>
      <c r="AY154" s="64" t="s" ph="1">
        <v>216</v>
      </c>
      <c r="AZ154" s="64" t="s" ph="1">
        <v>367</v>
      </c>
    </row>
    <row r="155" spans="33:52" ph="1">
      <c r="AH155" s="64" ph="1">
        <v>16</v>
      </c>
      <c r="AI155" s="64" t="s" ph="1">
        <v>550</v>
      </c>
      <c r="AJ155" s="64" t="s" ph="1">
        <v>336</v>
      </c>
      <c r="AK155" s="64" t="s" ph="1">
        <v>231</v>
      </c>
      <c r="AM155" s="64" t="s" ph="1">
        <v>570</v>
      </c>
      <c r="AN155" s="64" t="s" ph="1">
        <v>282</v>
      </c>
      <c r="AO155" s="64" t="s" ph="1">
        <v>535</v>
      </c>
      <c r="AY155" s="64" t="s" ph="1">
        <v>216</v>
      </c>
      <c r="AZ155" s="64" t="s" ph="1">
        <v>223</v>
      </c>
    </row>
    <row r="156" spans="33:52" ph="1">
      <c r="AZ156" s="64" t="s" ph="1">
        <v>602</v>
      </c>
    </row>
    <row r="157" spans="33:52" ph="1">
      <c r="AG157" s="64" t="s" ph="1">
        <v>551</v>
      </c>
      <c r="AI157" s="64" t="s" ph="1">
        <v>209</v>
      </c>
      <c r="AJ157" s="64" t="s" ph="1">
        <v>210</v>
      </c>
      <c r="AK157" s="64" t="s" ph="1">
        <v>211</v>
      </c>
      <c r="AM157" s="64" t="s" ph="1">
        <v>210</v>
      </c>
      <c r="AN157" s="64" t="s" ph="1">
        <v>211</v>
      </c>
      <c r="AO157" s="64" t="s" ph="1">
        <v>212</v>
      </c>
      <c r="AP157" s="64" t="s" ph="1">
        <v>210</v>
      </c>
      <c r="AQ157" s="64" t="s" ph="1">
        <v>211</v>
      </c>
      <c r="AR157" s="64" t="s" ph="1">
        <v>212</v>
      </c>
      <c r="AS157" s="64" t="s" ph="1">
        <v>210</v>
      </c>
      <c r="AT157" s="64" t="s" ph="1">
        <v>211</v>
      </c>
      <c r="AU157" s="64" t="s" ph="1">
        <v>212</v>
      </c>
      <c r="AV157" s="64" t="s" ph="1">
        <v>210</v>
      </c>
      <c r="AW157" s="64" t="s" ph="1">
        <v>211</v>
      </c>
      <c r="AX157" s="64" t="s" ph="1">
        <v>212</v>
      </c>
      <c r="AY157" s="64" t="s" ph="1">
        <v>211</v>
      </c>
      <c r="AZ157" s="64" t="s" ph="1">
        <v>213</v>
      </c>
    </row>
    <row r="158" spans="33:52" ph="1">
      <c r="AH158" s="64" ph="1">
        <v>1</v>
      </c>
      <c r="AI158" s="64" t="s" ph="1">
        <v>552</v>
      </c>
      <c r="AY158" s="64" t="s" ph="1">
        <v>216</v>
      </c>
      <c r="AZ158" s="64" t="s" ph="1">
        <v>367</v>
      </c>
    </row>
    <row r="159" spans="33:52" ph="1">
      <c r="AH159" s="64" ph="1">
        <v>2</v>
      </c>
      <c r="AI159" s="64" t="s" ph="1">
        <v>553</v>
      </c>
      <c r="AY159" s="64" t="s" ph="1">
        <v>216</v>
      </c>
      <c r="AZ159" s="64" t="s" ph="1">
        <v>367</v>
      </c>
    </row>
    <row r="160" spans="33:52" ph="1">
      <c r="AZ160" s="64" t="s" ph="1">
        <v>385</v>
      </c>
    </row>
    <row r="161" spans="33:52" ph="1">
      <c r="AG161" s="64" t="s" ph="1">
        <v>361</v>
      </c>
      <c r="AI161" s="64" t="s" ph="1">
        <v>209</v>
      </c>
      <c r="AJ161" s="64" t="s" ph="1">
        <v>210</v>
      </c>
      <c r="AK161" s="64" t="s" ph="1">
        <v>211</v>
      </c>
      <c r="AM161" s="64" t="s" ph="1">
        <v>210</v>
      </c>
      <c r="AN161" s="64" t="s" ph="1">
        <v>211</v>
      </c>
      <c r="AO161" s="64" t="s" ph="1">
        <v>212</v>
      </c>
      <c r="AP161" s="64" t="s" ph="1">
        <v>210</v>
      </c>
      <c r="AQ161" s="64" t="s" ph="1">
        <v>211</v>
      </c>
      <c r="AR161" s="64" t="s" ph="1">
        <v>212</v>
      </c>
      <c r="AS161" s="64" t="s" ph="1">
        <v>210</v>
      </c>
      <c r="AT161" s="64" t="s" ph="1">
        <v>211</v>
      </c>
      <c r="AU161" s="64" t="s" ph="1">
        <v>212</v>
      </c>
      <c r="AV161" s="64" t="s" ph="1">
        <v>210</v>
      </c>
      <c r="AW161" s="64" t="s" ph="1">
        <v>211</v>
      </c>
      <c r="AX161" s="64" t="s" ph="1">
        <v>212</v>
      </c>
      <c r="AY161" s="64" t="s" ph="1">
        <v>211</v>
      </c>
      <c r="AZ161" s="64" t="s" ph="1">
        <v>213</v>
      </c>
    </row>
    <row r="162" spans="33:52" ph="1">
      <c r="AH162" s="64" ph="1">
        <v>1</v>
      </c>
      <c r="AI162" s="64" t="s" ph="1">
        <v>554</v>
      </c>
      <c r="AJ162" s="64" t="s" ph="1">
        <v>555</v>
      </c>
      <c r="AK162" s="64" t="s" ph="1">
        <v>499</v>
      </c>
      <c r="AM162" s="64" t="s" ph="1">
        <v>556</v>
      </c>
      <c r="AN162" s="64" t="s" ph="1">
        <v>220</v>
      </c>
      <c r="AO162" s="64" t="s" ph="1">
        <v>557</v>
      </c>
      <c r="AY162" s="64" t="s" ph="1">
        <v>216</v>
      </c>
      <c r="AZ162" s="64" t="s" ph="1">
        <v>292</v>
      </c>
    </row>
    <row r="163" spans="33:52" ph="1">
      <c r="AH163" s="64" ph="1">
        <v>2</v>
      </c>
      <c r="AI163" s="64" t="s" ph="1">
        <v>558</v>
      </c>
      <c r="AJ163" s="64" t="s" ph="1">
        <v>555</v>
      </c>
      <c r="AK163" s="64" t="s" ph="1">
        <v>388</v>
      </c>
      <c r="AY163" s="64" t="s" ph="1">
        <v>216</v>
      </c>
      <c r="AZ163" s="64" t="s" ph="1">
        <v>388</v>
      </c>
    </row>
    <row r="164" spans="33:52" ph="1">
      <c r="AH164" s="64" ph="1">
        <v>3</v>
      </c>
      <c r="AI164" s="64" t="s" ph="1">
        <v>559</v>
      </c>
      <c r="AJ164" s="64" t="s" ph="1">
        <v>555</v>
      </c>
      <c r="AK164" s="64" t="s" ph="1">
        <v>292</v>
      </c>
      <c r="AY164" s="64" t="s" ph="1">
        <v>216</v>
      </c>
      <c r="AZ164" s="64" t="s" ph="1">
        <v>292</v>
      </c>
    </row>
    <row r="165" spans="33:52" ph="1">
      <c r="AH165" s="64" ph="1">
        <v>4</v>
      </c>
      <c r="AI165" s="64" t="s" ph="1">
        <v>560</v>
      </c>
      <c r="AY165" s="64" t="s" ph="1">
        <v>216</v>
      </c>
      <c r="AZ165" s="64" t="s" ph="1">
        <v>367</v>
      </c>
    </row>
    <row r="166" spans="33:52" ph="1">
      <c r="AH166" s="64" ph="1">
        <v>5</v>
      </c>
      <c r="AI166" s="64" t="s" ph="1">
        <v>561</v>
      </c>
      <c r="AY166" s="64" t="s" ph="1">
        <v>216</v>
      </c>
      <c r="AZ166" s="64" t="s" ph="1">
        <v>367</v>
      </c>
    </row>
    <row r="167" spans="33:52" ph="1">
      <c r="AZ167" s="64" t="s" ph="1">
        <v>562</v>
      </c>
    </row>
    <row r="168" spans="33:52" ph="1">
      <c r="AG168" s="64" t="s" ph="1">
        <v>305</v>
      </c>
      <c r="AI168" s="64" t="s" ph="1">
        <v>209</v>
      </c>
      <c r="AJ168" s="64" t="s" ph="1">
        <v>210</v>
      </c>
      <c r="AK168" s="64" t="s" ph="1">
        <v>211</v>
      </c>
      <c r="AM168" s="64" t="s" ph="1">
        <v>210</v>
      </c>
      <c r="AN168" s="64" t="s" ph="1">
        <v>211</v>
      </c>
      <c r="AO168" s="64" t="s" ph="1">
        <v>212</v>
      </c>
      <c r="AP168" s="64" t="s" ph="1">
        <v>210</v>
      </c>
      <c r="AQ168" s="64" t="s" ph="1">
        <v>211</v>
      </c>
      <c r="AR168" s="64" t="s" ph="1">
        <v>212</v>
      </c>
      <c r="AS168" s="64" t="s" ph="1">
        <v>210</v>
      </c>
      <c r="AT168" s="64" t="s" ph="1">
        <v>211</v>
      </c>
      <c r="AU168" s="64" t="s" ph="1">
        <v>212</v>
      </c>
      <c r="AV168" s="64" t="s" ph="1">
        <v>210</v>
      </c>
      <c r="AW168" s="64" t="s" ph="1">
        <v>211</v>
      </c>
      <c r="AX168" s="64" t="s" ph="1">
        <v>212</v>
      </c>
      <c r="AY168" s="64" t="s" ph="1">
        <v>211</v>
      </c>
      <c r="AZ168" s="64" t="s" ph="1">
        <v>213</v>
      </c>
    </row>
    <row r="169" spans="33:52" ph="1">
      <c r="AH169" s="64" ph="1">
        <v>1</v>
      </c>
      <c r="AI169" s="64" t="s" ph="1">
        <v>563</v>
      </c>
      <c r="AY169" s="64" t="s" ph="1">
        <v>216</v>
      </c>
      <c r="AZ169" s="64" t="s" ph="1">
        <v>367</v>
      </c>
    </row>
    <row r="170" spans="33:52" ph="1">
      <c r="AH170" s="64" ph="1">
        <v>2</v>
      </c>
      <c r="AI170" s="64" t="s" ph="1">
        <v>564</v>
      </c>
      <c r="AY170" s="64" t="s" ph="1">
        <v>216</v>
      </c>
      <c r="AZ170" s="64" t="s" ph="1">
        <v>367</v>
      </c>
    </row>
    <row r="171" spans="33:52" ph="1">
      <c r="AH171" s="64" ph="1">
        <v>3</v>
      </c>
      <c r="AI171" s="64" t="s" ph="1">
        <v>565</v>
      </c>
      <c r="AY171" s="64" t="s" ph="1">
        <v>216</v>
      </c>
      <c r="AZ171" s="64" t="s" ph="1">
        <v>367</v>
      </c>
    </row>
    <row r="172" spans="33:52" ph="1">
      <c r="AH172" s="64" ph="1">
        <v>4</v>
      </c>
      <c r="AI172" s="64" t="s" ph="1">
        <v>566</v>
      </c>
      <c r="AY172" s="64" t="s" ph="1">
        <v>216</v>
      </c>
      <c r="AZ172" s="64" t="s" ph="1">
        <v>367</v>
      </c>
    </row>
    <row r="173" spans="33:52" ph="1">
      <c r="AH173" s="64" ph="1">
        <v>5</v>
      </c>
      <c r="AI173" s="64" t="s" ph="1">
        <v>567</v>
      </c>
      <c r="AY173" s="64" t="s" ph="1">
        <v>216</v>
      </c>
      <c r="AZ173" s="64" t="s" ph="1">
        <v>367</v>
      </c>
    </row>
    <row r="174" spans="33:52" ph="1">
      <c r="AZ174" s="64" t="s" ph="1">
        <v>385</v>
      </c>
    </row>
    <row r="175" spans="33:52" ph="1">
      <c r="AJ175" s="64" t="s" ph="1">
        <v>306</v>
      </c>
    </row>
    <row r="176" spans="33:52" ph="1">
      <c r="AJ176" s="64" t="s" ph="1">
        <v>307</v>
      </c>
      <c r="AK176" s="64" t="s" ph="1">
        <v>308</v>
      </c>
      <c r="AM176" s="64" t="s" ph="1">
        <v>309</v>
      </c>
      <c r="AO176" s="64" t="s" ph="1">
        <v>310</v>
      </c>
      <c r="AP176" s="64" t="s" ph="1">
        <v>311</v>
      </c>
      <c r="AQ176" s="64" t="s" ph="1">
        <v>301</v>
      </c>
      <c r="AR176" s="64" t="s" ph="1">
        <v>221</v>
      </c>
    </row>
    <row r="177" spans="36:56" ph="1">
      <c r="AJ177" s="64" t="s" ph="1">
        <v>603</v>
      </c>
      <c r="AK177" s="64" t="s" ph="1">
        <v>312</v>
      </c>
      <c r="AO177" s="64" t="s" ph="1">
        <v>312</v>
      </c>
      <c r="AP177" s="64" t="s" ph="1">
        <v>312</v>
      </c>
      <c r="AQ177" s="64" t="s" ph="1">
        <v>313</v>
      </c>
      <c r="AR177" s="64" t="s" ph="1">
        <v>314</v>
      </c>
    </row>
    <row r="179" spans="36:56" ph="1">
      <c r="AJ179" s="64" t="s" ph="1">
        <v>315</v>
      </c>
      <c r="AK179" s="64" t="s" ph="1">
        <v>316</v>
      </c>
      <c r="AM179" s="64" t="s" ph="1">
        <v>317</v>
      </c>
      <c r="AN179" s="64" t="s" ph="1">
        <v>293</v>
      </c>
      <c r="AO179" s="64" t="s" ph="1">
        <v>318</v>
      </c>
      <c r="AP179" s="64" t="s" ph="1">
        <v>297</v>
      </c>
      <c r="AQ179" s="64" t="s" ph="1">
        <v>319</v>
      </c>
      <c r="AR179" s="64" t="s" ph="1">
        <v>320</v>
      </c>
    </row>
    <row r="180" spans="36:56" ph="1">
      <c r="AJ180" s="64" t="s" ph="1">
        <v>312</v>
      </c>
      <c r="AK180" s="64" t="s" ph="1">
        <v>312</v>
      </c>
      <c r="AL180" s="64" ph="1">
        <v>116</v>
      </c>
      <c r="AM180" s="64" t="s" ph="1">
        <v>312</v>
      </c>
      <c r="AN180" s="64" t="s" ph="1">
        <v>321</v>
      </c>
      <c r="AO180" s="64" t="s" ph="1">
        <v>312</v>
      </c>
      <c r="AP180" s="64" t="s" ph="1">
        <v>322</v>
      </c>
      <c r="AQ180" s="64" t="s" ph="1">
        <v>323</v>
      </c>
      <c r="AR180" s="64" t="s" ph="1">
        <v>324</v>
      </c>
    </row>
    <row r="189" spans="36:56" ph="1">
      <c r="BD189" s="64" t="s" ph="1">
        <v>568</v>
      </c>
    </row>
    <row r="223" spans="18:18" ph="1">
      <c r="R223" s="135" ph="1">
        <v>45496</v>
      </c>
    </row>
  </sheetData>
  <mergeCells count="58">
    <mergeCell ref="Z22:AE22"/>
    <mergeCell ref="Z23:AE29"/>
    <mergeCell ref="B24:B26"/>
    <mergeCell ref="B27:B29"/>
    <mergeCell ref="B1:AE1"/>
    <mergeCell ref="B2:AE2"/>
    <mergeCell ref="B3:AE3"/>
    <mergeCell ref="B4:B5"/>
    <mergeCell ref="B6:B8"/>
    <mergeCell ref="B9:B11"/>
    <mergeCell ref="P31:R31"/>
    <mergeCell ref="B13:B14"/>
    <mergeCell ref="B15:B17"/>
    <mergeCell ref="B18:B20"/>
    <mergeCell ref="B22:B23"/>
    <mergeCell ref="B31:C32"/>
    <mergeCell ref="D31:F31"/>
    <mergeCell ref="G31:I31"/>
    <mergeCell ref="J31:L31"/>
    <mergeCell ref="M31:O31"/>
    <mergeCell ref="B33:C34"/>
    <mergeCell ref="D33:D34"/>
    <mergeCell ref="E33:E34"/>
    <mergeCell ref="F33:F34"/>
    <mergeCell ref="G33:G34"/>
    <mergeCell ref="S31:U31"/>
    <mergeCell ref="V31:X31"/>
    <mergeCell ref="Y31:AA31"/>
    <mergeCell ref="AB31:AE31"/>
    <mergeCell ref="AD32:AE32"/>
    <mergeCell ref="S33:S34"/>
    <mergeCell ref="H33:H34"/>
    <mergeCell ref="I33:I34"/>
    <mergeCell ref="J33:J34"/>
    <mergeCell ref="K33:K34"/>
    <mergeCell ref="L33:L34"/>
    <mergeCell ref="M33:M34"/>
    <mergeCell ref="N33:N34"/>
    <mergeCell ref="O33:O34"/>
    <mergeCell ref="P33:P34"/>
    <mergeCell ref="Q33:Q34"/>
    <mergeCell ref="R33:R34"/>
    <mergeCell ref="I36:J36"/>
    <mergeCell ref="R36:S36"/>
    <mergeCell ref="AB36:AC36"/>
    <mergeCell ref="AD36:AE36"/>
    <mergeCell ref="Z33:Z34"/>
    <mergeCell ref="AA33:AA34"/>
    <mergeCell ref="AB33:AB34"/>
    <mergeCell ref="AC33:AC34"/>
    <mergeCell ref="AD33:AE34"/>
    <mergeCell ref="AC35:AE35"/>
    <mergeCell ref="T33:T34"/>
    <mergeCell ref="U33:U34"/>
    <mergeCell ref="V33:V34"/>
    <mergeCell ref="W33:W34"/>
    <mergeCell ref="X33:X34"/>
    <mergeCell ref="Y33:Y34"/>
  </mergeCells>
  <phoneticPr fontId="2" type="noConversion"/>
  <conditionalFormatting sqref="D4:D11">
    <cfRule type="expression" dxfId="1595" priority="103">
      <formula>ABS(D$7-D$10)&gt;=1000</formula>
    </cfRule>
  </conditionalFormatting>
  <conditionalFormatting sqref="E4 E6:E11">
    <cfRule type="expression" dxfId="1594" priority="102">
      <formula>ABS(E$7-E$10)&gt;=1000</formula>
    </cfRule>
  </conditionalFormatting>
  <conditionalFormatting sqref="F4:F11">
    <cfRule type="expression" dxfId="1593" priority="101">
      <formula>ABS(F$7-F$10)&gt;=1000</formula>
    </cfRule>
  </conditionalFormatting>
  <conditionalFormatting sqref="G4:G11">
    <cfRule type="expression" dxfId="1592" priority="100">
      <formula>ABS(G$7-G$10)&gt;=1000</formula>
    </cfRule>
  </conditionalFormatting>
  <conditionalFormatting sqref="H4:H11">
    <cfRule type="expression" dxfId="1591" priority="99">
      <formula>ABS(H$7-H$10)&gt;=1000</formula>
    </cfRule>
  </conditionalFormatting>
  <conditionalFormatting sqref="I4:I11">
    <cfRule type="expression" dxfId="1590" priority="98">
      <formula>ABS(I$7-I$10)&gt;=1000</formula>
    </cfRule>
  </conditionalFormatting>
  <conditionalFormatting sqref="J4:J11">
    <cfRule type="expression" dxfId="1589" priority="97">
      <formula>ABS(J$7-J$10)&gt;=1000</formula>
    </cfRule>
  </conditionalFormatting>
  <conditionalFormatting sqref="K4:K11">
    <cfRule type="expression" dxfId="1588" priority="96">
      <formula>ABS(K$7-K$10)&gt;=1000</formula>
    </cfRule>
  </conditionalFormatting>
  <conditionalFormatting sqref="L4:L11">
    <cfRule type="expression" dxfId="1587" priority="95">
      <formula>ABS(L$7-L$10)&gt;=1000</formula>
    </cfRule>
  </conditionalFormatting>
  <conditionalFormatting sqref="M4 M6:M11">
    <cfRule type="expression" dxfId="1586" priority="94">
      <formula>ABS(M$7-M$10)&gt;=1000</formula>
    </cfRule>
  </conditionalFormatting>
  <conditionalFormatting sqref="N4 N6:N11">
    <cfRule type="expression" dxfId="1585" priority="93">
      <formula>ABS(N$7-N$10)&gt;=1000</formula>
    </cfRule>
  </conditionalFormatting>
  <conditionalFormatting sqref="O4 O6:O11">
    <cfRule type="expression" dxfId="1584" priority="92">
      <formula>ABS(O$7-O$10)&gt;=1000</formula>
    </cfRule>
  </conditionalFormatting>
  <conditionalFormatting sqref="P4 P6:P11">
    <cfRule type="expression" dxfId="1583" priority="91">
      <formula>ABS(P$7-P$10)&gt;=1000</formula>
    </cfRule>
  </conditionalFormatting>
  <conditionalFormatting sqref="Q4:Q11">
    <cfRule type="expression" dxfId="1582" priority="90">
      <formula>ABS(Q$7-Q$10)&gt;=1000</formula>
    </cfRule>
  </conditionalFormatting>
  <conditionalFormatting sqref="R4:R11">
    <cfRule type="expression" dxfId="1581" priority="89">
      <formula>ABS(R$7-R$10)&gt;=1000</formula>
    </cfRule>
  </conditionalFormatting>
  <conditionalFormatting sqref="S4:S11">
    <cfRule type="expression" dxfId="1580" priority="88">
      <formula>ABS(S$7-S$10)&gt;=1000</formula>
    </cfRule>
  </conditionalFormatting>
  <conditionalFormatting sqref="T4:T9 T11">
    <cfRule type="expression" dxfId="1579" priority="87">
      <formula>ABS(T$7-T$10)&gt;=1000</formula>
    </cfRule>
  </conditionalFormatting>
  <conditionalFormatting sqref="U4:U9 U11">
    <cfRule type="expression" dxfId="1578" priority="86">
      <formula>ABS(U$7-U$10)&gt;=1000</formula>
    </cfRule>
  </conditionalFormatting>
  <conditionalFormatting sqref="V4:V9 V11">
    <cfRule type="expression" dxfId="1577" priority="85">
      <formula>ABS(V$7-V$10)&gt;=1000</formula>
    </cfRule>
  </conditionalFormatting>
  <conditionalFormatting sqref="W4:W9 W11">
    <cfRule type="expression" dxfId="1576" priority="84">
      <formula>ABS(W$7-W$10)&gt;=1000</formula>
    </cfRule>
  </conditionalFormatting>
  <conditionalFormatting sqref="X4:X9 X11">
    <cfRule type="expression" dxfId="1575" priority="83">
      <formula>ABS(X$7-X$10)&gt;=1000</formula>
    </cfRule>
  </conditionalFormatting>
  <conditionalFormatting sqref="Y4:Y9 Y11">
    <cfRule type="expression" dxfId="1574" priority="82">
      <formula>ABS(Y$7-Y$10)&gt;=1000</formula>
    </cfRule>
  </conditionalFormatting>
  <conditionalFormatting sqref="Z4:Z11">
    <cfRule type="expression" dxfId="1573" priority="81">
      <formula>ABS(Z$7-Z$10)&gt;=1000</formula>
    </cfRule>
  </conditionalFormatting>
  <conditionalFormatting sqref="AA4:AA11">
    <cfRule type="expression" dxfId="1572" priority="80">
      <formula>ABS(AA$7-AA$10)&gt;=1000</formula>
    </cfRule>
  </conditionalFormatting>
  <conditionalFormatting sqref="AB4:AB11">
    <cfRule type="expression" dxfId="1571" priority="79">
      <formula>ABS(AB$7-AB$10)&gt;=1000</formula>
    </cfRule>
  </conditionalFormatting>
  <conditionalFormatting sqref="AC4 AC6:AC11">
    <cfRule type="expression" dxfId="1570" priority="78">
      <formula>ABS(AC$7-AC$10)&gt;=1000</formula>
    </cfRule>
  </conditionalFormatting>
  <conditionalFormatting sqref="AD4 AD6:AD11">
    <cfRule type="expression" dxfId="1569" priority="77">
      <formula>ABS(AD$7-AD$10)&gt;=1000</formula>
    </cfRule>
  </conditionalFormatting>
  <conditionalFormatting sqref="AE4 AE6:AE11">
    <cfRule type="expression" dxfId="1568" priority="76">
      <formula>ABS(AE$7-AE$10)&gt;=1000</formula>
    </cfRule>
  </conditionalFormatting>
  <conditionalFormatting sqref="D13:D20">
    <cfRule type="expression" dxfId="1567" priority="75">
      <formula>ABS(D$16-D$19)&gt;=1000</formula>
    </cfRule>
  </conditionalFormatting>
  <conditionalFormatting sqref="E13:E20">
    <cfRule type="expression" dxfId="1566" priority="74">
      <formula>ABS(E$16-E$19)&gt;=1000</formula>
    </cfRule>
  </conditionalFormatting>
  <conditionalFormatting sqref="F13 F15:F20">
    <cfRule type="expression" dxfId="1565" priority="73">
      <formula>ABS(F$16-F$19)&gt;=1000</formula>
    </cfRule>
  </conditionalFormatting>
  <conditionalFormatting sqref="G13:G20">
    <cfRule type="expression" dxfId="1564" priority="72">
      <formula>ABS(G$16-G$19)&gt;=1000</formula>
    </cfRule>
  </conditionalFormatting>
  <conditionalFormatting sqref="H13 H15:H20">
    <cfRule type="expression" dxfId="1563" priority="71">
      <formula>ABS(H$16-H$19)&gt;=1000</formula>
    </cfRule>
  </conditionalFormatting>
  <conditionalFormatting sqref="I13:I20">
    <cfRule type="expression" dxfId="1562" priority="70">
      <formula>ABS(I$16-I$19)&gt;=1000</formula>
    </cfRule>
  </conditionalFormatting>
  <conditionalFormatting sqref="J13:J20">
    <cfRule type="expression" dxfId="1561" priority="69">
      <formula>ABS(J$16-J$19)&gt;=1000</formula>
    </cfRule>
  </conditionalFormatting>
  <conditionalFormatting sqref="L13:L20">
    <cfRule type="expression" dxfId="1560" priority="68">
      <formula>ABS(L$16-L$19)&gt;=1000</formula>
    </cfRule>
  </conditionalFormatting>
  <conditionalFormatting sqref="M13 M15 M17:M18 M20">
    <cfRule type="expression" dxfId="1559" priority="67">
      <formula>ABS(M$16-M$19)&gt;=1000</formula>
    </cfRule>
  </conditionalFormatting>
  <conditionalFormatting sqref="N13:N20">
    <cfRule type="expression" dxfId="1558" priority="66">
      <formula>ABS(N$16-N$19)&gt;=1000</formula>
    </cfRule>
  </conditionalFormatting>
  <conditionalFormatting sqref="O13:O20">
    <cfRule type="expression" dxfId="1557" priority="65">
      <formula>ABS(O$16-O$19)&gt;=1000</formula>
    </cfRule>
  </conditionalFormatting>
  <conditionalFormatting sqref="P13:P20">
    <cfRule type="expression" dxfId="1556" priority="64">
      <formula>ABS(P$16-P$19)&gt;=1000</formula>
    </cfRule>
  </conditionalFormatting>
  <conditionalFormatting sqref="Q13 Q15:Q20">
    <cfRule type="expression" dxfId="1555" priority="63">
      <formula>ABS(Q$16-Q$19)&gt;=1000</formula>
    </cfRule>
  </conditionalFormatting>
  <conditionalFormatting sqref="R13 R15:R20">
    <cfRule type="expression" dxfId="1554" priority="62">
      <formula>ABS(R$16-R$19)&gt;=1000</formula>
    </cfRule>
  </conditionalFormatting>
  <conditionalFormatting sqref="S13:S20">
    <cfRule type="expression" dxfId="1553" priority="61">
      <formula>ABS(S$16-S$19)&gt;=1000</formula>
    </cfRule>
  </conditionalFormatting>
  <conditionalFormatting sqref="T13:T15 T17:T20">
    <cfRule type="expression" dxfId="1552" priority="60">
      <formula>ABS(T$16-T$19)&gt;=1000</formula>
    </cfRule>
  </conditionalFormatting>
  <conditionalFormatting sqref="U13:U20">
    <cfRule type="expression" dxfId="1551" priority="59">
      <formula>ABS(U$16-U$19)&gt;=1000</formula>
    </cfRule>
  </conditionalFormatting>
  <conditionalFormatting sqref="V13:V20">
    <cfRule type="expression" dxfId="1550" priority="58">
      <formula>ABS(V$16-V$19)&gt;=1000</formula>
    </cfRule>
  </conditionalFormatting>
  <conditionalFormatting sqref="W13 W20 W15:W18">
    <cfRule type="expression" dxfId="1549" priority="57">
      <formula>ABS(W$16-W$19)&gt;=1000</formula>
    </cfRule>
  </conditionalFormatting>
  <conditionalFormatting sqref="X13 X15:X20 Y19">
    <cfRule type="expression" dxfId="1548" priority="56">
      <formula>ABS(X$16-X$19)&gt;=1000</formula>
    </cfRule>
  </conditionalFormatting>
  <conditionalFormatting sqref="Y13 Y15:Y18 Y20">
    <cfRule type="expression" dxfId="1547" priority="55">
      <formula>ABS(Y$16-Y$19)&gt;=1000</formula>
    </cfRule>
  </conditionalFormatting>
  <conditionalFormatting sqref="Z13:Z20">
    <cfRule type="expression" dxfId="1546" priority="54">
      <formula>ABS(Z$16-Z$19)&gt;=1000</formula>
    </cfRule>
  </conditionalFormatting>
  <conditionalFormatting sqref="AA13:AA20">
    <cfRule type="expression" dxfId="1545" priority="53">
      <formula>ABS(AA$16-AA$19)&gt;=1000</formula>
    </cfRule>
  </conditionalFormatting>
  <conditionalFormatting sqref="AB13 AB15:AB20">
    <cfRule type="expression" dxfId="1544" priority="52">
      <formula>ABS(AB$16-AB$19)&gt;=1000</formula>
    </cfRule>
  </conditionalFormatting>
  <conditionalFormatting sqref="AC13 AC15:AC20">
    <cfRule type="expression" dxfId="1543" priority="51">
      <formula>ABS(AC$16-AC$19)&gt;=1000</formula>
    </cfRule>
  </conditionalFormatting>
  <conditionalFormatting sqref="AD13:AD20">
    <cfRule type="expression" dxfId="1542" priority="50">
      <formula>ABS(AD$16-AD$19)&gt;=1000</formula>
    </cfRule>
  </conditionalFormatting>
  <conditionalFormatting sqref="AE13:AE20">
    <cfRule type="expression" dxfId="1541" priority="49">
      <formula>ABS(AE$16-AE$19)&gt;=1000</formula>
    </cfRule>
  </conditionalFormatting>
  <conditionalFormatting sqref="D22:D29">
    <cfRule type="expression" dxfId="1540" priority="48">
      <formula>ABS(D$25-D$28)&gt;=1000</formula>
    </cfRule>
  </conditionalFormatting>
  <conditionalFormatting sqref="E22:E29">
    <cfRule type="expression" dxfId="1539" priority="47">
      <formula>ABS(E$25-E$28)&gt;=1000</formula>
    </cfRule>
  </conditionalFormatting>
  <conditionalFormatting sqref="F22:F29">
    <cfRule type="expression" dxfId="1538" priority="46">
      <formula>ABS(F$25-F$28)&gt;=1000</formula>
    </cfRule>
  </conditionalFormatting>
  <conditionalFormatting sqref="G22:G29">
    <cfRule type="expression" dxfId="1537" priority="45">
      <formula>ABS(G$25-G$28)&gt;=1000</formula>
    </cfRule>
  </conditionalFormatting>
  <conditionalFormatting sqref="H22:H29">
    <cfRule type="expression" dxfId="1536" priority="44">
      <formula>ABS(H$25-H$28)&gt;=1000</formula>
    </cfRule>
  </conditionalFormatting>
  <conditionalFormatting sqref="I22 I24:I29">
    <cfRule type="expression" dxfId="1535" priority="43">
      <formula>ABS(I$25-I$28)&gt;=1000</formula>
    </cfRule>
  </conditionalFormatting>
  <conditionalFormatting sqref="J22:J29 K22">
    <cfRule type="expression" dxfId="1534" priority="42">
      <formula>ABS(J$25-J$28)&gt;=1000</formula>
    </cfRule>
  </conditionalFormatting>
  <conditionalFormatting sqref="K23:K29 L25 L28">
    <cfRule type="expression" dxfId="1533" priority="41">
      <formula>ABS(K$25-K$28)&gt;=1000</formula>
    </cfRule>
  </conditionalFormatting>
  <conditionalFormatting sqref="L22 L26:L27 L29 L24">
    <cfRule type="expression" dxfId="1532" priority="40">
      <formula>ABS(L$25-L$28)&gt;=1000</formula>
    </cfRule>
  </conditionalFormatting>
  <conditionalFormatting sqref="M22:M29">
    <cfRule type="expression" dxfId="1531" priority="39">
      <formula>ABS(M$25-M$28)&gt;=1000</formula>
    </cfRule>
  </conditionalFormatting>
  <conditionalFormatting sqref="N22:N29">
    <cfRule type="expression" dxfId="1530" priority="38">
      <formula>ABS(N$25-N$28)&gt;=1000</formula>
    </cfRule>
  </conditionalFormatting>
  <conditionalFormatting sqref="O22 O24:O29">
    <cfRule type="expression" dxfId="1529" priority="37">
      <formula>ABS(O$25-O$28)&gt;=1000</formula>
    </cfRule>
  </conditionalFormatting>
  <conditionalFormatting sqref="P22:P29">
    <cfRule type="expression" dxfId="1528" priority="36">
      <formula>ABS(P$25-P$28)&gt;=1000</formula>
    </cfRule>
  </conditionalFormatting>
  <conditionalFormatting sqref="Q22:Q29">
    <cfRule type="expression" dxfId="1527" priority="35">
      <formula>ABS(Q$25-Q$28)&gt;=1000</formula>
    </cfRule>
  </conditionalFormatting>
  <conditionalFormatting sqref="R22:R29">
    <cfRule type="expression" dxfId="1526" priority="34">
      <formula>ABS(R$25-R$28)&gt;=1000</formula>
    </cfRule>
  </conditionalFormatting>
  <conditionalFormatting sqref="S22:S29">
    <cfRule type="expression" dxfId="1525" priority="33">
      <formula>ABS(S$25-S$28)&gt;=1000</formula>
    </cfRule>
  </conditionalFormatting>
  <conditionalFormatting sqref="T22:T29">
    <cfRule type="expression" dxfId="1524" priority="32">
      <formula>ABS(T$25-T$28)&gt;=1000</formula>
    </cfRule>
  </conditionalFormatting>
  <conditionalFormatting sqref="U22:U29">
    <cfRule type="expression" dxfId="1523" priority="31">
      <formula>ABS(U$25-U$28)&gt;=1000</formula>
    </cfRule>
  </conditionalFormatting>
  <conditionalFormatting sqref="V22:V29">
    <cfRule type="expression" dxfId="1522" priority="30">
      <formula>ABS(V$25-V$28)&gt;=1000</formula>
    </cfRule>
  </conditionalFormatting>
  <conditionalFormatting sqref="W22:W29">
    <cfRule type="expression" dxfId="1521" priority="29">
      <formula>ABS(W$25-W$28)&gt;=1000</formula>
    </cfRule>
  </conditionalFormatting>
  <conditionalFormatting sqref="X22:X29">
    <cfRule type="expression" dxfId="1520" priority="28">
      <formula>ABS(X$25-X$28)&gt;=1000</formula>
    </cfRule>
  </conditionalFormatting>
  <conditionalFormatting sqref="Y22:Y29">
    <cfRule type="expression" dxfId="1519" priority="27">
      <formula>ABS(Y$25-Y$28)&gt;=1000</formula>
    </cfRule>
  </conditionalFormatting>
  <conditionalFormatting sqref="I23">
    <cfRule type="expression" dxfId="1518" priority="26">
      <formula>ABS(I$25-I$28)&gt;=1000</formula>
    </cfRule>
  </conditionalFormatting>
  <conditionalFormatting sqref="Q14">
    <cfRule type="expression" dxfId="1517" priority="25">
      <formula>ABS(Q$16-Q$19)&gt;=1000</formula>
    </cfRule>
  </conditionalFormatting>
  <conditionalFormatting sqref="W14">
    <cfRule type="expression" dxfId="1516" priority="24">
      <formula>ABS(W$16-W$19)&gt;=1000</formula>
    </cfRule>
  </conditionalFormatting>
  <conditionalFormatting sqref="X14">
    <cfRule type="expression" dxfId="1515" priority="23">
      <formula>ABS(X$16-X$19)&gt;=1000</formula>
    </cfRule>
  </conditionalFormatting>
  <conditionalFormatting sqref="T10:Y10">
    <cfRule type="expression" dxfId="1514" priority="22">
      <formula>ABS(T$7-T$10)&gt;=1000</formula>
    </cfRule>
  </conditionalFormatting>
  <conditionalFormatting sqref="W19">
    <cfRule type="expression" dxfId="1513" priority="21">
      <formula>ABS(W$16-W$19)&gt;=1000</formula>
    </cfRule>
  </conditionalFormatting>
  <conditionalFormatting sqref="AC5">
    <cfRule type="expression" dxfId="1512" priority="20">
      <formula>ABS(AC$7-AC$10)&gt;=1000</formula>
    </cfRule>
  </conditionalFormatting>
  <conditionalFormatting sqref="M14">
    <cfRule type="expression" dxfId="1511" priority="19">
      <formula>ABS(M$16-M$19)&gt;=1000</formula>
    </cfRule>
  </conditionalFormatting>
  <conditionalFormatting sqref="M16">
    <cfRule type="expression" dxfId="1510" priority="18">
      <formula>ABS(M$16-M$19)&gt;=1000</formula>
    </cfRule>
  </conditionalFormatting>
  <conditionalFormatting sqref="M19">
    <cfRule type="expression" dxfId="1509" priority="17">
      <formula>ABS(M$16-M$19)&gt;=1000</formula>
    </cfRule>
  </conditionalFormatting>
  <conditionalFormatting sqref="K13:K20">
    <cfRule type="expression" dxfId="1508" priority="16">
      <formula>ABS(K$16-K$19)&gt;=1000</formula>
    </cfRule>
  </conditionalFormatting>
  <conditionalFormatting sqref="E5">
    <cfRule type="expression" dxfId="1507" priority="15">
      <formula>ABS(E$7-E$10)&gt;=1000</formula>
    </cfRule>
  </conditionalFormatting>
  <conditionalFormatting sqref="AB14:AC14">
    <cfRule type="expression" dxfId="1506" priority="14">
      <formula>ABS(AB$16-AB$19)&gt;=1000</formula>
    </cfRule>
  </conditionalFormatting>
  <conditionalFormatting sqref="M5">
    <cfRule type="expression" dxfId="1505" priority="13">
      <formula>ABS(M$7-M$10)&gt;=1000</formula>
    </cfRule>
  </conditionalFormatting>
  <conditionalFormatting sqref="N5">
    <cfRule type="expression" dxfId="1504" priority="12">
      <formula>ABS(N$7-N$10)&gt;=1000</formula>
    </cfRule>
  </conditionalFormatting>
  <conditionalFormatting sqref="O5">
    <cfRule type="expression" dxfId="1503" priority="11">
      <formula>ABS(O$7-O$10)&gt;=1000</formula>
    </cfRule>
  </conditionalFormatting>
  <conditionalFormatting sqref="P5">
    <cfRule type="expression" dxfId="1502" priority="10">
      <formula>ABS(P$7-P$10)&gt;=1000</formula>
    </cfRule>
  </conditionalFormatting>
  <conditionalFormatting sqref="L23">
    <cfRule type="expression" dxfId="1501" priority="9">
      <formula>ABS(L$25-L$28)&gt;=1000</formula>
    </cfRule>
  </conditionalFormatting>
  <conditionalFormatting sqref="Y14">
    <cfRule type="expression" dxfId="1500" priority="8">
      <formula>ABS(Y$16-Y$19)&gt;=1000</formula>
    </cfRule>
  </conditionalFormatting>
  <conditionalFormatting sqref="H14">
    <cfRule type="expression" dxfId="1499" priority="7">
      <formula>ABS(H$16-H$19)&gt;=1000</formula>
    </cfRule>
  </conditionalFormatting>
  <conditionalFormatting sqref="AD5">
    <cfRule type="expression" dxfId="1498" priority="6">
      <formula>ABS(AD$7-AD$10)&gt;=1000</formula>
    </cfRule>
  </conditionalFormatting>
  <conditionalFormatting sqref="AE5">
    <cfRule type="expression" dxfId="1497" priority="5">
      <formula>ABS(AE$7-AE$10)&gt;=1000</formula>
    </cfRule>
  </conditionalFormatting>
  <conditionalFormatting sqref="T16">
    <cfRule type="expression" dxfId="1496" priority="4">
      <formula>ABS(T$16-T$19)&gt;=1000</formula>
    </cfRule>
  </conditionalFormatting>
  <conditionalFormatting sqref="F14">
    <cfRule type="expression" dxfId="1495" priority="3">
      <formula>ABS(F$16-F$19)&gt;=1000</formula>
    </cfRule>
  </conditionalFormatting>
  <conditionalFormatting sqref="R14">
    <cfRule type="expression" dxfId="1494" priority="2">
      <formula>ABS(R$16-R$19)&gt;=1000</formula>
    </cfRule>
  </conditionalFormatting>
  <conditionalFormatting sqref="O23">
    <cfRule type="expression" dxfId="1493" priority="1">
      <formula>ABS(O$25-O$28)&gt;=1000</formula>
    </cfRule>
  </conditionalFormatting>
  <dataValidations count="1">
    <dataValidation operator="greaterThanOrEqual" allowBlank="1" showErrorMessage="1" sqref="D6"/>
  </dataValidations>
  <printOptions horizontalCentered="1"/>
  <pageMargins left="0.39370078740157483" right="0.39370078740157483" top="0.39370078740157483" bottom="0.39370078740157483" header="0.51181102362204722" footer="0.51181102362204722"/>
  <pageSetup paperSize="9" scale="60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3457" r:id="rId4" name="Button 1">
              <controlPr defaultSize="0" print="0" autoFill="0" autoPict="0">
                <anchor moveWithCells="1">
                  <from>
                    <xdr:col>31</xdr:col>
                    <xdr:colOff>0</xdr:colOff>
                    <xdr:row>0</xdr:row>
                    <xdr:rowOff>342900</xdr:rowOff>
                  </from>
                  <to>
                    <xdr:col>32</xdr:col>
                    <xdr:colOff>411480</xdr:colOff>
                    <xdr:row>3</xdr:row>
                    <xdr:rowOff>30480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975">
    <pageSetUpPr fitToPage="1"/>
  </sheetPr>
  <dimension ref="A1:CU223"/>
  <sheetViews>
    <sheetView view="pageBreakPreview" topLeftCell="B22" zoomScale="85" zoomScaleNormal="100" zoomScaleSheetLayoutView="85" workbookViewId="0">
      <selection activeCell="Z23" sqref="Z23:AE29"/>
    </sheetView>
  </sheetViews>
  <sheetFormatPr defaultColWidth="8.109375" defaultRowHeight="25.8"/>
  <cols>
    <col min="1" max="1" width="11.6640625" style="64" customWidth="1" phonetic="1"/>
    <col min="2" max="2" width="7.6640625" style="64" customWidth="1" phonetic="1"/>
    <col min="3" max="3" width="8" style="64" customWidth="1" phonetic="1"/>
    <col min="4" max="8" width="7.6640625" style="64" customWidth="1" phonetic="1"/>
    <col min="9" max="9" width="8" style="64" customWidth="1" phonetic="1"/>
    <col min="10" max="12" width="7.6640625" style="64" customWidth="1" phonetic="1"/>
    <col min="13" max="13" width="7.77734375" style="64" bestFit="1" customWidth="1" phonetic="1"/>
    <col min="14" max="30" width="7.6640625" style="64" customWidth="1" phonetic="1"/>
    <col min="31" max="31" width="7.6640625" style="75" customWidth="1" phonetic="1"/>
    <col min="32" max="32" width="11.6640625" style="64" bestFit="1" customWidth="1" phonetic="1"/>
    <col min="33" max="33" width="22.109375" style="64" customWidth="1" phonetic="1"/>
    <col min="34" max="34" width="5.6640625" style="64" customWidth="1" phonetic="1"/>
    <col min="35" max="35" width="18.21875" style="64" customWidth="1" phonetic="1"/>
    <col min="36" max="36" width="12" style="64" bestFit="1" customWidth="1" phonetic="1"/>
    <col min="37" max="37" width="11.6640625" style="64" bestFit="1" customWidth="1" phonetic="1"/>
    <col min="38" max="38" width="5.6640625" style="64" customWidth="1" phonetic="1"/>
    <col min="39" max="39" width="11.44140625" style="64" bestFit="1" customWidth="1" phonetic="1"/>
    <col min="40" max="40" width="6.21875" style="64" customWidth="1" phonetic="1"/>
    <col min="41" max="41" width="8.6640625" style="64" customWidth="1" phonetic="1"/>
    <col min="42" max="42" width="11.21875" style="64" customWidth="1" phonetic="1"/>
    <col min="43" max="43" width="11.77734375" style="64" customWidth="1" phonetic="1"/>
    <col min="44" max="44" width="11.21875" style="64" customWidth="1" phonetic="1"/>
    <col min="45" max="45" width="11.21875" style="64" bestFit="1" customWidth="1" phonetic="1"/>
    <col min="46" max="46" width="41.77734375" style="64" customWidth="1" phonetic="1"/>
    <col min="47" max="47" width="7.77734375" style="64" customWidth="1" phonetic="1"/>
    <col min="48" max="48" width="17.109375" style="64" customWidth="1" phonetic="1"/>
    <col min="49" max="49" width="6.21875" style="64" customWidth="1" phonetic="1"/>
    <col min="50" max="50" width="10" style="64" customWidth="1" phonetic="1"/>
    <col min="51" max="51" width="6.21875" style="64" customWidth="1" phonetic="1"/>
    <col min="52" max="52" width="6.88671875" style="64" customWidth="1" phonetic="1"/>
    <col min="53" max="53" width="6.44140625" style="64" customWidth="1" phonetic="1"/>
    <col min="54" max="54" width="15.44140625" style="64" customWidth="1" phonetic="1"/>
    <col min="55" max="55" width="6.21875" style="64" customWidth="1" phonetic="1"/>
    <col min="56" max="56" width="22.109375" style="64" bestFit="1" customWidth="1" phonetic="1"/>
    <col min="57" max="57" width="6.44140625" style="64" customWidth="1" phonetic="1"/>
    <col min="58" max="60" width="6.21875" style="64" customWidth="1" phonetic="1"/>
    <col min="61" max="16384" width="8.109375" style="64" phonetic="1"/>
  </cols>
  <sheetData>
    <row r="1" spans="1:99" ht="31.2" ph="1">
      <c r="A1" s="64"/>
      <c r="B1" s="238" t="s" ph="1">
        <v>161</v>
      </c>
      <c r="C1" s="238" ph="1"/>
      <c r="D1" s="238" ph="1"/>
      <c r="E1" s="238" ph="1"/>
      <c r="F1" s="238" ph="1"/>
      <c r="G1" s="238" ph="1"/>
      <c r="H1" s="238" ph="1"/>
      <c r="I1" s="238" ph="1"/>
      <c r="J1" s="238" ph="1"/>
      <c r="K1" s="238" ph="1"/>
      <c r="L1" s="238" ph="1"/>
      <c r="M1" s="238" ph="1"/>
      <c r="N1" s="238" ph="1"/>
      <c r="O1" s="238" ph="1"/>
      <c r="P1" s="238" ph="1"/>
      <c r="Q1" s="238" ph="1"/>
      <c r="R1" s="238" ph="1"/>
      <c r="S1" s="238" ph="1"/>
      <c r="T1" s="238" ph="1"/>
      <c r="U1" s="238" ph="1"/>
      <c r="V1" s="238" ph="1"/>
      <c r="W1" s="238" ph="1"/>
      <c r="X1" s="238" ph="1"/>
      <c r="Y1" s="238" ph="1"/>
      <c r="Z1" s="238" ph="1"/>
      <c r="AA1" s="238" ph="1"/>
      <c r="AB1" s="238" ph="1"/>
      <c r="AC1" s="238" ph="1"/>
      <c r="AD1" s="238" ph="1"/>
      <c r="AE1" s="238" ph="1"/>
    </row>
    <row r="2" spans="1:99" s="66" customFormat="1" ht="24" customHeight="1" ph="1">
      <c r="B2" s="239" t="s" ph="1">
        <v>82</v>
      </c>
      <c r="C2" s="239" ph="1"/>
      <c r="D2" s="239" ph="1"/>
      <c r="E2" s="239" ph="1"/>
      <c r="F2" s="239" ph="1"/>
      <c r="G2" s="239" ph="1"/>
      <c r="H2" s="239" ph="1"/>
      <c r="I2" s="239" ph="1"/>
      <c r="J2" s="239" ph="1"/>
      <c r="K2" s="239" ph="1"/>
      <c r="L2" s="239" ph="1"/>
      <c r="M2" s="239" ph="1"/>
      <c r="N2" s="239" ph="1"/>
      <c r="O2" s="239" ph="1"/>
      <c r="P2" s="239" ph="1"/>
      <c r="Q2" s="239" ph="1"/>
      <c r="R2" s="239" ph="1"/>
      <c r="S2" s="239" ph="1"/>
      <c r="T2" s="239" ph="1"/>
      <c r="U2" s="239" ph="1"/>
      <c r="V2" s="239" ph="1"/>
      <c r="W2" s="239" ph="1"/>
      <c r="X2" s="239" ph="1"/>
      <c r="Y2" s="239" ph="1"/>
      <c r="Z2" s="239" ph="1"/>
      <c r="AA2" s="239" ph="1"/>
      <c r="AB2" s="239" ph="1"/>
      <c r="AC2" s="239" ph="1"/>
      <c r="AD2" s="239" ph="1"/>
      <c r="AE2" s="239" ph="1"/>
    </row>
    <row r="3" spans="1:99" ht="21" customHeight="1" ph="1">
      <c r="B3" s="240" ph="1">
        <v>46279</v>
      </c>
      <c r="C3" s="240"/>
      <c r="D3" s="240"/>
      <c r="E3" s="240"/>
      <c r="F3" s="240"/>
      <c r="G3" s="240"/>
      <c r="H3" s="240"/>
      <c r="I3" s="240"/>
      <c r="J3" s="240"/>
      <c r="K3" s="240"/>
      <c r="L3" s="240"/>
      <c r="M3" s="240"/>
      <c r="N3" s="240"/>
      <c r="O3" s="240"/>
      <c r="P3" s="240"/>
      <c r="Q3" s="240"/>
      <c r="R3" s="240"/>
      <c r="S3" s="240"/>
      <c r="T3" s="240"/>
      <c r="U3" s="240"/>
      <c r="V3" s="240"/>
      <c r="W3" s="240"/>
      <c r="X3" s="240"/>
      <c r="Y3" s="240"/>
      <c r="Z3" s="240"/>
      <c r="AA3" s="240"/>
      <c r="AB3" s="240"/>
      <c r="AC3" s="240"/>
      <c r="AD3" s="240"/>
      <c r="AE3" s="240"/>
    </row>
    <row r="4" spans="1:99" s="69" customFormat="1" ph="1">
      <c r="A4" s="65" ph="1"/>
      <c r="B4" s="219" t="s" ph="1">
        <v>37</v>
      </c>
      <c r="C4" s="67" t="s" ph="1">
        <v>176</v>
      </c>
      <c r="D4" s="68" t="s" ph="1">
        <v>44</v>
      </c>
      <c r="E4" s="68" t="s" ph="1">
        <v>45</v>
      </c>
      <c r="F4" s="68" t="s" ph="1">
        <v>39</v>
      </c>
      <c r="G4" s="68" t="s" ph="1">
        <v>46</v>
      </c>
      <c r="H4" s="68" t="s" ph="1">
        <v>47</v>
      </c>
      <c r="I4" s="68" t="s" ph="1">
        <v>110</v>
      </c>
      <c r="J4" s="68" t="s" ph="1">
        <v>48</v>
      </c>
      <c r="K4" s="68" t="s" ph="1">
        <v>111</v>
      </c>
      <c r="L4" s="68" t="s" ph="1">
        <v>112</v>
      </c>
      <c r="M4" s="68" t="s" ph="1">
        <v>49</v>
      </c>
      <c r="N4" s="68" t="s" ph="1">
        <v>50</v>
      </c>
      <c r="O4" s="68" t="s" ph="1">
        <v>113</v>
      </c>
      <c r="P4" s="68" t="s" ph="1">
        <v>114</v>
      </c>
      <c r="Q4" s="68" t="s" ph="1">
        <v>115</v>
      </c>
      <c r="R4" s="68" t="s" ph="1">
        <v>116</v>
      </c>
      <c r="S4" s="68" t="s" ph="1">
        <v>117</v>
      </c>
      <c r="T4" s="68" t="s" ph="1">
        <v>118</v>
      </c>
      <c r="U4" s="68" t="s" ph="1">
        <v>119</v>
      </c>
      <c r="V4" s="68" t="s" ph="1">
        <v>120</v>
      </c>
      <c r="W4" s="68" t="s" ph="1">
        <v>121</v>
      </c>
      <c r="X4" s="68" t="s" ph="1">
        <v>122</v>
      </c>
      <c r="Y4" s="68" t="s" ph="1">
        <v>123</v>
      </c>
      <c r="Z4" s="68" t="s" ph="1">
        <v>51</v>
      </c>
      <c r="AA4" s="68" t="s" ph="1">
        <v>124</v>
      </c>
      <c r="AB4" s="68" t="s" ph="1">
        <v>125</v>
      </c>
      <c r="AC4" s="68" t="s" ph="1">
        <v>126</v>
      </c>
      <c r="AD4" s="68" t="s" ph="1">
        <v>40</v>
      </c>
      <c r="AE4" s="68" t="s" ph="1">
        <v>127</v>
      </c>
      <c r="AF4" s="65" ph="1"/>
      <c r="AG4" s="65" ph="1"/>
      <c r="AH4" s="65" ph="1"/>
      <c r="AI4" s="65" ph="1"/>
      <c r="AJ4" s="65" ph="1"/>
      <c r="AK4" s="65" ph="1"/>
      <c r="AL4" s="65" ph="1"/>
      <c r="AM4" s="65" ph="1"/>
      <c r="AN4" s="65" ph="1"/>
      <c r="AO4" s="65" ph="1"/>
      <c r="AP4" s="65" ph="1"/>
      <c r="AQ4" s="65" ph="1"/>
      <c r="AR4" s="65" ph="1"/>
      <c r="AS4" s="65" ph="1"/>
      <c r="AT4" s="65" ph="1"/>
      <c r="AU4" s="65" ph="1"/>
      <c r="AV4" s="65" ph="1"/>
      <c r="AW4" s="65" ph="1"/>
      <c r="AX4" s="65" ph="1"/>
      <c r="AY4" s="65" ph="1"/>
      <c r="AZ4" s="65" ph="1"/>
      <c r="BA4" s="65" ph="1"/>
      <c r="BB4" s="65" ph="1"/>
      <c r="BC4" s="65" ph="1"/>
      <c r="BD4" s="65" ph="1"/>
      <c r="BE4" s="65" ph="1"/>
      <c r="BF4" s="65" ph="1"/>
      <c r="BG4" s="65" ph="1"/>
      <c r="BH4" s="65" ph="1"/>
      <c r="BI4" s="65" ph="1"/>
      <c r="BJ4" s="65" ph="1"/>
      <c r="BK4" s="65" ph="1"/>
      <c r="BL4" s="65" ph="1"/>
      <c r="BM4" s="65" ph="1"/>
      <c r="BN4" s="65" ph="1"/>
      <c r="BO4" s="65" ph="1"/>
      <c r="BP4" s="65" ph="1"/>
      <c r="BQ4" s="65" ph="1"/>
      <c r="BR4" s="65" ph="1"/>
      <c r="BS4" s="65" ph="1"/>
      <c r="BT4" s="65" ph="1"/>
      <c r="BU4" s="65" ph="1"/>
      <c r="BV4" s="65" ph="1"/>
      <c r="BW4" s="65" ph="1"/>
      <c r="BX4" s="65" ph="1"/>
      <c r="BY4" s="65" ph="1"/>
      <c r="BZ4" s="65" ph="1"/>
      <c r="CA4" s="65" ph="1"/>
      <c r="CB4" s="65" ph="1"/>
      <c r="CC4" s="65" ph="1"/>
      <c r="CD4" s="65" ph="1"/>
      <c r="CE4" s="65" ph="1"/>
      <c r="CF4" s="65" ph="1"/>
      <c r="CG4" s="65" ph="1"/>
      <c r="CH4" s="65" ph="1"/>
      <c r="CI4" s="65" ph="1"/>
      <c r="CJ4" s="65" ph="1"/>
      <c r="CK4" s="65" ph="1"/>
      <c r="CL4" s="65" ph="1"/>
      <c r="CM4" s="65" ph="1"/>
      <c r="CN4" s="65" ph="1"/>
      <c r="CO4" s="65" ph="1"/>
      <c r="CP4" s="65" ph="1"/>
      <c r="CQ4" s="65" ph="1"/>
      <c r="CR4" s="65" ph="1"/>
      <c r="CS4" s="65" ph="1"/>
      <c r="CT4" s="65" ph="1"/>
      <c r="CU4" s="65" ph="1"/>
    </row>
    <row r="5" spans="1:99" s="69" customFormat="1" ht="29.25" customHeight="1" ph="1">
      <c r="A5" s="65" ph="1"/>
      <c r="B5" s="219" ph="1"/>
      <c r="C5" s="67" t="s" ph="1">
        <v>36</v>
      </c>
      <c r="D5" s="70" t="s" ph="1">
        <v>160</v>
      </c>
      <c r="E5" s="142" t="s" ph="1">
        <v>642</v>
      </c>
      <c r="F5" s="142" t="s" ph="1">
        <v>1</v>
      </c>
      <c r="G5" s="142" t="s" ph="1">
        <v>7</v>
      </c>
      <c r="H5" s="142" t="s" ph="1">
        <v>7</v>
      </c>
      <c r="I5" s="141" t="s" ph="1">
        <v>608</v>
      </c>
      <c r="J5" s="141" t="s" ph="1">
        <v>609</v>
      </c>
      <c r="K5" s="141" t="s" ph="1">
        <v>611</v>
      </c>
      <c r="L5" s="141" t="s" ph="1">
        <v>613</v>
      </c>
      <c r="M5" s="141" t="s" ph="1">
        <v>608</v>
      </c>
      <c r="N5" s="70" t="s" ph="1">
        <v>609</v>
      </c>
      <c r="O5" s="70" t="s" ph="1">
        <v>611</v>
      </c>
      <c r="P5" s="70" t="s" ph="1">
        <v>613</v>
      </c>
      <c r="Q5" s="70" t="s" ph="1">
        <v>607</v>
      </c>
      <c r="R5" s="70" t="s" ph="1">
        <v>607</v>
      </c>
      <c r="S5" s="70" t="s" ph="1">
        <v>607</v>
      </c>
      <c r="T5" s="70" t="s" ph="1">
        <v>607</v>
      </c>
      <c r="U5" s="70" t="s" ph="1">
        <v>607</v>
      </c>
      <c r="V5" s="70" t="s" ph="1">
        <v>607</v>
      </c>
      <c r="W5" s="70" t="s" ph="1">
        <v>607</v>
      </c>
      <c r="X5" s="70" t="s" ph="1">
        <v>607</v>
      </c>
      <c r="Y5" s="70" t="s" ph="1">
        <v>607</v>
      </c>
      <c r="Z5" s="70" t="s" ph="1">
        <v>614</v>
      </c>
      <c r="AA5" s="70" t="s" ph="1">
        <v>54</v>
      </c>
      <c r="AB5" s="70" t="s" ph="1">
        <v>54</v>
      </c>
      <c r="AC5" s="70" t="s" ph="1">
        <v>615</v>
      </c>
      <c r="AD5" s="71" t="s">
        <v>72</v>
      </c>
      <c r="AE5" s="71" t="s">
        <v>635</v>
      </c>
      <c r="AF5" s="65" ph="1"/>
      <c r="AG5" s="65" ph="1"/>
      <c r="AH5" s="65" ph="1"/>
      <c r="AI5" s="65" ph="1"/>
      <c r="AJ5" s="65" ph="1"/>
      <c r="AK5" s="65" ph="1"/>
      <c r="AL5" s="65" ph="1"/>
      <c r="AM5" s="65" ph="1"/>
      <c r="AN5" s="65" ph="1"/>
      <c r="AO5" s="65" ph="1"/>
      <c r="AP5" s="65" ph="1"/>
      <c r="AQ5" s="65" ph="1"/>
      <c r="AR5" s="65" ph="1"/>
      <c r="AS5" s="65" ph="1"/>
      <c r="AT5" s="65" ph="1"/>
      <c r="AU5" s="65" ph="1"/>
      <c r="AV5" s="65" ph="1"/>
      <c r="AW5" s="65" ph="1"/>
      <c r="AX5" s="65" ph="1"/>
      <c r="AY5" s="65" ph="1"/>
      <c r="AZ5" s="65" ph="1"/>
      <c r="BA5" s="65" ph="1"/>
      <c r="BB5" s="65" ph="1"/>
      <c r="BC5" s="65" ph="1"/>
      <c r="BD5" s="65" ph="1"/>
      <c r="BE5" s="65" ph="1"/>
      <c r="BF5" s="65" ph="1"/>
      <c r="BG5" s="65" ph="1"/>
      <c r="BH5" s="65" ph="1"/>
      <c r="BI5" s="65" ph="1"/>
      <c r="BJ5" s="65" ph="1"/>
      <c r="BK5" s="65" ph="1"/>
      <c r="BL5" s="65" ph="1"/>
      <c r="BM5" s="65" ph="1"/>
      <c r="BN5" s="65" ph="1"/>
      <c r="BO5" s="65" ph="1"/>
      <c r="BP5" s="65" ph="1"/>
      <c r="BQ5" s="65" ph="1"/>
      <c r="BR5" s="65" ph="1"/>
      <c r="BS5" s="65" ph="1"/>
      <c r="BT5" s="65" ph="1"/>
      <c r="BU5" s="65" ph="1"/>
      <c r="BV5" s="65" ph="1"/>
      <c r="BW5" s="65" ph="1"/>
      <c r="BX5" s="65" ph="1"/>
      <c r="BY5" s="65" ph="1"/>
      <c r="BZ5" s="65" ph="1"/>
      <c r="CA5" s="65" ph="1"/>
      <c r="CB5" s="65" ph="1"/>
      <c r="CC5" s="65" ph="1"/>
      <c r="CD5" s="65" ph="1"/>
      <c r="CE5" s="65" ph="1"/>
      <c r="CF5" s="65" ph="1"/>
      <c r="CG5" s="65" ph="1"/>
      <c r="CH5" s="65" ph="1"/>
      <c r="CI5" s="65" ph="1"/>
      <c r="CJ5" s="65" ph="1"/>
      <c r="CK5" s="65" ph="1"/>
      <c r="CL5" s="65" ph="1"/>
      <c r="CM5" s="65" ph="1"/>
      <c r="CN5" s="65" ph="1"/>
      <c r="CO5" s="65" ph="1"/>
      <c r="CP5" s="65" ph="1"/>
      <c r="CQ5" s="65" ph="1"/>
      <c r="CR5" s="65" ph="1"/>
      <c r="CS5" s="65" ph="1"/>
      <c r="CT5" s="65" ph="1"/>
      <c r="CU5" s="65" ph="1"/>
    </row>
    <row r="6" spans="1:99" ph="1">
      <c r="B6" s="237" ph="1">
        <v>0.33333333333333331</v>
      </c>
      <c r="C6" s="155" t="s" ph="1">
        <v>177</v>
      </c>
      <c r="D6" s="71">
        <v>2164</v>
      </c>
      <c r="E6" s="71">
        <v>3444</v>
      </c>
      <c r="F6" s="71">
        <v>3187</v>
      </c>
      <c r="G6" s="71">
        <v>2944</v>
      </c>
      <c r="H6" s="71">
        <v>4370</v>
      </c>
      <c r="I6" s="71">
        <v>4.5</v>
      </c>
      <c r="J6" s="71">
        <v>6.63</v>
      </c>
      <c r="K6" s="71">
        <v>7.72</v>
      </c>
      <c r="L6" s="71">
        <v>6.21</v>
      </c>
      <c r="M6" s="71">
        <v>3233</v>
      </c>
      <c r="N6" s="71">
        <v>1851</v>
      </c>
      <c r="O6" s="71">
        <v>449</v>
      </c>
      <c r="P6" s="71">
        <v>4103</v>
      </c>
      <c r="Q6" s="71">
        <v>7172</v>
      </c>
      <c r="R6" s="71">
        <v>5415</v>
      </c>
      <c r="S6" s="71">
        <v>3606</v>
      </c>
      <c r="T6" s="71">
        <v>0</v>
      </c>
      <c r="U6" s="71">
        <v>0</v>
      </c>
      <c r="V6" s="71">
        <v>0</v>
      </c>
      <c r="W6" s="71">
        <v>5678</v>
      </c>
      <c r="X6" s="71">
        <v>6862</v>
      </c>
      <c r="Y6" s="71">
        <v>6640</v>
      </c>
      <c r="Z6" s="71">
        <v>5407</v>
      </c>
      <c r="AA6" s="71">
        <v>1303</v>
      </c>
      <c r="AB6" s="71">
        <v>1086</v>
      </c>
      <c r="AC6" s="71">
        <v>8758</v>
      </c>
      <c r="AD6" s="71">
        <v>5115</v>
      </c>
      <c r="AE6" s="71">
        <v>5543</v>
      </c>
    </row>
    <row r="7" spans="1:99" s="72" customFormat="1" ht="22.2" ph="1">
      <c r="B7" s="237" ph="1"/>
      <c r="C7" s="68" t="s" ph="1">
        <v>178</v>
      </c>
      <c r="D7" s="73" ph="1">
        <f>D6*33.183*LOOKUP(D8,密度!$A$2:$A$50,密度!$Q$2:$Q$50)</f>
        <v>67738.65195996</v>
      </c>
      <c r="E7" s="73" ph="1">
        <f>E6*51.53*LOOKUP(E8,密度!$A$2:$A$50,密度!$B$2:$B$50)</f>
        <v>138195.35948399999</v>
      </c>
      <c r="F7" s="73" ph="1">
        <f>F6*33.183*LOOKUP(F8,密度!$A$2:$A$50,密度!$C$2:$C$50)</f>
        <v>117112.22433539999</v>
      </c>
      <c r="G7" s="73" ph="1">
        <f xml:space="preserve"> (G6+2)*51.53*LOOKUP(G8,密度!$A$2:$A$50,密度!$B$2:$B$50)</f>
        <v>117954.33426</v>
      </c>
      <c r="H7" s="73" ph="1">
        <f>(H6)*51.53*LOOKUP(H8,密度!$A$2:$A$50,密度!$B$2:$B$50)</f>
        <v>175352.41607000001</v>
      </c>
      <c r="I7" s="73" ph="1">
        <f>I6*290.8*1.0267</f>
        <v>1343.53962</v>
      </c>
      <c r="J7" s="73" ph="1">
        <f>J6*290.8*0.7892</f>
        <v>1521.5807568</v>
      </c>
      <c r="K7" s="73" ph="1">
        <f>K6*290.8*1.1126</f>
        <v>2497.7602976000003</v>
      </c>
      <c r="L7" s="73" ph="1">
        <f>L6*290.8*0.777</f>
        <v>1403.1594360000001</v>
      </c>
      <c r="M7" s="73" ph="1">
        <f>M6*33.183*LOOKUP(M8,密度!$A$2:$A$50,密度!$D$2:$D$50)</f>
        <v>109941.19884719999</v>
      </c>
      <c r="N7" s="73" ph="1">
        <f>N6*33.183*LOOKUP(N8,密度!$A$2:$A$50,密度!$E$2:$E$50)</f>
        <v>47761.539580799996</v>
      </c>
      <c r="O7" s="73" ph="1">
        <f>O6*20.428*LOOKUP(O8,密度!$A$2:$A$50,密度!$C$2:$C$50)</f>
        <v>10136.1672772</v>
      </c>
      <c r="P7" s="73" ph="1">
        <f>P6*51.53*LOOKUP(P8,密度!$A$2:$A$50,密度!$B$2:$B$50)</f>
        <v>164638.66433299999</v>
      </c>
      <c r="Q7" s="73" ph="1">
        <f>Q6*1.5*1.5*3.1416*LOOKUP(W8,密度!$A$2:$A$50,密度!$L$2:$L$50)</f>
        <v>47350.063252799999</v>
      </c>
      <c r="R7" s="73" ph="1">
        <f>R6*1.5*1.5*3.1416*LOOKUP(R8,密度!$A$2:$A$50,密度!$L$2:$L$50)</f>
        <v>35520.563232</v>
      </c>
      <c r="S7" s="73" ph="1">
        <f>S6*1.5*1.5*3.1416*LOOKUP(S8,密度!$A$2:$A$50,密度!$L$2:$L$50)</f>
        <v>23883.541189200001</v>
      </c>
      <c r="T7" s="73" ph="1">
        <f>T6*1.5*1.5*3.1416*LOOKUP(T8,密度!$A$2:$A$50,密度!$L$2:$L$50)</f>
        <v>0</v>
      </c>
      <c r="U7" s="73" ph="1">
        <f>U6*1.5*1.5*3.1416*LOOKUP(U8,密度!$A$2:$A$50,密度!$L$2:$L$50)</f>
        <v>0</v>
      </c>
      <c r="V7" s="73" ph="1">
        <f>V6*1.5*1.5*3.1416*LOOKUP(V8,密度!$A$2:$A$50,密度!$L$2:$L$50)</f>
        <v>0</v>
      </c>
      <c r="W7" s="73" ph="1">
        <f>W6*1.5*1.5*3.1416*LOOKUP(W8,密度!$A$2:$A$50,密度!$L$2:$L$50)</f>
        <v>37486.567087199997</v>
      </c>
      <c r="X7" s="73" ph="1">
        <f>X6*1.5*1.5*3.1416*LOOKUP(X8,密度!$A$2:$A$50,密度!$L$2:$L$50)</f>
        <v>45739.9634076</v>
      </c>
      <c r="Y7" s="73" ph="1">
        <f>Y6*1.5*1.5*3.1416*LOOKUP(Y8,密度!$A$2:$A$50,密度!$L$2:$L$50)</f>
        <v>43884.696240000005</v>
      </c>
      <c r="Z7" s="73" ph="1">
        <f>Z6*33.183*LOOKUP(Z8,密度!$A$2:$A$50,密度!$L$2:$L$50)</f>
        <v>168296.41117799998</v>
      </c>
      <c r="AA7" s="73" ph="1">
        <f>AA6*33.183*LOOKUP(AA8,密度!$A$2:$A$50,密度!$D$2:$D$50)</f>
        <v>44309.737735199997</v>
      </c>
      <c r="AB7" s="73" ph="1">
        <f>AB6*20.428*LOOKUP(AB8,密度!$A$2:$A$50,密度!$D$2:$D$50)</f>
        <v>22777.1423736</v>
      </c>
      <c r="AC7" s="73" ph="1">
        <f>AC6*51.53*LOOKUP(AC8,密度!$A$2:$A$50,密度!$Q$2:$Q$50)</f>
        <v>426622.6702168</v>
      </c>
      <c r="AD7" s="73" ph="1">
        <f>AD6*20.428*LOOKUP(AD8,密度!$A$2:$A$50,密度!$V$2:$V$50)</f>
        <v>100058.877072</v>
      </c>
      <c r="AE7" s="73" ph="1">
        <f>AE6*20.428</f>
        <v>113232.40400000001</v>
      </c>
    </row>
    <row r="8" spans="1:99" ph="1">
      <c r="B8" s="237" ph="1"/>
      <c r="C8" s="68" t="s" ph="1">
        <v>179</v>
      </c>
      <c r="D8" s="74">
        <v>30</v>
      </c>
      <c r="E8" s="74">
        <v>26</v>
      </c>
      <c r="F8" s="74">
        <v>27</v>
      </c>
      <c r="G8" s="74">
        <v>28</v>
      </c>
      <c r="H8" s="74">
        <v>26</v>
      </c>
      <c r="I8" s="74">
        <v>25</v>
      </c>
      <c r="J8" s="74">
        <v>25</v>
      </c>
      <c r="K8" s="74">
        <v>25</v>
      </c>
      <c r="L8" s="74">
        <v>25</v>
      </c>
      <c r="M8" s="74">
        <v>27</v>
      </c>
      <c r="N8" s="74">
        <v>30</v>
      </c>
      <c r="O8" s="74">
        <v>30</v>
      </c>
      <c r="P8" s="74">
        <v>26</v>
      </c>
      <c r="Q8" s="74">
        <v>32</v>
      </c>
      <c r="R8" s="74">
        <v>34</v>
      </c>
      <c r="S8" s="74">
        <v>25</v>
      </c>
      <c r="T8" s="74">
        <v>23</v>
      </c>
      <c r="U8" s="74">
        <v>27</v>
      </c>
      <c r="V8" s="74">
        <v>27</v>
      </c>
      <c r="W8" s="74">
        <v>28</v>
      </c>
      <c r="X8" s="74">
        <v>19</v>
      </c>
      <c r="Y8" s="74">
        <v>27</v>
      </c>
      <c r="Z8" s="74">
        <v>24</v>
      </c>
      <c r="AA8" s="74">
        <v>27</v>
      </c>
      <c r="AB8" s="74">
        <v>25</v>
      </c>
      <c r="AC8" s="74">
        <v>27</v>
      </c>
      <c r="AD8" s="74">
        <v>26</v>
      </c>
      <c r="AE8" s="74">
        <v>30</v>
      </c>
    </row>
    <row r="9" spans="1:99" ht="26.4" ph="1">
      <c r="B9" s="237" ph="1">
        <v>0.66666666666666663</v>
      </c>
      <c r="C9" s="155" t="s" ph="1">
        <v>180</v>
      </c>
      <c r="D9" s="71">
        <v>2547</v>
      </c>
      <c r="E9" s="71">
        <v>3442</v>
      </c>
      <c r="F9" s="71">
        <v>3188</v>
      </c>
      <c r="G9" s="71">
        <v>2686</v>
      </c>
      <c r="H9" s="71">
        <v>5244</v>
      </c>
      <c r="I9" s="71">
        <v>4.5</v>
      </c>
      <c r="J9" s="71">
        <v>6.65</v>
      </c>
      <c r="K9" s="71">
        <v>7.81</v>
      </c>
      <c r="L9" s="71">
        <v>89.1</v>
      </c>
      <c r="M9" s="71">
        <v>3234</v>
      </c>
      <c r="N9" s="71">
        <v>1855</v>
      </c>
      <c r="O9" s="71">
        <v>449</v>
      </c>
      <c r="P9" s="71">
        <v>4380</v>
      </c>
      <c r="Q9" s="71">
        <v>7179</v>
      </c>
      <c r="R9" s="71">
        <v>5419</v>
      </c>
      <c r="S9" s="71">
        <v>6732</v>
      </c>
      <c r="T9" s="71">
        <v>2623</v>
      </c>
      <c r="U9" s="71">
        <v>0</v>
      </c>
      <c r="V9" s="71">
        <v>0</v>
      </c>
      <c r="W9" s="71">
        <v>1810</v>
      </c>
      <c r="X9" s="71">
        <v>6867</v>
      </c>
      <c r="Y9" s="71">
        <v>6647</v>
      </c>
      <c r="Z9" s="71">
        <v>3107</v>
      </c>
      <c r="AA9" s="71">
        <v>1275</v>
      </c>
      <c r="AB9" s="71">
        <v>1086</v>
      </c>
      <c r="AC9" s="71">
        <v>8933</v>
      </c>
      <c r="AD9" s="71">
        <v>5117</v>
      </c>
      <c r="AE9" s="71">
        <v>5552</v>
      </c>
    </row>
    <row r="10" spans="1:99" s="72" customFormat="1" ht="22.2" ph="1">
      <c r="B10" s="237" ph="1"/>
      <c r="C10" s="155" t="s" ph="1">
        <v>178</v>
      </c>
      <c r="D10" s="73" ph="1">
        <f>D9*33.183*LOOKUP(D11,密度!$A$2:$A$50,密度!$Q$2:$Q$50)</f>
        <v>79727.516886329991</v>
      </c>
      <c r="E10" s="73" ph="1">
        <f>E9*51.53*LOOKUP(E11,密度!$A$2:$A$50,密度!$B$2:$B$50)</f>
        <v>137512.06137800001</v>
      </c>
      <c r="F10" s="73" ph="1">
        <f>F9*33.183*LOOKUP(F11,密度!$A$2:$A$50,密度!$C$2:$C$50)</f>
        <v>117148.97118959999</v>
      </c>
      <c r="G10" s="73" ph="1">
        <f xml:space="preserve"> (G9+2)*51.53*LOOKUP(G11,密度!$A$2:$A$50,密度!$B$2:$B$50)</f>
        <v>107139.52704</v>
      </c>
      <c r="H10" s="73" ph="1">
        <f>(H9)*51.53*LOOKUP(H11,密度!$A$2:$A$50,密度!$B$2:$B$50)</f>
        <v>209504.13999600001</v>
      </c>
      <c r="I10" s="73" ph="1">
        <f>I9*290.8*1.0267</f>
        <v>1343.53962</v>
      </c>
      <c r="J10" s="73" ph="1">
        <f>J9*290.8*0.7892</f>
        <v>1526.1707440000002</v>
      </c>
      <c r="K10" s="73" ph="1">
        <f>K9*290.8*1.1126</f>
        <v>2526.8792648000003</v>
      </c>
      <c r="L10" s="73" ph="1">
        <f>L9*290.8*0.777</f>
        <v>20132.287560000001</v>
      </c>
      <c r="M10" s="73" ph="1">
        <f>M9*33.183*LOOKUP(M11,密度!$A$2:$A$50,密度!$D$2:$D$50)</f>
        <v>109578.14364419998</v>
      </c>
      <c r="N10" s="73" ph="1">
        <f>N9*33.183*LOOKUP(N11,密度!$A$2:$A$50,密度!$E$2:$E$50)</f>
        <v>47864.751983999995</v>
      </c>
      <c r="O10" s="73" ph="1">
        <f>O9*20.428*LOOKUP(O11,密度!$A$2:$A$50,密度!$C$2:$C$50)</f>
        <v>10069.210421600001</v>
      </c>
      <c r="P10" s="73" ph="1">
        <f>P9*51.53*LOOKUP(P11,密度!$A$2:$A$50,密度!$B$2:$B$50)</f>
        <v>174986.29541999998</v>
      </c>
      <c r="Q10" s="73" ph="1">
        <f>Q9*1.5*1.5*3.1416*LOOKUP(W11,密度!$A$2:$A$50,密度!$L$2:$L$50)</f>
        <v>47294.7868008</v>
      </c>
      <c r="R10" s="73" ph="1">
        <f>R9*1.5*1.5*3.1416*LOOKUP(R11,密度!$A$2:$A$50,密度!$L$2:$L$50)</f>
        <v>35508.497131800003</v>
      </c>
      <c r="S10" s="73" ph="1">
        <f>S9*1.5*1.5*3.1416*LOOKUP(S11,密度!$A$2:$A$50,密度!$L$2:$L$50)</f>
        <v>44492.737212</v>
      </c>
      <c r="T10" s="73" ph="1">
        <f>T9*1.5*1.5*3.1416*LOOKUP(T11,密度!$A$2:$A$50,密度!$L$2:$L$50)</f>
        <v>17409.940594199998</v>
      </c>
      <c r="U10" s="73" ph="1">
        <f>U9*1.5*1.5*3.1416*LOOKUP(U11,密度!$A$2:$A$50,密度!$L$2:$L$50)</f>
        <v>0</v>
      </c>
      <c r="V10" s="73" ph="1">
        <f>V9*1.5*1.5*3.1416*LOOKUP(V11,密度!$A$2:$A$50,密度!$L$2:$L$50)</f>
        <v>0</v>
      </c>
      <c r="W10" s="73" ph="1">
        <f>W9*1.5*1.5*3.1416*LOOKUP(W11,密度!$A$2:$A$50,密度!$L$2:$L$50)</f>
        <v>11924.162711999999</v>
      </c>
      <c r="X10" s="73" ph="1">
        <f>X9*1.5*1.5*3.1416*LOOKUP(X11,密度!$A$2:$A$50,密度!$L$2:$L$50)</f>
        <v>45676.211704199995</v>
      </c>
      <c r="Y10" s="73" ph="1">
        <f>Y9*1.5*1.5*3.1416*LOOKUP(Y11,密度!$A$2:$A$50,密度!$L$2:$L$50)</f>
        <v>43836.990258600003</v>
      </c>
      <c r="Z10" s="73" ph="1">
        <f>Z9*33.183*LOOKUP(Z11,密度!$A$2:$A$50,密度!$L$2:$L$50)</f>
        <v>96501.207816000009</v>
      </c>
      <c r="AA10" s="73" ph="1">
        <f>AA9*33.183*LOOKUP(AA11,密度!$A$2:$A$50,密度!$D$2:$D$50)</f>
        <v>43201.030657499992</v>
      </c>
      <c r="AB10" s="73" ph="1">
        <f>AB9*20.428*LOOKUP(AB11,密度!$A$2:$A$50,密度!$D$2:$D$50)</f>
        <v>22734.991238399998</v>
      </c>
      <c r="AC10" s="73" ph="1">
        <f>AC9*51.53*LOOKUP(AC11,密度!$A$2:$A$50,密度!$Q$2:$Q$50)</f>
        <v>434231.29784169997</v>
      </c>
      <c r="AD10" s="73" ph="1">
        <f>AD9*20.428*LOOKUP(AD11,密度!$A$2:$A$50,密度!$V$2:$V$50)</f>
        <v>100098.0007776</v>
      </c>
      <c r="AE10" s="73" ph="1">
        <f>AE9*20.428</f>
        <v>113416.25600000001</v>
      </c>
    </row>
    <row r="11" spans="1:99" ph="1">
      <c r="A11" s="64" t="s" ph="1">
        <v>162</v>
      </c>
      <c r="B11" s="237" ph="1"/>
      <c r="C11" s="155" t="s" ph="1">
        <v>179</v>
      </c>
      <c r="D11" s="74">
        <v>30</v>
      </c>
      <c r="E11" s="74">
        <v>30</v>
      </c>
      <c r="F11" s="74">
        <v>27</v>
      </c>
      <c r="G11" s="74">
        <v>32</v>
      </c>
      <c r="H11" s="74">
        <v>30</v>
      </c>
      <c r="I11" s="74">
        <v>25</v>
      </c>
      <c r="J11" s="74">
        <v>25</v>
      </c>
      <c r="K11" s="74">
        <v>25</v>
      </c>
      <c r="L11" s="74">
        <v>25</v>
      </c>
      <c r="M11" s="74">
        <v>31</v>
      </c>
      <c r="N11" s="74">
        <v>30</v>
      </c>
      <c r="O11" s="74">
        <v>37</v>
      </c>
      <c r="P11" s="74">
        <v>30</v>
      </c>
      <c r="Q11" s="74">
        <v>33</v>
      </c>
      <c r="R11" s="74">
        <v>35</v>
      </c>
      <c r="S11" s="74">
        <v>27</v>
      </c>
      <c r="T11" s="74">
        <v>23</v>
      </c>
      <c r="U11" s="74">
        <v>30</v>
      </c>
      <c r="V11" s="74">
        <v>28</v>
      </c>
      <c r="W11" s="74">
        <v>30</v>
      </c>
      <c r="X11" s="74">
        <v>21</v>
      </c>
      <c r="Y11" s="74">
        <v>29</v>
      </c>
      <c r="Z11" s="74">
        <v>26</v>
      </c>
      <c r="AA11" s="74">
        <v>31</v>
      </c>
      <c r="AB11" s="74">
        <v>27</v>
      </c>
      <c r="AC11" s="74">
        <v>30</v>
      </c>
      <c r="AD11" s="74">
        <v>30</v>
      </c>
      <c r="AE11" s="74">
        <v>32</v>
      </c>
    </row>
    <row r="12" spans="1:99" ht="9.9" customHeight="1" ph="1"/>
    <row r="13" spans="1:99" s="72" customFormat="1" ht="29.25" customHeight="1" ph="1">
      <c r="B13" s="214" t="s" ph="1">
        <v>37</v>
      </c>
      <c r="C13" s="155" t="s" ph="1">
        <v>176</v>
      </c>
      <c r="D13" s="76" t="s" ph="1">
        <v>52</v>
      </c>
      <c r="E13" s="76" t="s" ph="1">
        <v>53</v>
      </c>
      <c r="F13" s="76" t="s" ph="1">
        <v>57</v>
      </c>
      <c r="G13" s="76" t="s" ph="1">
        <v>58</v>
      </c>
      <c r="H13" s="76" t="s" ph="1">
        <v>128</v>
      </c>
      <c r="I13" s="76" t="s" ph="1">
        <v>59</v>
      </c>
      <c r="J13" s="76" t="s" ph="1">
        <v>129</v>
      </c>
      <c r="K13" s="76" t="s" ph="1">
        <v>55</v>
      </c>
      <c r="L13" s="76" t="s" ph="1">
        <v>60</v>
      </c>
      <c r="M13" s="76" t="s" ph="1">
        <v>61</v>
      </c>
      <c r="N13" s="76" t="s" ph="1">
        <v>130</v>
      </c>
      <c r="O13" s="76" t="s" ph="1">
        <v>56</v>
      </c>
      <c r="P13" s="76" t="s" ph="1">
        <v>62</v>
      </c>
      <c r="Q13" s="76" t="s" ph="1">
        <v>63</v>
      </c>
      <c r="R13" s="76" t="s" ph="1">
        <v>64</v>
      </c>
      <c r="S13" s="76" t="s" ph="1">
        <v>65</v>
      </c>
      <c r="T13" s="76" t="s" ph="1">
        <v>66</v>
      </c>
      <c r="U13" s="76" t="s" ph="1">
        <v>67</v>
      </c>
      <c r="V13" s="76" t="s" ph="1">
        <v>131</v>
      </c>
      <c r="W13" s="76" t="s" ph="1">
        <v>132</v>
      </c>
      <c r="X13" s="76" t="s" ph="1">
        <v>133</v>
      </c>
      <c r="Y13" s="105" t="s" ph="1">
        <v>68</v>
      </c>
      <c r="Z13" s="76" t="s" ph="1">
        <v>74</v>
      </c>
      <c r="AA13" s="76" t="s" ph="1">
        <v>134</v>
      </c>
      <c r="AB13" s="76" t="s" ph="1">
        <v>135</v>
      </c>
      <c r="AC13" s="76" t="s" ph="1">
        <v>136</v>
      </c>
      <c r="AD13" s="76" t="s" ph="1">
        <v>137</v>
      </c>
      <c r="AE13" s="76" t="s" ph="1">
        <v>138</v>
      </c>
      <c r="AG13" s="72" t="s" ph="1">
        <v>325</v>
      </c>
      <c r="AH13" s="72" t="s" ph="1">
        <v>188</v>
      </c>
      <c r="AI13" s="72" t="s" ph="1">
        <v>189</v>
      </c>
      <c r="AJ13" s="72" t="s" ph="1">
        <v>190</v>
      </c>
      <c r="AK13" s="72" t="s" ph="1">
        <v>191</v>
      </c>
      <c r="AL13" s="72" t="s" ph="1">
        <v>192</v>
      </c>
      <c r="AM13" s="72" t="s" ph="1">
        <v>193</v>
      </c>
      <c r="AN13" s="72" t="s" ph="1">
        <v>194</v>
      </c>
      <c r="AO13" s="72" t="s" ph="1">
        <v>195</v>
      </c>
      <c r="AP13" s="72" t="s" ph="1">
        <v>196</v>
      </c>
      <c r="AQ13" s="72" t="s" ph="1">
        <v>197</v>
      </c>
      <c r="AR13" s="72" t="s" ph="1">
        <v>198</v>
      </c>
      <c r="AS13" s="72" t="s" ph="1">
        <v>199</v>
      </c>
      <c r="AT13" s="72" t="s" ph="1">
        <v>200</v>
      </c>
      <c r="AU13" s="72" t="s" ph="1">
        <v>201</v>
      </c>
      <c r="AV13" s="72" t="s" ph="1">
        <v>202</v>
      </c>
      <c r="AW13" s="72" t="s" ph="1">
        <v>203</v>
      </c>
      <c r="AX13" s="72" t="s" ph="1">
        <v>204</v>
      </c>
      <c r="AY13" s="72" t="s" ph="1">
        <v>326</v>
      </c>
      <c r="AZ13" s="72" t="s" ph="1">
        <v>205</v>
      </c>
      <c r="BA13" s="72" t="s" ph="1">
        <v>206</v>
      </c>
      <c r="BB13" s="72" t="s" ph="1">
        <v>591</v>
      </c>
      <c r="BC13" s="72" t="s" ph="1">
        <v>207</v>
      </c>
      <c r="BD13" s="72" t="s" ph="1">
        <v>327</v>
      </c>
      <c r="BE13" s="72" t="s" ph="1">
        <v>328</v>
      </c>
      <c r="BF13" s="72" t="s" ph="1">
        <v>329</v>
      </c>
      <c r="BG13" s="72" t="s" ph="1">
        <v>330</v>
      </c>
      <c r="BH13" s="72" t="s" ph="1">
        <v>331</v>
      </c>
    </row>
    <row r="14" spans="1:99" s="72" customFormat="1" ht="24" ph="1">
      <c r="B14" s="215" ph="1"/>
      <c r="C14" s="67" t="s" ph="1">
        <v>36</v>
      </c>
      <c r="D14" s="77" t="s" ph="1">
        <v>616</v>
      </c>
      <c r="E14" s="77" t="s" ph="1">
        <v>616</v>
      </c>
      <c r="F14" s="77" t="s" ph="1">
        <v>639</v>
      </c>
      <c r="G14" s="77" t="s" ph="1">
        <v>617</v>
      </c>
      <c r="H14" s="77" t="s" ph="1">
        <v>636</v>
      </c>
      <c r="I14" s="138" t="s" ph="1">
        <v>618</v>
      </c>
      <c r="J14" s="77" t="s" ph="1">
        <v>619</v>
      </c>
      <c r="K14" s="77" t="s" ph="1">
        <v>186</v>
      </c>
      <c r="L14" s="77" t="s" ph="1">
        <v>41</v>
      </c>
      <c r="M14" s="104" t="s" ph="1">
        <v>620</v>
      </c>
      <c r="N14" s="104" t="s" ph="1">
        <v>621</v>
      </c>
      <c r="O14" s="104" t="s" ph="1">
        <v>637</v>
      </c>
      <c r="P14" s="77" t="s" ph="1">
        <v>622</v>
      </c>
      <c r="Q14" s="77" t="s" ph="1">
        <v>622</v>
      </c>
      <c r="R14" s="77" t="s" ph="1">
        <v>622</v>
      </c>
      <c r="S14" s="77" t="s" ph="1">
        <v>622</v>
      </c>
      <c r="T14" s="77" t="s" ph="1">
        <v>624</v>
      </c>
      <c r="U14" s="77" t="s" ph="1">
        <v>605</v>
      </c>
      <c r="V14" s="77" t="s" ph="1">
        <v>633</v>
      </c>
      <c r="W14" s="77" t="s" ph="1">
        <v>622</v>
      </c>
      <c r="X14" s="77" t="s" ph="1">
        <v>625</v>
      </c>
      <c r="Y14" s="143" t="s" ph="1">
        <v>0</v>
      </c>
      <c r="Z14" s="77" t="s" ph="1">
        <v>54</v>
      </c>
      <c r="AA14" s="77" t="s" ph="1">
        <v>613</v>
      </c>
      <c r="AB14" s="77" t="s" ph="1">
        <v>632</v>
      </c>
      <c r="AC14" s="77" t="s" ph="1">
        <v>632</v>
      </c>
      <c r="AD14" s="77" t="s" ph="1">
        <v>612</v>
      </c>
      <c r="AE14" s="77" t="s" ph="1">
        <v>612</v>
      </c>
      <c r="AG14" s="72" t="s" ph="1">
        <v>208</v>
      </c>
      <c r="AI14" s="72" t="s" ph="1">
        <v>209</v>
      </c>
      <c r="AJ14" s="72" t="s" ph="1">
        <v>332</v>
      </c>
      <c r="AK14" s="72" t="s" ph="1">
        <v>210</v>
      </c>
      <c r="AM14" s="72" t="s" ph="1">
        <v>212</v>
      </c>
      <c r="AN14" s="72" t="s" ph="1">
        <v>210</v>
      </c>
      <c r="AO14" s="72" t="s" ph="1">
        <v>211</v>
      </c>
      <c r="AP14" s="72" t="s" ph="1">
        <v>212</v>
      </c>
      <c r="AQ14" s="72" t="s" ph="1">
        <v>210</v>
      </c>
      <c r="AR14" s="72" t="s" ph="1">
        <v>211</v>
      </c>
      <c r="AS14" s="72" t="s" ph="1">
        <v>212</v>
      </c>
      <c r="AT14" s="72" t="s" ph="1">
        <v>210</v>
      </c>
      <c r="AU14" s="72" t="s" ph="1">
        <v>211</v>
      </c>
      <c r="AV14" s="72" t="s" ph="1">
        <v>212</v>
      </c>
      <c r="AW14" s="72" t="s" ph="1">
        <v>210</v>
      </c>
      <c r="AX14" s="72" t="s" ph="1">
        <v>211</v>
      </c>
      <c r="AY14" s="72" t="s" ph="1">
        <v>212</v>
      </c>
      <c r="AZ14" s="72" t="s" ph="1">
        <v>211</v>
      </c>
    </row>
    <row r="15" spans="1:99" ph="1">
      <c r="B15" s="216" ph="1">
        <v>0.33333333333333331</v>
      </c>
      <c r="C15" s="155" t="s" ph="1">
        <v>177</v>
      </c>
      <c r="D15" s="78">
        <v>5038</v>
      </c>
      <c r="E15" s="78">
        <v>2939</v>
      </c>
      <c r="F15" s="78">
        <v>3754</v>
      </c>
      <c r="G15" s="78">
        <v>3648</v>
      </c>
      <c r="H15" s="78">
        <v>2186</v>
      </c>
      <c r="I15" s="78">
        <v>5049</v>
      </c>
      <c r="J15" s="78">
        <v>0</v>
      </c>
      <c r="K15" s="78">
        <v>671</v>
      </c>
      <c r="L15" s="78">
        <v>5343</v>
      </c>
      <c r="M15" s="78">
        <v>3665</v>
      </c>
      <c r="N15" s="78">
        <v>2608</v>
      </c>
      <c r="O15" s="78">
        <v>2478</v>
      </c>
      <c r="P15" s="78">
        <v>1057</v>
      </c>
      <c r="Q15" s="78">
        <v>4965</v>
      </c>
      <c r="R15" s="78">
        <v>0</v>
      </c>
      <c r="S15" s="78">
        <v>1246</v>
      </c>
      <c r="T15" s="78">
        <v>4205</v>
      </c>
      <c r="U15" s="78">
        <v>1776</v>
      </c>
      <c r="V15" s="78">
        <v>-817</v>
      </c>
      <c r="W15" s="71">
        <v>27</v>
      </c>
      <c r="X15" s="78">
        <v>858</v>
      </c>
      <c r="Y15" s="106">
        <v>-2366</v>
      </c>
      <c r="Z15" s="78">
        <v>0</v>
      </c>
      <c r="AA15" s="78">
        <v>2464</v>
      </c>
      <c r="AB15" s="78" ph="1">
        <v>0</v>
      </c>
      <c r="AC15" s="78" ph="1">
        <v>0</v>
      </c>
      <c r="AD15" s="78">
        <v>5.83</v>
      </c>
      <c r="AE15" s="78">
        <v>44.65</v>
      </c>
      <c r="AG15" s="64" t="s" ph="1">
        <v>214</v>
      </c>
      <c r="AH15" s="64" ph="1">
        <v>1</v>
      </c>
      <c r="AI15" s="64" t="s" ph="1">
        <v>333</v>
      </c>
      <c r="AK15" s="64" t="s" ph="1">
        <v>587</v>
      </c>
      <c r="AM15" s="64" t="s" ph="1">
        <v>335</v>
      </c>
      <c r="AZ15" s="64" t="s" ph="1">
        <v>216</v>
      </c>
      <c r="BA15" s="64" ph="1">
        <v>0</v>
      </c>
    </row>
    <row r="16" spans="1:99" s="72" customFormat="1" ht="22.2" ph="1">
      <c r="B16" s="217" ph="1"/>
      <c r="C16" s="155" t="s" ph="1">
        <v>178</v>
      </c>
      <c r="D16" s="73" ph="1">
        <f>D15*7.0686*LOOKUP(D17,密度!$A$2:$A$50,密度!$L$2:$L$50)</f>
        <v>33225.629144400002</v>
      </c>
      <c r="E16" s="73" ph="1">
        <f>E15*7.0686*LOOKUP(E17,密度!$A$2:$A$50,密度!$L$2:$L$50)</f>
        <v>19382.716168200001</v>
      </c>
      <c r="F16" s="73" ph="1">
        <f>F15*9.0746*LOOKUP(F17,密度!$A$2:$A$50,密度!$L$2:$L$50)</f>
        <v>31749.5571088</v>
      </c>
      <c r="G16" s="73" ph="1">
        <f>G15*9.0746*LOOKUP(G17,密度!$A$2:$A$50,密度!$B$2:$B$50)</f>
        <v>25778.19444096</v>
      </c>
      <c r="H16" s="73" ph="1">
        <f>H15*9.0746*LOOKUP(H17,密度!$A$2:$A$50,密度!$L$2:$L$50)</f>
        <v>18607.176912799998</v>
      </c>
      <c r="I16" s="73" ph="1">
        <f>I15*9.0746*LOOKUP(I17,密度!$A$2:$A$50,密度!$U$2:$U$50)</f>
        <v>46917.279129600007</v>
      </c>
      <c r="J16" s="73" ph="1">
        <f>J15*9.0746*LOOKUP(J17,密度!$A$2:$A$50,密度!$L$2:$L$50)</f>
        <v>0</v>
      </c>
      <c r="K16" s="73" ph="1">
        <f>K15*9.0746*LOOKUP(K17,密度!$A$2:$A$50,密度!$C$2:$C$50)</f>
        <v>6743.0212788399995</v>
      </c>
      <c r="L16" s="73" ph="1">
        <f>L15*9.0746*LOOKUP(L17,密度!$A$2:$A$50,密度!$E$2:$E$50)</f>
        <v>37809.061366440001</v>
      </c>
      <c r="M16" s="73" ph="1">
        <f>M15*9.0746*LOOKUP(M17,密度!$A$2:$A$50,密度!$M$2:$M$50)</f>
        <v>28931.489989099999</v>
      </c>
      <c r="N16" s="73" ph="1">
        <f>N15*9.0746*LOOKUP(N17,密度!$A$2:$A$50,密度!$M$2:$M$50)</f>
        <v>20663.27074208</v>
      </c>
      <c r="O16" s="73" ph="1">
        <f>O15*9.0746*LOOKUP(O17,密度!$A$2:$A$50,密度!$G$2:$G$50)</f>
        <v>21542.410730400003</v>
      </c>
      <c r="P16" s="73" ph="1">
        <f ca="1">P15*9.0746*LOOKUP(P17,密度!$A$2:$A$51,密度!$Q$2:$Q$50)</f>
        <v>9074.1799367660005</v>
      </c>
      <c r="Q16" s="73" ph="1">
        <f>Q15*9.0746*LOOKUP(Q17,密度!$A$2:$A$50,密度!$Q$2:$Q$50)</f>
        <v>42529.133338770007</v>
      </c>
      <c r="R16" s="73" ph="1">
        <f>MAX(R15*9.0746*LOOKUP(R17,密度!$A$2:$A$50,密度!$Q$2:$Q$50),0)</f>
        <v>0</v>
      </c>
      <c r="S16" s="73" ph="1">
        <f>S15*9.0746*LOOKUP(S17,密度!$A$2:$A$50,密度!$Q$2:$Q$50)</f>
        <v>10688.687486512001</v>
      </c>
      <c r="T16" s="73" ph="1">
        <f>T15*9.0746*LOOKUP(T17,密度!$A$2:$A$50,密度!$O$2:$O$50)</f>
        <v>35334.949718000003</v>
      </c>
      <c r="U16" s="73" ph="1">
        <f>U15*9.0746*LOOKUP(U17,密度!$A$2:$A$50,密度!$H$2:$H$50)</f>
        <v>14741.753037119999</v>
      </c>
      <c r="V16" s="73" ph="1">
        <f>MAX(5600*LOOKUP(V17,密度!$A$2:$A$50,密度!$Q$2:$Q$50)+V15*9.0476*LOOKUP(V17,密度!$A$2:$A$50,密度!$Q$2:$Q$50),0)</f>
        <v>0</v>
      </c>
      <c r="W16" s="73" ph="1">
        <f>MAX(5600*LOOKUP(W17,密度!$A$2:$A$50,密度!$Q$2:$Q$50)+W15*9.0476*LOOKUP(W17,密度!$A$2:$A$50,密度!$Q$2:$Q$50),0)</f>
        <v>5520.6286856240004</v>
      </c>
      <c r="X16" s="73" ph="1">
        <f>MAX(5600*LOOKUP(X17,密度!$A$2:$A$50,密度!$I$2:$I$50)+X15*9.0476*LOOKUP(X17,密度!$A$2:$A$50,密度!$I$2:$I$50),0)</f>
        <v>13867.956182239999</v>
      </c>
      <c r="Y16" s="107" ph="1">
        <v>0</v>
      </c>
      <c r="Z16" s="73" ph="1">
        <f>Z15*9.0746*LOOKUP(Z17,密度!$A$2:$A$50,密度!$D$2:$D$50)</f>
        <v>0</v>
      </c>
      <c r="AA16" s="73" ph="1">
        <f>AA15*9.0746*LOOKUP(AA17,密度!$A$2:$A$50,密度!$B$2:$B$50)</f>
        <v>17411.587473279997</v>
      </c>
      <c r="AB16" s="73" ph="1">
        <f>AB15*9.0746*LOOKUP(AB17,密度!$A$2:$A$50,密度!$L$2:$L$50)</f>
        <v>0</v>
      </c>
      <c r="AC16" s="73" ph="1">
        <f>AC15*9.0746*LOOKUP(AC17,密度!$A$2:$A$50,密度!$L$2:$L$50)</f>
        <v>0</v>
      </c>
      <c r="AD16" s="73" ph="1">
        <f>AD15*268.68*LOOKUP(AD17,密度!$A$2:$A$50,密度!B2:B50)+IF(AD15&lt;=0,0,1566*LOOKUP(AD17,密度!$A$2:$A$50,密度!B2:B50))</f>
        <v>2442.0224702400001</v>
      </c>
      <c r="AE16" s="73" ph="1">
        <f>AE15*268.68*LOOKUP(AE17,密度!$A$2:$A$50,密度!B2:B50)+IF(AE15&lt;=0,0,1566*LOOKUP(AE17,密度!$A$2:$A$50,密度!B2:B50))</f>
        <v>10573.3733352</v>
      </c>
      <c r="AH16" s="72" ph="1">
        <v>2</v>
      </c>
      <c r="AI16" s="72" t="s" ph="1">
        <v>337</v>
      </c>
      <c r="AZ16" s="72" t="s" ph="1">
        <v>216</v>
      </c>
      <c r="BA16" s="72" ph="1">
        <v>0</v>
      </c>
    </row>
    <row r="17" spans="1:57" ph="1">
      <c r="A17" s="64" t="s" ph="1">
        <v>73</v>
      </c>
      <c r="B17" s="218" ph="1"/>
      <c r="C17" s="79" t="s" ph="1">
        <v>179</v>
      </c>
      <c r="D17" s="74">
        <v>29</v>
      </c>
      <c r="E17" s="74">
        <v>29</v>
      </c>
      <c r="F17" s="74">
        <v>30</v>
      </c>
      <c r="G17" s="74">
        <v>26</v>
      </c>
      <c r="H17" s="74">
        <v>24</v>
      </c>
      <c r="I17" s="74">
        <v>26</v>
      </c>
      <c r="J17" s="74">
        <v>27</v>
      </c>
      <c r="K17" s="74">
        <v>27</v>
      </c>
      <c r="L17" s="74">
        <v>28</v>
      </c>
      <c r="M17" s="74">
        <v>30</v>
      </c>
      <c r="N17" s="74">
        <v>27</v>
      </c>
      <c r="O17" s="74">
        <v>27</v>
      </c>
      <c r="P17" s="74">
        <v>26</v>
      </c>
      <c r="Q17" s="74">
        <v>29</v>
      </c>
      <c r="R17" s="74">
        <v>28</v>
      </c>
      <c r="S17" s="74">
        <v>27</v>
      </c>
      <c r="T17" s="74">
        <v>27</v>
      </c>
      <c r="U17" s="74">
        <v>25</v>
      </c>
      <c r="V17" s="74">
        <v>27</v>
      </c>
      <c r="W17" s="74">
        <v>28</v>
      </c>
      <c r="X17" s="74">
        <v>29</v>
      </c>
      <c r="Y17" s="108">
        <v>29</v>
      </c>
      <c r="Z17" s="74">
        <v>27</v>
      </c>
      <c r="AA17" s="74">
        <v>26</v>
      </c>
      <c r="AB17" s="74">
        <v>26</v>
      </c>
      <c r="AC17" s="74">
        <v>25</v>
      </c>
      <c r="AD17" s="74">
        <v>25</v>
      </c>
      <c r="AE17" s="74">
        <v>25</v>
      </c>
      <c r="AH17" s="64" ph="1">
        <v>3</v>
      </c>
      <c r="AI17" s="64" t="s" ph="1">
        <v>338</v>
      </c>
      <c r="AK17" s="64" t="s" ph="1">
        <v>570</v>
      </c>
      <c r="AL17" s="64" ph="1">
        <v>80</v>
      </c>
      <c r="AM17" s="64" t="s" ph="1">
        <v>335</v>
      </c>
      <c r="AZ17" s="64" t="s" ph="1">
        <v>216</v>
      </c>
      <c r="BA17" s="64" ph="1">
        <v>80</v>
      </c>
      <c r="BD17" s="64" t="s" ph="1">
        <v>214</v>
      </c>
      <c r="BE17" s="64" ph="1">
        <v>2270</v>
      </c>
    </row>
    <row r="18" spans="1:57" ht="26.4" ph="1">
      <c r="B18" s="216" ph="1">
        <v>0.66666666666666663</v>
      </c>
      <c r="C18" s="79" t="s" ph="1">
        <v>180</v>
      </c>
      <c r="D18" s="71">
        <v>3130</v>
      </c>
      <c r="E18" s="71">
        <v>5412</v>
      </c>
      <c r="F18" s="71">
        <v>3897</v>
      </c>
      <c r="G18" s="71">
        <v>3801</v>
      </c>
      <c r="H18" s="71">
        <v>0</v>
      </c>
      <c r="I18" s="71">
        <v>5052</v>
      </c>
      <c r="J18" s="71">
        <v>51</v>
      </c>
      <c r="K18" s="71">
        <v>671</v>
      </c>
      <c r="L18" s="71">
        <v>5353</v>
      </c>
      <c r="M18" s="71">
        <v>5159</v>
      </c>
      <c r="N18" s="71">
        <v>1176</v>
      </c>
      <c r="O18" s="71">
        <v>2597</v>
      </c>
      <c r="P18" s="71">
        <v>1057</v>
      </c>
      <c r="Q18" s="71">
        <v>3218</v>
      </c>
      <c r="R18" s="71">
        <v>0</v>
      </c>
      <c r="S18" s="71">
        <v>0</v>
      </c>
      <c r="T18" s="71">
        <v>3793</v>
      </c>
      <c r="U18" s="71">
        <v>1774</v>
      </c>
      <c r="V18" s="71">
        <v>-817</v>
      </c>
      <c r="W18" s="71">
        <v>26</v>
      </c>
      <c r="X18" s="71">
        <v>856</v>
      </c>
      <c r="Y18" s="109">
        <v>-9907</v>
      </c>
      <c r="Z18" s="71">
        <v>0</v>
      </c>
      <c r="AA18" s="71">
        <v>2465</v>
      </c>
      <c r="AB18" s="71">
        <v>24</v>
      </c>
      <c r="AC18" s="71">
        <v>11</v>
      </c>
      <c r="AD18" s="71">
        <v>13.26</v>
      </c>
      <c r="AE18" s="71">
        <v>84.58</v>
      </c>
      <c r="AH18" s="64" ph="1">
        <v>4</v>
      </c>
      <c r="AI18" s="64" t="s" ph="1">
        <v>340</v>
      </c>
      <c r="AJ18" s="64" t="s" ph="1">
        <v>588</v>
      </c>
      <c r="AK18" s="64" t="s" ph="1">
        <v>587</v>
      </c>
      <c r="AL18" s="64" ph="1">
        <v>740</v>
      </c>
      <c r="AM18" s="64" t="s" ph="1">
        <v>339</v>
      </c>
      <c r="AZ18" s="64" t="s" ph="1">
        <v>216</v>
      </c>
      <c r="BA18" s="64" ph="1">
        <v>740</v>
      </c>
    </row>
    <row r="19" spans="1:57" s="72" customFormat="1" ht="22.2" ph="1">
      <c r="B19" s="217" ph="1"/>
      <c r="C19" s="155" t="s" ph="1">
        <v>178</v>
      </c>
      <c r="D19" s="73" ph="1">
        <f>D18*7.0686*LOOKUP(D20,密度!$A$2:$A$50,密度!$L$2:$L$50)</f>
        <v>20620.237176000002</v>
      </c>
      <c r="E19" s="73" ph="1">
        <f>E18*7.0686*LOOKUP(E20,密度!$A$2:$A$50,密度!$L$2:$L$50)</f>
        <v>35653.905302400002</v>
      </c>
      <c r="F19" s="73" ph="1">
        <f>F18*9.0746*LOOKUP(F20,密度!$A$2:$A$50,密度!$L$2:$L$50)</f>
        <v>32888.256066000002</v>
      </c>
      <c r="G19" s="73" ph="1">
        <f>G18*9.0746*LOOKUP(G20,密度!$A$2:$A$50,密度!$B$2:$B$50)</f>
        <v>26773.120880520004</v>
      </c>
      <c r="H19" s="73" ph="1">
        <f>H18*9.0746*LOOKUP(H20,密度!$A$2:$A$50,密度!$L$2:$L$50)</f>
        <v>0</v>
      </c>
      <c r="I19" s="73" ph="1">
        <f>I18*9.0746*LOOKUP(I20,密度!$A$2:$A$50,密度!$U$2:$U$50)</f>
        <v>46761.776784000001</v>
      </c>
      <c r="J19" s="73" ph="1">
        <f>J18*9.0746*LOOKUP(J20,密度!$A$2:$A$50,密度!$L$2:$L$50)</f>
        <v>430.87108260000002</v>
      </c>
      <c r="K19" s="73" ph="1">
        <f>K18*9.0746*LOOKUP(K20,密度!$A$2:$A$50,密度!$C$2:$C$50)</f>
        <v>6729.0164486599997</v>
      </c>
      <c r="L19" s="73" ph="1">
        <f>L18*9.0746*LOOKUP(L20,密度!$A$2:$A$50,密度!$E$2:$E$50)</f>
        <v>37772.957162879997</v>
      </c>
      <c r="M19" s="73" ph="1">
        <f>M18*9.0746*LOOKUP(M20,密度!$A$2:$A$50,密度!$M$2:$M$50)</f>
        <v>40627.740840148006</v>
      </c>
      <c r="N19" s="73" ph="1">
        <f>N18*9.0746*LOOKUP(N20,密度!$A$2:$A$50,密度!$M$2:$M$50)</f>
        <v>9295.076481600001</v>
      </c>
      <c r="O19" s="73" ph="1">
        <f>O18*9.0746*LOOKUP(O20,密度!$A$2:$A$50,密度!$G$2:$G$50)</f>
        <v>22499.16305014</v>
      </c>
      <c r="P19" s="73" ph="1">
        <f ca="1">P18*9.0746*LOOKUP(P20,密度!$A$2:$A$51,密度!$Q$2:$Q$50)</f>
        <v>9003.3920675299996</v>
      </c>
      <c r="Q19" s="73" ph="1">
        <f>Q18*9.0746*LOOKUP(Q20,密度!$A$2:$A$50,密度!$Q$2:$Q$50)</f>
        <v>27547.181901124</v>
      </c>
      <c r="R19" s="73" ph="1">
        <f>MAX(R18*9.0746*LOOKUP(R20,密度!$A$2:$A$50,密度!$Q$2:$Q$50),0)</f>
        <v>0</v>
      </c>
      <c r="S19" s="73" ph="1">
        <f>S18*9.0746*LOOKUP(S20,密度!$A$2:$A$50,密度!$Q$2:$Q$50)</f>
        <v>0</v>
      </c>
      <c r="T19" s="73" ph="1">
        <f>T18*9.0746*LOOKUP(T20,密度!$A$2:$A$50,密度!$O$2:$O$50)</f>
        <v>31735.201091600004</v>
      </c>
      <c r="U19" s="73" ph="1">
        <f>U18*9.0746*LOOKUP(U20,密度!$A$2:$A$50,密度!$H$2:$H$50)</f>
        <v>14681.686444800001</v>
      </c>
      <c r="V19" s="73" ph="1">
        <f>MAX(5600*LOOKUP(V20,密度!$A$2:$A$50,密度!$Q$2:$Q$50)+V18*9.0476*LOOKUP(V20,密度!$A$2:$A$50,密度!$Q$2:$Q$50),0)</f>
        <v>0</v>
      </c>
      <c r="W19" s="73" ph="1">
        <f>MAX(5600*LOOKUP(W20,密度!$A$2:$A$50,密度!$Q$2:$Q$50)+W18*9.0476*LOOKUP(W20,密度!$A$2:$A$50,密度!$Q$2:$Q$50),0)</f>
        <v>5496.2102954399998</v>
      </c>
      <c r="X19" s="73" ph="1">
        <f>MAX(5600*LOOKUP(X20,密度!$A$2:$A$50,密度!$I$2:$I$50)+X18*9.0476*LOOKUP(X20,密度!$A$2:$A$50,密度!$I$2:$I$50),0)</f>
        <v>13834.497763519998</v>
      </c>
      <c r="Y19" s="73" ph="1">
        <f>MAX(5600*LOOKUP(Y20,密度!$A$2:$A$50,密度!$I$2:$I$50)+Y18*9.0476*LOOKUP(Y20,密度!$A$2:$A$50,密度!$I$2:$I$50),0)</f>
        <v>0</v>
      </c>
      <c r="Z19" s="73" ph="1">
        <f>Z18*9.0746*LOOKUP(Z20,密度!$A$2:$A$50,密度!$D$2:$D$50)</f>
        <v>0</v>
      </c>
      <c r="AA19" s="73" ph="1">
        <f>AA18*9.0746*LOOKUP(AA20,密度!$A$2:$A$50,密度!$B$2:$B$50)</f>
        <v>17418.653864299999</v>
      </c>
      <c r="AB19" s="73" ph="1">
        <f>AB18*9.0746*LOOKUP(AB20,密度!$A$2:$A$50,密度!$L$2:$L$50)</f>
        <v>202.76286240000002</v>
      </c>
      <c r="AC19" s="73" ph="1">
        <f>AC18*9.0746*LOOKUP(AC20,密度!$A$2:$A$50,密度!$L$2:$L$50)</f>
        <v>93.032799199999999</v>
      </c>
      <c r="AD19" s="73" ph="1">
        <f>AD18*268.68*LOOKUP(AD20,密度!$A$2:$A$50,密度!B5:B53)+IF(AD18&lt;=0,0,1566*LOOKUP(AD20,密度!$A$2:$A$50,密度!B5:B53))</f>
        <v>3984.9974136000001</v>
      </c>
      <c r="AE19" s="73" ph="1">
        <f>AE18*268.68*LOOKUP(AE20,密度!$A$2:$A$50,密度!B5:B53)+IF(AE18&lt;=0,0,1566*LOOKUP(AE20,密度!$A$2:$A$50,密度!B5:B53))</f>
        <v>18874.071568799998</v>
      </c>
      <c r="AH19" s="72" ph="1">
        <v>5</v>
      </c>
      <c r="AI19" s="72" t="s" ph="1">
        <v>341</v>
      </c>
      <c r="AZ19" s="72" t="s" ph="1">
        <v>216</v>
      </c>
      <c r="BA19" s="72" ph="1">
        <v>0</v>
      </c>
      <c r="BD19" s="72" t="s" ph="1">
        <v>342</v>
      </c>
      <c r="BE19" s="72" ph="1">
        <v>1440</v>
      </c>
    </row>
    <row r="20" spans="1:57" ph="1">
      <c r="A20" s="72" ph="1"/>
      <c r="B20" s="217" ph="1"/>
      <c r="C20" s="80" t="s" ph="1">
        <v>179</v>
      </c>
      <c r="D20" s="81">
        <v>30</v>
      </c>
      <c r="E20" s="81">
        <v>30</v>
      </c>
      <c r="F20" s="81">
        <v>32</v>
      </c>
      <c r="G20" s="81">
        <v>29</v>
      </c>
      <c r="H20" s="81">
        <v>26</v>
      </c>
      <c r="I20" s="81">
        <v>30</v>
      </c>
      <c r="J20" s="81">
        <v>31</v>
      </c>
      <c r="K20" s="81">
        <v>30</v>
      </c>
      <c r="L20" s="81">
        <v>30</v>
      </c>
      <c r="M20" s="81">
        <v>32</v>
      </c>
      <c r="N20" s="81">
        <v>29</v>
      </c>
      <c r="O20" s="81">
        <v>30</v>
      </c>
      <c r="P20" s="81">
        <v>37</v>
      </c>
      <c r="Q20" s="81">
        <v>30</v>
      </c>
      <c r="R20" s="81">
        <v>35</v>
      </c>
      <c r="S20" s="81">
        <v>33</v>
      </c>
      <c r="T20" s="81">
        <v>30</v>
      </c>
      <c r="U20" s="81">
        <v>28</v>
      </c>
      <c r="V20" s="81">
        <v>30</v>
      </c>
      <c r="W20" s="81">
        <v>32</v>
      </c>
      <c r="X20" s="81">
        <v>30</v>
      </c>
      <c r="Y20" s="110">
        <v>30</v>
      </c>
      <c r="Z20" s="81">
        <v>33</v>
      </c>
      <c r="AA20" s="81">
        <v>26</v>
      </c>
      <c r="AB20" s="81">
        <v>31</v>
      </c>
      <c r="AC20" s="81">
        <v>30</v>
      </c>
      <c r="AD20" s="81">
        <v>25</v>
      </c>
      <c r="AE20" s="81">
        <v>25</v>
      </c>
      <c r="AF20" s="64" t="s" ph="1">
        <v>35</v>
      </c>
      <c r="AH20" s="64" ph="1">
        <v>6</v>
      </c>
      <c r="AI20" s="64" t="s" ph="1">
        <v>343</v>
      </c>
      <c r="AZ20" s="64" t="s" ph="1">
        <v>216</v>
      </c>
      <c r="BA20" s="64" ph="1">
        <v>0</v>
      </c>
    </row>
    <row r="21" spans="1:57" ph="1">
      <c r="A21" s="72" ph="1"/>
      <c r="B21" s="82" ph="1"/>
      <c r="C21" s="83" ph="1"/>
      <c r="D21" s="84"/>
      <c r="E21" s="84"/>
      <c r="F21" s="84"/>
      <c r="G21" s="84"/>
      <c r="H21" s="84"/>
      <c r="I21" s="84"/>
      <c r="J21" s="84"/>
      <c r="K21" s="84"/>
      <c r="L21" s="84"/>
      <c r="M21" s="84"/>
      <c r="N21" s="84"/>
      <c r="O21" s="84"/>
      <c r="P21" s="84"/>
      <c r="Q21" s="84"/>
      <c r="R21" s="84"/>
      <c r="S21" s="84"/>
      <c r="T21" s="84"/>
      <c r="U21" s="84"/>
      <c r="V21" s="84"/>
      <c r="W21" s="84"/>
      <c r="X21" s="84"/>
      <c r="Y21" s="84"/>
      <c r="Z21" s="84"/>
      <c r="AA21" s="84"/>
      <c r="AB21" s="84"/>
      <c r="AC21" s="84"/>
      <c r="AD21" s="84"/>
      <c r="AE21" s="84"/>
      <c r="AH21" s="64" ph="1">
        <v>7</v>
      </c>
      <c r="AI21" s="64" t="s" ph="1">
        <v>344</v>
      </c>
      <c r="AZ21" s="64" t="s" ph="1">
        <v>216</v>
      </c>
      <c r="BA21" s="64" ph="1">
        <v>0</v>
      </c>
      <c r="BD21" s="64" t="s" ph="1">
        <v>232</v>
      </c>
      <c r="BE21" s="64" ph="1">
        <v>730</v>
      </c>
    </row>
    <row r="22" spans="1:57" ph="1">
      <c r="A22" s="72" ph="1"/>
      <c r="B22" s="215" t="s" ph="1">
        <v>37</v>
      </c>
      <c r="C22" s="85" t="s" ph="1">
        <v>176</v>
      </c>
      <c r="D22" s="86" t="s" ph="1">
        <v>86</v>
      </c>
      <c r="E22" s="86" t="s" ph="1">
        <v>87</v>
      </c>
      <c r="F22" s="86" t="s" ph="1">
        <v>88</v>
      </c>
      <c r="G22" s="86" t="s" ph="1">
        <v>89</v>
      </c>
      <c r="H22" s="86" t="s" ph="1">
        <v>90</v>
      </c>
      <c r="I22" s="86" t="s" ph="1">
        <v>91</v>
      </c>
      <c r="J22" s="86" t="s" ph="1">
        <v>92</v>
      </c>
      <c r="K22" s="86" t="s" ph="1">
        <v>93</v>
      </c>
      <c r="L22" s="86" t="s" ph="1">
        <v>94</v>
      </c>
      <c r="M22" s="86" t="s" ph="1">
        <v>95</v>
      </c>
      <c r="N22" s="86" t="s" ph="1">
        <v>96</v>
      </c>
      <c r="O22" s="86" t="s" ph="1">
        <v>97</v>
      </c>
      <c r="P22" s="86" t="s" ph="1">
        <v>98</v>
      </c>
      <c r="Q22" s="87" t="s" ph="1">
        <v>99</v>
      </c>
      <c r="R22" s="86" t="s" ph="1">
        <v>100</v>
      </c>
      <c r="S22" s="86" t="s" ph="1">
        <v>101</v>
      </c>
      <c r="T22" s="86" t="s" ph="1">
        <v>102</v>
      </c>
      <c r="U22" s="86" t="s" ph="1">
        <v>103</v>
      </c>
      <c r="V22" s="86" t="s" ph="1">
        <v>104</v>
      </c>
      <c r="W22" s="86" t="s" ph="1">
        <v>105</v>
      </c>
      <c r="X22" s="86" t="s" ph="1">
        <v>106</v>
      </c>
      <c r="Y22" s="86" t="s" ph="1">
        <v>108</v>
      </c>
      <c r="Z22" s="225" t="s" ph="1">
        <v>69</v>
      </c>
      <c r="AA22" s="226"/>
      <c r="AB22" s="226"/>
      <c r="AC22" s="226"/>
      <c r="AD22" s="226"/>
      <c r="AE22" s="227"/>
      <c r="AH22" s="64" ph="1">
        <v>8</v>
      </c>
      <c r="AI22" s="64" t="s" ph="1">
        <v>345</v>
      </c>
      <c r="AZ22" s="64" t="s" ph="1">
        <v>216</v>
      </c>
      <c r="BA22" s="64" ph="1">
        <v>0</v>
      </c>
    </row>
    <row r="23" spans="1:57" ph="1">
      <c r="A23" s="72" ph="1"/>
      <c r="B23" s="219" ph="1"/>
      <c r="C23" s="67" t="s" ph="1">
        <v>36</v>
      </c>
      <c r="D23" s="88" t="s" ph="1">
        <v>109</v>
      </c>
      <c r="E23" s="88" t="s" ph="1">
        <v>107</v>
      </c>
      <c r="F23" s="88" t="s" ph="1">
        <v>109</v>
      </c>
      <c r="G23" s="88" t="s" ph="1">
        <v>626</v>
      </c>
      <c r="H23" s="88" t="s" ph="1">
        <v>626</v>
      </c>
      <c r="I23" s="88" t="s" ph="1">
        <v>627</v>
      </c>
      <c r="J23" s="88" t="s" ph="1">
        <v>628</v>
      </c>
      <c r="K23" s="88" t="s" ph="1">
        <v>628</v>
      </c>
      <c r="L23" s="88" t="s" ph="1">
        <v>628</v>
      </c>
      <c r="M23" s="88" t="s" ph="1">
        <v>623</v>
      </c>
      <c r="N23" s="88" t="s" ph="1">
        <v>623</v>
      </c>
      <c r="O23" s="88" t="s" ph="1">
        <v>645</v>
      </c>
      <c r="P23" s="88" t="s" ph="1">
        <v>629</v>
      </c>
      <c r="Q23" s="89" t="s" ph="1">
        <v>643</v>
      </c>
      <c r="R23" s="88" t="s" ph="1">
        <v>610</v>
      </c>
      <c r="S23" s="88" t="s" ph="1">
        <v>629</v>
      </c>
      <c r="T23" s="88" t="s" ph="1">
        <v>604</v>
      </c>
      <c r="U23" s="104" t="s" ph="1">
        <v>606</v>
      </c>
      <c r="V23" s="88" t="s" ph="1">
        <v>629</v>
      </c>
      <c r="W23" s="88" t="s" ph="1">
        <v>629</v>
      </c>
      <c r="X23" s="88" t="s" ph="1">
        <v>187</v>
      </c>
      <c r="Y23" s="88" t="s" ph="1">
        <v>630</v>
      </c>
      <c r="Z23" s="228" t="s" ph="1">
        <v>646</v>
      </c>
      <c r="AA23" s="229"/>
      <c r="AB23" s="229"/>
      <c r="AC23" s="229"/>
      <c r="AD23" s="229"/>
      <c r="AE23" s="230"/>
      <c r="AH23" s="64" ph="1">
        <v>9</v>
      </c>
      <c r="AI23" s="64" t="s" ph="1">
        <v>346</v>
      </c>
      <c r="AZ23" s="64" t="s" ph="1">
        <v>216</v>
      </c>
      <c r="BA23" s="64" ph="1">
        <v>0</v>
      </c>
      <c r="BD23" s="64" t="s" ph="1">
        <v>238</v>
      </c>
      <c r="BE23" s="64" ph="1">
        <v>890</v>
      </c>
    </row>
    <row r="24" spans="1:57" ph="1">
      <c r="A24" s="72" ph="1"/>
      <c r="B24" s="237" ph="1">
        <v>0.33333333333333331</v>
      </c>
      <c r="C24" s="155" t="s" ph="1">
        <v>177</v>
      </c>
      <c r="D24" s="71">
        <v>3.26</v>
      </c>
      <c r="E24" s="71">
        <v>5.68</v>
      </c>
      <c r="F24" s="71">
        <v>0</v>
      </c>
      <c r="G24" s="71">
        <v>2677</v>
      </c>
      <c r="H24" s="71">
        <v>2988</v>
      </c>
      <c r="I24" s="71">
        <v>1059</v>
      </c>
      <c r="J24" s="71">
        <v>294</v>
      </c>
      <c r="K24" s="71">
        <v>209</v>
      </c>
      <c r="L24" s="71">
        <v>301</v>
      </c>
      <c r="M24" s="71">
        <v>227</v>
      </c>
      <c r="N24" s="71">
        <v>283</v>
      </c>
      <c r="O24" s="71">
        <v>318</v>
      </c>
      <c r="P24" s="71">
        <v>364</v>
      </c>
      <c r="Q24" s="90">
        <v>3038</v>
      </c>
      <c r="R24" s="71">
        <v>4752</v>
      </c>
      <c r="S24" s="71">
        <v>2277</v>
      </c>
      <c r="T24" s="71">
        <v>39</v>
      </c>
      <c r="U24" s="71">
        <v>5850</v>
      </c>
      <c r="V24" s="71">
        <v>737</v>
      </c>
      <c r="W24" s="71">
        <v>433</v>
      </c>
      <c r="X24" s="71">
        <v>2634</v>
      </c>
      <c r="Y24" s="71">
        <v>687</v>
      </c>
      <c r="Z24" s="231"/>
      <c r="AA24" s="232"/>
      <c r="AB24" s="232"/>
      <c r="AC24" s="232"/>
      <c r="AD24" s="232"/>
      <c r="AE24" s="233"/>
      <c r="AH24" s="64" ph="1">
        <v>10</v>
      </c>
      <c r="AI24" s="64" t="s" ph="1">
        <v>347</v>
      </c>
      <c r="AZ24" s="64" t="s" ph="1">
        <v>216</v>
      </c>
      <c r="BA24" s="64" ph="1">
        <v>0</v>
      </c>
    </row>
    <row r="25" spans="1:57" ph="1">
      <c r="A25" s="72" ph="1"/>
      <c r="B25" s="237" ph="1"/>
      <c r="C25" s="68" t="s" ph="1">
        <v>178</v>
      </c>
      <c r="D25" s="91" ph="1">
        <f>D24*268.68*LOOKUP(D26,密度!$A$2:$A$50,密度!$Q$2:$Q$50)+IF(D24&lt;=0,0,1566*LOOKUP(D26,密度!$A$2:$A$50,密度!$Q$2:$Q$50))</f>
        <v>2311.8413764319998</v>
      </c>
      <c r="E25" s="91" ph="1">
        <f>E24*268.68*LOOKUP(E26,密度!$A$2:$A$50,密度!$C$2:$C$50)+IF(E24&lt;=0,0,1566*LOOKUP(E26,密度!$A$2:$A$50,密度!$C$2:$C$50))</f>
        <v>3428.8323513599998</v>
      </c>
      <c r="F25" s="91" ph="1">
        <f>F24*11.702*LOOKUP(F26,密度!$A$2:$A$50,密度!$Q$2:$Q$50)</f>
        <v>0</v>
      </c>
      <c r="G25" s="91" ph="1">
        <f>G24*18.322*LOOKUP(G26,密度!$A$2:$A$50,密度!$B$2:$B$50)</f>
        <v>38193.672927799998</v>
      </c>
      <c r="H25" s="91" ph="1">
        <f>H24*18.322*LOOKUP(H26,密度!$A$2:$A$50,密度!$B$2:$B$50)</f>
        <v>42630.816103199999</v>
      </c>
      <c r="I25" s="91" ph="1">
        <f>I24*18.322*LOOKUP(I26,密度!$A$2:$A$50,密度!$Q$2:$Q$50)</f>
        <v>18342.042069359999</v>
      </c>
      <c r="J25" s="91" ph="1">
        <f>J24*18.322*LOOKUP(J26,密度!$A$2:$A$50,密度!$Q$2:$Q$50)</f>
        <v>5095.9495280399997</v>
      </c>
      <c r="K25" s="91" ph="1">
        <f>K24*18.322*LOOKUP(K26,密度!$A$2:$A$50,密度!$Q$2:$Q$50)</f>
        <v>3619.91198536</v>
      </c>
      <c r="L25" s="91" ph="1">
        <f>L24*18.322*LOOKUP(L26,密度!$A$2:$A$50,密度!$Q$2:$Q$50)</f>
        <v>5213.3660650399997</v>
      </c>
      <c r="M25" s="91" ph="1">
        <f>M24*18.322*LOOKUP(M26,密度!$A$2:$A$50,密度!$Q$2:$Q$50)</f>
        <v>3931.6747400800004</v>
      </c>
      <c r="N25" s="91" ph="1">
        <f>N24*18.322*LOOKUP(N26,密度!$A$2:$A$50,密度!$Q$2:$Q$50)</f>
        <v>4905.2847497800003</v>
      </c>
      <c r="O25" s="91" ph="1">
        <f>O24*18.322*LOOKUP(O26,密度!$A$2:$A$50,密度!$C$2:$C$50)</f>
        <v>6456.2294075999998</v>
      </c>
      <c r="P25" s="91" ph="1">
        <f>P24*11.702*LOOKUP(P26,密度!$A$2:$A$50,密度!$B$2:$B$50)</f>
        <v>3313.4868312000003</v>
      </c>
      <c r="Q25" s="92" ph="1">
        <f>Q24*18.322*LOOKUP(Q26,密度!$A$2:$A$50,密度!$B$2:$B$50)</f>
        <v>43299.653384400001</v>
      </c>
      <c r="R25" s="91" ph="1">
        <f>R24*35.891*LOOKUP(R26,密度!$A$2:$A$50,密度!$C$2:$C$50)</f>
        <v>188871.53503679996</v>
      </c>
      <c r="S25" s="91" ph="1">
        <f>S24*35.891*LOOKUP(S26,密度!$A$2:$A$50,密度!$B$2:$B$50)</f>
        <v>63638.328510899999</v>
      </c>
      <c r="T25" s="91" ph="1">
        <f>T24*35.891*LOOKUP(T26,密度!$A$2:$A$50,密度!$Q$2:$Q$50)</f>
        <v>1324.20454647</v>
      </c>
      <c r="U25" s="91" ph="1">
        <f>U24*35.891</f>
        <v>209962.34999999998</v>
      </c>
      <c r="V25" s="91" ph="1">
        <f>V24*47.051*LOOKUP(V26,密度!$A$2:$A$50,密度!$B$2:$B$50)</f>
        <v>26974.917027300002</v>
      </c>
      <c r="W25" s="91" ph="1">
        <f>W24*47.051*LOOKUP(W26,密度!$A$2:$A$50,密度!$B$2:$B$50)</f>
        <v>15848.221265700002</v>
      </c>
      <c r="X25" s="91" ph="1">
        <f>X24*47.051*LOOKUP(X26,密度!$A$2:$A$61,密度!$I$2:$I$61)</f>
        <v>128616.97622520001</v>
      </c>
      <c r="Y25" s="91" ph="1">
        <f>Y24*47.051*LOOKUP(Y26,密度!$A$2:$A$50,密度!$L$2:$L$50)</f>
        <v>30255.298632000002</v>
      </c>
      <c r="Z25" s="231"/>
      <c r="AA25" s="232"/>
      <c r="AB25" s="232"/>
      <c r="AC25" s="232"/>
      <c r="AD25" s="232"/>
      <c r="AE25" s="233"/>
      <c r="AH25" s="64" ph="1">
        <v>11</v>
      </c>
      <c r="AI25" s="64" t="s" ph="1">
        <v>348</v>
      </c>
      <c r="AZ25" s="64" t="s" ph="1">
        <v>216</v>
      </c>
      <c r="BA25" s="64" ph="1">
        <v>0</v>
      </c>
      <c r="BD25" s="64" t="s" ph="1">
        <v>241</v>
      </c>
      <c r="BE25" s="64" ph="1">
        <v>8920</v>
      </c>
    </row>
    <row r="26" spans="1:57" ph="1">
      <c r="A26" s="72" ph="1"/>
      <c r="B26" s="237" ph="1"/>
      <c r="C26" s="68" t="s" ph="1">
        <v>179</v>
      </c>
      <c r="D26" s="74">
        <v>25</v>
      </c>
      <c r="E26" s="74">
        <v>25</v>
      </c>
      <c r="F26" s="74">
        <v>27</v>
      </c>
      <c r="G26" s="74">
        <v>26</v>
      </c>
      <c r="H26" s="74">
        <v>26</v>
      </c>
      <c r="I26" s="74">
        <v>27</v>
      </c>
      <c r="J26" s="74">
        <v>26</v>
      </c>
      <c r="K26" s="74">
        <v>27</v>
      </c>
      <c r="L26" s="74">
        <v>27</v>
      </c>
      <c r="M26" s="74">
        <v>27</v>
      </c>
      <c r="N26" s="74">
        <v>26</v>
      </c>
      <c r="O26" s="74">
        <v>26</v>
      </c>
      <c r="P26" s="74">
        <v>27</v>
      </c>
      <c r="Q26" s="93">
        <v>27</v>
      </c>
      <c r="R26" s="74">
        <v>27</v>
      </c>
      <c r="S26" s="74">
        <v>26</v>
      </c>
      <c r="T26" s="74">
        <v>26</v>
      </c>
      <c r="U26" s="74">
        <v>27</v>
      </c>
      <c r="V26" s="74">
        <v>27</v>
      </c>
      <c r="W26" s="74">
        <v>27</v>
      </c>
      <c r="X26" s="74">
        <v>29</v>
      </c>
      <c r="Y26" s="74">
        <v>26</v>
      </c>
      <c r="Z26" s="231"/>
      <c r="AA26" s="232"/>
      <c r="AB26" s="232"/>
      <c r="AC26" s="232"/>
      <c r="AD26" s="232"/>
      <c r="AE26" s="233"/>
      <c r="AH26" s="64" ph="1">
        <v>12</v>
      </c>
      <c r="AI26" s="64" t="s" ph="1">
        <v>349</v>
      </c>
      <c r="AZ26" s="64" t="s" ph="1">
        <v>216</v>
      </c>
      <c r="BA26" s="64" ph="1">
        <v>0</v>
      </c>
    </row>
    <row r="27" spans="1:57" ht="26.4" ph="1">
      <c r="A27" s="72" ph="1"/>
      <c r="B27" s="237" ph="1">
        <v>0.66666666666666663</v>
      </c>
      <c r="C27" s="155" t="s" ph="1">
        <v>180</v>
      </c>
      <c r="D27" s="71">
        <v>3.26</v>
      </c>
      <c r="E27" s="71">
        <v>5.67</v>
      </c>
      <c r="F27" s="71">
        <v>0</v>
      </c>
      <c r="G27" s="71">
        <v>2250</v>
      </c>
      <c r="H27" s="71">
        <v>2535</v>
      </c>
      <c r="I27" s="71">
        <v>165</v>
      </c>
      <c r="J27" s="71">
        <v>289</v>
      </c>
      <c r="K27" s="71">
        <v>206</v>
      </c>
      <c r="L27" s="71">
        <v>297</v>
      </c>
      <c r="M27" s="71">
        <v>224</v>
      </c>
      <c r="N27" s="71">
        <v>281</v>
      </c>
      <c r="O27" s="71">
        <v>313</v>
      </c>
      <c r="P27" s="71">
        <v>362</v>
      </c>
      <c r="Q27" s="90">
        <v>3269</v>
      </c>
      <c r="R27" s="71">
        <v>3916</v>
      </c>
      <c r="S27" s="71">
        <v>2275</v>
      </c>
      <c r="T27" s="71">
        <v>38</v>
      </c>
      <c r="U27" s="71">
        <v>5835</v>
      </c>
      <c r="V27" s="71">
        <v>734</v>
      </c>
      <c r="W27" s="71">
        <v>429</v>
      </c>
      <c r="X27" s="71">
        <v>2864</v>
      </c>
      <c r="Y27" s="71">
        <v>1254</v>
      </c>
      <c r="Z27" s="231"/>
      <c r="AA27" s="232"/>
      <c r="AB27" s="232"/>
      <c r="AC27" s="232"/>
      <c r="AD27" s="232"/>
      <c r="AE27" s="233"/>
      <c r="AH27" s="64" ph="1">
        <v>13</v>
      </c>
      <c r="AI27" s="64" t="s" ph="1">
        <v>350</v>
      </c>
      <c r="AZ27" s="64" t="s" ph="1">
        <v>216</v>
      </c>
      <c r="BA27" s="64" ph="1">
        <v>0</v>
      </c>
      <c r="BD27" s="64" t="s" ph="1">
        <v>295</v>
      </c>
      <c r="BE27" s="64" ph="1">
        <v>7100</v>
      </c>
    </row>
    <row r="28" spans="1:57" ph="1">
      <c r="A28" s="72" ph="1"/>
      <c r="B28" s="237" ph="1"/>
      <c r="C28" s="155" t="s" ph="1">
        <v>178</v>
      </c>
      <c r="D28" s="91" ph="1">
        <f>D27*268.68*LOOKUP(D29,密度!$A$2:$A$50,密度!$Q$2:$Q$50)+IF(D27&lt;=0,0,1566*LOOKUP(D29,密度!$A$2:$A$50,密度!$Q$2:$Q$50))</f>
        <v>2311.8413764319998</v>
      </c>
      <c r="E28" s="91" ph="1">
        <f>E27*268.68*LOOKUP(E29,密度!$A$2:$A$50,密度!$C$2:$C$50)+IF(E27&lt;=0,0,1566*LOOKUP(E29,密度!$A$2:$A$50,密度!$C$2:$C$50))</f>
        <v>3425.8529588399997</v>
      </c>
      <c r="F28" s="91" ph="1">
        <f>F27*11.702*LOOKUP(F29,密度!$A$2:$A$50,密度!$Q$2:$Q$50)</f>
        <v>0</v>
      </c>
      <c r="G28" s="91" ph="1">
        <f>G27*18.322*LOOKUP(G29,密度!$A$2:$A$50,密度!$B$2:$B$50)</f>
        <v>31998.456900000001</v>
      </c>
      <c r="H28" s="91" ph="1">
        <f>H27*18.322*LOOKUP(H29,密度!$A$2:$A$50,密度!$B$2:$B$50)</f>
        <v>36051.594773999997</v>
      </c>
      <c r="I28" s="91" ph="1">
        <f>I27*18.322*LOOKUP(I29,密度!$A$2:$A$50,密度!$Q$2:$Q$50)</f>
        <v>2851.8092228999999</v>
      </c>
      <c r="J28" s="91" ph="1">
        <f>J27*18.322*LOOKUP(J29,密度!$A$2:$A$50,密度!$Q$2:$Q$50)</f>
        <v>4998.1640979399999</v>
      </c>
      <c r="K28" s="91" ph="1">
        <f>K27*18.322*LOOKUP(K29,密度!$A$2:$A$50,密度!$Q$2:$Q$50)</f>
        <v>3562.70520476</v>
      </c>
      <c r="L28" s="91" ph="1">
        <f>L27*18.322*LOOKUP(L29,密度!$A$2:$A$50,密度!$Q$2:$Q$50)</f>
        <v>5133.2566012200004</v>
      </c>
      <c r="M28" s="91" ph="1">
        <f>M27*18.322*LOOKUP(M29,密度!$A$2:$A$50,密度!$Q$2:$Q$50)</f>
        <v>3871.5470662399998</v>
      </c>
      <c r="N28" s="91" ph="1">
        <f>N27*18.322*LOOKUP(N29,密度!$A$2:$A$50,密度!$Q$2:$Q$50)</f>
        <v>4859.8066142600001</v>
      </c>
      <c r="O28" s="91" ph="1">
        <f>O27*18.322*LOOKUP(O29,密度!$A$2:$A$50,密度!$C$2:$C$50)</f>
        <v>6346.1141876000002</v>
      </c>
      <c r="P28" s="91" ph="1">
        <f>P27*11.702*LOOKUP(P29,密度!$A$2:$A$50,密度!$B$2:$B$50)</f>
        <v>3280.4544255999999</v>
      </c>
      <c r="Q28" s="92" ph="1">
        <f>Q27*18.322*LOOKUP(Q29,密度!$A$2:$A$50,密度!$B$2:$B$50)</f>
        <v>46538.118186</v>
      </c>
      <c r="R28" s="91" ph="1">
        <f>R27*35.891*LOOKUP(R29,密度!$A$2:$A$50,密度!$C$2:$C$50)</f>
        <v>155531.69602959999</v>
      </c>
      <c r="S28" s="91" ph="1">
        <f>S27*35.891*LOOKUP(S29,密度!$A$2:$A$50,密度!$B$2:$B$50)</f>
        <v>63304.814982499993</v>
      </c>
      <c r="T28" s="91" ph="1">
        <f>T27*35.891*LOOKUP(T29,密度!$A$2:$A$50,密度!$Q$2:$Q$50)</f>
        <v>1286.56816714</v>
      </c>
      <c r="U28" s="91" ph="1">
        <f>U27*35.891</f>
        <v>209423.98499999999</v>
      </c>
      <c r="V28" s="91" ph="1">
        <f>V27*47.051*LOOKUP(V29,密度!$A$2:$A$50,密度!$B$2:$B$50)</f>
        <v>26744.2400896</v>
      </c>
      <c r="W28" s="91" ph="1">
        <f>W27*47.051*LOOKUP(W29,密度!$A$2:$A$50,密度!$B$2:$B$50)</f>
        <v>15631.1702976</v>
      </c>
      <c r="X28" s="91" ph="1">
        <f>X27*47.051*LOOKUP(X29,密度!$A$2:$A$61,密度!$I$2:$I$61)</f>
        <v>139254.84973760002</v>
      </c>
      <c r="Y28" s="91" ph="1">
        <f>Y27*47.051*LOOKUP(Y29,密度!$A$2:$A$50,密度!$L$2:$L$50)</f>
        <v>54930.819174000011</v>
      </c>
      <c r="Z28" s="231"/>
      <c r="AA28" s="232"/>
      <c r="AB28" s="232"/>
      <c r="AC28" s="232"/>
      <c r="AD28" s="232"/>
      <c r="AE28" s="233"/>
      <c r="AH28" s="64" ph="1">
        <v>14</v>
      </c>
      <c r="AI28" s="64" t="s" ph="1">
        <v>351</v>
      </c>
      <c r="AZ28" s="64" t="s" ph="1">
        <v>216</v>
      </c>
      <c r="BA28" s="64" ph="1">
        <v>0</v>
      </c>
    </row>
    <row r="29" spans="1:57" ph="1">
      <c r="A29" s="72" ph="1"/>
      <c r="B29" s="237" ph="1"/>
      <c r="C29" s="155" t="s" ph="1">
        <v>179</v>
      </c>
      <c r="D29" s="74">
        <v>25</v>
      </c>
      <c r="E29" s="74">
        <v>25</v>
      </c>
      <c r="F29" s="74">
        <v>30</v>
      </c>
      <c r="G29" s="74">
        <v>29</v>
      </c>
      <c r="H29" s="74">
        <v>29</v>
      </c>
      <c r="I29" s="74">
        <v>30</v>
      </c>
      <c r="J29" s="74">
        <v>29</v>
      </c>
      <c r="K29" s="74">
        <v>29</v>
      </c>
      <c r="L29" s="74">
        <v>30</v>
      </c>
      <c r="M29" s="74">
        <v>30</v>
      </c>
      <c r="N29" s="74">
        <v>29</v>
      </c>
      <c r="O29" s="74">
        <v>28</v>
      </c>
      <c r="P29" s="74">
        <v>31</v>
      </c>
      <c r="Q29" s="93">
        <v>28</v>
      </c>
      <c r="R29" s="74">
        <v>28</v>
      </c>
      <c r="S29" s="74">
        <v>30</v>
      </c>
      <c r="T29" s="74">
        <v>30</v>
      </c>
      <c r="U29" s="74">
        <v>30</v>
      </c>
      <c r="V29" s="74">
        <v>31</v>
      </c>
      <c r="W29" s="74">
        <v>31</v>
      </c>
      <c r="X29" s="74">
        <v>33</v>
      </c>
      <c r="Y29" s="74">
        <v>31</v>
      </c>
      <c r="Z29" s="234"/>
      <c r="AA29" s="235"/>
      <c r="AB29" s="235"/>
      <c r="AC29" s="235"/>
      <c r="AD29" s="235"/>
      <c r="AE29" s="236"/>
      <c r="AH29" s="64" ph="1">
        <v>15</v>
      </c>
      <c r="AI29" s="64" t="s" ph="1">
        <v>352</v>
      </c>
      <c r="AZ29" s="64" t="s" ph="1">
        <v>216</v>
      </c>
      <c r="BA29" s="64" ph="1">
        <v>0</v>
      </c>
      <c r="BD29" s="64" t="s" ph="1">
        <v>353</v>
      </c>
      <c r="BE29" s="64" ph="1">
        <v>890</v>
      </c>
    </row>
    <row r="30" spans="1:57" ph="1">
      <c r="D30" s="94" ph="1"/>
      <c r="Z30" s="64" t="s" ph="1">
        <v>35</v>
      </c>
      <c r="AE30" s="95" ph="1"/>
      <c r="AH30" s="64" ph="1">
        <v>16</v>
      </c>
      <c r="AI30" s="64" t="s" ph="1">
        <v>354</v>
      </c>
      <c r="AZ30" s="64" t="s" ph="1">
        <v>216</v>
      </c>
      <c r="BA30" s="64" ph="1">
        <v>0</v>
      </c>
    </row>
    <row r="31" spans="1:57" ht="28.2" ph="1">
      <c r="A31" s="64"/>
      <c r="B31" s="220" t="s" ph="1">
        <v>35</v>
      </c>
      <c r="C31" s="221" ph="1"/>
      <c r="D31" s="224" t="s" ph="1">
        <v>9</v>
      </c>
      <c r="E31" s="199" ph="1"/>
      <c r="F31" s="200" ph="1"/>
      <c r="G31" s="224" t="s" ph="1">
        <v>18</v>
      </c>
      <c r="H31" s="199" ph="1"/>
      <c r="I31" s="200" ph="1"/>
      <c r="J31" s="198" t="s" ph="1">
        <v>1</v>
      </c>
      <c r="K31" s="199" ph="1"/>
      <c r="L31" s="200" ph="1"/>
      <c r="M31" s="198" t="s" ph="1">
        <v>7</v>
      </c>
      <c r="N31" s="199" ph="1"/>
      <c r="O31" s="200" ph="1"/>
      <c r="P31" s="198" t="s" ph="1">
        <v>41</v>
      </c>
      <c r="Q31" s="199"/>
      <c r="R31" s="200"/>
      <c r="S31" s="198" t="s" ph="1">
        <v>2</v>
      </c>
      <c r="T31" s="199"/>
      <c r="U31" s="200"/>
      <c r="V31" s="198" t="s" ph="1">
        <v>71</v>
      </c>
      <c r="W31" s="199" ph="1"/>
      <c r="X31" s="200" ph="1"/>
      <c r="Y31" s="198" t="s" ph="1">
        <v>3</v>
      </c>
      <c r="Z31" s="199" ph="1"/>
      <c r="AA31" s="200" ph="1"/>
      <c r="AB31" s="201" t="s">
        <v>42</v>
      </c>
      <c r="AC31" s="202"/>
      <c r="AD31" s="202"/>
      <c r="AE31" s="203"/>
      <c r="AH31" s="64" ph="1">
        <v>17</v>
      </c>
      <c r="AI31" s="64" t="s" ph="1">
        <v>355</v>
      </c>
      <c r="AZ31" s="64" t="s" ph="1">
        <v>216</v>
      </c>
      <c r="BA31" s="64" ph="1">
        <v>0</v>
      </c>
      <c r="BD31" s="64" t="s" ph="1">
        <v>356</v>
      </c>
      <c r="BE31" s="64" ph="1">
        <v>9310</v>
      </c>
    </row>
    <row r="32" spans="1:57" ph="1">
      <c r="A32" s="64"/>
      <c r="B32" s="222" ph="1"/>
      <c r="C32" s="223" ph="1"/>
      <c r="D32" s="96" t="s" ph="1">
        <v>4</v>
      </c>
      <c r="E32" s="155" t="s" ph="1">
        <v>5</v>
      </c>
      <c r="F32" s="154" t="s" ph="1">
        <v>43</v>
      </c>
      <c r="G32" s="97" t="s" ph="1">
        <v>4</v>
      </c>
      <c r="H32" s="155" t="s" ph="1">
        <v>5</v>
      </c>
      <c r="I32" s="154" t="s" ph="1">
        <v>43</v>
      </c>
      <c r="J32" s="97" t="s" ph="1">
        <v>4</v>
      </c>
      <c r="K32" s="155" t="s" ph="1">
        <v>5</v>
      </c>
      <c r="L32" s="154" t="s" ph="1">
        <v>43</v>
      </c>
      <c r="M32" s="97" t="s" ph="1">
        <v>4</v>
      </c>
      <c r="N32" s="155" t="s" ph="1">
        <v>5</v>
      </c>
      <c r="O32" s="154" t="s" ph="1">
        <v>43</v>
      </c>
      <c r="P32" s="97" t="s" ph="1">
        <v>4</v>
      </c>
      <c r="Q32" s="98" t="s" ph="1">
        <v>5</v>
      </c>
      <c r="R32" s="99" t="s" ph="1">
        <v>43</v>
      </c>
      <c r="S32" s="97" t="s" ph="1">
        <v>4</v>
      </c>
      <c r="T32" s="155" t="s" ph="1">
        <v>5</v>
      </c>
      <c r="U32" s="99" t="s" ph="1">
        <v>43</v>
      </c>
      <c r="V32" s="97" t="s" ph="1">
        <v>4</v>
      </c>
      <c r="W32" s="155" t="s" ph="1">
        <v>5</v>
      </c>
      <c r="X32" s="99" t="s" ph="1">
        <v>43</v>
      </c>
      <c r="Y32" s="100" t="s" ph="1">
        <v>4</v>
      </c>
      <c r="Z32" s="155" t="s" ph="1">
        <v>5</v>
      </c>
      <c r="AA32" s="154" t="s" ph="1">
        <v>43</v>
      </c>
      <c r="AB32" s="97" t="s" ph="1">
        <v>85</v>
      </c>
      <c r="AC32" s="155" t="s" ph="1">
        <v>84</v>
      </c>
      <c r="AD32" s="204" t="s" ph="1">
        <v>83</v>
      </c>
      <c r="AE32" s="205"/>
      <c r="AH32" s="64" ph="1">
        <v>18</v>
      </c>
      <c r="AI32" s="64" t="s" ph="1">
        <v>357</v>
      </c>
      <c r="AZ32" s="64" t="s" ph="1">
        <v>216</v>
      </c>
      <c r="BA32" s="64" ph="1">
        <v>0</v>
      </c>
    </row>
    <row r="33" spans="1:57" ph="1">
      <c r="A33" s="64"/>
      <c r="B33" s="206" t="s" ph="1">
        <v>181</v>
      </c>
      <c r="C33" s="207" ph="1"/>
      <c r="D33" s="186" ph="1">
        <f>AA10+AB10+Z19</f>
        <v>65936.02189589999</v>
      </c>
      <c r="E33" s="186" ph="1">
        <f>M10+I10</f>
        <v>110921.68326419998</v>
      </c>
      <c r="F33" s="210" ph="1">
        <f>表格_取樣回收每月庫存表_0620更新1522252632456786910111213141516171819202123456789101112131415161718192022232424356789101112131415161718192021222345678910111213141516171819202345678910111213149101516171819222123234567891012131415161711181920212224252345678910111213112[[#This Row],[F25]]</f>
        <v>3880</v>
      </c>
      <c r="G33" s="212" ph="1">
        <f>N19</f>
        <v>9295.076481600001</v>
      </c>
      <c r="H33" s="186" ph="1">
        <f>M19</f>
        <v>40627.740840148006</v>
      </c>
      <c r="I33" s="190" ph="1">
        <v>0</v>
      </c>
      <c r="J33" s="194" ph="1">
        <f>F10+O28</f>
        <v>123495.0853772</v>
      </c>
      <c r="K33" s="186" ph="1">
        <f>O10+K10+E28+R28</f>
        <v>171553.63867483998</v>
      </c>
      <c r="L33" s="196" ph="1">
        <f>K19</f>
        <v>6729.0164486599997</v>
      </c>
      <c r="M33" s="194" ph="1">
        <f>G10+H10+W28+S28+V28+E10+R19+P28+Q28</f>
        <v>609654.52639530005</v>
      </c>
      <c r="N33" s="186" ph="1">
        <f>L10+P10++G28+H28+AD19+AE19</f>
        <v>286027.70363639994</v>
      </c>
      <c r="O33" s="190" ph="1">
        <f>G19</f>
        <v>26773.120880520004</v>
      </c>
      <c r="P33" s="194" ph="1">
        <f>L19</f>
        <v>37772.957162879997</v>
      </c>
      <c r="Q33" s="186" ph="1">
        <f>J10+N10</f>
        <v>49390.922727999998</v>
      </c>
      <c r="R33" s="190" ph="1">
        <f>BE23</f>
        <v>890</v>
      </c>
      <c r="S33" s="194" ph="1">
        <f>X28</f>
        <v>139254.84973760002</v>
      </c>
      <c r="T33" s="186" ph="1">
        <f>X19</f>
        <v>13834.497763519998</v>
      </c>
      <c r="U33" s="175" ph="1">
        <f>BE21</f>
        <v>730</v>
      </c>
      <c r="V33" s="188" ph="1">
        <f ca="1">P19+Q19+S19+M28+N28+J28+D10+AC10+D19+E19+H19+J19+O19+V19+W19+K28+L28</f>
        <v>657635.25518768397</v>
      </c>
      <c r="W33" s="188" ph="1">
        <f>D28+F28+T28+I28</f>
        <v>6450.2187664720004</v>
      </c>
      <c r="X33" s="190" ph="1">
        <f>BE29+BE31</f>
        <v>10200</v>
      </c>
      <c r="Y33" s="192" ph="1">
        <f>+Q10+R10+S10+T10+U10+V10+W10+X10+Y10</f>
        <v>246143.32641359998</v>
      </c>
      <c r="Z33" s="173" ph="1">
        <f>T19+U19+Y28+Z10</f>
        <v>197848.91452640004</v>
      </c>
      <c r="AA33" s="175" ph="1">
        <f>BE19</f>
        <v>1440</v>
      </c>
      <c r="AB33" s="177" ph="1">
        <f>I19</f>
        <v>46761.776784000001</v>
      </c>
      <c r="AC33" s="179" ph="1">
        <f>AD10+AB19</f>
        <v>100300.76364</v>
      </c>
      <c r="AD33" s="181" ph="1">
        <v>0</v>
      </c>
      <c r="AE33" s="182"/>
      <c r="AH33" s="64" ph="1">
        <v>19</v>
      </c>
      <c r="AI33" s="64" t="s" ph="1">
        <v>358</v>
      </c>
      <c r="AJ33" s="64" t="s" ph="1">
        <v>592</v>
      </c>
      <c r="AK33" s="64" t="s" ph="1">
        <v>589</v>
      </c>
      <c r="AL33" s="64" ph="1">
        <v>730</v>
      </c>
      <c r="AM33" s="64" t="s" ph="1">
        <v>339</v>
      </c>
      <c r="AZ33" s="64" t="s" ph="1">
        <v>216</v>
      </c>
      <c r="BA33" s="64" ph="1">
        <v>730</v>
      </c>
      <c r="BD33" s="64" t="s" ph="1">
        <v>290</v>
      </c>
      <c r="BE33" s="64" ph="1">
        <v>3880</v>
      </c>
    </row>
    <row r="34" spans="1:57" ph="1">
      <c r="A34" s="64"/>
      <c r="B34" s="208" ph="1"/>
      <c r="C34" s="209" ph="1"/>
      <c r="D34" s="187" ph="1"/>
      <c r="E34" s="187" ph="1"/>
      <c r="F34" s="211" ph="1"/>
      <c r="G34" s="213" ph="1"/>
      <c r="H34" s="187" ph="1"/>
      <c r="I34" s="191" ph="1"/>
      <c r="J34" s="195" ph="1"/>
      <c r="K34" s="187" ph="1"/>
      <c r="L34" s="197" ph="1"/>
      <c r="M34" s="195" ph="1"/>
      <c r="N34" s="187" ph="1"/>
      <c r="O34" s="191" ph="1"/>
      <c r="P34" s="195" ph="1"/>
      <c r="Q34" s="187" ph="1"/>
      <c r="R34" s="191" ph="1"/>
      <c r="S34" s="195" ph="1"/>
      <c r="T34" s="187"/>
      <c r="U34" s="176"/>
      <c r="V34" s="189" ph="1"/>
      <c r="W34" s="189" ph="1"/>
      <c r="X34" s="191" ph="1"/>
      <c r="Y34" s="193" ph="1"/>
      <c r="Z34" s="174" ph="1"/>
      <c r="AA34" s="176" ph="1"/>
      <c r="AB34" s="178"/>
      <c r="AC34" s="180"/>
      <c r="AD34" s="183"/>
      <c r="AE34" s="184"/>
      <c r="AH34" s="64" ph="1">
        <v>20</v>
      </c>
      <c r="AI34" s="64" t="s" ph="1">
        <v>359</v>
      </c>
      <c r="AJ34" s="64" t="s" ph="1">
        <v>593</v>
      </c>
      <c r="AK34" s="64" t="s" ph="1">
        <v>589</v>
      </c>
      <c r="AL34" s="64" ph="1">
        <v>720</v>
      </c>
      <c r="AM34" s="64" t="s" ph="1">
        <v>339</v>
      </c>
      <c r="AZ34" s="64" t="s" ph="1">
        <v>216</v>
      </c>
      <c r="BA34" s="64" ph="1">
        <v>720</v>
      </c>
    </row>
    <row r="35" spans="1:57" ph="1">
      <c r="A35" s="64"/>
      <c r="AC35" s="185" t="s" ph="1">
        <v>631</v>
      </c>
      <c r="AD35" s="185"/>
      <c r="AE35" s="185"/>
      <c r="AH35" s="64" ph="1">
        <v>21</v>
      </c>
      <c r="AI35" s="64" t="s" ph="1">
        <v>360</v>
      </c>
      <c r="AZ35" s="64" t="s" ph="1">
        <v>216</v>
      </c>
      <c r="BA35" s="64" ph="1">
        <v>0</v>
      </c>
      <c r="BD35" s="64" t="s" ph="1">
        <v>361</v>
      </c>
      <c r="BE35" s="64" ph="1">
        <v>2030</v>
      </c>
    </row>
    <row r="36" spans="1:57" ht="28.2" ph="1">
      <c r="A36" s="64"/>
      <c r="B36" s="103" t="s" ph="1">
        <v>182</v>
      </c>
      <c r="I36" s="171" t="s" ph="1">
        <v>183</v>
      </c>
      <c r="J36" s="171" ph="1"/>
      <c r="K36" s="101" ph="1"/>
      <c r="P36" s="101" ph="1"/>
      <c r="R36" s="171" t="s" ph="1">
        <v>184</v>
      </c>
      <c r="S36" s="171" ph="1"/>
      <c r="Y36" s="102" ph="1"/>
      <c r="Z36" s="153" t="s" ph="1">
        <v>185</v>
      </c>
      <c r="AA36" s="153" ph="1"/>
      <c r="AB36" s="172" t="s" ph="1">
        <v>640</v>
      </c>
      <c r="AC36" s="172" ph="1"/>
      <c r="AD36" s="172" ph="1"/>
      <c r="AE36" s="172" ph="1"/>
      <c r="BA36" s="64" ph="1">
        <v>2270</v>
      </c>
    </row>
    <row r="37" spans="1:57" s="153" customFormat="1" ph="1">
      <c r="A37" s="64" ph="1"/>
      <c r="B37" s="64" ph="1"/>
      <c r="C37" s="64" ph="1"/>
      <c r="D37" s="64" ph="1"/>
      <c r="E37" s="64" ph="1"/>
      <c r="F37" s="64" ph="1"/>
      <c r="G37" s="64" ph="1"/>
      <c r="H37" s="64" ph="1"/>
      <c r="I37" s="64" ph="1"/>
      <c r="J37" s="64" ph="1"/>
      <c r="K37" s="64" ph="1"/>
      <c r="L37" s="64" ph="1"/>
      <c r="M37" s="64" ph="1"/>
      <c r="N37" s="64" ph="1"/>
      <c r="O37" s="64" ph="1"/>
      <c r="P37" s="64" ph="1"/>
      <c r="Q37" s="64" ph="1"/>
      <c r="R37" s="64" ph="1"/>
      <c r="S37" s="64" ph="1"/>
      <c r="T37" s="64" ph="1"/>
      <c r="U37" s="64" ph="1"/>
      <c r="V37" s="64" ph="1"/>
      <c r="W37" s="64" ph="1"/>
      <c r="X37" s="64" ph="1"/>
      <c r="Y37" s="64" ph="1"/>
      <c r="Z37" s="64" ph="1"/>
      <c r="AA37" s="64" ph="1"/>
      <c r="AB37" s="64" ph="1"/>
      <c r="AC37" s="64" ph="1"/>
      <c r="AD37" s="64" ph="1"/>
      <c r="AE37" s="64" ph="1"/>
      <c r="AG37" s="153" t="s" ph="1">
        <v>342</v>
      </c>
      <c r="AI37" s="153" t="s" ph="1">
        <v>209</v>
      </c>
      <c r="AJ37" s="153" t="s" ph="1">
        <v>210</v>
      </c>
      <c r="AK37" s="153" t="s" ph="1">
        <v>211</v>
      </c>
      <c r="AM37" s="153" t="s" ph="1">
        <v>210</v>
      </c>
      <c r="AN37" s="153" t="s" ph="1">
        <v>211</v>
      </c>
      <c r="AO37" s="153" t="s" ph="1">
        <v>212</v>
      </c>
      <c r="AP37" s="153" t="s" ph="1">
        <v>210</v>
      </c>
      <c r="AQ37" s="153" t="s" ph="1">
        <v>211</v>
      </c>
      <c r="AR37" s="153" t="s" ph="1">
        <v>212</v>
      </c>
      <c r="AS37" s="153" t="s" ph="1">
        <v>210</v>
      </c>
      <c r="AT37" s="153" t="s" ph="1">
        <v>211</v>
      </c>
      <c r="AU37" s="153" t="s" ph="1">
        <v>212</v>
      </c>
      <c r="AV37" s="153" t="s" ph="1">
        <v>210</v>
      </c>
      <c r="AW37" s="153" t="s" ph="1">
        <v>211</v>
      </c>
      <c r="AX37" s="153" t="s" ph="1">
        <v>212</v>
      </c>
      <c r="AY37" s="153" t="s" ph="1">
        <v>211</v>
      </c>
      <c r="AZ37" s="153" t="s" ph="1">
        <v>213</v>
      </c>
      <c r="BD37" s="153" t="s" ph="1">
        <v>305</v>
      </c>
      <c r="BE37" s="153" ph="1">
        <v>0</v>
      </c>
    </row>
    <row r="38" spans="1:57" ph="1">
      <c r="AE38" s="64" ph="1"/>
      <c r="AH38" s="64" ph="1">
        <v>1</v>
      </c>
      <c r="AI38" s="64" t="s" ph="1">
        <v>362</v>
      </c>
      <c r="AY38" s="64" t="s" ph="1">
        <v>216</v>
      </c>
      <c r="AZ38" s="64" t="s" ph="1">
        <v>367</v>
      </c>
    </row>
    <row r="39" spans="1:57" ph="1">
      <c r="AH39" s="64" ph="1">
        <v>2</v>
      </c>
      <c r="AI39" s="64" t="s" ph="1">
        <v>364</v>
      </c>
      <c r="AJ39" s="64" t="s" ph="1">
        <v>336</v>
      </c>
      <c r="AK39" s="64" t="s" ph="1">
        <v>365</v>
      </c>
      <c r="AM39" s="64" t="s" ph="1">
        <v>570</v>
      </c>
      <c r="AN39" s="64" t="s" ph="1">
        <v>228</v>
      </c>
      <c r="AO39" s="64" t="s" ph="1">
        <v>363</v>
      </c>
      <c r="AY39" s="64" t="s" ph="1">
        <v>216</v>
      </c>
      <c r="AZ39" s="64" t="s" ph="1">
        <v>499</v>
      </c>
    </row>
    <row r="40" spans="1:57" ph="1">
      <c r="AH40" s="64" ph="1">
        <v>3</v>
      </c>
      <c r="AI40" s="64" t="s" ph="1">
        <v>366</v>
      </c>
      <c r="AJ40" s="64" t="s" ph="1">
        <v>570</v>
      </c>
      <c r="AK40" s="64" t="s" ph="1">
        <v>571</v>
      </c>
      <c r="AY40" s="64" t="s" ph="1">
        <v>216</v>
      </c>
      <c r="AZ40" s="64" t="s" ph="1">
        <v>571</v>
      </c>
    </row>
    <row r="41" spans="1:57" ph="1">
      <c r="AH41" s="64" ph="1">
        <v>4</v>
      </c>
      <c r="AI41" s="64" t="s" ph="1">
        <v>368</v>
      </c>
      <c r="AJ41" s="64" t="s" ph="1">
        <v>572</v>
      </c>
      <c r="AK41" s="64" t="s" ph="1">
        <v>573</v>
      </c>
      <c r="AM41" s="64" t="s" ph="1">
        <v>574</v>
      </c>
      <c r="AY41" s="64" t="s" ph="1">
        <v>216</v>
      </c>
      <c r="AZ41" s="64" t="s" ph="1">
        <v>573</v>
      </c>
    </row>
    <row r="42" spans="1:57" ph="1">
      <c r="P42" s="64"/>
      <c r="Q42" s="64"/>
      <c r="R42" s="64"/>
      <c r="S42" s="64"/>
      <c r="T42" s="64"/>
      <c r="U42" s="64"/>
      <c r="V42" s="64"/>
      <c r="W42" s="64"/>
      <c r="X42" s="64"/>
      <c r="Y42" s="64"/>
      <c r="Z42" s="64"/>
      <c r="AA42" s="64"/>
      <c r="AB42" s="64"/>
      <c r="AC42" s="64"/>
      <c r="AD42" s="64"/>
      <c r="AE42" s="75"/>
      <c r="AH42" s="64" ph="1">
        <v>5</v>
      </c>
      <c r="AI42" s="64" t="s" ph="1">
        <v>369</v>
      </c>
      <c r="AY42" s="64" t="s" ph="1">
        <v>216</v>
      </c>
      <c r="AZ42" s="64" t="s" ph="1">
        <v>367</v>
      </c>
    </row>
    <row r="43" spans="1:57" ph="1">
      <c r="C43" s="64"/>
      <c r="D43" s="64"/>
      <c r="E43" s="64"/>
      <c r="F43" s="64"/>
      <c r="G43" s="64"/>
      <c r="H43" s="64"/>
      <c r="I43" s="64"/>
      <c r="J43" s="64"/>
      <c r="K43" s="64"/>
      <c r="L43" s="64"/>
      <c r="M43" s="64"/>
      <c r="N43" s="64"/>
      <c r="O43" s="64"/>
      <c r="P43" s="64"/>
      <c r="R43" s="64"/>
      <c r="S43" s="64"/>
      <c r="T43" s="64"/>
      <c r="U43" s="64"/>
      <c r="V43" s="64"/>
      <c r="W43" s="64"/>
      <c r="X43" s="64"/>
      <c r="Y43" s="64"/>
      <c r="Z43" s="64"/>
      <c r="AA43" s="64"/>
      <c r="AB43" s="64"/>
      <c r="AC43" s="64"/>
      <c r="AD43" s="64"/>
      <c r="AE43" s="75"/>
      <c r="AH43" s="64" ph="1">
        <v>6</v>
      </c>
      <c r="AI43" s="64" t="s" ph="1">
        <v>370</v>
      </c>
      <c r="AY43" s="64" t="s" ph="1">
        <v>216</v>
      </c>
      <c r="AZ43" s="64" t="s" ph="1">
        <v>367</v>
      </c>
    </row>
    <row r="44" spans="1:57" ph="1">
      <c r="R44" s="64"/>
      <c r="S44" s="64"/>
      <c r="T44" s="64"/>
      <c r="U44" s="64"/>
      <c r="V44" s="64"/>
      <c r="W44" s="64"/>
      <c r="X44" s="64"/>
      <c r="Y44" s="64"/>
      <c r="Z44" s="64"/>
      <c r="AA44" s="64"/>
      <c r="AB44" s="64"/>
      <c r="AC44" s="64"/>
      <c r="AD44" s="64"/>
      <c r="AE44" s="75"/>
      <c r="AH44" s="64" ph="1">
        <v>7</v>
      </c>
      <c r="AI44" s="64" t="s" ph="1">
        <v>371</v>
      </c>
      <c r="AV44" s="64" t="s" ph="1">
        <v>217</v>
      </c>
      <c r="AY44" s="64" t="s" ph="1">
        <v>216</v>
      </c>
      <c r="AZ44" s="64" t="s" ph="1">
        <v>367</v>
      </c>
    </row>
    <row r="45" spans="1:57" ph="1">
      <c r="R45" s="64"/>
      <c r="S45" s="64"/>
      <c r="T45" s="64"/>
      <c r="U45" s="64"/>
      <c r="V45" s="64"/>
      <c r="W45" s="64"/>
      <c r="X45" s="64"/>
      <c r="Y45" s="64"/>
      <c r="Z45" s="64"/>
      <c r="AA45" s="64"/>
      <c r="AB45" s="64"/>
      <c r="AC45" s="64"/>
      <c r="AD45" s="64"/>
      <c r="AE45" s="75"/>
      <c r="AH45" s="64" ph="1">
        <v>8</v>
      </c>
      <c r="AI45" s="64" t="s" ph="1">
        <v>372</v>
      </c>
      <c r="AV45" s="64" t="s" ph="1">
        <v>217</v>
      </c>
      <c r="AY45" s="64" t="s" ph="1">
        <v>216</v>
      </c>
      <c r="AZ45" s="64" t="s" ph="1">
        <v>367</v>
      </c>
    </row>
    <row r="46" spans="1:57" ph="1">
      <c r="R46" s="64"/>
      <c r="S46" s="64"/>
      <c r="T46" s="64"/>
      <c r="U46" s="64"/>
      <c r="V46" s="64"/>
      <c r="W46" s="64"/>
      <c r="X46" s="64"/>
      <c r="Y46" s="64"/>
      <c r="Z46" s="64"/>
      <c r="AA46" s="64"/>
      <c r="AB46" s="64"/>
      <c r="AC46" s="64"/>
      <c r="AD46" s="64"/>
      <c r="AE46" s="75"/>
      <c r="AH46" s="64" ph="1">
        <v>9</v>
      </c>
      <c r="AI46" s="64" t="s" ph="1">
        <v>373</v>
      </c>
      <c r="AV46" s="64" t="s" ph="1">
        <v>217</v>
      </c>
      <c r="AY46" s="64" t="s" ph="1">
        <v>216</v>
      </c>
      <c r="AZ46" s="64" t="s" ph="1">
        <v>367</v>
      </c>
    </row>
    <row r="47" spans="1:57" ph="1">
      <c r="R47" s="64"/>
      <c r="S47" s="64"/>
      <c r="T47" s="64"/>
      <c r="U47" s="64"/>
      <c r="V47" s="64"/>
      <c r="W47" s="64"/>
      <c r="X47" s="64"/>
      <c r="Y47" s="64"/>
      <c r="Z47" s="64"/>
      <c r="AA47" s="64"/>
      <c r="AB47" s="64"/>
      <c r="AC47" s="64"/>
      <c r="AD47" s="64"/>
      <c r="AE47" s="75"/>
      <c r="AH47" s="64" ph="1">
        <v>10</v>
      </c>
      <c r="AI47" s="64" t="s" ph="1">
        <v>374</v>
      </c>
      <c r="AV47" s="64" t="s" ph="1">
        <v>217</v>
      </c>
      <c r="AY47" s="64" t="s" ph="1">
        <v>216</v>
      </c>
      <c r="AZ47" s="64" t="s" ph="1">
        <v>367</v>
      </c>
    </row>
    <row r="48" spans="1:57" ph="1">
      <c r="R48" s="64"/>
      <c r="S48" s="64"/>
      <c r="T48" s="64"/>
      <c r="U48" s="64"/>
      <c r="V48" s="64"/>
      <c r="W48" s="64"/>
      <c r="X48" s="64"/>
      <c r="Y48" s="64"/>
      <c r="Z48" s="64"/>
      <c r="AA48" s="64"/>
      <c r="AB48" s="64"/>
      <c r="AC48" s="64"/>
      <c r="AD48" s="64"/>
      <c r="AE48" s="75"/>
      <c r="AZ48" s="64" t="s" ph="1">
        <v>575</v>
      </c>
    </row>
    <row r="49" spans="16:52" ph="1">
      <c r="R49" s="64"/>
      <c r="S49" s="64"/>
      <c r="T49" s="64"/>
      <c r="U49" s="64"/>
      <c r="V49" s="64"/>
      <c r="W49" s="64"/>
      <c r="X49" s="64"/>
      <c r="Y49" s="64"/>
      <c r="Z49" s="64"/>
      <c r="AA49" s="64"/>
      <c r="AB49" s="64"/>
      <c r="AC49" s="64"/>
      <c r="AD49" s="64"/>
      <c r="AE49" s="75"/>
      <c r="AG49" s="64" t="s" ph="1">
        <v>232</v>
      </c>
      <c r="AI49" s="64" t="s" ph="1">
        <v>209</v>
      </c>
      <c r="AJ49" s="64" t="s" ph="1">
        <v>210</v>
      </c>
      <c r="AK49" s="64" t="s" ph="1">
        <v>211</v>
      </c>
      <c r="AM49" s="64" t="s" ph="1">
        <v>210</v>
      </c>
      <c r="AN49" s="64" t="s" ph="1">
        <v>211</v>
      </c>
      <c r="AO49" s="64" t="s" ph="1">
        <v>212</v>
      </c>
      <c r="AP49" s="64" t="s" ph="1">
        <v>210</v>
      </c>
      <c r="AQ49" s="64" t="s" ph="1">
        <v>211</v>
      </c>
      <c r="AR49" s="64" t="s" ph="1">
        <v>212</v>
      </c>
      <c r="AS49" s="64" t="s" ph="1">
        <v>210</v>
      </c>
      <c r="AT49" s="64" t="s" ph="1">
        <v>211</v>
      </c>
      <c r="AU49" s="64" t="s" ph="1">
        <v>212</v>
      </c>
      <c r="AV49" s="64" t="s" ph="1">
        <v>210</v>
      </c>
      <c r="AW49" s="64" t="s" ph="1">
        <v>211</v>
      </c>
      <c r="AX49" s="64" t="s" ph="1">
        <v>212</v>
      </c>
      <c r="AY49" s="64" t="s" ph="1">
        <v>211</v>
      </c>
      <c r="AZ49" s="64" t="s" ph="1">
        <v>213</v>
      </c>
    </row>
    <row r="50" spans="16:52" ph="1">
      <c r="R50" s="64"/>
      <c r="S50" s="64"/>
      <c r="T50" s="64"/>
      <c r="U50" s="64"/>
      <c r="V50" s="64"/>
      <c r="W50" s="64"/>
      <c r="X50" s="64"/>
      <c r="Y50" s="64"/>
      <c r="Z50" s="64"/>
      <c r="AA50" s="64"/>
      <c r="AB50" s="64"/>
      <c r="AC50" s="64"/>
      <c r="AD50" s="64"/>
      <c r="AE50" s="75"/>
      <c r="AH50" s="64" ph="1">
        <v>1</v>
      </c>
      <c r="AI50" s="64" t="s" ph="1">
        <v>375</v>
      </c>
      <c r="AY50" s="64" t="s" ph="1">
        <v>216</v>
      </c>
      <c r="AZ50" s="64" t="s" ph="1">
        <v>367</v>
      </c>
    </row>
    <row r="51" spans="16:52" ph="1">
      <c r="R51" s="64"/>
      <c r="S51" s="64"/>
      <c r="T51" s="64"/>
      <c r="U51" s="64"/>
      <c r="V51" s="64"/>
      <c r="W51" s="64"/>
      <c r="X51" s="64"/>
      <c r="Y51" s="64"/>
      <c r="Z51" s="64"/>
      <c r="AA51" s="64"/>
      <c r="AB51" s="64"/>
      <c r="AC51" s="64"/>
      <c r="AD51" s="64"/>
      <c r="AE51" s="75"/>
      <c r="AH51" s="64" ph="1">
        <v>2</v>
      </c>
      <c r="AI51" s="64" t="s" ph="1">
        <v>376</v>
      </c>
      <c r="AY51" s="64" t="s" ph="1">
        <v>216</v>
      </c>
      <c r="AZ51" s="64" t="s" ph="1">
        <v>367</v>
      </c>
    </row>
    <row r="52" spans="16:52" ph="1">
      <c r="R52" s="64"/>
      <c r="S52" s="64"/>
      <c r="T52" s="64"/>
      <c r="U52" s="64"/>
      <c r="V52" s="64"/>
      <c r="W52" s="64"/>
      <c r="X52" s="64"/>
      <c r="Y52" s="64"/>
      <c r="Z52" s="64"/>
      <c r="AA52" s="64"/>
      <c r="AB52" s="64"/>
      <c r="AC52" s="64"/>
      <c r="AD52" s="64"/>
      <c r="AE52" s="75"/>
      <c r="AH52" s="64" ph="1">
        <v>3</v>
      </c>
      <c r="AI52" s="64" t="s" ph="1">
        <v>377</v>
      </c>
      <c r="AJ52" s="64" t="s" ph="1">
        <v>334</v>
      </c>
      <c r="AK52" s="64" t="s" ph="1">
        <v>228</v>
      </c>
      <c r="AM52" s="64" t="s" ph="1">
        <v>336</v>
      </c>
      <c r="AN52" s="64" t="s" ph="1">
        <v>300</v>
      </c>
      <c r="AO52" s="64" t="s" ph="1">
        <v>233</v>
      </c>
      <c r="AP52" s="64" t="s" ph="1">
        <v>570</v>
      </c>
      <c r="AQ52" s="64" t="s" ph="1">
        <v>282</v>
      </c>
      <c r="AR52" s="64" t="s" ph="1">
        <v>233</v>
      </c>
      <c r="AY52" s="64" t="s" ph="1">
        <v>216</v>
      </c>
      <c r="AZ52" s="64" t="s" ph="1">
        <v>576</v>
      </c>
    </row>
    <row r="53" spans="16:52" ph="1">
      <c r="R53" s="64"/>
      <c r="S53" s="64"/>
      <c r="T53" s="64"/>
      <c r="U53" s="64"/>
      <c r="W53" s="64"/>
      <c r="X53" s="64"/>
      <c r="Y53" s="64"/>
      <c r="Z53" s="64"/>
      <c r="AA53" s="64"/>
      <c r="AB53" s="64"/>
      <c r="AC53" s="64"/>
      <c r="AD53" s="64"/>
      <c r="AH53" s="64" ph="1">
        <v>4</v>
      </c>
      <c r="AI53" s="64" t="s" ph="1">
        <v>378</v>
      </c>
      <c r="AY53" s="64" t="s" ph="1">
        <v>216</v>
      </c>
      <c r="AZ53" s="64" t="s" ph="1">
        <v>367</v>
      </c>
    </row>
    <row r="54" spans="16:52" ph="1">
      <c r="R54" s="64"/>
      <c r="S54" s="64"/>
      <c r="T54" s="64"/>
      <c r="U54" s="64"/>
      <c r="W54" s="64"/>
      <c r="X54" s="64"/>
      <c r="Y54" s="64"/>
      <c r="Z54" s="64"/>
      <c r="AA54" s="64"/>
      <c r="AC54" s="64"/>
      <c r="AD54" s="64"/>
      <c r="AH54" s="64" ph="1">
        <v>5</v>
      </c>
      <c r="AI54" s="64" t="s" ph="1">
        <v>379</v>
      </c>
      <c r="AJ54" s="64" t="s" ph="1">
        <v>334</v>
      </c>
      <c r="AK54" s="64" t="s" ph="1">
        <v>219</v>
      </c>
      <c r="AM54" s="64" t="s" ph="1">
        <v>336</v>
      </c>
      <c r="AN54" s="64" t="s" ph="1">
        <v>224</v>
      </c>
      <c r="AO54" s="64" t="s" ph="1">
        <v>233</v>
      </c>
      <c r="AP54" s="64" t="s" ph="1">
        <v>570</v>
      </c>
      <c r="AQ54" s="64" t="s" ph="1">
        <v>240</v>
      </c>
      <c r="AR54" s="64" t="s" ph="1">
        <v>233</v>
      </c>
      <c r="AY54" s="64" t="s" ph="1">
        <v>216</v>
      </c>
      <c r="AZ54" s="64" t="s" ph="1">
        <v>234</v>
      </c>
    </row>
    <row r="55" spans="16:52" ph="1">
      <c r="R55" s="64"/>
      <c r="S55" s="64"/>
      <c r="T55" s="64"/>
      <c r="U55" s="64"/>
      <c r="V55" s="64"/>
      <c r="W55" s="64"/>
      <c r="X55" s="64"/>
      <c r="Z55" s="64"/>
      <c r="AC55" s="64"/>
      <c r="AD55" s="64"/>
      <c r="AE55" s="75"/>
      <c r="AH55" s="64" ph="1">
        <v>6</v>
      </c>
      <c r="AI55" s="64" t="s" ph="1">
        <v>380</v>
      </c>
      <c r="AY55" s="64" t="s" ph="1">
        <v>216</v>
      </c>
      <c r="AZ55" s="64" t="s" ph="1">
        <v>367</v>
      </c>
    </row>
    <row r="56" spans="16:52" ph="1">
      <c r="P56" s="64" ph="1">
        <v>20260804</v>
      </c>
      <c r="R56" s="64"/>
      <c r="S56" s="64"/>
      <c r="T56" s="64"/>
      <c r="U56" s="64"/>
      <c r="V56" s="64"/>
      <c r="W56" s="64"/>
      <c r="X56" s="64"/>
      <c r="Z56" s="64"/>
      <c r="AA56" s="64"/>
      <c r="AB56" s="64"/>
      <c r="AC56" s="64"/>
      <c r="AD56" s="64"/>
      <c r="AE56" s="75"/>
      <c r="AH56" s="64" ph="1">
        <v>7</v>
      </c>
      <c r="AI56" s="64" t="s" ph="1">
        <v>381</v>
      </c>
      <c r="AY56" s="64" t="s" ph="1">
        <v>216</v>
      </c>
      <c r="AZ56" s="64" t="s" ph="1">
        <v>367</v>
      </c>
    </row>
    <row r="57" spans="16:52" ph="1">
      <c r="R57" s="64"/>
      <c r="S57" s="64"/>
      <c r="T57" s="64"/>
      <c r="U57" s="64"/>
      <c r="V57" s="64"/>
      <c r="W57" s="64"/>
      <c r="AA57" s="64"/>
      <c r="AB57" s="64"/>
      <c r="AC57" s="64"/>
      <c r="AD57" s="64"/>
      <c r="AE57" s="75"/>
      <c r="AH57" s="64" ph="1">
        <v>8</v>
      </c>
      <c r="AI57" s="64" t="s" ph="1">
        <v>382</v>
      </c>
      <c r="AY57" s="64" t="s" ph="1">
        <v>216</v>
      </c>
      <c r="AZ57" s="64" t="s" ph="1">
        <v>367</v>
      </c>
    </row>
    <row r="58" spans="16:52" ph="1">
      <c r="P58" s="64"/>
      <c r="AN58" s="64" t="s" ph="1">
        <v>217</v>
      </c>
      <c r="AZ58" s="64" t="s" ph="1">
        <v>577</v>
      </c>
    </row>
    <row r="59" spans="16:52" ph="1">
      <c r="V59" s="64"/>
      <c r="AG59" s="64" t="s" ph="1">
        <v>235</v>
      </c>
      <c r="AI59" s="64" t="s" ph="1">
        <v>209</v>
      </c>
      <c r="AJ59" s="64" t="s" ph="1">
        <v>210</v>
      </c>
      <c r="AK59" s="64" t="s" ph="1">
        <v>211</v>
      </c>
      <c r="AM59" s="64" t="s" ph="1">
        <v>210</v>
      </c>
      <c r="AN59" s="64" t="s" ph="1">
        <v>211</v>
      </c>
      <c r="AO59" s="64" t="s" ph="1">
        <v>212</v>
      </c>
      <c r="AP59" s="64" t="s" ph="1">
        <v>210</v>
      </c>
      <c r="AQ59" s="64" t="s" ph="1">
        <v>211</v>
      </c>
      <c r="AR59" s="64" t="s" ph="1">
        <v>212</v>
      </c>
      <c r="AS59" s="64" t="s" ph="1">
        <v>210</v>
      </c>
      <c r="AT59" s="64" t="s" ph="1">
        <v>211</v>
      </c>
      <c r="AU59" s="64" t="s" ph="1">
        <v>212</v>
      </c>
      <c r="AV59" s="64" t="s" ph="1">
        <v>210</v>
      </c>
      <c r="AW59" s="64" t="s" ph="1">
        <v>211</v>
      </c>
      <c r="AX59" s="64" t="s" ph="1">
        <v>212</v>
      </c>
      <c r="AY59" s="64" t="s" ph="1">
        <v>211</v>
      </c>
      <c r="AZ59" s="64" t="s" ph="1">
        <v>213</v>
      </c>
    </row>
    <row r="60" spans="16:52" ph="1">
      <c r="R60" s="64"/>
      <c r="S60" s="64"/>
      <c r="T60" s="64"/>
      <c r="AH60" s="64" ph="1">
        <v>1</v>
      </c>
      <c r="AI60" s="64" t="s" ph="1">
        <v>383</v>
      </c>
      <c r="AY60" s="64" t="s" ph="1">
        <v>216</v>
      </c>
      <c r="AZ60" s="64" t="s" ph="1">
        <v>367</v>
      </c>
    </row>
    <row r="61" spans="16:52" ph="1">
      <c r="AH61" s="64" ph="1">
        <v>2</v>
      </c>
      <c r="AI61" s="64" t="s" ph="1">
        <v>384</v>
      </c>
      <c r="AS61" s="64" t="s" ph="1">
        <v>217</v>
      </c>
      <c r="AY61" s="64" t="s" ph="1">
        <v>216</v>
      </c>
      <c r="AZ61" s="64" t="s" ph="1">
        <v>367</v>
      </c>
    </row>
    <row r="62" spans="16:52" ph="1">
      <c r="AZ62" s="64" t="s" ph="1">
        <v>385</v>
      </c>
    </row>
    <row r="63" spans="16:52" ph="1">
      <c r="AG63" s="64" t="s" ph="1">
        <v>238</v>
      </c>
      <c r="AI63" s="64" t="s" ph="1">
        <v>209</v>
      </c>
      <c r="AJ63" s="64" t="s" ph="1">
        <v>210</v>
      </c>
      <c r="AK63" s="64" t="s" ph="1">
        <v>211</v>
      </c>
      <c r="AM63" s="64" t="s" ph="1">
        <v>210</v>
      </c>
      <c r="AN63" s="64" t="s" ph="1">
        <v>211</v>
      </c>
      <c r="AO63" s="64" t="s" ph="1">
        <v>212</v>
      </c>
      <c r="AP63" s="64" t="s" ph="1">
        <v>210</v>
      </c>
      <c r="AQ63" s="64" t="s" ph="1">
        <v>211</v>
      </c>
      <c r="AR63" s="64" t="s" ph="1">
        <v>212</v>
      </c>
      <c r="AS63" s="64" t="s" ph="1">
        <v>210</v>
      </c>
      <c r="AT63" s="64" t="s" ph="1">
        <v>211</v>
      </c>
      <c r="AU63" s="64" t="s" ph="1">
        <v>212</v>
      </c>
      <c r="AV63" s="64" t="s" ph="1">
        <v>210</v>
      </c>
      <c r="AW63" s="64" t="s" ph="1">
        <v>211</v>
      </c>
      <c r="AX63" s="64" t="s" ph="1">
        <v>212</v>
      </c>
      <c r="AY63" s="64" t="s" ph="1">
        <v>211</v>
      </c>
      <c r="AZ63" s="64" t="s" ph="1">
        <v>213</v>
      </c>
    </row>
    <row r="64" spans="16:52" ph="1">
      <c r="AH64" s="64" ph="1">
        <v>1</v>
      </c>
      <c r="AI64" s="64" t="s" ph="1">
        <v>386</v>
      </c>
      <c r="AJ64" s="64" t="s" ph="1">
        <v>387</v>
      </c>
      <c r="AK64" s="64" t="s" ph="1">
        <v>388</v>
      </c>
      <c r="AY64" s="64" t="s" ph="1">
        <v>216</v>
      </c>
      <c r="AZ64" s="64" t="s" ph="1">
        <v>388</v>
      </c>
    </row>
    <row r="65" spans="33:52" ph="1">
      <c r="AH65" s="64" ph="1">
        <v>2</v>
      </c>
      <c r="AI65" s="64" t="s" ph="1">
        <v>389</v>
      </c>
      <c r="AY65" s="64" t="s" ph="1">
        <v>216</v>
      </c>
      <c r="AZ65" s="64" t="s" ph="1">
        <v>367</v>
      </c>
    </row>
    <row r="66" spans="33:52" ph="1">
      <c r="AH66" s="64" ph="1">
        <v>3</v>
      </c>
      <c r="AI66" s="64" t="s" ph="1">
        <v>390</v>
      </c>
      <c r="AY66" s="64" t="s" ph="1">
        <v>216</v>
      </c>
      <c r="AZ66" s="64" t="s" ph="1">
        <v>367</v>
      </c>
    </row>
    <row r="67" spans="33:52" ph="1">
      <c r="AH67" s="64" ph="1">
        <v>4</v>
      </c>
      <c r="AI67" s="64" t="s" ph="1">
        <v>391</v>
      </c>
      <c r="AY67" s="64" t="s" ph="1">
        <v>216</v>
      </c>
      <c r="AZ67" s="64" t="s" ph="1">
        <v>367</v>
      </c>
    </row>
    <row r="68" spans="33:52" ph="1">
      <c r="AH68" s="64" ph="1">
        <v>5</v>
      </c>
      <c r="AI68" s="64" t="s" ph="1">
        <v>392</v>
      </c>
      <c r="AY68" s="64" t="s" ph="1">
        <v>216</v>
      </c>
      <c r="AZ68" s="64" t="s" ph="1">
        <v>367</v>
      </c>
    </row>
    <row r="69" spans="33:52" ph="1">
      <c r="AH69" s="64" ph="1">
        <v>6</v>
      </c>
      <c r="AI69" s="64" t="s" ph="1">
        <v>393</v>
      </c>
      <c r="AY69" s="64" t="s" ph="1">
        <v>216</v>
      </c>
      <c r="AZ69" s="64" t="s" ph="1">
        <v>367</v>
      </c>
    </row>
    <row r="70" spans="33:52" ph="1">
      <c r="AI70" s="64" t="s" ph="1">
        <v>394</v>
      </c>
      <c r="AY70" s="64" t="s" ph="1">
        <v>216</v>
      </c>
      <c r="AZ70" s="64" t="s" ph="1">
        <v>367</v>
      </c>
    </row>
    <row r="71" spans="33:52" ph="1">
      <c r="AH71" s="64" ph="1">
        <v>7</v>
      </c>
      <c r="AI71" s="64" t="s" ph="1">
        <v>395</v>
      </c>
      <c r="AJ71" s="64" t="s" ph="1">
        <v>334</v>
      </c>
      <c r="AK71" s="64" t="s" ph="1">
        <v>228</v>
      </c>
      <c r="AM71" s="64" t="s" ph="1">
        <v>336</v>
      </c>
      <c r="AN71" s="64" t="s" ph="1">
        <v>228</v>
      </c>
      <c r="AO71" s="64" t="s" ph="1">
        <v>396</v>
      </c>
      <c r="AP71" s="64" t="s" ph="1">
        <v>570</v>
      </c>
      <c r="AQ71" s="64" t="s" ph="1">
        <v>219</v>
      </c>
      <c r="AR71" s="64" t="s" ph="1">
        <v>396</v>
      </c>
      <c r="AY71" s="64" t="s" ph="1">
        <v>216</v>
      </c>
      <c r="AZ71" s="64" t="s" ph="1">
        <v>578</v>
      </c>
    </row>
    <row r="72" spans="33:52" ph="1">
      <c r="AZ72" s="64" t="s" ph="1">
        <v>579</v>
      </c>
    </row>
    <row r="73" spans="33:52" ph="1">
      <c r="AG73" s="64" t="s" ph="1">
        <v>241</v>
      </c>
      <c r="AI73" s="64" t="s" ph="1">
        <v>209</v>
      </c>
      <c r="AJ73" s="64" t="s" ph="1">
        <v>210</v>
      </c>
      <c r="AK73" s="64" t="s" ph="1">
        <v>211</v>
      </c>
      <c r="AM73" s="64" t="s" ph="1">
        <v>210</v>
      </c>
      <c r="AN73" s="64" t="s" ph="1">
        <v>211</v>
      </c>
      <c r="AO73" s="64" t="s" ph="1">
        <v>212</v>
      </c>
      <c r="AP73" s="64" t="s" ph="1">
        <v>210</v>
      </c>
      <c r="AQ73" s="64" t="s" ph="1">
        <v>211</v>
      </c>
      <c r="AR73" s="64" t="s" ph="1">
        <v>212</v>
      </c>
      <c r="AS73" s="64" t="s" ph="1">
        <v>210</v>
      </c>
      <c r="AT73" s="64" t="s" ph="1">
        <v>211</v>
      </c>
      <c r="AU73" s="64" t="s" ph="1">
        <v>212</v>
      </c>
      <c r="AV73" s="64" t="s" ph="1">
        <v>210</v>
      </c>
      <c r="AW73" s="64" t="s" ph="1">
        <v>211</v>
      </c>
      <c r="AX73" s="64" t="s" ph="1">
        <v>212</v>
      </c>
      <c r="AY73" s="64" t="s" ph="1">
        <v>211</v>
      </c>
      <c r="AZ73" s="64" t="s" ph="1">
        <v>213</v>
      </c>
    </row>
    <row r="74" spans="33:52" ph="1">
      <c r="AH74" s="64" ph="1">
        <v>1</v>
      </c>
      <c r="AI74" s="64" t="s" ph="1">
        <v>397</v>
      </c>
      <c r="AJ74" s="64" t="s" ph="1">
        <v>242</v>
      </c>
      <c r="AK74" s="64" t="s" ph="1">
        <v>224</v>
      </c>
      <c r="AM74" s="64" t="s" ph="1">
        <v>244</v>
      </c>
      <c r="AN74" s="64" t="s" ph="1">
        <v>254</v>
      </c>
      <c r="AO74" s="64" t="s" ph="1">
        <v>243</v>
      </c>
      <c r="AP74" s="64" t="s" ph="1">
        <v>245</v>
      </c>
      <c r="AQ74" s="64" t="s" ph="1">
        <v>222</v>
      </c>
      <c r="AR74" s="64" t="s" ph="1">
        <v>243</v>
      </c>
      <c r="AS74" s="64" t="s" ph="1">
        <v>215</v>
      </c>
      <c r="AT74" s="64" t="s" ph="1">
        <v>217</v>
      </c>
      <c r="AV74" s="64" t="s" ph="1">
        <v>398</v>
      </c>
      <c r="AW74" s="64" t="s" ph="1">
        <v>399</v>
      </c>
      <c r="AX74" s="64" t="s" ph="1">
        <v>400</v>
      </c>
      <c r="AY74" s="64" t="s" ph="1">
        <v>216</v>
      </c>
      <c r="AZ74" s="64" t="s" ph="1">
        <v>401</v>
      </c>
    </row>
    <row r="75" spans="33:52" ph="1">
      <c r="AJ75" s="64" t="s" ph="1">
        <v>247</v>
      </c>
      <c r="AK75" s="64" t="s" ph="1">
        <v>300</v>
      </c>
      <c r="AM75" s="64" t="s" ph="1">
        <v>245</v>
      </c>
      <c r="AN75" s="64" t="s" ph="1">
        <v>225</v>
      </c>
      <c r="AO75" s="64" t="s" ph="1">
        <v>243</v>
      </c>
      <c r="AS75" s="64" t="s" ph="1">
        <v>215</v>
      </c>
      <c r="AT75" s="64" t="s" ph="1">
        <v>246</v>
      </c>
    </row>
    <row r="76" spans="33:52" ph="1">
      <c r="AJ76" s="64" t="s" ph="1">
        <v>247</v>
      </c>
      <c r="AK76" s="64" t="s" ph="1">
        <v>240</v>
      </c>
      <c r="AM76" s="64" t="s" ph="1">
        <v>245</v>
      </c>
      <c r="AN76" s="64" t="s" ph="1">
        <v>228</v>
      </c>
      <c r="AO76" s="64" t="s" ph="1">
        <v>243</v>
      </c>
      <c r="AS76" s="64" t="s" ph="1">
        <v>215</v>
      </c>
      <c r="AT76" s="64" t="s" ph="1">
        <v>246</v>
      </c>
    </row>
    <row r="77" spans="33:52" ph="1">
      <c r="AJ77" s="64" t="s" ph="1">
        <v>283</v>
      </c>
      <c r="AK77" s="64" t="s" ph="1">
        <v>240</v>
      </c>
      <c r="AM77" s="64" t="s" ph="1">
        <v>284</v>
      </c>
      <c r="AN77" s="64" t="s" ph="1">
        <v>223</v>
      </c>
      <c r="AO77" s="64" t="s" ph="1">
        <v>243</v>
      </c>
      <c r="AS77" s="64" t="s" ph="1">
        <v>215</v>
      </c>
      <c r="AT77" s="64" t="s" ph="1">
        <v>285</v>
      </c>
    </row>
    <row r="78" spans="33:52" ph="1">
      <c r="AH78" s="64" ph="1">
        <v>2</v>
      </c>
      <c r="AI78" s="64" t="s" ph="1">
        <v>249</v>
      </c>
      <c r="AJ78" s="64" t="s" ph="1">
        <v>250</v>
      </c>
      <c r="AK78" s="64" t="s" ph="1">
        <v>219</v>
      </c>
      <c r="AM78" s="64" t="s" ph="1">
        <v>251</v>
      </c>
      <c r="AN78" s="64" t="s" ph="1">
        <v>254</v>
      </c>
      <c r="AO78" s="64" t="s" ph="1">
        <v>243</v>
      </c>
      <c r="AP78" s="64" t="s" ph="1">
        <v>252</v>
      </c>
      <c r="AQ78" s="64" t="s" ph="1">
        <v>298</v>
      </c>
      <c r="AR78" s="64" t="s" ph="1">
        <v>243</v>
      </c>
      <c r="AS78" s="64" t="s" ph="1">
        <v>253</v>
      </c>
      <c r="AT78" s="64" t="s" ph="1">
        <v>254</v>
      </c>
      <c r="AU78" s="64" t="s" ph="1">
        <v>243</v>
      </c>
      <c r="AV78" s="64" t="s" ph="1">
        <v>255</v>
      </c>
      <c r="AW78" s="64" t="s" ph="1">
        <v>243</v>
      </c>
      <c r="AY78" s="64" t="s" ph="1">
        <v>216</v>
      </c>
      <c r="AZ78" s="64" t="s" ph="1">
        <v>402</v>
      </c>
    </row>
    <row r="79" spans="33:52" ph="1">
      <c r="AJ79" s="64" t="s" ph="1">
        <v>245</v>
      </c>
      <c r="AK79" s="64" t="s" ph="1">
        <v>256</v>
      </c>
      <c r="AM79" s="64" t="s" ph="1">
        <v>257</v>
      </c>
      <c r="AN79" s="64" t="s" ph="1">
        <v>225</v>
      </c>
      <c r="AO79" s="64" t="s" ph="1">
        <v>243</v>
      </c>
      <c r="AP79" s="64" t="s" ph="1">
        <v>258</v>
      </c>
      <c r="AQ79" s="64" t="s" ph="1">
        <v>223</v>
      </c>
      <c r="AR79" s="64" t="s" ph="1">
        <v>259</v>
      </c>
      <c r="AS79" s="64" t="s" ph="1">
        <v>215</v>
      </c>
      <c r="AT79" s="64" t="s" ph="1">
        <v>260</v>
      </c>
      <c r="AV79" s="64" t="s" ph="1">
        <v>403</v>
      </c>
      <c r="AW79" s="64" t="s" ph="1">
        <v>302</v>
      </c>
      <c r="AX79" s="64" t="s" ph="1">
        <v>400</v>
      </c>
    </row>
    <row r="80" spans="33:52" ph="1">
      <c r="AH80" s="64" ph="1">
        <v>3</v>
      </c>
      <c r="AI80" s="64" t="s" ph="1">
        <v>261</v>
      </c>
      <c r="AJ80" s="64" t="s" ph="1">
        <v>262</v>
      </c>
      <c r="AK80" s="64" t="s" ph="1">
        <v>263</v>
      </c>
      <c r="AM80" s="64" t="s" ph="1">
        <v>264</v>
      </c>
      <c r="AN80" s="64" t="s" ph="1">
        <v>254</v>
      </c>
      <c r="AO80" s="64" t="s" ph="1">
        <v>243</v>
      </c>
      <c r="AP80" s="64" t="s" ph="1">
        <v>265</v>
      </c>
      <c r="AQ80" s="64" t="s" ph="1">
        <v>228</v>
      </c>
      <c r="AR80" s="64" t="s" ph="1">
        <v>243</v>
      </c>
      <c r="AS80" s="64" t="s" ph="1">
        <v>266</v>
      </c>
      <c r="AT80" s="64" t="s" ph="1">
        <v>227</v>
      </c>
      <c r="AU80" s="64" t="s" ph="1">
        <v>243</v>
      </c>
      <c r="AV80" s="64" t="s" ph="1">
        <v>267</v>
      </c>
      <c r="AW80" s="64" t="s" ph="1">
        <v>243</v>
      </c>
      <c r="AY80" s="64" t="s" ph="1">
        <v>216</v>
      </c>
      <c r="AZ80" s="64" t="s" ph="1">
        <v>404</v>
      </c>
    </row>
    <row r="81" spans="34:52" ph="1">
      <c r="AJ81" s="64" t="s" ph="1">
        <v>268</v>
      </c>
      <c r="AK81" s="64" t="s" ph="1">
        <v>222</v>
      </c>
      <c r="AM81" s="64" t="s" ph="1">
        <v>269</v>
      </c>
      <c r="AN81" s="64" t="s" ph="1">
        <v>225</v>
      </c>
      <c r="AO81" s="64" t="s" ph="1">
        <v>243</v>
      </c>
      <c r="AP81" s="64" t="s" ph="1">
        <v>270</v>
      </c>
      <c r="AQ81" s="64" t="s" ph="1">
        <v>254</v>
      </c>
      <c r="AR81" s="64" t="s" ph="1">
        <v>243</v>
      </c>
      <c r="AS81" s="64" t="s" ph="1">
        <v>271</v>
      </c>
      <c r="AT81" s="64" t="s" ph="1">
        <v>272</v>
      </c>
      <c r="AU81" s="64" t="s" ph="1">
        <v>243</v>
      </c>
      <c r="AV81" s="64" t="s" ph="1">
        <v>273</v>
      </c>
    </row>
    <row r="82" spans="34:52" ph="1">
      <c r="AJ82" s="64" t="s" ph="1">
        <v>274</v>
      </c>
      <c r="AK82" s="64" t="s" ph="1">
        <v>222</v>
      </c>
      <c r="AM82" s="64" t="s" ph="1">
        <v>275</v>
      </c>
      <c r="AN82" s="64" t="s" ph="1">
        <v>272</v>
      </c>
      <c r="AO82" s="64" t="s" ph="1">
        <v>276</v>
      </c>
      <c r="AP82" s="64" t="s" ph="1">
        <v>277</v>
      </c>
      <c r="AQ82" s="64" t="s" ph="1">
        <v>254</v>
      </c>
      <c r="AR82" s="64" t="s" ph="1">
        <v>243</v>
      </c>
      <c r="AS82" s="64" t="s" ph="1">
        <v>278</v>
      </c>
      <c r="AT82" s="64" t="s" ph="1">
        <v>229</v>
      </c>
      <c r="AU82" s="64" t="s" ph="1">
        <v>243</v>
      </c>
      <c r="AV82" s="64" t="s" ph="1">
        <v>403</v>
      </c>
      <c r="AW82" s="64" t="s" ph="1">
        <v>303</v>
      </c>
      <c r="AX82" s="64" t="s" ph="1">
        <v>400</v>
      </c>
    </row>
    <row r="83" spans="34:52" ph="1">
      <c r="AJ83" s="64" t="s" ph="1">
        <v>279</v>
      </c>
      <c r="AK83" s="64" t="s" ph="1">
        <v>296</v>
      </c>
      <c r="AM83" s="64" t="s" ph="1">
        <v>280</v>
      </c>
      <c r="AN83" s="64" t="s" ph="1">
        <v>228</v>
      </c>
      <c r="AO83" s="64" t="s" ph="1">
        <v>259</v>
      </c>
      <c r="AP83" s="64" t="s" ph="1">
        <v>281</v>
      </c>
      <c r="AQ83" s="64" t="s" ph="1">
        <v>282</v>
      </c>
      <c r="AR83" s="64" t="s" ph="1">
        <v>259</v>
      </c>
      <c r="AS83" s="64" t="s" ph="1">
        <v>405</v>
      </c>
      <c r="AT83" s="64" t="s" ph="1">
        <v>254</v>
      </c>
      <c r="AU83" s="64" t="s" ph="1">
        <v>259</v>
      </c>
      <c r="AV83" s="64" t="s" ph="1">
        <v>406</v>
      </c>
      <c r="AW83" s="64" t="s" ph="1">
        <v>303</v>
      </c>
      <c r="AX83" s="64" t="s" ph="1">
        <v>407</v>
      </c>
    </row>
    <row r="84" spans="34:52" ph="1">
      <c r="AH84" s="64" ph="1">
        <v>4</v>
      </c>
      <c r="AI84" s="64" t="s" ph="1">
        <v>286</v>
      </c>
      <c r="AJ84" s="64" t="s" ph="1">
        <v>226</v>
      </c>
      <c r="AK84" s="64" t="s" ph="1">
        <v>229</v>
      </c>
      <c r="AM84" s="64" t="s" ph="1">
        <v>230</v>
      </c>
      <c r="AN84" s="64" t="s" ph="1">
        <v>223</v>
      </c>
      <c r="AO84" s="64" t="s" ph="1">
        <v>259</v>
      </c>
      <c r="AP84" s="64" t="s" ph="1">
        <v>288</v>
      </c>
      <c r="AQ84" s="64" t="s" ph="1">
        <v>222</v>
      </c>
      <c r="AR84" s="64" t="s" ph="1">
        <v>259</v>
      </c>
      <c r="AS84" s="64" t="s" ph="1">
        <v>288</v>
      </c>
      <c r="AT84" s="64" t="s" ph="1">
        <v>224</v>
      </c>
      <c r="AU84" s="64" t="s" ph="1">
        <v>259</v>
      </c>
      <c r="AY84" s="64" t="s" ph="1">
        <v>216</v>
      </c>
      <c r="AZ84" s="64" t="s" ph="1">
        <v>408</v>
      </c>
    </row>
    <row r="85" spans="34:52" ph="1">
      <c r="AJ85" s="64" t="s" ph="1">
        <v>218</v>
      </c>
      <c r="AK85" s="64" t="s" ph="1">
        <v>222</v>
      </c>
      <c r="AM85" s="64" t="s" ph="1">
        <v>409</v>
      </c>
      <c r="AN85" s="64" t="s" ph="1">
        <v>229</v>
      </c>
      <c r="AO85" s="64" t="s" ph="1">
        <v>259</v>
      </c>
      <c r="AP85" s="64" t="s" ph="1">
        <v>410</v>
      </c>
      <c r="AQ85" s="64" t="s" ph="1">
        <v>225</v>
      </c>
      <c r="AR85" s="64" t="s" ph="1">
        <v>259</v>
      </c>
      <c r="AS85" s="64" t="s" ph="1">
        <v>411</v>
      </c>
      <c r="AT85" s="64" t="s" ph="1">
        <v>225</v>
      </c>
      <c r="AU85" s="64" t="s" ph="1">
        <v>259</v>
      </c>
    </row>
    <row r="86" spans="34:52" ph="1">
      <c r="AJ86" s="64" t="s" ph="1">
        <v>412</v>
      </c>
      <c r="AK86" s="64" t="s" ph="1">
        <v>231</v>
      </c>
      <c r="AM86" s="64" t="s" ph="1">
        <v>413</v>
      </c>
      <c r="AN86" s="64" t="s" ph="1">
        <v>272</v>
      </c>
      <c r="AO86" s="64" t="s" ph="1">
        <v>259</v>
      </c>
      <c r="AP86" s="64" t="s" ph="1">
        <v>414</v>
      </c>
      <c r="AQ86" s="64" t="s" ph="1">
        <v>219</v>
      </c>
      <c r="AR86" s="64" t="s" ph="1">
        <v>259</v>
      </c>
      <c r="AS86" s="64" t="s" ph="1">
        <v>415</v>
      </c>
      <c r="AT86" s="64" t="s" ph="1">
        <v>237</v>
      </c>
      <c r="AU86" s="64" t="s" ph="1">
        <v>259</v>
      </c>
    </row>
    <row r="87" spans="34:52" ph="1">
      <c r="AJ87" s="64" t="s" ph="1">
        <v>416</v>
      </c>
      <c r="AK87" s="64" t="s" ph="1">
        <v>272</v>
      </c>
      <c r="AM87" s="64" t="s" ph="1">
        <v>403</v>
      </c>
      <c r="AN87" s="64" t="s" ph="1">
        <v>417</v>
      </c>
      <c r="AO87" s="64" t="s" ph="1">
        <v>400</v>
      </c>
    </row>
    <row r="88" spans="34:52" ph="1">
      <c r="AH88" s="64" ph="1">
        <v>5</v>
      </c>
      <c r="AI88" s="64" t="s" ph="1">
        <v>289</v>
      </c>
      <c r="AJ88" s="64" t="s" ph="1">
        <v>418</v>
      </c>
      <c r="AK88" s="64" t="s" ph="1">
        <v>272</v>
      </c>
      <c r="AM88" s="64" t="s" ph="1">
        <v>419</v>
      </c>
      <c r="AN88" s="64" t="s" ph="1">
        <v>272</v>
      </c>
      <c r="AO88" s="64" t="s" ph="1">
        <v>259</v>
      </c>
      <c r="AP88" s="64" t="s" ph="1">
        <v>420</v>
      </c>
      <c r="AQ88" s="64" t="s" ph="1">
        <v>222</v>
      </c>
      <c r="AR88" s="64" t="s" ph="1">
        <v>259</v>
      </c>
      <c r="AS88" s="64" t="s" ph="1">
        <v>421</v>
      </c>
      <c r="AT88" s="64" t="s" ph="1">
        <v>272</v>
      </c>
      <c r="AU88" s="64" t="s" ph="1">
        <v>259</v>
      </c>
      <c r="AV88" s="64" t="s" ph="1">
        <v>422</v>
      </c>
      <c r="AW88" s="64" t="s" ph="1">
        <v>227</v>
      </c>
      <c r="AX88" s="64" t="s" ph="1">
        <v>259</v>
      </c>
      <c r="AY88" s="64" t="s" ph="1">
        <v>216</v>
      </c>
      <c r="AZ88" s="64" t="s" ph="1">
        <v>423</v>
      </c>
    </row>
    <row r="89" spans="34:52" ph="1">
      <c r="AJ89" s="64" t="s" ph="1">
        <v>424</v>
      </c>
      <c r="AK89" s="64" t="s" ph="1">
        <v>225</v>
      </c>
      <c r="AM89" s="64" t="s" ph="1">
        <v>425</v>
      </c>
      <c r="AN89" s="64" t="s" ph="1">
        <v>228</v>
      </c>
      <c r="AO89" s="64" t="s" ph="1">
        <v>259</v>
      </c>
      <c r="AP89" s="64" t="s" ph="1">
        <v>426</v>
      </c>
      <c r="AQ89" s="64" t="s" ph="1">
        <v>237</v>
      </c>
      <c r="AR89" s="64" t="s" ph="1">
        <v>259</v>
      </c>
      <c r="AS89" s="64" t="s" ph="1">
        <v>427</v>
      </c>
      <c r="AT89" s="64" t="s" ph="1">
        <v>272</v>
      </c>
      <c r="AU89" s="64" t="s" ph="1">
        <v>259</v>
      </c>
      <c r="AV89" s="64" t="s" ph="1">
        <v>428</v>
      </c>
      <c r="AW89" s="64" t="s" ph="1">
        <v>254</v>
      </c>
      <c r="AX89" s="64" t="s" ph="1">
        <v>287</v>
      </c>
    </row>
    <row r="90" spans="34:52" ph="1">
      <c r="AJ90" s="64" t="s" ph="1">
        <v>429</v>
      </c>
      <c r="AK90" s="64" t="s" ph="1">
        <v>228</v>
      </c>
      <c r="AM90" s="64" t="s" ph="1">
        <v>430</v>
      </c>
      <c r="AN90" s="64" t="s" ph="1">
        <v>225</v>
      </c>
      <c r="AO90" s="64" t="s" ph="1">
        <v>259</v>
      </c>
      <c r="AP90" s="64" t="s" ph="1">
        <v>431</v>
      </c>
      <c r="AQ90" s="64" t="s" ph="1">
        <v>294</v>
      </c>
      <c r="AR90" s="64" t="s" ph="1">
        <v>259</v>
      </c>
      <c r="AS90" s="64" t="s" ph="1">
        <v>432</v>
      </c>
      <c r="AT90" s="64" t="s" ph="1">
        <v>282</v>
      </c>
      <c r="AU90" s="64" t="s" ph="1">
        <v>259</v>
      </c>
      <c r="AV90" s="64" t="s" ph="1">
        <v>433</v>
      </c>
      <c r="AW90" s="64" t="s" ph="1">
        <v>219</v>
      </c>
      <c r="AX90" s="64" t="s" ph="1">
        <v>259</v>
      </c>
    </row>
    <row r="91" spans="34:52" ph="1">
      <c r="AJ91" s="64" t="s" ph="1">
        <v>434</v>
      </c>
      <c r="AK91" s="64" t="s" ph="1">
        <v>272</v>
      </c>
      <c r="AM91" s="64" t="s" ph="1">
        <v>435</v>
      </c>
      <c r="AN91" s="64" t="s" ph="1">
        <v>239</v>
      </c>
      <c r="AO91" s="64" t="s" ph="1">
        <v>259</v>
      </c>
      <c r="AP91" s="64" t="s" ph="1">
        <v>436</v>
      </c>
      <c r="AQ91" s="64" t="s" ph="1">
        <v>219</v>
      </c>
      <c r="AS91" s="64" t="s" ph="1">
        <v>403</v>
      </c>
      <c r="AT91" s="64" t="s" ph="1">
        <v>399</v>
      </c>
      <c r="AU91" s="64" t="s" ph="1">
        <v>400</v>
      </c>
    </row>
    <row r="92" spans="34:52" ph="1">
      <c r="AH92" s="64" ph="1">
        <v>6</v>
      </c>
      <c r="AI92" s="64" t="s" ph="1">
        <v>437</v>
      </c>
      <c r="AJ92" s="64" t="s" ph="1">
        <v>438</v>
      </c>
      <c r="AK92" s="64" t="s" ph="1">
        <v>367</v>
      </c>
      <c r="AM92" s="64" t="s" ph="1">
        <v>439</v>
      </c>
      <c r="AN92" s="64" t="s" ph="1">
        <v>227</v>
      </c>
      <c r="AO92" s="64" t="s" ph="1">
        <v>259</v>
      </c>
      <c r="AP92" s="64" t="s" ph="1">
        <v>440</v>
      </c>
      <c r="AQ92" s="64" t="s" ph="1">
        <v>299</v>
      </c>
      <c r="AR92" s="64" t="s" ph="1">
        <v>259</v>
      </c>
      <c r="AS92" s="64" t="s" ph="1">
        <v>441</v>
      </c>
      <c r="AT92" s="64" t="s" ph="1">
        <v>272</v>
      </c>
      <c r="AU92" s="64" t="s" ph="1">
        <v>259</v>
      </c>
      <c r="AV92" s="64" t="s" ph="1">
        <v>442</v>
      </c>
      <c r="AW92" s="64" t="s" ph="1">
        <v>228</v>
      </c>
      <c r="AX92" s="64" t="s" ph="1">
        <v>259</v>
      </c>
      <c r="AY92" s="64" t="s" ph="1">
        <v>216</v>
      </c>
      <c r="AZ92" s="64" t="s" ph="1">
        <v>423</v>
      </c>
    </row>
    <row r="93" spans="34:52" ph="1">
      <c r="AJ93" s="64" t="s" ph="1">
        <v>443</v>
      </c>
      <c r="AK93" s="64" t="s" ph="1">
        <v>222</v>
      </c>
      <c r="AM93" s="64" t="s" ph="1">
        <v>444</v>
      </c>
      <c r="AN93" s="64" t="s" ph="1">
        <v>227</v>
      </c>
      <c r="AO93" s="64" t="s" ph="1">
        <v>259</v>
      </c>
      <c r="AP93" s="64" t="s" ph="1">
        <v>445</v>
      </c>
      <c r="AQ93" s="64" t="s" ph="1">
        <v>231</v>
      </c>
      <c r="AR93" s="64" t="s" ph="1">
        <v>259</v>
      </c>
      <c r="AS93" s="64" t="s" ph="1">
        <v>446</v>
      </c>
      <c r="AT93" s="64" t="s" ph="1">
        <v>237</v>
      </c>
      <c r="AU93" s="64" t="s" ph="1">
        <v>259</v>
      </c>
      <c r="AV93" s="64" t="s" ph="1">
        <v>447</v>
      </c>
      <c r="AW93" s="64" t="s" ph="1">
        <v>231</v>
      </c>
      <c r="AX93" s="64" t="s" ph="1">
        <v>259</v>
      </c>
    </row>
    <row r="94" spans="34:52" ph="1">
      <c r="AJ94" s="64" t="s" ph="1">
        <v>448</v>
      </c>
      <c r="AK94" s="64" t="s" ph="1">
        <v>294</v>
      </c>
      <c r="AM94" s="64" t="s" ph="1">
        <v>449</v>
      </c>
      <c r="AN94" s="64" t="s" ph="1">
        <v>231</v>
      </c>
      <c r="AO94" s="64" t="s" ph="1">
        <v>259</v>
      </c>
      <c r="AP94" s="64" t="s" ph="1">
        <v>450</v>
      </c>
      <c r="AQ94" s="64" t="s" ph="1">
        <v>239</v>
      </c>
      <c r="AR94" s="64" t="s" ph="1">
        <v>259</v>
      </c>
      <c r="AS94" s="64" t="s" ph="1">
        <v>451</v>
      </c>
      <c r="AT94" s="64" t="s" ph="1">
        <v>225</v>
      </c>
      <c r="AU94" s="64" t="s" ph="1">
        <v>259</v>
      </c>
      <c r="AV94" s="64" t="s" ph="1">
        <v>452</v>
      </c>
      <c r="AW94" s="64" t="s" ph="1">
        <v>225</v>
      </c>
      <c r="AX94" s="64" t="s" ph="1">
        <v>259</v>
      </c>
    </row>
    <row r="95" spans="34:52" ph="1">
      <c r="AJ95" s="64" t="s" ph="1">
        <v>453</v>
      </c>
      <c r="AK95" s="64" t="s" ph="1">
        <v>299</v>
      </c>
    </row>
    <row r="96" spans="34:52" ph="1">
      <c r="AH96" s="64" ph="1">
        <v>7</v>
      </c>
      <c r="AI96" s="64" t="s" ph="1">
        <v>454</v>
      </c>
      <c r="AJ96" s="64" t="s" ph="1">
        <v>453</v>
      </c>
      <c r="AK96" s="64" t="s" ph="1">
        <v>254</v>
      </c>
      <c r="AM96" s="64" t="s" ph="1">
        <v>455</v>
      </c>
      <c r="AN96" s="64" t="s" ph="1">
        <v>228</v>
      </c>
      <c r="AO96" s="64" t="s" ph="1">
        <v>259</v>
      </c>
      <c r="AP96" s="64" t="s" ph="1">
        <v>456</v>
      </c>
      <c r="AQ96" s="64" t="s" ph="1">
        <v>272</v>
      </c>
      <c r="AR96" s="64" t="s" ph="1">
        <v>287</v>
      </c>
      <c r="AS96" s="64" t="s" ph="1">
        <v>457</v>
      </c>
      <c r="AT96" s="64" t="s" ph="1">
        <v>231</v>
      </c>
      <c r="AU96" s="64" t="s" ph="1">
        <v>287</v>
      </c>
      <c r="AV96" s="64" t="s" ph="1">
        <v>458</v>
      </c>
      <c r="AW96" s="64" t="s" ph="1">
        <v>227</v>
      </c>
      <c r="AX96" s="64" t="s" ph="1">
        <v>287</v>
      </c>
      <c r="AY96" s="64" t="s" ph="1">
        <v>216</v>
      </c>
      <c r="AZ96" s="64" t="s" ph="1">
        <v>459</v>
      </c>
    </row>
    <row r="97" spans="33:52" ph="1">
      <c r="AJ97" s="64" t="s" ph="1">
        <v>460</v>
      </c>
      <c r="AK97" s="64" t="s" ph="1">
        <v>282</v>
      </c>
      <c r="AM97" s="64" t="s" ph="1">
        <v>461</v>
      </c>
      <c r="AN97" s="64" t="s" ph="1">
        <v>225</v>
      </c>
      <c r="AO97" s="64" t="s" ph="1">
        <v>259</v>
      </c>
      <c r="AP97" s="64" t="s" ph="1">
        <v>462</v>
      </c>
      <c r="AQ97" s="64" t="s" ph="1">
        <v>219</v>
      </c>
      <c r="AR97" s="64" t="s" ph="1">
        <v>287</v>
      </c>
      <c r="AS97" s="64" t="s" ph="1">
        <v>463</v>
      </c>
      <c r="AT97" s="64" t="s" ph="1">
        <v>222</v>
      </c>
      <c r="AU97" s="64" t="s" ph="1">
        <v>287</v>
      </c>
      <c r="AV97" s="64" t="s" ph="1">
        <v>464</v>
      </c>
      <c r="AW97" s="64" t="s" ph="1">
        <v>228</v>
      </c>
      <c r="AX97" s="64" t="s" ph="1">
        <v>287</v>
      </c>
    </row>
    <row r="98" spans="33:52" ph="1">
      <c r="AJ98" s="64" t="s" ph="1">
        <v>465</v>
      </c>
      <c r="AK98" s="64" t="s" ph="1">
        <v>231</v>
      </c>
      <c r="AM98" s="64" t="s" ph="1">
        <v>466</v>
      </c>
      <c r="AN98" s="64" t="s" ph="1">
        <v>239</v>
      </c>
      <c r="AO98" s="64" t="s" ph="1">
        <v>259</v>
      </c>
      <c r="AP98" s="64" t="s" ph="1">
        <v>467</v>
      </c>
      <c r="AQ98" s="64" t="s" ph="1">
        <v>219</v>
      </c>
      <c r="AR98" s="64" t="s" ph="1">
        <v>287</v>
      </c>
      <c r="AS98" s="64" t="s" ph="1">
        <v>468</v>
      </c>
      <c r="AT98" s="64" t="s" ph="1">
        <v>299</v>
      </c>
      <c r="AU98" s="64" t="s" ph="1">
        <v>287</v>
      </c>
      <c r="AV98" s="64" t="s" ph="1">
        <v>469</v>
      </c>
      <c r="AW98" s="64" t="s" ph="1">
        <v>222</v>
      </c>
      <c r="AX98" s="64" t="s" ph="1">
        <v>287</v>
      </c>
    </row>
    <row r="99" spans="33:52" ph="1">
      <c r="AH99" s="64" ph="1">
        <v>8</v>
      </c>
      <c r="AI99" s="64" t="s" ph="1">
        <v>470</v>
      </c>
      <c r="AJ99" s="64" t="s" ph="1">
        <v>471</v>
      </c>
      <c r="AK99" s="64" t="s" ph="1">
        <v>367</v>
      </c>
      <c r="AM99" s="64" t="s" ph="1">
        <v>472</v>
      </c>
      <c r="AN99" s="64" t="s" ph="1">
        <v>254</v>
      </c>
      <c r="AO99" s="64" t="s" ph="1">
        <v>259</v>
      </c>
      <c r="AP99" s="64" t="s" ph="1">
        <v>473</v>
      </c>
      <c r="AQ99" s="64" t="s" ph="1">
        <v>224</v>
      </c>
      <c r="AR99" s="64" t="s" ph="1">
        <v>287</v>
      </c>
      <c r="AS99" s="64" t="s" ph="1">
        <v>474</v>
      </c>
      <c r="AT99" s="64" t="s" ph="1">
        <v>239</v>
      </c>
      <c r="AU99" s="64" t="s" ph="1">
        <v>287</v>
      </c>
      <c r="AV99" s="64" t="s" ph="1">
        <v>475</v>
      </c>
      <c r="AW99" s="64" t="s" ph="1">
        <v>224</v>
      </c>
      <c r="AX99" s="64" t="s" ph="1">
        <v>287</v>
      </c>
      <c r="AY99" s="64" t="s" ph="1">
        <v>216</v>
      </c>
      <c r="AZ99" s="64" t="s" ph="1">
        <v>476</v>
      </c>
    </row>
    <row r="100" spans="33:52" ph="1">
      <c r="AJ100" s="64" t="s" ph="1">
        <v>477</v>
      </c>
      <c r="AK100" s="64" t="s" ph="1">
        <v>222</v>
      </c>
      <c r="AM100" s="64" t="s" ph="1">
        <v>478</v>
      </c>
      <c r="AN100" s="64" t="s" ph="1">
        <v>294</v>
      </c>
      <c r="AO100" s="64" t="s" ph="1">
        <v>259</v>
      </c>
      <c r="AP100" s="64" t="s" ph="1">
        <v>479</v>
      </c>
      <c r="AQ100" s="64" t="s" ph="1">
        <v>300</v>
      </c>
      <c r="AR100" s="64" t="s" ph="1">
        <v>287</v>
      </c>
      <c r="AS100" s="64" t="s" ph="1">
        <v>480</v>
      </c>
      <c r="AT100" s="64" t="s" ph="1">
        <v>367</v>
      </c>
      <c r="AU100" s="64" t="s" ph="1">
        <v>259</v>
      </c>
      <c r="AV100" s="64" t="s" ph="1">
        <v>481</v>
      </c>
      <c r="AW100" s="64" t="s" ph="1">
        <v>367</v>
      </c>
      <c r="AX100" s="64" t="s" ph="1">
        <v>259</v>
      </c>
    </row>
    <row r="101" spans="33:52" ph="1">
      <c r="AJ101" s="64" t="s" ph="1">
        <v>482</v>
      </c>
      <c r="AK101" s="64" t="s" ph="1">
        <v>367</v>
      </c>
      <c r="AM101" s="64" t="s" ph="1">
        <v>483</v>
      </c>
      <c r="AN101" s="64" t="s" ph="1">
        <v>225</v>
      </c>
      <c r="AO101" s="64" t="s" ph="1">
        <v>259</v>
      </c>
      <c r="AP101" s="64" t="s" ph="1">
        <v>484</v>
      </c>
      <c r="AQ101" s="64" t="s" ph="1">
        <v>237</v>
      </c>
      <c r="AR101" s="64" t="s" ph="1">
        <v>287</v>
      </c>
      <c r="AS101" s="64" t="s" ph="1">
        <v>485</v>
      </c>
      <c r="AT101" s="64" t="s" ph="1">
        <v>294</v>
      </c>
      <c r="AU101" s="64" t="s" ph="1">
        <v>287</v>
      </c>
      <c r="AV101" s="64" t="s" ph="1">
        <v>486</v>
      </c>
      <c r="AW101" s="64" t="s" ph="1">
        <v>225</v>
      </c>
      <c r="AX101" s="64" t="s" ph="1">
        <v>259</v>
      </c>
    </row>
    <row r="102" spans="33:52" ph="1">
      <c r="AJ102" s="64" t="s" ph="1">
        <v>487</v>
      </c>
      <c r="AK102" s="64" t="s" ph="1">
        <v>222</v>
      </c>
      <c r="AM102" s="64" t="s" ph="1">
        <v>488</v>
      </c>
      <c r="AN102" s="64" t="s" ph="1">
        <v>231</v>
      </c>
      <c r="AO102" s="64" t="s" ph="1">
        <v>259</v>
      </c>
      <c r="AP102" s="64" t="s" ph="1">
        <v>489</v>
      </c>
      <c r="AQ102" s="64" t="s" ph="1">
        <v>237</v>
      </c>
      <c r="AR102" s="64" t="s" ph="1">
        <v>259</v>
      </c>
      <c r="AS102" s="64" t="s" ph="1">
        <v>490</v>
      </c>
      <c r="AT102" s="64" t="s" ph="1">
        <v>254</v>
      </c>
      <c r="AU102" s="64" t="s" ph="1">
        <v>259</v>
      </c>
      <c r="AV102" s="64" t="s" ph="1">
        <v>491</v>
      </c>
      <c r="AW102" s="64" t="s" ph="1">
        <v>272</v>
      </c>
      <c r="AX102" s="64" t="s" ph="1">
        <v>259</v>
      </c>
    </row>
    <row r="103" spans="33:52" ph="1">
      <c r="AH103" s="64" ph="1">
        <v>9</v>
      </c>
      <c r="AI103" s="64" t="s" ph="1">
        <v>492</v>
      </c>
      <c r="AJ103" s="64" t="s" ph="1">
        <v>493</v>
      </c>
      <c r="AK103" s="64" t="s" ph="1">
        <v>367</v>
      </c>
      <c r="AM103" s="64" t="s" ph="1">
        <v>494</v>
      </c>
      <c r="AN103" s="64" t="s" ph="1">
        <v>282</v>
      </c>
      <c r="AO103" s="64" t="s" ph="1">
        <v>259</v>
      </c>
      <c r="AP103" s="64" t="s" ph="1">
        <v>336</v>
      </c>
      <c r="AQ103" s="64" t="s" ph="1">
        <v>225</v>
      </c>
      <c r="AR103" s="64" t="s" ph="1">
        <v>259</v>
      </c>
      <c r="AS103" s="64" t="s" ph="1">
        <v>570</v>
      </c>
      <c r="AT103" s="64" t="s" ph="1">
        <v>367</v>
      </c>
      <c r="AU103" s="64" t="s" ph="1">
        <v>259</v>
      </c>
      <c r="AY103" s="64" t="s" ph="1">
        <v>216</v>
      </c>
      <c r="AZ103" s="64" t="s" ph="1">
        <v>224</v>
      </c>
    </row>
    <row r="104" spans="33:52" ph="1">
      <c r="AZ104" s="64" t="s" ph="1">
        <v>495</v>
      </c>
    </row>
    <row r="105" spans="33:52" ph="1">
      <c r="AG105" s="64" t="s" ph="1">
        <v>295</v>
      </c>
      <c r="AI105" s="64" t="s" ph="1">
        <v>209</v>
      </c>
      <c r="AJ105" s="64" t="s" ph="1">
        <v>210</v>
      </c>
      <c r="AK105" s="64" t="s" ph="1">
        <v>211</v>
      </c>
      <c r="AM105" s="64" t="s" ph="1">
        <v>210</v>
      </c>
      <c r="AN105" s="64" t="s" ph="1">
        <v>211</v>
      </c>
      <c r="AO105" s="64" t="s" ph="1">
        <v>212</v>
      </c>
      <c r="AP105" s="64" t="s" ph="1">
        <v>210</v>
      </c>
      <c r="AQ105" s="64" t="s" ph="1">
        <v>211</v>
      </c>
      <c r="AR105" s="64" t="s" ph="1">
        <v>212</v>
      </c>
      <c r="AS105" s="64" t="s" ph="1">
        <v>210</v>
      </c>
      <c r="AT105" s="64" t="s" ph="1">
        <v>211</v>
      </c>
      <c r="AU105" s="64" t="s" ph="1">
        <v>212</v>
      </c>
      <c r="AV105" s="64" t="s" ph="1">
        <v>210</v>
      </c>
      <c r="AW105" s="64" t="s" ph="1">
        <v>211</v>
      </c>
      <c r="AX105" s="64" t="s" ph="1">
        <v>212</v>
      </c>
      <c r="AZ105" s="64" t="s" ph="1">
        <v>213</v>
      </c>
    </row>
    <row r="106" spans="33:52" ph="1">
      <c r="AH106" s="64" ph="1">
        <v>1</v>
      </c>
      <c r="AI106" s="64" t="s" ph="1">
        <v>496</v>
      </c>
      <c r="AJ106" s="64" t="s" ph="1">
        <v>570</v>
      </c>
      <c r="AK106" s="64" t="s" ph="1">
        <v>231</v>
      </c>
      <c r="AZ106" s="64" t="s" ph="1">
        <v>231</v>
      </c>
    </row>
    <row r="107" spans="33:52" ph="1">
      <c r="AH107" s="64" ph="1">
        <v>2</v>
      </c>
      <c r="AI107" s="64" t="s" ph="1">
        <v>497</v>
      </c>
      <c r="AJ107" s="64" t="s" ph="1">
        <v>498</v>
      </c>
      <c r="AK107" s="64" t="s" ph="1">
        <v>228</v>
      </c>
      <c r="AM107" s="64" t="s" ph="1">
        <v>334</v>
      </c>
      <c r="AN107" s="64" t="s" ph="1">
        <v>499</v>
      </c>
      <c r="AO107" s="64" t="s" ph="1">
        <v>500</v>
      </c>
      <c r="AP107" s="64" t="s" ph="1">
        <v>336</v>
      </c>
      <c r="AQ107" s="64" t="s" ph="1">
        <v>304</v>
      </c>
      <c r="AR107" s="64" t="s" ph="1">
        <v>500</v>
      </c>
      <c r="AS107" s="64" t="s" ph="1">
        <v>570</v>
      </c>
      <c r="AT107" s="64" t="s" ph="1">
        <v>499</v>
      </c>
      <c r="AU107" s="64" t="s" ph="1">
        <v>500</v>
      </c>
      <c r="AY107" s="64" t="s" ph="1">
        <v>216</v>
      </c>
      <c r="AZ107" s="64" t="s" ph="1">
        <v>580</v>
      </c>
    </row>
    <row r="108" spans="33:52" ph="1">
      <c r="AH108" s="64" ph="1">
        <v>3</v>
      </c>
      <c r="AI108" s="64" t="s" ph="1">
        <v>501</v>
      </c>
      <c r="AY108" s="64" t="s" ph="1">
        <v>216</v>
      </c>
      <c r="AZ108" s="64" t="s" ph="1">
        <v>367</v>
      </c>
    </row>
    <row r="109" spans="33:52" ph="1">
      <c r="AH109" s="64" ph="1">
        <v>4</v>
      </c>
      <c r="AI109" s="64" t="s" ph="1">
        <v>502</v>
      </c>
      <c r="AY109" s="64" t="s" ph="1">
        <v>216</v>
      </c>
      <c r="AZ109" s="64" t="s" ph="1">
        <v>367</v>
      </c>
    </row>
    <row r="110" spans="33:52" ph="1">
      <c r="AH110" s="64" ph="1">
        <v>5</v>
      </c>
      <c r="AI110" s="64" t="s" ph="1">
        <v>503</v>
      </c>
      <c r="AY110" s="64" t="s" ph="1">
        <v>216</v>
      </c>
      <c r="AZ110" s="64" t="s" ph="1">
        <v>367</v>
      </c>
    </row>
    <row r="111" spans="33:52" ph="1">
      <c r="AH111" s="64" ph="1">
        <v>6</v>
      </c>
      <c r="AI111" s="64" t="s" ph="1">
        <v>581</v>
      </c>
      <c r="AJ111" s="64" t="s" ph="1">
        <v>486</v>
      </c>
      <c r="AK111" s="64" t="s" ph="1">
        <v>225</v>
      </c>
      <c r="AM111" s="64" t="s" ph="1">
        <v>487</v>
      </c>
      <c r="AN111" s="64" t="s" ph="1">
        <v>219</v>
      </c>
      <c r="AO111" s="64" t="s" ph="1">
        <v>500</v>
      </c>
      <c r="AP111" s="64" t="s" ph="1">
        <v>488</v>
      </c>
      <c r="AQ111" s="64" t="s" ph="1">
        <v>228</v>
      </c>
      <c r="AR111" s="64" t="s" ph="1">
        <v>500</v>
      </c>
      <c r="AS111" s="64" t="s" ph="1">
        <v>489</v>
      </c>
      <c r="AT111" s="64" t="s" ph="1">
        <v>237</v>
      </c>
      <c r="AU111" s="64" t="s" ph="1">
        <v>500</v>
      </c>
      <c r="AV111" s="64" t="s" ph="1">
        <v>490</v>
      </c>
      <c r="AW111" s="64" t="s" ph="1">
        <v>227</v>
      </c>
      <c r="AX111" s="64" t="s" ph="1">
        <v>500</v>
      </c>
      <c r="AY111" s="64" t="s" ph="1">
        <v>216</v>
      </c>
      <c r="AZ111" s="64" t="s" ph="1">
        <v>504</v>
      </c>
    </row>
    <row r="112" spans="33:52" ph="1">
      <c r="AJ112" s="64" t="s" ph="1">
        <v>491</v>
      </c>
      <c r="AK112" s="64" t="s" ph="1">
        <v>272</v>
      </c>
      <c r="AM112" s="64" t="s" ph="1">
        <v>493</v>
      </c>
      <c r="AN112" s="64" t="s" ph="1">
        <v>296</v>
      </c>
      <c r="AO112" s="64" t="s" ph="1">
        <v>500</v>
      </c>
      <c r="AP112" s="64" t="s" ph="1">
        <v>494</v>
      </c>
      <c r="AQ112" s="64" t="s" ph="1">
        <v>505</v>
      </c>
      <c r="AR112" s="64" t="s" ph="1">
        <v>500</v>
      </c>
      <c r="AS112" s="64" t="s" ph="1">
        <v>506</v>
      </c>
      <c r="AT112" s="64" t="s" ph="1">
        <v>248</v>
      </c>
      <c r="AU112" s="64" t="s" ph="1">
        <v>500</v>
      </c>
      <c r="AV112" s="64" t="s" ph="1">
        <v>507</v>
      </c>
      <c r="AW112" s="64" t="s" ph="1">
        <v>294</v>
      </c>
      <c r="AX112" s="64" t="s" ph="1">
        <v>500</v>
      </c>
    </row>
    <row r="113" spans="33:52" ph="1">
      <c r="AH113" s="64" ph="1">
        <v>7</v>
      </c>
      <c r="AI113" s="64" t="s" ph="1">
        <v>508</v>
      </c>
      <c r="AJ113" s="64" t="s" ph="1">
        <v>589</v>
      </c>
      <c r="AK113" s="64" t="s" ph="1">
        <v>594</v>
      </c>
      <c r="AY113" s="64" t="s" ph="1">
        <v>216</v>
      </c>
      <c r="AZ113" s="64" t="s" ph="1">
        <v>594</v>
      </c>
    </row>
    <row r="114" spans="33:52" ph="1">
      <c r="AH114" s="64" ph="1">
        <v>8</v>
      </c>
      <c r="AI114" s="64" t="s" ph="1">
        <v>509</v>
      </c>
      <c r="AJ114" s="64" t="s" ph="1">
        <v>589</v>
      </c>
      <c r="AK114" s="64" t="s" ph="1">
        <v>595</v>
      </c>
      <c r="AY114" s="64" t="s" ph="1">
        <v>216</v>
      </c>
      <c r="AZ114" s="64" t="s" ph="1">
        <v>595</v>
      </c>
    </row>
    <row r="115" spans="33:52" ph="1">
      <c r="AH115" s="64" ph="1">
        <v>9</v>
      </c>
      <c r="AI115" s="64" t="s" ph="1">
        <v>510</v>
      </c>
      <c r="AJ115" s="64" t="s" ph="1">
        <v>589</v>
      </c>
      <c r="AK115" s="64" t="s" ph="1">
        <v>595</v>
      </c>
      <c r="AY115" s="64" t="s" ph="1">
        <v>216</v>
      </c>
      <c r="AZ115" s="64" t="s" ph="1">
        <v>595</v>
      </c>
    </row>
    <row r="116" spans="33:52" ph="1">
      <c r="AH116" s="64" ph="1">
        <v>10</v>
      </c>
      <c r="AI116" s="64" t="s" ph="1">
        <v>511</v>
      </c>
      <c r="AJ116" s="64" t="s" ph="1">
        <v>589</v>
      </c>
      <c r="AK116" s="64" t="s" ph="1">
        <v>595</v>
      </c>
      <c r="AY116" s="64" t="s" ph="1">
        <v>216</v>
      </c>
      <c r="AZ116" s="64" t="s" ph="1">
        <v>595</v>
      </c>
    </row>
    <row r="117" spans="33:52" ph="1">
      <c r="AH117" s="64" ph="1">
        <v>11</v>
      </c>
      <c r="AI117" s="64" t="s" ph="1">
        <v>512</v>
      </c>
      <c r="AJ117" s="64" t="s" ph="1">
        <v>589</v>
      </c>
      <c r="AK117" s="64" t="s" ph="1">
        <v>595</v>
      </c>
      <c r="AY117" s="64" t="s" ph="1">
        <v>216</v>
      </c>
      <c r="AZ117" s="64" t="s" ph="1">
        <v>595</v>
      </c>
    </row>
    <row r="118" spans="33:52" ph="1">
      <c r="AZ118" s="64" t="s" ph="1">
        <v>596</v>
      </c>
    </row>
    <row r="119" spans="33:52" ph="1">
      <c r="AI119" s="64" t="s" ph="1">
        <v>209</v>
      </c>
      <c r="AJ119" s="64" t="s" ph="1">
        <v>210</v>
      </c>
      <c r="AK119" s="64" t="s" ph="1">
        <v>211</v>
      </c>
      <c r="AM119" s="64" t="s" ph="1">
        <v>210</v>
      </c>
      <c r="AN119" s="64" t="s" ph="1">
        <v>211</v>
      </c>
      <c r="AO119" s="64" t="s" ph="1">
        <v>212</v>
      </c>
      <c r="AP119" s="64" t="s" ph="1">
        <v>210</v>
      </c>
      <c r="AQ119" s="64" t="s" ph="1">
        <v>211</v>
      </c>
      <c r="AR119" s="64" t="s" ph="1">
        <v>212</v>
      </c>
      <c r="AS119" s="64" t="s" ph="1">
        <v>210</v>
      </c>
      <c r="AT119" s="64" t="s" ph="1">
        <v>211</v>
      </c>
      <c r="AU119" s="64" t="s" ph="1">
        <v>212</v>
      </c>
      <c r="AV119" s="64" t="s" ph="1">
        <v>210</v>
      </c>
      <c r="AW119" s="64" t="s" ph="1">
        <v>211</v>
      </c>
      <c r="AX119" s="64" t="s" ph="1">
        <v>212</v>
      </c>
      <c r="AY119" s="64" t="s" ph="1">
        <v>211</v>
      </c>
      <c r="AZ119" s="64" t="s" ph="1">
        <v>213</v>
      </c>
    </row>
    <row r="120" spans="33:52" ph="1">
      <c r="AG120" s="64" t="s" ph="1">
        <v>353</v>
      </c>
      <c r="AH120" s="64" ph="1">
        <v>1</v>
      </c>
      <c r="AI120" s="64" t="s" ph="1">
        <v>513</v>
      </c>
      <c r="AJ120" s="64" t="s" ph="1">
        <v>587</v>
      </c>
      <c r="AK120" s="64" t="s" ph="1">
        <v>367</v>
      </c>
      <c r="AY120" s="64" t="s" ph="1">
        <v>216</v>
      </c>
      <c r="AZ120" s="64" t="s" ph="1">
        <v>367</v>
      </c>
    </row>
    <row r="121" spans="33:52" ph="1">
      <c r="AH121" s="64" ph="1">
        <v>2</v>
      </c>
      <c r="AI121" s="64" t="s" ph="1">
        <v>514</v>
      </c>
      <c r="AY121" s="64" t="s" ph="1">
        <v>216</v>
      </c>
      <c r="AZ121" s="64" t="s" ph="1">
        <v>367</v>
      </c>
    </row>
    <row r="122" spans="33:52" ph="1">
      <c r="AH122" s="64" ph="1">
        <v>3</v>
      </c>
      <c r="AI122" s="64" t="s" ph="1">
        <v>515</v>
      </c>
      <c r="AJ122" s="64" t="s" ph="1">
        <v>570</v>
      </c>
      <c r="AK122" s="64" t="s" ph="1">
        <v>582</v>
      </c>
      <c r="AM122" s="64" t="s" ph="1">
        <v>597</v>
      </c>
      <c r="AN122" s="64" t="s" ph="1">
        <v>590</v>
      </c>
      <c r="AO122" s="64" t="s" ph="1">
        <v>91</v>
      </c>
      <c r="AY122" s="64" t="s" ph="1">
        <v>216</v>
      </c>
      <c r="AZ122" s="64" t="s" ph="1">
        <v>579</v>
      </c>
    </row>
    <row r="123" spans="33:52" ph="1">
      <c r="AY123" s="64" t="s" ph="1">
        <v>216</v>
      </c>
      <c r="AZ123" s="64" t="s" ph="1">
        <v>579</v>
      </c>
    </row>
    <row r="124" spans="33:52" ph="1">
      <c r="AG124" s="64" t="s" ph="1">
        <v>356</v>
      </c>
      <c r="AH124" s="64" ph="1">
        <v>4</v>
      </c>
      <c r="AI124" s="64" t="s" ph="1">
        <v>516</v>
      </c>
      <c r="AJ124" s="64" t="s" ph="1">
        <v>517</v>
      </c>
      <c r="AK124" s="64" t="s" ph="1">
        <v>518</v>
      </c>
      <c r="AY124" s="64" t="s" ph="1">
        <v>216</v>
      </c>
      <c r="AZ124" s="64" t="s" ph="1">
        <v>518</v>
      </c>
    </row>
    <row r="125" spans="33:52" ph="1">
      <c r="AH125" s="64" ph="1">
        <v>5</v>
      </c>
      <c r="AI125" s="64" t="s" ph="1">
        <v>519</v>
      </c>
      <c r="AJ125" s="64" t="s" ph="1">
        <v>517</v>
      </c>
      <c r="AK125" s="64" t="s" ph="1">
        <v>518</v>
      </c>
      <c r="AY125" s="64" t="s" ph="1">
        <v>216</v>
      </c>
      <c r="AZ125" s="64" t="s" ph="1">
        <v>518</v>
      </c>
    </row>
    <row r="126" spans="33:52" ph="1">
      <c r="AH126" s="64" ph="1">
        <v>6</v>
      </c>
      <c r="AI126" s="64" t="s" ph="1">
        <v>520</v>
      </c>
      <c r="AJ126" s="64" t="s" ph="1">
        <v>589</v>
      </c>
      <c r="AK126" s="64" t="s" ph="1">
        <v>598</v>
      </c>
      <c r="AY126" s="64" t="s" ph="1">
        <v>216</v>
      </c>
      <c r="AZ126" s="64" t="s" ph="1">
        <v>598</v>
      </c>
    </row>
    <row r="127" spans="33:52" ph="1">
      <c r="AH127" s="64" ph="1">
        <v>7</v>
      </c>
      <c r="AI127" s="64" t="s" ph="1">
        <v>521</v>
      </c>
      <c r="AJ127" s="64" t="s" ph="1">
        <v>589</v>
      </c>
      <c r="AK127" s="64" t="s" ph="1">
        <v>599</v>
      </c>
      <c r="AY127" s="64" t="s" ph="1">
        <v>216</v>
      </c>
      <c r="AZ127" s="64" t="s" ph="1">
        <v>599</v>
      </c>
    </row>
    <row r="128" spans="33:52" ph="1">
      <c r="AH128" s="64" ph="1">
        <v>8</v>
      </c>
      <c r="AI128" s="64" t="s" ph="1">
        <v>522</v>
      </c>
      <c r="AY128" s="64" t="s" ph="1">
        <v>216</v>
      </c>
      <c r="AZ128" s="64" t="s" ph="1">
        <v>367</v>
      </c>
    </row>
    <row r="129" spans="33:52" ph="1">
      <c r="AH129" s="64" ph="1">
        <v>9</v>
      </c>
      <c r="AI129" s="64" t="s" ph="1">
        <v>523</v>
      </c>
      <c r="AY129" s="64" t="s" ph="1">
        <v>216</v>
      </c>
      <c r="AZ129" s="64" t="s" ph="1">
        <v>367</v>
      </c>
    </row>
    <row r="130" spans="33:52" ph="1">
      <c r="AH130" s="64" ph="1">
        <v>10</v>
      </c>
      <c r="AI130" s="64" t="s" ph="1">
        <v>524</v>
      </c>
      <c r="AY130" s="64" t="s" ph="1">
        <v>216</v>
      </c>
      <c r="AZ130" s="64" t="s" ph="1">
        <v>367</v>
      </c>
    </row>
    <row r="131" spans="33:52" ph="1">
      <c r="AH131" s="64" ph="1">
        <v>11</v>
      </c>
      <c r="AI131" s="64" t="s" ph="1">
        <v>525</v>
      </c>
      <c r="AJ131" s="64" t="s" ph="1">
        <v>583</v>
      </c>
      <c r="AK131" s="64" t="s" ph="1">
        <v>579</v>
      </c>
      <c r="AY131" s="64" t="s" ph="1">
        <v>216</v>
      </c>
      <c r="AZ131" s="64" t="s" ph="1">
        <v>579</v>
      </c>
    </row>
    <row r="132" spans="33:52" ph="1">
      <c r="AH132" s="64" ph="1">
        <v>12</v>
      </c>
      <c r="AI132" s="64" t="s" ph="1">
        <v>526</v>
      </c>
      <c r="AJ132" s="64" t="s" ph="1">
        <v>583</v>
      </c>
      <c r="AK132" s="64" t="s" ph="1">
        <v>518</v>
      </c>
      <c r="AY132" s="64" t="s" ph="1">
        <v>216</v>
      </c>
      <c r="AZ132" s="64" t="s" ph="1">
        <v>518</v>
      </c>
    </row>
    <row r="133" spans="33:52" ph="1">
      <c r="AH133" s="64" ph="1">
        <v>13</v>
      </c>
      <c r="AI133" s="64" t="s" ph="1">
        <v>527</v>
      </c>
      <c r="AJ133" s="64" t="s" ph="1">
        <v>583</v>
      </c>
      <c r="AK133" s="64" t="s" ph="1">
        <v>584</v>
      </c>
      <c r="AY133" s="64" t="s" ph="1">
        <v>216</v>
      </c>
      <c r="AZ133" s="64" t="s" ph="1">
        <v>584</v>
      </c>
    </row>
    <row r="134" spans="33:52" ph="1">
      <c r="AH134" s="64" ph="1">
        <v>14</v>
      </c>
      <c r="AI134" s="64" t="s" ph="1">
        <v>528</v>
      </c>
      <c r="AJ134" s="64" t="s" ph="1">
        <v>583</v>
      </c>
      <c r="AK134" s="64" t="s" ph="1">
        <v>585</v>
      </c>
      <c r="AY134" s="64" t="s" ph="1">
        <v>216</v>
      </c>
      <c r="AZ134" s="64" t="s" ph="1">
        <v>585</v>
      </c>
    </row>
    <row r="135" spans="33:52" ph="1">
      <c r="AH135" s="64" ph="1">
        <v>15</v>
      </c>
      <c r="AI135" s="64" t="s" ph="1">
        <v>529</v>
      </c>
      <c r="AJ135" s="64" t="s" ph="1">
        <v>583</v>
      </c>
      <c r="AK135" s="64" t="s" ph="1">
        <v>586</v>
      </c>
      <c r="AY135" s="64" t="s" ph="1">
        <v>216</v>
      </c>
      <c r="AZ135" s="64" t="s" ph="1">
        <v>586</v>
      </c>
    </row>
    <row r="136" spans="33:52" ph="1">
      <c r="AZ136" s="64" t="s" ph="1">
        <v>600</v>
      </c>
    </row>
    <row r="137" spans="33:52" ph="1">
      <c r="AG137" s="64" t="s" ph="1">
        <v>290</v>
      </c>
      <c r="AI137" s="64" t="s" ph="1">
        <v>209</v>
      </c>
      <c r="AJ137" s="64" t="s" ph="1">
        <v>210</v>
      </c>
      <c r="AK137" s="64" t="s" ph="1">
        <v>211</v>
      </c>
      <c r="AM137" s="64" t="s" ph="1">
        <v>210</v>
      </c>
      <c r="AN137" s="64" t="s" ph="1">
        <v>211</v>
      </c>
      <c r="AO137" s="64" t="s" ph="1">
        <v>212</v>
      </c>
      <c r="AP137" s="64" t="s" ph="1">
        <v>210</v>
      </c>
      <c r="AQ137" s="64" t="s" ph="1">
        <v>211</v>
      </c>
      <c r="AR137" s="64" t="s" ph="1">
        <v>212</v>
      </c>
      <c r="AS137" s="64" t="s" ph="1">
        <v>210</v>
      </c>
      <c r="AT137" s="64" t="s" ph="1">
        <v>211</v>
      </c>
      <c r="AU137" s="64" t="s" ph="1">
        <v>212</v>
      </c>
      <c r="AV137" s="64" t="s" ph="1">
        <v>210</v>
      </c>
      <c r="AW137" s="64" t="s" ph="1">
        <v>211</v>
      </c>
      <c r="AX137" s="64" t="s" ph="1">
        <v>212</v>
      </c>
      <c r="AY137" s="64" t="s" ph="1">
        <v>211</v>
      </c>
      <c r="AZ137" s="64" t="s" ph="1">
        <v>213</v>
      </c>
    </row>
    <row r="138" spans="33:52" ph="1">
      <c r="AH138" s="64" ph="1">
        <v>1</v>
      </c>
      <c r="AI138" s="64" t="s" ph="1">
        <v>530</v>
      </c>
      <c r="AJ138" s="64" t="s" ph="1">
        <v>531</v>
      </c>
      <c r="AK138" s="64" t="s" ph="1">
        <v>532</v>
      </c>
      <c r="AY138" s="64" t="s" ph="1">
        <v>216</v>
      </c>
      <c r="AZ138" s="64" t="s" ph="1">
        <v>532</v>
      </c>
    </row>
    <row r="139" spans="33:52" ph="1">
      <c r="AH139" s="64" ph="1">
        <v>2</v>
      </c>
      <c r="AI139" s="64" t="s" ph="1">
        <v>533</v>
      </c>
      <c r="AJ139" s="64" t="s" ph="1">
        <v>589</v>
      </c>
      <c r="AK139" s="64" t="s" ph="1">
        <v>601</v>
      </c>
      <c r="AY139" s="64" t="s" ph="1">
        <v>216</v>
      </c>
      <c r="AZ139" s="64" t="s" ph="1">
        <v>601</v>
      </c>
    </row>
    <row r="140" spans="33:52" ph="1">
      <c r="AH140" s="64" ph="1">
        <v>3</v>
      </c>
      <c r="AI140" s="64" t="s" ph="1">
        <v>534</v>
      </c>
      <c r="AJ140" s="64" t="s" ph="1">
        <v>487</v>
      </c>
      <c r="AK140" s="64" t="s" ph="1">
        <v>299</v>
      </c>
      <c r="AM140" s="64" t="s" ph="1">
        <v>488</v>
      </c>
      <c r="AN140" s="64" t="s" ph="1">
        <v>219</v>
      </c>
      <c r="AO140" s="64" t="s" ph="1">
        <v>535</v>
      </c>
      <c r="AP140" s="64" t="s" ph="1">
        <v>489</v>
      </c>
      <c r="AQ140" s="64" t="s" ph="1">
        <v>236</v>
      </c>
      <c r="AR140" s="64" t="s" ph="1">
        <v>535</v>
      </c>
      <c r="AS140" s="64" t="s" ph="1">
        <v>490</v>
      </c>
      <c r="AT140" s="64" t="s" ph="1">
        <v>229</v>
      </c>
      <c r="AU140" s="64" t="s" ph="1">
        <v>535</v>
      </c>
      <c r="AV140" s="64" t="s" ph="1">
        <v>491</v>
      </c>
      <c r="AW140" s="64" t="s" ph="1">
        <v>222</v>
      </c>
      <c r="AX140" s="64" t="s" ph="1">
        <v>535</v>
      </c>
      <c r="AY140" s="64" t="s" ph="1">
        <v>216</v>
      </c>
      <c r="AZ140" s="64" t="s" ph="1">
        <v>291</v>
      </c>
    </row>
    <row r="141" spans="33:52" ph="1">
      <c r="AJ141" s="64" t="s" ph="1">
        <v>493</v>
      </c>
      <c r="AK141" s="64" t="s" ph="1">
        <v>222</v>
      </c>
      <c r="AM141" s="64" t="s" ph="1">
        <v>494</v>
      </c>
      <c r="AN141" s="64" t="s" ph="1">
        <v>225</v>
      </c>
      <c r="AO141" s="64" t="s" ph="1">
        <v>535</v>
      </c>
      <c r="AP141" s="64" t="s" ph="1">
        <v>506</v>
      </c>
      <c r="AQ141" s="64" t="s" ph="1">
        <v>294</v>
      </c>
      <c r="AR141" s="64" t="s" ph="1">
        <v>535</v>
      </c>
      <c r="AS141" s="64" t="s" ph="1">
        <v>498</v>
      </c>
      <c r="AT141" s="64" t="s" ph="1">
        <v>222</v>
      </c>
      <c r="AU141" s="64" t="s" ph="1">
        <v>535</v>
      </c>
      <c r="AV141" s="64" t="s" ph="1">
        <v>334</v>
      </c>
      <c r="AW141" s="64" t="s" ph="1">
        <v>228</v>
      </c>
      <c r="AX141" s="64" t="s" ph="1">
        <v>535</v>
      </c>
    </row>
    <row r="142" spans="33:52" ph="1">
      <c r="AJ142" s="64" t="s" ph="1">
        <v>536</v>
      </c>
      <c r="AK142" s="64" t="s" ph="1">
        <v>239</v>
      </c>
    </row>
    <row r="143" spans="33:52" ph="1">
      <c r="AH143" s="64" ph="1">
        <v>4</v>
      </c>
      <c r="AI143" s="64" t="s" ph="1">
        <v>537</v>
      </c>
      <c r="AJ143" s="64" t="s" ph="1">
        <v>517</v>
      </c>
      <c r="AK143" s="64" t="s" ph="1">
        <v>538</v>
      </c>
      <c r="AY143" s="64" t="s" ph="1">
        <v>216</v>
      </c>
      <c r="AZ143" s="64" t="s" ph="1">
        <v>538</v>
      </c>
    </row>
    <row r="144" spans="33:52" ph="1">
      <c r="AH144" s="64" ph="1">
        <v>5</v>
      </c>
      <c r="AI144" s="64" t="s" ph="1">
        <v>539</v>
      </c>
      <c r="AY144" s="64" t="s" ph="1">
        <v>216</v>
      </c>
      <c r="AZ144" s="64" t="s" ph="1">
        <v>367</v>
      </c>
    </row>
    <row r="145" spans="33:52" ph="1">
      <c r="AH145" s="64" ph="1">
        <v>6</v>
      </c>
      <c r="AI145" s="64" t="s" ph="1">
        <v>540</v>
      </c>
      <c r="AY145" s="64" t="s" ph="1">
        <v>216</v>
      </c>
      <c r="AZ145" s="64" t="s" ph="1">
        <v>367</v>
      </c>
    </row>
    <row r="146" spans="33:52" ph="1">
      <c r="AH146" s="64" ph="1">
        <v>7</v>
      </c>
      <c r="AI146" s="64" t="s" ph="1">
        <v>541</v>
      </c>
      <c r="AY146" s="64" t="s" ph="1">
        <v>216</v>
      </c>
      <c r="AZ146" s="64" t="s" ph="1">
        <v>367</v>
      </c>
    </row>
    <row r="147" spans="33:52" ph="1">
      <c r="AH147" s="64" ph="1">
        <v>8</v>
      </c>
      <c r="AI147" s="64" t="s" ph="1">
        <v>542</v>
      </c>
      <c r="AY147" s="64" t="s" ph="1">
        <v>216</v>
      </c>
      <c r="AZ147" s="64" t="s" ph="1">
        <v>367</v>
      </c>
    </row>
    <row r="148" spans="33:52" ph="1">
      <c r="AH148" s="64" ph="1">
        <v>9</v>
      </c>
      <c r="AI148" s="64" t="s" ph="1">
        <v>543</v>
      </c>
      <c r="AY148" s="64" t="s" ph="1">
        <v>216</v>
      </c>
      <c r="AZ148" s="64" t="s" ph="1">
        <v>367</v>
      </c>
    </row>
    <row r="149" spans="33:52" ph="1">
      <c r="AH149" s="64" ph="1">
        <v>10</v>
      </c>
      <c r="AI149" s="64" t="s" ph="1">
        <v>544</v>
      </c>
      <c r="AY149" s="64" t="s" ph="1">
        <v>216</v>
      </c>
      <c r="AZ149" s="64" t="s" ph="1">
        <v>367</v>
      </c>
    </row>
    <row r="150" spans="33:52" ph="1">
      <c r="AH150" s="64" ph="1">
        <v>11</v>
      </c>
      <c r="AI150" s="64" t="s" ph="1">
        <v>545</v>
      </c>
      <c r="AY150" s="64" t="s" ph="1">
        <v>216</v>
      </c>
      <c r="AZ150" s="64" t="s" ph="1">
        <v>367</v>
      </c>
    </row>
    <row r="151" spans="33:52" ph="1">
      <c r="AH151" s="64" ph="1">
        <v>12</v>
      </c>
      <c r="AI151" s="64" t="s" ph="1">
        <v>546</v>
      </c>
      <c r="AY151" s="64" t="s" ph="1">
        <v>216</v>
      </c>
      <c r="AZ151" s="64" t="s" ph="1">
        <v>367</v>
      </c>
    </row>
    <row r="152" spans="33:52" ph="1">
      <c r="AH152" s="64" ph="1">
        <v>13</v>
      </c>
      <c r="AI152" s="64" t="s" ph="1">
        <v>547</v>
      </c>
      <c r="AY152" s="64" t="s" ph="1">
        <v>216</v>
      </c>
      <c r="AZ152" s="64" t="s" ph="1">
        <v>367</v>
      </c>
    </row>
    <row r="153" spans="33:52" ph="1">
      <c r="AH153" s="64" ph="1">
        <v>14</v>
      </c>
      <c r="AI153" s="64" t="s" ph="1">
        <v>548</v>
      </c>
      <c r="AY153" s="64" t="s" ph="1">
        <v>216</v>
      </c>
      <c r="AZ153" s="64" t="s" ph="1">
        <v>367</v>
      </c>
    </row>
    <row r="154" spans="33:52" ph="1">
      <c r="AH154" s="64" ph="1">
        <v>15</v>
      </c>
      <c r="AI154" s="64" t="s" ph="1">
        <v>549</v>
      </c>
      <c r="AY154" s="64" t="s" ph="1">
        <v>216</v>
      </c>
      <c r="AZ154" s="64" t="s" ph="1">
        <v>367</v>
      </c>
    </row>
    <row r="155" spans="33:52" ph="1">
      <c r="AH155" s="64" ph="1">
        <v>16</v>
      </c>
      <c r="AI155" s="64" t="s" ph="1">
        <v>550</v>
      </c>
      <c r="AJ155" s="64" t="s" ph="1">
        <v>336</v>
      </c>
      <c r="AK155" s="64" t="s" ph="1">
        <v>231</v>
      </c>
      <c r="AM155" s="64" t="s" ph="1">
        <v>570</v>
      </c>
      <c r="AN155" s="64" t="s" ph="1">
        <v>282</v>
      </c>
      <c r="AO155" s="64" t="s" ph="1">
        <v>535</v>
      </c>
      <c r="AY155" s="64" t="s" ph="1">
        <v>216</v>
      </c>
      <c r="AZ155" s="64" t="s" ph="1">
        <v>223</v>
      </c>
    </row>
    <row r="156" spans="33:52" ph="1">
      <c r="AZ156" s="64" t="s" ph="1">
        <v>602</v>
      </c>
    </row>
    <row r="157" spans="33:52" ph="1">
      <c r="AG157" s="64" t="s" ph="1">
        <v>551</v>
      </c>
      <c r="AI157" s="64" t="s" ph="1">
        <v>209</v>
      </c>
      <c r="AJ157" s="64" t="s" ph="1">
        <v>210</v>
      </c>
      <c r="AK157" s="64" t="s" ph="1">
        <v>211</v>
      </c>
      <c r="AM157" s="64" t="s" ph="1">
        <v>210</v>
      </c>
      <c r="AN157" s="64" t="s" ph="1">
        <v>211</v>
      </c>
      <c r="AO157" s="64" t="s" ph="1">
        <v>212</v>
      </c>
      <c r="AP157" s="64" t="s" ph="1">
        <v>210</v>
      </c>
      <c r="AQ157" s="64" t="s" ph="1">
        <v>211</v>
      </c>
      <c r="AR157" s="64" t="s" ph="1">
        <v>212</v>
      </c>
      <c r="AS157" s="64" t="s" ph="1">
        <v>210</v>
      </c>
      <c r="AT157" s="64" t="s" ph="1">
        <v>211</v>
      </c>
      <c r="AU157" s="64" t="s" ph="1">
        <v>212</v>
      </c>
      <c r="AV157" s="64" t="s" ph="1">
        <v>210</v>
      </c>
      <c r="AW157" s="64" t="s" ph="1">
        <v>211</v>
      </c>
      <c r="AX157" s="64" t="s" ph="1">
        <v>212</v>
      </c>
      <c r="AY157" s="64" t="s" ph="1">
        <v>211</v>
      </c>
      <c r="AZ157" s="64" t="s" ph="1">
        <v>213</v>
      </c>
    </row>
    <row r="158" spans="33:52" ph="1">
      <c r="AH158" s="64" ph="1">
        <v>1</v>
      </c>
      <c r="AI158" s="64" t="s" ph="1">
        <v>552</v>
      </c>
      <c r="AY158" s="64" t="s" ph="1">
        <v>216</v>
      </c>
      <c r="AZ158" s="64" t="s" ph="1">
        <v>367</v>
      </c>
    </row>
    <row r="159" spans="33:52" ph="1">
      <c r="AH159" s="64" ph="1">
        <v>2</v>
      </c>
      <c r="AI159" s="64" t="s" ph="1">
        <v>553</v>
      </c>
      <c r="AY159" s="64" t="s" ph="1">
        <v>216</v>
      </c>
      <c r="AZ159" s="64" t="s" ph="1">
        <v>367</v>
      </c>
    </row>
    <row r="160" spans="33:52" ph="1">
      <c r="AZ160" s="64" t="s" ph="1">
        <v>385</v>
      </c>
    </row>
    <row r="161" spans="33:52" ph="1">
      <c r="AG161" s="64" t="s" ph="1">
        <v>361</v>
      </c>
      <c r="AI161" s="64" t="s" ph="1">
        <v>209</v>
      </c>
      <c r="AJ161" s="64" t="s" ph="1">
        <v>210</v>
      </c>
      <c r="AK161" s="64" t="s" ph="1">
        <v>211</v>
      </c>
      <c r="AM161" s="64" t="s" ph="1">
        <v>210</v>
      </c>
      <c r="AN161" s="64" t="s" ph="1">
        <v>211</v>
      </c>
      <c r="AO161" s="64" t="s" ph="1">
        <v>212</v>
      </c>
      <c r="AP161" s="64" t="s" ph="1">
        <v>210</v>
      </c>
      <c r="AQ161" s="64" t="s" ph="1">
        <v>211</v>
      </c>
      <c r="AR161" s="64" t="s" ph="1">
        <v>212</v>
      </c>
      <c r="AS161" s="64" t="s" ph="1">
        <v>210</v>
      </c>
      <c r="AT161" s="64" t="s" ph="1">
        <v>211</v>
      </c>
      <c r="AU161" s="64" t="s" ph="1">
        <v>212</v>
      </c>
      <c r="AV161" s="64" t="s" ph="1">
        <v>210</v>
      </c>
      <c r="AW161" s="64" t="s" ph="1">
        <v>211</v>
      </c>
      <c r="AX161" s="64" t="s" ph="1">
        <v>212</v>
      </c>
      <c r="AY161" s="64" t="s" ph="1">
        <v>211</v>
      </c>
      <c r="AZ161" s="64" t="s" ph="1">
        <v>213</v>
      </c>
    </row>
    <row r="162" spans="33:52" ph="1">
      <c r="AH162" s="64" ph="1">
        <v>1</v>
      </c>
      <c r="AI162" s="64" t="s" ph="1">
        <v>554</v>
      </c>
      <c r="AJ162" s="64" t="s" ph="1">
        <v>555</v>
      </c>
      <c r="AK162" s="64" t="s" ph="1">
        <v>499</v>
      </c>
      <c r="AM162" s="64" t="s" ph="1">
        <v>556</v>
      </c>
      <c r="AN162" s="64" t="s" ph="1">
        <v>220</v>
      </c>
      <c r="AO162" s="64" t="s" ph="1">
        <v>557</v>
      </c>
      <c r="AY162" s="64" t="s" ph="1">
        <v>216</v>
      </c>
      <c r="AZ162" s="64" t="s" ph="1">
        <v>292</v>
      </c>
    </row>
    <row r="163" spans="33:52" ph="1">
      <c r="AH163" s="64" ph="1">
        <v>2</v>
      </c>
      <c r="AI163" s="64" t="s" ph="1">
        <v>558</v>
      </c>
      <c r="AJ163" s="64" t="s" ph="1">
        <v>555</v>
      </c>
      <c r="AK163" s="64" t="s" ph="1">
        <v>388</v>
      </c>
      <c r="AY163" s="64" t="s" ph="1">
        <v>216</v>
      </c>
      <c r="AZ163" s="64" t="s" ph="1">
        <v>388</v>
      </c>
    </row>
    <row r="164" spans="33:52" ph="1">
      <c r="AH164" s="64" ph="1">
        <v>3</v>
      </c>
      <c r="AI164" s="64" t="s" ph="1">
        <v>559</v>
      </c>
      <c r="AJ164" s="64" t="s" ph="1">
        <v>555</v>
      </c>
      <c r="AK164" s="64" t="s" ph="1">
        <v>292</v>
      </c>
      <c r="AY164" s="64" t="s" ph="1">
        <v>216</v>
      </c>
      <c r="AZ164" s="64" t="s" ph="1">
        <v>292</v>
      </c>
    </row>
    <row r="165" spans="33:52" ph="1">
      <c r="AH165" s="64" ph="1">
        <v>4</v>
      </c>
      <c r="AI165" s="64" t="s" ph="1">
        <v>560</v>
      </c>
      <c r="AY165" s="64" t="s" ph="1">
        <v>216</v>
      </c>
      <c r="AZ165" s="64" t="s" ph="1">
        <v>367</v>
      </c>
    </row>
    <row r="166" spans="33:52" ph="1">
      <c r="AH166" s="64" ph="1">
        <v>5</v>
      </c>
      <c r="AI166" s="64" t="s" ph="1">
        <v>561</v>
      </c>
      <c r="AY166" s="64" t="s" ph="1">
        <v>216</v>
      </c>
      <c r="AZ166" s="64" t="s" ph="1">
        <v>367</v>
      </c>
    </row>
    <row r="167" spans="33:52" ph="1">
      <c r="AZ167" s="64" t="s" ph="1">
        <v>562</v>
      </c>
    </row>
    <row r="168" spans="33:52" ph="1">
      <c r="AG168" s="64" t="s" ph="1">
        <v>305</v>
      </c>
      <c r="AI168" s="64" t="s" ph="1">
        <v>209</v>
      </c>
      <c r="AJ168" s="64" t="s" ph="1">
        <v>210</v>
      </c>
      <c r="AK168" s="64" t="s" ph="1">
        <v>211</v>
      </c>
      <c r="AM168" s="64" t="s" ph="1">
        <v>210</v>
      </c>
      <c r="AN168" s="64" t="s" ph="1">
        <v>211</v>
      </c>
      <c r="AO168" s="64" t="s" ph="1">
        <v>212</v>
      </c>
      <c r="AP168" s="64" t="s" ph="1">
        <v>210</v>
      </c>
      <c r="AQ168" s="64" t="s" ph="1">
        <v>211</v>
      </c>
      <c r="AR168" s="64" t="s" ph="1">
        <v>212</v>
      </c>
      <c r="AS168" s="64" t="s" ph="1">
        <v>210</v>
      </c>
      <c r="AT168" s="64" t="s" ph="1">
        <v>211</v>
      </c>
      <c r="AU168" s="64" t="s" ph="1">
        <v>212</v>
      </c>
      <c r="AV168" s="64" t="s" ph="1">
        <v>210</v>
      </c>
      <c r="AW168" s="64" t="s" ph="1">
        <v>211</v>
      </c>
      <c r="AX168" s="64" t="s" ph="1">
        <v>212</v>
      </c>
      <c r="AY168" s="64" t="s" ph="1">
        <v>211</v>
      </c>
      <c r="AZ168" s="64" t="s" ph="1">
        <v>213</v>
      </c>
    </row>
    <row r="169" spans="33:52" ph="1">
      <c r="AH169" s="64" ph="1">
        <v>1</v>
      </c>
      <c r="AI169" s="64" t="s" ph="1">
        <v>563</v>
      </c>
      <c r="AY169" s="64" t="s" ph="1">
        <v>216</v>
      </c>
      <c r="AZ169" s="64" t="s" ph="1">
        <v>367</v>
      </c>
    </row>
    <row r="170" spans="33:52" ph="1">
      <c r="AH170" s="64" ph="1">
        <v>2</v>
      </c>
      <c r="AI170" s="64" t="s" ph="1">
        <v>564</v>
      </c>
      <c r="AY170" s="64" t="s" ph="1">
        <v>216</v>
      </c>
      <c r="AZ170" s="64" t="s" ph="1">
        <v>367</v>
      </c>
    </row>
    <row r="171" spans="33:52" ph="1">
      <c r="AH171" s="64" ph="1">
        <v>3</v>
      </c>
      <c r="AI171" s="64" t="s" ph="1">
        <v>565</v>
      </c>
      <c r="AY171" s="64" t="s" ph="1">
        <v>216</v>
      </c>
      <c r="AZ171" s="64" t="s" ph="1">
        <v>367</v>
      </c>
    </row>
    <row r="172" spans="33:52" ph="1">
      <c r="AH172" s="64" ph="1">
        <v>4</v>
      </c>
      <c r="AI172" s="64" t="s" ph="1">
        <v>566</v>
      </c>
      <c r="AY172" s="64" t="s" ph="1">
        <v>216</v>
      </c>
      <c r="AZ172" s="64" t="s" ph="1">
        <v>367</v>
      </c>
    </row>
    <row r="173" spans="33:52" ph="1">
      <c r="AH173" s="64" ph="1">
        <v>5</v>
      </c>
      <c r="AI173" s="64" t="s" ph="1">
        <v>567</v>
      </c>
      <c r="AY173" s="64" t="s" ph="1">
        <v>216</v>
      </c>
      <c r="AZ173" s="64" t="s" ph="1">
        <v>367</v>
      </c>
    </row>
    <row r="174" spans="33:52" ph="1">
      <c r="AZ174" s="64" t="s" ph="1">
        <v>385</v>
      </c>
    </row>
    <row r="175" spans="33:52" ph="1">
      <c r="AJ175" s="64" t="s" ph="1">
        <v>306</v>
      </c>
    </row>
    <row r="176" spans="33:52" ph="1">
      <c r="AJ176" s="64" t="s" ph="1">
        <v>307</v>
      </c>
      <c r="AK176" s="64" t="s" ph="1">
        <v>308</v>
      </c>
      <c r="AM176" s="64" t="s" ph="1">
        <v>309</v>
      </c>
      <c r="AO176" s="64" t="s" ph="1">
        <v>310</v>
      </c>
      <c r="AP176" s="64" t="s" ph="1">
        <v>311</v>
      </c>
      <c r="AQ176" s="64" t="s" ph="1">
        <v>301</v>
      </c>
      <c r="AR176" s="64" t="s" ph="1">
        <v>221</v>
      </c>
    </row>
    <row r="177" spans="36:56" ph="1">
      <c r="AJ177" s="64" t="s" ph="1">
        <v>603</v>
      </c>
      <c r="AK177" s="64" t="s" ph="1">
        <v>312</v>
      </c>
      <c r="AO177" s="64" t="s" ph="1">
        <v>312</v>
      </c>
      <c r="AP177" s="64" t="s" ph="1">
        <v>312</v>
      </c>
      <c r="AQ177" s="64" t="s" ph="1">
        <v>313</v>
      </c>
      <c r="AR177" s="64" t="s" ph="1">
        <v>314</v>
      </c>
    </row>
    <row r="179" spans="36:56" ph="1">
      <c r="AJ179" s="64" t="s" ph="1">
        <v>315</v>
      </c>
      <c r="AK179" s="64" t="s" ph="1">
        <v>316</v>
      </c>
      <c r="AM179" s="64" t="s" ph="1">
        <v>317</v>
      </c>
      <c r="AN179" s="64" t="s" ph="1">
        <v>293</v>
      </c>
      <c r="AO179" s="64" t="s" ph="1">
        <v>318</v>
      </c>
      <c r="AP179" s="64" t="s" ph="1">
        <v>297</v>
      </c>
      <c r="AQ179" s="64" t="s" ph="1">
        <v>319</v>
      </c>
      <c r="AR179" s="64" t="s" ph="1">
        <v>320</v>
      </c>
    </row>
    <row r="180" spans="36:56" ph="1">
      <c r="AJ180" s="64" t="s" ph="1">
        <v>312</v>
      </c>
      <c r="AK180" s="64" t="s" ph="1">
        <v>312</v>
      </c>
      <c r="AL180" s="64" ph="1">
        <v>116</v>
      </c>
      <c r="AM180" s="64" t="s" ph="1">
        <v>312</v>
      </c>
      <c r="AN180" s="64" t="s" ph="1">
        <v>321</v>
      </c>
      <c r="AO180" s="64" t="s" ph="1">
        <v>312</v>
      </c>
      <c r="AP180" s="64" t="s" ph="1">
        <v>322</v>
      </c>
      <c r="AQ180" s="64" t="s" ph="1">
        <v>323</v>
      </c>
      <c r="AR180" s="64" t="s" ph="1">
        <v>324</v>
      </c>
    </row>
    <row r="189" spans="36:56" ph="1">
      <c r="BD189" s="64" t="s" ph="1">
        <v>568</v>
      </c>
    </row>
    <row r="223" spans="18:18" ph="1">
      <c r="R223" s="135" ph="1">
        <v>45496</v>
      </c>
    </row>
  </sheetData>
  <mergeCells count="58">
    <mergeCell ref="Z22:AE22"/>
    <mergeCell ref="Z23:AE29"/>
    <mergeCell ref="B24:B26"/>
    <mergeCell ref="B27:B29"/>
    <mergeCell ref="B1:AE1"/>
    <mergeCell ref="B2:AE2"/>
    <mergeCell ref="B3:AE3"/>
    <mergeCell ref="B4:B5"/>
    <mergeCell ref="B6:B8"/>
    <mergeCell ref="B9:B11"/>
    <mergeCell ref="P31:R31"/>
    <mergeCell ref="B13:B14"/>
    <mergeCell ref="B15:B17"/>
    <mergeCell ref="B18:B20"/>
    <mergeCell ref="B22:B23"/>
    <mergeCell ref="B31:C32"/>
    <mergeCell ref="D31:F31"/>
    <mergeCell ref="G31:I31"/>
    <mergeCell ref="J31:L31"/>
    <mergeCell ref="M31:O31"/>
    <mergeCell ref="B33:C34"/>
    <mergeCell ref="D33:D34"/>
    <mergeCell ref="E33:E34"/>
    <mergeCell ref="F33:F34"/>
    <mergeCell ref="G33:G34"/>
    <mergeCell ref="S31:U31"/>
    <mergeCell ref="V31:X31"/>
    <mergeCell ref="Y31:AA31"/>
    <mergeCell ref="AB31:AE31"/>
    <mergeCell ref="AD32:AE32"/>
    <mergeCell ref="S33:S34"/>
    <mergeCell ref="H33:H34"/>
    <mergeCell ref="I33:I34"/>
    <mergeCell ref="J33:J34"/>
    <mergeCell ref="K33:K34"/>
    <mergeCell ref="L33:L34"/>
    <mergeCell ref="M33:M34"/>
    <mergeCell ref="N33:N34"/>
    <mergeCell ref="O33:O34"/>
    <mergeCell ref="P33:P34"/>
    <mergeCell ref="Q33:Q34"/>
    <mergeCell ref="R33:R34"/>
    <mergeCell ref="I36:J36"/>
    <mergeCell ref="R36:S36"/>
    <mergeCell ref="AB36:AC36"/>
    <mergeCell ref="AD36:AE36"/>
    <mergeCell ref="Z33:Z34"/>
    <mergeCell ref="AA33:AA34"/>
    <mergeCell ref="AB33:AB34"/>
    <mergeCell ref="AC33:AC34"/>
    <mergeCell ref="AD33:AE34"/>
    <mergeCell ref="AC35:AE35"/>
    <mergeCell ref="T33:T34"/>
    <mergeCell ref="U33:U34"/>
    <mergeCell ref="V33:V34"/>
    <mergeCell ref="W33:W34"/>
    <mergeCell ref="X33:X34"/>
    <mergeCell ref="Y33:Y34"/>
  </mergeCells>
  <phoneticPr fontId="2" type="noConversion"/>
  <conditionalFormatting sqref="D4:D11">
    <cfRule type="expression" dxfId="1462" priority="103">
      <formula>ABS(D$7-D$10)&gt;=1000</formula>
    </cfRule>
  </conditionalFormatting>
  <conditionalFormatting sqref="E4 E6:E11">
    <cfRule type="expression" dxfId="1461" priority="102">
      <formula>ABS(E$7-E$10)&gt;=1000</formula>
    </cfRule>
  </conditionalFormatting>
  <conditionalFormatting sqref="F4:F11">
    <cfRule type="expression" dxfId="1460" priority="101">
      <formula>ABS(F$7-F$10)&gt;=1000</formula>
    </cfRule>
  </conditionalFormatting>
  <conditionalFormatting sqref="G4:G11">
    <cfRule type="expression" dxfId="1459" priority="100">
      <formula>ABS(G$7-G$10)&gt;=1000</formula>
    </cfRule>
  </conditionalFormatting>
  <conditionalFormatting sqref="H4:H11">
    <cfRule type="expression" dxfId="1458" priority="99">
      <formula>ABS(H$7-H$10)&gt;=1000</formula>
    </cfRule>
  </conditionalFormatting>
  <conditionalFormatting sqref="I4:I11">
    <cfRule type="expression" dxfId="1457" priority="98">
      <formula>ABS(I$7-I$10)&gt;=1000</formula>
    </cfRule>
  </conditionalFormatting>
  <conditionalFormatting sqref="J4:J11">
    <cfRule type="expression" dxfId="1456" priority="97">
      <formula>ABS(J$7-J$10)&gt;=1000</formula>
    </cfRule>
  </conditionalFormatting>
  <conditionalFormatting sqref="K4:K11">
    <cfRule type="expression" dxfId="1455" priority="96">
      <formula>ABS(K$7-K$10)&gt;=1000</formula>
    </cfRule>
  </conditionalFormatting>
  <conditionalFormatting sqref="L4:L11">
    <cfRule type="expression" dxfId="1454" priority="95">
      <formula>ABS(L$7-L$10)&gt;=1000</formula>
    </cfRule>
  </conditionalFormatting>
  <conditionalFormatting sqref="M4 M6:M11">
    <cfRule type="expression" dxfId="1453" priority="94">
      <formula>ABS(M$7-M$10)&gt;=1000</formula>
    </cfRule>
  </conditionalFormatting>
  <conditionalFormatting sqref="N4 N6:N11">
    <cfRule type="expression" dxfId="1452" priority="93">
      <formula>ABS(N$7-N$10)&gt;=1000</formula>
    </cfRule>
  </conditionalFormatting>
  <conditionalFormatting sqref="O4 O6:O11">
    <cfRule type="expression" dxfId="1451" priority="92">
      <formula>ABS(O$7-O$10)&gt;=1000</formula>
    </cfRule>
  </conditionalFormatting>
  <conditionalFormatting sqref="P4 P6:P11">
    <cfRule type="expression" dxfId="1450" priority="91">
      <formula>ABS(P$7-P$10)&gt;=1000</formula>
    </cfRule>
  </conditionalFormatting>
  <conditionalFormatting sqref="Q4:Q11">
    <cfRule type="expression" dxfId="1449" priority="90">
      <formula>ABS(Q$7-Q$10)&gt;=1000</formula>
    </cfRule>
  </conditionalFormatting>
  <conditionalFormatting sqref="R4:R11">
    <cfRule type="expression" dxfId="1448" priority="89">
      <formula>ABS(R$7-R$10)&gt;=1000</formula>
    </cfRule>
  </conditionalFormatting>
  <conditionalFormatting sqref="S4:S11">
    <cfRule type="expression" dxfId="1447" priority="88">
      <formula>ABS(S$7-S$10)&gt;=1000</formula>
    </cfRule>
  </conditionalFormatting>
  <conditionalFormatting sqref="T4:T9 T11">
    <cfRule type="expression" dxfId="1446" priority="87">
      <formula>ABS(T$7-T$10)&gt;=1000</formula>
    </cfRule>
  </conditionalFormatting>
  <conditionalFormatting sqref="U4:U9 U11">
    <cfRule type="expression" dxfId="1445" priority="86">
      <formula>ABS(U$7-U$10)&gt;=1000</formula>
    </cfRule>
  </conditionalFormatting>
  <conditionalFormatting sqref="V4:V9 V11">
    <cfRule type="expression" dxfId="1444" priority="85">
      <formula>ABS(V$7-V$10)&gt;=1000</formula>
    </cfRule>
  </conditionalFormatting>
  <conditionalFormatting sqref="W4:W9 W11">
    <cfRule type="expression" dxfId="1443" priority="84">
      <formula>ABS(W$7-W$10)&gt;=1000</formula>
    </cfRule>
  </conditionalFormatting>
  <conditionalFormatting sqref="X4:X9 X11">
    <cfRule type="expression" dxfId="1442" priority="83">
      <formula>ABS(X$7-X$10)&gt;=1000</formula>
    </cfRule>
  </conditionalFormatting>
  <conditionalFormatting sqref="Y4:Y9 Y11">
    <cfRule type="expression" dxfId="1441" priority="82">
      <formula>ABS(Y$7-Y$10)&gt;=1000</formula>
    </cfRule>
  </conditionalFormatting>
  <conditionalFormatting sqref="Z4:Z11">
    <cfRule type="expression" dxfId="1440" priority="81">
      <formula>ABS(Z$7-Z$10)&gt;=1000</formula>
    </cfRule>
  </conditionalFormatting>
  <conditionalFormatting sqref="AA4:AA11">
    <cfRule type="expression" dxfId="1439" priority="80">
      <formula>ABS(AA$7-AA$10)&gt;=1000</formula>
    </cfRule>
  </conditionalFormatting>
  <conditionalFormatting sqref="AB4:AB11">
    <cfRule type="expression" dxfId="1438" priority="79">
      <formula>ABS(AB$7-AB$10)&gt;=1000</formula>
    </cfRule>
  </conditionalFormatting>
  <conditionalFormatting sqref="AC4 AC6:AC11">
    <cfRule type="expression" dxfId="1437" priority="78">
      <formula>ABS(AC$7-AC$10)&gt;=1000</formula>
    </cfRule>
  </conditionalFormatting>
  <conditionalFormatting sqref="AD4 AD6:AD11">
    <cfRule type="expression" dxfId="1436" priority="77">
      <formula>ABS(AD$7-AD$10)&gt;=1000</formula>
    </cfRule>
  </conditionalFormatting>
  <conditionalFormatting sqref="AE4 AE6:AE11">
    <cfRule type="expression" dxfId="1435" priority="76">
      <formula>ABS(AE$7-AE$10)&gt;=1000</formula>
    </cfRule>
  </conditionalFormatting>
  <conditionalFormatting sqref="D13:D20">
    <cfRule type="expression" dxfId="1434" priority="75">
      <formula>ABS(D$16-D$19)&gt;=1000</formula>
    </cfRule>
  </conditionalFormatting>
  <conditionalFormatting sqref="E13:E20">
    <cfRule type="expression" dxfId="1433" priority="74">
      <formula>ABS(E$16-E$19)&gt;=1000</formula>
    </cfRule>
  </conditionalFormatting>
  <conditionalFormatting sqref="F13 F15:F20">
    <cfRule type="expression" dxfId="1432" priority="73">
      <formula>ABS(F$16-F$19)&gt;=1000</formula>
    </cfRule>
  </conditionalFormatting>
  <conditionalFormatting sqref="G13:G20">
    <cfRule type="expression" dxfId="1431" priority="72">
      <formula>ABS(G$16-G$19)&gt;=1000</formula>
    </cfRule>
  </conditionalFormatting>
  <conditionalFormatting sqref="H13 H15:H20">
    <cfRule type="expression" dxfId="1430" priority="71">
      <formula>ABS(H$16-H$19)&gt;=1000</formula>
    </cfRule>
  </conditionalFormatting>
  <conditionalFormatting sqref="I13:I20">
    <cfRule type="expression" dxfId="1429" priority="70">
      <formula>ABS(I$16-I$19)&gt;=1000</formula>
    </cfRule>
  </conditionalFormatting>
  <conditionalFormatting sqref="J13:J20">
    <cfRule type="expression" dxfId="1428" priority="69">
      <formula>ABS(J$16-J$19)&gt;=1000</formula>
    </cfRule>
  </conditionalFormatting>
  <conditionalFormatting sqref="L13:L20">
    <cfRule type="expression" dxfId="1427" priority="68">
      <formula>ABS(L$16-L$19)&gt;=1000</formula>
    </cfRule>
  </conditionalFormatting>
  <conditionalFormatting sqref="M13 M15 M17:M18 M20">
    <cfRule type="expression" dxfId="1426" priority="67">
      <formula>ABS(M$16-M$19)&gt;=1000</formula>
    </cfRule>
  </conditionalFormatting>
  <conditionalFormatting sqref="N13:N20">
    <cfRule type="expression" dxfId="1425" priority="66">
      <formula>ABS(N$16-N$19)&gt;=1000</formula>
    </cfRule>
  </conditionalFormatting>
  <conditionalFormatting sqref="O13:O20">
    <cfRule type="expression" dxfId="1424" priority="65">
      <formula>ABS(O$16-O$19)&gt;=1000</formula>
    </cfRule>
  </conditionalFormatting>
  <conditionalFormatting sqref="P13:P20">
    <cfRule type="expression" dxfId="1423" priority="64">
      <formula>ABS(P$16-P$19)&gt;=1000</formula>
    </cfRule>
  </conditionalFormatting>
  <conditionalFormatting sqref="Q13 Q15:Q20">
    <cfRule type="expression" dxfId="1422" priority="63">
      <formula>ABS(Q$16-Q$19)&gt;=1000</formula>
    </cfRule>
  </conditionalFormatting>
  <conditionalFormatting sqref="R13 R15:R20">
    <cfRule type="expression" dxfId="1421" priority="62">
      <formula>ABS(R$16-R$19)&gt;=1000</formula>
    </cfRule>
  </conditionalFormatting>
  <conditionalFormatting sqref="S13:S20">
    <cfRule type="expression" dxfId="1420" priority="61">
      <formula>ABS(S$16-S$19)&gt;=1000</formula>
    </cfRule>
  </conditionalFormatting>
  <conditionalFormatting sqref="T13:T15 T17:T20">
    <cfRule type="expression" dxfId="1419" priority="60">
      <formula>ABS(T$16-T$19)&gt;=1000</formula>
    </cfRule>
  </conditionalFormatting>
  <conditionalFormatting sqref="U13:U20">
    <cfRule type="expression" dxfId="1418" priority="59">
      <formula>ABS(U$16-U$19)&gt;=1000</formula>
    </cfRule>
  </conditionalFormatting>
  <conditionalFormatting sqref="V13:V20">
    <cfRule type="expression" dxfId="1417" priority="58">
      <formula>ABS(V$16-V$19)&gt;=1000</formula>
    </cfRule>
  </conditionalFormatting>
  <conditionalFormatting sqref="W13 W20 W15:W18">
    <cfRule type="expression" dxfId="1416" priority="57">
      <formula>ABS(W$16-W$19)&gt;=1000</formula>
    </cfRule>
  </conditionalFormatting>
  <conditionalFormatting sqref="X13 X15:X20 Y19">
    <cfRule type="expression" dxfId="1415" priority="56">
      <formula>ABS(X$16-X$19)&gt;=1000</formula>
    </cfRule>
  </conditionalFormatting>
  <conditionalFormatting sqref="Y13 Y15:Y18 Y20">
    <cfRule type="expression" dxfId="1414" priority="55">
      <formula>ABS(Y$16-Y$19)&gt;=1000</formula>
    </cfRule>
  </conditionalFormatting>
  <conditionalFormatting sqref="Z13:Z20">
    <cfRule type="expression" dxfId="1413" priority="54">
      <formula>ABS(Z$16-Z$19)&gt;=1000</formula>
    </cfRule>
  </conditionalFormatting>
  <conditionalFormatting sqref="AA13:AA20">
    <cfRule type="expression" dxfId="1412" priority="53">
      <formula>ABS(AA$16-AA$19)&gt;=1000</formula>
    </cfRule>
  </conditionalFormatting>
  <conditionalFormatting sqref="AB13 AB15:AB20">
    <cfRule type="expression" dxfId="1411" priority="52">
      <formula>ABS(AB$16-AB$19)&gt;=1000</formula>
    </cfRule>
  </conditionalFormatting>
  <conditionalFormatting sqref="AC13 AC15:AC20">
    <cfRule type="expression" dxfId="1410" priority="51">
      <formula>ABS(AC$16-AC$19)&gt;=1000</formula>
    </cfRule>
  </conditionalFormatting>
  <conditionalFormatting sqref="AD13:AD20">
    <cfRule type="expression" dxfId="1409" priority="50">
      <formula>ABS(AD$16-AD$19)&gt;=1000</formula>
    </cfRule>
  </conditionalFormatting>
  <conditionalFormatting sqref="AE13:AE20">
    <cfRule type="expression" dxfId="1408" priority="49">
      <formula>ABS(AE$16-AE$19)&gt;=1000</formula>
    </cfRule>
  </conditionalFormatting>
  <conditionalFormatting sqref="D22:D29">
    <cfRule type="expression" dxfId="1407" priority="48">
      <formula>ABS(D$25-D$28)&gt;=1000</formula>
    </cfRule>
  </conditionalFormatting>
  <conditionalFormatting sqref="E22:E29">
    <cfRule type="expression" dxfId="1406" priority="47">
      <formula>ABS(E$25-E$28)&gt;=1000</formula>
    </cfRule>
  </conditionalFormatting>
  <conditionalFormatting sqref="F22:F29">
    <cfRule type="expression" dxfId="1405" priority="46">
      <formula>ABS(F$25-F$28)&gt;=1000</formula>
    </cfRule>
  </conditionalFormatting>
  <conditionalFormatting sqref="G22:G29">
    <cfRule type="expression" dxfId="1404" priority="45">
      <formula>ABS(G$25-G$28)&gt;=1000</formula>
    </cfRule>
  </conditionalFormatting>
  <conditionalFormatting sqref="H22:H29">
    <cfRule type="expression" dxfId="1403" priority="44">
      <formula>ABS(H$25-H$28)&gt;=1000</formula>
    </cfRule>
  </conditionalFormatting>
  <conditionalFormatting sqref="I22 I24:I29">
    <cfRule type="expression" dxfId="1402" priority="43">
      <formula>ABS(I$25-I$28)&gt;=1000</formula>
    </cfRule>
  </conditionalFormatting>
  <conditionalFormatting sqref="J22:J29 K22">
    <cfRule type="expression" dxfId="1401" priority="42">
      <formula>ABS(J$25-J$28)&gt;=1000</formula>
    </cfRule>
  </conditionalFormatting>
  <conditionalFormatting sqref="K23:K29 L25 L28">
    <cfRule type="expression" dxfId="1400" priority="41">
      <formula>ABS(K$25-K$28)&gt;=1000</formula>
    </cfRule>
  </conditionalFormatting>
  <conditionalFormatting sqref="L22 L26:L27 L29 L24">
    <cfRule type="expression" dxfId="1399" priority="40">
      <formula>ABS(L$25-L$28)&gt;=1000</formula>
    </cfRule>
  </conditionalFormatting>
  <conditionalFormatting sqref="M22:M29">
    <cfRule type="expression" dxfId="1398" priority="39">
      <formula>ABS(M$25-M$28)&gt;=1000</formula>
    </cfRule>
  </conditionalFormatting>
  <conditionalFormatting sqref="N22:N29">
    <cfRule type="expression" dxfId="1397" priority="38">
      <formula>ABS(N$25-N$28)&gt;=1000</formula>
    </cfRule>
  </conditionalFormatting>
  <conditionalFormatting sqref="O22 O24:O29">
    <cfRule type="expression" dxfId="1396" priority="37">
      <formula>ABS(O$25-O$28)&gt;=1000</formula>
    </cfRule>
  </conditionalFormatting>
  <conditionalFormatting sqref="P22:P29">
    <cfRule type="expression" dxfId="1395" priority="36">
      <formula>ABS(P$25-P$28)&gt;=1000</formula>
    </cfRule>
  </conditionalFormatting>
  <conditionalFormatting sqref="Q22:Q29">
    <cfRule type="expression" dxfId="1394" priority="35">
      <formula>ABS(Q$25-Q$28)&gt;=1000</formula>
    </cfRule>
  </conditionalFormatting>
  <conditionalFormatting sqref="R22:R29">
    <cfRule type="expression" dxfId="1393" priority="34">
      <formula>ABS(R$25-R$28)&gt;=1000</formula>
    </cfRule>
  </conditionalFormatting>
  <conditionalFormatting sqref="S22:S29">
    <cfRule type="expression" dxfId="1392" priority="33">
      <formula>ABS(S$25-S$28)&gt;=1000</formula>
    </cfRule>
  </conditionalFormatting>
  <conditionalFormatting sqref="T22:T29">
    <cfRule type="expression" dxfId="1391" priority="32">
      <formula>ABS(T$25-T$28)&gt;=1000</formula>
    </cfRule>
  </conditionalFormatting>
  <conditionalFormatting sqref="U22:U29">
    <cfRule type="expression" dxfId="1390" priority="31">
      <formula>ABS(U$25-U$28)&gt;=1000</formula>
    </cfRule>
  </conditionalFormatting>
  <conditionalFormatting sqref="V22:V29">
    <cfRule type="expression" dxfId="1389" priority="30">
      <formula>ABS(V$25-V$28)&gt;=1000</formula>
    </cfRule>
  </conditionalFormatting>
  <conditionalFormatting sqref="W22:W29">
    <cfRule type="expression" dxfId="1388" priority="29">
      <formula>ABS(W$25-W$28)&gt;=1000</formula>
    </cfRule>
  </conditionalFormatting>
  <conditionalFormatting sqref="X22:X29">
    <cfRule type="expression" dxfId="1387" priority="28">
      <formula>ABS(X$25-X$28)&gt;=1000</formula>
    </cfRule>
  </conditionalFormatting>
  <conditionalFormatting sqref="Y22:Y29">
    <cfRule type="expression" dxfId="1386" priority="27">
      <formula>ABS(Y$25-Y$28)&gt;=1000</formula>
    </cfRule>
  </conditionalFormatting>
  <conditionalFormatting sqref="I23">
    <cfRule type="expression" dxfId="1385" priority="26">
      <formula>ABS(I$25-I$28)&gt;=1000</formula>
    </cfRule>
  </conditionalFormatting>
  <conditionalFormatting sqref="Q14">
    <cfRule type="expression" dxfId="1384" priority="25">
      <formula>ABS(Q$16-Q$19)&gt;=1000</formula>
    </cfRule>
  </conditionalFormatting>
  <conditionalFormatting sqref="W14">
    <cfRule type="expression" dxfId="1383" priority="24">
      <formula>ABS(W$16-W$19)&gt;=1000</formula>
    </cfRule>
  </conditionalFormatting>
  <conditionalFormatting sqref="X14">
    <cfRule type="expression" dxfId="1382" priority="23">
      <formula>ABS(X$16-X$19)&gt;=1000</formula>
    </cfRule>
  </conditionalFormatting>
  <conditionalFormatting sqref="T10:Y10">
    <cfRule type="expression" dxfId="1381" priority="22">
      <formula>ABS(T$7-T$10)&gt;=1000</formula>
    </cfRule>
  </conditionalFormatting>
  <conditionalFormatting sqref="W19">
    <cfRule type="expression" dxfId="1380" priority="21">
      <formula>ABS(W$16-W$19)&gt;=1000</formula>
    </cfRule>
  </conditionalFormatting>
  <conditionalFormatting sqref="AC5">
    <cfRule type="expression" dxfId="1379" priority="20">
      <formula>ABS(AC$7-AC$10)&gt;=1000</formula>
    </cfRule>
  </conditionalFormatting>
  <conditionalFormatting sqref="M14">
    <cfRule type="expression" dxfId="1378" priority="19">
      <formula>ABS(M$16-M$19)&gt;=1000</formula>
    </cfRule>
  </conditionalFormatting>
  <conditionalFormatting sqref="M16">
    <cfRule type="expression" dxfId="1377" priority="18">
      <formula>ABS(M$16-M$19)&gt;=1000</formula>
    </cfRule>
  </conditionalFormatting>
  <conditionalFormatting sqref="M19">
    <cfRule type="expression" dxfId="1376" priority="17">
      <formula>ABS(M$16-M$19)&gt;=1000</formula>
    </cfRule>
  </conditionalFormatting>
  <conditionalFormatting sqref="K13:K20">
    <cfRule type="expression" dxfId="1375" priority="16">
      <formula>ABS(K$16-K$19)&gt;=1000</formula>
    </cfRule>
  </conditionalFormatting>
  <conditionalFormatting sqref="E5">
    <cfRule type="expression" dxfId="1374" priority="15">
      <formula>ABS(E$7-E$10)&gt;=1000</formula>
    </cfRule>
  </conditionalFormatting>
  <conditionalFormatting sqref="AB14:AC14">
    <cfRule type="expression" dxfId="1373" priority="14">
      <formula>ABS(AB$16-AB$19)&gt;=1000</formula>
    </cfRule>
  </conditionalFormatting>
  <conditionalFormatting sqref="M5">
    <cfRule type="expression" dxfId="1372" priority="13">
      <formula>ABS(M$7-M$10)&gt;=1000</formula>
    </cfRule>
  </conditionalFormatting>
  <conditionalFormatting sqref="N5">
    <cfRule type="expression" dxfId="1371" priority="12">
      <formula>ABS(N$7-N$10)&gt;=1000</formula>
    </cfRule>
  </conditionalFormatting>
  <conditionalFormatting sqref="O5">
    <cfRule type="expression" dxfId="1370" priority="11">
      <formula>ABS(O$7-O$10)&gt;=1000</formula>
    </cfRule>
  </conditionalFormatting>
  <conditionalFormatting sqref="P5">
    <cfRule type="expression" dxfId="1369" priority="10">
      <formula>ABS(P$7-P$10)&gt;=1000</formula>
    </cfRule>
  </conditionalFormatting>
  <conditionalFormatting sqref="L23">
    <cfRule type="expression" dxfId="1368" priority="9">
      <formula>ABS(L$25-L$28)&gt;=1000</formula>
    </cfRule>
  </conditionalFormatting>
  <conditionalFormatting sqref="Y14">
    <cfRule type="expression" dxfId="1367" priority="8">
      <formula>ABS(Y$16-Y$19)&gt;=1000</formula>
    </cfRule>
  </conditionalFormatting>
  <conditionalFormatting sqref="H14">
    <cfRule type="expression" dxfId="1366" priority="7">
      <formula>ABS(H$16-H$19)&gt;=1000</formula>
    </cfRule>
  </conditionalFormatting>
  <conditionalFormatting sqref="AD5">
    <cfRule type="expression" dxfId="1365" priority="6">
      <formula>ABS(AD$7-AD$10)&gt;=1000</formula>
    </cfRule>
  </conditionalFormatting>
  <conditionalFormatting sqref="AE5">
    <cfRule type="expression" dxfId="1364" priority="5">
      <formula>ABS(AE$7-AE$10)&gt;=1000</formula>
    </cfRule>
  </conditionalFormatting>
  <conditionalFormatting sqref="T16">
    <cfRule type="expression" dxfId="1363" priority="4">
      <formula>ABS(T$16-T$19)&gt;=1000</formula>
    </cfRule>
  </conditionalFormatting>
  <conditionalFormatting sqref="F14">
    <cfRule type="expression" dxfId="1362" priority="3">
      <formula>ABS(F$16-F$19)&gt;=1000</formula>
    </cfRule>
  </conditionalFormatting>
  <conditionalFormatting sqref="R14">
    <cfRule type="expression" dxfId="1361" priority="2">
      <formula>ABS(R$16-R$19)&gt;=1000</formula>
    </cfRule>
  </conditionalFormatting>
  <conditionalFormatting sqref="O23">
    <cfRule type="expression" dxfId="1360" priority="1">
      <formula>ABS(O$25-O$28)&gt;=1000</formula>
    </cfRule>
  </conditionalFormatting>
  <dataValidations count="1">
    <dataValidation operator="greaterThanOrEqual" allowBlank="1" showErrorMessage="1" sqref="D6"/>
  </dataValidations>
  <printOptions horizontalCentered="1"/>
  <pageMargins left="0.39370078740157483" right="0.39370078740157483" top="0.39370078740157483" bottom="0.39370078740157483" header="0.51181102362204722" footer="0.51181102362204722"/>
  <pageSetup paperSize="9" scale="60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4481" r:id="rId4" name="Button 1">
              <controlPr defaultSize="0" print="0" autoFill="0" autoPict="0">
                <anchor moveWithCells="1">
                  <from>
                    <xdr:col>31</xdr:col>
                    <xdr:colOff>0</xdr:colOff>
                    <xdr:row>0</xdr:row>
                    <xdr:rowOff>342900</xdr:rowOff>
                  </from>
                  <to>
                    <xdr:col>32</xdr:col>
                    <xdr:colOff>411480</xdr:colOff>
                    <xdr:row>3</xdr:row>
                    <xdr:rowOff>30480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976">
    <pageSetUpPr fitToPage="1"/>
  </sheetPr>
  <dimension ref="A1:CU223"/>
  <sheetViews>
    <sheetView view="pageBreakPreview" topLeftCell="B1" zoomScale="85" zoomScaleNormal="100" zoomScaleSheetLayoutView="85" workbookViewId="0">
      <selection activeCell="Z23" sqref="Z23:AE29"/>
    </sheetView>
  </sheetViews>
  <sheetFormatPr defaultColWidth="8.109375" defaultRowHeight="25.8"/>
  <cols>
    <col min="1" max="1" width="11.6640625" style="64" customWidth="1" phonetic="1"/>
    <col min="2" max="2" width="7.6640625" style="64" customWidth="1" phonetic="1"/>
    <col min="3" max="3" width="8" style="64" customWidth="1" phonetic="1"/>
    <col min="4" max="8" width="7.6640625" style="64" customWidth="1" phonetic="1"/>
    <col min="9" max="9" width="8" style="64" customWidth="1" phonetic="1"/>
    <col min="10" max="12" width="7.6640625" style="64" customWidth="1" phonetic="1"/>
    <col min="13" max="13" width="7.77734375" style="64" bestFit="1" customWidth="1" phonetic="1"/>
    <col min="14" max="30" width="7.6640625" style="64" customWidth="1" phonetic="1"/>
    <col min="31" max="31" width="7.6640625" style="75" customWidth="1" phonetic="1"/>
    <col min="32" max="32" width="11.6640625" style="64" bestFit="1" customWidth="1" phonetic="1"/>
    <col min="33" max="33" width="22.109375" style="64" customWidth="1" phonetic="1"/>
    <col min="34" max="34" width="5.6640625" style="64" customWidth="1" phonetic="1"/>
    <col min="35" max="35" width="18.21875" style="64" customWidth="1" phonetic="1"/>
    <col min="36" max="36" width="12" style="64" bestFit="1" customWidth="1" phonetic="1"/>
    <col min="37" max="37" width="11.6640625" style="64" bestFit="1" customWidth="1" phonetic="1"/>
    <col min="38" max="38" width="5.6640625" style="64" customWidth="1" phonetic="1"/>
    <col min="39" max="39" width="11.44140625" style="64" bestFit="1" customWidth="1" phonetic="1"/>
    <col min="40" max="40" width="6.21875" style="64" customWidth="1" phonetic="1"/>
    <col min="41" max="41" width="8.6640625" style="64" customWidth="1" phonetic="1"/>
    <col min="42" max="42" width="11.21875" style="64" customWidth="1" phonetic="1"/>
    <col min="43" max="43" width="11.77734375" style="64" customWidth="1" phonetic="1"/>
    <col min="44" max="44" width="11.21875" style="64" customWidth="1" phonetic="1"/>
    <col min="45" max="45" width="11.21875" style="64" bestFit="1" customWidth="1" phonetic="1"/>
    <col min="46" max="46" width="41.77734375" style="64" customWidth="1" phonetic="1"/>
    <col min="47" max="47" width="7.77734375" style="64" customWidth="1" phonetic="1"/>
    <col min="48" max="48" width="17.109375" style="64" customWidth="1" phonetic="1"/>
    <col min="49" max="49" width="6.21875" style="64" customWidth="1" phonetic="1"/>
    <col min="50" max="50" width="10" style="64" customWidth="1" phonetic="1"/>
    <col min="51" max="51" width="6.21875" style="64" customWidth="1" phonetic="1"/>
    <col min="52" max="52" width="6.88671875" style="64" customWidth="1" phonetic="1"/>
    <col min="53" max="53" width="6.44140625" style="64" customWidth="1" phonetic="1"/>
    <col min="54" max="54" width="15.44140625" style="64" customWidth="1" phonetic="1"/>
    <col min="55" max="55" width="6.21875" style="64" customWidth="1" phonetic="1"/>
    <col min="56" max="56" width="22.109375" style="64" bestFit="1" customWidth="1" phonetic="1"/>
    <col min="57" max="57" width="6.44140625" style="64" customWidth="1" phonetic="1"/>
    <col min="58" max="60" width="6.21875" style="64" customWidth="1" phonetic="1"/>
    <col min="61" max="16384" width="8.109375" style="64" phonetic="1"/>
  </cols>
  <sheetData>
    <row r="1" spans="1:99" ht="31.2" ph="1">
      <c r="A1" s="64"/>
      <c r="B1" s="238" t="s" ph="1">
        <v>161</v>
      </c>
      <c r="C1" s="238" ph="1"/>
      <c r="D1" s="238" ph="1"/>
      <c r="E1" s="238" ph="1"/>
      <c r="F1" s="238" ph="1"/>
      <c r="G1" s="238" ph="1"/>
      <c r="H1" s="238" ph="1"/>
      <c r="I1" s="238" ph="1"/>
      <c r="J1" s="238" ph="1"/>
      <c r="K1" s="238" ph="1"/>
      <c r="L1" s="238" ph="1"/>
      <c r="M1" s="238" ph="1"/>
      <c r="N1" s="238" ph="1"/>
      <c r="O1" s="238" ph="1"/>
      <c r="P1" s="238" ph="1"/>
      <c r="Q1" s="238" ph="1"/>
      <c r="R1" s="238" ph="1"/>
      <c r="S1" s="238" ph="1"/>
      <c r="T1" s="238" ph="1"/>
      <c r="U1" s="238" ph="1"/>
      <c r="V1" s="238" ph="1"/>
      <c r="W1" s="238" ph="1"/>
      <c r="X1" s="238" ph="1"/>
      <c r="Y1" s="238" ph="1"/>
      <c r="Z1" s="238" ph="1"/>
      <c r="AA1" s="238" ph="1"/>
      <c r="AB1" s="238" ph="1"/>
      <c r="AC1" s="238" ph="1"/>
      <c r="AD1" s="238" ph="1"/>
      <c r="AE1" s="238" ph="1"/>
    </row>
    <row r="2" spans="1:99" s="66" customFormat="1" ht="24" customHeight="1" ph="1">
      <c r="B2" s="239" t="s" ph="1">
        <v>82</v>
      </c>
      <c r="C2" s="239" ph="1"/>
      <c r="D2" s="239" ph="1"/>
      <c r="E2" s="239" ph="1"/>
      <c r="F2" s="239" ph="1"/>
      <c r="G2" s="239" ph="1"/>
      <c r="H2" s="239" ph="1"/>
      <c r="I2" s="239" ph="1"/>
      <c r="J2" s="239" ph="1"/>
      <c r="K2" s="239" ph="1"/>
      <c r="L2" s="239" ph="1"/>
      <c r="M2" s="239" ph="1"/>
      <c r="N2" s="239" ph="1"/>
      <c r="O2" s="239" ph="1"/>
      <c r="P2" s="239" ph="1"/>
      <c r="Q2" s="239" ph="1"/>
      <c r="R2" s="239" ph="1"/>
      <c r="S2" s="239" ph="1"/>
      <c r="T2" s="239" ph="1"/>
      <c r="U2" s="239" ph="1"/>
      <c r="V2" s="239" ph="1"/>
      <c r="W2" s="239" ph="1"/>
      <c r="X2" s="239" ph="1"/>
      <c r="Y2" s="239" ph="1"/>
      <c r="Z2" s="239" ph="1"/>
      <c r="AA2" s="239" ph="1"/>
      <c r="AB2" s="239" ph="1"/>
      <c r="AC2" s="239" ph="1"/>
      <c r="AD2" s="239" ph="1"/>
      <c r="AE2" s="239" ph="1"/>
    </row>
    <row r="3" spans="1:99" ht="21" customHeight="1" ph="1">
      <c r="B3" s="240" ph="1">
        <v>46280</v>
      </c>
      <c r="C3" s="240"/>
      <c r="D3" s="240"/>
      <c r="E3" s="240"/>
      <c r="F3" s="240"/>
      <c r="G3" s="240"/>
      <c r="H3" s="240"/>
      <c r="I3" s="240"/>
      <c r="J3" s="240"/>
      <c r="K3" s="240"/>
      <c r="L3" s="240"/>
      <c r="M3" s="240"/>
      <c r="N3" s="240"/>
      <c r="O3" s="240"/>
      <c r="P3" s="240"/>
      <c r="Q3" s="240"/>
      <c r="R3" s="240"/>
      <c r="S3" s="240"/>
      <c r="T3" s="240"/>
      <c r="U3" s="240"/>
      <c r="V3" s="240"/>
      <c r="W3" s="240"/>
      <c r="X3" s="240"/>
      <c r="Y3" s="240"/>
      <c r="Z3" s="240"/>
      <c r="AA3" s="240"/>
      <c r="AB3" s="240"/>
      <c r="AC3" s="240"/>
      <c r="AD3" s="240"/>
      <c r="AE3" s="240"/>
    </row>
    <row r="4" spans="1:99" s="69" customFormat="1" ph="1">
      <c r="A4" s="65" ph="1"/>
      <c r="B4" s="219" t="s" ph="1">
        <v>37</v>
      </c>
      <c r="C4" s="67" t="s" ph="1">
        <v>176</v>
      </c>
      <c r="D4" s="68" t="s" ph="1">
        <v>44</v>
      </c>
      <c r="E4" s="68" t="s" ph="1">
        <v>45</v>
      </c>
      <c r="F4" s="68" t="s" ph="1">
        <v>39</v>
      </c>
      <c r="G4" s="68" t="s" ph="1">
        <v>46</v>
      </c>
      <c r="H4" s="68" t="s" ph="1">
        <v>47</v>
      </c>
      <c r="I4" s="68" t="s" ph="1">
        <v>110</v>
      </c>
      <c r="J4" s="68" t="s" ph="1">
        <v>48</v>
      </c>
      <c r="K4" s="68" t="s" ph="1">
        <v>111</v>
      </c>
      <c r="L4" s="68" t="s" ph="1">
        <v>112</v>
      </c>
      <c r="M4" s="68" t="s" ph="1">
        <v>49</v>
      </c>
      <c r="N4" s="68" t="s" ph="1">
        <v>50</v>
      </c>
      <c r="O4" s="68" t="s" ph="1">
        <v>113</v>
      </c>
      <c r="P4" s="68" t="s" ph="1">
        <v>114</v>
      </c>
      <c r="Q4" s="68" t="s" ph="1">
        <v>115</v>
      </c>
      <c r="R4" s="68" t="s" ph="1">
        <v>116</v>
      </c>
      <c r="S4" s="68" t="s" ph="1">
        <v>117</v>
      </c>
      <c r="T4" s="68" t="s" ph="1">
        <v>118</v>
      </c>
      <c r="U4" s="68" t="s" ph="1">
        <v>119</v>
      </c>
      <c r="V4" s="68" t="s" ph="1">
        <v>120</v>
      </c>
      <c r="W4" s="68" t="s" ph="1">
        <v>121</v>
      </c>
      <c r="X4" s="68" t="s" ph="1">
        <v>122</v>
      </c>
      <c r="Y4" s="68" t="s" ph="1">
        <v>123</v>
      </c>
      <c r="Z4" s="68" t="s" ph="1">
        <v>51</v>
      </c>
      <c r="AA4" s="68" t="s" ph="1">
        <v>124</v>
      </c>
      <c r="AB4" s="68" t="s" ph="1">
        <v>125</v>
      </c>
      <c r="AC4" s="68" t="s" ph="1">
        <v>126</v>
      </c>
      <c r="AD4" s="68" t="s" ph="1">
        <v>40</v>
      </c>
      <c r="AE4" s="68" t="s" ph="1">
        <v>127</v>
      </c>
      <c r="AF4" s="65" ph="1"/>
      <c r="AG4" s="65" ph="1"/>
      <c r="AH4" s="65" ph="1"/>
      <c r="AI4" s="65" ph="1"/>
      <c r="AJ4" s="65" ph="1"/>
      <c r="AK4" s="65" ph="1"/>
      <c r="AL4" s="65" ph="1"/>
      <c r="AM4" s="65" ph="1"/>
      <c r="AN4" s="65" ph="1"/>
      <c r="AO4" s="65" ph="1"/>
      <c r="AP4" s="65" ph="1"/>
      <c r="AQ4" s="65" ph="1"/>
      <c r="AR4" s="65" ph="1"/>
      <c r="AS4" s="65" ph="1"/>
      <c r="AT4" s="65" ph="1"/>
      <c r="AU4" s="65" ph="1"/>
      <c r="AV4" s="65" ph="1"/>
      <c r="AW4" s="65" ph="1"/>
      <c r="AX4" s="65" ph="1"/>
      <c r="AY4" s="65" ph="1"/>
      <c r="AZ4" s="65" ph="1"/>
      <c r="BA4" s="65" ph="1"/>
      <c r="BB4" s="65" ph="1"/>
      <c r="BC4" s="65" ph="1"/>
      <c r="BD4" s="65" ph="1"/>
      <c r="BE4" s="65" ph="1"/>
      <c r="BF4" s="65" ph="1"/>
      <c r="BG4" s="65" ph="1"/>
      <c r="BH4" s="65" ph="1"/>
      <c r="BI4" s="65" ph="1"/>
      <c r="BJ4" s="65" ph="1"/>
      <c r="BK4" s="65" ph="1"/>
      <c r="BL4" s="65" ph="1"/>
      <c r="BM4" s="65" ph="1"/>
      <c r="BN4" s="65" ph="1"/>
      <c r="BO4" s="65" ph="1"/>
      <c r="BP4" s="65" ph="1"/>
      <c r="BQ4" s="65" ph="1"/>
      <c r="BR4" s="65" ph="1"/>
      <c r="BS4" s="65" ph="1"/>
      <c r="BT4" s="65" ph="1"/>
      <c r="BU4" s="65" ph="1"/>
      <c r="BV4" s="65" ph="1"/>
      <c r="BW4" s="65" ph="1"/>
      <c r="BX4" s="65" ph="1"/>
      <c r="BY4" s="65" ph="1"/>
      <c r="BZ4" s="65" ph="1"/>
      <c r="CA4" s="65" ph="1"/>
      <c r="CB4" s="65" ph="1"/>
      <c r="CC4" s="65" ph="1"/>
      <c r="CD4" s="65" ph="1"/>
      <c r="CE4" s="65" ph="1"/>
      <c r="CF4" s="65" ph="1"/>
      <c r="CG4" s="65" ph="1"/>
      <c r="CH4" s="65" ph="1"/>
      <c r="CI4" s="65" ph="1"/>
      <c r="CJ4" s="65" ph="1"/>
      <c r="CK4" s="65" ph="1"/>
      <c r="CL4" s="65" ph="1"/>
      <c r="CM4" s="65" ph="1"/>
      <c r="CN4" s="65" ph="1"/>
      <c r="CO4" s="65" ph="1"/>
      <c r="CP4" s="65" ph="1"/>
      <c r="CQ4" s="65" ph="1"/>
      <c r="CR4" s="65" ph="1"/>
      <c r="CS4" s="65" ph="1"/>
      <c r="CT4" s="65" ph="1"/>
      <c r="CU4" s="65" ph="1"/>
    </row>
    <row r="5" spans="1:99" s="69" customFormat="1" ht="29.25" customHeight="1" ph="1">
      <c r="A5" s="65" ph="1"/>
      <c r="B5" s="219" ph="1"/>
      <c r="C5" s="67" t="s" ph="1">
        <v>36</v>
      </c>
      <c r="D5" s="70" t="s" ph="1">
        <v>160</v>
      </c>
      <c r="E5" s="142" t="s" ph="1">
        <v>642</v>
      </c>
      <c r="F5" s="142" t="s" ph="1">
        <v>1</v>
      </c>
      <c r="G5" s="142" t="s" ph="1">
        <v>7</v>
      </c>
      <c r="H5" s="142" t="s" ph="1">
        <v>7</v>
      </c>
      <c r="I5" s="141" t="s" ph="1">
        <v>608</v>
      </c>
      <c r="J5" s="141" t="s" ph="1">
        <v>609</v>
      </c>
      <c r="K5" s="141" t="s" ph="1">
        <v>611</v>
      </c>
      <c r="L5" s="141" t="s" ph="1">
        <v>613</v>
      </c>
      <c r="M5" s="141" t="s" ph="1">
        <v>608</v>
      </c>
      <c r="N5" s="70" t="s" ph="1">
        <v>609</v>
      </c>
      <c r="O5" s="70" t="s" ph="1">
        <v>611</v>
      </c>
      <c r="P5" s="70" t="s" ph="1">
        <v>613</v>
      </c>
      <c r="Q5" s="70" t="s" ph="1">
        <v>607</v>
      </c>
      <c r="R5" s="70" t="s" ph="1">
        <v>607</v>
      </c>
      <c r="S5" s="70" t="s" ph="1">
        <v>607</v>
      </c>
      <c r="T5" s="70" t="s" ph="1">
        <v>607</v>
      </c>
      <c r="U5" s="70" t="s" ph="1">
        <v>607</v>
      </c>
      <c r="V5" s="70" t="s" ph="1">
        <v>607</v>
      </c>
      <c r="W5" s="70" t="s" ph="1">
        <v>607</v>
      </c>
      <c r="X5" s="70" t="s" ph="1">
        <v>607</v>
      </c>
      <c r="Y5" s="70" t="s" ph="1">
        <v>607</v>
      </c>
      <c r="Z5" s="70" t="s" ph="1">
        <v>614</v>
      </c>
      <c r="AA5" s="70" t="s" ph="1">
        <v>54</v>
      </c>
      <c r="AB5" s="70" t="s" ph="1">
        <v>54</v>
      </c>
      <c r="AC5" s="70" t="s" ph="1">
        <v>615</v>
      </c>
      <c r="AD5" s="71" t="s">
        <v>72</v>
      </c>
      <c r="AE5" s="71" t="s">
        <v>635</v>
      </c>
      <c r="AF5" s="65" ph="1"/>
      <c r="AG5" s="65" ph="1"/>
      <c r="AH5" s="65" ph="1"/>
      <c r="AI5" s="65" ph="1"/>
      <c r="AJ5" s="65" ph="1"/>
      <c r="AK5" s="65" ph="1"/>
      <c r="AL5" s="65" ph="1"/>
      <c r="AM5" s="65" ph="1"/>
      <c r="AN5" s="65" ph="1"/>
      <c r="AO5" s="65" ph="1"/>
      <c r="AP5" s="65" ph="1"/>
      <c r="AQ5" s="65" ph="1"/>
      <c r="AR5" s="65" ph="1"/>
      <c r="AS5" s="65" ph="1"/>
      <c r="AT5" s="65" ph="1"/>
      <c r="AU5" s="65" ph="1"/>
      <c r="AV5" s="65" ph="1"/>
      <c r="AW5" s="65" ph="1"/>
      <c r="AX5" s="65" ph="1"/>
      <c r="AY5" s="65" ph="1"/>
      <c r="AZ5" s="65" ph="1"/>
      <c r="BA5" s="65" ph="1"/>
      <c r="BB5" s="65" ph="1"/>
      <c r="BC5" s="65" ph="1"/>
      <c r="BD5" s="65" ph="1"/>
      <c r="BE5" s="65" ph="1"/>
      <c r="BF5" s="65" ph="1"/>
      <c r="BG5" s="65" ph="1"/>
      <c r="BH5" s="65" ph="1"/>
      <c r="BI5" s="65" ph="1"/>
      <c r="BJ5" s="65" ph="1"/>
      <c r="BK5" s="65" ph="1"/>
      <c r="BL5" s="65" ph="1"/>
      <c r="BM5" s="65" ph="1"/>
      <c r="BN5" s="65" ph="1"/>
      <c r="BO5" s="65" ph="1"/>
      <c r="BP5" s="65" ph="1"/>
      <c r="BQ5" s="65" ph="1"/>
      <c r="BR5" s="65" ph="1"/>
      <c r="BS5" s="65" ph="1"/>
      <c r="BT5" s="65" ph="1"/>
      <c r="BU5" s="65" ph="1"/>
      <c r="BV5" s="65" ph="1"/>
      <c r="BW5" s="65" ph="1"/>
      <c r="BX5" s="65" ph="1"/>
      <c r="BY5" s="65" ph="1"/>
      <c r="BZ5" s="65" ph="1"/>
      <c r="CA5" s="65" ph="1"/>
      <c r="CB5" s="65" ph="1"/>
      <c r="CC5" s="65" ph="1"/>
      <c r="CD5" s="65" ph="1"/>
      <c r="CE5" s="65" ph="1"/>
      <c r="CF5" s="65" ph="1"/>
      <c r="CG5" s="65" ph="1"/>
      <c r="CH5" s="65" ph="1"/>
      <c r="CI5" s="65" ph="1"/>
      <c r="CJ5" s="65" ph="1"/>
      <c r="CK5" s="65" ph="1"/>
      <c r="CL5" s="65" ph="1"/>
      <c r="CM5" s="65" ph="1"/>
      <c r="CN5" s="65" ph="1"/>
      <c r="CO5" s="65" ph="1"/>
      <c r="CP5" s="65" ph="1"/>
      <c r="CQ5" s="65" ph="1"/>
      <c r="CR5" s="65" ph="1"/>
      <c r="CS5" s="65" ph="1"/>
      <c r="CT5" s="65" ph="1"/>
      <c r="CU5" s="65" ph="1"/>
    </row>
    <row r="6" spans="1:99" ph="1">
      <c r="B6" s="237" ph="1">
        <v>0.33333333333333331</v>
      </c>
      <c r="C6" s="155" t="s" ph="1">
        <v>177</v>
      </c>
      <c r="D6" s="71">
        <v>3267</v>
      </c>
      <c r="E6" s="71">
        <v>3446</v>
      </c>
      <c r="F6" s="71">
        <v>3185</v>
      </c>
      <c r="G6" s="71">
        <v>2110</v>
      </c>
      <c r="H6" s="71">
        <v>5409</v>
      </c>
      <c r="I6" s="71">
        <v>4.5199999999999996</v>
      </c>
      <c r="J6" s="71">
        <v>6.64</v>
      </c>
      <c r="K6" s="71">
        <v>7.72</v>
      </c>
      <c r="L6" s="71">
        <v>6.85</v>
      </c>
      <c r="M6" s="71">
        <v>3233</v>
      </c>
      <c r="N6" s="71">
        <v>1852</v>
      </c>
      <c r="O6" s="71">
        <v>448</v>
      </c>
      <c r="P6" s="71">
        <v>4916</v>
      </c>
      <c r="Q6" s="71">
        <v>7174</v>
      </c>
      <c r="R6" s="71">
        <v>5416</v>
      </c>
      <c r="S6" s="71">
        <v>6729</v>
      </c>
      <c r="T6" s="71">
        <v>2626</v>
      </c>
      <c r="U6" s="71">
        <v>0</v>
      </c>
      <c r="V6" s="71">
        <v>0</v>
      </c>
      <c r="W6" s="71">
        <v>0</v>
      </c>
      <c r="X6" s="71">
        <v>0</v>
      </c>
      <c r="Y6" s="71">
        <v>5478</v>
      </c>
      <c r="Z6" s="71">
        <v>3102</v>
      </c>
      <c r="AA6" s="71">
        <v>1273</v>
      </c>
      <c r="AB6" s="71">
        <v>1086</v>
      </c>
      <c r="AC6" s="71">
        <v>8415</v>
      </c>
      <c r="AD6" s="71">
        <v>5112</v>
      </c>
      <c r="AE6" s="71">
        <v>5548</v>
      </c>
    </row>
    <row r="7" spans="1:99" s="72" customFormat="1" ht="22.2" ph="1">
      <c r="B7" s="237" ph="1"/>
      <c r="C7" s="68" t="s" ph="1">
        <v>178</v>
      </c>
      <c r="D7" s="73" ph="1">
        <f>D6*33.183*LOOKUP(D8,密度!$A$2:$A$50,密度!$Q$2:$Q$50)</f>
        <v>102265.33084713001</v>
      </c>
      <c r="E7" s="73" ph="1">
        <f>E6*51.53*LOOKUP(E8,密度!$A$2:$A$50,密度!$B$2:$B$50)</f>
        <v>138133.55440200001</v>
      </c>
      <c r="F7" s="73" ph="1">
        <f>F6*33.183*LOOKUP(F8,密度!$A$2:$A$50,密度!$C$2:$C$50)</f>
        <v>117038.73062699998</v>
      </c>
      <c r="G7" s="73" ph="1">
        <f xml:space="preserve"> (G6+2)*51.53*LOOKUP(G8,密度!$A$2:$A$50,密度!$B$2:$B$50)</f>
        <v>84474.901631999994</v>
      </c>
      <c r="H7" s="73" ph="1">
        <f>(H6)*51.53*LOOKUP(H8,密度!$A$2:$A$50,密度!$B$2:$B$50)</f>
        <v>217294.610292</v>
      </c>
      <c r="I7" s="73" ph="1">
        <f>I6*290.8*1.0267</f>
        <v>1349.5109071999998</v>
      </c>
      <c r="J7" s="73" ph="1">
        <f>J6*290.8*0.7892</f>
        <v>1523.8757504</v>
      </c>
      <c r="K7" s="73" ph="1">
        <f>K6*290.8*1.1126</f>
        <v>2497.7602976000003</v>
      </c>
      <c r="L7" s="73" ph="1">
        <f>L6*290.8*0.777</f>
        <v>1547.76846</v>
      </c>
      <c r="M7" s="73" ph="1">
        <f>M6*33.183*LOOKUP(M8,密度!$A$2:$A$50,密度!$D$2:$D$50)</f>
        <v>109941.19884719999</v>
      </c>
      <c r="N7" s="73" ph="1">
        <f>N6*33.183*LOOKUP(N8,密度!$A$2:$A$50,密度!$E$2:$E$50)</f>
        <v>47854.943089199995</v>
      </c>
      <c r="O7" s="73" ph="1">
        <f>O6*20.428*LOOKUP(O8,密度!$A$2:$A$50,密度!$C$2:$C$50)</f>
        <v>10120.913689600002</v>
      </c>
      <c r="P7" s="73" ph="1">
        <f>P6*51.53*LOOKUP(P8,密度!$A$2:$A$50,密度!$B$2:$B$50)</f>
        <v>197489.425808</v>
      </c>
      <c r="Q7" s="73" ph="1">
        <f>Q6*1.5*1.5*3.1416*LOOKUP(W8,密度!$A$2:$A$50,密度!$L$2:$L$50)</f>
        <v>47464.687670400002</v>
      </c>
      <c r="R7" s="73" ph="1">
        <f>R6*1.5*1.5*3.1416*LOOKUP(R8,密度!$A$2:$A$50,密度!$L$2:$L$50)</f>
        <v>35488.839355199998</v>
      </c>
      <c r="S7" s="73" ph="1">
        <f>S6*1.5*1.5*3.1416*LOOKUP(S8,密度!$A$2:$A$50,密度!$L$2:$L$50)</f>
        <v>44568.039007800005</v>
      </c>
      <c r="T7" s="73" ph="1">
        <f>T6*1.5*1.5*3.1416*LOOKUP(T8,密度!$A$2:$A$50,密度!$L$2:$L$50)</f>
        <v>17448.414983999999</v>
      </c>
      <c r="U7" s="73" ph="1">
        <f>U6*1.5*1.5*3.1416*LOOKUP(U8,密度!$A$2:$A$50,密度!$L$2:$L$50)</f>
        <v>0</v>
      </c>
      <c r="V7" s="73" ph="1">
        <f>V6*1.5*1.5*3.1416*LOOKUP(V8,密度!$A$2:$A$50,密度!$L$2:$L$50)</f>
        <v>0</v>
      </c>
      <c r="W7" s="73" ph="1">
        <f>W6*1.5*1.5*3.1416*LOOKUP(W8,密度!$A$2:$A$50,密度!$L$2:$L$50)</f>
        <v>0</v>
      </c>
      <c r="X7" s="73" ph="1">
        <f>X6*1.5*1.5*3.1416*LOOKUP(X8,密度!$A$2:$A$50,密度!$L$2:$L$50)</f>
        <v>0</v>
      </c>
      <c r="Y7" s="73" ph="1">
        <f>Y6*1.5*1.5*3.1416*LOOKUP(Y8,密度!$A$2:$A$50,密度!$L$2:$L$50)</f>
        <v>36204.874398000007</v>
      </c>
      <c r="Z7" s="73" ph="1">
        <f>Z6*33.183*LOOKUP(Z8,密度!$A$2:$A$50,密度!$L$2:$L$50)</f>
        <v>96757.646039999992</v>
      </c>
      <c r="AA7" s="73" ph="1">
        <f>AA6*33.183*LOOKUP(AA8,密度!$A$2:$A$50,密度!$D$2:$D$50)</f>
        <v>43289.559583199996</v>
      </c>
      <c r="AB7" s="73" ph="1">
        <f>AB6*20.428*LOOKUP(AB8,密度!$A$2:$A$50,密度!$D$2:$D$50)</f>
        <v>22797.108700800003</v>
      </c>
      <c r="AC7" s="73" ph="1">
        <f>AC6*51.53*LOOKUP(AC8,密度!$A$2:$A$50,密度!$Q$2:$Q$50)</f>
        <v>410222.21144850005</v>
      </c>
      <c r="AD7" s="73" ph="1">
        <f>AD6*20.428*LOOKUP(AD8,密度!$A$2:$A$50,密度!$V$2:$V$50)</f>
        <v>100334.36090879999</v>
      </c>
      <c r="AE7" s="73" ph="1">
        <f>AE6*20.428</f>
        <v>113334.54400000001</v>
      </c>
    </row>
    <row r="8" spans="1:99" ph="1">
      <c r="B8" s="237" ph="1"/>
      <c r="C8" s="68" t="s" ph="1">
        <v>179</v>
      </c>
      <c r="D8" s="74">
        <v>30</v>
      </c>
      <c r="E8" s="74">
        <v>27</v>
      </c>
      <c r="F8" s="74">
        <v>27</v>
      </c>
      <c r="G8" s="74">
        <v>29</v>
      </c>
      <c r="H8" s="74">
        <v>25</v>
      </c>
      <c r="I8" s="74">
        <v>25</v>
      </c>
      <c r="J8" s="74">
        <v>25</v>
      </c>
      <c r="K8" s="74">
        <v>25</v>
      </c>
      <c r="L8" s="74">
        <v>25</v>
      </c>
      <c r="M8" s="74">
        <v>27</v>
      </c>
      <c r="N8" s="74">
        <v>29</v>
      </c>
      <c r="O8" s="74">
        <v>29</v>
      </c>
      <c r="P8" s="74">
        <v>25</v>
      </c>
      <c r="Q8" s="74">
        <v>31</v>
      </c>
      <c r="R8" s="74">
        <v>35</v>
      </c>
      <c r="S8" s="74">
        <v>25</v>
      </c>
      <c r="T8" s="74">
        <v>22</v>
      </c>
      <c r="U8" s="74">
        <v>26</v>
      </c>
      <c r="V8" s="74">
        <v>27</v>
      </c>
      <c r="W8" s="74">
        <v>26</v>
      </c>
      <c r="X8" s="74">
        <v>17</v>
      </c>
      <c r="Y8" s="74">
        <v>27</v>
      </c>
      <c r="Z8" s="74">
        <v>22</v>
      </c>
      <c r="AA8" s="74">
        <v>27</v>
      </c>
      <c r="AB8" s="74">
        <v>24</v>
      </c>
      <c r="AC8" s="74">
        <v>26</v>
      </c>
      <c r="AD8" s="74">
        <v>22</v>
      </c>
      <c r="AE8" s="74">
        <v>30</v>
      </c>
    </row>
    <row r="9" spans="1:99" ht="26.4" ph="1">
      <c r="B9" s="237" ph="1">
        <v>0.66666666666666663</v>
      </c>
      <c r="C9" s="155" t="s" ph="1">
        <v>180</v>
      </c>
      <c r="D9" s="71">
        <v>3631</v>
      </c>
      <c r="E9" s="71">
        <v>3442</v>
      </c>
      <c r="F9" s="71">
        <v>3188</v>
      </c>
      <c r="G9" s="71">
        <v>1835</v>
      </c>
      <c r="H9" s="71">
        <v>5680</v>
      </c>
      <c r="I9" s="71">
        <v>4.49</v>
      </c>
      <c r="J9" s="71">
        <v>6.68</v>
      </c>
      <c r="K9" s="71">
        <v>7.79</v>
      </c>
      <c r="L9" s="71">
        <v>41.54</v>
      </c>
      <c r="M9" s="71">
        <v>3232</v>
      </c>
      <c r="N9" s="71">
        <v>1840</v>
      </c>
      <c r="O9" s="71">
        <v>447</v>
      </c>
      <c r="P9" s="71">
        <v>4391</v>
      </c>
      <c r="Q9" s="71">
        <v>7180</v>
      </c>
      <c r="R9" s="71">
        <v>5420</v>
      </c>
      <c r="S9" s="71">
        <v>6736</v>
      </c>
      <c r="T9" s="71">
        <v>5363</v>
      </c>
      <c r="U9" s="71">
        <v>5177</v>
      </c>
      <c r="V9" s="71">
        <v>0</v>
      </c>
      <c r="W9" s="71">
        <v>0</v>
      </c>
      <c r="X9" s="71">
        <v>0</v>
      </c>
      <c r="Y9" s="71">
        <v>614</v>
      </c>
      <c r="Z9" s="71">
        <v>797</v>
      </c>
      <c r="AA9" s="71">
        <v>1275</v>
      </c>
      <c r="AB9" s="71">
        <v>1085</v>
      </c>
      <c r="AC9" s="71">
        <v>8403</v>
      </c>
      <c r="AD9" s="71">
        <v>5114</v>
      </c>
      <c r="AE9" s="71">
        <v>5553</v>
      </c>
    </row>
    <row r="10" spans="1:99" s="72" customFormat="1" ht="22.2" ph="1">
      <c r="B10" s="237" ph="1"/>
      <c r="C10" s="155" t="s" ph="1">
        <v>178</v>
      </c>
      <c r="D10" s="73" ph="1">
        <f>D9*33.183*LOOKUP(D11,密度!$A$2:$A$50,密度!$Q$2:$Q$50)</f>
        <v>113659.44790509</v>
      </c>
      <c r="E10" s="73" ph="1">
        <f>E9*51.53*LOOKUP(E11,密度!$A$2:$A$50,密度!$B$2:$B$50)</f>
        <v>137352.431744</v>
      </c>
      <c r="F10" s="73" ph="1">
        <f>F9*33.183*LOOKUP(F11,密度!$A$2:$A$50,密度!$C$2:$C$50)</f>
        <v>117148.97118959999</v>
      </c>
      <c r="G10" s="73" ph="1">
        <f xml:space="preserve"> (G9+2)*51.53*LOOKUP(G11,密度!$A$2:$A$50,密度!$B$2:$B$50)</f>
        <v>73219.981834999999</v>
      </c>
      <c r="H10" s="73" ph="1">
        <f>(H9)*51.53*LOOKUP(H11,密度!$A$2:$A$50,密度!$B$2:$B$50)</f>
        <v>226659.44576</v>
      </c>
      <c r="I10" s="73" ph="1">
        <f>I9*290.8*1.0267</f>
        <v>1340.5539764</v>
      </c>
      <c r="J10" s="73" ph="1">
        <f>J9*290.8*0.7892</f>
        <v>1533.0557248</v>
      </c>
      <c r="K10" s="73" ph="1">
        <f>K9*290.8*1.1126</f>
        <v>2520.4083832000001</v>
      </c>
      <c r="L10" s="73" ph="1">
        <f>L9*290.8*0.777</f>
        <v>9386.0294640000011</v>
      </c>
      <c r="M10" s="73" ph="1">
        <f>M9*33.183*LOOKUP(M11,密度!$A$2:$A$50,密度!$D$2:$D$50)</f>
        <v>109606.90003200001</v>
      </c>
      <c r="N10" s="73" ph="1">
        <f>N9*33.183*LOOKUP(N11,密度!$A$2:$A$50,密度!$E$2:$E$50)</f>
        <v>47477.705472000001</v>
      </c>
      <c r="O10" s="73" ph="1">
        <f>O9*20.428*LOOKUP(O11,密度!$A$2:$A$50,密度!$C$2:$C$50)</f>
        <v>10024.358704800003</v>
      </c>
      <c r="P10" s="73" ph="1">
        <f>P9*51.53*LOOKUP(P11,密度!$A$2:$A$50,密度!$B$2:$B$50)</f>
        <v>175425.758719</v>
      </c>
      <c r="Q10" s="73" ph="1">
        <f>Q9*1.5*1.5*3.1416*LOOKUP(W11,密度!$A$2:$A$50,密度!$L$2:$L$50)</f>
        <v>46793.849256000001</v>
      </c>
      <c r="R10" s="73" ph="1">
        <f>R9*1.5*1.5*3.1416*LOOKUP(R11,密度!$A$2:$A$50,密度!$L$2:$L$50)</f>
        <v>35515.049723999997</v>
      </c>
      <c r="S10" s="73" ph="1">
        <f>S9*1.5*1.5*3.1416*LOOKUP(S11,密度!$A$2:$A$50,密度!$L$2:$L$50)</f>
        <v>44519.173776000003</v>
      </c>
      <c r="T10" s="73" ph="1">
        <f>T9*1.5*1.5*3.1416*LOOKUP(T11,密度!$A$2:$A$50,密度!$L$2:$L$50)</f>
        <v>35558.549888399997</v>
      </c>
      <c r="U10" s="73" ph="1">
        <f>U9*1.5*1.5*3.1416*LOOKUP(U11,密度!$A$2:$A$50,密度!$L$2:$L$50)</f>
        <v>34215.522957000001</v>
      </c>
      <c r="V10" s="73" ph="1">
        <f>V9*1.5*1.5*3.1416*LOOKUP(V11,密度!$A$2:$A$50,密度!$L$2:$L$50)</f>
        <v>0</v>
      </c>
      <c r="W10" s="73" ph="1">
        <f>W9*1.5*1.5*3.1416*LOOKUP(W11,密度!$A$2:$A$50,密度!$L$2:$L$50)</f>
        <v>0</v>
      </c>
      <c r="X10" s="73" ph="1">
        <f>X9*1.5*1.5*3.1416*LOOKUP(X11,密度!$A$2:$A$50,密度!$L$2:$L$50)</f>
        <v>0</v>
      </c>
      <c r="Y10" s="73" ph="1">
        <f>Y9*1.5*1.5*3.1416*LOOKUP(Y11,密度!$A$2:$A$50,密度!$L$2:$L$50)</f>
        <v>4044.9922127999998</v>
      </c>
      <c r="Z10" s="73" ph="1">
        <f>Z9*33.183*LOOKUP(Z11,密度!$A$2:$A$50,密度!$L$2:$L$50)</f>
        <v>24807.146237999998</v>
      </c>
      <c r="AA10" s="73" ph="1">
        <f>AA9*33.183*LOOKUP(AA11,密度!$A$2:$A$50,密度!$D$2:$D$50)</f>
        <v>43239.10815</v>
      </c>
      <c r="AB10" s="73" ph="1">
        <f>AB9*20.428*LOOKUP(AB11,密度!$A$2:$A$50,密度!$D$2:$D$50)</f>
        <v>22714.056624000001</v>
      </c>
      <c r="AC10" s="73" ph="1">
        <f>AC9*51.53*LOOKUP(AC11,密度!$A$2:$A$50,密度!$Q$2:$Q$50)</f>
        <v>408727.91049870005</v>
      </c>
      <c r="AD10" s="73" ph="1">
        <f>AD9*20.428*LOOKUP(AD11,密度!$A$2:$A$50,密度!$V$2:$V$50)</f>
        <v>100039.3152192</v>
      </c>
      <c r="AE10" s="73" ph="1">
        <f>AE9*20.428</f>
        <v>113436.68400000001</v>
      </c>
    </row>
    <row r="11" spans="1:99" ph="1">
      <c r="A11" s="64" t="s" ph="1">
        <v>162</v>
      </c>
      <c r="B11" s="237" ph="1"/>
      <c r="C11" s="155" t="s" ph="1">
        <v>179</v>
      </c>
      <c r="D11" s="74">
        <v>30</v>
      </c>
      <c r="E11" s="74">
        <v>31</v>
      </c>
      <c r="F11" s="74">
        <v>27</v>
      </c>
      <c r="G11" s="74">
        <v>32</v>
      </c>
      <c r="H11" s="74">
        <v>31</v>
      </c>
      <c r="I11" s="74">
        <v>25</v>
      </c>
      <c r="J11" s="74">
        <v>25</v>
      </c>
      <c r="K11" s="74">
        <v>25</v>
      </c>
      <c r="L11" s="74">
        <v>25</v>
      </c>
      <c r="M11" s="74">
        <v>30</v>
      </c>
      <c r="N11" s="74">
        <v>30</v>
      </c>
      <c r="O11" s="74">
        <v>37</v>
      </c>
      <c r="P11" s="74">
        <v>30</v>
      </c>
      <c r="Q11" s="74">
        <v>34</v>
      </c>
      <c r="R11" s="74">
        <v>35</v>
      </c>
      <c r="S11" s="74">
        <v>27</v>
      </c>
      <c r="T11" s="74">
        <v>24</v>
      </c>
      <c r="U11" s="74">
        <v>27</v>
      </c>
      <c r="V11" s="74">
        <v>23</v>
      </c>
      <c r="W11" s="74">
        <v>40</v>
      </c>
      <c r="X11" s="74">
        <v>26</v>
      </c>
      <c r="Y11" s="74">
        <v>30</v>
      </c>
      <c r="Z11" s="74">
        <v>24</v>
      </c>
      <c r="AA11" s="74">
        <v>30</v>
      </c>
      <c r="AB11" s="74">
        <v>27</v>
      </c>
      <c r="AC11" s="74">
        <v>29</v>
      </c>
      <c r="AD11" s="74">
        <v>30</v>
      </c>
      <c r="AE11" s="74">
        <v>31</v>
      </c>
    </row>
    <row r="12" spans="1:99" ht="9.9" customHeight="1" ph="1"/>
    <row r="13" spans="1:99" s="72" customFormat="1" ht="29.25" customHeight="1" ph="1">
      <c r="B13" s="214" t="s" ph="1">
        <v>37</v>
      </c>
      <c r="C13" s="155" t="s" ph="1">
        <v>176</v>
      </c>
      <c r="D13" s="76" t="s" ph="1">
        <v>52</v>
      </c>
      <c r="E13" s="76" t="s" ph="1">
        <v>53</v>
      </c>
      <c r="F13" s="76" t="s" ph="1">
        <v>57</v>
      </c>
      <c r="G13" s="76" t="s" ph="1">
        <v>58</v>
      </c>
      <c r="H13" s="76" t="s" ph="1">
        <v>128</v>
      </c>
      <c r="I13" s="76" t="s" ph="1">
        <v>59</v>
      </c>
      <c r="J13" s="76" t="s" ph="1">
        <v>129</v>
      </c>
      <c r="K13" s="76" t="s" ph="1">
        <v>55</v>
      </c>
      <c r="L13" s="76" t="s" ph="1">
        <v>60</v>
      </c>
      <c r="M13" s="76" t="s" ph="1">
        <v>61</v>
      </c>
      <c r="N13" s="76" t="s" ph="1">
        <v>130</v>
      </c>
      <c r="O13" s="76" t="s" ph="1">
        <v>56</v>
      </c>
      <c r="P13" s="76" t="s" ph="1">
        <v>62</v>
      </c>
      <c r="Q13" s="76" t="s" ph="1">
        <v>63</v>
      </c>
      <c r="R13" s="76" t="s" ph="1">
        <v>64</v>
      </c>
      <c r="S13" s="76" t="s" ph="1">
        <v>65</v>
      </c>
      <c r="T13" s="76" t="s" ph="1">
        <v>66</v>
      </c>
      <c r="U13" s="76" t="s" ph="1">
        <v>67</v>
      </c>
      <c r="V13" s="76" t="s" ph="1">
        <v>131</v>
      </c>
      <c r="W13" s="76" t="s" ph="1">
        <v>132</v>
      </c>
      <c r="X13" s="76" t="s" ph="1">
        <v>133</v>
      </c>
      <c r="Y13" s="105" t="s" ph="1">
        <v>68</v>
      </c>
      <c r="Z13" s="76" t="s" ph="1">
        <v>74</v>
      </c>
      <c r="AA13" s="76" t="s" ph="1">
        <v>134</v>
      </c>
      <c r="AB13" s="76" t="s" ph="1">
        <v>135</v>
      </c>
      <c r="AC13" s="76" t="s" ph="1">
        <v>136</v>
      </c>
      <c r="AD13" s="76" t="s" ph="1">
        <v>137</v>
      </c>
      <c r="AE13" s="76" t="s" ph="1">
        <v>138</v>
      </c>
      <c r="AG13" s="72" t="s" ph="1">
        <v>325</v>
      </c>
      <c r="AH13" s="72" t="s" ph="1">
        <v>188</v>
      </c>
      <c r="AI13" s="72" t="s" ph="1">
        <v>189</v>
      </c>
      <c r="AJ13" s="72" t="s" ph="1">
        <v>190</v>
      </c>
      <c r="AK13" s="72" t="s" ph="1">
        <v>191</v>
      </c>
      <c r="AL13" s="72" t="s" ph="1">
        <v>192</v>
      </c>
      <c r="AM13" s="72" t="s" ph="1">
        <v>193</v>
      </c>
      <c r="AN13" s="72" t="s" ph="1">
        <v>194</v>
      </c>
      <c r="AO13" s="72" t="s" ph="1">
        <v>195</v>
      </c>
      <c r="AP13" s="72" t="s" ph="1">
        <v>196</v>
      </c>
      <c r="AQ13" s="72" t="s" ph="1">
        <v>197</v>
      </c>
      <c r="AR13" s="72" t="s" ph="1">
        <v>198</v>
      </c>
      <c r="AS13" s="72" t="s" ph="1">
        <v>199</v>
      </c>
      <c r="AT13" s="72" t="s" ph="1">
        <v>200</v>
      </c>
      <c r="AU13" s="72" t="s" ph="1">
        <v>201</v>
      </c>
      <c r="AV13" s="72" t="s" ph="1">
        <v>202</v>
      </c>
      <c r="AW13" s="72" t="s" ph="1">
        <v>203</v>
      </c>
      <c r="AX13" s="72" t="s" ph="1">
        <v>204</v>
      </c>
      <c r="AY13" s="72" t="s" ph="1">
        <v>326</v>
      </c>
      <c r="AZ13" s="72" t="s" ph="1">
        <v>205</v>
      </c>
      <c r="BA13" s="72" t="s" ph="1">
        <v>206</v>
      </c>
      <c r="BB13" s="72" t="s" ph="1">
        <v>591</v>
      </c>
      <c r="BC13" s="72" t="s" ph="1">
        <v>207</v>
      </c>
      <c r="BD13" s="72" t="s" ph="1">
        <v>327</v>
      </c>
      <c r="BE13" s="72" t="s" ph="1">
        <v>328</v>
      </c>
      <c r="BF13" s="72" t="s" ph="1">
        <v>329</v>
      </c>
      <c r="BG13" s="72" t="s" ph="1">
        <v>330</v>
      </c>
      <c r="BH13" s="72" t="s" ph="1">
        <v>331</v>
      </c>
    </row>
    <row r="14" spans="1:99" s="72" customFormat="1" ht="24" ph="1">
      <c r="B14" s="215" ph="1"/>
      <c r="C14" s="67" t="s" ph="1">
        <v>36</v>
      </c>
      <c r="D14" s="77" t="s" ph="1">
        <v>616</v>
      </c>
      <c r="E14" s="77" t="s" ph="1">
        <v>616</v>
      </c>
      <c r="F14" s="77" t="s" ph="1">
        <v>639</v>
      </c>
      <c r="G14" s="77" t="s" ph="1">
        <v>617</v>
      </c>
      <c r="H14" s="77" t="s" ph="1">
        <v>636</v>
      </c>
      <c r="I14" s="138" t="s" ph="1">
        <v>618</v>
      </c>
      <c r="J14" s="77" t="s" ph="1">
        <v>619</v>
      </c>
      <c r="K14" s="77" t="s" ph="1">
        <v>186</v>
      </c>
      <c r="L14" s="77" t="s" ph="1">
        <v>41</v>
      </c>
      <c r="M14" s="104" t="s" ph="1">
        <v>620</v>
      </c>
      <c r="N14" s="104" t="s" ph="1">
        <v>621</v>
      </c>
      <c r="O14" s="104" t="s" ph="1">
        <v>637</v>
      </c>
      <c r="P14" s="77" t="s" ph="1">
        <v>622</v>
      </c>
      <c r="Q14" s="77" t="s" ph="1">
        <v>622</v>
      </c>
      <c r="R14" s="77" t="s" ph="1">
        <v>622</v>
      </c>
      <c r="S14" s="77" t="s" ph="1">
        <v>622</v>
      </c>
      <c r="T14" s="77" t="s" ph="1">
        <v>624</v>
      </c>
      <c r="U14" s="77" t="s" ph="1">
        <v>605</v>
      </c>
      <c r="V14" s="77" t="s" ph="1">
        <v>633</v>
      </c>
      <c r="W14" s="77" t="s" ph="1">
        <v>622</v>
      </c>
      <c r="X14" s="77" t="s" ph="1">
        <v>625</v>
      </c>
      <c r="Y14" s="143" t="s" ph="1">
        <v>0</v>
      </c>
      <c r="Z14" s="77" t="s" ph="1">
        <v>54</v>
      </c>
      <c r="AA14" s="77" t="s" ph="1">
        <v>613</v>
      </c>
      <c r="AB14" s="77" t="s" ph="1">
        <v>632</v>
      </c>
      <c r="AC14" s="77" t="s" ph="1">
        <v>632</v>
      </c>
      <c r="AD14" s="77" t="s" ph="1">
        <v>612</v>
      </c>
      <c r="AE14" s="77" t="s" ph="1">
        <v>612</v>
      </c>
      <c r="AG14" s="72" t="s" ph="1">
        <v>208</v>
      </c>
      <c r="AI14" s="72" t="s" ph="1">
        <v>209</v>
      </c>
      <c r="AJ14" s="72" t="s" ph="1">
        <v>332</v>
      </c>
      <c r="AK14" s="72" t="s" ph="1">
        <v>210</v>
      </c>
      <c r="AM14" s="72" t="s" ph="1">
        <v>212</v>
      </c>
      <c r="AN14" s="72" t="s" ph="1">
        <v>210</v>
      </c>
      <c r="AO14" s="72" t="s" ph="1">
        <v>211</v>
      </c>
      <c r="AP14" s="72" t="s" ph="1">
        <v>212</v>
      </c>
      <c r="AQ14" s="72" t="s" ph="1">
        <v>210</v>
      </c>
      <c r="AR14" s="72" t="s" ph="1">
        <v>211</v>
      </c>
      <c r="AS14" s="72" t="s" ph="1">
        <v>212</v>
      </c>
      <c r="AT14" s="72" t="s" ph="1">
        <v>210</v>
      </c>
      <c r="AU14" s="72" t="s" ph="1">
        <v>211</v>
      </c>
      <c r="AV14" s="72" t="s" ph="1">
        <v>212</v>
      </c>
      <c r="AW14" s="72" t="s" ph="1">
        <v>210</v>
      </c>
      <c r="AX14" s="72" t="s" ph="1">
        <v>211</v>
      </c>
      <c r="AY14" s="72" t="s" ph="1">
        <v>212</v>
      </c>
      <c r="AZ14" s="72" t="s" ph="1">
        <v>211</v>
      </c>
    </row>
    <row r="15" spans="1:99" ph="1">
      <c r="B15" s="216" ph="1">
        <v>0.33333333333333331</v>
      </c>
      <c r="C15" s="155" t="s" ph="1">
        <v>177</v>
      </c>
      <c r="D15" s="78">
        <v>1806</v>
      </c>
      <c r="E15" s="78">
        <v>5408</v>
      </c>
      <c r="F15" s="78">
        <v>4275</v>
      </c>
      <c r="G15" s="78">
        <v>4097</v>
      </c>
      <c r="H15" s="78">
        <v>0</v>
      </c>
      <c r="I15" s="78">
        <v>5047</v>
      </c>
      <c r="J15" s="78">
        <v>140</v>
      </c>
      <c r="K15" s="78">
        <v>671</v>
      </c>
      <c r="L15" s="78">
        <v>5340</v>
      </c>
      <c r="M15" s="78">
        <v>5416</v>
      </c>
      <c r="N15" s="78">
        <v>843</v>
      </c>
      <c r="O15" s="78">
        <v>3100</v>
      </c>
      <c r="P15" s="78">
        <v>0</v>
      </c>
      <c r="Q15" s="78">
        <v>3213</v>
      </c>
      <c r="R15" s="78">
        <v>0</v>
      </c>
      <c r="S15" s="78">
        <v>0</v>
      </c>
      <c r="T15" s="78">
        <v>3789</v>
      </c>
      <c r="U15" s="78">
        <v>1774</v>
      </c>
      <c r="V15" s="78">
        <v>-817</v>
      </c>
      <c r="W15" s="71">
        <v>26</v>
      </c>
      <c r="X15" s="78">
        <v>857</v>
      </c>
      <c r="Y15" s="106">
        <v>-2366</v>
      </c>
      <c r="Z15" s="78">
        <v>0</v>
      </c>
      <c r="AA15" s="78">
        <v>2462</v>
      </c>
      <c r="AB15" s="78" ph="1">
        <v>0</v>
      </c>
      <c r="AC15" s="78" ph="1">
        <v>0</v>
      </c>
      <c r="AD15" s="78">
        <v>5.31</v>
      </c>
      <c r="AE15" s="78">
        <v>31.71</v>
      </c>
      <c r="AG15" s="64" t="s" ph="1">
        <v>214</v>
      </c>
      <c r="AH15" s="64" ph="1">
        <v>1</v>
      </c>
      <c r="AI15" s="64" t="s" ph="1">
        <v>333</v>
      </c>
      <c r="AK15" s="64" t="s" ph="1">
        <v>587</v>
      </c>
      <c r="AM15" s="64" t="s" ph="1">
        <v>335</v>
      </c>
      <c r="AZ15" s="64" t="s" ph="1">
        <v>216</v>
      </c>
      <c r="BA15" s="64" ph="1">
        <v>0</v>
      </c>
    </row>
    <row r="16" spans="1:99" s="72" customFormat="1" ht="22.2" ph="1">
      <c r="B16" s="217" ph="1"/>
      <c r="C16" s="155" t="s" ph="1">
        <v>178</v>
      </c>
      <c r="D16" s="73" ph="1">
        <f>D15*7.0686*LOOKUP(D17,密度!$A$2:$A$50,密度!$L$2:$L$50)</f>
        <v>11910.576862800002</v>
      </c>
      <c r="E16" s="73" ph="1">
        <f>E15*7.0686*LOOKUP(E17,密度!$A$2:$A$50,密度!$L$2:$L$50)</f>
        <v>35665.780550399999</v>
      </c>
      <c r="F16" s="73" ph="1">
        <f>F15*9.0746*LOOKUP(F17,密度!$A$2:$A$50,密度!$L$2:$L$50)</f>
        <v>36194.722695000004</v>
      </c>
      <c r="G16" s="73" ph="1">
        <f>G15*9.0746*LOOKUP(G17,密度!$A$2:$A$50,密度!$B$2:$B$50)</f>
        <v>28951.004008939999</v>
      </c>
      <c r="H16" s="73" ph="1">
        <f>H15*9.0746*LOOKUP(H17,密度!$A$2:$A$50,密度!$L$2:$L$50)</f>
        <v>0</v>
      </c>
      <c r="I16" s="73" ph="1">
        <f>I15*9.0746*LOOKUP(I17,密度!$A$2:$A$50,密度!$U$2:$U$50)</f>
        <v>46852.894842599999</v>
      </c>
      <c r="J16" s="73" ph="1">
        <f>J15*9.0746*LOOKUP(J17,密度!$A$2:$A$50,密度!$L$2:$L$50)</f>
        <v>1187.8651400000001</v>
      </c>
      <c r="K16" s="73" ph="1">
        <f>K15*9.0746*LOOKUP(K17,密度!$A$2:$A$50,密度!$C$2:$C$50)</f>
        <v>6752.1548637400001</v>
      </c>
      <c r="L16" s="73" ph="1">
        <f>L15*9.0746*LOOKUP(L17,密度!$A$2:$A$50,密度!$E$2:$E$50)</f>
        <v>37787.8322472</v>
      </c>
      <c r="M16" s="73" ph="1">
        <f>M15*9.0746*LOOKUP(M17,密度!$A$2:$A$50,密度!$M$2:$M$50)</f>
        <v>42807.937265600005</v>
      </c>
      <c r="N16" s="73" ph="1">
        <f>N15*9.0746*LOOKUP(N17,密度!$A$2:$A$50,密度!$M$2:$M$50)</f>
        <v>6694.4168137800007</v>
      </c>
      <c r="O16" s="73" ph="1">
        <f>O15*9.0746*LOOKUP(O17,密度!$A$2:$A$50,密度!$G$2:$G$50)</f>
        <v>26949.747080000001</v>
      </c>
      <c r="P16" s="73" ph="1">
        <f ca="1">P15*9.0746*LOOKUP(P17,密度!$A$2:$A$51,密度!$Q$2:$Q$50)</f>
        <v>0</v>
      </c>
      <c r="Q16" s="73" ph="1">
        <f>Q15*9.0746*LOOKUP(Q17,密度!$A$2:$A$50,密度!$Q$2:$Q$50)</f>
        <v>27521.874202914001</v>
      </c>
      <c r="R16" s="73" ph="1">
        <f>MAX(R15*9.0746*LOOKUP(R17,密度!$A$2:$A$50,密度!$Q$2:$Q$50),0)</f>
        <v>0</v>
      </c>
      <c r="S16" s="73" ph="1">
        <f>S15*9.0746*LOOKUP(S17,密度!$A$2:$A$50,密度!$Q$2:$Q$50)</f>
        <v>0</v>
      </c>
      <c r="T16" s="73" ph="1">
        <f>T15*9.0746*LOOKUP(T17,密度!$A$2:$A$50,密度!$O$2:$O$50)</f>
        <v>31839.268604400004</v>
      </c>
      <c r="U16" s="73" ph="1">
        <f>U15*9.0746*LOOKUP(U17,密度!$A$2:$A$50,密度!$H$2:$H$50)</f>
        <v>14725.15196388</v>
      </c>
      <c r="V16" s="73" ph="1">
        <f>MAX(5600*LOOKUP(V17,密度!$A$2:$A$50,密度!$Q$2:$Q$50)+V15*9.0476*LOOKUP(V17,密度!$A$2:$A$50,密度!$Q$2:$Q$50),0)</f>
        <v>0</v>
      </c>
      <c r="W16" s="73" ph="1">
        <f>MAX(5600*LOOKUP(W17,密度!$A$2:$A$50,密度!$Q$2:$Q$50)+W15*9.0476*LOOKUP(W17,密度!$A$2:$A$50,密度!$Q$2:$Q$50),0)</f>
        <v>5512.0821417120005</v>
      </c>
      <c r="X16" s="73" ph="1">
        <f>MAX(5600*LOOKUP(X17,密度!$A$2:$A$50,密度!$I$2:$I$50)+X15*9.0476*LOOKUP(X17,密度!$A$2:$A$50,密度!$I$2:$I$50),0)</f>
        <v>13858.56658296</v>
      </c>
      <c r="Y16" s="107" ph="1">
        <v>0</v>
      </c>
      <c r="Z16" s="73" ph="1">
        <f>Z15*9.0746*LOOKUP(Z17,密度!$A$2:$A$50,密度!$D$2:$D$50)</f>
        <v>0</v>
      </c>
      <c r="AA16" s="73" ph="1">
        <f>AA15*9.0746*LOOKUP(AA17,密度!$A$2:$A$50,密度!$B$2:$B$50)</f>
        <v>17417.562189919998</v>
      </c>
      <c r="AB16" s="73" ph="1">
        <f>AB15*9.0746*LOOKUP(AB17,密度!$A$2:$A$50,密度!$L$2:$L$50)</f>
        <v>0</v>
      </c>
      <c r="AC16" s="73" ph="1">
        <f>AC15*9.0746*LOOKUP(AC17,密度!$A$2:$A$50,密度!$L$2:$L$50)</f>
        <v>0</v>
      </c>
      <c r="AD16" s="73" ph="1">
        <f>AD15*268.68*LOOKUP(AD17,密度!$A$2:$A$50,密度!B2:B50)+IF(AD15&lt;=0,0,1566*LOOKUP(AD17,密度!$A$2:$A$50,密度!B2:B50))</f>
        <v>2333.1017476799998</v>
      </c>
      <c r="AE16" s="73" ph="1">
        <f>AE15*268.68*LOOKUP(AE17,密度!$A$2:$A$50,密度!B2:B50)+IF(AE15&lt;=0,0,1566*LOOKUP(AE17,密度!$A$2:$A$50,密度!B2:B50))</f>
        <v>7862.9230468799997</v>
      </c>
      <c r="AH16" s="72" ph="1">
        <v>2</v>
      </c>
      <c r="AI16" s="72" t="s" ph="1">
        <v>337</v>
      </c>
      <c r="AZ16" s="72" t="s" ph="1">
        <v>216</v>
      </c>
      <c r="BA16" s="72" ph="1">
        <v>0</v>
      </c>
    </row>
    <row r="17" spans="1:57" ph="1">
      <c r="A17" s="64" t="s" ph="1">
        <v>73</v>
      </c>
      <c r="B17" s="218" ph="1"/>
      <c r="C17" s="79" t="s" ph="1">
        <v>179</v>
      </c>
      <c r="D17" s="74">
        <v>29</v>
      </c>
      <c r="E17" s="74">
        <v>29</v>
      </c>
      <c r="F17" s="74">
        <v>29</v>
      </c>
      <c r="G17" s="74">
        <v>26</v>
      </c>
      <c r="H17" s="74">
        <v>22</v>
      </c>
      <c r="I17" s="74">
        <v>27</v>
      </c>
      <c r="J17" s="74">
        <v>27</v>
      </c>
      <c r="K17" s="74">
        <v>25</v>
      </c>
      <c r="L17" s="74">
        <v>28</v>
      </c>
      <c r="M17" s="74">
        <v>29</v>
      </c>
      <c r="N17" s="74">
        <v>25</v>
      </c>
      <c r="O17" s="74">
        <v>27</v>
      </c>
      <c r="P17" s="74">
        <v>26</v>
      </c>
      <c r="Q17" s="74">
        <v>29</v>
      </c>
      <c r="R17" s="74">
        <v>27</v>
      </c>
      <c r="S17" s="74">
        <v>27</v>
      </c>
      <c r="T17" s="74">
        <v>27</v>
      </c>
      <c r="U17" s="74">
        <v>25</v>
      </c>
      <c r="V17" s="74">
        <v>27</v>
      </c>
      <c r="W17" s="74">
        <v>28</v>
      </c>
      <c r="X17" s="74">
        <v>29</v>
      </c>
      <c r="Y17" s="108">
        <v>29</v>
      </c>
      <c r="Z17" s="74">
        <v>26</v>
      </c>
      <c r="AA17" s="74">
        <v>25</v>
      </c>
      <c r="AB17" s="74">
        <v>26</v>
      </c>
      <c r="AC17" s="74">
        <v>25</v>
      </c>
      <c r="AD17" s="74">
        <v>25</v>
      </c>
      <c r="AE17" s="74">
        <v>25</v>
      </c>
      <c r="AH17" s="64" ph="1">
        <v>3</v>
      </c>
      <c r="AI17" s="64" t="s" ph="1">
        <v>338</v>
      </c>
      <c r="AK17" s="64" t="s" ph="1">
        <v>570</v>
      </c>
      <c r="AL17" s="64" ph="1">
        <v>80</v>
      </c>
      <c r="AM17" s="64" t="s" ph="1">
        <v>335</v>
      </c>
      <c r="AZ17" s="64" t="s" ph="1">
        <v>216</v>
      </c>
      <c r="BA17" s="64" ph="1">
        <v>80</v>
      </c>
      <c r="BD17" s="64" t="s" ph="1">
        <v>214</v>
      </c>
      <c r="BE17" s="64" ph="1">
        <v>2270</v>
      </c>
    </row>
    <row r="18" spans="1:57" ht="26.4" ph="1">
      <c r="B18" s="216" ph="1">
        <v>0.66666666666666663</v>
      </c>
      <c r="C18" s="79" t="s" ph="1">
        <v>180</v>
      </c>
      <c r="D18" s="71">
        <v>3966</v>
      </c>
      <c r="E18" s="71">
        <v>3300</v>
      </c>
      <c r="F18" s="71">
        <v>4477</v>
      </c>
      <c r="G18" s="71">
        <v>4247</v>
      </c>
      <c r="H18" s="71">
        <v>0</v>
      </c>
      <c r="I18" s="71">
        <v>5050</v>
      </c>
      <c r="J18" s="71">
        <v>165</v>
      </c>
      <c r="K18" s="71">
        <v>671</v>
      </c>
      <c r="L18" s="71">
        <v>4852</v>
      </c>
      <c r="M18" s="71">
        <v>3297</v>
      </c>
      <c r="N18" s="71">
        <v>2369</v>
      </c>
      <c r="O18" s="71">
        <v>3387</v>
      </c>
      <c r="P18" s="71">
        <v>0</v>
      </c>
      <c r="Q18" s="71">
        <v>3215</v>
      </c>
      <c r="R18" s="71">
        <v>0</v>
      </c>
      <c r="S18" s="71">
        <v>0</v>
      </c>
      <c r="T18" s="71">
        <v>3354</v>
      </c>
      <c r="U18" s="71">
        <v>3638</v>
      </c>
      <c r="V18" s="71">
        <v>-817</v>
      </c>
      <c r="W18" s="71">
        <v>26</v>
      </c>
      <c r="X18" s="71">
        <v>857</v>
      </c>
      <c r="Y18" s="109">
        <v>-9908</v>
      </c>
      <c r="Z18" s="71">
        <v>0</v>
      </c>
      <c r="AA18" s="71">
        <v>2464</v>
      </c>
      <c r="AB18" s="71">
        <v>0</v>
      </c>
      <c r="AC18" s="71">
        <v>0</v>
      </c>
      <c r="AD18" s="71">
        <v>5.24</v>
      </c>
      <c r="AE18" s="71">
        <v>81.06</v>
      </c>
      <c r="AH18" s="64" ph="1">
        <v>4</v>
      </c>
      <c r="AI18" s="64" t="s" ph="1">
        <v>340</v>
      </c>
      <c r="AJ18" s="64" t="s" ph="1">
        <v>588</v>
      </c>
      <c r="AK18" s="64" t="s" ph="1">
        <v>587</v>
      </c>
      <c r="AL18" s="64" ph="1">
        <v>740</v>
      </c>
      <c r="AM18" s="64" t="s" ph="1">
        <v>339</v>
      </c>
      <c r="AZ18" s="64" t="s" ph="1">
        <v>216</v>
      </c>
      <c r="BA18" s="64" ph="1">
        <v>740</v>
      </c>
    </row>
    <row r="19" spans="1:57" s="72" customFormat="1" ht="22.2" ph="1">
      <c r="B19" s="217" ph="1"/>
      <c r="C19" s="155" t="s" ph="1">
        <v>178</v>
      </c>
      <c r="D19" s="73" ph="1">
        <f>D18*7.0686*LOOKUP(D20,密度!$A$2:$A$50,密度!$L$2:$L$50)</f>
        <v>26127.751003199999</v>
      </c>
      <c r="E19" s="73" ph="1">
        <f>E18*7.0686*LOOKUP(E20,密度!$A$2:$A$50,密度!$L$2:$L$50)</f>
        <v>21740.186160000001</v>
      </c>
      <c r="F19" s="73" ph="1">
        <f>F18*9.0746*LOOKUP(F20,密度!$A$2:$A$50,密度!$L$2:$L$50)</f>
        <v>37864.349274400003</v>
      </c>
      <c r="G19" s="73" ph="1">
        <f>G18*9.0746*LOOKUP(G20,密度!$A$2:$A$50,密度!$B$2:$B$50)</f>
        <v>29980.130800980005</v>
      </c>
      <c r="H19" s="73" ph="1">
        <f>H18*9.0746*LOOKUP(H20,密度!$A$2:$A$50,密度!$L$2:$L$50)</f>
        <v>0</v>
      </c>
      <c r="I19" s="73" ph="1">
        <f>I18*9.0746*LOOKUP(I20,密度!$A$2:$A$50,密度!$U$2:$U$50)</f>
        <v>46789.091329999996</v>
      </c>
      <c r="J19" s="73" ph="1">
        <f>J18*9.0746*LOOKUP(J20,密度!$A$2:$A$50,密度!$L$2:$L$50)</f>
        <v>1395.491988</v>
      </c>
      <c r="K19" s="73" ph="1">
        <f>K18*9.0746*LOOKUP(K20,密度!$A$2:$A$50,密度!$C$2:$C$50)</f>
        <v>6729.0164486599997</v>
      </c>
      <c r="L19" s="73" ph="1">
        <f>L18*9.0746*LOOKUP(L20,密度!$A$2:$A$50,密度!$E$2:$E$50)</f>
        <v>34237.696273919995</v>
      </c>
      <c r="M19" s="73" ph="1">
        <f>M18*9.0746*LOOKUP(M20,密度!$A$2:$A$50,密度!$M$2:$M$50)</f>
        <v>25995.683473494002</v>
      </c>
      <c r="N19" s="73" ph="1">
        <f>N18*9.0746*LOOKUP(N20,密度!$A$2:$A$50,密度!$M$2:$M$50)</f>
        <v>18769.665792939999</v>
      </c>
      <c r="O19" s="73" ph="1">
        <f>O18*9.0746*LOOKUP(O20,密度!$A$2:$A$50,密度!$G$2:$G$50)</f>
        <v>29343.344339939998</v>
      </c>
      <c r="P19" s="73" ph="1">
        <f ca="1">P18*9.0746*LOOKUP(P20,密度!$A$2:$A$51,密度!$Q$2:$Q$50)</f>
        <v>0</v>
      </c>
      <c r="Q19" s="73" ph="1">
        <f>Q18*9.0746*LOOKUP(Q20,密度!$A$2:$A$50,密度!$Q$2:$Q$50)</f>
        <v>27521.500873870002</v>
      </c>
      <c r="R19" s="73" ph="1">
        <f>MAX(R18*9.0746*LOOKUP(R20,密度!$A$2:$A$50,密度!$Q$2:$Q$50),0)</f>
        <v>0</v>
      </c>
      <c r="S19" s="73" ph="1">
        <f>S18*9.0746*LOOKUP(S20,密度!$A$2:$A$50,密度!$Q$2:$Q$50)</f>
        <v>0</v>
      </c>
      <c r="T19" s="73" ph="1">
        <f>T18*9.0746*LOOKUP(T20,密度!$A$2:$A$50,密度!$O$2:$O$50)</f>
        <v>28062.184144800001</v>
      </c>
      <c r="U19" s="73" ph="1">
        <f>U18*9.0746*LOOKUP(U20,密度!$A$2:$A$50,密度!$H$2:$H$50)</f>
        <v>30108.216057600002</v>
      </c>
      <c r="V19" s="73" ph="1">
        <f>MAX(5600*LOOKUP(V20,密度!$A$2:$A$50,密度!$Q$2:$Q$50)+V18*9.0476*LOOKUP(V20,密度!$A$2:$A$50,密度!$Q$2:$Q$50),0)</f>
        <v>0</v>
      </c>
      <c r="W19" s="73" ph="1">
        <f>MAX(5600*LOOKUP(W20,密度!$A$2:$A$50,密度!$Q$2:$Q$50)+W18*9.0476*LOOKUP(W20,密度!$A$2:$A$50,密度!$Q$2:$Q$50),0)</f>
        <v>5500.1782570079995</v>
      </c>
      <c r="X19" s="73" ph="1">
        <f>MAX(5600*LOOKUP(X20,密度!$A$2:$A$50,密度!$I$2:$I$50)+X18*9.0476*LOOKUP(X20,密度!$A$2:$A$50,密度!$I$2:$I$50),0)</f>
        <v>13843.877410439998</v>
      </c>
      <c r="Y19" s="73" ph="1">
        <f>MAX(5600*LOOKUP(Y20,密度!$A$2:$A$50,密度!$I$2:$I$50)+Y18*9.0476*LOOKUP(Y20,密度!$A$2:$A$50,密度!$I$2:$I$50),0)</f>
        <v>0</v>
      </c>
      <c r="Z19" s="73" ph="1">
        <f>Z18*9.0746*LOOKUP(Z20,密度!$A$2:$A$50,密度!$D$2:$D$50)</f>
        <v>0</v>
      </c>
      <c r="AA19" s="73" ph="1">
        <f>AA18*9.0746*LOOKUP(AA20,密度!$A$2:$A$50,密度!$B$2:$B$50)</f>
        <v>17411.587473279997</v>
      </c>
      <c r="AB19" s="73" ph="1">
        <f>AB18*9.0746*LOOKUP(AB20,密度!$A$2:$A$50,密度!$L$2:$L$50)</f>
        <v>0</v>
      </c>
      <c r="AC19" s="73" ph="1">
        <f>AC18*9.0746*LOOKUP(AC20,密度!$A$2:$A$50,密度!$L$2:$L$50)</f>
        <v>0</v>
      </c>
      <c r="AD19" s="73" ph="1">
        <f>AD18*268.68*LOOKUP(AD20,密度!$A$2:$A$50,密度!B5:B53)+IF(AD18&lt;=0,0,1566*LOOKUP(AD20,密度!$A$2:$A$50,密度!B5:B53))</f>
        <v>2310.7072464000003</v>
      </c>
      <c r="AE19" s="73" ph="1">
        <f>AE18*268.68*LOOKUP(AE20,密度!$A$2:$A$50,密度!B5:B53)+IF(AE18&lt;=0,0,1566*LOOKUP(AE20,密度!$A$2:$A$50,密度!B5:B53))</f>
        <v>18139.221021600002</v>
      </c>
      <c r="AH19" s="72" ph="1">
        <v>5</v>
      </c>
      <c r="AI19" s="72" t="s" ph="1">
        <v>341</v>
      </c>
      <c r="AZ19" s="72" t="s" ph="1">
        <v>216</v>
      </c>
      <c r="BA19" s="72" ph="1">
        <v>0</v>
      </c>
      <c r="BD19" s="72" t="s" ph="1">
        <v>342</v>
      </c>
      <c r="BE19" s="72" ph="1">
        <v>1440</v>
      </c>
    </row>
    <row r="20" spans="1:57" ph="1">
      <c r="A20" s="72" ph="1"/>
      <c r="B20" s="217" ph="1"/>
      <c r="C20" s="80" t="s" ph="1">
        <v>179</v>
      </c>
      <c r="D20" s="81">
        <v>30</v>
      </c>
      <c r="E20" s="81">
        <v>30</v>
      </c>
      <c r="F20" s="81">
        <v>30</v>
      </c>
      <c r="G20" s="81">
        <v>27</v>
      </c>
      <c r="H20" s="81">
        <v>26</v>
      </c>
      <c r="I20" s="81">
        <v>29</v>
      </c>
      <c r="J20" s="81">
        <v>30</v>
      </c>
      <c r="K20" s="81">
        <v>30</v>
      </c>
      <c r="L20" s="81">
        <v>30</v>
      </c>
      <c r="M20" s="81">
        <v>31</v>
      </c>
      <c r="N20" s="81">
        <v>27</v>
      </c>
      <c r="O20" s="81">
        <v>30</v>
      </c>
      <c r="P20" s="81">
        <v>40</v>
      </c>
      <c r="Q20" s="81">
        <v>30</v>
      </c>
      <c r="R20" s="81">
        <v>36</v>
      </c>
      <c r="S20" s="81">
        <v>31</v>
      </c>
      <c r="T20" s="81">
        <v>30</v>
      </c>
      <c r="U20" s="81">
        <v>28</v>
      </c>
      <c r="V20" s="81">
        <v>30</v>
      </c>
      <c r="W20" s="81">
        <v>31</v>
      </c>
      <c r="X20" s="81">
        <v>30</v>
      </c>
      <c r="Y20" s="110">
        <v>30</v>
      </c>
      <c r="Z20" s="81">
        <v>33</v>
      </c>
      <c r="AA20" s="81">
        <v>26</v>
      </c>
      <c r="AB20" s="81">
        <v>33</v>
      </c>
      <c r="AC20" s="81">
        <v>28</v>
      </c>
      <c r="AD20" s="81">
        <v>25</v>
      </c>
      <c r="AE20" s="81">
        <v>25</v>
      </c>
      <c r="AF20" s="64" t="s" ph="1">
        <v>35</v>
      </c>
      <c r="AH20" s="64" ph="1">
        <v>6</v>
      </c>
      <c r="AI20" s="64" t="s" ph="1">
        <v>343</v>
      </c>
      <c r="AZ20" s="64" t="s" ph="1">
        <v>216</v>
      </c>
      <c r="BA20" s="64" ph="1">
        <v>0</v>
      </c>
    </row>
    <row r="21" spans="1:57" ph="1">
      <c r="A21" s="72" ph="1"/>
      <c r="B21" s="82" ph="1"/>
      <c r="C21" s="83" ph="1"/>
      <c r="D21" s="84"/>
      <c r="E21" s="84"/>
      <c r="F21" s="84"/>
      <c r="G21" s="84"/>
      <c r="H21" s="84"/>
      <c r="I21" s="84"/>
      <c r="J21" s="84"/>
      <c r="K21" s="84"/>
      <c r="L21" s="84"/>
      <c r="M21" s="84"/>
      <c r="N21" s="84"/>
      <c r="O21" s="84"/>
      <c r="P21" s="84"/>
      <c r="Q21" s="84"/>
      <c r="R21" s="84"/>
      <c r="S21" s="84"/>
      <c r="T21" s="84"/>
      <c r="U21" s="84"/>
      <c r="V21" s="84"/>
      <c r="W21" s="84"/>
      <c r="X21" s="84"/>
      <c r="Y21" s="84"/>
      <c r="Z21" s="84"/>
      <c r="AA21" s="84"/>
      <c r="AB21" s="84"/>
      <c r="AC21" s="84"/>
      <c r="AD21" s="84"/>
      <c r="AE21" s="84"/>
      <c r="AH21" s="64" ph="1">
        <v>7</v>
      </c>
      <c r="AI21" s="64" t="s" ph="1">
        <v>344</v>
      </c>
      <c r="AZ21" s="64" t="s" ph="1">
        <v>216</v>
      </c>
      <c r="BA21" s="64" ph="1">
        <v>0</v>
      </c>
      <c r="BD21" s="64" t="s" ph="1">
        <v>232</v>
      </c>
      <c r="BE21" s="64" ph="1">
        <v>730</v>
      </c>
    </row>
    <row r="22" spans="1:57" ph="1">
      <c r="A22" s="72" ph="1"/>
      <c r="B22" s="215" t="s" ph="1">
        <v>37</v>
      </c>
      <c r="C22" s="85" t="s" ph="1">
        <v>176</v>
      </c>
      <c r="D22" s="86" t="s" ph="1">
        <v>86</v>
      </c>
      <c r="E22" s="86" t="s" ph="1">
        <v>87</v>
      </c>
      <c r="F22" s="86" t="s" ph="1">
        <v>88</v>
      </c>
      <c r="G22" s="86" t="s" ph="1">
        <v>89</v>
      </c>
      <c r="H22" s="86" t="s" ph="1">
        <v>90</v>
      </c>
      <c r="I22" s="86" t="s" ph="1">
        <v>91</v>
      </c>
      <c r="J22" s="86" t="s" ph="1">
        <v>92</v>
      </c>
      <c r="K22" s="86" t="s" ph="1">
        <v>93</v>
      </c>
      <c r="L22" s="86" t="s" ph="1">
        <v>94</v>
      </c>
      <c r="M22" s="86" t="s" ph="1">
        <v>95</v>
      </c>
      <c r="N22" s="86" t="s" ph="1">
        <v>96</v>
      </c>
      <c r="O22" s="86" t="s" ph="1">
        <v>97</v>
      </c>
      <c r="P22" s="86" t="s" ph="1">
        <v>98</v>
      </c>
      <c r="Q22" s="87" t="s" ph="1">
        <v>99</v>
      </c>
      <c r="R22" s="86" t="s" ph="1">
        <v>100</v>
      </c>
      <c r="S22" s="86" t="s" ph="1">
        <v>101</v>
      </c>
      <c r="T22" s="86" t="s" ph="1">
        <v>102</v>
      </c>
      <c r="U22" s="86" t="s" ph="1">
        <v>103</v>
      </c>
      <c r="V22" s="86" t="s" ph="1">
        <v>104</v>
      </c>
      <c r="W22" s="86" t="s" ph="1">
        <v>105</v>
      </c>
      <c r="X22" s="86" t="s" ph="1">
        <v>106</v>
      </c>
      <c r="Y22" s="86" t="s" ph="1">
        <v>108</v>
      </c>
      <c r="Z22" s="225" t="s" ph="1">
        <v>69</v>
      </c>
      <c r="AA22" s="226"/>
      <c r="AB22" s="226"/>
      <c r="AC22" s="226"/>
      <c r="AD22" s="226"/>
      <c r="AE22" s="227"/>
      <c r="AH22" s="64" ph="1">
        <v>8</v>
      </c>
      <c r="AI22" s="64" t="s" ph="1">
        <v>345</v>
      </c>
      <c r="AZ22" s="64" t="s" ph="1">
        <v>216</v>
      </c>
      <c r="BA22" s="64" ph="1">
        <v>0</v>
      </c>
    </row>
    <row r="23" spans="1:57" ph="1">
      <c r="A23" s="72" ph="1"/>
      <c r="B23" s="219" ph="1"/>
      <c r="C23" s="67" t="s" ph="1">
        <v>36</v>
      </c>
      <c r="D23" s="88" t="s" ph="1">
        <v>109</v>
      </c>
      <c r="E23" s="88" t="s" ph="1">
        <v>107</v>
      </c>
      <c r="F23" s="88" t="s" ph="1">
        <v>109</v>
      </c>
      <c r="G23" s="88" t="s" ph="1">
        <v>626</v>
      </c>
      <c r="H23" s="88" t="s" ph="1">
        <v>626</v>
      </c>
      <c r="I23" s="88" t="s" ph="1">
        <v>627</v>
      </c>
      <c r="J23" s="88" t="s" ph="1">
        <v>628</v>
      </c>
      <c r="K23" s="88" t="s" ph="1">
        <v>628</v>
      </c>
      <c r="L23" s="88" t="s" ph="1">
        <v>628</v>
      </c>
      <c r="M23" s="88" t="s" ph="1">
        <v>623</v>
      </c>
      <c r="N23" s="88" t="s" ph="1">
        <v>623</v>
      </c>
      <c r="O23" s="88" t="s" ph="1">
        <v>645</v>
      </c>
      <c r="P23" s="88" t="s" ph="1">
        <v>629</v>
      </c>
      <c r="Q23" s="89" t="s" ph="1">
        <v>643</v>
      </c>
      <c r="R23" s="88" t="s" ph="1">
        <v>610</v>
      </c>
      <c r="S23" s="88" t="s" ph="1">
        <v>629</v>
      </c>
      <c r="T23" s="88" t="s" ph="1">
        <v>604</v>
      </c>
      <c r="U23" s="104" t="s" ph="1">
        <v>606</v>
      </c>
      <c r="V23" s="88" t="s" ph="1">
        <v>629</v>
      </c>
      <c r="W23" s="88" t="s" ph="1">
        <v>629</v>
      </c>
      <c r="X23" s="88" t="s" ph="1">
        <v>187</v>
      </c>
      <c r="Y23" s="88" t="s" ph="1">
        <v>630</v>
      </c>
      <c r="Z23" s="228" t="s" ph="1">
        <v>646</v>
      </c>
      <c r="AA23" s="229"/>
      <c r="AB23" s="229"/>
      <c r="AC23" s="229"/>
      <c r="AD23" s="229"/>
      <c r="AE23" s="230"/>
      <c r="AH23" s="64" ph="1">
        <v>9</v>
      </c>
      <c r="AI23" s="64" t="s" ph="1">
        <v>346</v>
      </c>
      <c r="AZ23" s="64" t="s" ph="1">
        <v>216</v>
      </c>
      <c r="BA23" s="64" ph="1">
        <v>0</v>
      </c>
      <c r="BD23" s="64" t="s" ph="1">
        <v>238</v>
      </c>
      <c r="BE23" s="64" ph="1">
        <v>890</v>
      </c>
    </row>
    <row r="24" spans="1:57" ph="1">
      <c r="A24" s="72" ph="1"/>
      <c r="B24" s="237" ph="1">
        <v>0.33333333333333331</v>
      </c>
      <c r="C24" s="155" t="s" ph="1">
        <v>177</v>
      </c>
      <c r="D24" s="71">
        <v>3.26</v>
      </c>
      <c r="E24" s="71">
        <v>5.68</v>
      </c>
      <c r="F24" s="71">
        <v>2</v>
      </c>
      <c r="G24" s="71">
        <v>2819</v>
      </c>
      <c r="H24" s="71">
        <v>3345</v>
      </c>
      <c r="I24" s="71">
        <v>510</v>
      </c>
      <c r="J24" s="71">
        <v>294</v>
      </c>
      <c r="K24" s="71">
        <v>210</v>
      </c>
      <c r="L24" s="71">
        <v>301</v>
      </c>
      <c r="M24" s="71">
        <v>227</v>
      </c>
      <c r="N24" s="71">
        <v>284</v>
      </c>
      <c r="O24" s="71">
        <v>318</v>
      </c>
      <c r="P24" s="71">
        <v>365</v>
      </c>
      <c r="Q24" s="90">
        <v>3313</v>
      </c>
      <c r="R24" s="71">
        <v>3751</v>
      </c>
      <c r="S24" s="71">
        <v>2277</v>
      </c>
      <c r="T24" s="71">
        <v>133</v>
      </c>
      <c r="U24" s="71">
        <v>5965</v>
      </c>
      <c r="V24" s="71">
        <v>737</v>
      </c>
      <c r="W24" s="71">
        <v>433</v>
      </c>
      <c r="X24" s="71">
        <v>2864</v>
      </c>
      <c r="Y24" s="71">
        <v>2773</v>
      </c>
      <c r="Z24" s="231"/>
      <c r="AA24" s="232"/>
      <c r="AB24" s="232"/>
      <c r="AC24" s="232"/>
      <c r="AD24" s="232"/>
      <c r="AE24" s="233"/>
      <c r="AH24" s="64" ph="1">
        <v>10</v>
      </c>
      <c r="AI24" s="64" t="s" ph="1">
        <v>347</v>
      </c>
      <c r="AZ24" s="64" t="s" ph="1">
        <v>216</v>
      </c>
      <c r="BA24" s="64" ph="1">
        <v>0</v>
      </c>
    </row>
    <row r="25" spans="1:57" ph="1">
      <c r="A25" s="72" ph="1"/>
      <c r="B25" s="237" ph="1"/>
      <c r="C25" s="68" t="s" ph="1">
        <v>178</v>
      </c>
      <c r="D25" s="91" ph="1">
        <f>D24*268.68*LOOKUP(D26,密度!$A$2:$A$50,密度!$Q$2:$Q$50)+IF(D24&lt;=0,0,1566*LOOKUP(D26,密度!$A$2:$A$50,密度!$Q$2:$Q$50))</f>
        <v>2311.8413764319998</v>
      </c>
      <c r="E25" s="91" ph="1">
        <f>E24*268.68*LOOKUP(E26,密度!$A$2:$A$50,密度!$C$2:$C$50)+IF(E24&lt;=0,0,1566*LOOKUP(E26,密度!$A$2:$A$50,密度!$C$2:$C$50))</f>
        <v>3428.8323513599998</v>
      </c>
      <c r="F25" s="91" ph="1">
        <f>F24*11.702*LOOKUP(F26,密度!$A$2:$A$50,密度!$Q$2:$Q$50)</f>
        <v>22.12426928</v>
      </c>
      <c r="G25" s="91" ph="1">
        <f>G24*18.322*LOOKUP(G26,密度!$A$2:$A$50,密度!$B$2:$B$50)</f>
        <v>40219.635406599999</v>
      </c>
      <c r="H25" s="91" ph="1">
        <f>H24*18.322*LOOKUP(H26,密度!$A$2:$A$50,密度!$B$2:$B$50)</f>
        <v>47724.256982999992</v>
      </c>
      <c r="I25" s="91" ph="1">
        <f>I24*18.322*LOOKUP(I26,密度!$A$2:$A$50,密度!$Q$2:$Q$50)</f>
        <v>8826.7370964000002</v>
      </c>
      <c r="J25" s="91" ph="1">
        <f>J24*18.322*LOOKUP(J26,密度!$A$2:$A$50,密度!$Q$2:$Q$50)</f>
        <v>5092.1249937599996</v>
      </c>
      <c r="K25" s="91" ph="1">
        <f>K24*18.322*LOOKUP(K26,密度!$A$2:$A$50,密度!$Q$2:$Q$50)</f>
        <v>3637.2321384000002</v>
      </c>
      <c r="L25" s="91" ph="1">
        <f>L24*18.322*LOOKUP(L26,密度!$A$2:$A$50,密度!$Q$2:$Q$50)</f>
        <v>5217.2816596599996</v>
      </c>
      <c r="M25" s="91" ph="1">
        <f>M24*18.322*LOOKUP(M26,密度!$A$2:$A$50,密度!$Q$2:$Q$50)</f>
        <v>3934.62769682</v>
      </c>
      <c r="N25" s="91" ph="1">
        <f>N24*18.322*LOOKUP(N26,密度!$A$2:$A$50,密度!$Q$2:$Q$50)</f>
        <v>4918.9234633599999</v>
      </c>
      <c r="O25" s="91" ph="1">
        <f>O24*18.322*LOOKUP(O26,密度!$A$2:$A$50,密度!$C$2:$C$50)</f>
        <v>6460.8905243999998</v>
      </c>
      <c r="P25" s="91" ph="1">
        <f>P24*11.702*LOOKUP(P26,密度!$A$2:$A$50,密度!$B$2:$B$50)</f>
        <v>3322.589817</v>
      </c>
      <c r="Q25" s="92" ph="1">
        <f>Q24*18.322*LOOKUP(Q26,密度!$A$2:$A$50,密度!$B$2:$B$50)</f>
        <v>47219.141429399999</v>
      </c>
      <c r="R25" s="91" ph="1">
        <f>R24*35.891*LOOKUP(R26,密度!$A$2:$A$50,密度!$C$2:$C$50)</f>
        <v>149180.33494210002</v>
      </c>
      <c r="S25" s="91" ph="1">
        <f>S24*35.891*LOOKUP(S26,密度!$A$2:$A$50,密度!$B$2:$B$50)</f>
        <v>63572.9494653</v>
      </c>
      <c r="T25" s="91" ph="1">
        <f>T24*35.891*LOOKUP(T26,密度!$A$2:$A$50,密度!$Q$2:$Q$50)</f>
        <v>4509.1464038599997</v>
      </c>
      <c r="U25" s="91" ph="1">
        <f>U24*35.891</f>
        <v>214089.815</v>
      </c>
      <c r="V25" s="91" ph="1">
        <f>V24*47.051*LOOKUP(V26,密度!$A$2:$A$50,密度!$B$2:$B$50)</f>
        <v>26974.917027300002</v>
      </c>
      <c r="W25" s="91" ph="1">
        <f>W24*47.051*LOOKUP(W26,密度!$A$2:$A$50,密度!$B$2:$B$50)</f>
        <v>15829.885491000003</v>
      </c>
      <c r="X25" s="91" ph="1">
        <f>X24*47.051*LOOKUP(X26,密度!$A$2:$A$61,密度!$I$2:$I$61)</f>
        <v>140009.472496</v>
      </c>
      <c r="Y25" s="91" ph="1">
        <f>Y24*47.051*LOOKUP(Y26,密度!$A$2:$A$50,密度!$L$2:$L$50)</f>
        <v>121991.71550500001</v>
      </c>
      <c r="Z25" s="231"/>
      <c r="AA25" s="232"/>
      <c r="AB25" s="232"/>
      <c r="AC25" s="232"/>
      <c r="AD25" s="232"/>
      <c r="AE25" s="233"/>
      <c r="AH25" s="64" ph="1">
        <v>11</v>
      </c>
      <c r="AI25" s="64" t="s" ph="1">
        <v>348</v>
      </c>
      <c r="AZ25" s="64" t="s" ph="1">
        <v>216</v>
      </c>
      <c r="BA25" s="64" ph="1">
        <v>0</v>
      </c>
      <c r="BD25" s="64" t="s" ph="1">
        <v>241</v>
      </c>
      <c r="BE25" s="64" ph="1">
        <v>8920</v>
      </c>
    </row>
    <row r="26" spans="1:57" ph="1">
      <c r="A26" s="72" ph="1"/>
      <c r="B26" s="237" ph="1"/>
      <c r="C26" s="68" t="s" ph="1">
        <v>179</v>
      </c>
      <c r="D26" s="74">
        <v>25</v>
      </c>
      <c r="E26" s="74">
        <v>25</v>
      </c>
      <c r="F26" s="74">
        <v>27</v>
      </c>
      <c r="G26" s="74">
        <v>26</v>
      </c>
      <c r="H26" s="74">
        <v>26</v>
      </c>
      <c r="I26" s="74">
        <v>28</v>
      </c>
      <c r="J26" s="74">
        <v>27</v>
      </c>
      <c r="K26" s="74">
        <v>27</v>
      </c>
      <c r="L26" s="74">
        <v>26</v>
      </c>
      <c r="M26" s="74">
        <v>26</v>
      </c>
      <c r="N26" s="74">
        <v>27</v>
      </c>
      <c r="O26" s="74">
        <v>25</v>
      </c>
      <c r="P26" s="74">
        <v>27</v>
      </c>
      <c r="Q26" s="93">
        <v>27</v>
      </c>
      <c r="R26" s="74">
        <v>26</v>
      </c>
      <c r="S26" s="74">
        <v>27</v>
      </c>
      <c r="T26" s="74">
        <v>28</v>
      </c>
      <c r="U26" s="74">
        <v>28</v>
      </c>
      <c r="V26" s="74">
        <v>27</v>
      </c>
      <c r="W26" s="74">
        <v>28</v>
      </c>
      <c r="X26" s="74">
        <v>28</v>
      </c>
      <c r="Y26" s="74">
        <v>27</v>
      </c>
      <c r="Z26" s="231"/>
      <c r="AA26" s="232"/>
      <c r="AB26" s="232"/>
      <c r="AC26" s="232"/>
      <c r="AD26" s="232"/>
      <c r="AE26" s="233"/>
      <c r="AH26" s="64" ph="1">
        <v>12</v>
      </c>
      <c r="AI26" s="64" t="s" ph="1">
        <v>349</v>
      </c>
      <c r="AZ26" s="64" t="s" ph="1">
        <v>216</v>
      </c>
      <c r="BA26" s="64" ph="1">
        <v>0</v>
      </c>
    </row>
    <row r="27" spans="1:57" ht="26.4" ph="1">
      <c r="A27" s="72" ph="1"/>
      <c r="B27" s="237" ph="1">
        <v>0.66666666666666663</v>
      </c>
      <c r="C27" s="155" t="s" ph="1">
        <v>180</v>
      </c>
      <c r="D27" s="71">
        <v>3.26</v>
      </c>
      <c r="E27" s="71">
        <v>5.67</v>
      </c>
      <c r="F27" s="71">
        <v>0</v>
      </c>
      <c r="G27" s="71">
        <v>2441</v>
      </c>
      <c r="H27" s="71">
        <v>2863</v>
      </c>
      <c r="I27" s="71">
        <v>0</v>
      </c>
      <c r="J27" s="71">
        <v>802</v>
      </c>
      <c r="K27" s="71">
        <v>205</v>
      </c>
      <c r="L27" s="71">
        <v>296</v>
      </c>
      <c r="M27" s="71">
        <v>222</v>
      </c>
      <c r="N27" s="71">
        <v>280</v>
      </c>
      <c r="O27" s="71">
        <v>0</v>
      </c>
      <c r="P27" s="71">
        <v>361</v>
      </c>
      <c r="Q27" s="90">
        <v>3491</v>
      </c>
      <c r="R27" s="71">
        <v>3749</v>
      </c>
      <c r="S27" s="71">
        <v>2274</v>
      </c>
      <c r="T27" s="71">
        <v>130</v>
      </c>
      <c r="U27" s="71">
        <v>6048</v>
      </c>
      <c r="V27" s="71">
        <v>732</v>
      </c>
      <c r="W27" s="71">
        <v>430</v>
      </c>
      <c r="X27" s="71">
        <v>3471</v>
      </c>
      <c r="Y27" s="71">
        <v>3489</v>
      </c>
      <c r="Z27" s="231"/>
      <c r="AA27" s="232"/>
      <c r="AB27" s="232"/>
      <c r="AC27" s="232"/>
      <c r="AD27" s="232"/>
      <c r="AE27" s="233"/>
      <c r="AH27" s="64" ph="1">
        <v>13</v>
      </c>
      <c r="AI27" s="64" t="s" ph="1">
        <v>350</v>
      </c>
      <c r="AZ27" s="64" t="s" ph="1">
        <v>216</v>
      </c>
      <c r="BA27" s="64" ph="1">
        <v>0</v>
      </c>
      <c r="BD27" s="64" t="s" ph="1">
        <v>295</v>
      </c>
      <c r="BE27" s="64" ph="1">
        <v>7100</v>
      </c>
    </row>
    <row r="28" spans="1:57" ph="1">
      <c r="A28" s="72" ph="1"/>
      <c r="B28" s="237" ph="1"/>
      <c r="C28" s="155" t="s" ph="1">
        <v>178</v>
      </c>
      <c r="D28" s="91" ph="1">
        <f>D27*268.68*LOOKUP(D29,密度!$A$2:$A$50,密度!$Q$2:$Q$50)+IF(D27&lt;=0,0,1566*LOOKUP(D29,密度!$A$2:$A$50,密度!$Q$2:$Q$50))</f>
        <v>2311.8413764319998</v>
      </c>
      <c r="E28" s="91" ph="1">
        <f>E27*268.68*LOOKUP(E29,密度!$A$2:$A$50,密度!$C$2:$C$50)+IF(E27&lt;=0,0,1566*LOOKUP(E29,密度!$A$2:$A$50,密度!$C$2:$C$50))</f>
        <v>3425.8529588399997</v>
      </c>
      <c r="F28" s="91" ph="1">
        <f>F27*11.702*LOOKUP(F29,密度!$A$2:$A$50,密度!$Q$2:$Q$50)</f>
        <v>0</v>
      </c>
      <c r="G28" s="91" ph="1">
        <f>G27*18.322*LOOKUP(G29,密度!$A$2:$A$50,密度!$B$2:$B$50)</f>
        <v>34714.770352400003</v>
      </c>
      <c r="H28" s="91" ph="1">
        <f>H27*18.322*LOOKUP(H29,密度!$A$2:$A$50,密度!$B$2:$B$50)</f>
        <v>40758.223422000003</v>
      </c>
      <c r="I28" s="91" ph="1">
        <f>I27*18.322*LOOKUP(I29,密度!$A$2:$A$50,密度!$Q$2:$Q$50)</f>
        <v>0</v>
      </c>
      <c r="J28" s="91" ph="1">
        <f>J27*18.322*LOOKUP(J29,密度!$A$2:$A$50,密度!$Q$2:$Q$50)</f>
        <v>13861.521192519998</v>
      </c>
      <c r="K28" s="91" ph="1">
        <f>K27*18.322*LOOKUP(K29,密度!$A$2:$A$50,密度!$Q$2:$Q$50)</f>
        <v>3548.0021661999999</v>
      </c>
      <c r="L28" s="91" ph="1">
        <f>L27*18.322*LOOKUP(L29,密度!$A$2:$A$50,密度!$Q$2:$Q$50)</f>
        <v>5115.9729089599996</v>
      </c>
      <c r="M28" s="91" ph="1">
        <f>M27*18.322*LOOKUP(M29,密度!$A$2:$A$50,密度!$Q$2:$Q$50)</f>
        <v>3833.92906872</v>
      </c>
      <c r="N28" s="91" ph="1">
        <f>N27*18.322*LOOKUP(N29,密度!$A$2:$A$50,密度!$Q$2:$Q$50)</f>
        <v>4835.5862127999999</v>
      </c>
      <c r="O28" s="91" ph="1">
        <f>O27*18.322*LOOKUP(O29,密度!$A$2:$A$50,密度!$C$2:$C$50)</f>
        <v>0</v>
      </c>
      <c r="P28" s="91" ph="1">
        <f>P27*11.702*LOOKUP(P29,密度!$A$2:$A$50,密度!$B$2:$B$50)</f>
        <v>3275.1943765999995</v>
      </c>
      <c r="Q28" s="92" ph="1">
        <f>Q27*18.322*LOOKUP(Q29,密度!$A$2:$A$50,密度!$B$2:$B$50)</f>
        <v>49589.817680599997</v>
      </c>
      <c r="R28" s="91" ph="1">
        <f>R27*35.891*LOOKUP(R29,密度!$A$2:$A$50,密度!$C$2:$C$50)</f>
        <v>148562.5718719</v>
      </c>
      <c r="S28" s="91" ph="1">
        <f>S27*35.891*LOOKUP(S29,密度!$A$2:$A$50,密度!$B$2:$B$50)</f>
        <v>63064.786741799995</v>
      </c>
      <c r="T28" s="91" ph="1">
        <f>T27*35.891*LOOKUP(T29,密度!$A$2:$A$50,密度!$Q$2:$Q$50)</f>
        <v>4401.4174138999997</v>
      </c>
      <c r="U28" s="91" ph="1">
        <f>U27*35.891</f>
        <v>217068.76799999998</v>
      </c>
      <c r="V28" s="91" ph="1">
        <f>V27*47.051*LOOKUP(V29,密度!$A$2:$A$50,密度!$B$2:$B$50)</f>
        <v>26671.367500799999</v>
      </c>
      <c r="W28" s="91" ph="1">
        <f>W27*47.051*LOOKUP(W29,密度!$A$2:$A$50,密度!$B$2:$B$50)</f>
        <v>15649.397854999999</v>
      </c>
      <c r="X28" s="91" ph="1">
        <f>X27*47.051*LOOKUP(X29,密度!$A$2:$A$61,密度!$I$2:$I$61)</f>
        <v>168572.73247620001</v>
      </c>
      <c r="Y28" s="91" ph="1">
        <f>Y27*47.051*LOOKUP(Y29,密度!$A$2:$A$50,密度!$L$2:$L$50)</f>
        <v>152833.83420900002</v>
      </c>
      <c r="Z28" s="231"/>
      <c r="AA28" s="232"/>
      <c r="AB28" s="232"/>
      <c r="AC28" s="232"/>
      <c r="AD28" s="232"/>
      <c r="AE28" s="233"/>
      <c r="AH28" s="64" ph="1">
        <v>14</v>
      </c>
      <c r="AI28" s="64" t="s" ph="1">
        <v>351</v>
      </c>
      <c r="AZ28" s="64" t="s" ph="1">
        <v>216</v>
      </c>
      <c r="BA28" s="64" ph="1">
        <v>0</v>
      </c>
    </row>
    <row r="29" spans="1:57" ph="1">
      <c r="A29" s="72" ph="1"/>
      <c r="B29" s="237" ph="1"/>
      <c r="C29" s="155" t="s" ph="1">
        <v>179</v>
      </c>
      <c r="D29" s="74">
        <v>25</v>
      </c>
      <c r="E29" s="74">
        <v>25</v>
      </c>
      <c r="F29" s="74">
        <v>29</v>
      </c>
      <c r="G29" s="74">
        <v>29</v>
      </c>
      <c r="H29" s="74">
        <v>28</v>
      </c>
      <c r="I29" s="74">
        <v>29</v>
      </c>
      <c r="J29" s="74">
        <v>30</v>
      </c>
      <c r="K29" s="74">
        <v>28</v>
      </c>
      <c r="L29" s="74">
        <v>30</v>
      </c>
      <c r="M29" s="74">
        <v>31</v>
      </c>
      <c r="N29" s="74">
        <v>31</v>
      </c>
      <c r="O29" s="74">
        <v>32</v>
      </c>
      <c r="P29" s="74">
        <v>30</v>
      </c>
      <c r="Q29" s="93">
        <v>30</v>
      </c>
      <c r="R29" s="74">
        <v>31</v>
      </c>
      <c r="S29" s="74">
        <v>33</v>
      </c>
      <c r="T29" s="74">
        <v>30</v>
      </c>
      <c r="U29" s="74">
        <v>30</v>
      </c>
      <c r="V29" s="74">
        <v>31</v>
      </c>
      <c r="W29" s="74">
        <v>32</v>
      </c>
      <c r="X29" s="74">
        <v>34</v>
      </c>
      <c r="Y29" s="74">
        <v>31</v>
      </c>
      <c r="Z29" s="234"/>
      <c r="AA29" s="235"/>
      <c r="AB29" s="235"/>
      <c r="AC29" s="235"/>
      <c r="AD29" s="235"/>
      <c r="AE29" s="236"/>
      <c r="AH29" s="64" ph="1">
        <v>15</v>
      </c>
      <c r="AI29" s="64" t="s" ph="1">
        <v>352</v>
      </c>
      <c r="AZ29" s="64" t="s" ph="1">
        <v>216</v>
      </c>
      <c r="BA29" s="64" ph="1">
        <v>0</v>
      </c>
      <c r="BD29" s="64" t="s" ph="1">
        <v>353</v>
      </c>
      <c r="BE29" s="64" ph="1">
        <v>890</v>
      </c>
    </row>
    <row r="30" spans="1:57" ph="1">
      <c r="D30" s="94" ph="1"/>
      <c r="Z30" s="64" t="s" ph="1">
        <v>35</v>
      </c>
      <c r="AE30" s="95" ph="1"/>
      <c r="AH30" s="64" ph="1">
        <v>16</v>
      </c>
      <c r="AI30" s="64" t="s" ph="1">
        <v>354</v>
      </c>
      <c r="AZ30" s="64" t="s" ph="1">
        <v>216</v>
      </c>
      <c r="BA30" s="64" ph="1">
        <v>0</v>
      </c>
    </row>
    <row r="31" spans="1:57" ht="28.2" ph="1">
      <c r="A31" s="64"/>
      <c r="B31" s="220" t="s" ph="1">
        <v>35</v>
      </c>
      <c r="C31" s="221" ph="1"/>
      <c r="D31" s="224" t="s" ph="1">
        <v>9</v>
      </c>
      <c r="E31" s="199" ph="1"/>
      <c r="F31" s="200" ph="1"/>
      <c r="G31" s="224" t="s" ph="1">
        <v>18</v>
      </c>
      <c r="H31" s="199" ph="1"/>
      <c r="I31" s="200" ph="1"/>
      <c r="J31" s="198" t="s" ph="1">
        <v>1</v>
      </c>
      <c r="K31" s="199" ph="1"/>
      <c r="L31" s="200" ph="1"/>
      <c r="M31" s="198" t="s" ph="1">
        <v>7</v>
      </c>
      <c r="N31" s="199" ph="1"/>
      <c r="O31" s="200" ph="1"/>
      <c r="P31" s="198" t="s" ph="1">
        <v>41</v>
      </c>
      <c r="Q31" s="199"/>
      <c r="R31" s="200"/>
      <c r="S31" s="198" t="s" ph="1">
        <v>2</v>
      </c>
      <c r="T31" s="199"/>
      <c r="U31" s="200"/>
      <c r="V31" s="198" t="s" ph="1">
        <v>71</v>
      </c>
      <c r="W31" s="199" ph="1"/>
      <c r="X31" s="200" ph="1"/>
      <c r="Y31" s="198" t="s" ph="1">
        <v>3</v>
      </c>
      <c r="Z31" s="199" ph="1"/>
      <c r="AA31" s="200" ph="1"/>
      <c r="AB31" s="201" t="s">
        <v>42</v>
      </c>
      <c r="AC31" s="202"/>
      <c r="AD31" s="202"/>
      <c r="AE31" s="203"/>
      <c r="AH31" s="64" ph="1">
        <v>17</v>
      </c>
      <c r="AI31" s="64" t="s" ph="1">
        <v>355</v>
      </c>
      <c r="AZ31" s="64" t="s" ph="1">
        <v>216</v>
      </c>
      <c r="BA31" s="64" ph="1">
        <v>0</v>
      </c>
      <c r="BD31" s="64" t="s" ph="1">
        <v>356</v>
      </c>
      <c r="BE31" s="64" ph="1">
        <v>9310</v>
      </c>
    </row>
    <row r="32" spans="1:57" ph="1">
      <c r="A32" s="64"/>
      <c r="B32" s="222" ph="1"/>
      <c r="C32" s="223" ph="1"/>
      <c r="D32" s="96" t="s" ph="1">
        <v>4</v>
      </c>
      <c r="E32" s="155" t="s" ph="1">
        <v>5</v>
      </c>
      <c r="F32" s="154" t="s" ph="1">
        <v>43</v>
      </c>
      <c r="G32" s="97" t="s" ph="1">
        <v>4</v>
      </c>
      <c r="H32" s="155" t="s" ph="1">
        <v>5</v>
      </c>
      <c r="I32" s="154" t="s" ph="1">
        <v>43</v>
      </c>
      <c r="J32" s="97" t="s" ph="1">
        <v>4</v>
      </c>
      <c r="K32" s="155" t="s" ph="1">
        <v>5</v>
      </c>
      <c r="L32" s="154" t="s" ph="1">
        <v>43</v>
      </c>
      <c r="M32" s="97" t="s" ph="1">
        <v>4</v>
      </c>
      <c r="N32" s="155" t="s" ph="1">
        <v>5</v>
      </c>
      <c r="O32" s="154" t="s" ph="1">
        <v>43</v>
      </c>
      <c r="P32" s="97" t="s" ph="1">
        <v>4</v>
      </c>
      <c r="Q32" s="98" t="s" ph="1">
        <v>5</v>
      </c>
      <c r="R32" s="99" t="s" ph="1">
        <v>43</v>
      </c>
      <c r="S32" s="97" t="s" ph="1">
        <v>4</v>
      </c>
      <c r="T32" s="155" t="s" ph="1">
        <v>5</v>
      </c>
      <c r="U32" s="99" t="s" ph="1">
        <v>43</v>
      </c>
      <c r="V32" s="97" t="s" ph="1">
        <v>4</v>
      </c>
      <c r="W32" s="155" t="s" ph="1">
        <v>5</v>
      </c>
      <c r="X32" s="99" t="s" ph="1">
        <v>43</v>
      </c>
      <c r="Y32" s="100" t="s" ph="1">
        <v>4</v>
      </c>
      <c r="Z32" s="155" t="s" ph="1">
        <v>5</v>
      </c>
      <c r="AA32" s="154" t="s" ph="1">
        <v>43</v>
      </c>
      <c r="AB32" s="97" t="s" ph="1">
        <v>85</v>
      </c>
      <c r="AC32" s="155" t="s" ph="1">
        <v>84</v>
      </c>
      <c r="AD32" s="204" t="s" ph="1">
        <v>83</v>
      </c>
      <c r="AE32" s="205"/>
      <c r="AH32" s="64" ph="1">
        <v>18</v>
      </c>
      <c r="AI32" s="64" t="s" ph="1">
        <v>357</v>
      </c>
      <c r="AZ32" s="64" t="s" ph="1">
        <v>216</v>
      </c>
      <c r="BA32" s="64" ph="1">
        <v>0</v>
      </c>
    </row>
    <row r="33" spans="1:57" ph="1">
      <c r="A33" s="64"/>
      <c r="B33" s="206" t="s" ph="1">
        <v>181</v>
      </c>
      <c r="C33" s="207" ph="1"/>
      <c r="D33" s="186" ph="1">
        <f>AA10+AB10+Z19</f>
        <v>65953.164774000004</v>
      </c>
      <c r="E33" s="186" ph="1">
        <f>M10+I10</f>
        <v>110947.4540084</v>
      </c>
      <c r="F33" s="210" ph="1">
        <f>表格_取樣回收每月庫存表_0620更新1522252632456786910111213141516171819202123456789101112131415161718192022232424356789101112131415161718192021222345678910111213141516171819202345678910111213149101516171819222123234567891012131415161711181920212224252345678910111213113[[#This Row],[F25]]</f>
        <v>3880</v>
      </c>
      <c r="G33" s="212" ph="1">
        <f>N19</f>
        <v>18769.665792939999</v>
      </c>
      <c r="H33" s="186" ph="1">
        <f>M19</f>
        <v>25995.683473494002</v>
      </c>
      <c r="I33" s="190" ph="1">
        <v>0</v>
      </c>
      <c r="J33" s="194" ph="1">
        <f>F10+O28</f>
        <v>117148.97118959999</v>
      </c>
      <c r="K33" s="186" ph="1">
        <f>O10+K10+E28+R28</f>
        <v>164533.19191873999</v>
      </c>
      <c r="L33" s="196" ph="1">
        <f>K19</f>
        <v>6729.0164486599997</v>
      </c>
      <c r="M33" s="194" ph="1">
        <f>G10+H10+W28+S28+V28+E10+R19+P28+Q28</f>
        <v>595482.42349379999</v>
      </c>
      <c r="N33" s="186" ph="1">
        <f>L10+P10++G28+H28+AD19+AE19</f>
        <v>280734.71022539999</v>
      </c>
      <c r="O33" s="190" ph="1">
        <f>G19</f>
        <v>29980.130800980005</v>
      </c>
      <c r="P33" s="194" ph="1">
        <f>L19</f>
        <v>34237.696273919995</v>
      </c>
      <c r="Q33" s="186" ph="1">
        <f>J10+N10</f>
        <v>49010.761196799998</v>
      </c>
      <c r="R33" s="190" ph="1">
        <f>BE23</f>
        <v>890</v>
      </c>
      <c r="S33" s="194" ph="1">
        <f>X28</f>
        <v>168572.73247620001</v>
      </c>
      <c r="T33" s="186" ph="1">
        <f>X19</f>
        <v>13843.877410439998</v>
      </c>
      <c r="U33" s="175" ph="1">
        <f>BE21</f>
        <v>730</v>
      </c>
      <c r="V33" s="188" ph="1">
        <f ca="1">P19+Q19+S19+M28+N28+J28+D10+AC10+D19+E19+H19+J19+O19+V19+W19+K28+L28</f>
        <v>665210.82257500791</v>
      </c>
      <c r="W33" s="188" ph="1">
        <f>D28+F28+T28+I28</f>
        <v>6713.258790332</v>
      </c>
      <c r="X33" s="190" ph="1">
        <f>BE29+BE31</f>
        <v>10200</v>
      </c>
      <c r="Y33" s="192" ph="1">
        <f>+Q10+R10+S10+T10+U10+V10+W10+X10+Y10</f>
        <v>200647.13781419999</v>
      </c>
      <c r="Z33" s="173" ph="1">
        <f>T19+U19+Y28+Z10</f>
        <v>235811.38064940003</v>
      </c>
      <c r="AA33" s="175" ph="1">
        <f>BE19</f>
        <v>1440</v>
      </c>
      <c r="AB33" s="177" ph="1">
        <f>I19</f>
        <v>46789.091329999996</v>
      </c>
      <c r="AC33" s="179" ph="1">
        <f>AD10+AB19</f>
        <v>100039.3152192</v>
      </c>
      <c r="AD33" s="181" ph="1">
        <v>0</v>
      </c>
      <c r="AE33" s="182"/>
      <c r="AH33" s="64" ph="1">
        <v>19</v>
      </c>
      <c r="AI33" s="64" t="s" ph="1">
        <v>358</v>
      </c>
      <c r="AJ33" s="64" t="s" ph="1">
        <v>592</v>
      </c>
      <c r="AK33" s="64" t="s" ph="1">
        <v>589</v>
      </c>
      <c r="AL33" s="64" ph="1">
        <v>730</v>
      </c>
      <c r="AM33" s="64" t="s" ph="1">
        <v>339</v>
      </c>
      <c r="AZ33" s="64" t="s" ph="1">
        <v>216</v>
      </c>
      <c r="BA33" s="64" ph="1">
        <v>730</v>
      </c>
      <c r="BD33" s="64" t="s" ph="1">
        <v>290</v>
      </c>
      <c r="BE33" s="64" ph="1">
        <v>3880</v>
      </c>
    </row>
    <row r="34" spans="1:57" ph="1">
      <c r="A34" s="64"/>
      <c r="B34" s="208" ph="1"/>
      <c r="C34" s="209" ph="1"/>
      <c r="D34" s="187" ph="1"/>
      <c r="E34" s="187" ph="1"/>
      <c r="F34" s="211" ph="1"/>
      <c r="G34" s="213" ph="1"/>
      <c r="H34" s="187" ph="1"/>
      <c r="I34" s="191" ph="1"/>
      <c r="J34" s="195" ph="1"/>
      <c r="K34" s="187" ph="1"/>
      <c r="L34" s="197" ph="1"/>
      <c r="M34" s="195" ph="1"/>
      <c r="N34" s="187" ph="1"/>
      <c r="O34" s="191" ph="1"/>
      <c r="P34" s="195" ph="1"/>
      <c r="Q34" s="187" ph="1"/>
      <c r="R34" s="191" ph="1"/>
      <c r="S34" s="195" ph="1"/>
      <c r="T34" s="187"/>
      <c r="U34" s="176"/>
      <c r="V34" s="189" ph="1"/>
      <c r="W34" s="189" ph="1"/>
      <c r="X34" s="191" ph="1"/>
      <c r="Y34" s="193" ph="1"/>
      <c r="Z34" s="174" ph="1"/>
      <c r="AA34" s="176" ph="1"/>
      <c r="AB34" s="178"/>
      <c r="AC34" s="180"/>
      <c r="AD34" s="183"/>
      <c r="AE34" s="184"/>
      <c r="AH34" s="64" ph="1">
        <v>20</v>
      </c>
      <c r="AI34" s="64" t="s" ph="1">
        <v>359</v>
      </c>
      <c r="AJ34" s="64" t="s" ph="1">
        <v>593</v>
      </c>
      <c r="AK34" s="64" t="s" ph="1">
        <v>589</v>
      </c>
      <c r="AL34" s="64" ph="1">
        <v>720</v>
      </c>
      <c r="AM34" s="64" t="s" ph="1">
        <v>339</v>
      </c>
      <c r="AZ34" s="64" t="s" ph="1">
        <v>216</v>
      </c>
      <c r="BA34" s="64" ph="1">
        <v>720</v>
      </c>
    </row>
    <row r="35" spans="1:57" ph="1">
      <c r="A35" s="64"/>
      <c r="AC35" s="185" t="s" ph="1">
        <v>631</v>
      </c>
      <c r="AD35" s="185"/>
      <c r="AE35" s="185"/>
      <c r="AH35" s="64" ph="1">
        <v>21</v>
      </c>
      <c r="AI35" s="64" t="s" ph="1">
        <v>360</v>
      </c>
      <c r="AZ35" s="64" t="s" ph="1">
        <v>216</v>
      </c>
      <c r="BA35" s="64" ph="1">
        <v>0</v>
      </c>
      <c r="BD35" s="64" t="s" ph="1">
        <v>361</v>
      </c>
      <c r="BE35" s="64" ph="1">
        <v>2030</v>
      </c>
    </row>
    <row r="36" spans="1:57" ht="28.2" ph="1">
      <c r="A36" s="64"/>
      <c r="B36" s="103" t="s" ph="1">
        <v>182</v>
      </c>
      <c r="I36" s="171" t="s" ph="1">
        <v>183</v>
      </c>
      <c r="J36" s="171" ph="1"/>
      <c r="K36" s="101" ph="1"/>
      <c r="P36" s="101" ph="1"/>
      <c r="R36" s="171" t="s" ph="1">
        <v>184</v>
      </c>
      <c r="S36" s="171" ph="1"/>
      <c r="Y36" s="102" ph="1"/>
      <c r="Z36" s="153" t="s" ph="1">
        <v>185</v>
      </c>
      <c r="AA36" s="153" ph="1"/>
      <c r="AB36" s="172" t="s" ph="1">
        <v>640</v>
      </c>
      <c r="AC36" s="172" ph="1"/>
      <c r="AD36" s="172" ph="1"/>
      <c r="AE36" s="172" ph="1"/>
      <c r="BA36" s="64" ph="1">
        <v>2270</v>
      </c>
    </row>
    <row r="37" spans="1:57" s="153" customFormat="1" ph="1">
      <c r="A37" s="64" ph="1"/>
      <c r="B37" s="64" ph="1"/>
      <c r="C37" s="64" ph="1"/>
      <c r="D37" s="64" ph="1"/>
      <c r="E37" s="64" ph="1"/>
      <c r="F37" s="64" ph="1"/>
      <c r="G37" s="64" ph="1"/>
      <c r="H37" s="64" ph="1"/>
      <c r="I37" s="64" ph="1"/>
      <c r="J37" s="64" ph="1"/>
      <c r="K37" s="64" ph="1"/>
      <c r="L37" s="64" ph="1"/>
      <c r="M37" s="64" ph="1"/>
      <c r="N37" s="64" ph="1"/>
      <c r="O37" s="64" ph="1"/>
      <c r="P37" s="64" ph="1"/>
      <c r="Q37" s="64" ph="1"/>
      <c r="R37" s="64" ph="1"/>
      <c r="S37" s="64" ph="1"/>
      <c r="T37" s="64" ph="1"/>
      <c r="U37" s="64" ph="1"/>
      <c r="V37" s="64" ph="1"/>
      <c r="W37" s="64" ph="1"/>
      <c r="X37" s="64" ph="1"/>
      <c r="Y37" s="64" ph="1"/>
      <c r="Z37" s="64" ph="1"/>
      <c r="AA37" s="64" ph="1"/>
      <c r="AB37" s="64" ph="1"/>
      <c r="AC37" s="64" ph="1"/>
      <c r="AD37" s="64" ph="1"/>
      <c r="AE37" s="64" ph="1"/>
      <c r="AG37" s="153" t="s" ph="1">
        <v>342</v>
      </c>
      <c r="AI37" s="153" t="s" ph="1">
        <v>209</v>
      </c>
      <c r="AJ37" s="153" t="s" ph="1">
        <v>210</v>
      </c>
      <c r="AK37" s="153" t="s" ph="1">
        <v>211</v>
      </c>
      <c r="AM37" s="153" t="s" ph="1">
        <v>210</v>
      </c>
      <c r="AN37" s="153" t="s" ph="1">
        <v>211</v>
      </c>
      <c r="AO37" s="153" t="s" ph="1">
        <v>212</v>
      </c>
      <c r="AP37" s="153" t="s" ph="1">
        <v>210</v>
      </c>
      <c r="AQ37" s="153" t="s" ph="1">
        <v>211</v>
      </c>
      <c r="AR37" s="153" t="s" ph="1">
        <v>212</v>
      </c>
      <c r="AS37" s="153" t="s" ph="1">
        <v>210</v>
      </c>
      <c r="AT37" s="153" t="s" ph="1">
        <v>211</v>
      </c>
      <c r="AU37" s="153" t="s" ph="1">
        <v>212</v>
      </c>
      <c r="AV37" s="153" t="s" ph="1">
        <v>210</v>
      </c>
      <c r="AW37" s="153" t="s" ph="1">
        <v>211</v>
      </c>
      <c r="AX37" s="153" t="s" ph="1">
        <v>212</v>
      </c>
      <c r="AY37" s="153" t="s" ph="1">
        <v>211</v>
      </c>
      <c r="AZ37" s="153" t="s" ph="1">
        <v>213</v>
      </c>
      <c r="BD37" s="153" t="s" ph="1">
        <v>305</v>
      </c>
      <c r="BE37" s="153" ph="1">
        <v>0</v>
      </c>
    </row>
    <row r="38" spans="1:57" ph="1">
      <c r="AE38" s="64" ph="1"/>
      <c r="AH38" s="64" ph="1">
        <v>1</v>
      </c>
      <c r="AI38" s="64" t="s" ph="1">
        <v>362</v>
      </c>
      <c r="AY38" s="64" t="s" ph="1">
        <v>216</v>
      </c>
      <c r="AZ38" s="64" t="s" ph="1">
        <v>367</v>
      </c>
    </row>
    <row r="39" spans="1:57" ph="1">
      <c r="AH39" s="64" ph="1">
        <v>2</v>
      </c>
      <c r="AI39" s="64" t="s" ph="1">
        <v>364</v>
      </c>
      <c r="AJ39" s="64" t="s" ph="1">
        <v>336</v>
      </c>
      <c r="AK39" s="64" t="s" ph="1">
        <v>365</v>
      </c>
      <c r="AM39" s="64" t="s" ph="1">
        <v>570</v>
      </c>
      <c r="AN39" s="64" t="s" ph="1">
        <v>228</v>
      </c>
      <c r="AO39" s="64" t="s" ph="1">
        <v>363</v>
      </c>
      <c r="AY39" s="64" t="s" ph="1">
        <v>216</v>
      </c>
      <c r="AZ39" s="64" t="s" ph="1">
        <v>499</v>
      </c>
    </row>
    <row r="40" spans="1:57" ph="1">
      <c r="AH40" s="64" ph="1">
        <v>3</v>
      </c>
      <c r="AI40" s="64" t="s" ph="1">
        <v>366</v>
      </c>
      <c r="AJ40" s="64" t="s" ph="1">
        <v>570</v>
      </c>
      <c r="AK40" s="64" t="s" ph="1">
        <v>571</v>
      </c>
      <c r="AY40" s="64" t="s" ph="1">
        <v>216</v>
      </c>
      <c r="AZ40" s="64" t="s" ph="1">
        <v>571</v>
      </c>
    </row>
    <row r="41" spans="1:57" ph="1">
      <c r="AH41" s="64" ph="1">
        <v>4</v>
      </c>
      <c r="AI41" s="64" t="s" ph="1">
        <v>368</v>
      </c>
      <c r="AJ41" s="64" t="s" ph="1">
        <v>572</v>
      </c>
      <c r="AK41" s="64" t="s" ph="1">
        <v>573</v>
      </c>
      <c r="AM41" s="64" t="s" ph="1">
        <v>574</v>
      </c>
      <c r="AY41" s="64" t="s" ph="1">
        <v>216</v>
      </c>
      <c r="AZ41" s="64" t="s" ph="1">
        <v>573</v>
      </c>
    </row>
    <row r="42" spans="1:57" ph="1">
      <c r="P42" s="64"/>
      <c r="Q42" s="64"/>
      <c r="R42" s="64"/>
      <c r="S42" s="64"/>
      <c r="T42" s="64"/>
      <c r="U42" s="64"/>
      <c r="V42" s="64"/>
      <c r="W42" s="64"/>
      <c r="X42" s="64"/>
      <c r="Y42" s="64"/>
      <c r="Z42" s="64"/>
      <c r="AA42" s="64"/>
      <c r="AB42" s="64"/>
      <c r="AC42" s="64"/>
      <c r="AD42" s="64"/>
      <c r="AE42" s="75"/>
      <c r="AH42" s="64" ph="1">
        <v>5</v>
      </c>
      <c r="AI42" s="64" t="s" ph="1">
        <v>369</v>
      </c>
      <c r="AY42" s="64" t="s" ph="1">
        <v>216</v>
      </c>
      <c r="AZ42" s="64" t="s" ph="1">
        <v>367</v>
      </c>
    </row>
    <row r="43" spans="1:57" ph="1">
      <c r="C43" s="64"/>
      <c r="D43" s="64"/>
      <c r="E43" s="64"/>
      <c r="F43" s="64"/>
      <c r="G43" s="64"/>
      <c r="H43" s="64"/>
      <c r="I43" s="64"/>
      <c r="J43" s="64"/>
      <c r="K43" s="64"/>
      <c r="L43" s="64"/>
      <c r="M43" s="64"/>
      <c r="N43" s="64"/>
      <c r="O43" s="64"/>
      <c r="P43" s="64"/>
      <c r="R43" s="64"/>
      <c r="S43" s="64"/>
      <c r="T43" s="64"/>
      <c r="U43" s="64"/>
      <c r="V43" s="64"/>
      <c r="W43" s="64"/>
      <c r="X43" s="64"/>
      <c r="Y43" s="64"/>
      <c r="Z43" s="64"/>
      <c r="AA43" s="64"/>
      <c r="AB43" s="64"/>
      <c r="AC43" s="64"/>
      <c r="AD43" s="64"/>
      <c r="AE43" s="75"/>
      <c r="AH43" s="64" ph="1">
        <v>6</v>
      </c>
      <c r="AI43" s="64" t="s" ph="1">
        <v>370</v>
      </c>
      <c r="AY43" s="64" t="s" ph="1">
        <v>216</v>
      </c>
      <c r="AZ43" s="64" t="s" ph="1">
        <v>367</v>
      </c>
    </row>
    <row r="44" spans="1:57" ph="1">
      <c r="R44" s="64"/>
      <c r="S44" s="64"/>
      <c r="T44" s="64"/>
      <c r="U44" s="64"/>
      <c r="V44" s="64"/>
      <c r="W44" s="64"/>
      <c r="X44" s="64"/>
      <c r="Y44" s="64"/>
      <c r="Z44" s="64"/>
      <c r="AA44" s="64"/>
      <c r="AB44" s="64"/>
      <c r="AC44" s="64"/>
      <c r="AD44" s="64"/>
      <c r="AE44" s="75"/>
      <c r="AH44" s="64" ph="1">
        <v>7</v>
      </c>
      <c r="AI44" s="64" t="s" ph="1">
        <v>371</v>
      </c>
      <c r="AV44" s="64" t="s" ph="1">
        <v>217</v>
      </c>
      <c r="AY44" s="64" t="s" ph="1">
        <v>216</v>
      </c>
      <c r="AZ44" s="64" t="s" ph="1">
        <v>367</v>
      </c>
    </row>
    <row r="45" spans="1:57" ph="1">
      <c r="R45" s="64"/>
      <c r="S45" s="64"/>
      <c r="T45" s="64"/>
      <c r="U45" s="64"/>
      <c r="V45" s="64"/>
      <c r="W45" s="64"/>
      <c r="X45" s="64"/>
      <c r="Y45" s="64"/>
      <c r="Z45" s="64"/>
      <c r="AA45" s="64"/>
      <c r="AB45" s="64"/>
      <c r="AC45" s="64"/>
      <c r="AD45" s="64"/>
      <c r="AE45" s="75"/>
      <c r="AH45" s="64" ph="1">
        <v>8</v>
      </c>
      <c r="AI45" s="64" t="s" ph="1">
        <v>372</v>
      </c>
      <c r="AV45" s="64" t="s" ph="1">
        <v>217</v>
      </c>
      <c r="AY45" s="64" t="s" ph="1">
        <v>216</v>
      </c>
      <c r="AZ45" s="64" t="s" ph="1">
        <v>367</v>
      </c>
    </row>
    <row r="46" spans="1:57" ph="1">
      <c r="R46" s="64"/>
      <c r="S46" s="64"/>
      <c r="T46" s="64"/>
      <c r="U46" s="64"/>
      <c r="V46" s="64"/>
      <c r="W46" s="64"/>
      <c r="X46" s="64"/>
      <c r="Y46" s="64"/>
      <c r="Z46" s="64"/>
      <c r="AA46" s="64"/>
      <c r="AB46" s="64"/>
      <c r="AC46" s="64"/>
      <c r="AD46" s="64"/>
      <c r="AE46" s="75"/>
      <c r="AH46" s="64" ph="1">
        <v>9</v>
      </c>
      <c r="AI46" s="64" t="s" ph="1">
        <v>373</v>
      </c>
      <c r="AV46" s="64" t="s" ph="1">
        <v>217</v>
      </c>
      <c r="AY46" s="64" t="s" ph="1">
        <v>216</v>
      </c>
      <c r="AZ46" s="64" t="s" ph="1">
        <v>367</v>
      </c>
    </row>
    <row r="47" spans="1:57" ph="1">
      <c r="R47" s="64"/>
      <c r="S47" s="64"/>
      <c r="T47" s="64"/>
      <c r="U47" s="64"/>
      <c r="V47" s="64"/>
      <c r="W47" s="64"/>
      <c r="X47" s="64"/>
      <c r="Y47" s="64"/>
      <c r="Z47" s="64"/>
      <c r="AA47" s="64"/>
      <c r="AB47" s="64"/>
      <c r="AC47" s="64"/>
      <c r="AD47" s="64"/>
      <c r="AE47" s="75"/>
      <c r="AH47" s="64" ph="1">
        <v>10</v>
      </c>
      <c r="AI47" s="64" t="s" ph="1">
        <v>374</v>
      </c>
      <c r="AV47" s="64" t="s" ph="1">
        <v>217</v>
      </c>
      <c r="AY47" s="64" t="s" ph="1">
        <v>216</v>
      </c>
      <c r="AZ47" s="64" t="s" ph="1">
        <v>367</v>
      </c>
    </row>
    <row r="48" spans="1:57" ph="1">
      <c r="R48" s="64"/>
      <c r="S48" s="64"/>
      <c r="T48" s="64"/>
      <c r="U48" s="64"/>
      <c r="V48" s="64"/>
      <c r="W48" s="64"/>
      <c r="X48" s="64"/>
      <c r="Y48" s="64"/>
      <c r="Z48" s="64"/>
      <c r="AA48" s="64"/>
      <c r="AB48" s="64"/>
      <c r="AC48" s="64"/>
      <c r="AD48" s="64"/>
      <c r="AE48" s="75"/>
      <c r="AZ48" s="64" t="s" ph="1">
        <v>575</v>
      </c>
    </row>
    <row r="49" spans="16:52" ph="1">
      <c r="R49" s="64"/>
      <c r="S49" s="64"/>
      <c r="T49" s="64"/>
      <c r="U49" s="64"/>
      <c r="V49" s="64"/>
      <c r="W49" s="64"/>
      <c r="X49" s="64"/>
      <c r="Y49" s="64"/>
      <c r="Z49" s="64"/>
      <c r="AA49" s="64"/>
      <c r="AB49" s="64"/>
      <c r="AC49" s="64"/>
      <c r="AD49" s="64"/>
      <c r="AE49" s="75"/>
      <c r="AG49" s="64" t="s" ph="1">
        <v>232</v>
      </c>
      <c r="AI49" s="64" t="s" ph="1">
        <v>209</v>
      </c>
      <c r="AJ49" s="64" t="s" ph="1">
        <v>210</v>
      </c>
      <c r="AK49" s="64" t="s" ph="1">
        <v>211</v>
      </c>
      <c r="AM49" s="64" t="s" ph="1">
        <v>210</v>
      </c>
      <c r="AN49" s="64" t="s" ph="1">
        <v>211</v>
      </c>
      <c r="AO49" s="64" t="s" ph="1">
        <v>212</v>
      </c>
      <c r="AP49" s="64" t="s" ph="1">
        <v>210</v>
      </c>
      <c r="AQ49" s="64" t="s" ph="1">
        <v>211</v>
      </c>
      <c r="AR49" s="64" t="s" ph="1">
        <v>212</v>
      </c>
      <c r="AS49" s="64" t="s" ph="1">
        <v>210</v>
      </c>
      <c r="AT49" s="64" t="s" ph="1">
        <v>211</v>
      </c>
      <c r="AU49" s="64" t="s" ph="1">
        <v>212</v>
      </c>
      <c r="AV49" s="64" t="s" ph="1">
        <v>210</v>
      </c>
      <c r="AW49" s="64" t="s" ph="1">
        <v>211</v>
      </c>
      <c r="AX49" s="64" t="s" ph="1">
        <v>212</v>
      </c>
      <c r="AY49" s="64" t="s" ph="1">
        <v>211</v>
      </c>
      <c r="AZ49" s="64" t="s" ph="1">
        <v>213</v>
      </c>
    </row>
    <row r="50" spans="16:52" ph="1">
      <c r="R50" s="64"/>
      <c r="S50" s="64"/>
      <c r="T50" s="64"/>
      <c r="U50" s="64"/>
      <c r="V50" s="64"/>
      <c r="W50" s="64"/>
      <c r="X50" s="64"/>
      <c r="Y50" s="64"/>
      <c r="Z50" s="64"/>
      <c r="AA50" s="64"/>
      <c r="AB50" s="64"/>
      <c r="AC50" s="64"/>
      <c r="AD50" s="64"/>
      <c r="AE50" s="75"/>
      <c r="AH50" s="64" ph="1">
        <v>1</v>
      </c>
      <c r="AI50" s="64" t="s" ph="1">
        <v>375</v>
      </c>
      <c r="AY50" s="64" t="s" ph="1">
        <v>216</v>
      </c>
      <c r="AZ50" s="64" t="s" ph="1">
        <v>367</v>
      </c>
    </row>
    <row r="51" spans="16:52" ph="1">
      <c r="R51" s="64"/>
      <c r="S51" s="64"/>
      <c r="T51" s="64"/>
      <c r="U51" s="64"/>
      <c r="V51" s="64"/>
      <c r="W51" s="64"/>
      <c r="X51" s="64"/>
      <c r="Y51" s="64"/>
      <c r="Z51" s="64"/>
      <c r="AA51" s="64"/>
      <c r="AB51" s="64"/>
      <c r="AC51" s="64"/>
      <c r="AD51" s="64"/>
      <c r="AE51" s="75"/>
      <c r="AH51" s="64" ph="1">
        <v>2</v>
      </c>
      <c r="AI51" s="64" t="s" ph="1">
        <v>376</v>
      </c>
      <c r="AY51" s="64" t="s" ph="1">
        <v>216</v>
      </c>
      <c r="AZ51" s="64" t="s" ph="1">
        <v>367</v>
      </c>
    </row>
    <row r="52" spans="16:52" ph="1">
      <c r="R52" s="64"/>
      <c r="S52" s="64"/>
      <c r="T52" s="64"/>
      <c r="U52" s="64"/>
      <c r="V52" s="64"/>
      <c r="W52" s="64"/>
      <c r="X52" s="64"/>
      <c r="Y52" s="64"/>
      <c r="Z52" s="64"/>
      <c r="AA52" s="64"/>
      <c r="AB52" s="64"/>
      <c r="AC52" s="64"/>
      <c r="AD52" s="64"/>
      <c r="AE52" s="75"/>
      <c r="AH52" s="64" ph="1">
        <v>3</v>
      </c>
      <c r="AI52" s="64" t="s" ph="1">
        <v>377</v>
      </c>
      <c r="AJ52" s="64" t="s" ph="1">
        <v>334</v>
      </c>
      <c r="AK52" s="64" t="s" ph="1">
        <v>228</v>
      </c>
      <c r="AM52" s="64" t="s" ph="1">
        <v>336</v>
      </c>
      <c r="AN52" s="64" t="s" ph="1">
        <v>300</v>
      </c>
      <c r="AO52" s="64" t="s" ph="1">
        <v>233</v>
      </c>
      <c r="AP52" s="64" t="s" ph="1">
        <v>570</v>
      </c>
      <c r="AQ52" s="64" t="s" ph="1">
        <v>282</v>
      </c>
      <c r="AR52" s="64" t="s" ph="1">
        <v>233</v>
      </c>
      <c r="AY52" s="64" t="s" ph="1">
        <v>216</v>
      </c>
      <c r="AZ52" s="64" t="s" ph="1">
        <v>576</v>
      </c>
    </row>
    <row r="53" spans="16:52" ph="1">
      <c r="R53" s="64"/>
      <c r="S53" s="64"/>
      <c r="T53" s="64"/>
      <c r="U53" s="64"/>
      <c r="W53" s="64"/>
      <c r="X53" s="64"/>
      <c r="Y53" s="64"/>
      <c r="Z53" s="64"/>
      <c r="AA53" s="64"/>
      <c r="AB53" s="64"/>
      <c r="AC53" s="64"/>
      <c r="AD53" s="64"/>
      <c r="AH53" s="64" ph="1">
        <v>4</v>
      </c>
      <c r="AI53" s="64" t="s" ph="1">
        <v>378</v>
      </c>
      <c r="AY53" s="64" t="s" ph="1">
        <v>216</v>
      </c>
      <c r="AZ53" s="64" t="s" ph="1">
        <v>367</v>
      </c>
    </row>
    <row r="54" spans="16:52" ph="1">
      <c r="R54" s="64"/>
      <c r="S54" s="64"/>
      <c r="T54" s="64"/>
      <c r="U54" s="64"/>
      <c r="W54" s="64"/>
      <c r="X54" s="64"/>
      <c r="Y54" s="64"/>
      <c r="Z54" s="64"/>
      <c r="AA54" s="64"/>
      <c r="AC54" s="64"/>
      <c r="AD54" s="64"/>
      <c r="AH54" s="64" ph="1">
        <v>5</v>
      </c>
      <c r="AI54" s="64" t="s" ph="1">
        <v>379</v>
      </c>
      <c r="AJ54" s="64" t="s" ph="1">
        <v>334</v>
      </c>
      <c r="AK54" s="64" t="s" ph="1">
        <v>219</v>
      </c>
      <c r="AM54" s="64" t="s" ph="1">
        <v>336</v>
      </c>
      <c r="AN54" s="64" t="s" ph="1">
        <v>224</v>
      </c>
      <c r="AO54" s="64" t="s" ph="1">
        <v>233</v>
      </c>
      <c r="AP54" s="64" t="s" ph="1">
        <v>570</v>
      </c>
      <c r="AQ54" s="64" t="s" ph="1">
        <v>240</v>
      </c>
      <c r="AR54" s="64" t="s" ph="1">
        <v>233</v>
      </c>
      <c r="AY54" s="64" t="s" ph="1">
        <v>216</v>
      </c>
      <c r="AZ54" s="64" t="s" ph="1">
        <v>234</v>
      </c>
    </row>
    <row r="55" spans="16:52" ph="1">
      <c r="R55" s="64"/>
      <c r="S55" s="64"/>
      <c r="T55" s="64"/>
      <c r="U55" s="64"/>
      <c r="V55" s="64"/>
      <c r="W55" s="64"/>
      <c r="X55" s="64"/>
      <c r="Z55" s="64"/>
      <c r="AC55" s="64"/>
      <c r="AD55" s="64"/>
      <c r="AE55" s="75"/>
      <c r="AH55" s="64" ph="1">
        <v>6</v>
      </c>
      <c r="AI55" s="64" t="s" ph="1">
        <v>380</v>
      </c>
      <c r="AY55" s="64" t="s" ph="1">
        <v>216</v>
      </c>
      <c r="AZ55" s="64" t="s" ph="1">
        <v>367</v>
      </c>
    </row>
    <row r="56" spans="16:52" ph="1">
      <c r="P56" s="64" ph="1">
        <v>20260804</v>
      </c>
      <c r="R56" s="64"/>
      <c r="S56" s="64"/>
      <c r="T56" s="64"/>
      <c r="U56" s="64"/>
      <c r="V56" s="64"/>
      <c r="W56" s="64"/>
      <c r="X56" s="64"/>
      <c r="Z56" s="64"/>
      <c r="AA56" s="64"/>
      <c r="AB56" s="64"/>
      <c r="AC56" s="64"/>
      <c r="AD56" s="64"/>
      <c r="AE56" s="75"/>
      <c r="AH56" s="64" ph="1">
        <v>7</v>
      </c>
      <c r="AI56" s="64" t="s" ph="1">
        <v>381</v>
      </c>
      <c r="AY56" s="64" t="s" ph="1">
        <v>216</v>
      </c>
      <c r="AZ56" s="64" t="s" ph="1">
        <v>367</v>
      </c>
    </row>
    <row r="57" spans="16:52" ph="1">
      <c r="R57" s="64"/>
      <c r="S57" s="64"/>
      <c r="T57" s="64"/>
      <c r="U57" s="64"/>
      <c r="V57" s="64"/>
      <c r="W57" s="64"/>
      <c r="AA57" s="64"/>
      <c r="AB57" s="64"/>
      <c r="AC57" s="64"/>
      <c r="AD57" s="64"/>
      <c r="AE57" s="75"/>
      <c r="AH57" s="64" ph="1">
        <v>8</v>
      </c>
      <c r="AI57" s="64" t="s" ph="1">
        <v>382</v>
      </c>
      <c r="AY57" s="64" t="s" ph="1">
        <v>216</v>
      </c>
      <c r="AZ57" s="64" t="s" ph="1">
        <v>367</v>
      </c>
    </row>
    <row r="58" spans="16:52" ph="1">
      <c r="P58" s="64"/>
      <c r="AN58" s="64" t="s" ph="1">
        <v>217</v>
      </c>
      <c r="AZ58" s="64" t="s" ph="1">
        <v>577</v>
      </c>
    </row>
    <row r="59" spans="16:52" ph="1">
      <c r="V59" s="64"/>
      <c r="AG59" s="64" t="s" ph="1">
        <v>235</v>
      </c>
      <c r="AI59" s="64" t="s" ph="1">
        <v>209</v>
      </c>
      <c r="AJ59" s="64" t="s" ph="1">
        <v>210</v>
      </c>
      <c r="AK59" s="64" t="s" ph="1">
        <v>211</v>
      </c>
      <c r="AM59" s="64" t="s" ph="1">
        <v>210</v>
      </c>
      <c r="AN59" s="64" t="s" ph="1">
        <v>211</v>
      </c>
      <c r="AO59" s="64" t="s" ph="1">
        <v>212</v>
      </c>
      <c r="AP59" s="64" t="s" ph="1">
        <v>210</v>
      </c>
      <c r="AQ59" s="64" t="s" ph="1">
        <v>211</v>
      </c>
      <c r="AR59" s="64" t="s" ph="1">
        <v>212</v>
      </c>
      <c r="AS59" s="64" t="s" ph="1">
        <v>210</v>
      </c>
      <c r="AT59" s="64" t="s" ph="1">
        <v>211</v>
      </c>
      <c r="AU59" s="64" t="s" ph="1">
        <v>212</v>
      </c>
      <c r="AV59" s="64" t="s" ph="1">
        <v>210</v>
      </c>
      <c r="AW59" s="64" t="s" ph="1">
        <v>211</v>
      </c>
      <c r="AX59" s="64" t="s" ph="1">
        <v>212</v>
      </c>
      <c r="AY59" s="64" t="s" ph="1">
        <v>211</v>
      </c>
      <c r="AZ59" s="64" t="s" ph="1">
        <v>213</v>
      </c>
    </row>
    <row r="60" spans="16:52" ph="1">
      <c r="R60" s="64"/>
      <c r="S60" s="64"/>
      <c r="T60" s="64"/>
      <c r="AH60" s="64" ph="1">
        <v>1</v>
      </c>
      <c r="AI60" s="64" t="s" ph="1">
        <v>383</v>
      </c>
      <c r="AY60" s="64" t="s" ph="1">
        <v>216</v>
      </c>
      <c r="AZ60" s="64" t="s" ph="1">
        <v>367</v>
      </c>
    </row>
    <row r="61" spans="16:52" ph="1">
      <c r="AH61" s="64" ph="1">
        <v>2</v>
      </c>
      <c r="AI61" s="64" t="s" ph="1">
        <v>384</v>
      </c>
      <c r="AS61" s="64" t="s" ph="1">
        <v>217</v>
      </c>
      <c r="AY61" s="64" t="s" ph="1">
        <v>216</v>
      </c>
      <c r="AZ61" s="64" t="s" ph="1">
        <v>367</v>
      </c>
    </row>
    <row r="62" spans="16:52" ph="1">
      <c r="AZ62" s="64" t="s" ph="1">
        <v>385</v>
      </c>
    </row>
    <row r="63" spans="16:52" ph="1">
      <c r="AG63" s="64" t="s" ph="1">
        <v>238</v>
      </c>
      <c r="AI63" s="64" t="s" ph="1">
        <v>209</v>
      </c>
      <c r="AJ63" s="64" t="s" ph="1">
        <v>210</v>
      </c>
      <c r="AK63" s="64" t="s" ph="1">
        <v>211</v>
      </c>
      <c r="AM63" s="64" t="s" ph="1">
        <v>210</v>
      </c>
      <c r="AN63" s="64" t="s" ph="1">
        <v>211</v>
      </c>
      <c r="AO63" s="64" t="s" ph="1">
        <v>212</v>
      </c>
      <c r="AP63" s="64" t="s" ph="1">
        <v>210</v>
      </c>
      <c r="AQ63" s="64" t="s" ph="1">
        <v>211</v>
      </c>
      <c r="AR63" s="64" t="s" ph="1">
        <v>212</v>
      </c>
      <c r="AS63" s="64" t="s" ph="1">
        <v>210</v>
      </c>
      <c r="AT63" s="64" t="s" ph="1">
        <v>211</v>
      </c>
      <c r="AU63" s="64" t="s" ph="1">
        <v>212</v>
      </c>
      <c r="AV63" s="64" t="s" ph="1">
        <v>210</v>
      </c>
      <c r="AW63" s="64" t="s" ph="1">
        <v>211</v>
      </c>
      <c r="AX63" s="64" t="s" ph="1">
        <v>212</v>
      </c>
      <c r="AY63" s="64" t="s" ph="1">
        <v>211</v>
      </c>
      <c r="AZ63" s="64" t="s" ph="1">
        <v>213</v>
      </c>
    </row>
    <row r="64" spans="16:52" ph="1">
      <c r="AH64" s="64" ph="1">
        <v>1</v>
      </c>
      <c r="AI64" s="64" t="s" ph="1">
        <v>386</v>
      </c>
      <c r="AJ64" s="64" t="s" ph="1">
        <v>387</v>
      </c>
      <c r="AK64" s="64" t="s" ph="1">
        <v>388</v>
      </c>
      <c r="AY64" s="64" t="s" ph="1">
        <v>216</v>
      </c>
      <c r="AZ64" s="64" t="s" ph="1">
        <v>388</v>
      </c>
    </row>
    <row r="65" spans="33:52" ph="1">
      <c r="AH65" s="64" ph="1">
        <v>2</v>
      </c>
      <c r="AI65" s="64" t="s" ph="1">
        <v>389</v>
      </c>
      <c r="AY65" s="64" t="s" ph="1">
        <v>216</v>
      </c>
      <c r="AZ65" s="64" t="s" ph="1">
        <v>367</v>
      </c>
    </row>
    <row r="66" spans="33:52" ph="1">
      <c r="AH66" s="64" ph="1">
        <v>3</v>
      </c>
      <c r="AI66" s="64" t="s" ph="1">
        <v>390</v>
      </c>
      <c r="AY66" s="64" t="s" ph="1">
        <v>216</v>
      </c>
      <c r="AZ66" s="64" t="s" ph="1">
        <v>367</v>
      </c>
    </row>
    <row r="67" spans="33:52" ph="1">
      <c r="AH67" s="64" ph="1">
        <v>4</v>
      </c>
      <c r="AI67" s="64" t="s" ph="1">
        <v>391</v>
      </c>
      <c r="AY67" s="64" t="s" ph="1">
        <v>216</v>
      </c>
      <c r="AZ67" s="64" t="s" ph="1">
        <v>367</v>
      </c>
    </row>
    <row r="68" spans="33:52" ph="1">
      <c r="AH68" s="64" ph="1">
        <v>5</v>
      </c>
      <c r="AI68" s="64" t="s" ph="1">
        <v>392</v>
      </c>
      <c r="AY68" s="64" t="s" ph="1">
        <v>216</v>
      </c>
      <c r="AZ68" s="64" t="s" ph="1">
        <v>367</v>
      </c>
    </row>
    <row r="69" spans="33:52" ph="1">
      <c r="AH69" s="64" ph="1">
        <v>6</v>
      </c>
      <c r="AI69" s="64" t="s" ph="1">
        <v>393</v>
      </c>
      <c r="AY69" s="64" t="s" ph="1">
        <v>216</v>
      </c>
      <c r="AZ69" s="64" t="s" ph="1">
        <v>367</v>
      </c>
    </row>
    <row r="70" spans="33:52" ph="1">
      <c r="AI70" s="64" t="s" ph="1">
        <v>394</v>
      </c>
      <c r="AY70" s="64" t="s" ph="1">
        <v>216</v>
      </c>
      <c r="AZ70" s="64" t="s" ph="1">
        <v>367</v>
      </c>
    </row>
    <row r="71" spans="33:52" ph="1">
      <c r="AH71" s="64" ph="1">
        <v>7</v>
      </c>
      <c r="AI71" s="64" t="s" ph="1">
        <v>395</v>
      </c>
      <c r="AJ71" s="64" t="s" ph="1">
        <v>334</v>
      </c>
      <c r="AK71" s="64" t="s" ph="1">
        <v>228</v>
      </c>
      <c r="AM71" s="64" t="s" ph="1">
        <v>336</v>
      </c>
      <c r="AN71" s="64" t="s" ph="1">
        <v>228</v>
      </c>
      <c r="AO71" s="64" t="s" ph="1">
        <v>396</v>
      </c>
      <c r="AP71" s="64" t="s" ph="1">
        <v>570</v>
      </c>
      <c r="AQ71" s="64" t="s" ph="1">
        <v>219</v>
      </c>
      <c r="AR71" s="64" t="s" ph="1">
        <v>396</v>
      </c>
      <c r="AY71" s="64" t="s" ph="1">
        <v>216</v>
      </c>
      <c r="AZ71" s="64" t="s" ph="1">
        <v>578</v>
      </c>
    </row>
    <row r="72" spans="33:52" ph="1">
      <c r="AZ72" s="64" t="s" ph="1">
        <v>579</v>
      </c>
    </row>
    <row r="73" spans="33:52" ph="1">
      <c r="AG73" s="64" t="s" ph="1">
        <v>241</v>
      </c>
      <c r="AI73" s="64" t="s" ph="1">
        <v>209</v>
      </c>
      <c r="AJ73" s="64" t="s" ph="1">
        <v>210</v>
      </c>
      <c r="AK73" s="64" t="s" ph="1">
        <v>211</v>
      </c>
      <c r="AM73" s="64" t="s" ph="1">
        <v>210</v>
      </c>
      <c r="AN73" s="64" t="s" ph="1">
        <v>211</v>
      </c>
      <c r="AO73" s="64" t="s" ph="1">
        <v>212</v>
      </c>
      <c r="AP73" s="64" t="s" ph="1">
        <v>210</v>
      </c>
      <c r="AQ73" s="64" t="s" ph="1">
        <v>211</v>
      </c>
      <c r="AR73" s="64" t="s" ph="1">
        <v>212</v>
      </c>
      <c r="AS73" s="64" t="s" ph="1">
        <v>210</v>
      </c>
      <c r="AT73" s="64" t="s" ph="1">
        <v>211</v>
      </c>
      <c r="AU73" s="64" t="s" ph="1">
        <v>212</v>
      </c>
      <c r="AV73" s="64" t="s" ph="1">
        <v>210</v>
      </c>
      <c r="AW73" s="64" t="s" ph="1">
        <v>211</v>
      </c>
      <c r="AX73" s="64" t="s" ph="1">
        <v>212</v>
      </c>
      <c r="AY73" s="64" t="s" ph="1">
        <v>211</v>
      </c>
      <c r="AZ73" s="64" t="s" ph="1">
        <v>213</v>
      </c>
    </row>
    <row r="74" spans="33:52" ph="1">
      <c r="AH74" s="64" ph="1">
        <v>1</v>
      </c>
      <c r="AI74" s="64" t="s" ph="1">
        <v>397</v>
      </c>
      <c r="AJ74" s="64" t="s" ph="1">
        <v>242</v>
      </c>
      <c r="AK74" s="64" t="s" ph="1">
        <v>224</v>
      </c>
      <c r="AM74" s="64" t="s" ph="1">
        <v>244</v>
      </c>
      <c r="AN74" s="64" t="s" ph="1">
        <v>254</v>
      </c>
      <c r="AO74" s="64" t="s" ph="1">
        <v>243</v>
      </c>
      <c r="AP74" s="64" t="s" ph="1">
        <v>245</v>
      </c>
      <c r="AQ74" s="64" t="s" ph="1">
        <v>222</v>
      </c>
      <c r="AR74" s="64" t="s" ph="1">
        <v>243</v>
      </c>
      <c r="AS74" s="64" t="s" ph="1">
        <v>215</v>
      </c>
      <c r="AT74" s="64" t="s" ph="1">
        <v>217</v>
      </c>
      <c r="AV74" s="64" t="s" ph="1">
        <v>398</v>
      </c>
      <c r="AW74" s="64" t="s" ph="1">
        <v>399</v>
      </c>
      <c r="AX74" s="64" t="s" ph="1">
        <v>400</v>
      </c>
      <c r="AY74" s="64" t="s" ph="1">
        <v>216</v>
      </c>
      <c r="AZ74" s="64" t="s" ph="1">
        <v>401</v>
      </c>
    </row>
    <row r="75" spans="33:52" ph="1">
      <c r="AJ75" s="64" t="s" ph="1">
        <v>247</v>
      </c>
      <c r="AK75" s="64" t="s" ph="1">
        <v>300</v>
      </c>
      <c r="AM75" s="64" t="s" ph="1">
        <v>245</v>
      </c>
      <c r="AN75" s="64" t="s" ph="1">
        <v>225</v>
      </c>
      <c r="AO75" s="64" t="s" ph="1">
        <v>243</v>
      </c>
      <c r="AS75" s="64" t="s" ph="1">
        <v>215</v>
      </c>
      <c r="AT75" s="64" t="s" ph="1">
        <v>246</v>
      </c>
    </row>
    <row r="76" spans="33:52" ph="1">
      <c r="AJ76" s="64" t="s" ph="1">
        <v>247</v>
      </c>
      <c r="AK76" s="64" t="s" ph="1">
        <v>240</v>
      </c>
      <c r="AM76" s="64" t="s" ph="1">
        <v>245</v>
      </c>
      <c r="AN76" s="64" t="s" ph="1">
        <v>228</v>
      </c>
      <c r="AO76" s="64" t="s" ph="1">
        <v>243</v>
      </c>
      <c r="AS76" s="64" t="s" ph="1">
        <v>215</v>
      </c>
      <c r="AT76" s="64" t="s" ph="1">
        <v>246</v>
      </c>
    </row>
    <row r="77" spans="33:52" ph="1">
      <c r="AJ77" s="64" t="s" ph="1">
        <v>283</v>
      </c>
      <c r="AK77" s="64" t="s" ph="1">
        <v>240</v>
      </c>
      <c r="AM77" s="64" t="s" ph="1">
        <v>284</v>
      </c>
      <c r="AN77" s="64" t="s" ph="1">
        <v>223</v>
      </c>
      <c r="AO77" s="64" t="s" ph="1">
        <v>243</v>
      </c>
      <c r="AS77" s="64" t="s" ph="1">
        <v>215</v>
      </c>
      <c r="AT77" s="64" t="s" ph="1">
        <v>285</v>
      </c>
    </row>
    <row r="78" spans="33:52" ph="1">
      <c r="AH78" s="64" ph="1">
        <v>2</v>
      </c>
      <c r="AI78" s="64" t="s" ph="1">
        <v>249</v>
      </c>
      <c r="AJ78" s="64" t="s" ph="1">
        <v>250</v>
      </c>
      <c r="AK78" s="64" t="s" ph="1">
        <v>219</v>
      </c>
      <c r="AM78" s="64" t="s" ph="1">
        <v>251</v>
      </c>
      <c r="AN78" s="64" t="s" ph="1">
        <v>254</v>
      </c>
      <c r="AO78" s="64" t="s" ph="1">
        <v>243</v>
      </c>
      <c r="AP78" s="64" t="s" ph="1">
        <v>252</v>
      </c>
      <c r="AQ78" s="64" t="s" ph="1">
        <v>298</v>
      </c>
      <c r="AR78" s="64" t="s" ph="1">
        <v>243</v>
      </c>
      <c r="AS78" s="64" t="s" ph="1">
        <v>253</v>
      </c>
      <c r="AT78" s="64" t="s" ph="1">
        <v>254</v>
      </c>
      <c r="AU78" s="64" t="s" ph="1">
        <v>243</v>
      </c>
      <c r="AV78" s="64" t="s" ph="1">
        <v>255</v>
      </c>
      <c r="AW78" s="64" t="s" ph="1">
        <v>243</v>
      </c>
      <c r="AY78" s="64" t="s" ph="1">
        <v>216</v>
      </c>
      <c r="AZ78" s="64" t="s" ph="1">
        <v>402</v>
      </c>
    </row>
    <row r="79" spans="33:52" ph="1">
      <c r="AJ79" s="64" t="s" ph="1">
        <v>245</v>
      </c>
      <c r="AK79" s="64" t="s" ph="1">
        <v>256</v>
      </c>
      <c r="AM79" s="64" t="s" ph="1">
        <v>257</v>
      </c>
      <c r="AN79" s="64" t="s" ph="1">
        <v>225</v>
      </c>
      <c r="AO79" s="64" t="s" ph="1">
        <v>243</v>
      </c>
      <c r="AP79" s="64" t="s" ph="1">
        <v>258</v>
      </c>
      <c r="AQ79" s="64" t="s" ph="1">
        <v>223</v>
      </c>
      <c r="AR79" s="64" t="s" ph="1">
        <v>259</v>
      </c>
      <c r="AS79" s="64" t="s" ph="1">
        <v>215</v>
      </c>
      <c r="AT79" s="64" t="s" ph="1">
        <v>260</v>
      </c>
      <c r="AV79" s="64" t="s" ph="1">
        <v>403</v>
      </c>
      <c r="AW79" s="64" t="s" ph="1">
        <v>302</v>
      </c>
      <c r="AX79" s="64" t="s" ph="1">
        <v>400</v>
      </c>
    </row>
    <row r="80" spans="33:52" ph="1">
      <c r="AH80" s="64" ph="1">
        <v>3</v>
      </c>
      <c r="AI80" s="64" t="s" ph="1">
        <v>261</v>
      </c>
      <c r="AJ80" s="64" t="s" ph="1">
        <v>262</v>
      </c>
      <c r="AK80" s="64" t="s" ph="1">
        <v>263</v>
      </c>
      <c r="AM80" s="64" t="s" ph="1">
        <v>264</v>
      </c>
      <c r="AN80" s="64" t="s" ph="1">
        <v>254</v>
      </c>
      <c r="AO80" s="64" t="s" ph="1">
        <v>243</v>
      </c>
      <c r="AP80" s="64" t="s" ph="1">
        <v>265</v>
      </c>
      <c r="AQ80" s="64" t="s" ph="1">
        <v>228</v>
      </c>
      <c r="AR80" s="64" t="s" ph="1">
        <v>243</v>
      </c>
      <c r="AS80" s="64" t="s" ph="1">
        <v>266</v>
      </c>
      <c r="AT80" s="64" t="s" ph="1">
        <v>227</v>
      </c>
      <c r="AU80" s="64" t="s" ph="1">
        <v>243</v>
      </c>
      <c r="AV80" s="64" t="s" ph="1">
        <v>267</v>
      </c>
      <c r="AW80" s="64" t="s" ph="1">
        <v>243</v>
      </c>
      <c r="AY80" s="64" t="s" ph="1">
        <v>216</v>
      </c>
      <c r="AZ80" s="64" t="s" ph="1">
        <v>404</v>
      </c>
    </row>
    <row r="81" spans="34:52" ph="1">
      <c r="AJ81" s="64" t="s" ph="1">
        <v>268</v>
      </c>
      <c r="AK81" s="64" t="s" ph="1">
        <v>222</v>
      </c>
      <c r="AM81" s="64" t="s" ph="1">
        <v>269</v>
      </c>
      <c r="AN81" s="64" t="s" ph="1">
        <v>225</v>
      </c>
      <c r="AO81" s="64" t="s" ph="1">
        <v>243</v>
      </c>
      <c r="AP81" s="64" t="s" ph="1">
        <v>270</v>
      </c>
      <c r="AQ81" s="64" t="s" ph="1">
        <v>254</v>
      </c>
      <c r="AR81" s="64" t="s" ph="1">
        <v>243</v>
      </c>
      <c r="AS81" s="64" t="s" ph="1">
        <v>271</v>
      </c>
      <c r="AT81" s="64" t="s" ph="1">
        <v>272</v>
      </c>
      <c r="AU81" s="64" t="s" ph="1">
        <v>243</v>
      </c>
      <c r="AV81" s="64" t="s" ph="1">
        <v>273</v>
      </c>
    </row>
    <row r="82" spans="34:52" ph="1">
      <c r="AJ82" s="64" t="s" ph="1">
        <v>274</v>
      </c>
      <c r="AK82" s="64" t="s" ph="1">
        <v>222</v>
      </c>
      <c r="AM82" s="64" t="s" ph="1">
        <v>275</v>
      </c>
      <c r="AN82" s="64" t="s" ph="1">
        <v>272</v>
      </c>
      <c r="AO82" s="64" t="s" ph="1">
        <v>276</v>
      </c>
      <c r="AP82" s="64" t="s" ph="1">
        <v>277</v>
      </c>
      <c r="AQ82" s="64" t="s" ph="1">
        <v>254</v>
      </c>
      <c r="AR82" s="64" t="s" ph="1">
        <v>243</v>
      </c>
      <c r="AS82" s="64" t="s" ph="1">
        <v>278</v>
      </c>
      <c r="AT82" s="64" t="s" ph="1">
        <v>229</v>
      </c>
      <c r="AU82" s="64" t="s" ph="1">
        <v>243</v>
      </c>
      <c r="AV82" s="64" t="s" ph="1">
        <v>403</v>
      </c>
      <c r="AW82" s="64" t="s" ph="1">
        <v>303</v>
      </c>
      <c r="AX82" s="64" t="s" ph="1">
        <v>400</v>
      </c>
    </row>
    <row r="83" spans="34:52" ph="1">
      <c r="AJ83" s="64" t="s" ph="1">
        <v>279</v>
      </c>
      <c r="AK83" s="64" t="s" ph="1">
        <v>296</v>
      </c>
      <c r="AM83" s="64" t="s" ph="1">
        <v>280</v>
      </c>
      <c r="AN83" s="64" t="s" ph="1">
        <v>228</v>
      </c>
      <c r="AO83" s="64" t="s" ph="1">
        <v>259</v>
      </c>
      <c r="AP83" s="64" t="s" ph="1">
        <v>281</v>
      </c>
      <c r="AQ83" s="64" t="s" ph="1">
        <v>282</v>
      </c>
      <c r="AR83" s="64" t="s" ph="1">
        <v>259</v>
      </c>
      <c r="AS83" s="64" t="s" ph="1">
        <v>405</v>
      </c>
      <c r="AT83" s="64" t="s" ph="1">
        <v>254</v>
      </c>
      <c r="AU83" s="64" t="s" ph="1">
        <v>259</v>
      </c>
      <c r="AV83" s="64" t="s" ph="1">
        <v>406</v>
      </c>
      <c r="AW83" s="64" t="s" ph="1">
        <v>303</v>
      </c>
      <c r="AX83" s="64" t="s" ph="1">
        <v>407</v>
      </c>
    </row>
    <row r="84" spans="34:52" ph="1">
      <c r="AH84" s="64" ph="1">
        <v>4</v>
      </c>
      <c r="AI84" s="64" t="s" ph="1">
        <v>286</v>
      </c>
      <c r="AJ84" s="64" t="s" ph="1">
        <v>226</v>
      </c>
      <c r="AK84" s="64" t="s" ph="1">
        <v>229</v>
      </c>
      <c r="AM84" s="64" t="s" ph="1">
        <v>230</v>
      </c>
      <c r="AN84" s="64" t="s" ph="1">
        <v>223</v>
      </c>
      <c r="AO84" s="64" t="s" ph="1">
        <v>259</v>
      </c>
      <c r="AP84" s="64" t="s" ph="1">
        <v>288</v>
      </c>
      <c r="AQ84" s="64" t="s" ph="1">
        <v>222</v>
      </c>
      <c r="AR84" s="64" t="s" ph="1">
        <v>259</v>
      </c>
      <c r="AS84" s="64" t="s" ph="1">
        <v>288</v>
      </c>
      <c r="AT84" s="64" t="s" ph="1">
        <v>224</v>
      </c>
      <c r="AU84" s="64" t="s" ph="1">
        <v>259</v>
      </c>
      <c r="AY84" s="64" t="s" ph="1">
        <v>216</v>
      </c>
      <c r="AZ84" s="64" t="s" ph="1">
        <v>408</v>
      </c>
    </row>
    <row r="85" spans="34:52" ph="1">
      <c r="AJ85" s="64" t="s" ph="1">
        <v>218</v>
      </c>
      <c r="AK85" s="64" t="s" ph="1">
        <v>222</v>
      </c>
      <c r="AM85" s="64" t="s" ph="1">
        <v>409</v>
      </c>
      <c r="AN85" s="64" t="s" ph="1">
        <v>229</v>
      </c>
      <c r="AO85" s="64" t="s" ph="1">
        <v>259</v>
      </c>
      <c r="AP85" s="64" t="s" ph="1">
        <v>410</v>
      </c>
      <c r="AQ85" s="64" t="s" ph="1">
        <v>225</v>
      </c>
      <c r="AR85" s="64" t="s" ph="1">
        <v>259</v>
      </c>
      <c r="AS85" s="64" t="s" ph="1">
        <v>411</v>
      </c>
      <c r="AT85" s="64" t="s" ph="1">
        <v>225</v>
      </c>
      <c r="AU85" s="64" t="s" ph="1">
        <v>259</v>
      </c>
    </row>
    <row r="86" spans="34:52" ph="1">
      <c r="AJ86" s="64" t="s" ph="1">
        <v>412</v>
      </c>
      <c r="AK86" s="64" t="s" ph="1">
        <v>231</v>
      </c>
      <c r="AM86" s="64" t="s" ph="1">
        <v>413</v>
      </c>
      <c r="AN86" s="64" t="s" ph="1">
        <v>272</v>
      </c>
      <c r="AO86" s="64" t="s" ph="1">
        <v>259</v>
      </c>
      <c r="AP86" s="64" t="s" ph="1">
        <v>414</v>
      </c>
      <c r="AQ86" s="64" t="s" ph="1">
        <v>219</v>
      </c>
      <c r="AR86" s="64" t="s" ph="1">
        <v>259</v>
      </c>
      <c r="AS86" s="64" t="s" ph="1">
        <v>415</v>
      </c>
      <c r="AT86" s="64" t="s" ph="1">
        <v>237</v>
      </c>
      <c r="AU86" s="64" t="s" ph="1">
        <v>259</v>
      </c>
    </row>
    <row r="87" spans="34:52" ph="1">
      <c r="AJ87" s="64" t="s" ph="1">
        <v>416</v>
      </c>
      <c r="AK87" s="64" t="s" ph="1">
        <v>272</v>
      </c>
      <c r="AM87" s="64" t="s" ph="1">
        <v>403</v>
      </c>
      <c r="AN87" s="64" t="s" ph="1">
        <v>417</v>
      </c>
      <c r="AO87" s="64" t="s" ph="1">
        <v>400</v>
      </c>
    </row>
    <row r="88" spans="34:52" ph="1">
      <c r="AH88" s="64" ph="1">
        <v>5</v>
      </c>
      <c r="AI88" s="64" t="s" ph="1">
        <v>289</v>
      </c>
      <c r="AJ88" s="64" t="s" ph="1">
        <v>418</v>
      </c>
      <c r="AK88" s="64" t="s" ph="1">
        <v>272</v>
      </c>
      <c r="AM88" s="64" t="s" ph="1">
        <v>419</v>
      </c>
      <c r="AN88" s="64" t="s" ph="1">
        <v>272</v>
      </c>
      <c r="AO88" s="64" t="s" ph="1">
        <v>259</v>
      </c>
      <c r="AP88" s="64" t="s" ph="1">
        <v>420</v>
      </c>
      <c r="AQ88" s="64" t="s" ph="1">
        <v>222</v>
      </c>
      <c r="AR88" s="64" t="s" ph="1">
        <v>259</v>
      </c>
      <c r="AS88" s="64" t="s" ph="1">
        <v>421</v>
      </c>
      <c r="AT88" s="64" t="s" ph="1">
        <v>272</v>
      </c>
      <c r="AU88" s="64" t="s" ph="1">
        <v>259</v>
      </c>
      <c r="AV88" s="64" t="s" ph="1">
        <v>422</v>
      </c>
      <c r="AW88" s="64" t="s" ph="1">
        <v>227</v>
      </c>
      <c r="AX88" s="64" t="s" ph="1">
        <v>259</v>
      </c>
      <c r="AY88" s="64" t="s" ph="1">
        <v>216</v>
      </c>
      <c r="AZ88" s="64" t="s" ph="1">
        <v>423</v>
      </c>
    </row>
    <row r="89" spans="34:52" ph="1">
      <c r="AJ89" s="64" t="s" ph="1">
        <v>424</v>
      </c>
      <c r="AK89" s="64" t="s" ph="1">
        <v>225</v>
      </c>
      <c r="AM89" s="64" t="s" ph="1">
        <v>425</v>
      </c>
      <c r="AN89" s="64" t="s" ph="1">
        <v>228</v>
      </c>
      <c r="AO89" s="64" t="s" ph="1">
        <v>259</v>
      </c>
      <c r="AP89" s="64" t="s" ph="1">
        <v>426</v>
      </c>
      <c r="AQ89" s="64" t="s" ph="1">
        <v>237</v>
      </c>
      <c r="AR89" s="64" t="s" ph="1">
        <v>259</v>
      </c>
      <c r="AS89" s="64" t="s" ph="1">
        <v>427</v>
      </c>
      <c r="AT89" s="64" t="s" ph="1">
        <v>272</v>
      </c>
      <c r="AU89" s="64" t="s" ph="1">
        <v>259</v>
      </c>
      <c r="AV89" s="64" t="s" ph="1">
        <v>428</v>
      </c>
      <c r="AW89" s="64" t="s" ph="1">
        <v>254</v>
      </c>
      <c r="AX89" s="64" t="s" ph="1">
        <v>287</v>
      </c>
    </row>
    <row r="90" spans="34:52" ph="1">
      <c r="AJ90" s="64" t="s" ph="1">
        <v>429</v>
      </c>
      <c r="AK90" s="64" t="s" ph="1">
        <v>228</v>
      </c>
      <c r="AM90" s="64" t="s" ph="1">
        <v>430</v>
      </c>
      <c r="AN90" s="64" t="s" ph="1">
        <v>225</v>
      </c>
      <c r="AO90" s="64" t="s" ph="1">
        <v>259</v>
      </c>
      <c r="AP90" s="64" t="s" ph="1">
        <v>431</v>
      </c>
      <c r="AQ90" s="64" t="s" ph="1">
        <v>294</v>
      </c>
      <c r="AR90" s="64" t="s" ph="1">
        <v>259</v>
      </c>
      <c r="AS90" s="64" t="s" ph="1">
        <v>432</v>
      </c>
      <c r="AT90" s="64" t="s" ph="1">
        <v>282</v>
      </c>
      <c r="AU90" s="64" t="s" ph="1">
        <v>259</v>
      </c>
      <c r="AV90" s="64" t="s" ph="1">
        <v>433</v>
      </c>
      <c r="AW90" s="64" t="s" ph="1">
        <v>219</v>
      </c>
      <c r="AX90" s="64" t="s" ph="1">
        <v>259</v>
      </c>
    </row>
    <row r="91" spans="34:52" ph="1">
      <c r="AJ91" s="64" t="s" ph="1">
        <v>434</v>
      </c>
      <c r="AK91" s="64" t="s" ph="1">
        <v>272</v>
      </c>
      <c r="AM91" s="64" t="s" ph="1">
        <v>435</v>
      </c>
      <c r="AN91" s="64" t="s" ph="1">
        <v>239</v>
      </c>
      <c r="AO91" s="64" t="s" ph="1">
        <v>259</v>
      </c>
      <c r="AP91" s="64" t="s" ph="1">
        <v>436</v>
      </c>
      <c r="AQ91" s="64" t="s" ph="1">
        <v>219</v>
      </c>
      <c r="AS91" s="64" t="s" ph="1">
        <v>403</v>
      </c>
      <c r="AT91" s="64" t="s" ph="1">
        <v>399</v>
      </c>
      <c r="AU91" s="64" t="s" ph="1">
        <v>400</v>
      </c>
    </row>
    <row r="92" spans="34:52" ph="1">
      <c r="AH92" s="64" ph="1">
        <v>6</v>
      </c>
      <c r="AI92" s="64" t="s" ph="1">
        <v>437</v>
      </c>
      <c r="AJ92" s="64" t="s" ph="1">
        <v>438</v>
      </c>
      <c r="AK92" s="64" t="s" ph="1">
        <v>367</v>
      </c>
      <c r="AM92" s="64" t="s" ph="1">
        <v>439</v>
      </c>
      <c r="AN92" s="64" t="s" ph="1">
        <v>227</v>
      </c>
      <c r="AO92" s="64" t="s" ph="1">
        <v>259</v>
      </c>
      <c r="AP92" s="64" t="s" ph="1">
        <v>440</v>
      </c>
      <c r="AQ92" s="64" t="s" ph="1">
        <v>299</v>
      </c>
      <c r="AR92" s="64" t="s" ph="1">
        <v>259</v>
      </c>
      <c r="AS92" s="64" t="s" ph="1">
        <v>441</v>
      </c>
      <c r="AT92" s="64" t="s" ph="1">
        <v>272</v>
      </c>
      <c r="AU92" s="64" t="s" ph="1">
        <v>259</v>
      </c>
      <c r="AV92" s="64" t="s" ph="1">
        <v>442</v>
      </c>
      <c r="AW92" s="64" t="s" ph="1">
        <v>228</v>
      </c>
      <c r="AX92" s="64" t="s" ph="1">
        <v>259</v>
      </c>
      <c r="AY92" s="64" t="s" ph="1">
        <v>216</v>
      </c>
      <c r="AZ92" s="64" t="s" ph="1">
        <v>423</v>
      </c>
    </row>
    <row r="93" spans="34:52" ph="1">
      <c r="AJ93" s="64" t="s" ph="1">
        <v>443</v>
      </c>
      <c r="AK93" s="64" t="s" ph="1">
        <v>222</v>
      </c>
      <c r="AM93" s="64" t="s" ph="1">
        <v>444</v>
      </c>
      <c r="AN93" s="64" t="s" ph="1">
        <v>227</v>
      </c>
      <c r="AO93" s="64" t="s" ph="1">
        <v>259</v>
      </c>
      <c r="AP93" s="64" t="s" ph="1">
        <v>445</v>
      </c>
      <c r="AQ93" s="64" t="s" ph="1">
        <v>231</v>
      </c>
      <c r="AR93" s="64" t="s" ph="1">
        <v>259</v>
      </c>
      <c r="AS93" s="64" t="s" ph="1">
        <v>446</v>
      </c>
      <c r="AT93" s="64" t="s" ph="1">
        <v>237</v>
      </c>
      <c r="AU93" s="64" t="s" ph="1">
        <v>259</v>
      </c>
      <c r="AV93" s="64" t="s" ph="1">
        <v>447</v>
      </c>
      <c r="AW93" s="64" t="s" ph="1">
        <v>231</v>
      </c>
      <c r="AX93" s="64" t="s" ph="1">
        <v>259</v>
      </c>
    </row>
    <row r="94" spans="34:52" ph="1">
      <c r="AJ94" s="64" t="s" ph="1">
        <v>448</v>
      </c>
      <c r="AK94" s="64" t="s" ph="1">
        <v>294</v>
      </c>
      <c r="AM94" s="64" t="s" ph="1">
        <v>449</v>
      </c>
      <c r="AN94" s="64" t="s" ph="1">
        <v>231</v>
      </c>
      <c r="AO94" s="64" t="s" ph="1">
        <v>259</v>
      </c>
      <c r="AP94" s="64" t="s" ph="1">
        <v>450</v>
      </c>
      <c r="AQ94" s="64" t="s" ph="1">
        <v>239</v>
      </c>
      <c r="AR94" s="64" t="s" ph="1">
        <v>259</v>
      </c>
      <c r="AS94" s="64" t="s" ph="1">
        <v>451</v>
      </c>
      <c r="AT94" s="64" t="s" ph="1">
        <v>225</v>
      </c>
      <c r="AU94" s="64" t="s" ph="1">
        <v>259</v>
      </c>
      <c r="AV94" s="64" t="s" ph="1">
        <v>452</v>
      </c>
      <c r="AW94" s="64" t="s" ph="1">
        <v>225</v>
      </c>
      <c r="AX94" s="64" t="s" ph="1">
        <v>259</v>
      </c>
    </row>
    <row r="95" spans="34:52" ph="1">
      <c r="AJ95" s="64" t="s" ph="1">
        <v>453</v>
      </c>
      <c r="AK95" s="64" t="s" ph="1">
        <v>299</v>
      </c>
    </row>
    <row r="96" spans="34:52" ph="1">
      <c r="AH96" s="64" ph="1">
        <v>7</v>
      </c>
      <c r="AI96" s="64" t="s" ph="1">
        <v>454</v>
      </c>
      <c r="AJ96" s="64" t="s" ph="1">
        <v>453</v>
      </c>
      <c r="AK96" s="64" t="s" ph="1">
        <v>254</v>
      </c>
      <c r="AM96" s="64" t="s" ph="1">
        <v>455</v>
      </c>
      <c r="AN96" s="64" t="s" ph="1">
        <v>228</v>
      </c>
      <c r="AO96" s="64" t="s" ph="1">
        <v>259</v>
      </c>
      <c r="AP96" s="64" t="s" ph="1">
        <v>456</v>
      </c>
      <c r="AQ96" s="64" t="s" ph="1">
        <v>272</v>
      </c>
      <c r="AR96" s="64" t="s" ph="1">
        <v>287</v>
      </c>
      <c r="AS96" s="64" t="s" ph="1">
        <v>457</v>
      </c>
      <c r="AT96" s="64" t="s" ph="1">
        <v>231</v>
      </c>
      <c r="AU96" s="64" t="s" ph="1">
        <v>287</v>
      </c>
      <c r="AV96" s="64" t="s" ph="1">
        <v>458</v>
      </c>
      <c r="AW96" s="64" t="s" ph="1">
        <v>227</v>
      </c>
      <c r="AX96" s="64" t="s" ph="1">
        <v>287</v>
      </c>
      <c r="AY96" s="64" t="s" ph="1">
        <v>216</v>
      </c>
      <c r="AZ96" s="64" t="s" ph="1">
        <v>459</v>
      </c>
    </row>
    <row r="97" spans="33:52" ph="1">
      <c r="AJ97" s="64" t="s" ph="1">
        <v>460</v>
      </c>
      <c r="AK97" s="64" t="s" ph="1">
        <v>282</v>
      </c>
      <c r="AM97" s="64" t="s" ph="1">
        <v>461</v>
      </c>
      <c r="AN97" s="64" t="s" ph="1">
        <v>225</v>
      </c>
      <c r="AO97" s="64" t="s" ph="1">
        <v>259</v>
      </c>
      <c r="AP97" s="64" t="s" ph="1">
        <v>462</v>
      </c>
      <c r="AQ97" s="64" t="s" ph="1">
        <v>219</v>
      </c>
      <c r="AR97" s="64" t="s" ph="1">
        <v>287</v>
      </c>
      <c r="AS97" s="64" t="s" ph="1">
        <v>463</v>
      </c>
      <c r="AT97" s="64" t="s" ph="1">
        <v>222</v>
      </c>
      <c r="AU97" s="64" t="s" ph="1">
        <v>287</v>
      </c>
      <c r="AV97" s="64" t="s" ph="1">
        <v>464</v>
      </c>
      <c r="AW97" s="64" t="s" ph="1">
        <v>228</v>
      </c>
      <c r="AX97" s="64" t="s" ph="1">
        <v>287</v>
      </c>
    </row>
    <row r="98" spans="33:52" ph="1">
      <c r="AJ98" s="64" t="s" ph="1">
        <v>465</v>
      </c>
      <c r="AK98" s="64" t="s" ph="1">
        <v>231</v>
      </c>
      <c r="AM98" s="64" t="s" ph="1">
        <v>466</v>
      </c>
      <c r="AN98" s="64" t="s" ph="1">
        <v>239</v>
      </c>
      <c r="AO98" s="64" t="s" ph="1">
        <v>259</v>
      </c>
      <c r="AP98" s="64" t="s" ph="1">
        <v>467</v>
      </c>
      <c r="AQ98" s="64" t="s" ph="1">
        <v>219</v>
      </c>
      <c r="AR98" s="64" t="s" ph="1">
        <v>287</v>
      </c>
      <c r="AS98" s="64" t="s" ph="1">
        <v>468</v>
      </c>
      <c r="AT98" s="64" t="s" ph="1">
        <v>299</v>
      </c>
      <c r="AU98" s="64" t="s" ph="1">
        <v>287</v>
      </c>
      <c r="AV98" s="64" t="s" ph="1">
        <v>469</v>
      </c>
      <c r="AW98" s="64" t="s" ph="1">
        <v>222</v>
      </c>
      <c r="AX98" s="64" t="s" ph="1">
        <v>287</v>
      </c>
    </row>
    <row r="99" spans="33:52" ph="1">
      <c r="AH99" s="64" ph="1">
        <v>8</v>
      </c>
      <c r="AI99" s="64" t="s" ph="1">
        <v>470</v>
      </c>
      <c r="AJ99" s="64" t="s" ph="1">
        <v>471</v>
      </c>
      <c r="AK99" s="64" t="s" ph="1">
        <v>367</v>
      </c>
      <c r="AM99" s="64" t="s" ph="1">
        <v>472</v>
      </c>
      <c r="AN99" s="64" t="s" ph="1">
        <v>254</v>
      </c>
      <c r="AO99" s="64" t="s" ph="1">
        <v>259</v>
      </c>
      <c r="AP99" s="64" t="s" ph="1">
        <v>473</v>
      </c>
      <c r="AQ99" s="64" t="s" ph="1">
        <v>224</v>
      </c>
      <c r="AR99" s="64" t="s" ph="1">
        <v>287</v>
      </c>
      <c r="AS99" s="64" t="s" ph="1">
        <v>474</v>
      </c>
      <c r="AT99" s="64" t="s" ph="1">
        <v>239</v>
      </c>
      <c r="AU99" s="64" t="s" ph="1">
        <v>287</v>
      </c>
      <c r="AV99" s="64" t="s" ph="1">
        <v>475</v>
      </c>
      <c r="AW99" s="64" t="s" ph="1">
        <v>224</v>
      </c>
      <c r="AX99" s="64" t="s" ph="1">
        <v>287</v>
      </c>
      <c r="AY99" s="64" t="s" ph="1">
        <v>216</v>
      </c>
      <c r="AZ99" s="64" t="s" ph="1">
        <v>476</v>
      </c>
    </row>
    <row r="100" spans="33:52" ph="1">
      <c r="AJ100" s="64" t="s" ph="1">
        <v>477</v>
      </c>
      <c r="AK100" s="64" t="s" ph="1">
        <v>222</v>
      </c>
      <c r="AM100" s="64" t="s" ph="1">
        <v>478</v>
      </c>
      <c r="AN100" s="64" t="s" ph="1">
        <v>294</v>
      </c>
      <c r="AO100" s="64" t="s" ph="1">
        <v>259</v>
      </c>
      <c r="AP100" s="64" t="s" ph="1">
        <v>479</v>
      </c>
      <c r="AQ100" s="64" t="s" ph="1">
        <v>300</v>
      </c>
      <c r="AR100" s="64" t="s" ph="1">
        <v>287</v>
      </c>
      <c r="AS100" s="64" t="s" ph="1">
        <v>480</v>
      </c>
      <c r="AT100" s="64" t="s" ph="1">
        <v>367</v>
      </c>
      <c r="AU100" s="64" t="s" ph="1">
        <v>259</v>
      </c>
      <c r="AV100" s="64" t="s" ph="1">
        <v>481</v>
      </c>
      <c r="AW100" s="64" t="s" ph="1">
        <v>367</v>
      </c>
      <c r="AX100" s="64" t="s" ph="1">
        <v>259</v>
      </c>
    </row>
    <row r="101" spans="33:52" ph="1">
      <c r="AJ101" s="64" t="s" ph="1">
        <v>482</v>
      </c>
      <c r="AK101" s="64" t="s" ph="1">
        <v>367</v>
      </c>
      <c r="AM101" s="64" t="s" ph="1">
        <v>483</v>
      </c>
      <c r="AN101" s="64" t="s" ph="1">
        <v>225</v>
      </c>
      <c r="AO101" s="64" t="s" ph="1">
        <v>259</v>
      </c>
      <c r="AP101" s="64" t="s" ph="1">
        <v>484</v>
      </c>
      <c r="AQ101" s="64" t="s" ph="1">
        <v>237</v>
      </c>
      <c r="AR101" s="64" t="s" ph="1">
        <v>287</v>
      </c>
      <c r="AS101" s="64" t="s" ph="1">
        <v>485</v>
      </c>
      <c r="AT101" s="64" t="s" ph="1">
        <v>294</v>
      </c>
      <c r="AU101" s="64" t="s" ph="1">
        <v>287</v>
      </c>
      <c r="AV101" s="64" t="s" ph="1">
        <v>486</v>
      </c>
      <c r="AW101" s="64" t="s" ph="1">
        <v>225</v>
      </c>
      <c r="AX101" s="64" t="s" ph="1">
        <v>259</v>
      </c>
    </row>
    <row r="102" spans="33:52" ph="1">
      <c r="AJ102" s="64" t="s" ph="1">
        <v>487</v>
      </c>
      <c r="AK102" s="64" t="s" ph="1">
        <v>222</v>
      </c>
      <c r="AM102" s="64" t="s" ph="1">
        <v>488</v>
      </c>
      <c r="AN102" s="64" t="s" ph="1">
        <v>231</v>
      </c>
      <c r="AO102" s="64" t="s" ph="1">
        <v>259</v>
      </c>
      <c r="AP102" s="64" t="s" ph="1">
        <v>489</v>
      </c>
      <c r="AQ102" s="64" t="s" ph="1">
        <v>237</v>
      </c>
      <c r="AR102" s="64" t="s" ph="1">
        <v>259</v>
      </c>
      <c r="AS102" s="64" t="s" ph="1">
        <v>490</v>
      </c>
      <c r="AT102" s="64" t="s" ph="1">
        <v>254</v>
      </c>
      <c r="AU102" s="64" t="s" ph="1">
        <v>259</v>
      </c>
      <c r="AV102" s="64" t="s" ph="1">
        <v>491</v>
      </c>
      <c r="AW102" s="64" t="s" ph="1">
        <v>272</v>
      </c>
      <c r="AX102" s="64" t="s" ph="1">
        <v>259</v>
      </c>
    </row>
    <row r="103" spans="33:52" ph="1">
      <c r="AH103" s="64" ph="1">
        <v>9</v>
      </c>
      <c r="AI103" s="64" t="s" ph="1">
        <v>492</v>
      </c>
      <c r="AJ103" s="64" t="s" ph="1">
        <v>493</v>
      </c>
      <c r="AK103" s="64" t="s" ph="1">
        <v>367</v>
      </c>
      <c r="AM103" s="64" t="s" ph="1">
        <v>494</v>
      </c>
      <c r="AN103" s="64" t="s" ph="1">
        <v>282</v>
      </c>
      <c r="AO103" s="64" t="s" ph="1">
        <v>259</v>
      </c>
      <c r="AP103" s="64" t="s" ph="1">
        <v>336</v>
      </c>
      <c r="AQ103" s="64" t="s" ph="1">
        <v>225</v>
      </c>
      <c r="AR103" s="64" t="s" ph="1">
        <v>259</v>
      </c>
      <c r="AS103" s="64" t="s" ph="1">
        <v>570</v>
      </c>
      <c r="AT103" s="64" t="s" ph="1">
        <v>367</v>
      </c>
      <c r="AU103" s="64" t="s" ph="1">
        <v>259</v>
      </c>
      <c r="AY103" s="64" t="s" ph="1">
        <v>216</v>
      </c>
      <c r="AZ103" s="64" t="s" ph="1">
        <v>224</v>
      </c>
    </row>
    <row r="104" spans="33:52" ph="1">
      <c r="AZ104" s="64" t="s" ph="1">
        <v>495</v>
      </c>
    </row>
    <row r="105" spans="33:52" ph="1">
      <c r="AG105" s="64" t="s" ph="1">
        <v>295</v>
      </c>
      <c r="AI105" s="64" t="s" ph="1">
        <v>209</v>
      </c>
      <c r="AJ105" s="64" t="s" ph="1">
        <v>210</v>
      </c>
      <c r="AK105" s="64" t="s" ph="1">
        <v>211</v>
      </c>
      <c r="AM105" s="64" t="s" ph="1">
        <v>210</v>
      </c>
      <c r="AN105" s="64" t="s" ph="1">
        <v>211</v>
      </c>
      <c r="AO105" s="64" t="s" ph="1">
        <v>212</v>
      </c>
      <c r="AP105" s="64" t="s" ph="1">
        <v>210</v>
      </c>
      <c r="AQ105" s="64" t="s" ph="1">
        <v>211</v>
      </c>
      <c r="AR105" s="64" t="s" ph="1">
        <v>212</v>
      </c>
      <c r="AS105" s="64" t="s" ph="1">
        <v>210</v>
      </c>
      <c r="AT105" s="64" t="s" ph="1">
        <v>211</v>
      </c>
      <c r="AU105" s="64" t="s" ph="1">
        <v>212</v>
      </c>
      <c r="AV105" s="64" t="s" ph="1">
        <v>210</v>
      </c>
      <c r="AW105" s="64" t="s" ph="1">
        <v>211</v>
      </c>
      <c r="AX105" s="64" t="s" ph="1">
        <v>212</v>
      </c>
      <c r="AZ105" s="64" t="s" ph="1">
        <v>213</v>
      </c>
    </row>
    <row r="106" spans="33:52" ph="1">
      <c r="AH106" s="64" ph="1">
        <v>1</v>
      </c>
      <c r="AI106" s="64" t="s" ph="1">
        <v>496</v>
      </c>
      <c r="AJ106" s="64" t="s" ph="1">
        <v>570</v>
      </c>
      <c r="AK106" s="64" t="s" ph="1">
        <v>231</v>
      </c>
      <c r="AZ106" s="64" t="s" ph="1">
        <v>231</v>
      </c>
    </row>
    <row r="107" spans="33:52" ph="1">
      <c r="AH107" s="64" ph="1">
        <v>2</v>
      </c>
      <c r="AI107" s="64" t="s" ph="1">
        <v>497</v>
      </c>
      <c r="AJ107" s="64" t="s" ph="1">
        <v>498</v>
      </c>
      <c r="AK107" s="64" t="s" ph="1">
        <v>228</v>
      </c>
      <c r="AM107" s="64" t="s" ph="1">
        <v>334</v>
      </c>
      <c r="AN107" s="64" t="s" ph="1">
        <v>499</v>
      </c>
      <c r="AO107" s="64" t="s" ph="1">
        <v>500</v>
      </c>
      <c r="AP107" s="64" t="s" ph="1">
        <v>336</v>
      </c>
      <c r="AQ107" s="64" t="s" ph="1">
        <v>304</v>
      </c>
      <c r="AR107" s="64" t="s" ph="1">
        <v>500</v>
      </c>
      <c r="AS107" s="64" t="s" ph="1">
        <v>570</v>
      </c>
      <c r="AT107" s="64" t="s" ph="1">
        <v>499</v>
      </c>
      <c r="AU107" s="64" t="s" ph="1">
        <v>500</v>
      </c>
      <c r="AY107" s="64" t="s" ph="1">
        <v>216</v>
      </c>
      <c r="AZ107" s="64" t="s" ph="1">
        <v>580</v>
      </c>
    </row>
    <row r="108" spans="33:52" ph="1">
      <c r="AH108" s="64" ph="1">
        <v>3</v>
      </c>
      <c r="AI108" s="64" t="s" ph="1">
        <v>501</v>
      </c>
      <c r="AY108" s="64" t="s" ph="1">
        <v>216</v>
      </c>
      <c r="AZ108" s="64" t="s" ph="1">
        <v>367</v>
      </c>
    </row>
    <row r="109" spans="33:52" ph="1">
      <c r="AH109" s="64" ph="1">
        <v>4</v>
      </c>
      <c r="AI109" s="64" t="s" ph="1">
        <v>502</v>
      </c>
      <c r="AY109" s="64" t="s" ph="1">
        <v>216</v>
      </c>
      <c r="AZ109" s="64" t="s" ph="1">
        <v>367</v>
      </c>
    </row>
    <row r="110" spans="33:52" ph="1">
      <c r="AH110" s="64" ph="1">
        <v>5</v>
      </c>
      <c r="AI110" s="64" t="s" ph="1">
        <v>503</v>
      </c>
      <c r="AY110" s="64" t="s" ph="1">
        <v>216</v>
      </c>
      <c r="AZ110" s="64" t="s" ph="1">
        <v>367</v>
      </c>
    </row>
    <row r="111" spans="33:52" ph="1">
      <c r="AH111" s="64" ph="1">
        <v>6</v>
      </c>
      <c r="AI111" s="64" t="s" ph="1">
        <v>581</v>
      </c>
      <c r="AJ111" s="64" t="s" ph="1">
        <v>486</v>
      </c>
      <c r="AK111" s="64" t="s" ph="1">
        <v>225</v>
      </c>
      <c r="AM111" s="64" t="s" ph="1">
        <v>487</v>
      </c>
      <c r="AN111" s="64" t="s" ph="1">
        <v>219</v>
      </c>
      <c r="AO111" s="64" t="s" ph="1">
        <v>500</v>
      </c>
      <c r="AP111" s="64" t="s" ph="1">
        <v>488</v>
      </c>
      <c r="AQ111" s="64" t="s" ph="1">
        <v>228</v>
      </c>
      <c r="AR111" s="64" t="s" ph="1">
        <v>500</v>
      </c>
      <c r="AS111" s="64" t="s" ph="1">
        <v>489</v>
      </c>
      <c r="AT111" s="64" t="s" ph="1">
        <v>237</v>
      </c>
      <c r="AU111" s="64" t="s" ph="1">
        <v>500</v>
      </c>
      <c r="AV111" s="64" t="s" ph="1">
        <v>490</v>
      </c>
      <c r="AW111" s="64" t="s" ph="1">
        <v>227</v>
      </c>
      <c r="AX111" s="64" t="s" ph="1">
        <v>500</v>
      </c>
      <c r="AY111" s="64" t="s" ph="1">
        <v>216</v>
      </c>
      <c r="AZ111" s="64" t="s" ph="1">
        <v>504</v>
      </c>
    </row>
    <row r="112" spans="33:52" ph="1">
      <c r="AJ112" s="64" t="s" ph="1">
        <v>491</v>
      </c>
      <c r="AK112" s="64" t="s" ph="1">
        <v>272</v>
      </c>
      <c r="AM112" s="64" t="s" ph="1">
        <v>493</v>
      </c>
      <c r="AN112" s="64" t="s" ph="1">
        <v>296</v>
      </c>
      <c r="AO112" s="64" t="s" ph="1">
        <v>500</v>
      </c>
      <c r="AP112" s="64" t="s" ph="1">
        <v>494</v>
      </c>
      <c r="AQ112" s="64" t="s" ph="1">
        <v>505</v>
      </c>
      <c r="AR112" s="64" t="s" ph="1">
        <v>500</v>
      </c>
      <c r="AS112" s="64" t="s" ph="1">
        <v>506</v>
      </c>
      <c r="AT112" s="64" t="s" ph="1">
        <v>248</v>
      </c>
      <c r="AU112" s="64" t="s" ph="1">
        <v>500</v>
      </c>
      <c r="AV112" s="64" t="s" ph="1">
        <v>507</v>
      </c>
      <c r="AW112" s="64" t="s" ph="1">
        <v>294</v>
      </c>
      <c r="AX112" s="64" t="s" ph="1">
        <v>500</v>
      </c>
    </row>
    <row r="113" spans="33:52" ph="1">
      <c r="AH113" s="64" ph="1">
        <v>7</v>
      </c>
      <c r="AI113" s="64" t="s" ph="1">
        <v>508</v>
      </c>
      <c r="AJ113" s="64" t="s" ph="1">
        <v>589</v>
      </c>
      <c r="AK113" s="64" t="s" ph="1">
        <v>594</v>
      </c>
      <c r="AY113" s="64" t="s" ph="1">
        <v>216</v>
      </c>
      <c r="AZ113" s="64" t="s" ph="1">
        <v>594</v>
      </c>
    </row>
    <row r="114" spans="33:52" ph="1">
      <c r="AH114" s="64" ph="1">
        <v>8</v>
      </c>
      <c r="AI114" s="64" t="s" ph="1">
        <v>509</v>
      </c>
      <c r="AJ114" s="64" t="s" ph="1">
        <v>589</v>
      </c>
      <c r="AK114" s="64" t="s" ph="1">
        <v>595</v>
      </c>
      <c r="AY114" s="64" t="s" ph="1">
        <v>216</v>
      </c>
      <c r="AZ114" s="64" t="s" ph="1">
        <v>595</v>
      </c>
    </row>
    <row r="115" spans="33:52" ph="1">
      <c r="AH115" s="64" ph="1">
        <v>9</v>
      </c>
      <c r="AI115" s="64" t="s" ph="1">
        <v>510</v>
      </c>
      <c r="AJ115" s="64" t="s" ph="1">
        <v>589</v>
      </c>
      <c r="AK115" s="64" t="s" ph="1">
        <v>595</v>
      </c>
      <c r="AY115" s="64" t="s" ph="1">
        <v>216</v>
      </c>
      <c r="AZ115" s="64" t="s" ph="1">
        <v>595</v>
      </c>
    </row>
    <row r="116" spans="33:52" ph="1">
      <c r="AH116" s="64" ph="1">
        <v>10</v>
      </c>
      <c r="AI116" s="64" t="s" ph="1">
        <v>511</v>
      </c>
      <c r="AJ116" s="64" t="s" ph="1">
        <v>589</v>
      </c>
      <c r="AK116" s="64" t="s" ph="1">
        <v>595</v>
      </c>
      <c r="AY116" s="64" t="s" ph="1">
        <v>216</v>
      </c>
      <c r="AZ116" s="64" t="s" ph="1">
        <v>595</v>
      </c>
    </row>
    <row r="117" spans="33:52" ph="1">
      <c r="AH117" s="64" ph="1">
        <v>11</v>
      </c>
      <c r="AI117" s="64" t="s" ph="1">
        <v>512</v>
      </c>
      <c r="AJ117" s="64" t="s" ph="1">
        <v>589</v>
      </c>
      <c r="AK117" s="64" t="s" ph="1">
        <v>595</v>
      </c>
      <c r="AY117" s="64" t="s" ph="1">
        <v>216</v>
      </c>
      <c r="AZ117" s="64" t="s" ph="1">
        <v>595</v>
      </c>
    </row>
    <row r="118" spans="33:52" ph="1">
      <c r="AZ118" s="64" t="s" ph="1">
        <v>596</v>
      </c>
    </row>
    <row r="119" spans="33:52" ph="1">
      <c r="AI119" s="64" t="s" ph="1">
        <v>209</v>
      </c>
      <c r="AJ119" s="64" t="s" ph="1">
        <v>210</v>
      </c>
      <c r="AK119" s="64" t="s" ph="1">
        <v>211</v>
      </c>
      <c r="AM119" s="64" t="s" ph="1">
        <v>210</v>
      </c>
      <c r="AN119" s="64" t="s" ph="1">
        <v>211</v>
      </c>
      <c r="AO119" s="64" t="s" ph="1">
        <v>212</v>
      </c>
      <c r="AP119" s="64" t="s" ph="1">
        <v>210</v>
      </c>
      <c r="AQ119" s="64" t="s" ph="1">
        <v>211</v>
      </c>
      <c r="AR119" s="64" t="s" ph="1">
        <v>212</v>
      </c>
      <c r="AS119" s="64" t="s" ph="1">
        <v>210</v>
      </c>
      <c r="AT119" s="64" t="s" ph="1">
        <v>211</v>
      </c>
      <c r="AU119" s="64" t="s" ph="1">
        <v>212</v>
      </c>
      <c r="AV119" s="64" t="s" ph="1">
        <v>210</v>
      </c>
      <c r="AW119" s="64" t="s" ph="1">
        <v>211</v>
      </c>
      <c r="AX119" s="64" t="s" ph="1">
        <v>212</v>
      </c>
      <c r="AY119" s="64" t="s" ph="1">
        <v>211</v>
      </c>
      <c r="AZ119" s="64" t="s" ph="1">
        <v>213</v>
      </c>
    </row>
    <row r="120" spans="33:52" ph="1">
      <c r="AG120" s="64" t="s" ph="1">
        <v>353</v>
      </c>
      <c r="AH120" s="64" ph="1">
        <v>1</v>
      </c>
      <c r="AI120" s="64" t="s" ph="1">
        <v>513</v>
      </c>
      <c r="AJ120" s="64" t="s" ph="1">
        <v>587</v>
      </c>
      <c r="AK120" s="64" t="s" ph="1">
        <v>367</v>
      </c>
      <c r="AY120" s="64" t="s" ph="1">
        <v>216</v>
      </c>
      <c r="AZ120" s="64" t="s" ph="1">
        <v>367</v>
      </c>
    </row>
    <row r="121" spans="33:52" ph="1">
      <c r="AH121" s="64" ph="1">
        <v>2</v>
      </c>
      <c r="AI121" s="64" t="s" ph="1">
        <v>514</v>
      </c>
      <c r="AY121" s="64" t="s" ph="1">
        <v>216</v>
      </c>
      <c r="AZ121" s="64" t="s" ph="1">
        <v>367</v>
      </c>
    </row>
    <row r="122" spans="33:52" ph="1">
      <c r="AH122" s="64" ph="1">
        <v>3</v>
      </c>
      <c r="AI122" s="64" t="s" ph="1">
        <v>515</v>
      </c>
      <c r="AJ122" s="64" t="s" ph="1">
        <v>570</v>
      </c>
      <c r="AK122" s="64" t="s" ph="1">
        <v>582</v>
      </c>
      <c r="AM122" s="64" t="s" ph="1">
        <v>597</v>
      </c>
      <c r="AN122" s="64" t="s" ph="1">
        <v>590</v>
      </c>
      <c r="AO122" s="64" t="s" ph="1">
        <v>91</v>
      </c>
      <c r="AY122" s="64" t="s" ph="1">
        <v>216</v>
      </c>
      <c r="AZ122" s="64" t="s" ph="1">
        <v>579</v>
      </c>
    </row>
    <row r="123" spans="33:52" ph="1">
      <c r="AY123" s="64" t="s" ph="1">
        <v>216</v>
      </c>
      <c r="AZ123" s="64" t="s" ph="1">
        <v>579</v>
      </c>
    </row>
    <row r="124" spans="33:52" ph="1">
      <c r="AG124" s="64" t="s" ph="1">
        <v>356</v>
      </c>
      <c r="AH124" s="64" ph="1">
        <v>4</v>
      </c>
      <c r="AI124" s="64" t="s" ph="1">
        <v>516</v>
      </c>
      <c r="AJ124" s="64" t="s" ph="1">
        <v>517</v>
      </c>
      <c r="AK124" s="64" t="s" ph="1">
        <v>518</v>
      </c>
      <c r="AY124" s="64" t="s" ph="1">
        <v>216</v>
      </c>
      <c r="AZ124" s="64" t="s" ph="1">
        <v>518</v>
      </c>
    </row>
    <row r="125" spans="33:52" ph="1">
      <c r="AH125" s="64" ph="1">
        <v>5</v>
      </c>
      <c r="AI125" s="64" t="s" ph="1">
        <v>519</v>
      </c>
      <c r="AJ125" s="64" t="s" ph="1">
        <v>517</v>
      </c>
      <c r="AK125" s="64" t="s" ph="1">
        <v>518</v>
      </c>
      <c r="AY125" s="64" t="s" ph="1">
        <v>216</v>
      </c>
      <c r="AZ125" s="64" t="s" ph="1">
        <v>518</v>
      </c>
    </row>
    <row r="126" spans="33:52" ph="1">
      <c r="AH126" s="64" ph="1">
        <v>6</v>
      </c>
      <c r="AI126" s="64" t="s" ph="1">
        <v>520</v>
      </c>
      <c r="AJ126" s="64" t="s" ph="1">
        <v>589</v>
      </c>
      <c r="AK126" s="64" t="s" ph="1">
        <v>598</v>
      </c>
      <c r="AY126" s="64" t="s" ph="1">
        <v>216</v>
      </c>
      <c r="AZ126" s="64" t="s" ph="1">
        <v>598</v>
      </c>
    </row>
    <row r="127" spans="33:52" ph="1">
      <c r="AH127" s="64" ph="1">
        <v>7</v>
      </c>
      <c r="AI127" s="64" t="s" ph="1">
        <v>521</v>
      </c>
      <c r="AJ127" s="64" t="s" ph="1">
        <v>589</v>
      </c>
      <c r="AK127" s="64" t="s" ph="1">
        <v>599</v>
      </c>
      <c r="AY127" s="64" t="s" ph="1">
        <v>216</v>
      </c>
      <c r="AZ127" s="64" t="s" ph="1">
        <v>599</v>
      </c>
    </row>
    <row r="128" spans="33:52" ph="1">
      <c r="AH128" s="64" ph="1">
        <v>8</v>
      </c>
      <c r="AI128" s="64" t="s" ph="1">
        <v>522</v>
      </c>
      <c r="AY128" s="64" t="s" ph="1">
        <v>216</v>
      </c>
      <c r="AZ128" s="64" t="s" ph="1">
        <v>367</v>
      </c>
    </row>
    <row r="129" spans="33:52" ph="1">
      <c r="AH129" s="64" ph="1">
        <v>9</v>
      </c>
      <c r="AI129" s="64" t="s" ph="1">
        <v>523</v>
      </c>
      <c r="AY129" s="64" t="s" ph="1">
        <v>216</v>
      </c>
      <c r="AZ129" s="64" t="s" ph="1">
        <v>367</v>
      </c>
    </row>
    <row r="130" spans="33:52" ph="1">
      <c r="AH130" s="64" ph="1">
        <v>10</v>
      </c>
      <c r="AI130" s="64" t="s" ph="1">
        <v>524</v>
      </c>
      <c r="AY130" s="64" t="s" ph="1">
        <v>216</v>
      </c>
      <c r="AZ130" s="64" t="s" ph="1">
        <v>367</v>
      </c>
    </row>
    <row r="131" spans="33:52" ph="1">
      <c r="AH131" s="64" ph="1">
        <v>11</v>
      </c>
      <c r="AI131" s="64" t="s" ph="1">
        <v>525</v>
      </c>
      <c r="AJ131" s="64" t="s" ph="1">
        <v>583</v>
      </c>
      <c r="AK131" s="64" t="s" ph="1">
        <v>579</v>
      </c>
      <c r="AY131" s="64" t="s" ph="1">
        <v>216</v>
      </c>
      <c r="AZ131" s="64" t="s" ph="1">
        <v>579</v>
      </c>
    </row>
    <row r="132" spans="33:52" ph="1">
      <c r="AH132" s="64" ph="1">
        <v>12</v>
      </c>
      <c r="AI132" s="64" t="s" ph="1">
        <v>526</v>
      </c>
      <c r="AJ132" s="64" t="s" ph="1">
        <v>583</v>
      </c>
      <c r="AK132" s="64" t="s" ph="1">
        <v>518</v>
      </c>
      <c r="AY132" s="64" t="s" ph="1">
        <v>216</v>
      </c>
      <c r="AZ132" s="64" t="s" ph="1">
        <v>518</v>
      </c>
    </row>
    <row r="133" spans="33:52" ph="1">
      <c r="AH133" s="64" ph="1">
        <v>13</v>
      </c>
      <c r="AI133" s="64" t="s" ph="1">
        <v>527</v>
      </c>
      <c r="AJ133" s="64" t="s" ph="1">
        <v>583</v>
      </c>
      <c r="AK133" s="64" t="s" ph="1">
        <v>584</v>
      </c>
      <c r="AY133" s="64" t="s" ph="1">
        <v>216</v>
      </c>
      <c r="AZ133" s="64" t="s" ph="1">
        <v>584</v>
      </c>
    </row>
    <row r="134" spans="33:52" ph="1">
      <c r="AH134" s="64" ph="1">
        <v>14</v>
      </c>
      <c r="AI134" s="64" t="s" ph="1">
        <v>528</v>
      </c>
      <c r="AJ134" s="64" t="s" ph="1">
        <v>583</v>
      </c>
      <c r="AK134" s="64" t="s" ph="1">
        <v>585</v>
      </c>
      <c r="AY134" s="64" t="s" ph="1">
        <v>216</v>
      </c>
      <c r="AZ134" s="64" t="s" ph="1">
        <v>585</v>
      </c>
    </row>
    <row r="135" spans="33:52" ph="1">
      <c r="AH135" s="64" ph="1">
        <v>15</v>
      </c>
      <c r="AI135" s="64" t="s" ph="1">
        <v>529</v>
      </c>
      <c r="AJ135" s="64" t="s" ph="1">
        <v>583</v>
      </c>
      <c r="AK135" s="64" t="s" ph="1">
        <v>586</v>
      </c>
      <c r="AY135" s="64" t="s" ph="1">
        <v>216</v>
      </c>
      <c r="AZ135" s="64" t="s" ph="1">
        <v>586</v>
      </c>
    </row>
    <row r="136" spans="33:52" ph="1">
      <c r="AZ136" s="64" t="s" ph="1">
        <v>600</v>
      </c>
    </row>
    <row r="137" spans="33:52" ph="1">
      <c r="AG137" s="64" t="s" ph="1">
        <v>290</v>
      </c>
      <c r="AI137" s="64" t="s" ph="1">
        <v>209</v>
      </c>
      <c r="AJ137" s="64" t="s" ph="1">
        <v>210</v>
      </c>
      <c r="AK137" s="64" t="s" ph="1">
        <v>211</v>
      </c>
      <c r="AM137" s="64" t="s" ph="1">
        <v>210</v>
      </c>
      <c r="AN137" s="64" t="s" ph="1">
        <v>211</v>
      </c>
      <c r="AO137" s="64" t="s" ph="1">
        <v>212</v>
      </c>
      <c r="AP137" s="64" t="s" ph="1">
        <v>210</v>
      </c>
      <c r="AQ137" s="64" t="s" ph="1">
        <v>211</v>
      </c>
      <c r="AR137" s="64" t="s" ph="1">
        <v>212</v>
      </c>
      <c r="AS137" s="64" t="s" ph="1">
        <v>210</v>
      </c>
      <c r="AT137" s="64" t="s" ph="1">
        <v>211</v>
      </c>
      <c r="AU137" s="64" t="s" ph="1">
        <v>212</v>
      </c>
      <c r="AV137" s="64" t="s" ph="1">
        <v>210</v>
      </c>
      <c r="AW137" s="64" t="s" ph="1">
        <v>211</v>
      </c>
      <c r="AX137" s="64" t="s" ph="1">
        <v>212</v>
      </c>
      <c r="AY137" s="64" t="s" ph="1">
        <v>211</v>
      </c>
      <c r="AZ137" s="64" t="s" ph="1">
        <v>213</v>
      </c>
    </row>
    <row r="138" spans="33:52" ph="1">
      <c r="AH138" s="64" ph="1">
        <v>1</v>
      </c>
      <c r="AI138" s="64" t="s" ph="1">
        <v>530</v>
      </c>
      <c r="AJ138" s="64" t="s" ph="1">
        <v>531</v>
      </c>
      <c r="AK138" s="64" t="s" ph="1">
        <v>532</v>
      </c>
      <c r="AY138" s="64" t="s" ph="1">
        <v>216</v>
      </c>
      <c r="AZ138" s="64" t="s" ph="1">
        <v>532</v>
      </c>
    </row>
    <row r="139" spans="33:52" ph="1">
      <c r="AH139" s="64" ph="1">
        <v>2</v>
      </c>
      <c r="AI139" s="64" t="s" ph="1">
        <v>533</v>
      </c>
      <c r="AJ139" s="64" t="s" ph="1">
        <v>589</v>
      </c>
      <c r="AK139" s="64" t="s" ph="1">
        <v>601</v>
      </c>
      <c r="AY139" s="64" t="s" ph="1">
        <v>216</v>
      </c>
      <c r="AZ139" s="64" t="s" ph="1">
        <v>601</v>
      </c>
    </row>
    <row r="140" spans="33:52" ph="1">
      <c r="AH140" s="64" ph="1">
        <v>3</v>
      </c>
      <c r="AI140" s="64" t="s" ph="1">
        <v>534</v>
      </c>
      <c r="AJ140" s="64" t="s" ph="1">
        <v>487</v>
      </c>
      <c r="AK140" s="64" t="s" ph="1">
        <v>299</v>
      </c>
      <c r="AM140" s="64" t="s" ph="1">
        <v>488</v>
      </c>
      <c r="AN140" s="64" t="s" ph="1">
        <v>219</v>
      </c>
      <c r="AO140" s="64" t="s" ph="1">
        <v>535</v>
      </c>
      <c r="AP140" s="64" t="s" ph="1">
        <v>489</v>
      </c>
      <c r="AQ140" s="64" t="s" ph="1">
        <v>236</v>
      </c>
      <c r="AR140" s="64" t="s" ph="1">
        <v>535</v>
      </c>
      <c r="AS140" s="64" t="s" ph="1">
        <v>490</v>
      </c>
      <c r="AT140" s="64" t="s" ph="1">
        <v>229</v>
      </c>
      <c r="AU140" s="64" t="s" ph="1">
        <v>535</v>
      </c>
      <c r="AV140" s="64" t="s" ph="1">
        <v>491</v>
      </c>
      <c r="AW140" s="64" t="s" ph="1">
        <v>222</v>
      </c>
      <c r="AX140" s="64" t="s" ph="1">
        <v>535</v>
      </c>
      <c r="AY140" s="64" t="s" ph="1">
        <v>216</v>
      </c>
      <c r="AZ140" s="64" t="s" ph="1">
        <v>291</v>
      </c>
    </row>
    <row r="141" spans="33:52" ph="1">
      <c r="AJ141" s="64" t="s" ph="1">
        <v>493</v>
      </c>
      <c r="AK141" s="64" t="s" ph="1">
        <v>222</v>
      </c>
      <c r="AM141" s="64" t="s" ph="1">
        <v>494</v>
      </c>
      <c r="AN141" s="64" t="s" ph="1">
        <v>225</v>
      </c>
      <c r="AO141" s="64" t="s" ph="1">
        <v>535</v>
      </c>
      <c r="AP141" s="64" t="s" ph="1">
        <v>506</v>
      </c>
      <c r="AQ141" s="64" t="s" ph="1">
        <v>294</v>
      </c>
      <c r="AR141" s="64" t="s" ph="1">
        <v>535</v>
      </c>
      <c r="AS141" s="64" t="s" ph="1">
        <v>498</v>
      </c>
      <c r="AT141" s="64" t="s" ph="1">
        <v>222</v>
      </c>
      <c r="AU141" s="64" t="s" ph="1">
        <v>535</v>
      </c>
      <c r="AV141" s="64" t="s" ph="1">
        <v>334</v>
      </c>
      <c r="AW141" s="64" t="s" ph="1">
        <v>228</v>
      </c>
      <c r="AX141" s="64" t="s" ph="1">
        <v>535</v>
      </c>
    </row>
    <row r="142" spans="33:52" ph="1">
      <c r="AJ142" s="64" t="s" ph="1">
        <v>536</v>
      </c>
      <c r="AK142" s="64" t="s" ph="1">
        <v>239</v>
      </c>
    </row>
    <row r="143" spans="33:52" ph="1">
      <c r="AH143" s="64" ph="1">
        <v>4</v>
      </c>
      <c r="AI143" s="64" t="s" ph="1">
        <v>537</v>
      </c>
      <c r="AJ143" s="64" t="s" ph="1">
        <v>517</v>
      </c>
      <c r="AK143" s="64" t="s" ph="1">
        <v>538</v>
      </c>
      <c r="AY143" s="64" t="s" ph="1">
        <v>216</v>
      </c>
      <c r="AZ143" s="64" t="s" ph="1">
        <v>538</v>
      </c>
    </row>
    <row r="144" spans="33:52" ph="1">
      <c r="AH144" s="64" ph="1">
        <v>5</v>
      </c>
      <c r="AI144" s="64" t="s" ph="1">
        <v>539</v>
      </c>
      <c r="AY144" s="64" t="s" ph="1">
        <v>216</v>
      </c>
      <c r="AZ144" s="64" t="s" ph="1">
        <v>367</v>
      </c>
    </row>
    <row r="145" spans="33:52" ph="1">
      <c r="AH145" s="64" ph="1">
        <v>6</v>
      </c>
      <c r="AI145" s="64" t="s" ph="1">
        <v>540</v>
      </c>
      <c r="AY145" s="64" t="s" ph="1">
        <v>216</v>
      </c>
      <c r="AZ145" s="64" t="s" ph="1">
        <v>367</v>
      </c>
    </row>
    <row r="146" spans="33:52" ph="1">
      <c r="AH146" s="64" ph="1">
        <v>7</v>
      </c>
      <c r="AI146" s="64" t="s" ph="1">
        <v>541</v>
      </c>
      <c r="AY146" s="64" t="s" ph="1">
        <v>216</v>
      </c>
      <c r="AZ146" s="64" t="s" ph="1">
        <v>367</v>
      </c>
    </row>
    <row r="147" spans="33:52" ph="1">
      <c r="AH147" s="64" ph="1">
        <v>8</v>
      </c>
      <c r="AI147" s="64" t="s" ph="1">
        <v>542</v>
      </c>
      <c r="AY147" s="64" t="s" ph="1">
        <v>216</v>
      </c>
      <c r="AZ147" s="64" t="s" ph="1">
        <v>367</v>
      </c>
    </row>
    <row r="148" spans="33:52" ph="1">
      <c r="AH148" s="64" ph="1">
        <v>9</v>
      </c>
      <c r="AI148" s="64" t="s" ph="1">
        <v>543</v>
      </c>
      <c r="AY148" s="64" t="s" ph="1">
        <v>216</v>
      </c>
      <c r="AZ148" s="64" t="s" ph="1">
        <v>367</v>
      </c>
    </row>
    <row r="149" spans="33:52" ph="1">
      <c r="AH149" s="64" ph="1">
        <v>10</v>
      </c>
      <c r="AI149" s="64" t="s" ph="1">
        <v>544</v>
      </c>
      <c r="AY149" s="64" t="s" ph="1">
        <v>216</v>
      </c>
      <c r="AZ149" s="64" t="s" ph="1">
        <v>367</v>
      </c>
    </row>
    <row r="150" spans="33:52" ph="1">
      <c r="AH150" s="64" ph="1">
        <v>11</v>
      </c>
      <c r="AI150" s="64" t="s" ph="1">
        <v>545</v>
      </c>
      <c r="AY150" s="64" t="s" ph="1">
        <v>216</v>
      </c>
      <c r="AZ150" s="64" t="s" ph="1">
        <v>367</v>
      </c>
    </row>
    <row r="151" spans="33:52" ph="1">
      <c r="AH151" s="64" ph="1">
        <v>12</v>
      </c>
      <c r="AI151" s="64" t="s" ph="1">
        <v>546</v>
      </c>
      <c r="AY151" s="64" t="s" ph="1">
        <v>216</v>
      </c>
      <c r="AZ151" s="64" t="s" ph="1">
        <v>367</v>
      </c>
    </row>
    <row r="152" spans="33:52" ph="1">
      <c r="AH152" s="64" ph="1">
        <v>13</v>
      </c>
      <c r="AI152" s="64" t="s" ph="1">
        <v>547</v>
      </c>
      <c r="AY152" s="64" t="s" ph="1">
        <v>216</v>
      </c>
      <c r="AZ152" s="64" t="s" ph="1">
        <v>367</v>
      </c>
    </row>
    <row r="153" spans="33:52" ph="1">
      <c r="AH153" s="64" ph="1">
        <v>14</v>
      </c>
      <c r="AI153" s="64" t="s" ph="1">
        <v>548</v>
      </c>
      <c r="AY153" s="64" t="s" ph="1">
        <v>216</v>
      </c>
      <c r="AZ153" s="64" t="s" ph="1">
        <v>367</v>
      </c>
    </row>
    <row r="154" spans="33:52" ph="1">
      <c r="AH154" s="64" ph="1">
        <v>15</v>
      </c>
      <c r="AI154" s="64" t="s" ph="1">
        <v>549</v>
      </c>
      <c r="AY154" s="64" t="s" ph="1">
        <v>216</v>
      </c>
      <c r="AZ154" s="64" t="s" ph="1">
        <v>367</v>
      </c>
    </row>
    <row r="155" spans="33:52" ph="1">
      <c r="AH155" s="64" ph="1">
        <v>16</v>
      </c>
      <c r="AI155" s="64" t="s" ph="1">
        <v>550</v>
      </c>
      <c r="AJ155" s="64" t="s" ph="1">
        <v>336</v>
      </c>
      <c r="AK155" s="64" t="s" ph="1">
        <v>231</v>
      </c>
      <c r="AM155" s="64" t="s" ph="1">
        <v>570</v>
      </c>
      <c r="AN155" s="64" t="s" ph="1">
        <v>282</v>
      </c>
      <c r="AO155" s="64" t="s" ph="1">
        <v>535</v>
      </c>
      <c r="AY155" s="64" t="s" ph="1">
        <v>216</v>
      </c>
      <c r="AZ155" s="64" t="s" ph="1">
        <v>223</v>
      </c>
    </row>
    <row r="156" spans="33:52" ph="1">
      <c r="AZ156" s="64" t="s" ph="1">
        <v>602</v>
      </c>
    </row>
    <row r="157" spans="33:52" ph="1">
      <c r="AG157" s="64" t="s" ph="1">
        <v>551</v>
      </c>
      <c r="AI157" s="64" t="s" ph="1">
        <v>209</v>
      </c>
      <c r="AJ157" s="64" t="s" ph="1">
        <v>210</v>
      </c>
      <c r="AK157" s="64" t="s" ph="1">
        <v>211</v>
      </c>
      <c r="AM157" s="64" t="s" ph="1">
        <v>210</v>
      </c>
      <c r="AN157" s="64" t="s" ph="1">
        <v>211</v>
      </c>
      <c r="AO157" s="64" t="s" ph="1">
        <v>212</v>
      </c>
      <c r="AP157" s="64" t="s" ph="1">
        <v>210</v>
      </c>
      <c r="AQ157" s="64" t="s" ph="1">
        <v>211</v>
      </c>
      <c r="AR157" s="64" t="s" ph="1">
        <v>212</v>
      </c>
      <c r="AS157" s="64" t="s" ph="1">
        <v>210</v>
      </c>
      <c r="AT157" s="64" t="s" ph="1">
        <v>211</v>
      </c>
      <c r="AU157" s="64" t="s" ph="1">
        <v>212</v>
      </c>
      <c r="AV157" s="64" t="s" ph="1">
        <v>210</v>
      </c>
      <c r="AW157" s="64" t="s" ph="1">
        <v>211</v>
      </c>
      <c r="AX157" s="64" t="s" ph="1">
        <v>212</v>
      </c>
      <c r="AY157" s="64" t="s" ph="1">
        <v>211</v>
      </c>
      <c r="AZ157" s="64" t="s" ph="1">
        <v>213</v>
      </c>
    </row>
    <row r="158" spans="33:52" ph="1">
      <c r="AH158" s="64" ph="1">
        <v>1</v>
      </c>
      <c r="AI158" s="64" t="s" ph="1">
        <v>552</v>
      </c>
      <c r="AY158" s="64" t="s" ph="1">
        <v>216</v>
      </c>
      <c r="AZ158" s="64" t="s" ph="1">
        <v>367</v>
      </c>
    </row>
    <row r="159" spans="33:52" ph="1">
      <c r="AH159" s="64" ph="1">
        <v>2</v>
      </c>
      <c r="AI159" s="64" t="s" ph="1">
        <v>553</v>
      </c>
      <c r="AY159" s="64" t="s" ph="1">
        <v>216</v>
      </c>
      <c r="AZ159" s="64" t="s" ph="1">
        <v>367</v>
      </c>
    </row>
    <row r="160" spans="33:52" ph="1">
      <c r="AZ160" s="64" t="s" ph="1">
        <v>385</v>
      </c>
    </row>
    <row r="161" spans="33:52" ph="1">
      <c r="AG161" s="64" t="s" ph="1">
        <v>361</v>
      </c>
      <c r="AI161" s="64" t="s" ph="1">
        <v>209</v>
      </c>
      <c r="AJ161" s="64" t="s" ph="1">
        <v>210</v>
      </c>
      <c r="AK161" s="64" t="s" ph="1">
        <v>211</v>
      </c>
      <c r="AM161" s="64" t="s" ph="1">
        <v>210</v>
      </c>
      <c r="AN161" s="64" t="s" ph="1">
        <v>211</v>
      </c>
      <c r="AO161" s="64" t="s" ph="1">
        <v>212</v>
      </c>
      <c r="AP161" s="64" t="s" ph="1">
        <v>210</v>
      </c>
      <c r="AQ161" s="64" t="s" ph="1">
        <v>211</v>
      </c>
      <c r="AR161" s="64" t="s" ph="1">
        <v>212</v>
      </c>
      <c r="AS161" s="64" t="s" ph="1">
        <v>210</v>
      </c>
      <c r="AT161" s="64" t="s" ph="1">
        <v>211</v>
      </c>
      <c r="AU161" s="64" t="s" ph="1">
        <v>212</v>
      </c>
      <c r="AV161" s="64" t="s" ph="1">
        <v>210</v>
      </c>
      <c r="AW161" s="64" t="s" ph="1">
        <v>211</v>
      </c>
      <c r="AX161" s="64" t="s" ph="1">
        <v>212</v>
      </c>
      <c r="AY161" s="64" t="s" ph="1">
        <v>211</v>
      </c>
      <c r="AZ161" s="64" t="s" ph="1">
        <v>213</v>
      </c>
    </row>
    <row r="162" spans="33:52" ph="1">
      <c r="AH162" s="64" ph="1">
        <v>1</v>
      </c>
      <c r="AI162" s="64" t="s" ph="1">
        <v>554</v>
      </c>
      <c r="AJ162" s="64" t="s" ph="1">
        <v>555</v>
      </c>
      <c r="AK162" s="64" t="s" ph="1">
        <v>499</v>
      </c>
      <c r="AM162" s="64" t="s" ph="1">
        <v>556</v>
      </c>
      <c r="AN162" s="64" t="s" ph="1">
        <v>220</v>
      </c>
      <c r="AO162" s="64" t="s" ph="1">
        <v>557</v>
      </c>
      <c r="AY162" s="64" t="s" ph="1">
        <v>216</v>
      </c>
      <c r="AZ162" s="64" t="s" ph="1">
        <v>292</v>
      </c>
    </row>
    <row r="163" spans="33:52" ph="1">
      <c r="AH163" s="64" ph="1">
        <v>2</v>
      </c>
      <c r="AI163" s="64" t="s" ph="1">
        <v>558</v>
      </c>
      <c r="AJ163" s="64" t="s" ph="1">
        <v>555</v>
      </c>
      <c r="AK163" s="64" t="s" ph="1">
        <v>388</v>
      </c>
      <c r="AY163" s="64" t="s" ph="1">
        <v>216</v>
      </c>
      <c r="AZ163" s="64" t="s" ph="1">
        <v>388</v>
      </c>
    </row>
    <row r="164" spans="33:52" ph="1">
      <c r="AH164" s="64" ph="1">
        <v>3</v>
      </c>
      <c r="AI164" s="64" t="s" ph="1">
        <v>559</v>
      </c>
      <c r="AJ164" s="64" t="s" ph="1">
        <v>555</v>
      </c>
      <c r="AK164" s="64" t="s" ph="1">
        <v>292</v>
      </c>
      <c r="AY164" s="64" t="s" ph="1">
        <v>216</v>
      </c>
      <c r="AZ164" s="64" t="s" ph="1">
        <v>292</v>
      </c>
    </row>
    <row r="165" spans="33:52" ph="1">
      <c r="AH165" s="64" ph="1">
        <v>4</v>
      </c>
      <c r="AI165" s="64" t="s" ph="1">
        <v>560</v>
      </c>
      <c r="AY165" s="64" t="s" ph="1">
        <v>216</v>
      </c>
      <c r="AZ165" s="64" t="s" ph="1">
        <v>367</v>
      </c>
    </row>
    <row r="166" spans="33:52" ph="1">
      <c r="AH166" s="64" ph="1">
        <v>5</v>
      </c>
      <c r="AI166" s="64" t="s" ph="1">
        <v>561</v>
      </c>
      <c r="AY166" s="64" t="s" ph="1">
        <v>216</v>
      </c>
      <c r="AZ166" s="64" t="s" ph="1">
        <v>367</v>
      </c>
    </row>
    <row r="167" spans="33:52" ph="1">
      <c r="AZ167" s="64" t="s" ph="1">
        <v>562</v>
      </c>
    </row>
    <row r="168" spans="33:52" ph="1">
      <c r="AG168" s="64" t="s" ph="1">
        <v>305</v>
      </c>
      <c r="AI168" s="64" t="s" ph="1">
        <v>209</v>
      </c>
      <c r="AJ168" s="64" t="s" ph="1">
        <v>210</v>
      </c>
      <c r="AK168" s="64" t="s" ph="1">
        <v>211</v>
      </c>
      <c r="AM168" s="64" t="s" ph="1">
        <v>210</v>
      </c>
      <c r="AN168" s="64" t="s" ph="1">
        <v>211</v>
      </c>
      <c r="AO168" s="64" t="s" ph="1">
        <v>212</v>
      </c>
      <c r="AP168" s="64" t="s" ph="1">
        <v>210</v>
      </c>
      <c r="AQ168" s="64" t="s" ph="1">
        <v>211</v>
      </c>
      <c r="AR168" s="64" t="s" ph="1">
        <v>212</v>
      </c>
      <c r="AS168" s="64" t="s" ph="1">
        <v>210</v>
      </c>
      <c r="AT168" s="64" t="s" ph="1">
        <v>211</v>
      </c>
      <c r="AU168" s="64" t="s" ph="1">
        <v>212</v>
      </c>
      <c r="AV168" s="64" t="s" ph="1">
        <v>210</v>
      </c>
      <c r="AW168" s="64" t="s" ph="1">
        <v>211</v>
      </c>
      <c r="AX168" s="64" t="s" ph="1">
        <v>212</v>
      </c>
      <c r="AY168" s="64" t="s" ph="1">
        <v>211</v>
      </c>
      <c r="AZ168" s="64" t="s" ph="1">
        <v>213</v>
      </c>
    </row>
    <row r="169" spans="33:52" ph="1">
      <c r="AH169" s="64" ph="1">
        <v>1</v>
      </c>
      <c r="AI169" s="64" t="s" ph="1">
        <v>563</v>
      </c>
      <c r="AY169" s="64" t="s" ph="1">
        <v>216</v>
      </c>
      <c r="AZ169" s="64" t="s" ph="1">
        <v>367</v>
      </c>
    </row>
    <row r="170" spans="33:52" ph="1">
      <c r="AH170" s="64" ph="1">
        <v>2</v>
      </c>
      <c r="AI170" s="64" t="s" ph="1">
        <v>564</v>
      </c>
      <c r="AY170" s="64" t="s" ph="1">
        <v>216</v>
      </c>
      <c r="AZ170" s="64" t="s" ph="1">
        <v>367</v>
      </c>
    </row>
    <row r="171" spans="33:52" ph="1">
      <c r="AH171" s="64" ph="1">
        <v>3</v>
      </c>
      <c r="AI171" s="64" t="s" ph="1">
        <v>565</v>
      </c>
      <c r="AY171" s="64" t="s" ph="1">
        <v>216</v>
      </c>
      <c r="AZ171" s="64" t="s" ph="1">
        <v>367</v>
      </c>
    </row>
    <row r="172" spans="33:52" ph="1">
      <c r="AH172" s="64" ph="1">
        <v>4</v>
      </c>
      <c r="AI172" s="64" t="s" ph="1">
        <v>566</v>
      </c>
      <c r="AY172" s="64" t="s" ph="1">
        <v>216</v>
      </c>
      <c r="AZ172" s="64" t="s" ph="1">
        <v>367</v>
      </c>
    </row>
    <row r="173" spans="33:52" ph="1">
      <c r="AH173" s="64" ph="1">
        <v>5</v>
      </c>
      <c r="AI173" s="64" t="s" ph="1">
        <v>567</v>
      </c>
      <c r="AY173" s="64" t="s" ph="1">
        <v>216</v>
      </c>
      <c r="AZ173" s="64" t="s" ph="1">
        <v>367</v>
      </c>
    </row>
    <row r="174" spans="33:52" ph="1">
      <c r="AZ174" s="64" t="s" ph="1">
        <v>385</v>
      </c>
    </row>
    <row r="175" spans="33:52" ph="1">
      <c r="AJ175" s="64" t="s" ph="1">
        <v>306</v>
      </c>
    </row>
    <row r="176" spans="33:52" ph="1">
      <c r="AJ176" s="64" t="s" ph="1">
        <v>307</v>
      </c>
      <c r="AK176" s="64" t="s" ph="1">
        <v>308</v>
      </c>
      <c r="AM176" s="64" t="s" ph="1">
        <v>309</v>
      </c>
      <c r="AO176" s="64" t="s" ph="1">
        <v>310</v>
      </c>
      <c r="AP176" s="64" t="s" ph="1">
        <v>311</v>
      </c>
      <c r="AQ176" s="64" t="s" ph="1">
        <v>301</v>
      </c>
      <c r="AR176" s="64" t="s" ph="1">
        <v>221</v>
      </c>
    </row>
    <row r="177" spans="36:56" ph="1">
      <c r="AJ177" s="64" t="s" ph="1">
        <v>603</v>
      </c>
      <c r="AK177" s="64" t="s" ph="1">
        <v>312</v>
      </c>
      <c r="AO177" s="64" t="s" ph="1">
        <v>312</v>
      </c>
      <c r="AP177" s="64" t="s" ph="1">
        <v>312</v>
      </c>
      <c r="AQ177" s="64" t="s" ph="1">
        <v>313</v>
      </c>
      <c r="AR177" s="64" t="s" ph="1">
        <v>314</v>
      </c>
    </row>
    <row r="179" spans="36:56" ph="1">
      <c r="AJ179" s="64" t="s" ph="1">
        <v>315</v>
      </c>
      <c r="AK179" s="64" t="s" ph="1">
        <v>316</v>
      </c>
      <c r="AM179" s="64" t="s" ph="1">
        <v>317</v>
      </c>
      <c r="AN179" s="64" t="s" ph="1">
        <v>293</v>
      </c>
      <c r="AO179" s="64" t="s" ph="1">
        <v>318</v>
      </c>
      <c r="AP179" s="64" t="s" ph="1">
        <v>297</v>
      </c>
      <c r="AQ179" s="64" t="s" ph="1">
        <v>319</v>
      </c>
      <c r="AR179" s="64" t="s" ph="1">
        <v>320</v>
      </c>
    </row>
    <row r="180" spans="36:56" ph="1">
      <c r="AJ180" s="64" t="s" ph="1">
        <v>312</v>
      </c>
      <c r="AK180" s="64" t="s" ph="1">
        <v>312</v>
      </c>
      <c r="AL180" s="64" ph="1">
        <v>116</v>
      </c>
      <c r="AM180" s="64" t="s" ph="1">
        <v>312</v>
      </c>
      <c r="AN180" s="64" t="s" ph="1">
        <v>321</v>
      </c>
      <c r="AO180" s="64" t="s" ph="1">
        <v>312</v>
      </c>
      <c r="AP180" s="64" t="s" ph="1">
        <v>322</v>
      </c>
      <c r="AQ180" s="64" t="s" ph="1">
        <v>323</v>
      </c>
      <c r="AR180" s="64" t="s" ph="1">
        <v>324</v>
      </c>
    </row>
    <row r="189" spans="36:56" ph="1">
      <c r="BD189" s="64" t="s" ph="1">
        <v>568</v>
      </c>
    </row>
    <row r="223" spans="18:18" ph="1">
      <c r="R223" s="135" ph="1">
        <v>45496</v>
      </c>
    </row>
  </sheetData>
  <mergeCells count="58">
    <mergeCell ref="Z22:AE22"/>
    <mergeCell ref="Z23:AE29"/>
    <mergeCell ref="B24:B26"/>
    <mergeCell ref="B27:B29"/>
    <mergeCell ref="B1:AE1"/>
    <mergeCell ref="B2:AE2"/>
    <mergeCell ref="B3:AE3"/>
    <mergeCell ref="B4:B5"/>
    <mergeCell ref="B6:B8"/>
    <mergeCell ref="B9:B11"/>
    <mergeCell ref="P31:R31"/>
    <mergeCell ref="B13:B14"/>
    <mergeCell ref="B15:B17"/>
    <mergeCell ref="B18:B20"/>
    <mergeCell ref="B22:B23"/>
    <mergeCell ref="B31:C32"/>
    <mergeCell ref="D31:F31"/>
    <mergeCell ref="G31:I31"/>
    <mergeCell ref="J31:L31"/>
    <mergeCell ref="M31:O31"/>
    <mergeCell ref="B33:C34"/>
    <mergeCell ref="D33:D34"/>
    <mergeCell ref="E33:E34"/>
    <mergeCell ref="F33:F34"/>
    <mergeCell ref="G33:G34"/>
    <mergeCell ref="S31:U31"/>
    <mergeCell ref="V31:X31"/>
    <mergeCell ref="Y31:AA31"/>
    <mergeCell ref="AB31:AE31"/>
    <mergeCell ref="AD32:AE32"/>
    <mergeCell ref="S33:S34"/>
    <mergeCell ref="H33:H34"/>
    <mergeCell ref="I33:I34"/>
    <mergeCell ref="J33:J34"/>
    <mergeCell ref="K33:K34"/>
    <mergeCell ref="L33:L34"/>
    <mergeCell ref="M33:M34"/>
    <mergeCell ref="N33:N34"/>
    <mergeCell ref="O33:O34"/>
    <mergeCell ref="P33:P34"/>
    <mergeCell ref="Q33:Q34"/>
    <mergeCell ref="R33:R34"/>
    <mergeCell ref="I36:J36"/>
    <mergeCell ref="R36:S36"/>
    <mergeCell ref="AB36:AC36"/>
    <mergeCell ref="AD36:AE36"/>
    <mergeCell ref="Z33:Z34"/>
    <mergeCell ref="AA33:AA34"/>
    <mergeCell ref="AB33:AB34"/>
    <mergeCell ref="AC33:AC34"/>
    <mergeCell ref="AD33:AE34"/>
    <mergeCell ref="AC35:AE35"/>
    <mergeCell ref="T33:T34"/>
    <mergeCell ref="U33:U34"/>
    <mergeCell ref="V33:V34"/>
    <mergeCell ref="W33:W34"/>
    <mergeCell ref="X33:X34"/>
    <mergeCell ref="Y33:Y34"/>
  </mergeCells>
  <phoneticPr fontId="2" type="noConversion"/>
  <conditionalFormatting sqref="D4:D11">
    <cfRule type="expression" dxfId="1329" priority="103">
      <formula>ABS(D$7-D$10)&gt;=1000</formula>
    </cfRule>
  </conditionalFormatting>
  <conditionalFormatting sqref="E4 E6:E11">
    <cfRule type="expression" dxfId="1328" priority="102">
      <formula>ABS(E$7-E$10)&gt;=1000</formula>
    </cfRule>
  </conditionalFormatting>
  <conditionalFormatting sqref="F4:F11">
    <cfRule type="expression" dxfId="1327" priority="101">
      <formula>ABS(F$7-F$10)&gt;=1000</formula>
    </cfRule>
  </conditionalFormatting>
  <conditionalFormatting sqref="G4:G11">
    <cfRule type="expression" dxfId="1326" priority="100">
      <formula>ABS(G$7-G$10)&gt;=1000</formula>
    </cfRule>
  </conditionalFormatting>
  <conditionalFormatting sqref="H4:H11">
    <cfRule type="expression" dxfId="1325" priority="99">
      <formula>ABS(H$7-H$10)&gt;=1000</formula>
    </cfRule>
  </conditionalFormatting>
  <conditionalFormatting sqref="I4:I11">
    <cfRule type="expression" dxfId="1324" priority="98">
      <formula>ABS(I$7-I$10)&gt;=1000</formula>
    </cfRule>
  </conditionalFormatting>
  <conditionalFormatting sqref="J4:J11">
    <cfRule type="expression" dxfId="1323" priority="97">
      <formula>ABS(J$7-J$10)&gt;=1000</formula>
    </cfRule>
  </conditionalFormatting>
  <conditionalFormatting sqref="K4:K11">
    <cfRule type="expression" dxfId="1322" priority="96">
      <formula>ABS(K$7-K$10)&gt;=1000</formula>
    </cfRule>
  </conditionalFormatting>
  <conditionalFormatting sqref="L4:L11">
    <cfRule type="expression" dxfId="1321" priority="95">
      <formula>ABS(L$7-L$10)&gt;=1000</formula>
    </cfRule>
  </conditionalFormatting>
  <conditionalFormatting sqref="M4 M6:M11">
    <cfRule type="expression" dxfId="1320" priority="94">
      <formula>ABS(M$7-M$10)&gt;=1000</formula>
    </cfRule>
  </conditionalFormatting>
  <conditionalFormatting sqref="N4 N6:N11">
    <cfRule type="expression" dxfId="1319" priority="93">
      <formula>ABS(N$7-N$10)&gt;=1000</formula>
    </cfRule>
  </conditionalFormatting>
  <conditionalFormatting sqref="O4 O6:O11">
    <cfRule type="expression" dxfId="1318" priority="92">
      <formula>ABS(O$7-O$10)&gt;=1000</formula>
    </cfRule>
  </conditionalFormatting>
  <conditionalFormatting sqref="P4 P6:P11">
    <cfRule type="expression" dxfId="1317" priority="91">
      <formula>ABS(P$7-P$10)&gt;=1000</formula>
    </cfRule>
  </conditionalFormatting>
  <conditionalFormatting sqref="Q4:Q11">
    <cfRule type="expression" dxfId="1316" priority="90">
      <formula>ABS(Q$7-Q$10)&gt;=1000</formula>
    </cfRule>
  </conditionalFormatting>
  <conditionalFormatting sqref="R4:R11">
    <cfRule type="expression" dxfId="1315" priority="89">
      <formula>ABS(R$7-R$10)&gt;=1000</formula>
    </cfRule>
  </conditionalFormatting>
  <conditionalFormatting sqref="S4:S11">
    <cfRule type="expression" dxfId="1314" priority="88">
      <formula>ABS(S$7-S$10)&gt;=1000</formula>
    </cfRule>
  </conditionalFormatting>
  <conditionalFormatting sqref="T4:T9 T11">
    <cfRule type="expression" dxfId="1313" priority="87">
      <formula>ABS(T$7-T$10)&gt;=1000</formula>
    </cfRule>
  </conditionalFormatting>
  <conditionalFormatting sqref="U4:U9 U11">
    <cfRule type="expression" dxfId="1312" priority="86">
      <formula>ABS(U$7-U$10)&gt;=1000</formula>
    </cfRule>
  </conditionalFormatting>
  <conditionalFormatting sqref="V4:V9 V11">
    <cfRule type="expression" dxfId="1311" priority="85">
      <formula>ABS(V$7-V$10)&gt;=1000</formula>
    </cfRule>
  </conditionalFormatting>
  <conditionalFormatting sqref="W4:W9 W11">
    <cfRule type="expression" dxfId="1310" priority="84">
      <formula>ABS(W$7-W$10)&gt;=1000</formula>
    </cfRule>
  </conditionalFormatting>
  <conditionalFormatting sqref="X4:X9 X11">
    <cfRule type="expression" dxfId="1309" priority="83">
      <formula>ABS(X$7-X$10)&gt;=1000</formula>
    </cfRule>
  </conditionalFormatting>
  <conditionalFormatting sqref="Y4:Y9 Y11">
    <cfRule type="expression" dxfId="1308" priority="82">
      <formula>ABS(Y$7-Y$10)&gt;=1000</formula>
    </cfRule>
  </conditionalFormatting>
  <conditionalFormatting sqref="Z4:Z11">
    <cfRule type="expression" dxfId="1307" priority="81">
      <formula>ABS(Z$7-Z$10)&gt;=1000</formula>
    </cfRule>
  </conditionalFormatting>
  <conditionalFormatting sqref="AA4:AA11">
    <cfRule type="expression" dxfId="1306" priority="80">
      <formula>ABS(AA$7-AA$10)&gt;=1000</formula>
    </cfRule>
  </conditionalFormatting>
  <conditionalFormatting sqref="AB4:AB11">
    <cfRule type="expression" dxfId="1305" priority="79">
      <formula>ABS(AB$7-AB$10)&gt;=1000</formula>
    </cfRule>
  </conditionalFormatting>
  <conditionalFormatting sqref="AC4 AC6:AC11">
    <cfRule type="expression" dxfId="1304" priority="78">
      <formula>ABS(AC$7-AC$10)&gt;=1000</formula>
    </cfRule>
  </conditionalFormatting>
  <conditionalFormatting sqref="AD4 AD6:AD11">
    <cfRule type="expression" dxfId="1303" priority="77">
      <formula>ABS(AD$7-AD$10)&gt;=1000</formula>
    </cfRule>
  </conditionalFormatting>
  <conditionalFormatting sqref="AE4 AE6:AE11">
    <cfRule type="expression" dxfId="1302" priority="76">
      <formula>ABS(AE$7-AE$10)&gt;=1000</formula>
    </cfRule>
  </conditionalFormatting>
  <conditionalFormatting sqref="D13:D20">
    <cfRule type="expression" dxfId="1301" priority="75">
      <formula>ABS(D$16-D$19)&gt;=1000</formula>
    </cfRule>
  </conditionalFormatting>
  <conditionalFormatting sqref="E13:E20">
    <cfRule type="expression" dxfId="1300" priority="74">
      <formula>ABS(E$16-E$19)&gt;=1000</formula>
    </cfRule>
  </conditionalFormatting>
  <conditionalFormatting sqref="F13 F15:F20">
    <cfRule type="expression" dxfId="1299" priority="73">
      <formula>ABS(F$16-F$19)&gt;=1000</formula>
    </cfRule>
  </conditionalFormatting>
  <conditionalFormatting sqref="G13:G20">
    <cfRule type="expression" dxfId="1298" priority="72">
      <formula>ABS(G$16-G$19)&gt;=1000</formula>
    </cfRule>
  </conditionalFormatting>
  <conditionalFormatting sqref="H13 H15:H20">
    <cfRule type="expression" dxfId="1297" priority="71">
      <formula>ABS(H$16-H$19)&gt;=1000</formula>
    </cfRule>
  </conditionalFormatting>
  <conditionalFormatting sqref="I13:I20">
    <cfRule type="expression" dxfId="1296" priority="70">
      <formula>ABS(I$16-I$19)&gt;=1000</formula>
    </cfRule>
  </conditionalFormatting>
  <conditionalFormatting sqref="J13:J20">
    <cfRule type="expression" dxfId="1295" priority="69">
      <formula>ABS(J$16-J$19)&gt;=1000</formula>
    </cfRule>
  </conditionalFormatting>
  <conditionalFormatting sqref="L13:L20">
    <cfRule type="expression" dxfId="1294" priority="68">
      <formula>ABS(L$16-L$19)&gt;=1000</formula>
    </cfRule>
  </conditionalFormatting>
  <conditionalFormatting sqref="M13 M15 M17:M18 M20">
    <cfRule type="expression" dxfId="1293" priority="67">
      <formula>ABS(M$16-M$19)&gt;=1000</formula>
    </cfRule>
  </conditionalFormatting>
  <conditionalFormatting sqref="N13:N20">
    <cfRule type="expression" dxfId="1292" priority="66">
      <formula>ABS(N$16-N$19)&gt;=1000</formula>
    </cfRule>
  </conditionalFormatting>
  <conditionalFormatting sqref="O13:O20">
    <cfRule type="expression" dxfId="1291" priority="65">
      <formula>ABS(O$16-O$19)&gt;=1000</formula>
    </cfRule>
  </conditionalFormatting>
  <conditionalFormatting sqref="P13:P20">
    <cfRule type="expression" dxfId="1290" priority="64">
      <formula>ABS(P$16-P$19)&gt;=1000</formula>
    </cfRule>
  </conditionalFormatting>
  <conditionalFormatting sqref="Q13 Q15:Q20">
    <cfRule type="expression" dxfId="1289" priority="63">
      <formula>ABS(Q$16-Q$19)&gt;=1000</formula>
    </cfRule>
  </conditionalFormatting>
  <conditionalFormatting sqref="R13 R15:R20">
    <cfRule type="expression" dxfId="1288" priority="62">
      <formula>ABS(R$16-R$19)&gt;=1000</formula>
    </cfRule>
  </conditionalFormatting>
  <conditionalFormatting sqref="S13:S20">
    <cfRule type="expression" dxfId="1287" priority="61">
      <formula>ABS(S$16-S$19)&gt;=1000</formula>
    </cfRule>
  </conditionalFormatting>
  <conditionalFormatting sqref="T13:T15 T17:T20">
    <cfRule type="expression" dxfId="1286" priority="60">
      <formula>ABS(T$16-T$19)&gt;=1000</formula>
    </cfRule>
  </conditionalFormatting>
  <conditionalFormatting sqref="U13:U20">
    <cfRule type="expression" dxfId="1285" priority="59">
      <formula>ABS(U$16-U$19)&gt;=1000</formula>
    </cfRule>
  </conditionalFormatting>
  <conditionalFormatting sqref="V13:V20">
    <cfRule type="expression" dxfId="1284" priority="58">
      <formula>ABS(V$16-V$19)&gt;=1000</formula>
    </cfRule>
  </conditionalFormatting>
  <conditionalFormatting sqref="W13 W20 W15:W18">
    <cfRule type="expression" dxfId="1283" priority="57">
      <formula>ABS(W$16-W$19)&gt;=1000</formula>
    </cfRule>
  </conditionalFormatting>
  <conditionalFormatting sqref="X13 X15:X20 Y19">
    <cfRule type="expression" dxfId="1282" priority="56">
      <formula>ABS(X$16-X$19)&gt;=1000</formula>
    </cfRule>
  </conditionalFormatting>
  <conditionalFormatting sqref="Y13 Y15:Y18 Y20">
    <cfRule type="expression" dxfId="1281" priority="55">
      <formula>ABS(Y$16-Y$19)&gt;=1000</formula>
    </cfRule>
  </conditionalFormatting>
  <conditionalFormatting sqref="Z13:Z20">
    <cfRule type="expression" dxfId="1280" priority="54">
      <formula>ABS(Z$16-Z$19)&gt;=1000</formula>
    </cfRule>
  </conditionalFormatting>
  <conditionalFormatting sqref="AA13:AA20">
    <cfRule type="expression" dxfId="1279" priority="53">
      <formula>ABS(AA$16-AA$19)&gt;=1000</formula>
    </cfRule>
  </conditionalFormatting>
  <conditionalFormatting sqref="AB13 AB15:AB20">
    <cfRule type="expression" dxfId="1278" priority="52">
      <formula>ABS(AB$16-AB$19)&gt;=1000</formula>
    </cfRule>
  </conditionalFormatting>
  <conditionalFormatting sqref="AC13 AC15:AC20">
    <cfRule type="expression" dxfId="1277" priority="51">
      <formula>ABS(AC$16-AC$19)&gt;=1000</formula>
    </cfRule>
  </conditionalFormatting>
  <conditionalFormatting sqref="AD13:AD20">
    <cfRule type="expression" dxfId="1276" priority="50">
      <formula>ABS(AD$16-AD$19)&gt;=1000</formula>
    </cfRule>
  </conditionalFormatting>
  <conditionalFormatting sqref="AE13:AE20">
    <cfRule type="expression" dxfId="1275" priority="49">
      <formula>ABS(AE$16-AE$19)&gt;=1000</formula>
    </cfRule>
  </conditionalFormatting>
  <conditionalFormatting sqref="D22:D29">
    <cfRule type="expression" dxfId="1274" priority="48">
      <formula>ABS(D$25-D$28)&gt;=1000</formula>
    </cfRule>
  </conditionalFormatting>
  <conditionalFormatting sqref="E22:E29">
    <cfRule type="expression" dxfId="1273" priority="47">
      <formula>ABS(E$25-E$28)&gt;=1000</formula>
    </cfRule>
  </conditionalFormatting>
  <conditionalFormatting sqref="F22:F29">
    <cfRule type="expression" dxfId="1272" priority="46">
      <formula>ABS(F$25-F$28)&gt;=1000</formula>
    </cfRule>
  </conditionalFormatting>
  <conditionalFormatting sqref="G22:G29">
    <cfRule type="expression" dxfId="1271" priority="45">
      <formula>ABS(G$25-G$28)&gt;=1000</formula>
    </cfRule>
  </conditionalFormatting>
  <conditionalFormatting sqref="H22:H29">
    <cfRule type="expression" dxfId="1270" priority="44">
      <formula>ABS(H$25-H$28)&gt;=1000</formula>
    </cfRule>
  </conditionalFormatting>
  <conditionalFormatting sqref="I22 I24:I29">
    <cfRule type="expression" dxfId="1269" priority="43">
      <formula>ABS(I$25-I$28)&gt;=1000</formula>
    </cfRule>
  </conditionalFormatting>
  <conditionalFormatting sqref="J22:J29 K22">
    <cfRule type="expression" dxfId="1268" priority="42">
      <formula>ABS(J$25-J$28)&gt;=1000</formula>
    </cfRule>
  </conditionalFormatting>
  <conditionalFormatting sqref="K23:K29 L25 L28">
    <cfRule type="expression" dxfId="1267" priority="41">
      <formula>ABS(K$25-K$28)&gt;=1000</formula>
    </cfRule>
  </conditionalFormatting>
  <conditionalFormatting sqref="L22 L26:L27 L29 L24">
    <cfRule type="expression" dxfId="1266" priority="40">
      <formula>ABS(L$25-L$28)&gt;=1000</formula>
    </cfRule>
  </conditionalFormatting>
  <conditionalFormatting sqref="M22:M29">
    <cfRule type="expression" dxfId="1265" priority="39">
      <formula>ABS(M$25-M$28)&gt;=1000</formula>
    </cfRule>
  </conditionalFormatting>
  <conditionalFormatting sqref="N22:N29">
    <cfRule type="expression" dxfId="1264" priority="38">
      <formula>ABS(N$25-N$28)&gt;=1000</formula>
    </cfRule>
  </conditionalFormatting>
  <conditionalFormatting sqref="O22 O24:O29">
    <cfRule type="expression" dxfId="1263" priority="37">
      <formula>ABS(O$25-O$28)&gt;=1000</formula>
    </cfRule>
  </conditionalFormatting>
  <conditionalFormatting sqref="P22:P29">
    <cfRule type="expression" dxfId="1262" priority="36">
      <formula>ABS(P$25-P$28)&gt;=1000</formula>
    </cfRule>
  </conditionalFormatting>
  <conditionalFormatting sqref="Q22:Q29">
    <cfRule type="expression" dxfId="1261" priority="35">
      <formula>ABS(Q$25-Q$28)&gt;=1000</formula>
    </cfRule>
  </conditionalFormatting>
  <conditionalFormatting sqref="R22:R29">
    <cfRule type="expression" dxfId="1260" priority="34">
      <formula>ABS(R$25-R$28)&gt;=1000</formula>
    </cfRule>
  </conditionalFormatting>
  <conditionalFormatting sqref="S22:S29">
    <cfRule type="expression" dxfId="1259" priority="33">
      <formula>ABS(S$25-S$28)&gt;=1000</formula>
    </cfRule>
  </conditionalFormatting>
  <conditionalFormatting sqref="T22:T29">
    <cfRule type="expression" dxfId="1258" priority="32">
      <formula>ABS(T$25-T$28)&gt;=1000</formula>
    </cfRule>
  </conditionalFormatting>
  <conditionalFormatting sqref="U22:U29">
    <cfRule type="expression" dxfId="1257" priority="31">
      <formula>ABS(U$25-U$28)&gt;=1000</formula>
    </cfRule>
  </conditionalFormatting>
  <conditionalFormatting sqref="V22:V29">
    <cfRule type="expression" dxfId="1256" priority="30">
      <formula>ABS(V$25-V$28)&gt;=1000</formula>
    </cfRule>
  </conditionalFormatting>
  <conditionalFormatting sqref="W22:W29">
    <cfRule type="expression" dxfId="1255" priority="29">
      <formula>ABS(W$25-W$28)&gt;=1000</formula>
    </cfRule>
  </conditionalFormatting>
  <conditionalFormatting sqref="X22:X29">
    <cfRule type="expression" dxfId="1254" priority="28">
      <formula>ABS(X$25-X$28)&gt;=1000</formula>
    </cfRule>
  </conditionalFormatting>
  <conditionalFormatting sqref="Y22:Y29">
    <cfRule type="expression" dxfId="1253" priority="27">
      <formula>ABS(Y$25-Y$28)&gt;=1000</formula>
    </cfRule>
  </conditionalFormatting>
  <conditionalFormatting sqref="I23">
    <cfRule type="expression" dxfId="1252" priority="26">
      <formula>ABS(I$25-I$28)&gt;=1000</formula>
    </cfRule>
  </conditionalFormatting>
  <conditionalFormatting sqref="Q14">
    <cfRule type="expression" dxfId="1251" priority="25">
      <formula>ABS(Q$16-Q$19)&gt;=1000</formula>
    </cfRule>
  </conditionalFormatting>
  <conditionalFormatting sqref="W14">
    <cfRule type="expression" dxfId="1250" priority="24">
      <formula>ABS(W$16-W$19)&gt;=1000</formula>
    </cfRule>
  </conditionalFormatting>
  <conditionalFormatting sqref="X14">
    <cfRule type="expression" dxfId="1249" priority="23">
      <formula>ABS(X$16-X$19)&gt;=1000</formula>
    </cfRule>
  </conditionalFormatting>
  <conditionalFormatting sqref="T10:Y10">
    <cfRule type="expression" dxfId="1248" priority="22">
      <formula>ABS(T$7-T$10)&gt;=1000</formula>
    </cfRule>
  </conditionalFormatting>
  <conditionalFormatting sqref="W19">
    <cfRule type="expression" dxfId="1247" priority="21">
      <formula>ABS(W$16-W$19)&gt;=1000</formula>
    </cfRule>
  </conditionalFormatting>
  <conditionalFormatting sqref="AC5">
    <cfRule type="expression" dxfId="1246" priority="20">
      <formula>ABS(AC$7-AC$10)&gt;=1000</formula>
    </cfRule>
  </conditionalFormatting>
  <conditionalFormatting sqref="M14">
    <cfRule type="expression" dxfId="1245" priority="19">
      <formula>ABS(M$16-M$19)&gt;=1000</formula>
    </cfRule>
  </conditionalFormatting>
  <conditionalFormatting sqref="M16">
    <cfRule type="expression" dxfId="1244" priority="18">
      <formula>ABS(M$16-M$19)&gt;=1000</formula>
    </cfRule>
  </conditionalFormatting>
  <conditionalFormatting sqref="M19">
    <cfRule type="expression" dxfId="1243" priority="17">
      <formula>ABS(M$16-M$19)&gt;=1000</formula>
    </cfRule>
  </conditionalFormatting>
  <conditionalFormatting sqref="K13:K20">
    <cfRule type="expression" dxfId="1242" priority="16">
      <formula>ABS(K$16-K$19)&gt;=1000</formula>
    </cfRule>
  </conditionalFormatting>
  <conditionalFormatting sqref="E5">
    <cfRule type="expression" dxfId="1241" priority="15">
      <formula>ABS(E$7-E$10)&gt;=1000</formula>
    </cfRule>
  </conditionalFormatting>
  <conditionalFormatting sqref="AB14:AC14">
    <cfRule type="expression" dxfId="1240" priority="14">
      <formula>ABS(AB$16-AB$19)&gt;=1000</formula>
    </cfRule>
  </conditionalFormatting>
  <conditionalFormatting sqref="M5">
    <cfRule type="expression" dxfId="1239" priority="13">
      <formula>ABS(M$7-M$10)&gt;=1000</formula>
    </cfRule>
  </conditionalFormatting>
  <conditionalFormatting sqref="N5">
    <cfRule type="expression" dxfId="1238" priority="12">
      <formula>ABS(N$7-N$10)&gt;=1000</formula>
    </cfRule>
  </conditionalFormatting>
  <conditionalFormatting sqref="O5">
    <cfRule type="expression" dxfId="1237" priority="11">
      <formula>ABS(O$7-O$10)&gt;=1000</formula>
    </cfRule>
  </conditionalFormatting>
  <conditionalFormatting sqref="P5">
    <cfRule type="expression" dxfId="1236" priority="10">
      <formula>ABS(P$7-P$10)&gt;=1000</formula>
    </cfRule>
  </conditionalFormatting>
  <conditionalFormatting sqref="L23">
    <cfRule type="expression" dxfId="1235" priority="9">
      <formula>ABS(L$25-L$28)&gt;=1000</formula>
    </cfRule>
  </conditionalFormatting>
  <conditionalFormatting sqref="Y14">
    <cfRule type="expression" dxfId="1234" priority="8">
      <formula>ABS(Y$16-Y$19)&gt;=1000</formula>
    </cfRule>
  </conditionalFormatting>
  <conditionalFormatting sqref="H14">
    <cfRule type="expression" dxfId="1233" priority="7">
      <formula>ABS(H$16-H$19)&gt;=1000</formula>
    </cfRule>
  </conditionalFormatting>
  <conditionalFormatting sqref="AD5">
    <cfRule type="expression" dxfId="1232" priority="6">
      <formula>ABS(AD$7-AD$10)&gt;=1000</formula>
    </cfRule>
  </conditionalFormatting>
  <conditionalFormatting sqref="AE5">
    <cfRule type="expression" dxfId="1231" priority="5">
      <formula>ABS(AE$7-AE$10)&gt;=1000</formula>
    </cfRule>
  </conditionalFormatting>
  <conditionalFormatting sqref="T16">
    <cfRule type="expression" dxfId="1230" priority="4">
      <formula>ABS(T$16-T$19)&gt;=1000</formula>
    </cfRule>
  </conditionalFormatting>
  <conditionalFormatting sqref="F14">
    <cfRule type="expression" dxfId="1229" priority="3">
      <formula>ABS(F$16-F$19)&gt;=1000</formula>
    </cfRule>
  </conditionalFormatting>
  <conditionalFormatting sqref="R14">
    <cfRule type="expression" dxfId="1228" priority="2">
      <formula>ABS(R$16-R$19)&gt;=1000</formula>
    </cfRule>
  </conditionalFormatting>
  <conditionalFormatting sqref="O23">
    <cfRule type="expression" dxfId="1227" priority="1">
      <formula>ABS(O$25-O$28)&gt;=1000</formula>
    </cfRule>
  </conditionalFormatting>
  <dataValidations count="1">
    <dataValidation operator="greaterThanOrEqual" allowBlank="1" showErrorMessage="1" sqref="D6"/>
  </dataValidations>
  <printOptions horizontalCentered="1"/>
  <pageMargins left="0.39370078740157483" right="0.39370078740157483" top="0.39370078740157483" bottom="0.39370078740157483" header="0.51181102362204722" footer="0.51181102362204722"/>
  <pageSetup paperSize="9" scale="60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5505" r:id="rId4" name="Button 1">
              <controlPr defaultSize="0" print="0" autoFill="0" autoPict="0">
                <anchor moveWithCells="1">
                  <from>
                    <xdr:col>31</xdr:col>
                    <xdr:colOff>0</xdr:colOff>
                    <xdr:row>0</xdr:row>
                    <xdr:rowOff>342900</xdr:rowOff>
                  </from>
                  <to>
                    <xdr:col>32</xdr:col>
                    <xdr:colOff>411480</xdr:colOff>
                    <xdr:row>3</xdr:row>
                    <xdr:rowOff>30480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977">
    <pageSetUpPr fitToPage="1"/>
  </sheetPr>
  <dimension ref="A1:CU223"/>
  <sheetViews>
    <sheetView view="pageBreakPreview" topLeftCell="B16" zoomScale="85" zoomScaleNormal="100" zoomScaleSheetLayoutView="85" workbookViewId="0">
      <selection activeCell="Z23" sqref="Z23:AE29"/>
    </sheetView>
  </sheetViews>
  <sheetFormatPr defaultColWidth="8.109375" defaultRowHeight="25.8"/>
  <cols>
    <col min="1" max="1" width="11.6640625" style="64" customWidth="1" phonetic="1"/>
    <col min="2" max="2" width="7.6640625" style="64" customWidth="1" phonetic="1"/>
    <col min="3" max="3" width="8" style="64" customWidth="1" phonetic="1"/>
    <col min="4" max="8" width="7.6640625" style="64" customWidth="1" phonetic="1"/>
    <col min="9" max="9" width="8" style="64" customWidth="1" phonetic="1"/>
    <col min="10" max="12" width="7.6640625" style="64" customWidth="1" phonetic="1"/>
    <col min="13" max="13" width="7.77734375" style="64" bestFit="1" customWidth="1" phonetic="1"/>
    <col min="14" max="30" width="7.6640625" style="64" customWidth="1" phonetic="1"/>
    <col min="31" max="31" width="7.6640625" style="75" customWidth="1" phonetic="1"/>
    <col min="32" max="32" width="11.6640625" style="64" bestFit="1" customWidth="1" phonetic="1"/>
    <col min="33" max="33" width="22.109375" style="64" customWidth="1" phonetic="1"/>
    <col min="34" max="34" width="5.6640625" style="64" customWidth="1" phonetic="1"/>
    <col min="35" max="35" width="18.21875" style="64" customWidth="1" phonetic="1"/>
    <col min="36" max="36" width="12" style="64" bestFit="1" customWidth="1" phonetic="1"/>
    <col min="37" max="37" width="11.6640625" style="64" bestFit="1" customWidth="1" phonetic="1"/>
    <col min="38" max="38" width="5.6640625" style="64" customWidth="1" phonetic="1"/>
    <col min="39" max="39" width="11.44140625" style="64" bestFit="1" customWidth="1" phonetic="1"/>
    <col min="40" max="40" width="6.21875" style="64" customWidth="1" phonetic="1"/>
    <col min="41" max="41" width="8.6640625" style="64" customWidth="1" phonetic="1"/>
    <col min="42" max="42" width="11.21875" style="64" customWidth="1" phonetic="1"/>
    <col min="43" max="43" width="11.77734375" style="64" customWidth="1" phonetic="1"/>
    <col min="44" max="44" width="11.21875" style="64" customWidth="1" phonetic="1"/>
    <col min="45" max="45" width="11.21875" style="64" bestFit="1" customWidth="1" phonetic="1"/>
    <col min="46" max="46" width="41.77734375" style="64" customWidth="1" phonetic="1"/>
    <col min="47" max="47" width="7.77734375" style="64" customWidth="1" phonetic="1"/>
    <col min="48" max="48" width="17.109375" style="64" customWidth="1" phonetic="1"/>
    <col min="49" max="49" width="6.21875" style="64" customWidth="1" phonetic="1"/>
    <col min="50" max="50" width="10" style="64" customWidth="1" phonetic="1"/>
    <col min="51" max="51" width="6.21875" style="64" customWidth="1" phonetic="1"/>
    <col min="52" max="52" width="6.88671875" style="64" customWidth="1" phonetic="1"/>
    <col min="53" max="53" width="6.44140625" style="64" customWidth="1" phonetic="1"/>
    <col min="54" max="54" width="15.44140625" style="64" customWidth="1" phonetic="1"/>
    <col min="55" max="55" width="6.21875" style="64" customWidth="1" phonetic="1"/>
    <col min="56" max="56" width="22.109375" style="64" bestFit="1" customWidth="1" phonetic="1"/>
    <col min="57" max="57" width="6.44140625" style="64" customWidth="1" phonetic="1"/>
    <col min="58" max="60" width="6.21875" style="64" customWidth="1" phonetic="1"/>
    <col min="61" max="16384" width="8.109375" style="64" phonetic="1"/>
  </cols>
  <sheetData>
    <row r="1" spans="1:99" ht="31.2" ph="1">
      <c r="A1" s="64"/>
      <c r="B1" s="238" t="s" ph="1">
        <v>161</v>
      </c>
      <c r="C1" s="238" ph="1"/>
      <c r="D1" s="238" ph="1"/>
      <c r="E1" s="238" ph="1"/>
      <c r="F1" s="238" ph="1"/>
      <c r="G1" s="238" ph="1"/>
      <c r="H1" s="238" ph="1"/>
      <c r="I1" s="238" ph="1"/>
      <c r="J1" s="238" ph="1"/>
      <c r="K1" s="238" ph="1"/>
      <c r="L1" s="238" ph="1"/>
      <c r="M1" s="238" ph="1"/>
      <c r="N1" s="238" ph="1"/>
      <c r="O1" s="238" ph="1"/>
      <c r="P1" s="238" ph="1"/>
      <c r="Q1" s="238" ph="1"/>
      <c r="R1" s="238" ph="1"/>
      <c r="S1" s="238" ph="1"/>
      <c r="T1" s="238" ph="1"/>
      <c r="U1" s="238" ph="1"/>
      <c r="V1" s="238" ph="1"/>
      <c r="W1" s="238" ph="1"/>
      <c r="X1" s="238" ph="1"/>
      <c r="Y1" s="238" ph="1"/>
      <c r="Z1" s="238" ph="1"/>
      <c r="AA1" s="238" ph="1"/>
      <c r="AB1" s="238" ph="1"/>
      <c r="AC1" s="238" ph="1"/>
      <c r="AD1" s="238" ph="1"/>
      <c r="AE1" s="238" ph="1"/>
    </row>
    <row r="2" spans="1:99" s="66" customFormat="1" ht="24" customHeight="1" ph="1">
      <c r="B2" s="239" t="s" ph="1">
        <v>82</v>
      </c>
      <c r="C2" s="239" ph="1"/>
      <c r="D2" s="239" ph="1"/>
      <c r="E2" s="239" ph="1"/>
      <c r="F2" s="239" ph="1"/>
      <c r="G2" s="239" ph="1"/>
      <c r="H2" s="239" ph="1"/>
      <c r="I2" s="239" ph="1"/>
      <c r="J2" s="239" ph="1"/>
      <c r="K2" s="239" ph="1"/>
      <c r="L2" s="239" ph="1"/>
      <c r="M2" s="239" ph="1"/>
      <c r="N2" s="239" ph="1"/>
      <c r="O2" s="239" ph="1"/>
      <c r="P2" s="239" ph="1"/>
      <c r="Q2" s="239" ph="1"/>
      <c r="R2" s="239" ph="1"/>
      <c r="S2" s="239" ph="1"/>
      <c r="T2" s="239" ph="1"/>
      <c r="U2" s="239" ph="1"/>
      <c r="V2" s="239" ph="1"/>
      <c r="W2" s="239" ph="1"/>
      <c r="X2" s="239" ph="1"/>
      <c r="Y2" s="239" ph="1"/>
      <c r="Z2" s="239" ph="1"/>
      <c r="AA2" s="239" ph="1"/>
      <c r="AB2" s="239" ph="1"/>
      <c r="AC2" s="239" ph="1"/>
      <c r="AD2" s="239" ph="1"/>
      <c r="AE2" s="239" ph="1"/>
    </row>
    <row r="3" spans="1:99" ht="21" customHeight="1" ph="1">
      <c r="B3" s="240" ph="1">
        <v>46281</v>
      </c>
      <c r="C3" s="240"/>
      <c r="D3" s="240"/>
      <c r="E3" s="240"/>
      <c r="F3" s="240"/>
      <c r="G3" s="240"/>
      <c r="H3" s="240"/>
      <c r="I3" s="240"/>
      <c r="J3" s="240"/>
      <c r="K3" s="240"/>
      <c r="L3" s="240"/>
      <c r="M3" s="240"/>
      <c r="N3" s="240"/>
      <c r="O3" s="240"/>
      <c r="P3" s="240"/>
      <c r="Q3" s="240"/>
      <c r="R3" s="240"/>
      <c r="S3" s="240"/>
      <c r="T3" s="240"/>
      <c r="U3" s="240"/>
      <c r="V3" s="240"/>
      <c r="W3" s="240"/>
      <c r="X3" s="240"/>
      <c r="Y3" s="240"/>
      <c r="Z3" s="240"/>
      <c r="AA3" s="240"/>
      <c r="AB3" s="240"/>
      <c r="AC3" s="240"/>
      <c r="AD3" s="240"/>
      <c r="AE3" s="240"/>
    </row>
    <row r="4" spans="1:99" s="69" customFormat="1" ph="1">
      <c r="A4" s="65" ph="1"/>
      <c r="B4" s="219" t="s" ph="1">
        <v>37</v>
      </c>
      <c r="C4" s="67" t="s" ph="1">
        <v>176</v>
      </c>
      <c r="D4" s="68" t="s" ph="1">
        <v>44</v>
      </c>
      <c r="E4" s="68" t="s" ph="1">
        <v>45</v>
      </c>
      <c r="F4" s="68" t="s" ph="1">
        <v>39</v>
      </c>
      <c r="G4" s="68" t="s" ph="1">
        <v>46</v>
      </c>
      <c r="H4" s="68" t="s" ph="1">
        <v>47</v>
      </c>
      <c r="I4" s="68" t="s" ph="1">
        <v>110</v>
      </c>
      <c r="J4" s="68" t="s" ph="1">
        <v>48</v>
      </c>
      <c r="K4" s="68" t="s" ph="1">
        <v>111</v>
      </c>
      <c r="L4" s="68" t="s" ph="1">
        <v>112</v>
      </c>
      <c r="M4" s="68" t="s" ph="1">
        <v>49</v>
      </c>
      <c r="N4" s="68" t="s" ph="1">
        <v>50</v>
      </c>
      <c r="O4" s="68" t="s" ph="1">
        <v>113</v>
      </c>
      <c r="P4" s="68" t="s" ph="1">
        <v>114</v>
      </c>
      <c r="Q4" s="68" t="s" ph="1">
        <v>115</v>
      </c>
      <c r="R4" s="68" t="s" ph="1">
        <v>116</v>
      </c>
      <c r="S4" s="68" t="s" ph="1">
        <v>117</v>
      </c>
      <c r="T4" s="68" t="s" ph="1">
        <v>118</v>
      </c>
      <c r="U4" s="68" t="s" ph="1">
        <v>119</v>
      </c>
      <c r="V4" s="68" t="s" ph="1">
        <v>120</v>
      </c>
      <c r="W4" s="68" t="s" ph="1">
        <v>121</v>
      </c>
      <c r="X4" s="68" t="s" ph="1">
        <v>122</v>
      </c>
      <c r="Y4" s="68" t="s" ph="1">
        <v>123</v>
      </c>
      <c r="Z4" s="68" t="s" ph="1">
        <v>51</v>
      </c>
      <c r="AA4" s="68" t="s" ph="1">
        <v>124</v>
      </c>
      <c r="AB4" s="68" t="s" ph="1">
        <v>125</v>
      </c>
      <c r="AC4" s="68" t="s" ph="1">
        <v>126</v>
      </c>
      <c r="AD4" s="68" t="s" ph="1">
        <v>40</v>
      </c>
      <c r="AE4" s="68" t="s" ph="1">
        <v>127</v>
      </c>
      <c r="AF4" s="65" ph="1"/>
      <c r="AG4" s="65" ph="1"/>
      <c r="AH4" s="65" ph="1"/>
      <c r="AI4" s="65" ph="1"/>
      <c r="AJ4" s="65" ph="1"/>
      <c r="AK4" s="65" ph="1"/>
      <c r="AL4" s="65" ph="1"/>
      <c r="AM4" s="65" ph="1"/>
      <c r="AN4" s="65" ph="1"/>
      <c r="AO4" s="65" ph="1"/>
      <c r="AP4" s="65" ph="1"/>
      <c r="AQ4" s="65" ph="1"/>
      <c r="AR4" s="65" ph="1"/>
      <c r="AS4" s="65" ph="1"/>
      <c r="AT4" s="65" ph="1"/>
      <c r="AU4" s="65" ph="1"/>
      <c r="AV4" s="65" ph="1"/>
      <c r="AW4" s="65" ph="1"/>
      <c r="AX4" s="65" ph="1"/>
      <c r="AY4" s="65" ph="1"/>
      <c r="AZ4" s="65" ph="1"/>
      <c r="BA4" s="65" ph="1"/>
      <c r="BB4" s="65" ph="1"/>
      <c r="BC4" s="65" ph="1"/>
      <c r="BD4" s="65" ph="1"/>
      <c r="BE4" s="65" ph="1"/>
      <c r="BF4" s="65" ph="1"/>
      <c r="BG4" s="65" ph="1"/>
      <c r="BH4" s="65" ph="1"/>
      <c r="BI4" s="65" ph="1"/>
      <c r="BJ4" s="65" ph="1"/>
      <c r="BK4" s="65" ph="1"/>
      <c r="BL4" s="65" ph="1"/>
      <c r="BM4" s="65" ph="1"/>
      <c r="BN4" s="65" ph="1"/>
      <c r="BO4" s="65" ph="1"/>
      <c r="BP4" s="65" ph="1"/>
      <c r="BQ4" s="65" ph="1"/>
      <c r="BR4" s="65" ph="1"/>
      <c r="BS4" s="65" ph="1"/>
      <c r="BT4" s="65" ph="1"/>
      <c r="BU4" s="65" ph="1"/>
      <c r="BV4" s="65" ph="1"/>
      <c r="BW4" s="65" ph="1"/>
      <c r="BX4" s="65" ph="1"/>
      <c r="BY4" s="65" ph="1"/>
      <c r="BZ4" s="65" ph="1"/>
      <c r="CA4" s="65" ph="1"/>
      <c r="CB4" s="65" ph="1"/>
      <c r="CC4" s="65" ph="1"/>
      <c r="CD4" s="65" ph="1"/>
      <c r="CE4" s="65" ph="1"/>
      <c r="CF4" s="65" ph="1"/>
      <c r="CG4" s="65" ph="1"/>
      <c r="CH4" s="65" ph="1"/>
      <c r="CI4" s="65" ph="1"/>
      <c r="CJ4" s="65" ph="1"/>
      <c r="CK4" s="65" ph="1"/>
      <c r="CL4" s="65" ph="1"/>
      <c r="CM4" s="65" ph="1"/>
      <c r="CN4" s="65" ph="1"/>
      <c r="CO4" s="65" ph="1"/>
      <c r="CP4" s="65" ph="1"/>
      <c r="CQ4" s="65" ph="1"/>
      <c r="CR4" s="65" ph="1"/>
      <c r="CS4" s="65" ph="1"/>
      <c r="CT4" s="65" ph="1"/>
      <c r="CU4" s="65" ph="1"/>
    </row>
    <row r="5" spans="1:99" s="69" customFormat="1" ht="29.25" customHeight="1" ph="1">
      <c r="A5" s="65" ph="1"/>
      <c r="B5" s="219" ph="1"/>
      <c r="C5" s="67" t="s" ph="1">
        <v>36</v>
      </c>
      <c r="D5" s="70" t="s" ph="1">
        <v>160</v>
      </c>
      <c r="E5" s="142" t="s" ph="1">
        <v>642</v>
      </c>
      <c r="F5" s="142" t="s" ph="1">
        <v>1</v>
      </c>
      <c r="G5" s="142" t="s" ph="1">
        <v>7</v>
      </c>
      <c r="H5" s="142" t="s" ph="1">
        <v>7</v>
      </c>
      <c r="I5" s="141" t="s" ph="1">
        <v>608</v>
      </c>
      <c r="J5" s="141" t="s" ph="1">
        <v>609</v>
      </c>
      <c r="K5" s="141" t="s" ph="1">
        <v>611</v>
      </c>
      <c r="L5" s="141" t="s" ph="1">
        <v>613</v>
      </c>
      <c r="M5" s="141" t="s" ph="1">
        <v>608</v>
      </c>
      <c r="N5" s="70" t="s" ph="1">
        <v>609</v>
      </c>
      <c r="O5" s="70" t="s" ph="1">
        <v>611</v>
      </c>
      <c r="P5" s="70" t="s" ph="1">
        <v>613</v>
      </c>
      <c r="Q5" s="70" t="s" ph="1">
        <v>607</v>
      </c>
      <c r="R5" s="70" t="s" ph="1">
        <v>607</v>
      </c>
      <c r="S5" s="70" t="s" ph="1">
        <v>607</v>
      </c>
      <c r="T5" s="70" t="s" ph="1">
        <v>607</v>
      </c>
      <c r="U5" s="70" t="s" ph="1">
        <v>607</v>
      </c>
      <c r="V5" s="70" t="s" ph="1">
        <v>607</v>
      </c>
      <c r="W5" s="70" t="s" ph="1">
        <v>607</v>
      </c>
      <c r="X5" s="70" t="s" ph="1">
        <v>607</v>
      </c>
      <c r="Y5" s="70" t="s" ph="1">
        <v>607</v>
      </c>
      <c r="Z5" s="70" t="s" ph="1">
        <v>614</v>
      </c>
      <c r="AA5" s="70" t="s" ph="1">
        <v>54</v>
      </c>
      <c r="AB5" s="70" t="s" ph="1">
        <v>54</v>
      </c>
      <c r="AC5" s="70" t="s" ph="1">
        <v>615</v>
      </c>
      <c r="AD5" s="71" t="s">
        <v>72</v>
      </c>
      <c r="AE5" s="71" t="s">
        <v>635</v>
      </c>
      <c r="AF5" s="65" ph="1"/>
      <c r="AG5" s="65" ph="1"/>
      <c r="AH5" s="65" ph="1"/>
      <c r="AI5" s="65" ph="1"/>
      <c r="AJ5" s="65" ph="1"/>
      <c r="AK5" s="65" ph="1"/>
      <c r="AL5" s="65" ph="1"/>
      <c r="AM5" s="65" ph="1"/>
      <c r="AN5" s="65" ph="1"/>
      <c r="AO5" s="65" ph="1"/>
      <c r="AP5" s="65" ph="1"/>
      <c r="AQ5" s="65" ph="1"/>
      <c r="AR5" s="65" ph="1"/>
      <c r="AS5" s="65" ph="1"/>
      <c r="AT5" s="65" ph="1"/>
      <c r="AU5" s="65" ph="1"/>
      <c r="AV5" s="65" ph="1"/>
      <c r="AW5" s="65" ph="1"/>
      <c r="AX5" s="65" ph="1"/>
      <c r="AY5" s="65" ph="1"/>
      <c r="AZ5" s="65" ph="1"/>
      <c r="BA5" s="65" ph="1"/>
      <c r="BB5" s="65" ph="1"/>
      <c r="BC5" s="65" ph="1"/>
      <c r="BD5" s="65" ph="1"/>
      <c r="BE5" s="65" ph="1"/>
      <c r="BF5" s="65" ph="1"/>
      <c r="BG5" s="65" ph="1"/>
      <c r="BH5" s="65" ph="1"/>
      <c r="BI5" s="65" ph="1"/>
      <c r="BJ5" s="65" ph="1"/>
      <c r="BK5" s="65" ph="1"/>
      <c r="BL5" s="65" ph="1"/>
      <c r="BM5" s="65" ph="1"/>
      <c r="BN5" s="65" ph="1"/>
      <c r="BO5" s="65" ph="1"/>
      <c r="BP5" s="65" ph="1"/>
      <c r="BQ5" s="65" ph="1"/>
      <c r="BR5" s="65" ph="1"/>
      <c r="BS5" s="65" ph="1"/>
      <c r="BT5" s="65" ph="1"/>
      <c r="BU5" s="65" ph="1"/>
      <c r="BV5" s="65" ph="1"/>
      <c r="BW5" s="65" ph="1"/>
      <c r="BX5" s="65" ph="1"/>
      <c r="BY5" s="65" ph="1"/>
      <c r="BZ5" s="65" ph="1"/>
      <c r="CA5" s="65" ph="1"/>
      <c r="CB5" s="65" ph="1"/>
      <c r="CC5" s="65" ph="1"/>
      <c r="CD5" s="65" ph="1"/>
      <c r="CE5" s="65" ph="1"/>
      <c r="CF5" s="65" ph="1"/>
      <c r="CG5" s="65" ph="1"/>
      <c r="CH5" s="65" ph="1"/>
      <c r="CI5" s="65" ph="1"/>
      <c r="CJ5" s="65" ph="1"/>
      <c r="CK5" s="65" ph="1"/>
      <c r="CL5" s="65" ph="1"/>
      <c r="CM5" s="65" ph="1"/>
      <c r="CN5" s="65" ph="1"/>
      <c r="CO5" s="65" ph="1"/>
      <c r="CP5" s="65" ph="1"/>
      <c r="CQ5" s="65" ph="1"/>
      <c r="CR5" s="65" ph="1"/>
      <c r="CS5" s="65" ph="1"/>
      <c r="CT5" s="65" ph="1"/>
      <c r="CU5" s="65" ph="1"/>
    </row>
    <row r="6" spans="1:99" ph="1">
      <c r="B6" s="237" ph="1">
        <v>0.33333333333333331</v>
      </c>
      <c r="C6" s="155" t="s" ph="1">
        <v>177</v>
      </c>
      <c r="D6" s="71">
        <v>4357</v>
      </c>
      <c r="E6" s="71">
        <v>3446</v>
      </c>
      <c r="F6" s="71">
        <v>3185</v>
      </c>
      <c r="G6" s="71">
        <v>1275</v>
      </c>
      <c r="H6" s="71">
        <v>6116</v>
      </c>
      <c r="I6" s="71">
        <v>4.5199999999999996</v>
      </c>
      <c r="J6" s="71">
        <v>6.65</v>
      </c>
      <c r="K6" s="71">
        <v>7.5</v>
      </c>
      <c r="L6" s="71">
        <v>6.2</v>
      </c>
      <c r="M6" s="71">
        <v>3231</v>
      </c>
      <c r="N6" s="71">
        <v>1837</v>
      </c>
      <c r="O6" s="71">
        <v>1237</v>
      </c>
      <c r="P6" s="71">
        <v>4603</v>
      </c>
      <c r="Q6" s="71">
        <v>0</v>
      </c>
      <c r="R6" s="71">
        <v>5017</v>
      </c>
      <c r="S6" s="71">
        <v>6730</v>
      </c>
      <c r="T6" s="71">
        <v>5363</v>
      </c>
      <c r="U6" s="71">
        <v>5175</v>
      </c>
      <c r="V6" s="71">
        <v>0</v>
      </c>
      <c r="W6" s="71">
        <v>0</v>
      </c>
      <c r="X6" s="71">
        <v>0</v>
      </c>
      <c r="Y6" s="71">
        <v>0</v>
      </c>
      <c r="Z6" s="71">
        <v>798</v>
      </c>
      <c r="AA6" s="71">
        <v>1273</v>
      </c>
      <c r="AB6" s="71">
        <v>1086</v>
      </c>
      <c r="AC6" s="71">
        <v>7967</v>
      </c>
      <c r="AD6" s="71">
        <v>5113</v>
      </c>
      <c r="AE6" s="71">
        <v>5558</v>
      </c>
    </row>
    <row r="7" spans="1:99" s="72" customFormat="1" ht="22.2" ph="1">
      <c r="B7" s="237" ph="1"/>
      <c r="C7" s="68" t="s" ph="1">
        <v>178</v>
      </c>
      <c r="D7" s="73" ph="1">
        <f>D6*33.183*LOOKUP(D8,密度!$A$2:$A$50,密度!$Q$2:$Q$50)</f>
        <v>136385.07698223001</v>
      </c>
      <c r="E7" s="73" ph="1">
        <f>E6*51.53*LOOKUP(E8,密度!$A$2:$A$50,密度!$B$2:$B$50)</f>
        <v>138275.612306</v>
      </c>
      <c r="F7" s="73" ph="1">
        <f>F6*33.183*LOOKUP(F8,密度!$A$2:$A$50,密度!$C$2:$C$50)</f>
        <v>117112.71212550001</v>
      </c>
      <c r="G7" s="73" ph="1">
        <f xml:space="preserve"> (G6+2)*51.53*LOOKUP(G8,密度!$A$2:$A$50,密度!$B$2:$B$50)</f>
        <v>51188.783798999997</v>
      </c>
      <c r="H7" s="73" ph="1">
        <f>(H6)*51.53*LOOKUP(H8,密度!$A$2:$A$50,密度!$B$2:$B$50)</f>
        <v>245696.77140799997</v>
      </c>
      <c r="I7" s="73" ph="1">
        <f>I6*290.8*1.0267</f>
        <v>1349.5109071999998</v>
      </c>
      <c r="J7" s="73" ph="1">
        <f>J6*290.8*0.7892</f>
        <v>1526.1707440000002</v>
      </c>
      <c r="K7" s="73" ph="1">
        <f>K6*290.8*1.1126</f>
        <v>2426.5806000000002</v>
      </c>
      <c r="L7" s="73" ph="1">
        <f>L6*290.8*0.777</f>
        <v>1400.8999200000001</v>
      </c>
      <c r="M7" s="73" ph="1">
        <f>M6*33.183*LOOKUP(M8,密度!$A$2:$A$50,密度!$D$2:$D$50)</f>
        <v>110076.89408909999</v>
      </c>
      <c r="N7" s="73" ph="1">
        <f>N6*33.183*LOOKUP(N8,密度!$A$2:$A$50,密度!$E$2:$E$50)</f>
        <v>47534.401945800004</v>
      </c>
      <c r="O7" s="73" ph="1">
        <f>O6*20.428*LOOKUP(O8,密度!$A$2:$A$50,密度!$C$2:$C$50)</f>
        <v>27925.253723600003</v>
      </c>
      <c r="P7" s="73" ph="1">
        <f>P6*51.53*LOOKUP(P8,密度!$A$2:$A$50,密度!$B$2:$B$50)</f>
        <v>184915.34316399999</v>
      </c>
      <c r="Q7" s="73" ph="1">
        <f>Q6*1.5*1.5*3.1416*LOOKUP(W8,密度!$A$2:$A$50,密度!$L$2:$L$50)</f>
        <v>0</v>
      </c>
      <c r="R7" s="73" ph="1">
        <f>R6*1.5*1.5*3.1416*LOOKUP(R8,密度!$A$2:$A$50,密度!$L$2:$L$50)</f>
        <v>32909.818233600003</v>
      </c>
      <c r="S7" s="73" ph="1">
        <f>S6*1.5*1.5*3.1416*LOOKUP(S8,密度!$A$2:$A$50,密度!$L$2:$L$50)</f>
        <v>44574.662286000006</v>
      </c>
      <c r="T7" s="73" ph="1">
        <f>T6*1.5*1.5*3.1416*LOOKUP(T8,密度!$A$2:$A$50,密度!$L$2:$L$50)</f>
        <v>35634.367692</v>
      </c>
      <c r="U7" s="73" ph="1">
        <f>U6*1.5*1.5*3.1416*LOOKUP(U8,密度!$A$2:$A$50,密度!$L$2:$L$50)</f>
        <v>34238.884680000003</v>
      </c>
      <c r="V7" s="73" ph="1">
        <f>V6*1.5*1.5*3.1416*LOOKUP(V8,密度!$A$2:$A$50,密度!$L$2:$L$50)</f>
        <v>0</v>
      </c>
      <c r="W7" s="73" ph="1">
        <f>W6*1.5*1.5*3.1416*LOOKUP(W8,密度!$A$2:$A$50,密度!$L$2:$L$50)</f>
        <v>0</v>
      </c>
      <c r="X7" s="73" ph="1">
        <f>X6*1.5*1.5*3.1416*LOOKUP(X8,密度!$A$2:$A$50,密度!$L$2:$L$50)</f>
        <v>0</v>
      </c>
      <c r="Y7" s="73" ph="1">
        <f>Y6*1.5*1.5*3.1416*LOOKUP(Y8,密度!$A$2:$A$50,密度!$L$2:$L$50)</f>
        <v>0</v>
      </c>
      <c r="Z7" s="73" ph="1">
        <f>Z6*33.183*LOOKUP(Z8,密度!$A$2:$A$50,密度!$L$2:$L$50)</f>
        <v>24970.672061999998</v>
      </c>
      <c r="AA7" s="73" ph="1">
        <f>AA6*33.183*LOOKUP(AA8,密度!$A$2:$A$50,密度!$D$2:$D$50)</f>
        <v>43331.801542200003</v>
      </c>
      <c r="AB7" s="73" ph="1">
        <f>AB6*20.428*LOOKUP(AB8,密度!$A$2:$A$50,密度!$D$2:$D$50)</f>
        <v>22797.108700800003</v>
      </c>
      <c r="AC7" s="73" ph="1">
        <f>AC6*51.53*LOOKUP(AC8,密度!$A$2:$A$50,密度!$Q$2:$Q$50)</f>
        <v>388382.69264530001</v>
      </c>
      <c r="AD7" s="73" ph="1">
        <f>AD6*20.428*LOOKUP(AD8,密度!$A$2:$A$50,密度!$V$2:$V$50)</f>
        <v>100019.75336640001</v>
      </c>
      <c r="AE7" s="73" ph="1">
        <f>AE6*20.428</f>
        <v>113538.82400000001</v>
      </c>
    </row>
    <row r="8" spans="1:99" ph="1">
      <c r="B8" s="237" ph="1"/>
      <c r="C8" s="68" t="s" ph="1">
        <v>179</v>
      </c>
      <c r="D8" s="74">
        <v>30</v>
      </c>
      <c r="E8" s="74">
        <v>26</v>
      </c>
      <c r="F8" s="74">
        <v>26</v>
      </c>
      <c r="G8" s="74">
        <v>27</v>
      </c>
      <c r="H8" s="74">
        <v>25</v>
      </c>
      <c r="I8" s="74">
        <v>25</v>
      </c>
      <c r="J8" s="74">
        <v>25</v>
      </c>
      <c r="K8" s="74">
        <v>25</v>
      </c>
      <c r="L8" s="74">
        <v>25</v>
      </c>
      <c r="M8" s="74">
        <v>25</v>
      </c>
      <c r="N8" s="74">
        <v>28</v>
      </c>
      <c r="O8" s="74">
        <v>30</v>
      </c>
      <c r="P8" s="74">
        <v>25</v>
      </c>
      <c r="Q8" s="74">
        <v>30</v>
      </c>
      <c r="R8" s="74">
        <v>34</v>
      </c>
      <c r="S8" s="74">
        <v>25</v>
      </c>
      <c r="T8" s="74">
        <v>22</v>
      </c>
      <c r="U8" s="74">
        <v>26</v>
      </c>
      <c r="V8" s="74">
        <v>28</v>
      </c>
      <c r="W8" s="74">
        <v>26</v>
      </c>
      <c r="X8" s="74">
        <v>16</v>
      </c>
      <c r="Y8" s="74">
        <v>25</v>
      </c>
      <c r="Z8" s="74">
        <v>19</v>
      </c>
      <c r="AA8" s="74">
        <v>26</v>
      </c>
      <c r="AB8" s="74">
        <v>24</v>
      </c>
      <c r="AC8" s="74">
        <v>26</v>
      </c>
      <c r="AD8" s="74">
        <v>26</v>
      </c>
      <c r="AE8" s="74">
        <v>29</v>
      </c>
    </row>
    <row r="9" spans="1:99" ht="26.4" ph="1">
      <c r="B9" s="237" ph="1">
        <v>0.66666666666666663</v>
      </c>
      <c r="C9" s="155" t="s" ph="1">
        <v>180</v>
      </c>
      <c r="D9" s="71">
        <v>4715</v>
      </c>
      <c r="E9" s="71">
        <v>3441</v>
      </c>
      <c r="F9" s="71">
        <v>3188</v>
      </c>
      <c r="G9" s="71">
        <v>1004</v>
      </c>
      <c r="H9" s="71">
        <v>7342</v>
      </c>
      <c r="I9" s="71">
        <v>4.49</v>
      </c>
      <c r="J9" s="71">
        <v>6.69</v>
      </c>
      <c r="K9" s="71">
        <v>7.57</v>
      </c>
      <c r="L9" s="71">
        <v>78.069999999999993</v>
      </c>
      <c r="M9" s="71">
        <v>3232</v>
      </c>
      <c r="N9" s="71">
        <v>1791</v>
      </c>
      <c r="O9" s="71">
        <v>1236</v>
      </c>
      <c r="P9" s="71">
        <v>4472</v>
      </c>
      <c r="Q9" s="71">
        <v>0</v>
      </c>
      <c r="R9" s="71">
        <v>0</v>
      </c>
      <c r="S9" s="71">
        <v>6575</v>
      </c>
      <c r="T9" s="71">
        <v>5368</v>
      </c>
      <c r="U9" s="71">
        <v>5179</v>
      </c>
      <c r="V9" s="71">
        <v>5188</v>
      </c>
      <c r="W9" s="71">
        <v>2739</v>
      </c>
      <c r="X9" s="71">
        <v>0</v>
      </c>
      <c r="Y9" s="71">
        <v>0</v>
      </c>
      <c r="Z9" s="71">
        <v>1293</v>
      </c>
      <c r="AA9" s="71">
        <v>1275</v>
      </c>
      <c r="AB9" s="71">
        <v>953</v>
      </c>
      <c r="AC9" s="71">
        <v>7954</v>
      </c>
      <c r="AD9" s="71">
        <v>5115</v>
      </c>
      <c r="AE9" s="71">
        <v>5562</v>
      </c>
    </row>
    <row r="10" spans="1:99" s="72" customFormat="1" ht="22.2" ph="1">
      <c r="B10" s="237" ph="1"/>
      <c r="C10" s="155" t="s" ph="1">
        <v>178</v>
      </c>
      <c r="D10" s="73" ph="1">
        <f>D9*33.183*LOOKUP(D11,密度!$A$2:$A$50,密度!$Q$2:$Q$50)</f>
        <v>147591.37892384999</v>
      </c>
      <c r="E10" s="73" ph="1">
        <f>E9*51.53*LOOKUP(E11,密度!$A$2:$A$50,密度!$B$2:$B$50)</f>
        <v>137472.11016899999</v>
      </c>
      <c r="F10" s="73" ph="1">
        <f>F9*33.183*LOOKUP(F11,密度!$A$2:$A$50,密度!$C$2:$C$50)</f>
        <v>117466.3334016</v>
      </c>
      <c r="G10" s="73" ph="1">
        <f xml:space="preserve"> (G9+2)*51.53*LOOKUP(G11,密度!$A$2:$A$50,密度!$B$2:$B$50)</f>
        <v>40097.605729999996</v>
      </c>
      <c r="H10" s="73" ph="1">
        <f>(H9)*51.53*LOOKUP(H11,密度!$A$2:$A$50,密度!$B$2:$B$50)</f>
        <v>292981.27654400002</v>
      </c>
      <c r="I10" s="73" ph="1">
        <f>I9*290.8*1.0267</f>
        <v>1340.5539764</v>
      </c>
      <c r="J10" s="73" ph="1">
        <f>J9*290.8*0.7892</f>
        <v>1535.3507184000002</v>
      </c>
      <c r="K10" s="73" ph="1">
        <f>K9*290.8*1.1126</f>
        <v>2449.2286856000005</v>
      </c>
      <c r="L10" s="73" ph="1">
        <f>L9*290.8*0.777</f>
        <v>17640.041411999999</v>
      </c>
      <c r="M10" s="73" ph="1">
        <f>M9*33.183*LOOKUP(M11,密度!$A$2:$A$50,密度!$D$2:$D$50)</f>
        <v>109606.90003200001</v>
      </c>
      <c r="N10" s="73" ph="1">
        <f>N9*33.183*LOOKUP(N11,密度!$A$2:$A$50,密度!$E$2:$E$50)</f>
        <v>46278.727361099991</v>
      </c>
      <c r="O10" s="73" ph="1">
        <f>O9*20.428*LOOKUP(O11,密度!$A$2:$A$50,密度!$C$2:$C$50)</f>
        <v>27771.383899200006</v>
      </c>
      <c r="P10" s="73" ph="1">
        <f>P9*51.53*LOOKUP(P11,密度!$A$2:$A$50,密度!$B$2:$B$50)</f>
        <v>178869.20459199999</v>
      </c>
      <c r="Q10" s="73" ph="1">
        <f>Q9*1.5*1.5*3.1416*LOOKUP(W11,密度!$A$2:$A$50,密度!$L$2:$L$50)</f>
        <v>0</v>
      </c>
      <c r="R10" s="73" ph="1">
        <f>R9*1.5*1.5*3.1416*LOOKUP(R11,密度!$A$2:$A$50,密度!$L$2:$L$50)</f>
        <v>0</v>
      </c>
      <c r="S10" s="73" ph="1">
        <f>S9*1.5*1.5*3.1416*LOOKUP(S11,密度!$A$2:$A$50,密度!$L$2:$L$50)</f>
        <v>43455.102075000003</v>
      </c>
      <c r="T10" s="73" ph="1">
        <f>T9*1.5*1.5*3.1416*LOOKUP(T11,密度!$A$2:$A$50,密度!$L$2:$L$50)</f>
        <v>35591.701622399996</v>
      </c>
      <c r="U10" s="73" ph="1">
        <f>U9*1.5*1.5*3.1416*LOOKUP(U11,密度!$A$2:$A$50,密度!$L$2:$L$50)</f>
        <v>34228.741239000003</v>
      </c>
      <c r="V10" s="73" ph="1">
        <f>V9*1.5*1.5*3.1416*LOOKUP(V11,密度!$A$2:$A$50,密度!$L$2:$L$50)</f>
        <v>34288.223508000003</v>
      </c>
      <c r="W10" s="73" ph="1">
        <f>W9*1.5*1.5*3.1416*LOOKUP(W11,密度!$A$2:$A$50,密度!$L$2:$L$50)</f>
        <v>18102.437199000004</v>
      </c>
      <c r="X10" s="73" ph="1">
        <f>X9*1.5*1.5*3.1416*LOOKUP(X11,密度!$A$2:$A$50,密度!$L$2:$L$50)</f>
        <v>0</v>
      </c>
      <c r="Y10" s="73" ph="1">
        <f>Y9*1.5*1.5*3.1416*LOOKUP(Y11,密度!$A$2:$A$50,密度!$L$2:$L$50)</f>
        <v>0</v>
      </c>
      <c r="Z10" s="73" ph="1">
        <f>Z9*33.183*LOOKUP(Z11,密度!$A$2:$A$50,密度!$L$2:$L$50)</f>
        <v>40202.565003000003</v>
      </c>
      <c r="AA10" s="73" ph="1">
        <f>AA9*33.183*LOOKUP(AA11,密度!$A$2:$A$50,密度!$D$2:$D$50)</f>
        <v>43239.10815</v>
      </c>
      <c r="AB10" s="73" ph="1">
        <f>AB9*20.428*LOOKUP(AB11,密度!$A$2:$A$50,密度!$D$2:$D$50)</f>
        <v>19950.687523200002</v>
      </c>
      <c r="AC10" s="73" ph="1">
        <f>AC9*51.53*LOOKUP(AC11,密度!$A$2:$A$50,密度!$Q$2:$Q$50)</f>
        <v>386888.23040659999</v>
      </c>
      <c r="AD10" s="73" ph="1">
        <f>AD9*20.428*LOOKUP(AD11,密度!$A$2:$A$50,密度!$V$2:$V$50)</f>
        <v>100058.877072</v>
      </c>
      <c r="AE10" s="73" ph="1">
        <f>AE9*20.428</f>
        <v>113620.53600000001</v>
      </c>
    </row>
    <row r="11" spans="1:99" ph="1">
      <c r="A11" s="64" t="s" ph="1">
        <v>162</v>
      </c>
      <c r="B11" s="237" ph="1"/>
      <c r="C11" s="155" t="s" ph="1">
        <v>179</v>
      </c>
      <c r="D11" s="74">
        <v>30</v>
      </c>
      <c r="E11" s="74">
        <v>30</v>
      </c>
      <c r="F11" s="74">
        <v>23</v>
      </c>
      <c r="G11" s="74">
        <v>32</v>
      </c>
      <c r="H11" s="74">
        <v>31</v>
      </c>
      <c r="I11" s="74">
        <v>25</v>
      </c>
      <c r="J11" s="74">
        <v>25</v>
      </c>
      <c r="K11" s="74">
        <v>25</v>
      </c>
      <c r="L11" s="74">
        <v>25</v>
      </c>
      <c r="M11" s="74">
        <v>30</v>
      </c>
      <c r="N11" s="74">
        <v>29</v>
      </c>
      <c r="O11" s="74">
        <v>35</v>
      </c>
      <c r="P11" s="74">
        <v>29</v>
      </c>
      <c r="Q11" s="74">
        <v>40</v>
      </c>
      <c r="R11" s="74">
        <v>35</v>
      </c>
      <c r="S11" s="74">
        <v>27</v>
      </c>
      <c r="T11" s="74">
        <v>24</v>
      </c>
      <c r="U11" s="74">
        <v>27</v>
      </c>
      <c r="V11" s="74">
        <v>27</v>
      </c>
      <c r="W11" s="74">
        <v>27</v>
      </c>
      <c r="X11" s="74">
        <v>25</v>
      </c>
      <c r="Y11" s="74">
        <v>29</v>
      </c>
      <c r="Z11" s="74">
        <v>25</v>
      </c>
      <c r="AA11" s="74">
        <v>30</v>
      </c>
      <c r="AB11" s="74">
        <v>27</v>
      </c>
      <c r="AC11" s="74">
        <v>29</v>
      </c>
      <c r="AD11" s="74">
        <v>30</v>
      </c>
      <c r="AE11" s="74">
        <v>31</v>
      </c>
    </row>
    <row r="12" spans="1:99" ht="9.9" customHeight="1" ph="1"/>
    <row r="13" spans="1:99" s="72" customFormat="1" ht="29.25" customHeight="1" ph="1">
      <c r="B13" s="214" t="s" ph="1">
        <v>37</v>
      </c>
      <c r="C13" s="155" t="s" ph="1">
        <v>176</v>
      </c>
      <c r="D13" s="76" t="s" ph="1">
        <v>52</v>
      </c>
      <c r="E13" s="76" t="s" ph="1">
        <v>53</v>
      </c>
      <c r="F13" s="76" t="s" ph="1">
        <v>57</v>
      </c>
      <c r="G13" s="76" t="s" ph="1">
        <v>58</v>
      </c>
      <c r="H13" s="76" t="s" ph="1">
        <v>128</v>
      </c>
      <c r="I13" s="76" t="s" ph="1">
        <v>59</v>
      </c>
      <c r="J13" s="76" t="s" ph="1">
        <v>129</v>
      </c>
      <c r="K13" s="76" t="s" ph="1">
        <v>55</v>
      </c>
      <c r="L13" s="76" t="s" ph="1">
        <v>60</v>
      </c>
      <c r="M13" s="76" t="s" ph="1">
        <v>61</v>
      </c>
      <c r="N13" s="76" t="s" ph="1">
        <v>130</v>
      </c>
      <c r="O13" s="76" t="s" ph="1">
        <v>56</v>
      </c>
      <c r="P13" s="76" t="s" ph="1">
        <v>62</v>
      </c>
      <c r="Q13" s="76" t="s" ph="1">
        <v>63</v>
      </c>
      <c r="R13" s="76" t="s" ph="1">
        <v>64</v>
      </c>
      <c r="S13" s="76" t="s" ph="1">
        <v>65</v>
      </c>
      <c r="T13" s="76" t="s" ph="1">
        <v>66</v>
      </c>
      <c r="U13" s="76" t="s" ph="1">
        <v>67</v>
      </c>
      <c r="V13" s="76" t="s" ph="1">
        <v>131</v>
      </c>
      <c r="W13" s="76" t="s" ph="1">
        <v>132</v>
      </c>
      <c r="X13" s="76" t="s" ph="1">
        <v>133</v>
      </c>
      <c r="Y13" s="105" t="s" ph="1">
        <v>68</v>
      </c>
      <c r="Z13" s="76" t="s" ph="1">
        <v>74</v>
      </c>
      <c r="AA13" s="76" t="s" ph="1">
        <v>134</v>
      </c>
      <c r="AB13" s="76" t="s" ph="1">
        <v>135</v>
      </c>
      <c r="AC13" s="76" t="s" ph="1">
        <v>136</v>
      </c>
      <c r="AD13" s="76" t="s" ph="1">
        <v>137</v>
      </c>
      <c r="AE13" s="76" t="s" ph="1">
        <v>138</v>
      </c>
      <c r="AG13" s="72" t="s" ph="1">
        <v>325</v>
      </c>
      <c r="AH13" s="72" t="s" ph="1">
        <v>188</v>
      </c>
      <c r="AI13" s="72" t="s" ph="1">
        <v>189</v>
      </c>
      <c r="AJ13" s="72" t="s" ph="1">
        <v>190</v>
      </c>
      <c r="AK13" s="72" t="s" ph="1">
        <v>191</v>
      </c>
      <c r="AL13" s="72" t="s" ph="1">
        <v>192</v>
      </c>
      <c r="AM13" s="72" t="s" ph="1">
        <v>193</v>
      </c>
      <c r="AN13" s="72" t="s" ph="1">
        <v>194</v>
      </c>
      <c r="AO13" s="72" t="s" ph="1">
        <v>195</v>
      </c>
      <c r="AP13" s="72" t="s" ph="1">
        <v>196</v>
      </c>
      <c r="AQ13" s="72" t="s" ph="1">
        <v>197</v>
      </c>
      <c r="AR13" s="72" t="s" ph="1">
        <v>198</v>
      </c>
      <c r="AS13" s="72" t="s" ph="1">
        <v>199</v>
      </c>
      <c r="AT13" s="72" t="s" ph="1">
        <v>200</v>
      </c>
      <c r="AU13" s="72" t="s" ph="1">
        <v>201</v>
      </c>
      <c r="AV13" s="72" t="s" ph="1">
        <v>202</v>
      </c>
      <c r="AW13" s="72" t="s" ph="1">
        <v>203</v>
      </c>
      <c r="AX13" s="72" t="s" ph="1">
        <v>204</v>
      </c>
      <c r="AY13" s="72" t="s" ph="1">
        <v>326</v>
      </c>
      <c r="AZ13" s="72" t="s" ph="1">
        <v>205</v>
      </c>
      <c r="BA13" s="72" t="s" ph="1">
        <v>206</v>
      </c>
      <c r="BB13" s="72" t="s" ph="1">
        <v>591</v>
      </c>
      <c r="BC13" s="72" t="s" ph="1">
        <v>207</v>
      </c>
      <c r="BD13" s="72" t="s" ph="1">
        <v>327</v>
      </c>
      <c r="BE13" s="72" t="s" ph="1">
        <v>328</v>
      </c>
      <c r="BF13" s="72" t="s" ph="1">
        <v>329</v>
      </c>
      <c r="BG13" s="72" t="s" ph="1">
        <v>330</v>
      </c>
      <c r="BH13" s="72" t="s" ph="1">
        <v>331</v>
      </c>
    </row>
    <row r="14" spans="1:99" s="72" customFormat="1" ht="24" ph="1">
      <c r="B14" s="215" ph="1"/>
      <c r="C14" s="67" t="s" ph="1">
        <v>36</v>
      </c>
      <c r="D14" s="77" t="s" ph="1">
        <v>616</v>
      </c>
      <c r="E14" s="77" t="s" ph="1">
        <v>616</v>
      </c>
      <c r="F14" s="77" t="s" ph="1">
        <v>639</v>
      </c>
      <c r="G14" s="77" t="s" ph="1">
        <v>617</v>
      </c>
      <c r="H14" s="77" t="s" ph="1">
        <v>636</v>
      </c>
      <c r="I14" s="138" t="s" ph="1">
        <v>618</v>
      </c>
      <c r="J14" s="77" t="s" ph="1">
        <v>619</v>
      </c>
      <c r="K14" s="77" t="s" ph="1">
        <v>186</v>
      </c>
      <c r="L14" s="77" t="s" ph="1">
        <v>41</v>
      </c>
      <c r="M14" s="104" t="s" ph="1">
        <v>620</v>
      </c>
      <c r="N14" s="104" t="s" ph="1">
        <v>621</v>
      </c>
      <c r="O14" s="104" t="s" ph="1">
        <v>637</v>
      </c>
      <c r="P14" s="77" t="s" ph="1">
        <v>622</v>
      </c>
      <c r="Q14" s="77" t="s" ph="1">
        <v>622</v>
      </c>
      <c r="R14" s="77" t="s" ph="1">
        <v>622</v>
      </c>
      <c r="S14" s="77" t="s" ph="1">
        <v>622</v>
      </c>
      <c r="T14" s="77" t="s" ph="1">
        <v>624</v>
      </c>
      <c r="U14" s="77" t="s" ph="1">
        <v>605</v>
      </c>
      <c r="V14" s="77" t="s" ph="1">
        <v>633</v>
      </c>
      <c r="W14" s="77" t="s" ph="1">
        <v>622</v>
      </c>
      <c r="X14" s="77" t="s" ph="1">
        <v>625</v>
      </c>
      <c r="Y14" s="143" t="s" ph="1">
        <v>0</v>
      </c>
      <c r="Z14" s="77" t="s" ph="1">
        <v>54</v>
      </c>
      <c r="AA14" s="77" t="s" ph="1">
        <v>613</v>
      </c>
      <c r="AB14" s="77" t="s" ph="1">
        <v>632</v>
      </c>
      <c r="AC14" s="77" t="s" ph="1">
        <v>632</v>
      </c>
      <c r="AD14" s="77" t="s" ph="1">
        <v>612</v>
      </c>
      <c r="AE14" s="77" t="s" ph="1">
        <v>612</v>
      </c>
      <c r="AG14" s="72" t="s" ph="1">
        <v>208</v>
      </c>
      <c r="AI14" s="72" t="s" ph="1">
        <v>209</v>
      </c>
      <c r="AJ14" s="72" t="s" ph="1">
        <v>332</v>
      </c>
      <c r="AK14" s="72" t="s" ph="1">
        <v>210</v>
      </c>
      <c r="AM14" s="72" t="s" ph="1">
        <v>212</v>
      </c>
      <c r="AN14" s="72" t="s" ph="1">
        <v>210</v>
      </c>
      <c r="AO14" s="72" t="s" ph="1">
        <v>211</v>
      </c>
      <c r="AP14" s="72" t="s" ph="1">
        <v>212</v>
      </c>
      <c r="AQ14" s="72" t="s" ph="1">
        <v>210</v>
      </c>
      <c r="AR14" s="72" t="s" ph="1">
        <v>211</v>
      </c>
      <c r="AS14" s="72" t="s" ph="1">
        <v>212</v>
      </c>
      <c r="AT14" s="72" t="s" ph="1">
        <v>210</v>
      </c>
      <c r="AU14" s="72" t="s" ph="1">
        <v>211</v>
      </c>
      <c r="AV14" s="72" t="s" ph="1">
        <v>212</v>
      </c>
      <c r="AW14" s="72" t="s" ph="1">
        <v>210</v>
      </c>
      <c r="AX14" s="72" t="s" ph="1">
        <v>211</v>
      </c>
      <c r="AY14" s="72" t="s" ph="1">
        <v>212</v>
      </c>
      <c r="AZ14" s="72" t="s" ph="1">
        <v>211</v>
      </c>
    </row>
    <row r="15" spans="1:99" ph="1">
      <c r="B15" s="216" ph="1">
        <v>0.33333333333333331</v>
      </c>
      <c r="C15" s="155" t="s" ph="1">
        <v>177</v>
      </c>
      <c r="D15" s="78">
        <v>3961</v>
      </c>
      <c r="E15" s="78">
        <v>1750</v>
      </c>
      <c r="F15" s="78">
        <v>4787</v>
      </c>
      <c r="G15" s="78">
        <v>4565</v>
      </c>
      <c r="H15" s="78">
        <v>0</v>
      </c>
      <c r="I15" s="78">
        <v>5046</v>
      </c>
      <c r="J15" s="78">
        <v>206</v>
      </c>
      <c r="K15" s="78">
        <v>671</v>
      </c>
      <c r="L15" s="78">
        <v>2956</v>
      </c>
      <c r="M15" s="78">
        <v>4842</v>
      </c>
      <c r="N15" s="78">
        <v>750</v>
      </c>
      <c r="O15" s="78">
        <v>3906</v>
      </c>
      <c r="P15" s="78">
        <v>0</v>
      </c>
      <c r="Q15" s="78">
        <v>1978</v>
      </c>
      <c r="R15" s="78">
        <v>0</v>
      </c>
      <c r="S15" s="78">
        <v>0</v>
      </c>
      <c r="T15" s="78">
        <v>3350</v>
      </c>
      <c r="U15" s="78">
        <v>3635</v>
      </c>
      <c r="V15" s="78">
        <v>-817</v>
      </c>
      <c r="W15" s="71">
        <v>26</v>
      </c>
      <c r="X15" s="78">
        <v>857</v>
      </c>
      <c r="Y15" s="106">
        <v>-2366</v>
      </c>
      <c r="Z15" s="78">
        <v>0</v>
      </c>
      <c r="AA15" s="78">
        <v>2461</v>
      </c>
      <c r="AB15" s="78" ph="1">
        <v>11</v>
      </c>
      <c r="AC15" s="78" ph="1">
        <v>12</v>
      </c>
      <c r="AD15" s="78">
        <v>4.96</v>
      </c>
      <c r="AE15" s="78">
        <v>19.38</v>
      </c>
      <c r="AG15" s="64" t="s" ph="1">
        <v>214</v>
      </c>
      <c r="AH15" s="64" ph="1">
        <v>1</v>
      </c>
      <c r="AI15" s="64" t="s" ph="1">
        <v>333</v>
      </c>
      <c r="AK15" s="64" t="s" ph="1">
        <v>587</v>
      </c>
      <c r="AM15" s="64" t="s" ph="1">
        <v>335</v>
      </c>
      <c r="AZ15" s="64" t="s" ph="1">
        <v>216</v>
      </c>
      <c r="BA15" s="64" ph="1">
        <v>0</v>
      </c>
    </row>
    <row r="16" spans="1:99" s="72" customFormat="1" ht="22.2" ph="1">
      <c r="B16" s="217" ph="1"/>
      <c r="C16" s="155" t="s" ph="1">
        <v>178</v>
      </c>
      <c r="D16" s="73" ph="1">
        <f>D15*7.0686*LOOKUP(D17,密度!$A$2:$A$50,密度!$L$2:$L$50)</f>
        <v>26150.808776400001</v>
      </c>
      <c r="E16" s="73" ph="1">
        <f>E15*7.0686*LOOKUP(E17,密度!$A$2:$A$50,密度!$L$2:$L$50)</f>
        <v>11553.626700000001</v>
      </c>
      <c r="F16" s="73" ph="1">
        <f>F15*9.0746*LOOKUP(F17,密度!$A$2:$A$50,密度!$L$2:$L$50)</f>
        <v>40529.622816600007</v>
      </c>
      <c r="G16" s="73" ph="1">
        <f>G15*9.0746*LOOKUP(G17,密度!$A$2:$A$50,密度!$B$2:$B$50)</f>
        <v>32295.358000399996</v>
      </c>
      <c r="H16" s="73" ph="1">
        <f>H15*9.0746*LOOKUP(H17,密度!$A$2:$A$50,密度!$L$2:$L$50)</f>
        <v>0</v>
      </c>
      <c r="I16" s="73" ph="1">
        <f>I15*9.0746*LOOKUP(I17,密度!$A$2:$A$50,密度!$U$2:$U$50)</f>
        <v>46935.192389999997</v>
      </c>
      <c r="J16" s="73" ph="1">
        <f>J15*9.0746*LOOKUP(J17,密度!$A$2:$A$50,密度!$L$2:$L$50)</f>
        <v>1747.8587060000002</v>
      </c>
      <c r="K16" s="73" ph="1">
        <f>K15*9.0746*LOOKUP(K17,密度!$A$2:$A$50,密度!$C$2:$C$50)</f>
        <v>6752.1548637400001</v>
      </c>
      <c r="L16" s="73" ph="1">
        <f>L15*9.0746*LOOKUP(L17,密度!$A$2:$A$50,密度!$E$2:$E$50)</f>
        <v>20949.948245600001</v>
      </c>
      <c r="M16" s="73" ph="1">
        <f>M15*9.0746*LOOKUP(M17,密度!$A$2:$A$50,密度!$M$2:$M$50)</f>
        <v>38271.054697200001</v>
      </c>
      <c r="N16" s="73" ph="1">
        <f>N15*9.0746*LOOKUP(N17,密度!$A$2:$A$50,密度!$M$2:$M$50)</f>
        <v>5955.886845</v>
      </c>
      <c r="O16" s="73" ph="1">
        <f>O15*9.0746*LOOKUP(O17,密度!$A$2:$A$50,密度!$G$2:$G$50)</f>
        <v>33992.126708399999</v>
      </c>
      <c r="P16" s="73" ph="1">
        <f ca="1">P15*9.0746*LOOKUP(P17,密度!$A$2:$A$51,密度!$Q$2:$Q$50)</f>
        <v>0</v>
      </c>
      <c r="Q16" s="73" ph="1">
        <f>Q15*9.0746*LOOKUP(Q17,密度!$A$2:$A$50,密度!$Q$2:$Q$50)</f>
        <v>16955.512233655998</v>
      </c>
      <c r="R16" s="73" ph="1">
        <f>MAX(R15*9.0746*LOOKUP(R17,密度!$A$2:$A$50,密度!$Q$2:$Q$50),0)</f>
        <v>0</v>
      </c>
      <c r="S16" s="73" ph="1">
        <f>S15*9.0746*LOOKUP(S17,密度!$A$2:$A$50,密度!$Q$2:$Q$50)</f>
        <v>0</v>
      </c>
      <c r="T16" s="73" ph="1">
        <f>T15*9.0746*LOOKUP(T17,密度!$A$2:$A$50,密度!$O$2:$O$50)</f>
        <v>28150.31666</v>
      </c>
      <c r="U16" s="73" ph="1">
        <f>U15*9.0746*LOOKUP(U17,密度!$A$2:$A$50,密度!$H$2:$H$50)</f>
        <v>30172.450613699999</v>
      </c>
      <c r="V16" s="73" ph="1">
        <f>MAX(5600*LOOKUP(V17,密度!$A$2:$A$50,密度!$Q$2:$Q$50)+V15*9.0476*LOOKUP(V17,密度!$A$2:$A$50,密度!$Q$2:$Q$50),0)</f>
        <v>0</v>
      </c>
      <c r="W16" s="73" ph="1">
        <f>MAX(5600*LOOKUP(W17,密度!$A$2:$A$50,密度!$Q$2:$Q$50)+W15*9.0476*LOOKUP(W17,密度!$A$2:$A$50,密度!$Q$2:$Q$50),0)</f>
        <v>5516.1668080320005</v>
      </c>
      <c r="X16" s="73" ph="1">
        <f>MAX(5600*LOOKUP(X17,密度!$A$2:$A$50,密度!$I$2:$I$50)+X15*9.0476*LOOKUP(X17,密度!$A$2:$A$50,密度!$I$2:$I$50),0)</f>
        <v>13874.591134799997</v>
      </c>
      <c r="Y16" s="107" ph="1">
        <v>0</v>
      </c>
      <c r="Z16" s="73" ph="1">
        <f>Z15*9.0746*LOOKUP(Z17,密度!$A$2:$A$50,密度!$D$2:$D$50)</f>
        <v>0</v>
      </c>
      <c r="AA16" s="73" ph="1">
        <f>AA15*9.0746*LOOKUP(AA17,密度!$A$2:$A$50,密度!$B$2:$B$50)</f>
        <v>17410.487631759999</v>
      </c>
      <c r="AB16" s="73" ph="1">
        <f>AB15*9.0746*LOOKUP(AB17,密度!$A$2:$A$50,密度!$L$2:$L$50)</f>
        <v>93.531902200000005</v>
      </c>
      <c r="AC16" s="73" ph="1">
        <f>AC15*9.0746*LOOKUP(AC17,密度!$A$2:$A$50,密度!$L$2:$L$50)</f>
        <v>102.1436976</v>
      </c>
      <c r="AD16" s="73" ph="1">
        <f>AD15*268.68*LOOKUP(AD17,密度!$A$2:$A$50,密度!B2:B50)+IF(AD15&lt;=0,0,1566*LOOKUP(AD17,密度!$A$2:$A$50,密度!B2:B50))</f>
        <v>2259.7897228800002</v>
      </c>
      <c r="AE16" s="73" ph="1">
        <f>AE15*268.68*LOOKUP(AE17,密度!$A$2:$A$50,密度!B2:B50)+IF(AE15&lt;=0,0,1566*LOOKUP(AE17,密度!$A$2:$A$50,密度!B2:B50))</f>
        <v>5280.2451446399991</v>
      </c>
      <c r="AH16" s="72" ph="1">
        <v>2</v>
      </c>
      <c r="AI16" s="72" t="s" ph="1">
        <v>337</v>
      </c>
      <c r="AZ16" s="72" t="s" ph="1">
        <v>216</v>
      </c>
      <c r="BA16" s="72" ph="1">
        <v>0</v>
      </c>
    </row>
    <row r="17" spans="1:57" ph="1">
      <c r="A17" s="64" t="s" ph="1">
        <v>73</v>
      </c>
      <c r="B17" s="218" ph="1"/>
      <c r="C17" s="79" t="s" ph="1">
        <v>179</v>
      </c>
      <c r="D17" s="74">
        <v>28</v>
      </c>
      <c r="E17" s="74">
        <v>28</v>
      </c>
      <c r="F17" s="74">
        <v>29</v>
      </c>
      <c r="G17" s="74">
        <v>25</v>
      </c>
      <c r="H17" s="74">
        <v>22</v>
      </c>
      <c r="I17" s="74">
        <v>25</v>
      </c>
      <c r="J17" s="74">
        <v>27</v>
      </c>
      <c r="K17" s="74">
        <v>25</v>
      </c>
      <c r="L17" s="74">
        <v>27</v>
      </c>
      <c r="M17" s="74">
        <v>29</v>
      </c>
      <c r="N17" s="74">
        <v>25</v>
      </c>
      <c r="O17" s="74">
        <v>26</v>
      </c>
      <c r="P17" s="74">
        <v>25</v>
      </c>
      <c r="Q17" s="74">
        <v>28</v>
      </c>
      <c r="R17" s="74">
        <v>27</v>
      </c>
      <c r="S17" s="74">
        <v>27</v>
      </c>
      <c r="T17" s="74">
        <v>27</v>
      </c>
      <c r="U17" s="74">
        <v>25</v>
      </c>
      <c r="V17" s="74">
        <v>26</v>
      </c>
      <c r="W17" s="74">
        <v>27</v>
      </c>
      <c r="X17" s="74">
        <v>28</v>
      </c>
      <c r="Y17" s="108">
        <v>28</v>
      </c>
      <c r="Z17" s="74">
        <v>26</v>
      </c>
      <c r="AA17" s="74">
        <v>25</v>
      </c>
      <c r="AB17" s="74">
        <v>25</v>
      </c>
      <c r="AC17" s="74">
        <v>24</v>
      </c>
      <c r="AD17" s="74">
        <v>25</v>
      </c>
      <c r="AE17" s="74">
        <v>25</v>
      </c>
      <c r="AH17" s="64" ph="1">
        <v>3</v>
      </c>
      <c r="AI17" s="64" t="s" ph="1">
        <v>338</v>
      </c>
      <c r="AK17" s="64" t="s" ph="1">
        <v>570</v>
      </c>
      <c r="AL17" s="64" ph="1">
        <v>80</v>
      </c>
      <c r="AM17" s="64" t="s" ph="1">
        <v>335</v>
      </c>
      <c r="AZ17" s="64" t="s" ph="1">
        <v>216</v>
      </c>
      <c r="BA17" s="64" ph="1">
        <v>80</v>
      </c>
      <c r="BD17" s="64" t="s" ph="1">
        <v>214</v>
      </c>
      <c r="BE17" s="64" ph="1">
        <v>2270</v>
      </c>
    </row>
    <row r="18" spans="1:57" ht="26.4" ph="1">
      <c r="B18" s="216" ph="1">
        <v>0.66666666666666663</v>
      </c>
      <c r="C18" s="79" t="s" ph="1">
        <v>180</v>
      </c>
      <c r="D18" s="71">
        <v>1791</v>
      </c>
      <c r="E18" s="71">
        <v>4500</v>
      </c>
      <c r="F18" s="71">
        <v>4908</v>
      </c>
      <c r="G18" s="71">
        <v>1331</v>
      </c>
      <c r="H18" s="71">
        <v>0</v>
      </c>
      <c r="I18" s="71">
        <v>5049</v>
      </c>
      <c r="J18" s="71">
        <v>244</v>
      </c>
      <c r="K18" s="71">
        <v>671</v>
      </c>
      <c r="L18" s="71">
        <v>6245</v>
      </c>
      <c r="M18" s="71">
        <v>1864</v>
      </c>
      <c r="N18" s="71">
        <v>751</v>
      </c>
      <c r="O18" s="71">
        <v>4177</v>
      </c>
      <c r="P18" s="71">
        <v>0</v>
      </c>
      <c r="Q18" s="71">
        <v>1226</v>
      </c>
      <c r="R18" s="71">
        <v>0</v>
      </c>
      <c r="S18" s="71">
        <v>0</v>
      </c>
      <c r="T18" s="71">
        <v>3352</v>
      </c>
      <c r="U18" s="71">
        <v>3634</v>
      </c>
      <c r="V18" s="71">
        <v>-817</v>
      </c>
      <c r="W18" s="71">
        <v>26</v>
      </c>
      <c r="X18" s="71">
        <v>817</v>
      </c>
      <c r="Y18" s="109">
        <v>-9908</v>
      </c>
      <c r="Z18" s="71">
        <v>0</v>
      </c>
      <c r="AA18" s="71">
        <v>2461</v>
      </c>
      <c r="AB18" s="71">
        <v>0</v>
      </c>
      <c r="AC18" s="71">
        <v>17</v>
      </c>
      <c r="AD18" s="71">
        <v>4.8600000000000003</v>
      </c>
      <c r="AE18" s="71">
        <v>68.14</v>
      </c>
      <c r="AH18" s="64" ph="1">
        <v>4</v>
      </c>
      <c r="AI18" s="64" t="s" ph="1">
        <v>340</v>
      </c>
      <c r="AJ18" s="64" t="s" ph="1">
        <v>588</v>
      </c>
      <c r="AK18" s="64" t="s" ph="1">
        <v>587</v>
      </c>
      <c r="AL18" s="64" ph="1">
        <v>740</v>
      </c>
      <c r="AM18" s="64" t="s" ph="1">
        <v>339</v>
      </c>
      <c r="AZ18" s="64" t="s" ph="1">
        <v>216</v>
      </c>
      <c r="BA18" s="64" ph="1">
        <v>740</v>
      </c>
    </row>
    <row r="19" spans="1:57" s="72" customFormat="1" ht="22.2" ph="1">
      <c r="B19" s="217" ph="1"/>
      <c r="C19" s="155" t="s" ph="1">
        <v>178</v>
      </c>
      <c r="D19" s="73" ph="1">
        <f>D18*7.0686*LOOKUP(D20,密度!$A$2:$A$50,密度!$L$2:$L$50)</f>
        <v>11798.991943200001</v>
      </c>
      <c r="E19" s="73" ph="1">
        <f>E18*7.0686*LOOKUP(E20,密度!$A$2:$A$50,密度!$L$2:$L$50)</f>
        <v>29645.708400000003</v>
      </c>
      <c r="F19" s="73" ph="1">
        <f>F18*9.0746*LOOKUP(F20,密度!$A$2:$A$50,密度!$L$2:$L$50)</f>
        <v>41509.543497600003</v>
      </c>
      <c r="G19" s="73" ph="1">
        <f>G18*9.0746*LOOKUP(G20,密度!$A$2:$A$50,密度!$B$2:$B$50)</f>
        <v>9375.1707161200011</v>
      </c>
      <c r="H19" s="73" ph="1">
        <f>H18*9.0746*LOOKUP(H20,密度!$A$2:$A$50,密度!$L$2:$L$50)</f>
        <v>0</v>
      </c>
      <c r="I19" s="73" ph="1">
        <f>I18*9.0746*LOOKUP(I20,密度!$A$2:$A$50,密度!$U$2:$U$50)</f>
        <v>46779.826163400001</v>
      </c>
      <c r="J19" s="73" ph="1">
        <f>J18*9.0746*LOOKUP(J20,密度!$A$2:$A$50,密度!$L$2:$L$50)</f>
        <v>2063.6366368000004</v>
      </c>
      <c r="K19" s="73" ph="1">
        <f>K18*9.0746*LOOKUP(K20,密度!$A$2:$A$50,密度!$C$2:$C$50)</f>
        <v>6733.8876939400006</v>
      </c>
      <c r="L19" s="73" ph="1">
        <f>L18*9.0746*LOOKUP(L20,密度!$A$2:$A$50,密度!$E$2:$E$50)</f>
        <v>44067.273955199998</v>
      </c>
      <c r="M19" s="73" ph="1">
        <f>M18*9.0746*LOOKUP(M20,密度!$A$2:$A$50,密度!$M$2:$M$50)</f>
        <v>14696.983316528002</v>
      </c>
      <c r="N19" s="73" ph="1">
        <f>N18*9.0746*LOOKUP(N20,密度!$A$2:$A$50,密度!$M$2:$M$50)</f>
        <v>5942.7014511999996</v>
      </c>
      <c r="O19" s="73" ph="1">
        <f>O18*9.0746*LOOKUP(O20,密度!$A$2:$A$50,密度!$G$2:$G$50)</f>
        <v>36233.011154779997</v>
      </c>
      <c r="P19" s="73" ph="1">
        <f ca="1">P18*9.0746*LOOKUP(P20,密度!$A$2:$A$51,密度!$Q$2:$Q$50)</f>
        <v>0</v>
      </c>
      <c r="Q19" s="73" ph="1">
        <f>Q18*9.0746*LOOKUP(Q20,密度!$A$2:$A$50,密度!$Q$2:$Q$50)</f>
        <v>10494.979804468001</v>
      </c>
      <c r="R19" s="73" ph="1">
        <f>MAX(R18*9.0746*LOOKUP(R20,密度!$A$2:$A$50,密度!$Q$2:$Q$50),0)</f>
        <v>0</v>
      </c>
      <c r="S19" s="73" ph="1">
        <f>S18*9.0746*LOOKUP(S20,密度!$A$2:$A$50,密度!$Q$2:$Q$50)</f>
        <v>0</v>
      </c>
      <c r="T19" s="73" ph="1">
        <f>T18*9.0746*LOOKUP(T20,密度!$A$2:$A$50,密度!$O$2:$O$50)</f>
        <v>28045.450582400001</v>
      </c>
      <c r="U19" s="73" ph="1">
        <f>U18*9.0746*LOOKUP(U20,密度!$A$2:$A$50,密度!$H$2:$H$50)</f>
        <v>30137.768399960005</v>
      </c>
      <c r="V19" s="73" ph="1">
        <f>MAX(5600*LOOKUP(V20,密度!$A$2:$A$50,密度!$Q$2:$Q$50)+V18*9.0476*LOOKUP(V20,密度!$A$2:$A$50,密度!$Q$2:$Q$50),0)</f>
        <v>0</v>
      </c>
      <c r="W19" s="73" ph="1">
        <f>MAX(5600*LOOKUP(W20,密度!$A$2:$A$50,密度!$Q$2:$Q$50)+W18*9.0476*LOOKUP(W20,密度!$A$2:$A$50,密度!$Q$2:$Q$50),0)</f>
        <v>5504.5546852080006</v>
      </c>
      <c r="X19" s="73" ph="1">
        <f>MAX(5600*LOOKUP(X20,密度!$A$2:$A$50,密度!$I$2:$I$50)+X18*9.0476*LOOKUP(X20,密度!$A$2:$A$50,密度!$I$2:$I$50),0)</f>
        <v>13468.691533639998</v>
      </c>
      <c r="Y19" s="73" ph="1">
        <f>MAX(5600*LOOKUP(Y20,密度!$A$2:$A$50,密度!$I$2:$I$50)+Y18*9.0476*LOOKUP(Y20,密度!$A$2:$A$50,密度!$I$2:$I$50),0)</f>
        <v>0</v>
      </c>
      <c r="Z19" s="73" ph="1">
        <f>Z18*9.0746*LOOKUP(Z20,密度!$A$2:$A$50,密度!$D$2:$D$50)</f>
        <v>0</v>
      </c>
      <c r="AA19" s="73" ph="1">
        <f>AA18*9.0746*LOOKUP(AA20,密度!$A$2:$A$50,密度!$B$2:$B$50)</f>
        <v>17390.388300219998</v>
      </c>
      <c r="AB19" s="73" ph="1">
        <f>AB18*9.0746*LOOKUP(AB20,密度!$A$2:$A$50,密度!$L$2:$L$50)</f>
        <v>0</v>
      </c>
      <c r="AC19" s="73" ph="1">
        <f>AC18*9.0746*LOOKUP(AC20,密度!$A$2:$A$50,密度!$L$2:$L$50)</f>
        <v>144.39503520000002</v>
      </c>
      <c r="AD19" s="73" ph="1">
        <f>AD18*268.68*LOOKUP(AD20,密度!$A$2:$A$50,密度!B5:B53)+IF(AD18&lt;=0,0,1566*LOOKUP(AD20,密度!$A$2:$A$50,密度!B5:B53))</f>
        <v>2231.3767895999999</v>
      </c>
      <c r="AE19" s="73" ph="1">
        <f>AE18*268.68*LOOKUP(AE20,密度!$A$2:$A$50,密度!B5:B53)+IF(AE18&lt;=0,0,1566*LOOKUP(AE20,密度!$A$2:$A$50,密度!B5:B53))</f>
        <v>15441.9854904</v>
      </c>
      <c r="AH19" s="72" ph="1">
        <v>5</v>
      </c>
      <c r="AI19" s="72" t="s" ph="1">
        <v>341</v>
      </c>
      <c r="AZ19" s="72" t="s" ph="1">
        <v>216</v>
      </c>
      <c r="BA19" s="72" ph="1">
        <v>0</v>
      </c>
      <c r="BD19" s="72" t="s" ph="1">
        <v>342</v>
      </c>
      <c r="BE19" s="72" ph="1">
        <v>1440</v>
      </c>
    </row>
    <row r="20" spans="1:57" ph="1">
      <c r="A20" s="72" ph="1"/>
      <c r="B20" s="217" ph="1"/>
      <c r="C20" s="80" t="s" ph="1">
        <v>179</v>
      </c>
      <c r="D20" s="81">
        <v>30</v>
      </c>
      <c r="E20" s="81">
        <v>30</v>
      </c>
      <c r="F20" s="81">
        <v>30</v>
      </c>
      <c r="G20" s="81">
        <v>29</v>
      </c>
      <c r="H20" s="81">
        <v>25</v>
      </c>
      <c r="I20" s="81">
        <v>29</v>
      </c>
      <c r="J20" s="81">
        <v>30</v>
      </c>
      <c r="K20" s="81">
        <v>29</v>
      </c>
      <c r="L20" s="81">
        <v>30</v>
      </c>
      <c r="M20" s="81">
        <v>31</v>
      </c>
      <c r="N20" s="81">
        <v>28</v>
      </c>
      <c r="O20" s="81">
        <v>29</v>
      </c>
      <c r="P20" s="81">
        <v>40</v>
      </c>
      <c r="Q20" s="81">
        <v>30</v>
      </c>
      <c r="R20" s="81">
        <v>35</v>
      </c>
      <c r="S20" s="81">
        <v>30</v>
      </c>
      <c r="T20" s="81">
        <v>30</v>
      </c>
      <c r="U20" s="81">
        <v>26</v>
      </c>
      <c r="V20" s="81">
        <v>29</v>
      </c>
      <c r="W20" s="81">
        <v>30</v>
      </c>
      <c r="X20" s="81">
        <v>30</v>
      </c>
      <c r="Y20" s="110">
        <v>30</v>
      </c>
      <c r="Z20" s="81">
        <v>31</v>
      </c>
      <c r="AA20" s="81">
        <v>26</v>
      </c>
      <c r="AB20" s="81">
        <v>31</v>
      </c>
      <c r="AC20" s="81">
        <v>26</v>
      </c>
      <c r="AD20" s="81">
        <v>25</v>
      </c>
      <c r="AE20" s="81">
        <v>25</v>
      </c>
      <c r="AF20" s="64" t="s" ph="1">
        <v>35</v>
      </c>
      <c r="AH20" s="64" ph="1">
        <v>6</v>
      </c>
      <c r="AI20" s="64" t="s" ph="1">
        <v>343</v>
      </c>
      <c r="AZ20" s="64" t="s" ph="1">
        <v>216</v>
      </c>
      <c r="BA20" s="64" ph="1">
        <v>0</v>
      </c>
    </row>
    <row r="21" spans="1:57" ph="1">
      <c r="A21" s="72" ph="1"/>
      <c r="B21" s="82" ph="1"/>
      <c r="C21" s="83" ph="1"/>
      <c r="D21" s="84"/>
      <c r="E21" s="84"/>
      <c r="F21" s="84"/>
      <c r="G21" s="84"/>
      <c r="H21" s="84"/>
      <c r="I21" s="84"/>
      <c r="J21" s="84"/>
      <c r="K21" s="84"/>
      <c r="L21" s="84"/>
      <c r="M21" s="84"/>
      <c r="N21" s="84"/>
      <c r="O21" s="84"/>
      <c r="P21" s="84"/>
      <c r="Q21" s="84"/>
      <c r="R21" s="84"/>
      <c r="S21" s="84"/>
      <c r="T21" s="84"/>
      <c r="U21" s="84"/>
      <c r="V21" s="84"/>
      <c r="W21" s="84"/>
      <c r="X21" s="84"/>
      <c r="Y21" s="84"/>
      <c r="Z21" s="84"/>
      <c r="AA21" s="84"/>
      <c r="AB21" s="84"/>
      <c r="AC21" s="84"/>
      <c r="AD21" s="84"/>
      <c r="AE21" s="84"/>
      <c r="AH21" s="64" ph="1">
        <v>7</v>
      </c>
      <c r="AI21" s="64" t="s" ph="1">
        <v>344</v>
      </c>
      <c r="AZ21" s="64" t="s" ph="1">
        <v>216</v>
      </c>
      <c r="BA21" s="64" ph="1">
        <v>0</v>
      </c>
      <c r="BD21" s="64" t="s" ph="1">
        <v>232</v>
      </c>
      <c r="BE21" s="64" ph="1">
        <v>730</v>
      </c>
    </row>
    <row r="22" spans="1:57" ph="1">
      <c r="A22" s="72" ph="1"/>
      <c r="B22" s="215" t="s" ph="1">
        <v>37</v>
      </c>
      <c r="C22" s="85" t="s" ph="1">
        <v>176</v>
      </c>
      <c r="D22" s="86" t="s" ph="1">
        <v>86</v>
      </c>
      <c r="E22" s="86" t="s" ph="1">
        <v>87</v>
      </c>
      <c r="F22" s="86" t="s" ph="1">
        <v>88</v>
      </c>
      <c r="G22" s="86" t="s" ph="1">
        <v>89</v>
      </c>
      <c r="H22" s="86" t="s" ph="1">
        <v>90</v>
      </c>
      <c r="I22" s="86" t="s" ph="1">
        <v>91</v>
      </c>
      <c r="J22" s="86" t="s" ph="1">
        <v>92</v>
      </c>
      <c r="K22" s="86" t="s" ph="1">
        <v>93</v>
      </c>
      <c r="L22" s="86" t="s" ph="1">
        <v>94</v>
      </c>
      <c r="M22" s="86" t="s" ph="1">
        <v>95</v>
      </c>
      <c r="N22" s="86" t="s" ph="1">
        <v>96</v>
      </c>
      <c r="O22" s="86" t="s" ph="1">
        <v>97</v>
      </c>
      <c r="P22" s="86" t="s" ph="1">
        <v>98</v>
      </c>
      <c r="Q22" s="87" t="s" ph="1">
        <v>99</v>
      </c>
      <c r="R22" s="86" t="s" ph="1">
        <v>100</v>
      </c>
      <c r="S22" s="86" t="s" ph="1">
        <v>101</v>
      </c>
      <c r="T22" s="86" t="s" ph="1">
        <v>102</v>
      </c>
      <c r="U22" s="86" t="s" ph="1">
        <v>103</v>
      </c>
      <c r="V22" s="86" t="s" ph="1">
        <v>104</v>
      </c>
      <c r="W22" s="86" t="s" ph="1">
        <v>105</v>
      </c>
      <c r="X22" s="86" t="s" ph="1">
        <v>106</v>
      </c>
      <c r="Y22" s="86" t="s" ph="1">
        <v>108</v>
      </c>
      <c r="Z22" s="225" t="s" ph="1">
        <v>69</v>
      </c>
      <c r="AA22" s="226"/>
      <c r="AB22" s="226"/>
      <c r="AC22" s="226"/>
      <c r="AD22" s="226"/>
      <c r="AE22" s="227"/>
      <c r="AH22" s="64" ph="1">
        <v>8</v>
      </c>
      <c r="AI22" s="64" t="s" ph="1">
        <v>345</v>
      </c>
      <c r="AZ22" s="64" t="s" ph="1">
        <v>216</v>
      </c>
      <c r="BA22" s="64" ph="1">
        <v>0</v>
      </c>
    </row>
    <row r="23" spans="1:57" ph="1">
      <c r="A23" s="72" ph="1"/>
      <c r="B23" s="219" ph="1"/>
      <c r="C23" s="67" t="s" ph="1">
        <v>36</v>
      </c>
      <c r="D23" s="88" t="s" ph="1">
        <v>109</v>
      </c>
      <c r="E23" s="88" t="s" ph="1">
        <v>107</v>
      </c>
      <c r="F23" s="88" t="s" ph="1">
        <v>109</v>
      </c>
      <c r="G23" s="88" t="s" ph="1">
        <v>626</v>
      </c>
      <c r="H23" s="88" t="s" ph="1">
        <v>626</v>
      </c>
      <c r="I23" s="88" t="s" ph="1">
        <v>627</v>
      </c>
      <c r="J23" s="88" t="s" ph="1">
        <v>628</v>
      </c>
      <c r="K23" s="88" t="s" ph="1">
        <v>628</v>
      </c>
      <c r="L23" s="88" t="s" ph="1">
        <v>628</v>
      </c>
      <c r="M23" s="88" t="s" ph="1">
        <v>623</v>
      </c>
      <c r="N23" s="88" t="s" ph="1">
        <v>623</v>
      </c>
      <c r="O23" s="88" t="s" ph="1">
        <v>645</v>
      </c>
      <c r="P23" s="88" t="s" ph="1">
        <v>629</v>
      </c>
      <c r="Q23" s="89" t="s" ph="1">
        <v>643</v>
      </c>
      <c r="R23" s="88" t="s" ph="1">
        <v>610</v>
      </c>
      <c r="S23" s="88" t="s" ph="1">
        <v>629</v>
      </c>
      <c r="T23" s="88" t="s" ph="1">
        <v>604</v>
      </c>
      <c r="U23" s="104" t="s" ph="1">
        <v>606</v>
      </c>
      <c r="V23" s="88" t="s" ph="1">
        <v>629</v>
      </c>
      <c r="W23" s="88" t="s" ph="1">
        <v>629</v>
      </c>
      <c r="X23" s="88" t="s" ph="1">
        <v>187</v>
      </c>
      <c r="Y23" s="88" t="s" ph="1">
        <v>630</v>
      </c>
      <c r="Z23" s="228" t="s" ph="1">
        <v>646</v>
      </c>
      <c r="AA23" s="229"/>
      <c r="AB23" s="229"/>
      <c r="AC23" s="229"/>
      <c r="AD23" s="229"/>
      <c r="AE23" s="230"/>
      <c r="AH23" s="64" ph="1">
        <v>9</v>
      </c>
      <c r="AI23" s="64" t="s" ph="1">
        <v>346</v>
      </c>
      <c r="AZ23" s="64" t="s" ph="1">
        <v>216</v>
      </c>
      <c r="BA23" s="64" ph="1">
        <v>0</v>
      </c>
      <c r="BD23" s="64" t="s" ph="1">
        <v>238</v>
      </c>
      <c r="BE23" s="64" ph="1">
        <v>890</v>
      </c>
    </row>
    <row r="24" spans="1:57" ph="1">
      <c r="A24" s="72" ph="1"/>
      <c r="B24" s="237" ph="1">
        <v>0.33333333333333331</v>
      </c>
      <c r="C24" s="155" t="s" ph="1">
        <v>177</v>
      </c>
      <c r="D24" s="71">
        <v>41.85</v>
      </c>
      <c r="E24" s="71">
        <v>68.150000000000006</v>
      </c>
      <c r="F24" s="71">
        <v>3</v>
      </c>
      <c r="G24" s="71">
        <v>2685</v>
      </c>
      <c r="H24" s="71">
        <v>3713</v>
      </c>
      <c r="I24" s="71">
        <v>0</v>
      </c>
      <c r="J24" s="71">
        <v>804</v>
      </c>
      <c r="K24" s="71">
        <v>210</v>
      </c>
      <c r="L24" s="71">
        <v>301</v>
      </c>
      <c r="M24" s="71">
        <v>1380</v>
      </c>
      <c r="N24" s="71">
        <v>283</v>
      </c>
      <c r="O24" s="71">
        <v>3</v>
      </c>
      <c r="P24" s="71">
        <v>365</v>
      </c>
      <c r="Q24" s="90">
        <v>3542</v>
      </c>
      <c r="R24" s="71">
        <v>3751</v>
      </c>
      <c r="S24" s="71">
        <v>2277</v>
      </c>
      <c r="T24" s="71">
        <v>133</v>
      </c>
      <c r="U24" s="71">
        <v>6214</v>
      </c>
      <c r="V24" s="71">
        <v>737</v>
      </c>
      <c r="W24" s="71">
        <v>434</v>
      </c>
      <c r="X24" s="71">
        <v>3471</v>
      </c>
      <c r="Y24" s="71">
        <v>4604</v>
      </c>
      <c r="Z24" s="231"/>
      <c r="AA24" s="232"/>
      <c r="AB24" s="232"/>
      <c r="AC24" s="232"/>
      <c r="AD24" s="232"/>
      <c r="AE24" s="233"/>
      <c r="AH24" s="64" ph="1">
        <v>10</v>
      </c>
      <c r="AI24" s="64" t="s" ph="1">
        <v>347</v>
      </c>
      <c r="AZ24" s="64" t="s" ph="1">
        <v>216</v>
      </c>
      <c r="BA24" s="64" ph="1">
        <v>0</v>
      </c>
    </row>
    <row r="25" spans="1:57" ph="1">
      <c r="A25" s="72" ph="1"/>
      <c r="B25" s="237" ph="1"/>
      <c r="C25" s="68" t="s" ph="1">
        <v>178</v>
      </c>
      <c r="D25" s="91" ph="1">
        <f>D24*268.68*LOOKUP(D26,密度!$A$2:$A$50,密度!$Q$2:$Q$50)+IF(D24&lt;=0,0,1566*LOOKUP(D26,密度!$A$2:$A$50,密度!$Q$2:$Q$50))</f>
        <v>12127.98365892</v>
      </c>
      <c r="E25" s="91" ph="1">
        <f>E24*268.68*LOOKUP(E26,密度!$A$2:$A$50,密度!$C$2:$C$50)+IF(E24&lt;=0,0,1566*LOOKUP(E26,密度!$A$2:$A$50,密度!$C$2:$C$50))</f>
        <v>22041.097423800002</v>
      </c>
      <c r="F25" s="91" ph="1">
        <f>F24*11.702*LOOKUP(F26,密度!$A$2:$A$50,密度!$Q$2:$Q$50)</f>
        <v>33.236254440000003</v>
      </c>
      <c r="G25" s="91" ph="1">
        <f>G24*18.322*LOOKUP(G26,密度!$A$2:$A$50,密度!$B$2:$B$50)</f>
        <v>38307.811658999999</v>
      </c>
      <c r="H25" s="91" ph="1">
        <f>H24*18.322*LOOKUP(H26,密度!$A$2:$A$50,密度!$B$2:$B$50)</f>
        <v>52974.638618199991</v>
      </c>
      <c r="I25" s="91" ph="1">
        <f>I24*18.322*LOOKUP(I26,密度!$A$2:$A$50,密度!$Q$2:$Q$50)</f>
        <v>0</v>
      </c>
      <c r="J25" s="91" ph="1">
        <f>J24*18.322*LOOKUP(J26,密度!$A$2:$A$50,密度!$Q$2:$Q$50)</f>
        <v>13946.320905119999</v>
      </c>
      <c r="K25" s="91" ph="1">
        <f>K24*18.322*LOOKUP(K26,密度!$A$2:$A$50,密度!$Q$2:$Q$50)</f>
        <v>3639.9639486000001</v>
      </c>
      <c r="L25" s="91" ph="1">
        <f>L24*18.322*LOOKUP(L26,密度!$A$2:$A$50,密度!$Q$2:$Q$50)</f>
        <v>5217.2816596599996</v>
      </c>
      <c r="M25" s="91" ph="1">
        <f>M24*18.322*LOOKUP(M26,密度!$A$2:$A$50,密度!$Q$2:$Q$50)</f>
        <v>23937.714986400002</v>
      </c>
      <c r="N25" s="91" ph="1">
        <f>N24*18.322*LOOKUP(N26,密度!$A$2:$A$50,密度!$Q$2:$Q$50)</f>
        <v>4908.9661892399999</v>
      </c>
      <c r="O25" s="91" ph="1">
        <f>O24*18.322*LOOKUP(O26,密度!$A$2:$A$50,密度!$C$2:$C$50)</f>
        <v>60.907824599999998</v>
      </c>
      <c r="P25" s="91" ph="1">
        <f>P24*11.702*LOOKUP(P26,密度!$A$2:$A$50,密度!$B$2:$B$50)</f>
        <v>3329.8509079999994</v>
      </c>
      <c r="Q25" s="92" ph="1">
        <f>Q24*18.322*LOOKUP(Q26,密度!$A$2:$A$50,密度!$B$2:$B$50)</f>
        <v>50593.330110399998</v>
      </c>
      <c r="R25" s="91" ph="1">
        <f>R24*35.891*LOOKUP(R26,密度!$A$2:$A$50,密度!$C$2:$C$50)</f>
        <v>149086.0959434</v>
      </c>
      <c r="S25" s="91" ph="1">
        <f>S24*35.891*LOOKUP(S26,密度!$A$2:$A$50,密度!$B$2:$B$50)</f>
        <v>63638.328510899999</v>
      </c>
      <c r="T25" s="91" ph="1">
        <f>T24*35.891*LOOKUP(T26,密度!$A$2:$A$50,密度!$Q$2:$Q$50)</f>
        <v>4515.8770430899995</v>
      </c>
      <c r="U25" s="91" ph="1">
        <f>U24*35.891</f>
        <v>223026.674</v>
      </c>
      <c r="V25" s="91" ph="1">
        <f>V24*47.051*LOOKUP(V26,密度!$A$2:$A$50,密度!$B$2:$B$50)</f>
        <v>27033.8672252</v>
      </c>
      <c r="W25" s="91" ph="1">
        <f>W24*47.051*LOOKUP(W26,密度!$A$2:$A$50,密度!$B$2:$B$50)</f>
        <v>15901.1583458</v>
      </c>
      <c r="X25" s="91" ph="1">
        <f>X24*47.051*LOOKUP(X26,密度!$A$2:$A$61,密度!$I$2:$I$61)</f>
        <v>169862.91324210001</v>
      </c>
      <c r="Y25" s="91" ph="1">
        <f>Y24*47.051*LOOKUP(Y26,密度!$A$2:$A$50,密度!$L$2:$L$50)</f>
        <v>202758.94454400003</v>
      </c>
      <c r="Z25" s="231"/>
      <c r="AA25" s="232"/>
      <c r="AB25" s="232"/>
      <c r="AC25" s="232"/>
      <c r="AD25" s="232"/>
      <c r="AE25" s="233"/>
      <c r="AH25" s="64" ph="1">
        <v>11</v>
      </c>
      <c r="AI25" s="64" t="s" ph="1">
        <v>348</v>
      </c>
      <c r="AZ25" s="64" t="s" ph="1">
        <v>216</v>
      </c>
      <c r="BA25" s="64" ph="1">
        <v>0</v>
      </c>
      <c r="BD25" s="64" t="s" ph="1">
        <v>241</v>
      </c>
      <c r="BE25" s="64" ph="1">
        <v>8920</v>
      </c>
    </row>
    <row r="26" spans="1:57" ph="1">
      <c r="A26" s="72" ph="1"/>
      <c r="B26" s="237" ph="1"/>
      <c r="C26" s="68" t="s" ph="1">
        <v>179</v>
      </c>
      <c r="D26" s="74">
        <v>25</v>
      </c>
      <c r="E26" s="74">
        <v>25</v>
      </c>
      <c r="F26" s="74">
        <v>25</v>
      </c>
      <c r="G26" s="74">
        <v>26</v>
      </c>
      <c r="H26" s="74">
        <v>26</v>
      </c>
      <c r="I26" s="74">
        <v>25</v>
      </c>
      <c r="J26" s="74">
        <v>25</v>
      </c>
      <c r="K26" s="74">
        <v>26</v>
      </c>
      <c r="L26" s="74">
        <v>26</v>
      </c>
      <c r="M26" s="74">
        <v>25</v>
      </c>
      <c r="N26" s="74">
        <v>25</v>
      </c>
      <c r="O26" s="74">
        <v>26</v>
      </c>
      <c r="P26" s="74">
        <v>25</v>
      </c>
      <c r="Q26" s="93">
        <v>25</v>
      </c>
      <c r="R26" s="74">
        <v>27</v>
      </c>
      <c r="S26" s="74">
        <v>26</v>
      </c>
      <c r="T26" s="74">
        <v>26</v>
      </c>
      <c r="U26" s="74">
        <v>25</v>
      </c>
      <c r="V26" s="74">
        <v>25</v>
      </c>
      <c r="W26" s="74">
        <v>26</v>
      </c>
      <c r="X26" s="74">
        <v>27</v>
      </c>
      <c r="Y26" s="74">
        <v>26</v>
      </c>
      <c r="Z26" s="231"/>
      <c r="AA26" s="232"/>
      <c r="AB26" s="232"/>
      <c r="AC26" s="232"/>
      <c r="AD26" s="232"/>
      <c r="AE26" s="233"/>
      <c r="AH26" s="64" ph="1">
        <v>12</v>
      </c>
      <c r="AI26" s="64" t="s" ph="1">
        <v>349</v>
      </c>
      <c r="AZ26" s="64" t="s" ph="1">
        <v>216</v>
      </c>
      <c r="BA26" s="64" ph="1">
        <v>0</v>
      </c>
    </row>
    <row r="27" spans="1:57" ht="26.4" ph="1">
      <c r="A27" s="72" ph="1"/>
      <c r="B27" s="237" ph="1">
        <v>0.66666666666666663</v>
      </c>
      <c r="C27" s="155" t="s" ph="1">
        <v>180</v>
      </c>
      <c r="D27" s="71">
        <v>68.47</v>
      </c>
      <c r="E27" s="71">
        <v>5.78</v>
      </c>
      <c r="F27" s="71">
        <v>40</v>
      </c>
      <c r="G27" s="71">
        <v>2607</v>
      </c>
      <c r="H27" s="71">
        <v>3227</v>
      </c>
      <c r="I27" s="71">
        <v>0</v>
      </c>
      <c r="J27" s="71">
        <v>802</v>
      </c>
      <c r="K27" s="71">
        <v>206</v>
      </c>
      <c r="L27" s="71">
        <v>296</v>
      </c>
      <c r="M27" s="71">
        <v>3698</v>
      </c>
      <c r="N27" s="71">
        <v>3103</v>
      </c>
      <c r="O27" s="71">
        <v>858</v>
      </c>
      <c r="P27" s="71">
        <v>362</v>
      </c>
      <c r="Q27" s="90">
        <v>3741</v>
      </c>
      <c r="R27" s="71">
        <v>3749</v>
      </c>
      <c r="S27" s="71">
        <v>2274</v>
      </c>
      <c r="T27" s="71">
        <v>131</v>
      </c>
      <c r="U27" s="71">
        <v>5961</v>
      </c>
      <c r="V27" s="71">
        <v>733</v>
      </c>
      <c r="W27" s="71">
        <v>430</v>
      </c>
      <c r="X27" s="71">
        <v>3953</v>
      </c>
      <c r="Y27" s="71">
        <v>3399</v>
      </c>
      <c r="Z27" s="231"/>
      <c r="AA27" s="232"/>
      <c r="AB27" s="232"/>
      <c r="AC27" s="232"/>
      <c r="AD27" s="232"/>
      <c r="AE27" s="233"/>
      <c r="AH27" s="64" ph="1">
        <v>13</v>
      </c>
      <c r="AI27" s="64" t="s" ph="1">
        <v>350</v>
      </c>
      <c r="AZ27" s="64" t="s" ph="1">
        <v>216</v>
      </c>
      <c r="BA27" s="64" ph="1">
        <v>0</v>
      </c>
      <c r="BD27" s="64" t="s" ph="1">
        <v>295</v>
      </c>
      <c r="BE27" s="64" ph="1">
        <v>7100</v>
      </c>
    </row>
    <row r="28" spans="1:57" ph="1">
      <c r="A28" s="72" ph="1"/>
      <c r="B28" s="237" ph="1"/>
      <c r="C28" s="155" t="s" ph="1">
        <v>178</v>
      </c>
      <c r="D28" s="91" ph="1">
        <f>D27*268.68*LOOKUP(D29,密度!$A$2:$A$50,密度!$Q$2:$Q$50)+IF(D27&lt;=0,0,1566*LOOKUP(D29,密度!$A$2:$A$50,密度!$Q$2:$Q$50))</f>
        <v>18899.315806104001</v>
      </c>
      <c r="E28" s="91" ph="1">
        <f>E27*268.68*LOOKUP(E29,密度!$A$2:$A$50,密度!$C$2:$C$50)+IF(E27&lt;=0,0,1566*LOOKUP(E29,密度!$A$2:$A$50,密度!$C$2:$C$50))</f>
        <v>3458.6262765600004</v>
      </c>
      <c r="F28" s="91" ph="1">
        <f>F27*11.702*LOOKUP(F29,密度!$A$2:$A$50,密度!$Q$2:$Q$50)</f>
        <v>442.48538560000003</v>
      </c>
      <c r="G28" s="91" ph="1">
        <f>G27*18.322*LOOKUP(G29,密度!$A$2:$A$50,密度!$B$2:$B$50)</f>
        <v>37075.545394799999</v>
      </c>
      <c r="H28" s="91" ph="1">
        <f>H27*18.322*LOOKUP(H29,密度!$A$2:$A$50,密度!$B$2:$B$50)</f>
        <v>45993.4106226</v>
      </c>
      <c r="I28" s="91" ph="1">
        <f>I27*18.322*LOOKUP(I29,密度!$A$2:$A$50,密度!$Q$2:$Q$50)</f>
        <v>0</v>
      </c>
      <c r="J28" s="91" ph="1">
        <f>J27*18.322*LOOKUP(J29,密度!$A$2:$A$50,密度!$Q$2:$Q$50)</f>
        <v>13870.33773892</v>
      </c>
      <c r="K28" s="91" ph="1">
        <f>K27*18.322*LOOKUP(K29,密度!$A$2:$A$50,密度!$Q$2:$Q$50)</f>
        <v>3565.30949384</v>
      </c>
      <c r="L28" s="91" ph="1">
        <f>L27*18.322*LOOKUP(L29,密度!$A$2:$A$50,密度!$Q$2:$Q$50)</f>
        <v>5122.9689814399999</v>
      </c>
      <c r="M28" s="91" ph="1">
        <f>M27*18.322*LOOKUP(M29,密度!$A$2:$A$50,密度!$Q$2:$Q$50)</f>
        <v>63955.746831079996</v>
      </c>
      <c r="N28" s="91" ph="1">
        <f>N27*18.322*LOOKUP(N29,密度!$A$2:$A$50,密度!$Q$2:$Q$50)</f>
        <v>53704.637666919996</v>
      </c>
      <c r="O28" s="91" ph="1">
        <f>O27*18.322*LOOKUP(O29,密度!$A$2:$A$50,密度!$C$2:$C$50)</f>
        <v>17385.0532284</v>
      </c>
      <c r="P28" s="91" ph="1">
        <f>P27*11.702*LOOKUP(P29,密度!$A$2:$A$50,密度!$B$2:$B$50)</f>
        <v>3284.2669371999996</v>
      </c>
      <c r="Q28" s="92" ph="1">
        <f>Q27*18.322*LOOKUP(Q29,密度!$A$2:$A$50,密度!$B$2:$B$50)</f>
        <v>53079.390988799998</v>
      </c>
      <c r="R28" s="91" ph="1">
        <f>R27*35.891*LOOKUP(R29,密度!$A$2:$A$50,密度!$C$2:$C$50)</f>
        <v>148562.5718719</v>
      </c>
      <c r="S28" s="91" ph="1">
        <f>S27*35.891*LOOKUP(S29,密度!$A$2:$A$50,密度!$B$2:$B$50)</f>
        <v>63276.988690199993</v>
      </c>
      <c r="T28" s="91" ph="1">
        <f>T27*35.891*LOOKUP(T29,密度!$A$2:$A$50,密度!$Q$2:$Q$50)</f>
        <v>4435.2744709299996</v>
      </c>
      <c r="U28" s="91" ph="1">
        <f>U27*35.891</f>
        <v>213946.25099999999</v>
      </c>
      <c r="V28" s="91" ph="1">
        <f>V27*47.051*LOOKUP(V29,密度!$A$2:$A$50,密度!$B$2:$B$50)</f>
        <v>26707.803795200001</v>
      </c>
      <c r="W28" s="91" ph="1">
        <f>W27*47.051*LOOKUP(W29,密度!$A$2:$A$50,密度!$B$2:$B$50)</f>
        <v>15667.606592</v>
      </c>
      <c r="X28" s="91" ph="1">
        <f>X27*47.051*LOOKUP(X29,密度!$A$2:$A$61,密度!$I$2:$I$61)</f>
        <v>192204.75594020003</v>
      </c>
      <c r="Y28" s="91" ph="1">
        <f>Y27*47.051*LOOKUP(Y29,密度!$A$2:$A$50,密度!$L$2:$L$50)</f>
        <v>149051.35726800002</v>
      </c>
      <c r="Z28" s="231"/>
      <c r="AA28" s="232"/>
      <c r="AB28" s="232"/>
      <c r="AC28" s="232"/>
      <c r="AD28" s="232"/>
      <c r="AE28" s="233"/>
      <c r="AH28" s="64" ph="1">
        <v>14</v>
      </c>
      <c r="AI28" s="64" t="s" ph="1">
        <v>351</v>
      </c>
      <c r="AZ28" s="64" t="s" ph="1">
        <v>216</v>
      </c>
      <c r="BA28" s="64" ph="1">
        <v>0</v>
      </c>
    </row>
    <row r="29" spans="1:57" ph="1">
      <c r="A29" s="72" ph="1"/>
      <c r="B29" s="237" ph="1"/>
      <c r="C29" s="155" t="s" ph="1">
        <v>179</v>
      </c>
      <c r="D29" s="74">
        <v>25</v>
      </c>
      <c r="E29" s="74">
        <v>25</v>
      </c>
      <c r="F29" s="74">
        <v>27</v>
      </c>
      <c r="G29" s="74">
        <v>29</v>
      </c>
      <c r="H29" s="74">
        <v>27</v>
      </c>
      <c r="I29" s="74">
        <v>27</v>
      </c>
      <c r="J29" s="74">
        <v>29</v>
      </c>
      <c r="K29" s="74">
        <v>28</v>
      </c>
      <c r="L29" s="74">
        <v>28</v>
      </c>
      <c r="M29" s="74">
        <v>29</v>
      </c>
      <c r="N29" s="74">
        <v>28</v>
      </c>
      <c r="O29" s="74">
        <v>29</v>
      </c>
      <c r="P29" s="74">
        <v>30</v>
      </c>
      <c r="Q29" s="93">
        <v>31</v>
      </c>
      <c r="R29" s="74">
        <v>31</v>
      </c>
      <c r="S29" s="74">
        <v>30</v>
      </c>
      <c r="T29" s="74">
        <v>30</v>
      </c>
      <c r="U29" s="74">
        <v>32</v>
      </c>
      <c r="V29" s="74">
        <v>31</v>
      </c>
      <c r="W29" s="74">
        <v>31</v>
      </c>
      <c r="X29" s="74">
        <v>33</v>
      </c>
      <c r="Y29" s="74">
        <v>30</v>
      </c>
      <c r="Z29" s="234"/>
      <c r="AA29" s="235"/>
      <c r="AB29" s="235"/>
      <c r="AC29" s="235"/>
      <c r="AD29" s="235"/>
      <c r="AE29" s="236"/>
      <c r="AH29" s="64" ph="1">
        <v>15</v>
      </c>
      <c r="AI29" s="64" t="s" ph="1">
        <v>352</v>
      </c>
      <c r="AZ29" s="64" t="s" ph="1">
        <v>216</v>
      </c>
      <c r="BA29" s="64" ph="1">
        <v>0</v>
      </c>
      <c r="BD29" s="64" t="s" ph="1">
        <v>353</v>
      </c>
      <c r="BE29" s="64" ph="1">
        <v>890</v>
      </c>
    </row>
    <row r="30" spans="1:57" ph="1">
      <c r="D30" s="94" ph="1"/>
      <c r="Z30" s="64" t="s" ph="1">
        <v>35</v>
      </c>
      <c r="AE30" s="95" ph="1"/>
      <c r="AH30" s="64" ph="1">
        <v>16</v>
      </c>
      <c r="AI30" s="64" t="s" ph="1">
        <v>354</v>
      </c>
      <c r="AZ30" s="64" t="s" ph="1">
        <v>216</v>
      </c>
      <c r="BA30" s="64" ph="1">
        <v>0</v>
      </c>
    </row>
    <row r="31" spans="1:57" ht="28.2" ph="1">
      <c r="A31" s="64"/>
      <c r="B31" s="220" t="s" ph="1">
        <v>35</v>
      </c>
      <c r="C31" s="221" ph="1"/>
      <c r="D31" s="224" t="s" ph="1">
        <v>9</v>
      </c>
      <c r="E31" s="199" ph="1"/>
      <c r="F31" s="200" ph="1"/>
      <c r="G31" s="224" t="s" ph="1">
        <v>18</v>
      </c>
      <c r="H31" s="199" ph="1"/>
      <c r="I31" s="200" ph="1"/>
      <c r="J31" s="198" t="s" ph="1">
        <v>1</v>
      </c>
      <c r="K31" s="199" ph="1"/>
      <c r="L31" s="200" ph="1"/>
      <c r="M31" s="198" t="s" ph="1">
        <v>7</v>
      </c>
      <c r="N31" s="199" ph="1"/>
      <c r="O31" s="200" ph="1"/>
      <c r="P31" s="198" t="s" ph="1">
        <v>41</v>
      </c>
      <c r="Q31" s="199"/>
      <c r="R31" s="200"/>
      <c r="S31" s="198" t="s" ph="1">
        <v>2</v>
      </c>
      <c r="T31" s="199"/>
      <c r="U31" s="200"/>
      <c r="V31" s="198" t="s" ph="1">
        <v>71</v>
      </c>
      <c r="W31" s="199" ph="1"/>
      <c r="X31" s="200" ph="1"/>
      <c r="Y31" s="198" t="s" ph="1">
        <v>3</v>
      </c>
      <c r="Z31" s="199" ph="1"/>
      <c r="AA31" s="200" ph="1"/>
      <c r="AB31" s="201" t="s">
        <v>42</v>
      </c>
      <c r="AC31" s="202"/>
      <c r="AD31" s="202"/>
      <c r="AE31" s="203"/>
      <c r="AH31" s="64" ph="1">
        <v>17</v>
      </c>
      <c r="AI31" s="64" t="s" ph="1">
        <v>355</v>
      </c>
      <c r="AZ31" s="64" t="s" ph="1">
        <v>216</v>
      </c>
      <c r="BA31" s="64" ph="1">
        <v>0</v>
      </c>
      <c r="BD31" s="64" t="s" ph="1">
        <v>356</v>
      </c>
      <c r="BE31" s="64" ph="1">
        <v>9310</v>
      </c>
    </row>
    <row r="32" spans="1:57" ph="1">
      <c r="A32" s="64"/>
      <c r="B32" s="222" ph="1"/>
      <c r="C32" s="223" ph="1"/>
      <c r="D32" s="96" t="s" ph="1">
        <v>4</v>
      </c>
      <c r="E32" s="155" t="s" ph="1">
        <v>5</v>
      </c>
      <c r="F32" s="154" t="s" ph="1">
        <v>43</v>
      </c>
      <c r="G32" s="97" t="s" ph="1">
        <v>4</v>
      </c>
      <c r="H32" s="155" t="s" ph="1">
        <v>5</v>
      </c>
      <c r="I32" s="154" t="s" ph="1">
        <v>43</v>
      </c>
      <c r="J32" s="97" t="s" ph="1">
        <v>4</v>
      </c>
      <c r="K32" s="155" t="s" ph="1">
        <v>5</v>
      </c>
      <c r="L32" s="154" t="s" ph="1">
        <v>43</v>
      </c>
      <c r="M32" s="97" t="s" ph="1">
        <v>4</v>
      </c>
      <c r="N32" s="155" t="s" ph="1">
        <v>5</v>
      </c>
      <c r="O32" s="154" t="s" ph="1">
        <v>43</v>
      </c>
      <c r="P32" s="97" t="s" ph="1">
        <v>4</v>
      </c>
      <c r="Q32" s="98" t="s" ph="1">
        <v>5</v>
      </c>
      <c r="R32" s="99" t="s" ph="1">
        <v>43</v>
      </c>
      <c r="S32" s="97" t="s" ph="1">
        <v>4</v>
      </c>
      <c r="T32" s="155" t="s" ph="1">
        <v>5</v>
      </c>
      <c r="U32" s="99" t="s" ph="1">
        <v>43</v>
      </c>
      <c r="V32" s="97" t="s" ph="1">
        <v>4</v>
      </c>
      <c r="W32" s="155" t="s" ph="1">
        <v>5</v>
      </c>
      <c r="X32" s="99" t="s" ph="1">
        <v>43</v>
      </c>
      <c r="Y32" s="100" t="s" ph="1">
        <v>4</v>
      </c>
      <c r="Z32" s="155" t="s" ph="1">
        <v>5</v>
      </c>
      <c r="AA32" s="154" t="s" ph="1">
        <v>43</v>
      </c>
      <c r="AB32" s="97" t="s" ph="1">
        <v>85</v>
      </c>
      <c r="AC32" s="155" t="s" ph="1">
        <v>84</v>
      </c>
      <c r="AD32" s="204" t="s" ph="1">
        <v>83</v>
      </c>
      <c r="AE32" s="205"/>
      <c r="AH32" s="64" ph="1">
        <v>18</v>
      </c>
      <c r="AI32" s="64" t="s" ph="1">
        <v>357</v>
      </c>
      <c r="AZ32" s="64" t="s" ph="1">
        <v>216</v>
      </c>
      <c r="BA32" s="64" ph="1">
        <v>0</v>
      </c>
    </row>
    <row r="33" spans="1:57" ph="1">
      <c r="A33" s="64"/>
      <c r="B33" s="206" t="s" ph="1">
        <v>181</v>
      </c>
      <c r="C33" s="207" ph="1"/>
      <c r="D33" s="186" ph="1">
        <f>AA10+AB10+Z19</f>
        <v>63189.795673200002</v>
      </c>
      <c r="E33" s="186" ph="1">
        <f>M10+I10</f>
        <v>110947.4540084</v>
      </c>
      <c r="F33" s="210" ph="1">
        <f>表格_取樣回收每月庫存表_0620更新1522252632456786910111213141516171819202123456789101112131415161718192022232424356789101112131415161718192021222345678910111213141516171819202345678910111213149101516171819222123234567891012131415161711181920212224252345678910111213114[[#This Row],[F25]]</f>
        <v>3880</v>
      </c>
      <c r="G33" s="212" ph="1">
        <f>N19</f>
        <v>5942.7014511999996</v>
      </c>
      <c r="H33" s="186" ph="1">
        <f>M19</f>
        <v>14696.983316528002</v>
      </c>
      <c r="I33" s="190" ph="1">
        <v>0</v>
      </c>
      <c r="J33" s="194" ph="1">
        <f>F10+O28</f>
        <v>134851.38662999999</v>
      </c>
      <c r="K33" s="186" ph="1">
        <f>O10+K10+E28+R28</f>
        <v>182241.81073326</v>
      </c>
      <c r="L33" s="196" ph="1">
        <f>K19</f>
        <v>6733.8876939400006</v>
      </c>
      <c r="M33" s="194" ph="1">
        <f>G10+H10+W28+S28+V28+E10+R19+P28+Q28</f>
        <v>632567.04944640002</v>
      </c>
      <c r="N33" s="186" ph="1">
        <f>L10+P10++G28+H28+AD19+AE19</f>
        <v>297251.56430139998</v>
      </c>
      <c r="O33" s="190" ph="1">
        <f>G19</f>
        <v>9375.1707161200011</v>
      </c>
      <c r="P33" s="194" ph="1">
        <f>L19</f>
        <v>44067.273955199998</v>
      </c>
      <c r="Q33" s="186" ph="1">
        <f>J10+N10</f>
        <v>47814.078079499988</v>
      </c>
      <c r="R33" s="190" ph="1">
        <f>BE23</f>
        <v>890</v>
      </c>
      <c r="S33" s="194" ph="1">
        <f>X28</f>
        <v>192204.75594020003</v>
      </c>
      <c r="T33" s="186" ph="1">
        <f>X19</f>
        <v>13468.691533639998</v>
      </c>
      <c r="U33" s="175" ph="1">
        <f>BE21</f>
        <v>730</v>
      </c>
      <c r="V33" s="188" ph="1">
        <f ca="1">P19+Q19+S19+M28+N28+J28+D10+AC10+D19+E19+H19+J19+O19+V19+W19+K28+L28</f>
        <v>770439.49266710598</v>
      </c>
      <c r="W33" s="188" ph="1">
        <f>D28+F28+T28+I28</f>
        <v>23777.075662634001</v>
      </c>
      <c r="X33" s="190" ph="1">
        <f>BE29+BE31</f>
        <v>10200</v>
      </c>
      <c r="Y33" s="192" ph="1">
        <f>+Q10+R10+S10+T10+U10+V10+W10+X10+Y10</f>
        <v>165666.2056434</v>
      </c>
      <c r="Z33" s="173" ph="1">
        <f>T19+U19+Y28+Z10</f>
        <v>247437.14125336002</v>
      </c>
      <c r="AA33" s="175" ph="1">
        <f>BE19</f>
        <v>1440</v>
      </c>
      <c r="AB33" s="177" ph="1">
        <f>I19</f>
        <v>46779.826163400001</v>
      </c>
      <c r="AC33" s="179" ph="1">
        <f>AD10+AB19</f>
        <v>100058.877072</v>
      </c>
      <c r="AD33" s="181" ph="1">
        <v>0</v>
      </c>
      <c r="AE33" s="182"/>
      <c r="AH33" s="64" ph="1">
        <v>19</v>
      </c>
      <c r="AI33" s="64" t="s" ph="1">
        <v>358</v>
      </c>
      <c r="AJ33" s="64" t="s" ph="1">
        <v>592</v>
      </c>
      <c r="AK33" s="64" t="s" ph="1">
        <v>589</v>
      </c>
      <c r="AL33" s="64" ph="1">
        <v>730</v>
      </c>
      <c r="AM33" s="64" t="s" ph="1">
        <v>339</v>
      </c>
      <c r="AZ33" s="64" t="s" ph="1">
        <v>216</v>
      </c>
      <c r="BA33" s="64" ph="1">
        <v>730</v>
      </c>
      <c r="BD33" s="64" t="s" ph="1">
        <v>290</v>
      </c>
      <c r="BE33" s="64" ph="1">
        <v>3880</v>
      </c>
    </row>
    <row r="34" spans="1:57" ph="1">
      <c r="A34" s="64"/>
      <c r="B34" s="208" ph="1"/>
      <c r="C34" s="209" ph="1"/>
      <c r="D34" s="187" ph="1"/>
      <c r="E34" s="187" ph="1"/>
      <c r="F34" s="211" ph="1"/>
      <c r="G34" s="213" ph="1"/>
      <c r="H34" s="187" ph="1"/>
      <c r="I34" s="191" ph="1"/>
      <c r="J34" s="195" ph="1"/>
      <c r="K34" s="187" ph="1"/>
      <c r="L34" s="197" ph="1"/>
      <c r="M34" s="195" ph="1"/>
      <c r="N34" s="187" ph="1"/>
      <c r="O34" s="191" ph="1"/>
      <c r="P34" s="195" ph="1"/>
      <c r="Q34" s="187" ph="1"/>
      <c r="R34" s="191" ph="1"/>
      <c r="S34" s="195" ph="1"/>
      <c r="T34" s="187"/>
      <c r="U34" s="176"/>
      <c r="V34" s="189" ph="1"/>
      <c r="W34" s="189" ph="1"/>
      <c r="X34" s="191" ph="1"/>
      <c r="Y34" s="193" ph="1"/>
      <c r="Z34" s="174" ph="1"/>
      <c r="AA34" s="176" ph="1"/>
      <c r="AB34" s="178"/>
      <c r="AC34" s="180"/>
      <c r="AD34" s="183"/>
      <c r="AE34" s="184"/>
      <c r="AH34" s="64" ph="1">
        <v>20</v>
      </c>
      <c r="AI34" s="64" t="s" ph="1">
        <v>359</v>
      </c>
      <c r="AJ34" s="64" t="s" ph="1">
        <v>593</v>
      </c>
      <c r="AK34" s="64" t="s" ph="1">
        <v>589</v>
      </c>
      <c r="AL34" s="64" ph="1">
        <v>720</v>
      </c>
      <c r="AM34" s="64" t="s" ph="1">
        <v>339</v>
      </c>
      <c r="AZ34" s="64" t="s" ph="1">
        <v>216</v>
      </c>
      <c r="BA34" s="64" ph="1">
        <v>720</v>
      </c>
    </row>
    <row r="35" spans="1:57" ph="1">
      <c r="A35" s="64"/>
      <c r="AC35" s="185" t="s" ph="1">
        <v>631</v>
      </c>
      <c r="AD35" s="185"/>
      <c r="AE35" s="185"/>
      <c r="AH35" s="64" ph="1">
        <v>21</v>
      </c>
      <c r="AI35" s="64" t="s" ph="1">
        <v>360</v>
      </c>
      <c r="AZ35" s="64" t="s" ph="1">
        <v>216</v>
      </c>
      <c r="BA35" s="64" ph="1">
        <v>0</v>
      </c>
      <c r="BD35" s="64" t="s" ph="1">
        <v>361</v>
      </c>
      <c r="BE35" s="64" ph="1">
        <v>2030</v>
      </c>
    </row>
    <row r="36" spans="1:57" ht="28.2" ph="1">
      <c r="A36" s="64"/>
      <c r="B36" s="103" t="s" ph="1">
        <v>182</v>
      </c>
      <c r="I36" s="171" t="s" ph="1">
        <v>183</v>
      </c>
      <c r="J36" s="171" ph="1"/>
      <c r="K36" s="101" ph="1"/>
      <c r="P36" s="101" ph="1"/>
      <c r="R36" s="171" t="s" ph="1">
        <v>184</v>
      </c>
      <c r="S36" s="171" ph="1"/>
      <c r="Y36" s="102" ph="1"/>
      <c r="Z36" s="153" t="s" ph="1">
        <v>185</v>
      </c>
      <c r="AA36" s="153" ph="1"/>
      <c r="AB36" s="172" t="s" ph="1">
        <v>640</v>
      </c>
      <c r="AC36" s="172" ph="1"/>
      <c r="AD36" s="172" ph="1"/>
      <c r="AE36" s="172" ph="1"/>
      <c r="BA36" s="64" ph="1">
        <v>2270</v>
      </c>
    </row>
    <row r="37" spans="1:57" s="153" customFormat="1" ph="1">
      <c r="A37" s="64" ph="1"/>
      <c r="B37" s="64" ph="1"/>
      <c r="C37" s="64" ph="1"/>
      <c r="D37" s="64" ph="1"/>
      <c r="E37" s="64" ph="1"/>
      <c r="F37" s="64" ph="1"/>
      <c r="G37" s="64" ph="1"/>
      <c r="H37" s="64" ph="1"/>
      <c r="I37" s="64" ph="1"/>
      <c r="J37" s="64" ph="1"/>
      <c r="K37" s="64" ph="1"/>
      <c r="L37" s="64" ph="1"/>
      <c r="M37" s="64" ph="1"/>
      <c r="N37" s="64" ph="1"/>
      <c r="O37" s="64" ph="1"/>
      <c r="P37" s="64" ph="1"/>
      <c r="Q37" s="64" ph="1"/>
      <c r="R37" s="64" ph="1"/>
      <c r="S37" s="64" ph="1"/>
      <c r="T37" s="64" ph="1"/>
      <c r="U37" s="64" ph="1"/>
      <c r="V37" s="64" ph="1"/>
      <c r="W37" s="64" ph="1"/>
      <c r="X37" s="64" ph="1"/>
      <c r="Y37" s="64" ph="1"/>
      <c r="Z37" s="64" ph="1"/>
      <c r="AA37" s="64" ph="1"/>
      <c r="AB37" s="64" ph="1"/>
      <c r="AC37" s="64" ph="1"/>
      <c r="AD37" s="64" ph="1"/>
      <c r="AE37" s="64" ph="1"/>
      <c r="AG37" s="153" t="s" ph="1">
        <v>342</v>
      </c>
      <c r="AI37" s="153" t="s" ph="1">
        <v>209</v>
      </c>
      <c r="AJ37" s="153" t="s" ph="1">
        <v>210</v>
      </c>
      <c r="AK37" s="153" t="s" ph="1">
        <v>211</v>
      </c>
      <c r="AM37" s="153" t="s" ph="1">
        <v>210</v>
      </c>
      <c r="AN37" s="153" t="s" ph="1">
        <v>211</v>
      </c>
      <c r="AO37" s="153" t="s" ph="1">
        <v>212</v>
      </c>
      <c r="AP37" s="153" t="s" ph="1">
        <v>210</v>
      </c>
      <c r="AQ37" s="153" t="s" ph="1">
        <v>211</v>
      </c>
      <c r="AR37" s="153" t="s" ph="1">
        <v>212</v>
      </c>
      <c r="AS37" s="153" t="s" ph="1">
        <v>210</v>
      </c>
      <c r="AT37" s="153" t="s" ph="1">
        <v>211</v>
      </c>
      <c r="AU37" s="153" t="s" ph="1">
        <v>212</v>
      </c>
      <c r="AV37" s="153" t="s" ph="1">
        <v>210</v>
      </c>
      <c r="AW37" s="153" t="s" ph="1">
        <v>211</v>
      </c>
      <c r="AX37" s="153" t="s" ph="1">
        <v>212</v>
      </c>
      <c r="AY37" s="153" t="s" ph="1">
        <v>211</v>
      </c>
      <c r="AZ37" s="153" t="s" ph="1">
        <v>213</v>
      </c>
      <c r="BD37" s="153" t="s" ph="1">
        <v>305</v>
      </c>
      <c r="BE37" s="153" ph="1">
        <v>0</v>
      </c>
    </row>
    <row r="38" spans="1:57" ph="1">
      <c r="AE38" s="64" ph="1"/>
      <c r="AH38" s="64" ph="1">
        <v>1</v>
      </c>
      <c r="AI38" s="64" t="s" ph="1">
        <v>362</v>
      </c>
      <c r="AY38" s="64" t="s" ph="1">
        <v>216</v>
      </c>
      <c r="AZ38" s="64" t="s" ph="1">
        <v>367</v>
      </c>
    </row>
    <row r="39" spans="1:57" ph="1">
      <c r="AH39" s="64" ph="1">
        <v>2</v>
      </c>
      <c r="AI39" s="64" t="s" ph="1">
        <v>364</v>
      </c>
      <c r="AJ39" s="64" t="s" ph="1">
        <v>336</v>
      </c>
      <c r="AK39" s="64" t="s" ph="1">
        <v>365</v>
      </c>
      <c r="AM39" s="64" t="s" ph="1">
        <v>570</v>
      </c>
      <c r="AN39" s="64" t="s" ph="1">
        <v>228</v>
      </c>
      <c r="AO39" s="64" t="s" ph="1">
        <v>363</v>
      </c>
      <c r="AY39" s="64" t="s" ph="1">
        <v>216</v>
      </c>
      <c r="AZ39" s="64" t="s" ph="1">
        <v>499</v>
      </c>
    </row>
    <row r="40" spans="1:57" ph="1">
      <c r="AH40" s="64" ph="1">
        <v>3</v>
      </c>
      <c r="AI40" s="64" t="s" ph="1">
        <v>366</v>
      </c>
      <c r="AJ40" s="64" t="s" ph="1">
        <v>570</v>
      </c>
      <c r="AK40" s="64" t="s" ph="1">
        <v>571</v>
      </c>
      <c r="AY40" s="64" t="s" ph="1">
        <v>216</v>
      </c>
      <c r="AZ40" s="64" t="s" ph="1">
        <v>571</v>
      </c>
    </row>
    <row r="41" spans="1:57" ph="1">
      <c r="AH41" s="64" ph="1">
        <v>4</v>
      </c>
      <c r="AI41" s="64" t="s" ph="1">
        <v>368</v>
      </c>
      <c r="AJ41" s="64" t="s" ph="1">
        <v>572</v>
      </c>
      <c r="AK41" s="64" t="s" ph="1">
        <v>573</v>
      </c>
      <c r="AM41" s="64" t="s" ph="1">
        <v>574</v>
      </c>
      <c r="AY41" s="64" t="s" ph="1">
        <v>216</v>
      </c>
      <c r="AZ41" s="64" t="s" ph="1">
        <v>573</v>
      </c>
    </row>
    <row r="42" spans="1:57" ph="1">
      <c r="P42" s="64"/>
      <c r="Q42" s="64"/>
      <c r="R42" s="64"/>
      <c r="S42" s="64"/>
      <c r="T42" s="64"/>
      <c r="U42" s="64"/>
      <c r="V42" s="64"/>
      <c r="W42" s="64"/>
      <c r="X42" s="64"/>
      <c r="Y42" s="64"/>
      <c r="Z42" s="64"/>
      <c r="AA42" s="64"/>
      <c r="AB42" s="64"/>
      <c r="AC42" s="64"/>
      <c r="AD42" s="64"/>
      <c r="AE42" s="75"/>
      <c r="AH42" s="64" ph="1">
        <v>5</v>
      </c>
      <c r="AI42" s="64" t="s" ph="1">
        <v>369</v>
      </c>
      <c r="AY42" s="64" t="s" ph="1">
        <v>216</v>
      </c>
      <c r="AZ42" s="64" t="s" ph="1">
        <v>367</v>
      </c>
    </row>
    <row r="43" spans="1:57" ph="1">
      <c r="C43" s="64"/>
      <c r="D43" s="64"/>
      <c r="E43" s="64"/>
      <c r="F43" s="64"/>
      <c r="G43" s="64"/>
      <c r="H43" s="64"/>
      <c r="I43" s="64"/>
      <c r="J43" s="64"/>
      <c r="K43" s="64"/>
      <c r="L43" s="64"/>
      <c r="M43" s="64"/>
      <c r="N43" s="64"/>
      <c r="O43" s="64"/>
      <c r="P43" s="64"/>
      <c r="R43" s="64"/>
      <c r="S43" s="64"/>
      <c r="T43" s="64"/>
      <c r="U43" s="64"/>
      <c r="V43" s="64"/>
      <c r="W43" s="64"/>
      <c r="X43" s="64"/>
      <c r="Y43" s="64"/>
      <c r="Z43" s="64"/>
      <c r="AA43" s="64"/>
      <c r="AB43" s="64"/>
      <c r="AC43" s="64"/>
      <c r="AD43" s="64"/>
      <c r="AE43" s="75"/>
      <c r="AH43" s="64" ph="1">
        <v>6</v>
      </c>
      <c r="AI43" s="64" t="s" ph="1">
        <v>370</v>
      </c>
      <c r="AY43" s="64" t="s" ph="1">
        <v>216</v>
      </c>
      <c r="AZ43" s="64" t="s" ph="1">
        <v>367</v>
      </c>
    </row>
    <row r="44" spans="1:57" ph="1">
      <c r="R44" s="64"/>
      <c r="S44" s="64"/>
      <c r="T44" s="64"/>
      <c r="U44" s="64"/>
      <c r="V44" s="64"/>
      <c r="W44" s="64"/>
      <c r="X44" s="64"/>
      <c r="Y44" s="64"/>
      <c r="Z44" s="64"/>
      <c r="AA44" s="64"/>
      <c r="AB44" s="64"/>
      <c r="AC44" s="64"/>
      <c r="AD44" s="64"/>
      <c r="AE44" s="75"/>
      <c r="AH44" s="64" ph="1">
        <v>7</v>
      </c>
      <c r="AI44" s="64" t="s" ph="1">
        <v>371</v>
      </c>
      <c r="AV44" s="64" t="s" ph="1">
        <v>217</v>
      </c>
      <c r="AY44" s="64" t="s" ph="1">
        <v>216</v>
      </c>
      <c r="AZ44" s="64" t="s" ph="1">
        <v>367</v>
      </c>
    </row>
    <row r="45" spans="1:57" ph="1">
      <c r="R45" s="64"/>
      <c r="S45" s="64"/>
      <c r="T45" s="64"/>
      <c r="U45" s="64"/>
      <c r="V45" s="64"/>
      <c r="W45" s="64"/>
      <c r="X45" s="64"/>
      <c r="Y45" s="64"/>
      <c r="Z45" s="64"/>
      <c r="AA45" s="64"/>
      <c r="AB45" s="64"/>
      <c r="AC45" s="64"/>
      <c r="AD45" s="64"/>
      <c r="AE45" s="75"/>
      <c r="AH45" s="64" ph="1">
        <v>8</v>
      </c>
      <c r="AI45" s="64" t="s" ph="1">
        <v>372</v>
      </c>
      <c r="AV45" s="64" t="s" ph="1">
        <v>217</v>
      </c>
      <c r="AY45" s="64" t="s" ph="1">
        <v>216</v>
      </c>
      <c r="AZ45" s="64" t="s" ph="1">
        <v>367</v>
      </c>
    </row>
    <row r="46" spans="1:57" ph="1">
      <c r="R46" s="64"/>
      <c r="S46" s="64"/>
      <c r="T46" s="64"/>
      <c r="U46" s="64"/>
      <c r="V46" s="64"/>
      <c r="W46" s="64"/>
      <c r="X46" s="64"/>
      <c r="Y46" s="64"/>
      <c r="Z46" s="64"/>
      <c r="AA46" s="64"/>
      <c r="AB46" s="64"/>
      <c r="AC46" s="64"/>
      <c r="AD46" s="64"/>
      <c r="AE46" s="75"/>
      <c r="AH46" s="64" ph="1">
        <v>9</v>
      </c>
      <c r="AI46" s="64" t="s" ph="1">
        <v>373</v>
      </c>
      <c r="AV46" s="64" t="s" ph="1">
        <v>217</v>
      </c>
      <c r="AY46" s="64" t="s" ph="1">
        <v>216</v>
      </c>
      <c r="AZ46" s="64" t="s" ph="1">
        <v>367</v>
      </c>
    </row>
    <row r="47" spans="1:57" ph="1">
      <c r="R47" s="64"/>
      <c r="S47" s="64"/>
      <c r="T47" s="64"/>
      <c r="U47" s="64"/>
      <c r="V47" s="64"/>
      <c r="W47" s="64"/>
      <c r="X47" s="64"/>
      <c r="Y47" s="64"/>
      <c r="Z47" s="64"/>
      <c r="AA47" s="64"/>
      <c r="AB47" s="64"/>
      <c r="AC47" s="64"/>
      <c r="AD47" s="64"/>
      <c r="AE47" s="75"/>
      <c r="AH47" s="64" ph="1">
        <v>10</v>
      </c>
      <c r="AI47" s="64" t="s" ph="1">
        <v>374</v>
      </c>
      <c r="AV47" s="64" t="s" ph="1">
        <v>217</v>
      </c>
      <c r="AY47" s="64" t="s" ph="1">
        <v>216</v>
      </c>
      <c r="AZ47" s="64" t="s" ph="1">
        <v>367</v>
      </c>
    </row>
    <row r="48" spans="1:57" ph="1">
      <c r="R48" s="64"/>
      <c r="S48" s="64"/>
      <c r="T48" s="64"/>
      <c r="U48" s="64"/>
      <c r="V48" s="64"/>
      <c r="W48" s="64"/>
      <c r="X48" s="64"/>
      <c r="Y48" s="64"/>
      <c r="Z48" s="64"/>
      <c r="AA48" s="64"/>
      <c r="AB48" s="64"/>
      <c r="AC48" s="64"/>
      <c r="AD48" s="64"/>
      <c r="AE48" s="75"/>
      <c r="AZ48" s="64" t="s" ph="1">
        <v>575</v>
      </c>
    </row>
    <row r="49" spans="16:52" ph="1">
      <c r="R49" s="64"/>
      <c r="S49" s="64"/>
      <c r="T49" s="64"/>
      <c r="U49" s="64"/>
      <c r="V49" s="64"/>
      <c r="W49" s="64"/>
      <c r="X49" s="64"/>
      <c r="Y49" s="64"/>
      <c r="Z49" s="64"/>
      <c r="AA49" s="64"/>
      <c r="AB49" s="64"/>
      <c r="AC49" s="64"/>
      <c r="AD49" s="64"/>
      <c r="AE49" s="75"/>
      <c r="AG49" s="64" t="s" ph="1">
        <v>232</v>
      </c>
      <c r="AI49" s="64" t="s" ph="1">
        <v>209</v>
      </c>
      <c r="AJ49" s="64" t="s" ph="1">
        <v>210</v>
      </c>
      <c r="AK49" s="64" t="s" ph="1">
        <v>211</v>
      </c>
      <c r="AM49" s="64" t="s" ph="1">
        <v>210</v>
      </c>
      <c r="AN49" s="64" t="s" ph="1">
        <v>211</v>
      </c>
      <c r="AO49" s="64" t="s" ph="1">
        <v>212</v>
      </c>
      <c r="AP49" s="64" t="s" ph="1">
        <v>210</v>
      </c>
      <c r="AQ49" s="64" t="s" ph="1">
        <v>211</v>
      </c>
      <c r="AR49" s="64" t="s" ph="1">
        <v>212</v>
      </c>
      <c r="AS49" s="64" t="s" ph="1">
        <v>210</v>
      </c>
      <c r="AT49" s="64" t="s" ph="1">
        <v>211</v>
      </c>
      <c r="AU49" s="64" t="s" ph="1">
        <v>212</v>
      </c>
      <c r="AV49" s="64" t="s" ph="1">
        <v>210</v>
      </c>
      <c r="AW49" s="64" t="s" ph="1">
        <v>211</v>
      </c>
      <c r="AX49" s="64" t="s" ph="1">
        <v>212</v>
      </c>
      <c r="AY49" s="64" t="s" ph="1">
        <v>211</v>
      </c>
      <c r="AZ49" s="64" t="s" ph="1">
        <v>213</v>
      </c>
    </row>
    <row r="50" spans="16:52" ph="1">
      <c r="R50" s="64"/>
      <c r="S50" s="64"/>
      <c r="T50" s="64"/>
      <c r="U50" s="64"/>
      <c r="V50" s="64"/>
      <c r="W50" s="64"/>
      <c r="X50" s="64"/>
      <c r="Y50" s="64"/>
      <c r="Z50" s="64"/>
      <c r="AA50" s="64"/>
      <c r="AB50" s="64"/>
      <c r="AC50" s="64"/>
      <c r="AD50" s="64"/>
      <c r="AE50" s="75"/>
      <c r="AH50" s="64" ph="1">
        <v>1</v>
      </c>
      <c r="AI50" s="64" t="s" ph="1">
        <v>375</v>
      </c>
      <c r="AY50" s="64" t="s" ph="1">
        <v>216</v>
      </c>
      <c r="AZ50" s="64" t="s" ph="1">
        <v>367</v>
      </c>
    </row>
    <row r="51" spans="16:52" ph="1">
      <c r="R51" s="64"/>
      <c r="S51" s="64"/>
      <c r="T51" s="64"/>
      <c r="U51" s="64"/>
      <c r="V51" s="64"/>
      <c r="W51" s="64"/>
      <c r="X51" s="64"/>
      <c r="Y51" s="64"/>
      <c r="Z51" s="64"/>
      <c r="AA51" s="64"/>
      <c r="AB51" s="64"/>
      <c r="AC51" s="64"/>
      <c r="AD51" s="64"/>
      <c r="AE51" s="75"/>
      <c r="AH51" s="64" ph="1">
        <v>2</v>
      </c>
      <c r="AI51" s="64" t="s" ph="1">
        <v>376</v>
      </c>
      <c r="AY51" s="64" t="s" ph="1">
        <v>216</v>
      </c>
      <c r="AZ51" s="64" t="s" ph="1">
        <v>367</v>
      </c>
    </row>
    <row r="52" spans="16:52" ph="1">
      <c r="R52" s="64"/>
      <c r="S52" s="64"/>
      <c r="T52" s="64"/>
      <c r="U52" s="64"/>
      <c r="V52" s="64"/>
      <c r="W52" s="64"/>
      <c r="X52" s="64"/>
      <c r="Y52" s="64"/>
      <c r="Z52" s="64"/>
      <c r="AA52" s="64"/>
      <c r="AB52" s="64"/>
      <c r="AC52" s="64"/>
      <c r="AD52" s="64"/>
      <c r="AE52" s="75"/>
      <c r="AH52" s="64" ph="1">
        <v>3</v>
      </c>
      <c r="AI52" s="64" t="s" ph="1">
        <v>377</v>
      </c>
      <c r="AJ52" s="64" t="s" ph="1">
        <v>334</v>
      </c>
      <c r="AK52" s="64" t="s" ph="1">
        <v>228</v>
      </c>
      <c r="AM52" s="64" t="s" ph="1">
        <v>336</v>
      </c>
      <c r="AN52" s="64" t="s" ph="1">
        <v>300</v>
      </c>
      <c r="AO52" s="64" t="s" ph="1">
        <v>233</v>
      </c>
      <c r="AP52" s="64" t="s" ph="1">
        <v>570</v>
      </c>
      <c r="AQ52" s="64" t="s" ph="1">
        <v>282</v>
      </c>
      <c r="AR52" s="64" t="s" ph="1">
        <v>233</v>
      </c>
      <c r="AY52" s="64" t="s" ph="1">
        <v>216</v>
      </c>
      <c r="AZ52" s="64" t="s" ph="1">
        <v>576</v>
      </c>
    </row>
    <row r="53" spans="16:52" ph="1">
      <c r="R53" s="64"/>
      <c r="S53" s="64"/>
      <c r="T53" s="64"/>
      <c r="U53" s="64"/>
      <c r="W53" s="64"/>
      <c r="X53" s="64"/>
      <c r="Y53" s="64"/>
      <c r="Z53" s="64"/>
      <c r="AA53" s="64"/>
      <c r="AB53" s="64"/>
      <c r="AC53" s="64"/>
      <c r="AD53" s="64"/>
      <c r="AH53" s="64" ph="1">
        <v>4</v>
      </c>
      <c r="AI53" s="64" t="s" ph="1">
        <v>378</v>
      </c>
      <c r="AY53" s="64" t="s" ph="1">
        <v>216</v>
      </c>
      <c r="AZ53" s="64" t="s" ph="1">
        <v>367</v>
      </c>
    </row>
    <row r="54" spans="16:52" ph="1">
      <c r="R54" s="64"/>
      <c r="S54" s="64"/>
      <c r="T54" s="64"/>
      <c r="U54" s="64"/>
      <c r="W54" s="64"/>
      <c r="X54" s="64"/>
      <c r="Y54" s="64"/>
      <c r="Z54" s="64"/>
      <c r="AA54" s="64"/>
      <c r="AC54" s="64"/>
      <c r="AD54" s="64"/>
      <c r="AH54" s="64" ph="1">
        <v>5</v>
      </c>
      <c r="AI54" s="64" t="s" ph="1">
        <v>379</v>
      </c>
      <c r="AJ54" s="64" t="s" ph="1">
        <v>334</v>
      </c>
      <c r="AK54" s="64" t="s" ph="1">
        <v>219</v>
      </c>
      <c r="AM54" s="64" t="s" ph="1">
        <v>336</v>
      </c>
      <c r="AN54" s="64" t="s" ph="1">
        <v>224</v>
      </c>
      <c r="AO54" s="64" t="s" ph="1">
        <v>233</v>
      </c>
      <c r="AP54" s="64" t="s" ph="1">
        <v>570</v>
      </c>
      <c r="AQ54" s="64" t="s" ph="1">
        <v>240</v>
      </c>
      <c r="AR54" s="64" t="s" ph="1">
        <v>233</v>
      </c>
      <c r="AY54" s="64" t="s" ph="1">
        <v>216</v>
      </c>
      <c r="AZ54" s="64" t="s" ph="1">
        <v>234</v>
      </c>
    </row>
    <row r="55" spans="16:52" ph="1">
      <c r="R55" s="64"/>
      <c r="S55" s="64"/>
      <c r="T55" s="64"/>
      <c r="U55" s="64"/>
      <c r="V55" s="64"/>
      <c r="W55" s="64"/>
      <c r="X55" s="64"/>
      <c r="Z55" s="64"/>
      <c r="AC55" s="64"/>
      <c r="AD55" s="64"/>
      <c r="AE55" s="75"/>
      <c r="AH55" s="64" ph="1">
        <v>6</v>
      </c>
      <c r="AI55" s="64" t="s" ph="1">
        <v>380</v>
      </c>
      <c r="AY55" s="64" t="s" ph="1">
        <v>216</v>
      </c>
      <c r="AZ55" s="64" t="s" ph="1">
        <v>367</v>
      </c>
    </row>
    <row r="56" spans="16:52" ph="1">
      <c r="P56" s="64" ph="1">
        <v>20260804</v>
      </c>
      <c r="R56" s="64"/>
      <c r="S56" s="64"/>
      <c r="T56" s="64"/>
      <c r="U56" s="64"/>
      <c r="V56" s="64"/>
      <c r="W56" s="64"/>
      <c r="X56" s="64"/>
      <c r="Z56" s="64"/>
      <c r="AA56" s="64"/>
      <c r="AB56" s="64"/>
      <c r="AC56" s="64"/>
      <c r="AD56" s="64"/>
      <c r="AE56" s="75"/>
      <c r="AH56" s="64" ph="1">
        <v>7</v>
      </c>
      <c r="AI56" s="64" t="s" ph="1">
        <v>381</v>
      </c>
      <c r="AY56" s="64" t="s" ph="1">
        <v>216</v>
      </c>
      <c r="AZ56" s="64" t="s" ph="1">
        <v>367</v>
      </c>
    </row>
    <row r="57" spans="16:52" ph="1">
      <c r="R57" s="64"/>
      <c r="S57" s="64"/>
      <c r="T57" s="64"/>
      <c r="U57" s="64"/>
      <c r="V57" s="64"/>
      <c r="W57" s="64"/>
      <c r="AA57" s="64"/>
      <c r="AB57" s="64"/>
      <c r="AC57" s="64"/>
      <c r="AD57" s="64"/>
      <c r="AE57" s="75"/>
      <c r="AH57" s="64" ph="1">
        <v>8</v>
      </c>
      <c r="AI57" s="64" t="s" ph="1">
        <v>382</v>
      </c>
      <c r="AY57" s="64" t="s" ph="1">
        <v>216</v>
      </c>
      <c r="AZ57" s="64" t="s" ph="1">
        <v>367</v>
      </c>
    </row>
    <row r="58" spans="16:52" ph="1">
      <c r="P58" s="64"/>
      <c r="AN58" s="64" t="s" ph="1">
        <v>217</v>
      </c>
      <c r="AZ58" s="64" t="s" ph="1">
        <v>577</v>
      </c>
    </row>
    <row r="59" spans="16:52" ph="1">
      <c r="V59" s="64"/>
      <c r="AG59" s="64" t="s" ph="1">
        <v>235</v>
      </c>
      <c r="AI59" s="64" t="s" ph="1">
        <v>209</v>
      </c>
      <c r="AJ59" s="64" t="s" ph="1">
        <v>210</v>
      </c>
      <c r="AK59" s="64" t="s" ph="1">
        <v>211</v>
      </c>
      <c r="AM59" s="64" t="s" ph="1">
        <v>210</v>
      </c>
      <c r="AN59" s="64" t="s" ph="1">
        <v>211</v>
      </c>
      <c r="AO59" s="64" t="s" ph="1">
        <v>212</v>
      </c>
      <c r="AP59" s="64" t="s" ph="1">
        <v>210</v>
      </c>
      <c r="AQ59" s="64" t="s" ph="1">
        <v>211</v>
      </c>
      <c r="AR59" s="64" t="s" ph="1">
        <v>212</v>
      </c>
      <c r="AS59" s="64" t="s" ph="1">
        <v>210</v>
      </c>
      <c r="AT59" s="64" t="s" ph="1">
        <v>211</v>
      </c>
      <c r="AU59" s="64" t="s" ph="1">
        <v>212</v>
      </c>
      <c r="AV59" s="64" t="s" ph="1">
        <v>210</v>
      </c>
      <c r="AW59" s="64" t="s" ph="1">
        <v>211</v>
      </c>
      <c r="AX59" s="64" t="s" ph="1">
        <v>212</v>
      </c>
      <c r="AY59" s="64" t="s" ph="1">
        <v>211</v>
      </c>
      <c r="AZ59" s="64" t="s" ph="1">
        <v>213</v>
      </c>
    </row>
    <row r="60" spans="16:52" ph="1">
      <c r="R60" s="64"/>
      <c r="S60" s="64"/>
      <c r="T60" s="64"/>
      <c r="AH60" s="64" ph="1">
        <v>1</v>
      </c>
      <c r="AI60" s="64" t="s" ph="1">
        <v>383</v>
      </c>
      <c r="AY60" s="64" t="s" ph="1">
        <v>216</v>
      </c>
      <c r="AZ60" s="64" t="s" ph="1">
        <v>367</v>
      </c>
    </row>
    <row r="61" spans="16:52" ph="1">
      <c r="AH61" s="64" ph="1">
        <v>2</v>
      </c>
      <c r="AI61" s="64" t="s" ph="1">
        <v>384</v>
      </c>
      <c r="AS61" s="64" t="s" ph="1">
        <v>217</v>
      </c>
      <c r="AY61" s="64" t="s" ph="1">
        <v>216</v>
      </c>
      <c r="AZ61" s="64" t="s" ph="1">
        <v>367</v>
      </c>
    </row>
    <row r="62" spans="16:52" ph="1">
      <c r="AZ62" s="64" t="s" ph="1">
        <v>385</v>
      </c>
    </row>
    <row r="63" spans="16:52" ph="1">
      <c r="AG63" s="64" t="s" ph="1">
        <v>238</v>
      </c>
      <c r="AI63" s="64" t="s" ph="1">
        <v>209</v>
      </c>
      <c r="AJ63" s="64" t="s" ph="1">
        <v>210</v>
      </c>
      <c r="AK63" s="64" t="s" ph="1">
        <v>211</v>
      </c>
      <c r="AM63" s="64" t="s" ph="1">
        <v>210</v>
      </c>
      <c r="AN63" s="64" t="s" ph="1">
        <v>211</v>
      </c>
      <c r="AO63" s="64" t="s" ph="1">
        <v>212</v>
      </c>
      <c r="AP63" s="64" t="s" ph="1">
        <v>210</v>
      </c>
      <c r="AQ63" s="64" t="s" ph="1">
        <v>211</v>
      </c>
      <c r="AR63" s="64" t="s" ph="1">
        <v>212</v>
      </c>
      <c r="AS63" s="64" t="s" ph="1">
        <v>210</v>
      </c>
      <c r="AT63" s="64" t="s" ph="1">
        <v>211</v>
      </c>
      <c r="AU63" s="64" t="s" ph="1">
        <v>212</v>
      </c>
      <c r="AV63" s="64" t="s" ph="1">
        <v>210</v>
      </c>
      <c r="AW63" s="64" t="s" ph="1">
        <v>211</v>
      </c>
      <c r="AX63" s="64" t="s" ph="1">
        <v>212</v>
      </c>
      <c r="AY63" s="64" t="s" ph="1">
        <v>211</v>
      </c>
      <c r="AZ63" s="64" t="s" ph="1">
        <v>213</v>
      </c>
    </row>
    <row r="64" spans="16:52" ph="1">
      <c r="AH64" s="64" ph="1">
        <v>1</v>
      </c>
      <c r="AI64" s="64" t="s" ph="1">
        <v>386</v>
      </c>
      <c r="AJ64" s="64" t="s" ph="1">
        <v>387</v>
      </c>
      <c r="AK64" s="64" t="s" ph="1">
        <v>388</v>
      </c>
      <c r="AY64" s="64" t="s" ph="1">
        <v>216</v>
      </c>
      <c r="AZ64" s="64" t="s" ph="1">
        <v>388</v>
      </c>
    </row>
    <row r="65" spans="33:52" ph="1">
      <c r="AH65" s="64" ph="1">
        <v>2</v>
      </c>
      <c r="AI65" s="64" t="s" ph="1">
        <v>389</v>
      </c>
      <c r="AY65" s="64" t="s" ph="1">
        <v>216</v>
      </c>
      <c r="AZ65" s="64" t="s" ph="1">
        <v>367</v>
      </c>
    </row>
    <row r="66" spans="33:52" ph="1">
      <c r="AH66" s="64" ph="1">
        <v>3</v>
      </c>
      <c r="AI66" s="64" t="s" ph="1">
        <v>390</v>
      </c>
      <c r="AY66" s="64" t="s" ph="1">
        <v>216</v>
      </c>
      <c r="AZ66" s="64" t="s" ph="1">
        <v>367</v>
      </c>
    </row>
    <row r="67" spans="33:52" ph="1">
      <c r="AH67" s="64" ph="1">
        <v>4</v>
      </c>
      <c r="AI67" s="64" t="s" ph="1">
        <v>391</v>
      </c>
      <c r="AY67" s="64" t="s" ph="1">
        <v>216</v>
      </c>
      <c r="AZ67" s="64" t="s" ph="1">
        <v>367</v>
      </c>
    </row>
    <row r="68" spans="33:52" ph="1">
      <c r="AH68" s="64" ph="1">
        <v>5</v>
      </c>
      <c r="AI68" s="64" t="s" ph="1">
        <v>392</v>
      </c>
      <c r="AY68" s="64" t="s" ph="1">
        <v>216</v>
      </c>
      <c r="AZ68" s="64" t="s" ph="1">
        <v>367</v>
      </c>
    </row>
    <row r="69" spans="33:52" ph="1">
      <c r="AH69" s="64" ph="1">
        <v>6</v>
      </c>
      <c r="AI69" s="64" t="s" ph="1">
        <v>393</v>
      </c>
      <c r="AY69" s="64" t="s" ph="1">
        <v>216</v>
      </c>
      <c r="AZ69" s="64" t="s" ph="1">
        <v>367</v>
      </c>
    </row>
    <row r="70" spans="33:52" ph="1">
      <c r="AI70" s="64" t="s" ph="1">
        <v>394</v>
      </c>
      <c r="AY70" s="64" t="s" ph="1">
        <v>216</v>
      </c>
      <c r="AZ70" s="64" t="s" ph="1">
        <v>367</v>
      </c>
    </row>
    <row r="71" spans="33:52" ph="1">
      <c r="AH71" s="64" ph="1">
        <v>7</v>
      </c>
      <c r="AI71" s="64" t="s" ph="1">
        <v>395</v>
      </c>
      <c r="AJ71" s="64" t="s" ph="1">
        <v>334</v>
      </c>
      <c r="AK71" s="64" t="s" ph="1">
        <v>228</v>
      </c>
      <c r="AM71" s="64" t="s" ph="1">
        <v>336</v>
      </c>
      <c r="AN71" s="64" t="s" ph="1">
        <v>228</v>
      </c>
      <c r="AO71" s="64" t="s" ph="1">
        <v>396</v>
      </c>
      <c r="AP71" s="64" t="s" ph="1">
        <v>570</v>
      </c>
      <c r="AQ71" s="64" t="s" ph="1">
        <v>219</v>
      </c>
      <c r="AR71" s="64" t="s" ph="1">
        <v>396</v>
      </c>
      <c r="AY71" s="64" t="s" ph="1">
        <v>216</v>
      </c>
      <c r="AZ71" s="64" t="s" ph="1">
        <v>578</v>
      </c>
    </row>
    <row r="72" spans="33:52" ph="1">
      <c r="AZ72" s="64" t="s" ph="1">
        <v>579</v>
      </c>
    </row>
    <row r="73" spans="33:52" ph="1">
      <c r="AG73" s="64" t="s" ph="1">
        <v>241</v>
      </c>
      <c r="AI73" s="64" t="s" ph="1">
        <v>209</v>
      </c>
      <c r="AJ73" s="64" t="s" ph="1">
        <v>210</v>
      </c>
      <c r="AK73" s="64" t="s" ph="1">
        <v>211</v>
      </c>
      <c r="AM73" s="64" t="s" ph="1">
        <v>210</v>
      </c>
      <c r="AN73" s="64" t="s" ph="1">
        <v>211</v>
      </c>
      <c r="AO73" s="64" t="s" ph="1">
        <v>212</v>
      </c>
      <c r="AP73" s="64" t="s" ph="1">
        <v>210</v>
      </c>
      <c r="AQ73" s="64" t="s" ph="1">
        <v>211</v>
      </c>
      <c r="AR73" s="64" t="s" ph="1">
        <v>212</v>
      </c>
      <c r="AS73" s="64" t="s" ph="1">
        <v>210</v>
      </c>
      <c r="AT73" s="64" t="s" ph="1">
        <v>211</v>
      </c>
      <c r="AU73" s="64" t="s" ph="1">
        <v>212</v>
      </c>
      <c r="AV73" s="64" t="s" ph="1">
        <v>210</v>
      </c>
      <c r="AW73" s="64" t="s" ph="1">
        <v>211</v>
      </c>
      <c r="AX73" s="64" t="s" ph="1">
        <v>212</v>
      </c>
      <c r="AY73" s="64" t="s" ph="1">
        <v>211</v>
      </c>
      <c r="AZ73" s="64" t="s" ph="1">
        <v>213</v>
      </c>
    </row>
    <row r="74" spans="33:52" ph="1">
      <c r="AH74" s="64" ph="1">
        <v>1</v>
      </c>
      <c r="AI74" s="64" t="s" ph="1">
        <v>397</v>
      </c>
      <c r="AJ74" s="64" t="s" ph="1">
        <v>242</v>
      </c>
      <c r="AK74" s="64" t="s" ph="1">
        <v>224</v>
      </c>
      <c r="AM74" s="64" t="s" ph="1">
        <v>244</v>
      </c>
      <c r="AN74" s="64" t="s" ph="1">
        <v>254</v>
      </c>
      <c r="AO74" s="64" t="s" ph="1">
        <v>243</v>
      </c>
      <c r="AP74" s="64" t="s" ph="1">
        <v>245</v>
      </c>
      <c r="AQ74" s="64" t="s" ph="1">
        <v>222</v>
      </c>
      <c r="AR74" s="64" t="s" ph="1">
        <v>243</v>
      </c>
      <c r="AS74" s="64" t="s" ph="1">
        <v>215</v>
      </c>
      <c r="AT74" s="64" t="s" ph="1">
        <v>217</v>
      </c>
      <c r="AV74" s="64" t="s" ph="1">
        <v>398</v>
      </c>
      <c r="AW74" s="64" t="s" ph="1">
        <v>399</v>
      </c>
      <c r="AX74" s="64" t="s" ph="1">
        <v>400</v>
      </c>
      <c r="AY74" s="64" t="s" ph="1">
        <v>216</v>
      </c>
      <c r="AZ74" s="64" t="s" ph="1">
        <v>401</v>
      </c>
    </row>
    <row r="75" spans="33:52" ph="1">
      <c r="AJ75" s="64" t="s" ph="1">
        <v>247</v>
      </c>
      <c r="AK75" s="64" t="s" ph="1">
        <v>300</v>
      </c>
      <c r="AM75" s="64" t="s" ph="1">
        <v>245</v>
      </c>
      <c r="AN75" s="64" t="s" ph="1">
        <v>225</v>
      </c>
      <c r="AO75" s="64" t="s" ph="1">
        <v>243</v>
      </c>
      <c r="AS75" s="64" t="s" ph="1">
        <v>215</v>
      </c>
      <c r="AT75" s="64" t="s" ph="1">
        <v>246</v>
      </c>
    </row>
    <row r="76" spans="33:52" ph="1">
      <c r="AJ76" s="64" t="s" ph="1">
        <v>247</v>
      </c>
      <c r="AK76" s="64" t="s" ph="1">
        <v>240</v>
      </c>
      <c r="AM76" s="64" t="s" ph="1">
        <v>245</v>
      </c>
      <c r="AN76" s="64" t="s" ph="1">
        <v>228</v>
      </c>
      <c r="AO76" s="64" t="s" ph="1">
        <v>243</v>
      </c>
      <c r="AS76" s="64" t="s" ph="1">
        <v>215</v>
      </c>
      <c r="AT76" s="64" t="s" ph="1">
        <v>246</v>
      </c>
    </row>
    <row r="77" spans="33:52" ph="1">
      <c r="AJ77" s="64" t="s" ph="1">
        <v>283</v>
      </c>
      <c r="AK77" s="64" t="s" ph="1">
        <v>240</v>
      </c>
      <c r="AM77" s="64" t="s" ph="1">
        <v>284</v>
      </c>
      <c r="AN77" s="64" t="s" ph="1">
        <v>223</v>
      </c>
      <c r="AO77" s="64" t="s" ph="1">
        <v>243</v>
      </c>
      <c r="AS77" s="64" t="s" ph="1">
        <v>215</v>
      </c>
      <c r="AT77" s="64" t="s" ph="1">
        <v>285</v>
      </c>
    </row>
    <row r="78" spans="33:52" ph="1">
      <c r="AH78" s="64" ph="1">
        <v>2</v>
      </c>
      <c r="AI78" s="64" t="s" ph="1">
        <v>249</v>
      </c>
      <c r="AJ78" s="64" t="s" ph="1">
        <v>250</v>
      </c>
      <c r="AK78" s="64" t="s" ph="1">
        <v>219</v>
      </c>
      <c r="AM78" s="64" t="s" ph="1">
        <v>251</v>
      </c>
      <c r="AN78" s="64" t="s" ph="1">
        <v>254</v>
      </c>
      <c r="AO78" s="64" t="s" ph="1">
        <v>243</v>
      </c>
      <c r="AP78" s="64" t="s" ph="1">
        <v>252</v>
      </c>
      <c r="AQ78" s="64" t="s" ph="1">
        <v>298</v>
      </c>
      <c r="AR78" s="64" t="s" ph="1">
        <v>243</v>
      </c>
      <c r="AS78" s="64" t="s" ph="1">
        <v>253</v>
      </c>
      <c r="AT78" s="64" t="s" ph="1">
        <v>254</v>
      </c>
      <c r="AU78" s="64" t="s" ph="1">
        <v>243</v>
      </c>
      <c r="AV78" s="64" t="s" ph="1">
        <v>255</v>
      </c>
      <c r="AW78" s="64" t="s" ph="1">
        <v>243</v>
      </c>
      <c r="AY78" s="64" t="s" ph="1">
        <v>216</v>
      </c>
      <c r="AZ78" s="64" t="s" ph="1">
        <v>402</v>
      </c>
    </row>
    <row r="79" spans="33:52" ph="1">
      <c r="AJ79" s="64" t="s" ph="1">
        <v>245</v>
      </c>
      <c r="AK79" s="64" t="s" ph="1">
        <v>256</v>
      </c>
      <c r="AM79" s="64" t="s" ph="1">
        <v>257</v>
      </c>
      <c r="AN79" s="64" t="s" ph="1">
        <v>225</v>
      </c>
      <c r="AO79" s="64" t="s" ph="1">
        <v>243</v>
      </c>
      <c r="AP79" s="64" t="s" ph="1">
        <v>258</v>
      </c>
      <c r="AQ79" s="64" t="s" ph="1">
        <v>223</v>
      </c>
      <c r="AR79" s="64" t="s" ph="1">
        <v>259</v>
      </c>
      <c r="AS79" s="64" t="s" ph="1">
        <v>215</v>
      </c>
      <c r="AT79" s="64" t="s" ph="1">
        <v>260</v>
      </c>
      <c r="AV79" s="64" t="s" ph="1">
        <v>403</v>
      </c>
      <c r="AW79" s="64" t="s" ph="1">
        <v>302</v>
      </c>
      <c r="AX79" s="64" t="s" ph="1">
        <v>400</v>
      </c>
    </row>
    <row r="80" spans="33:52" ph="1">
      <c r="AH80" s="64" ph="1">
        <v>3</v>
      </c>
      <c r="AI80" s="64" t="s" ph="1">
        <v>261</v>
      </c>
      <c r="AJ80" s="64" t="s" ph="1">
        <v>262</v>
      </c>
      <c r="AK80" s="64" t="s" ph="1">
        <v>263</v>
      </c>
      <c r="AM80" s="64" t="s" ph="1">
        <v>264</v>
      </c>
      <c r="AN80" s="64" t="s" ph="1">
        <v>254</v>
      </c>
      <c r="AO80" s="64" t="s" ph="1">
        <v>243</v>
      </c>
      <c r="AP80" s="64" t="s" ph="1">
        <v>265</v>
      </c>
      <c r="AQ80" s="64" t="s" ph="1">
        <v>228</v>
      </c>
      <c r="AR80" s="64" t="s" ph="1">
        <v>243</v>
      </c>
      <c r="AS80" s="64" t="s" ph="1">
        <v>266</v>
      </c>
      <c r="AT80" s="64" t="s" ph="1">
        <v>227</v>
      </c>
      <c r="AU80" s="64" t="s" ph="1">
        <v>243</v>
      </c>
      <c r="AV80" s="64" t="s" ph="1">
        <v>267</v>
      </c>
      <c r="AW80" s="64" t="s" ph="1">
        <v>243</v>
      </c>
      <c r="AY80" s="64" t="s" ph="1">
        <v>216</v>
      </c>
      <c r="AZ80" s="64" t="s" ph="1">
        <v>404</v>
      </c>
    </row>
    <row r="81" spans="34:52" ph="1">
      <c r="AJ81" s="64" t="s" ph="1">
        <v>268</v>
      </c>
      <c r="AK81" s="64" t="s" ph="1">
        <v>222</v>
      </c>
      <c r="AM81" s="64" t="s" ph="1">
        <v>269</v>
      </c>
      <c r="AN81" s="64" t="s" ph="1">
        <v>225</v>
      </c>
      <c r="AO81" s="64" t="s" ph="1">
        <v>243</v>
      </c>
      <c r="AP81" s="64" t="s" ph="1">
        <v>270</v>
      </c>
      <c r="AQ81" s="64" t="s" ph="1">
        <v>254</v>
      </c>
      <c r="AR81" s="64" t="s" ph="1">
        <v>243</v>
      </c>
      <c r="AS81" s="64" t="s" ph="1">
        <v>271</v>
      </c>
      <c r="AT81" s="64" t="s" ph="1">
        <v>272</v>
      </c>
      <c r="AU81" s="64" t="s" ph="1">
        <v>243</v>
      </c>
      <c r="AV81" s="64" t="s" ph="1">
        <v>273</v>
      </c>
    </row>
    <row r="82" spans="34:52" ph="1">
      <c r="AJ82" s="64" t="s" ph="1">
        <v>274</v>
      </c>
      <c r="AK82" s="64" t="s" ph="1">
        <v>222</v>
      </c>
      <c r="AM82" s="64" t="s" ph="1">
        <v>275</v>
      </c>
      <c r="AN82" s="64" t="s" ph="1">
        <v>272</v>
      </c>
      <c r="AO82" s="64" t="s" ph="1">
        <v>276</v>
      </c>
      <c r="AP82" s="64" t="s" ph="1">
        <v>277</v>
      </c>
      <c r="AQ82" s="64" t="s" ph="1">
        <v>254</v>
      </c>
      <c r="AR82" s="64" t="s" ph="1">
        <v>243</v>
      </c>
      <c r="AS82" s="64" t="s" ph="1">
        <v>278</v>
      </c>
      <c r="AT82" s="64" t="s" ph="1">
        <v>229</v>
      </c>
      <c r="AU82" s="64" t="s" ph="1">
        <v>243</v>
      </c>
      <c r="AV82" s="64" t="s" ph="1">
        <v>403</v>
      </c>
      <c r="AW82" s="64" t="s" ph="1">
        <v>303</v>
      </c>
      <c r="AX82" s="64" t="s" ph="1">
        <v>400</v>
      </c>
    </row>
    <row r="83" spans="34:52" ph="1">
      <c r="AJ83" s="64" t="s" ph="1">
        <v>279</v>
      </c>
      <c r="AK83" s="64" t="s" ph="1">
        <v>296</v>
      </c>
      <c r="AM83" s="64" t="s" ph="1">
        <v>280</v>
      </c>
      <c r="AN83" s="64" t="s" ph="1">
        <v>228</v>
      </c>
      <c r="AO83" s="64" t="s" ph="1">
        <v>259</v>
      </c>
      <c r="AP83" s="64" t="s" ph="1">
        <v>281</v>
      </c>
      <c r="AQ83" s="64" t="s" ph="1">
        <v>282</v>
      </c>
      <c r="AR83" s="64" t="s" ph="1">
        <v>259</v>
      </c>
      <c r="AS83" s="64" t="s" ph="1">
        <v>405</v>
      </c>
      <c r="AT83" s="64" t="s" ph="1">
        <v>254</v>
      </c>
      <c r="AU83" s="64" t="s" ph="1">
        <v>259</v>
      </c>
      <c r="AV83" s="64" t="s" ph="1">
        <v>406</v>
      </c>
      <c r="AW83" s="64" t="s" ph="1">
        <v>303</v>
      </c>
      <c r="AX83" s="64" t="s" ph="1">
        <v>407</v>
      </c>
    </row>
    <row r="84" spans="34:52" ph="1">
      <c r="AH84" s="64" ph="1">
        <v>4</v>
      </c>
      <c r="AI84" s="64" t="s" ph="1">
        <v>286</v>
      </c>
      <c r="AJ84" s="64" t="s" ph="1">
        <v>226</v>
      </c>
      <c r="AK84" s="64" t="s" ph="1">
        <v>229</v>
      </c>
      <c r="AM84" s="64" t="s" ph="1">
        <v>230</v>
      </c>
      <c r="AN84" s="64" t="s" ph="1">
        <v>223</v>
      </c>
      <c r="AO84" s="64" t="s" ph="1">
        <v>259</v>
      </c>
      <c r="AP84" s="64" t="s" ph="1">
        <v>288</v>
      </c>
      <c r="AQ84" s="64" t="s" ph="1">
        <v>222</v>
      </c>
      <c r="AR84" s="64" t="s" ph="1">
        <v>259</v>
      </c>
      <c r="AS84" s="64" t="s" ph="1">
        <v>288</v>
      </c>
      <c r="AT84" s="64" t="s" ph="1">
        <v>224</v>
      </c>
      <c r="AU84" s="64" t="s" ph="1">
        <v>259</v>
      </c>
      <c r="AY84" s="64" t="s" ph="1">
        <v>216</v>
      </c>
      <c r="AZ84" s="64" t="s" ph="1">
        <v>408</v>
      </c>
    </row>
    <row r="85" spans="34:52" ph="1">
      <c r="AJ85" s="64" t="s" ph="1">
        <v>218</v>
      </c>
      <c r="AK85" s="64" t="s" ph="1">
        <v>222</v>
      </c>
      <c r="AM85" s="64" t="s" ph="1">
        <v>409</v>
      </c>
      <c r="AN85" s="64" t="s" ph="1">
        <v>229</v>
      </c>
      <c r="AO85" s="64" t="s" ph="1">
        <v>259</v>
      </c>
      <c r="AP85" s="64" t="s" ph="1">
        <v>410</v>
      </c>
      <c r="AQ85" s="64" t="s" ph="1">
        <v>225</v>
      </c>
      <c r="AR85" s="64" t="s" ph="1">
        <v>259</v>
      </c>
      <c r="AS85" s="64" t="s" ph="1">
        <v>411</v>
      </c>
      <c r="AT85" s="64" t="s" ph="1">
        <v>225</v>
      </c>
      <c r="AU85" s="64" t="s" ph="1">
        <v>259</v>
      </c>
    </row>
    <row r="86" spans="34:52" ph="1">
      <c r="AJ86" s="64" t="s" ph="1">
        <v>412</v>
      </c>
      <c r="AK86" s="64" t="s" ph="1">
        <v>231</v>
      </c>
      <c r="AM86" s="64" t="s" ph="1">
        <v>413</v>
      </c>
      <c r="AN86" s="64" t="s" ph="1">
        <v>272</v>
      </c>
      <c r="AO86" s="64" t="s" ph="1">
        <v>259</v>
      </c>
      <c r="AP86" s="64" t="s" ph="1">
        <v>414</v>
      </c>
      <c r="AQ86" s="64" t="s" ph="1">
        <v>219</v>
      </c>
      <c r="AR86" s="64" t="s" ph="1">
        <v>259</v>
      </c>
      <c r="AS86" s="64" t="s" ph="1">
        <v>415</v>
      </c>
      <c r="AT86" s="64" t="s" ph="1">
        <v>237</v>
      </c>
      <c r="AU86" s="64" t="s" ph="1">
        <v>259</v>
      </c>
    </row>
    <row r="87" spans="34:52" ph="1">
      <c r="AJ87" s="64" t="s" ph="1">
        <v>416</v>
      </c>
      <c r="AK87" s="64" t="s" ph="1">
        <v>272</v>
      </c>
      <c r="AM87" s="64" t="s" ph="1">
        <v>403</v>
      </c>
      <c r="AN87" s="64" t="s" ph="1">
        <v>417</v>
      </c>
      <c r="AO87" s="64" t="s" ph="1">
        <v>400</v>
      </c>
    </row>
    <row r="88" spans="34:52" ph="1">
      <c r="AH88" s="64" ph="1">
        <v>5</v>
      </c>
      <c r="AI88" s="64" t="s" ph="1">
        <v>289</v>
      </c>
      <c r="AJ88" s="64" t="s" ph="1">
        <v>418</v>
      </c>
      <c r="AK88" s="64" t="s" ph="1">
        <v>272</v>
      </c>
      <c r="AM88" s="64" t="s" ph="1">
        <v>419</v>
      </c>
      <c r="AN88" s="64" t="s" ph="1">
        <v>272</v>
      </c>
      <c r="AO88" s="64" t="s" ph="1">
        <v>259</v>
      </c>
      <c r="AP88" s="64" t="s" ph="1">
        <v>420</v>
      </c>
      <c r="AQ88" s="64" t="s" ph="1">
        <v>222</v>
      </c>
      <c r="AR88" s="64" t="s" ph="1">
        <v>259</v>
      </c>
      <c r="AS88" s="64" t="s" ph="1">
        <v>421</v>
      </c>
      <c r="AT88" s="64" t="s" ph="1">
        <v>272</v>
      </c>
      <c r="AU88" s="64" t="s" ph="1">
        <v>259</v>
      </c>
      <c r="AV88" s="64" t="s" ph="1">
        <v>422</v>
      </c>
      <c r="AW88" s="64" t="s" ph="1">
        <v>227</v>
      </c>
      <c r="AX88" s="64" t="s" ph="1">
        <v>259</v>
      </c>
      <c r="AY88" s="64" t="s" ph="1">
        <v>216</v>
      </c>
      <c r="AZ88" s="64" t="s" ph="1">
        <v>423</v>
      </c>
    </row>
    <row r="89" spans="34:52" ph="1">
      <c r="AJ89" s="64" t="s" ph="1">
        <v>424</v>
      </c>
      <c r="AK89" s="64" t="s" ph="1">
        <v>225</v>
      </c>
      <c r="AM89" s="64" t="s" ph="1">
        <v>425</v>
      </c>
      <c r="AN89" s="64" t="s" ph="1">
        <v>228</v>
      </c>
      <c r="AO89" s="64" t="s" ph="1">
        <v>259</v>
      </c>
      <c r="AP89" s="64" t="s" ph="1">
        <v>426</v>
      </c>
      <c r="AQ89" s="64" t="s" ph="1">
        <v>237</v>
      </c>
      <c r="AR89" s="64" t="s" ph="1">
        <v>259</v>
      </c>
      <c r="AS89" s="64" t="s" ph="1">
        <v>427</v>
      </c>
      <c r="AT89" s="64" t="s" ph="1">
        <v>272</v>
      </c>
      <c r="AU89" s="64" t="s" ph="1">
        <v>259</v>
      </c>
      <c r="AV89" s="64" t="s" ph="1">
        <v>428</v>
      </c>
      <c r="AW89" s="64" t="s" ph="1">
        <v>254</v>
      </c>
      <c r="AX89" s="64" t="s" ph="1">
        <v>287</v>
      </c>
    </row>
    <row r="90" spans="34:52" ph="1">
      <c r="AJ90" s="64" t="s" ph="1">
        <v>429</v>
      </c>
      <c r="AK90" s="64" t="s" ph="1">
        <v>228</v>
      </c>
      <c r="AM90" s="64" t="s" ph="1">
        <v>430</v>
      </c>
      <c r="AN90" s="64" t="s" ph="1">
        <v>225</v>
      </c>
      <c r="AO90" s="64" t="s" ph="1">
        <v>259</v>
      </c>
      <c r="AP90" s="64" t="s" ph="1">
        <v>431</v>
      </c>
      <c r="AQ90" s="64" t="s" ph="1">
        <v>294</v>
      </c>
      <c r="AR90" s="64" t="s" ph="1">
        <v>259</v>
      </c>
      <c r="AS90" s="64" t="s" ph="1">
        <v>432</v>
      </c>
      <c r="AT90" s="64" t="s" ph="1">
        <v>282</v>
      </c>
      <c r="AU90" s="64" t="s" ph="1">
        <v>259</v>
      </c>
      <c r="AV90" s="64" t="s" ph="1">
        <v>433</v>
      </c>
      <c r="AW90" s="64" t="s" ph="1">
        <v>219</v>
      </c>
      <c r="AX90" s="64" t="s" ph="1">
        <v>259</v>
      </c>
    </row>
    <row r="91" spans="34:52" ph="1">
      <c r="AJ91" s="64" t="s" ph="1">
        <v>434</v>
      </c>
      <c r="AK91" s="64" t="s" ph="1">
        <v>272</v>
      </c>
      <c r="AM91" s="64" t="s" ph="1">
        <v>435</v>
      </c>
      <c r="AN91" s="64" t="s" ph="1">
        <v>239</v>
      </c>
      <c r="AO91" s="64" t="s" ph="1">
        <v>259</v>
      </c>
      <c r="AP91" s="64" t="s" ph="1">
        <v>436</v>
      </c>
      <c r="AQ91" s="64" t="s" ph="1">
        <v>219</v>
      </c>
      <c r="AS91" s="64" t="s" ph="1">
        <v>403</v>
      </c>
      <c r="AT91" s="64" t="s" ph="1">
        <v>399</v>
      </c>
      <c r="AU91" s="64" t="s" ph="1">
        <v>400</v>
      </c>
    </row>
    <row r="92" spans="34:52" ph="1">
      <c r="AH92" s="64" ph="1">
        <v>6</v>
      </c>
      <c r="AI92" s="64" t="s" ph="1">
        <v>437</v>
      </c>
      <c r="AJ92" s="64" t="s" ph="1">
        <v>438</v>
      </c>
      <c r="AK92" s="64" t="s" ph="1">
        <v>367</v>
      </c>
      <c r="AM92" s="64" t="s" ph="1">
        <v>439</v>
      </c>
      <c r="AN92" s="64" t="s" ph="1">
        <v>227</v>
      </c>
      <c r="AO92" s="64" t="s" ph="1">
        <v>259</v>
      </c>
      <c r="AP92" s="64" t="s" ph="1">
        <v>440</v>
      </c>
      <c r="AQ92" s="64" t="s" ph="1">
        <v>299</v>
      </c>
      <c r="AR92" s="64" t="s" ph="1">
        <v>259</v>
      </c>
      <c r="AS92" s="64" t="s" ph="1">
        <v>441</v>
      </c>
      <c r="AT92" s="64" t="s" ph="1">
        <v>272</v>
      </c>
      <c r="AU92" s="64" t="s" ph="1">
        <v>259</v>
      </c>
      <c r="AV92" s="64" t="s" ph="1">
        <v>442</v>
      </c>
      <c r="AW92" s="64" t="s" ph="1">
        <v>228</v>
      </c>
      <c r="AX92" s="64" t="s" ph="1">
        <v>259</v>
      </c>
      <c r="AY92" s="64" t="s" ph="1">
        <v>216</v>
      </c>
      <c r="AZ92" s="64" t="s" ph="1">
        <v>423</v>
      </c>
    </row>
    <row r="93" spans="34:52" ph="1">
      <c r="AJ93" s="64" t="s" ph="1">
        <v>443</v>
      </c>
      <c r="AK93" s="64" t="s" ph="1">
        <v>222</v>
      </c>
      <c r="AM93" s="64" t="s" ph="1">
        <v>444</v>
      </c>
      <c r="AN93" s="64" t="s" ph="1">
        <v>227</v>
      </c>
      <c r="AO93" s="64" t="s" ph="1">
        <v>259</v>
      </c>
      <c r="AP93" s="64" t="s" ph="1">
        <v>445</v>
      </c>
      <c r="AQ93" s="64" t="s" ph="1">
        <v>231</v>
      </c>
      <c r="AR93" s="64" t="s" ph="1">
        <v>259</v>
      </c>
      <c r="AS93" s="64" t="s" ph="1">
        <v>446</v>
      </c>
      <c r="AT93" s="64" t="s" ph="1">
        <v>237</v>
      </c>
      <c r="AU93" s="64" t="s" ph="1">
        <v>259</v>
      </c>
      <c r="AV93" s="64" t="s" ph="1">
        <v>447</v>
      </c>
      <c r="AW93" s="64" t="s" ph="1">
        <v>231</v>
      </c>
      <c r="AX93" s="64" t="s" ph="1">
        <v>259</v>
      </c>
    </row>
    <row r="94" spans="34:52" ph="1">
      <c r="AJ94" s="64" t="s" ph="1">
        <v>448</v>
      </c>
      <c r="AK94" s="64" t="s" ph="1">
        <v>294</v>
      </c>
      <c r="AM94" s="64" t="s" ph="1">
        <v>449</v>
      </c>
      <c r="AN94" s="64" t="s" ph="1">
        <v>231</v>
      </c>
      <c r="AO94" s="64" t="s" ph="1">
        <v>259</v>
      </c>
      <c r="AP94" s="64" t="s" ph="1">
        <v>450</v>
      </c>
      <c r="AQ94" s="64" t="s" ph="1">
        <v>239</v>
      </c>
      <c r="AR94" s="64" t="s" ph="1">
        <v>259</v>
      </c>
      <c r="AS94" s="64" t="s" ph="1">
        <v>451</v>
      </c>
      <c r="AT94" s="64" t="s" ph="1">
        <v>225</v>
      </c>
      <c r="AU94" s="64" t="s" ph="1">
        <v>259</v>
      </c>
      <c r="AV94" s="64" t="s" ph="1">
        <v>452</v>
      </c>
      <c r="AW94" s="64" t="s" ph="1">
        <v>225</v>
      </c>
      <c r="AX94" s="64" t="s" ph="1">
        <v>259</v>
      </c>
    </row>
    <row r="95" spans="34:52" ph="1">
      <c r="AJ95" s="64" t="s" ph="1">
        <v>453</v>
      </c>
      <c r="AK95" s="64" t="s" ph="1">
        <v>299</v>
      </c>
    </row>
    <row r="96" spans="34:52" ph="1">
      <c r="AH96" s="64" ph="1">
        <v>7</v>
      </c>
      <c r="AI96" s="64" t="s" ph="1">
        <v>454</v>
      </c>
      <c r="AJ96" s="64" t="s" ph="1">
        <v>453</v>
      </c>
      <c r="AK96" s="64" t="s" ph="1">
        <v>254</v>
      </c>
      <c r="AM96" s="64" t="s" ph="1">
        <v>455</v>
      </c>
      <c r="AN96" s="64" t="s" ph="1">
        <v>228</v>
      </c>
      <c r="AO96" s="64" t="s" ph="1">
        <v>259</v>
      </c>
      <c r="AP96" s="64" t="s" ph="1">
        <v>456</v>
      </c>
      <c r="AQ96" s="64" t="s" ph="1">
        <v>272</v>
      </c>
      <c r="AR96" s="64" t="s" ph="1">
        <v>287</v>
      </c>
      <c r="AS96" s="64" t="s" ph="1">
        <v>457</v>
      </c>
      <c r="AT96" s="64" t="s" ph="1">
        <v>231</v>
      </c>
      <c r="AU96" s="64" t="s" ph="1">
        <v>287</v>
      </c>
      <c r="AV96" s="64" t="s" ph="1">
        <v>458</v>
      </c>
      <c r="AW96" s="64" t="s" ph="1">
        <v>227</v>
      </c>
      <c r="AX96" s="64" t="s" ph="1">
        <v>287</v>
      </c>
      <c r="AY96" s="64" t="s" ph="1">
        <v>216</v>
      </c>
      <c r="AZ96" s="64" t="s" ph="1">
        <v>459</v>
      </c>
    </row>
    <row r="97" spans="33:52" ph="1">
      <c r="AJ97" s="64" t="s" ph="1">
        <v>460</v>
      </c>
      <c r="AK97" s="64" t="s" ph="1">
        <v>282</v>
      </c>
      <c r="AM97" s="64" t="s" ph="1">
        <v>461</v>
      </c>
      <c r="AN97" s="64" t="s" ph="1">
        <v>225</v>
      </c>
      <c r="AO97" s="64" t="s" ph="1">
        <v>259</v>
      </c>
      <c r="AP97" s="64" t="s" ph="1">
        <v>462</v>
      </c>
      <c r="AQ97" s="64" t="s" ph="1">
        <v>219</v>
      </c>
      <c r="AR97" s="64" t="s" ph="1">
        <v>287</v>
      </c>
      <c r="AS97" s="64" t="s" ph="1">
        <v>463</v>
      </c>
      <c r="AT97" s="64" t="s" ph="1">
        <v>222</v>
      </c>
      <c r="AU97" s="64" t="s" ph="1">
        <v>287</v>
      </c>
      <c r="AV97" s="64" t="s" ph="1">
        <v>464</v>
      </c>
      <c r="AW97" s="64" t="s" ph="1">
        <v>228</v>
      </c>
      <c r="AX97" s="64" t="s" ph="1">
        <v>287</v>
      </c>
    </row>
    <row r="98" spans="33:52" ph="1">
      <c r="AJ98" s="64" t="s" ph="1">
        <v>465</v>
      </c>
      <c r="AK98" s="64" t="s" ph="1">
        <v>231</v>
      </c>
      <c r="AM98" s="64" t="s" ph="1">
        <v>466</v>
      </c>
      <c r="AN98" s="64" t="s" ph="1">
        <v>239</v>
      </c>
      <c r="AO98" s="64" t="s" ph="1">
        <v>259</v>
      </c>
      <c r="AP98" s="64" t="s" ph="1">
        <v>467</v>
      </c>
      <c r="AQ98" s="64" t="s" ph="1">
        <v>219</v>
      </c>
      <c r="AR98" s="64" t="s" ph="1">
        <v>287</v>
      </c>
      <c r="AS98" s="64" t="s" ph="1">
        <v>468</v>
      </c>
      <c r="AT98" s="64" t="s" ph="1">
        <v>299</v>
      </c>
      <c r="AU98" s="64" t="s" ph="1">
        <v>287</v>
      </c>
      <c r="AV98" s="64" t="s" ph="1">
        <v>469</v>
      </c>
      <c r="AW98" s="64" t="s" ph="1">
        <v>222</v>
      </c>
      <c r="AX98" s="64" t="s" ph="1">
        <v>287</v>
      </c>
    </row>
    <row r="99" spans="33:52" ph="1">
      <c r="AH99" s="64" ph="1">
        <v>8</v>
      </c>
      <c r="AI99" s="64" t="s" ph="1">
        <v>470</v>
      </c>
      <c r="AJ99" s="64" t="s" ph="1">
        <v>471</v>
      </c>
      <c r="AK99" s="64" t="s" ph="1">
        <v>367</v>
      </c>
      <c r="AM99" s="64" t="s" ph="1">
        <v>472</v>
      </c>
      <c r="AN99" s="64" t="s" ph="1">
        <v>254</v>
      </c>
      <c r="AO99" s="64" t="s" ph="1">
        <v>259</v>
      </c>
      <c r="AP99" s="64" t="s" ph="1">
        <v>473</v>
      </c>
      <c r="AQ99" s="64" t="s" ph="1">
        <v>224</v>
      </c>
      <c r="AR99" s="64" t="s" ph="1">
        <v>287</v>
      </c>
      <c r="AS99" s="64" t="s" ph="1">
        <v>474</v>
      </c>
      <c r="AT99" s="64" t="s" ph="1">
        <v>239</v>
      </c>
      <c r="AU99" s="64" t="s" ph="1">
        <v>287</v>
      </c>
      <c r="AV99" s="64" t="s" ph="1">
        <v>475</v>
      </c>
      <c r="AW99" s="64" t="s" ph="1">
        <v>224</v>
      </c>
      <c r="AX99" s="64" t="s" ph="1">
        <v>287</v>
      </c>
      <c r="AY99" s="64" t="s" ph="1">
        <v>216</v>
      </c>
      <c r="AZ99" s="64" t="s" ph="1">
        <v>476</v>
      </c>
    </row>
    <row r="100" spans="33:52" ph="1">
      <c r="AJ100" s="64" t="s" ph="1">
        <v>477</v>
      </c>
      <c r="AK100" s="64" t="s" ph="1">
        <v>222</v>
      </c>
      <c r="AM100" s="64" t="s" ph="1">
        <v>478</v>
      </c>
      <c r="AN100" s="64" t="s" ph="1">
        <v>294</v>
      </c>
      <c r="AO100" s="64" t="s" ph="1">
        <v>259</v>
      </c>
      <c r="AP100" s="64" t="s" ph="1">
        <v>479</v>
      </c>
      <c r="AQ100" s="64" t="s" ph="1">
        <v>300</v>
      </c>
      <c r="AR100" s="64" t="s" ph="1">
        <v>287</v>
      </c>
      <c r="AS100" s="64" t="s" ph="1">
        <v>480</v>
      </c>
      <c r="AT100" s="64" t="s" ph="1">
        <v>367</v>
      </c>
      <c r="AU100" s="64" t="s" ph="1">
        <v>259</v>
      </c>
      <c r="AV100" s="64" t="s" ph="1">
        <v>481</v>
      </c>
      <c r="AW100" s="64" t="s" ph="1">
        <v>367</v>
      </c>
      <c r="AX100" s="64" t="s" ph="1">
        <v>259</v>
      </c>
    </row>
    <row r="101" spans="33:52" ph="1">
      <c r="AJ101" s="64" t="s" ph="1">
        <v>482</v>
      </c>
      <c r="AK101" s="64" t="s" ph="1">
        <v>367</v>
      </c>
      <c r="AM101" s="64" t="s" ph="1">
        <v>483</v>
      </c>
      <c r="AN101" s="64" t="s" ph="1">
        <v>225</v>
      </c>
      <c r="AO101" s="64" t="s" ph="1">
        <v>259</v>
      </c>
      <c r="AP101" s="64" t="s" ph="1">
        <v>484</v>
      </c>
      <c r="AQ101" s="64" t="s" ph="1">
        <v>237</v>
      </c>
      <c r="AR101" s="64" t="s" ph="1">
        <v>287</v>
      </c>
      <c r="AS101" s="64" t="s" ph="1">
        <v>485</v>
      </c>
      <c r="AT101" s="64" t="s" ph="1">
        <v>294</v>
      </c>
      <c r="AU101" s="64" t="s" ph="1">
        <v>287</v>
      </c>
      <c r="AV101" s="64" t="s" ph="1">
        <v>486</v>
      </c>
      <c r="AW101" s="64" t="s" ph="1">
        <v>225</v>
      </c>
      <c r="AX101" s="64" t="s" ph="1">
        <v>259</v>
      </c>
    </row>
    <row r="102" spans="33:52" ph="1">
      <c r="AJ102" s="64" t="s" ph="1">
        <v>487</v>
      </c>
      <c r="AK102" s="64" t="s" ph="1">
        <v>222</v>
      </c>
      <c r="AM102" s="64" t="s" ph="1">
        <v>488</v>
      </c>
      <c r="AN102" s="64" t="s" ph="1">
        <v>231</v>
      </c>
      <c r="AO102" s="64" t="s" ph="1">
        <v>259</v>
      </c>
      <c r="AP102" s="64" t="s" ph="1">
        <v>489</v>
      </c>
      <c r="AQ102" s="64" t="s" ph="1">
        <v>237</v>
      </c>
      <c r="AR102" s="64" t="s" ph="1">
        <v>259</v>
      </c>
      <c r="AS102" s="64" t="s" ph="1">
        <v>490</v>
      </c>
      <c r="AT102" s="64" t="s" ph="1">
        <v>254</v>
      </c>
      <c r="AU102" s="64" t="s" ph="1">
        <v>259</v>
      </c>
      <c r="AV102" s="64" t="s" ph="1">
        <v>491</v>
      </c>
      <c r="AW102" s="64" t="s" ph="1">
        <v>272</v>
      </c>
      <c r="AX102" s="64" t="s" ph="1">
        <v>259</v>
      </c>
    </row>
    <row r="103" spans="33:52" ph="1">
      <c r="AH103" s="64" ph="1">
        <v>9</v>
      </c>
      <c r="AI103" s="64" t="s" ph="1">
        <v>492</v>
      </c>
      <c r="AJ103" s="64" t="s" ph="1">
        <v>493</v>
      </c>
      <c r="AK103" s="64" t="s" ph="1">
        <v>367</v>
      </c>
      <c r="AM103" s="64" t="s" ph="1">
        <v>494</v>
      </c>
      <c r="AN103" s="64" t="s" ph="1">
        <v>282</v>
      </c>
      <c r="AO103" s="64" t="s" ph="1">
        <v>259</v>
      </c>
      <c r="AP103" s="64" t="s" ph="1">
        <v>336</v>
      </c>
      <c r="AQ103" s="64" t="s" ph="1">
        <v>225</v>
      </c>
      <c r="AR103" s="64" t="s" ph="1">
        <v>259</v>
      </c>
      <c r="AS103" s="64" t="s" ph="1">
        <v>570</v>
      </c>
      <c r="AT103" s="64" t="s" ph="1">
        <v>367</v>
      </c>
      <c r="AU103" s="64" t="s" ph="1">
        <v>259</v>
      </c>
      <c r="AY103" s="64" t="s" ph="1">
        <v>216</v>
      </c>
      <c r="AZ103" s="64" t="s" ph="1">
        <v>224</v>
      </c>
    </row>
    <row r="104" spans="33:52" ph="1">
      <c r="AZ104" s="64" t="s" ph="1">
        <v>495</v>
      </c>
    </row>
    <row r="105" spans="33:52" ph="1">
      <c r="AG105" s="64" t="s" ph="1">
        <v>295</v>
      </c>
      <c r="AI105" s="64" t="s" ph="1">
        <v>209</v>
      </c>
      <c r="AJ105" s="64" t="s" ph="1">
        <v>210</v>
      </c>
      <c r="AK105" s="64" t="s" ph="1">
        <v>211</v>
      </c>
      <c r="AM105" s="64" t="s" ph="1">
        <v>210</v>
      </c>
      <c r="AN105" s="64" t="s" ph="1">
        <v>211</v>
      </c>
      <c r="AO105" s="64" t="s" ph="1">
        <v>212</v>
      </c>
      <c r="AP105" s="64" t="s" ph="1">
        <v>210</v>
      </c>
      <c r="AQ105" s="64" t="s" ph="1">
        <v>211</v>
      </c>
      <c r="AR105" s="64" t="s" ph="1">
        <v>212</v>
      </c>
      <c r="AS105" s="64" t="s" ph="1">
        <v>210</v>
      </c>
      <c r="AT105" s="64" t="s" ph="1">
        <v>211</v>
      </c>
      <c r="AU105" s="64" t="s" ph="1">
        <v>212</v>
      </c>
      <c r="AV105" s="64" t="s" ph="1">
        <v>210</v>
      </c>
      <c r="AW105" s="64" t="s" ph="1">
        <v>211</v>
      </c>
      <c r="AX105" s="64" t="s" ph="1">
        <v>212</v>
      </c>
      <c r="AZ105" s="64" t="s" ph="1">
        <v>213</v>
      </c>
    </row>
    <row r="106" spans="33:52" ph="1">
      <c r="AH106" s="64" ph="1">
        <v>1</v>
      </c>
      <c r="AI106" s="64" t="s" ph="1">
        <v>496</v>
      </c>
      <c r="AJ106" s="64" t="s" ph="1">
        <v>570</v>
      </c>
      <c r="AK106" s="64" t="s" ph="1">
        <v>231</v>
      </c>
      <c r="AZ106" s="64" t="s" ph="1">
        <v>231</v>
      </c>
    </row>
    <row r="107" spans="33:52" ph="1">
      <c r="AH107" s="64" ph="1">
        <v>2</v>
      </c>
      <c r="AI107" s="64" t="s" ph="1">
        <v>497</v>
      </c>
      <c r="AJ107" s="64" t="s" ph="1">
        <v>498</v>
      </c>
      <c r="AK107" s="64" t="s" ph="1">
        <v>228</v>
      </c>
      <c r="AM107" s="64" t="s" ph="1">
        <v>334</v>
      </c>
      <c r="AN107" s="64" t="s" ph="1">
        <v>499</v>
      </c>
      <c r="AO107" s="64" t="s" ph="1">
        <v>500</v>
      </c>
      <c r="AP107" s="64" t="s" ph="1">
        <v>336</v>
      </c>
      <c r="AQ107" s="64" t="s" ph="1">
        <v>304</v>
      </c>
      <c r="AR107" s="64" t="s" ph="1">
        <v>500</v>
      </c>
      <c r="AS107" s="64" t="s" ph="1">
        <v>570</v>
      </c>
      <c r="AT107" s="64" t="s" ph="1">
        <v>499</v>
      </c>
      <c r="AU107" s="64" t="s" ph="1">
        <v>500</v>
      </c>
      <c r="AY107" s="64" t="s" ph="1">
        <v>216</v>
      </c>
      <c r="AZ107" s="64" t="s" ph="1">
        <v>580</v>
      </c>
    </row>
    <row r="108" spans="33:52" ph="1">
      <c r="AH108" s="64" ph="1">
        <v>3</v>
      </c>
      <c r="AI108" s="64" t="s" ph="1">
        <v>501</v>
      </c>
      <c r="AY108" s="64" t="s" ph="1">
        <v>216</v>
      </c>
      <c r="AZ108" s="64" t="s" ph="1">
        <v>367</v>
      </c>
    </row>
    <row r="109" spans="33:52" ph="1">
      <c r="AH109" s="64" ph="1">
        <v>4</v>
      </c>
      <c r="AI109" s="64" t="s" ph="1">
        <v>502</v>
      </c>
      <c r="AY109" s="64" t="s" ph="1">
        <v>216</v>
      </c>
      <c r="AZ109" s="64" t="s" ph="1">
        <v>367</v>
      </c>
    </row>
    <row r="110" spans="33:52" ph="1">
      <c r="AH110" s="64" ph="1">
        <v>5</v>
      </c>
      <c r="AI110" s="64" t="s" ph="1">
        <v>503</v>
      </c>
      <c r="AY110" s="64" t="s" ph="1">
        <v>216</v>
      </c>
      <c r="AZ110" s="64" t="s" ph="1">
        <v>367</v>
      </c>
    </row>
    <row r="111" spans="33:52" ph="1">
      <c r="AH111" s="64" ph="1">
        <v>6</v>
      </c>
      <c r="AI111" s="64" t="s" ph="1">
        <v>581</v>
      </c>
      <c r="AJ111" s="64" t="s" ph="1">
        <v>486</v>
      </c>
      <c r="AK111" s="64" t="s" ph="1">
        <v>225</v>
      </c>
      <c r="AM111" s="64" t="s" ph="1">
        <v>487</v>
      </c>
      <c r="AN111" s="64" t="s" ph="1">
        <v>219</v>
      </c>
      <c r="AO111" s="64" t="s" ph="1">
        <v>500</v>
      </c>
      <c r="AP111" s="64" t="s" ph="1">
        <v>488</v>
      </c>
      <c r="AQ111" s="64" t="s" ph="1">
        <v>228</v>
      </c>
      <c r="AR111" s="64" t="s" ph="1">
        <v>500</v>
      </c>
      <c r="AS111" s="64" t="s" ph="1">
        <v>489</v>
      </c>
      <c r="AT111" s="64" t="s" ph="1">
        <v>237</v>
      </c>
      <c r="AU111" s="64" t="s" ph="1">
        <v>500</v>
      </c>
      <c r="AV111" s="64" t="s" ph="1">
        <v>490</v>
      </c>
      <c r="AW111" s="64" t="s" ph="1">
        <v>227</v>
      </c>
      <c r="AX111" s="64" t="s" ph="1">
        <v>500</v>
      </c>
      <c r="AY111" s="64" t="s" ph="1">
        <v>216</v>
      </c>
      <c r="AZ111" s="64" t="s" ph="1">
        <v>504</v>
      </c>
    </row>
    <row r="112" spans="33:52" ph="1">
      <c r="AJ112" s="64" t="s" ph="1">
        <v>491</v>
      </c>
      <c r="AK112" s="64" t="s" ph="1">
        <v>272</v>
      </c>
      <c r="AM112" s="64" t="s" ph="1">
        <v>493</v>
      </c>
      <c r="AN112" s="64" t="s" ph="1">
        <v>296</v>
      </c>
      <c r="AO112" s="64" t="s" ph="1">
        <v>500</v>
      </c>
      <c r="AP112" s="64" t="s" ph="1">
        <v>494</v>
      </c>
      <c r="AQ112" s="64" t="s" ph="1">
        <v>505</v>
      </c>
      <c r="AR112" s="64" t="s" ph="1">
        <v>500</v>
      </c>
      <c r="AS112" s="64" t="s" ph="1">
        <v>506</v>
      </c>
      <c r="AT112" s="64" t="s" ph="1">
        <v>248</v>
      </c>
      <c r="AU112" s="64" t="s" ph="1">
        <v>500</v>
      </c>
      <c r="AV112" s="64" t="s" ph="1">
        <v>507</v>
      </c>
      <c r="AW112" s="64" t="s" ph="1">
        <v>294</v>
      </c>
      <c r="AX112" s="64" t="s" ph="1">
        <v>500</v>
      </c>
    </row>
    <row r="113" spans="33:52" ph="1">
      <c r="AH113" s="64" ph="1">
        <v>7</v>
      </c>
      <c r="AI113" s="64" t="s" ph="1">
        <v>508</v>
      </c>
      <c r="AJ113" s="64" t="s" ph="1">
        <v>589</v>
      </c>
      <c r="AK113" s="64" t="s" ph="1">
        <v>594</v>
      </c>
      <c r="AY113" s="64" t="s" ph="1">
        <v>216</v>
      </c>
      <c r="AZ113" s="64" t="s" ph="1">
        <v>594</v>
      </c>
    </row>
    <row r="114" spans="33:52" ph="1">
      <c r="AH114" s="64" ph="1">
        <v>8</v>
      </c>
      <c r="AI114" s="64" t="s" ph="1">
        <v>509</v>
      </c>
      <c r="AJ114" s="64" t="s" ph="1">
        <v>589</v>
      </c>
      <c r="AK114" s="64" t="s" ph="1">
        <v>595</v>
      </c>
      <c r="AY114" s="64" t="s" ph="1">
        <v>216</v>
      </c>
      <c r="AZ114" s="64" t="s" ph="1">
        <v>595</v>
      </c>
    </row>
    <row r="115" spans="33:52" ph="1">
      <c r="AH115" s="64" ph="1">
        <v>9</v>
      </c>
      <c r="AI115" s="64" t="s" ph="1">
        <v>510</v>
      </c>
      <c r="AJ115" s="64" t="s" ph="1">
        <v>589</v>
      </c>
      <c r="AK115" s="64" t="s" ph="1">
        <v>595</v>
      </c>
      <c r="AY115" s="64" t="s" ph="1">
        <v>216</v>
      </c>
      <c r="AZ115" s="64" t="s" ph="1">
        <v>595</v>
      </c>
    </row>
    <row r="116" spans="33:52" ph="1">
      <c r="AH116" s="64" ph="1">
        <v>10</v>
      </c>
      <c r="AI116" s="64" t="s" ph="1">
        <v>511</v>
      </c>
      <c r="AJ116" s="64" t="s" ph="1">
        <v>589</v>
      </c>
      <c r="AK116" s="64" t="s" ph="1">
        <v>595</v>
      </c>
      <c r="AY116" s="64" t="s" ph="1">
        <v>216</v>
      </c>
      <c r="AZ116" s="64" t="s" ph="1">
        <v>595</v>
      </c>
    </row>
    <row r="117" spans="33:52" ph="1">
      <c r="AH117" s="64" ph="1">
        <v>11</v>
      </c>
      <c r="AI117" s="64" t="s" ph="1">
        <v>512</v>
      </c>
      <c r="AJ117" s="64" t="s" ph="1">
        <v>589</v>
      </c>
      <c r="AK117" s="64" t="s" ph="1">
        <v>595</v>
      </c>
      <c r="AY117" s="64" t="s" ph="1">
        <v>216</v>
      </c>
      <c r="AZ117" s="64" t="s" ph="1">
        <v>595</v>
      </c>
    </row>
    <row r="118" spans="33:52" ph="1">
      <c r="AZ118" s="64" t="s" ph="1">
        <v>596</v>
      </c>
    </row>
    <row r="119" spans="33:52" ph="1">
      <c r="AI119" s="64" t="s" ph="1">
        <v>209</v>
      </c>
      <c r="AJ119" s="64" t="s" ph="1">
        <v>210</v>
      </c>
      <c r="AK119" s="64" t="s" ph="1">
        <v>211</v>
      </c>
      <c r="AM119" s="64" t="s" ph="1">
        <v>210</v>
      </c>
      <c r="AN119" s="64" t="s" ph="1">
        <v>211</v>
      </c>
      <c r="AO119" s="64" t="s" ph="1">
        <v>212</v>
      </c>
      <c r="AP119" s="64" t="s" ph="1">
        <v>210</v>
      </c>
      <c r="AQ119" s="64" t="s" ph="1">
        <v>211</v>
      </c>
      <c r="AR119" s="64" t="s" ph="1">
        <v>212</v>
      </c>
      <c r="AS119" s="64" t="s" ph="1">
        <v>210</v>
      </c>
      <c r="AT119" s="64" t="s" ph="1">
        <v>211</v>
      </c>
      <c r="AU119" s="64" t="s" ph="1">
        <v>212</v>
      </c>
      <c r="AV119" s="64" t="s" ph="1">
        <v>210</v>
      </c>
      <c r="AW119" s="64" t="s" ph="1">
        <v>211</v>
      </c>
      <c r="AX119" s="64" t="s" ph="1">
        <v>212</v>
      </c>
      <c r="AY119" s="64" t="s" ph="1">
        <v>211</v>
      </c>
      <c r="AZ119" s="64" t="s" ph="1">
        <v>213</v>
      </c>
    </row>
    <row r="120" spans="33:52" ph="1">
      <c r="AG120" s="64" t="s" ph="1">
        <v>353</v>
      </c>
      <c r="AH120" s="64" ph="1">
        <v>1</v>
      </c>
      <c r="AI120" s="64" t="s" ph="1">
        <v>513</v>
      </c>
      <c r="AJ120" s="64" t="s" ph="1">
        <v>587</v>
      </c>
      <c r="AK120" s="64" t="s" ph="1">
        <v>367</v>
      </c>
      <c r="AY120" s="64" t="s" ph="1">
        <v>216</v>
      </c>
      <c r="AZ120" s="64" t="s" ph="1">
        <v>367</v>
      </c>
    </row>
    <row r="121" spans="33:52" ph="1">
      <c r="AH121" s="64" ph="1">
        <v>2</v>
      </c>
      <c r="AI121" s="64" t="s" ph="1">
        <v>514</v>
      </c>
      <c r="AY121" s="64" t="s" ph="1">
        <v>216</v>
      </c>
      <c r="AZ121" s="64" t="s" ph="1">
        <v>367</v>
      </c>
    </row>
    <row r="122" spans="33:52" ph="1">
      <c r="AH122" s="64" ph="1">
        <v>3</v>
      </c>
      <c r="AI122" s="64" t="s" ph="1">
        <v>515</v>
      </c>
      <c r="AJ122" s="64" t="s" ph="1">
        <v>570</v>
      </c>
      <c r="AK122" s="64" t="s" ph="1">
        <v>582</v>
      </c>
      <c r="AM122" s="64" t="s" ph="1">
        <v>597</v>
      </c>
      <c r="AN122" s="64" t="s" ph="1">
        <v>590</v>
      </c>
      <c r="AO122" s="64" t="s" ph="1">
        <v>91</v>
      </c>
      <c r="AY122" s="64" t="s" ph="1">
        <v>216</v>
      </c>
      <c r="AZ122" s="64" t="s" ph="1">
        <v>579</v>
      </c>
    </row>
    <row r="123" spans="33:52" ph="1">
      <c r="AY123" s="64" t="s" ph="1">
        <v>216</v>
      </c>
      <c r="AZ123" s="64" t="s" ph="1">
        <v>579</v>
      </c>
    </row>
    <row r="124" spans="33:52" ph="1">
      <c r="AG124" s="64" t="s" ph="1">
        <v>356</v>
      </c>
      <c r="AH124" s="64" ph="1">
        <v>4</v>
      </c>
      <c r="AI124" s="64" t="s" ph="1">
        <v>516</v>
      </c>
      <c r="AJ124" s="64" t="s" ph="1">
        <v>517</v>
      </c>
      <c r="AK124" s="64" t="s" ph="1">
        <v>518</v>
      </c>
      <c r="AY124" s="64" t="s" ph="1">
        <v>216</v>
      </c>
      <c r="AZ124" s="64" t="s" ph="1">
        <v>518</v>
      </c>
    </row>
    <row r="125" spans="33:52" ph="1">
      <c r="AH125" s="64" ph="1">
        <v>5</v>
      </c>
      <c r="AI125" s="64" t="s" ph="1">
        <v>519</v>
      </c>
      <c r="AJ125" s="64" t="s" ph="1">
        <v>517</v>
      </c>
      <c r="AK125" s="64" t="s" ph="1">
        <v>518</v>
      </c>
      <c r="AY125" s="64" t="s" ph="1">
        <v>216</v>
      </c>
      <c r="AZ125" s="64" t="s" ph="1">
        <v>518</v>
      </c>
    </row>
    <row r="126" spans="33:52" ph="1">
      <c r="AH126" s="64" ph="1">
        <v>6</v>
      </c>
      <c r="AI126" s="64" t="s" ph="1">
        <v>520</v>
      </c>
      <c r="AJ126" s="64" t="s" ph="1">
        <v>589</v>
      </c>
      <c r="AK126" s="64" t="s" ph="1">
        <v>598</v>
      </c>
      <c r="AY126" s="64" t="s" ph="1">
        <v>216</v>
      </c>
      <c r="AZ126" s="64" t="s" ph="1">
        <v>598</v>
      </c>
    </row>
    <row r="127" spans="33:52" ph="1">
      <c r="AH127" s="64" ph="1">
        <v>7</v>
      </c>
      <c r="AI127" s="64" t="s" ph="1">
        <v>521</v>
      </c>
      <c r="AJ127" s="64" t="s" ph="1">
        <v>589</v>
      </c>
      <c r="AK127" s="64" t="s" ph="1">
        <v>599</v>
      </c>
      <c r="AY127" s="64" t="s" ph="1">
        <v>216</v>
      </c>
      <c r="AZ127" s="64" t="s" ph="1">
        <v>599</v>
      </c>
    </row>
    <row r="128" spans="33:52" ph="1">
      <c r="AH128" s="64" ph="1">
        <v>8</v>
      </c>
      <c r="AI128" s="64" t="s" ph="1">
        <v>522</v>
      </c>
      <c r="AY128" s="64" t="s" ph="1">
        <v>216</v>
      </c>
      <c r="AZ128" s="64" t="s" ph="1">
        <v>367</v>
      </c>
    </row>
    <row r="129" spans="33:52" ph="1">
      <c r="AH129" s="64" ph="1">
        <v>9</v>
      </c>
      <c r="AI129" s="64" t="s" ph="1">
        <v>523</v>
      </c>
      <c r="AY129" s="64" t="s" ph="1">
        <v>216</v>
      </c>
      <c r="AZ129" s="64" t="s" ph="1">
        <v>367</v>
      </c>
    </row>
    <row r="130" spans="33:52" ph="1">
      <c r="AH130" s="64" ph="1">
        <v>10</v>
      </c>
      <c r="AI130" s="64" t="s" ph="1">
        <v>524</v>
      </c>
      <c r="AY130" s="64" t="s" ph="1">
        <v>216</v>
      </c>
      <c r="AZ130" s="64" t="s" ph="1">
        <v>367</v>
      </c>
    </row>
    <row r="131" spans="33:52" ph="1">
      <c r="AH131" s="64" ph="1">
        <v>11</v>
      </c>
      <c r="AI131" s="64" t="s" ph="1">
        <v>525</v>
      </c>
      <c r="AJ131" s="64" t="s" ph="1">
        <v>583</v>
      </c>
      <c r="AK131" s="64" t="s" ph="1">
        <v>579</v>
      </c>
      <c r="AY131" s="64" t="s" ph="1">
        <v>216</v>
      </c>
      <c r="AZ131" s="64" t="s" ph="1">
        <v>579</v>
      </c>
    </row>
    <row r="132" spans="33:52" ph="1">
      <c r="AH132" s="64" ph="1">
        <v>12</v>
      </c>
      <c r="AI132" s="64" t="s" ph="1">
        <v>526</v>
      </c>
      <c r="AJ132" s="64" t="s" ph="1">
        <v>583</v>
      </c>
      <c r="AK132" s="64" t="s" ph="1">
        <v>518</v>
      </c>
      <c r="AY132" s="64" t="s" ph="1">
        <v>216</v>
      </c>
      <c r="AZ132" s="64" t="s" ph="1">
        <v>518</v>
      </c>
    </row>
    <row r="133" spans="33:52" ph="1">
      <c r="AH133" s="64" ph="1">
        <v>13</v>
      </c>
      <c r="AI133" s="64" t="s" ph="1">
        <v>527</v>
      </c>
      <c r="AJ133" s="64" t="s" ph="1">
        <v>583</v>
      </c>
      <c r="AK133" s="64" t="s" ph="1">
        <v>584</v>
      </c>
      <c r="AY133" s="64" t="s" ph="1">
        <v>216</v>
      </c>
      <c r="AZ133" s="64" t="s" ph="1">
        <v>584</v>
      </c>
    </row>
    <row r="134" spans="33:52" ph="1">
      <c r="AH134" s="64" ph="1">
        <v>14</v>
      </c>
      <c r="AI134" s="64" t="s" ph="1">
        <v>528</v>
      </c>
      <c r="AJ134" s="64" t="s" ph="1">
        <v>583</v>
      </c>
      <c r="AK134" s="64" t="s" ph="1">
        <v>585</v>
      </c>
      <c r="AY134" s="64" t="s" ph="1">
        <v>216</v>
      </c>
      <c r="AZ134" s="64" t="s" ph="1">
        <v>585</v>
      </c>
    </row>
    <row r="135" spans="33:52" ph="1">
      <c r="AH135" s="64" ph="1">
        <v>15</v>
      </c>
      <c r="AI135" s="64" t="s" ph="1">
        <v>529</v>
      </c>
      <c r="AJ135" s="64" t="s" ph="1">
        <v>583</v>
      </c>
      <c r="AK135" s="64" t="s" ph="1">
        <v>586</v>
      </c>
      <c r="AY135" s="64" t="s" ph="1">
        <v>216</v>
      </c>
      <c r="AZ135" s="64" t="s" ph="1">
        <v>586</v>
      </c>
    </row>
    <row r="136" spans="33:52" ph="1">
      <c r="AZ136" s="64" t="s" ph="1">
        <v>600</v>
      </c>
    </row>
    <row r="137" spans="33:52" ph="1">
      <c r="AG137" s="64" t="s" ph="1">
        <v>290</v>
      </c>
      <c r="AI137" s="64" t="s" ph="1">
        <v>209</v>
      </c>
      <c r="AJ137" s="64" t="s" ph="1">
        <v>210</v>
      </c>
      <c r="AK137" s="64" t="s" ph="1">
        <v>211</v>
      </c>
      <c r="AM137" s="64" t="s" ph="1">
        <v>210</v>
      </c>
      <c r="AN137" s="64" t="s" ph="1">
        <v>211</v>
      </c>
      <c r="AO137" s="64" t="s" ph="1">
        <v>212</v>
      </c>
      <c r="AP137" s="64" t="s" ph="1">
        <v>210</v>
      </c>
      <c r="AQ137" s="64" t="s" ph="1">
        <v>211</v>
      </c>
      <c r="AR137" s="64" t="s" ph="1">
        <v>212</v>
      </c>
      <c r="AS137" s="64" t="s" ph="1">
        <v>210</v>
      </c>
      <c r="AT137" s="64" t="s" ph="1">
        <v>211</v>
      </c>
      <c r="AU137" s="64" t="s" ph="1">
        <v>212</v>
      </c>
      <c r="AV137" s="64" t="s" ph="1">
        <v>210</v>
      </c>
      <c r="AW137" s="64" t="s" ph="1">
        <v>211</v>
      </c>
      <c r="AX137" s="64" t="s" ph="1">
        <v>212</v>
      </c>
      <c r="AY137" s="64" t="s" ph="1">
        <v>211</v>
      </c>
      <c r="AZ137" s="64" t="s" ph="1">
        <v>213</v>
      </c>
    </row>
    <row r="138" spans="33:52" ph="1">
      <c r="AH138" s="64" ph="1">
        <v>1</v>
      </c>
      <c r="AI138" s="64" t="s" ph="1">
        <v>530</v>
      </c>
      <c r="AJ138" s="64" t="s" ph="1">
        <v>531</v>
      </c>
      <c r="AK138" s="64" t="s" ph="1">
        <v>532</v>
      </c>
      <c r="AY138" s="64" t="s" ph="1">
        <v>216</v>
      </c>
      <c r="AZ138" s="64" t="s" ph="1">
        <v>532</v>
      </c>
    </row>
    <row r="139" spans="33:52" ph="1">
      <c r="AH139" s="64" ph="1">
        <v>2</v>
      </c>
      <c r="AI139" s="64" t="s" ph="1">
        <v>533</v>
      </c>
      <c r="AJ139" s="64" t="s" ph="1">
        <v>589</v>
      </c>
      <c r="AK139" s="64" t="s" ph="1">
        <v>601</v>
      </c>
      <c r="AY139" s="64" t="s" ph="1">
        <v>216</v>
      </c>
      <c r="AZ139" s="64" t="s" ph="1">
        <v>601</v>
      </c>
    </row>
    <row r="140" spans="33:52" ph="1">
      <c r="AH140" s="64" ph="1">
        <v>3</v>
      </c>
      <c r="AI140" s="64" t="s" ph="1">
        <v>534</v>
      </c>
      <c r="AJ140" s="64" t="s" ph="1">
        <v>487</v>
      </c>
      <c r="AK140" s="64" t="s" ph="1">
        <v>299</v>
      </c>
      <c r="AM140" s="64" t="s" ph="1">
        <v>488</v>
      </c>
      <c r="AN140" s="64" t="s" ph="1">
        <v>219</v>
      </c>
      <c r="AO140" s="64" t="s" ph="1">
        <v>535</v>
      </c>
      <c r="AP140" s="64" t="s" ph="1">
        <v>489</v>
      </c>
      <c r="AQ140" s="64" t="s" ph="1">
        <v>236</v>
      </c>
      <c r="AR140" s="64" t="s" ph="1">
        <v>535</v>
      </c>
      <c r="AS140" s="64" t="s" ph="1">
        <v>490</v>
      </c>
      <c r="AT140" s="64" t="s" ph="1">
        <v>229</v>
      </c>
      <c r="AU140" s="64" t="s" ph="1">
        <v>535</v>
      </c>
      <c r="AV140" s="64" t="s" ph="1">
        <v>491</v>
      </c>
      <c r="AW140" s="64" t="s" ph="1">
        <v>222</v>
      </c>
      <c r="AX140" s="64" t="s" ph="1">
        <v>535</v>
      </c>
      <c r="AY140" s="64" t="s" ph="1">
        <v>216</v>
      </c>
      <c r="AZ140" s="64" t="s" ph="1">
        <v>291</v>
      </c>
    </row>
    <row r="141" spans="33:52" ph="1">
      <c r="AJ141" s="64" t="s" ph="1">
        <v>493</v>
      </c>
      <c r="AK141" s="64" t="s" ph="1">
        <v>222</v>
      </c>
      <c r="AM141" s="64" t="s" ph="1">
        <v>494</v>
      </c>
      <c r="AN141" s="64" t="s" ph="1">
        <v>225</v>
      </c>
      <c r="AO141" s="64" t="s" ph="1">
        <v>535</v>
      </c>
      <c r="AP141" s="64" t="s" ph="1">
        <v>506</v>
      </c>
      <c r="AQ141" s="64" t="s" ph="1">
        <v>294</v>
      </c>
      <c r="AR141" s="64" t="s" ph="1">
        <v>535</v>
      </c>
      <c r="AS141" s="64" t="s" ph="1">
        <v>498</v>
      </c>
      <c r="AT141" s="64" t="s" ph="1">
        <v>222</v>
      </c>
      <c r="AU141" s="64" t="s" ph="1">
        <v>535</v>
      </c>
      <c r="AV141" s="64" t="s" ph="1">
        <v>334</v>
      </c>
      <c r="AW141" s="64" t="s" ph="1">
        <v>228</v>
      </c>
      <c r="AX141" s="64" t="s" ph="1">
        <v>535</v>
      </c>
    </row>
    <row r="142" spans="33:52" ph="1">
      <c r="AJ142" s="64" t="s" ph="1">
        <v>536</v>
      </c>
      <c r="AK142" s="64" t="s" ph="1">
        <v>239</v>
      </c>
    </row>
    <row r="143" spans="33:52" ph="1">
      <c r="AH143" s="64" ph="1">
        <v>4</v>
      </c>
      <c r="AI143" s="64" t="s" ph="1">
        <v>537</v>
      </c>
      <c r="AJ143" s="64" t="s" ph="1">
        <v>517</v>
      </c>
      <c r="AK143" s="64" t="s" ph="1">
        <v>538</v>
      </c>
      <c r="AY143" s="64" t="s" ph="1">
        <v>216</v>
      </c>
      <c r="AZ143" s="64" t="s" ph="1">
        <v>538</v>
      </c>
    </row>
    <row r="144" spans="33:52" ph="1">
      <c r="AH144" s="64" ph="1">
        <v>5</v>
      </c>
      <c r="AI144" s="64" t="s" ph="1">
        <v>539</v>
      </c>
      <c r="AY144" s="64" t="s" ph="1">
        <v>216</v>
      </c>
      <c r="AZ144" s="64" t="s" ph="1">
        <v>367</v>
      </c>
    </row>
    <row r="145" spans="33:52" ph="1">
      <c r="AH145" s="64" ph="1">
        <v>6</v>
      </c>
      <c r="AI145" s="64" t="s" ph="1">
        <v>540</v>
      </c>
      <c r="AY145" s="64" t="s" ph="1">
        <v>216</v>
      </c>
      <c r="AZ145" s="64" t="s" ph="1">
        <v>367</v>
      </c>
    </row>
    <row r="146" spans="33:52" ph="1">
      <c r="AH146" s="64" ph="1">
        <v>7</v>
      </c>
      <c r="AI146" s="64" t="s" ph="1">
        <v>541</v>
      </c>
      <c r="AY146" s="64" t="s" ph="1">
        <v>216</v>
      </c>
      <c r="AZ146" s="64" t="s" ph="1">
        <v>367</v>
      </c>
    </row>
    <row r="147" spans="33:52" ph="1">
      <c r="AH147" s="64" ph="1">
        <v>8</v>
      </c>
      <c r="AI147" s="64" t="s" ph="1">
        <v>542</v>
      </c>
      <c r="AY147" s="64" t="s" ph="1">
        <v>216</v>
      </c>
      <c r="AZ147" s="64" t="s" ph="1">
        <v>367</v>
      </c>
    </row>
    <row r="148" spans="33:52" ph="1">
      <c r="AH148" s="64" ph="1">
        <v>9</v>
      </c>
      <c r="AI148" s="64" t="s" ph="1">
        <v>543</v>
      </c>
      <c r="AY148" s="64" t="s" ph="1">
        <v>216</v>
      </c>
      <c r="AZ148" s="64" t="s" ph="1">
        <v>367</v>
      </c>
    </row>
    <row r="149" spans="33:52" ph="1">
      <c r="AH149" s="64" ph="1">
        <v>10</v>
      </c>
      <c r="AI149" s="64" t="s" ph="1">
        <v>544</v>
      </c>
      <c r="AY149" s="64" t="s" ph="1">
        <v>216</v>
      </c>
      <c r="AZ149" s="64" t="s" ph="1">
        <v>367</v>
      </c>
    </row>
    <row r="150" spans="33:52" ph="1">
      <c r="AH150" s="64" ph="1">
        <v>11</v>
      </c>
      <c r="AI150" s="64" t="s" ph="1">
        <v>545</v>
      </c>
      <c r="AY150" s="64" t="s" ph="1">
        <v>216</v>
      </c>
      <c r="AZ150" s="64" t="s" ph="1">
        <v>367</v>
      </c>
    </row>
    <row r="151" spans="33:52" ph="1">
      <c r="AH151" s="64" ph="1">
        <v>12</v>
      </c>
      <c r="AI151" s="64" t="s" ph="1">
        <v>546</v>
      </c>
      <c r="AY151" s="64" t="s" ph="1">
        <v>216</v>
      </c>
      <c r="AZ151" s="64" t="s" ph="1">
        <v>367</v>
      </c>
    </row>
    <row r="152" spans="33:52" ph="1">
      <c r="AH152" s="64" ph="1">
        <v>13</v>
      </c>
      <c r="AI152" s="64" t="s" ph="1">
        <v>547</v>
      </c>
      <c r="AY152" s="64" t="s" ph="1">
        <v>216</v>
      </c>
      <c r="AZ152" s="64" t="s" ph="1">
        <v>367</v>
      </c>
    </row>
    <row r="153" spans="33:52" ph="1">
      <c r="AH153" s="64" ph="1">
        <v>14</v>
      </c>
      <c r="AI153" s="64" t="s" ph="1">
        <v>548</v>
      </c>
      <c r="AY153" s="64" t="s" ph="1">
        <v>216</v>
      </c>
      <c r="AZ153" s="64" t="s" ph="1">
        <v>367</v>
      </c>
    </row>
    <row r="154" spans="33:52" ph="1">
      <c r="AH154" s="64" ph="1">
        <v>15</v>
      </c>
      <c r="AI154" s="64" t="s" ph="1">
        <v>549</v>
      </c>
      <c r="AY154" s="64" t="s" ph="1">
        <v>216</v>
      </c>
      <c r="AZ154" s="64" t="s" ph="1">
        <v>367</v>
      </c>
    </row>
    <row r="155" spans="33:52" ph="1">
      <c r="AH155" s="64" ph="1">
        <v>16</v>
      </c>
      <c r="AI155" s="64" t="s" ph="1">
        <v>550</v>
      </c>
      <c r="AJ155" s="64" t="s" ph="1">
        <v>336</v>
      </c>
      <c r="AK155" s="64" t="s" ph="1">
        <v>231</v>
      </c>
      <c r="AM155" s="64" t="s" ph="1">
        <v>570</v>
      </c>
      <c r="AN155" s="64" t="s" ph="1">
        <v>282</v>
      </c>
      <c r="AO155" s="64" t="s" ph="1">
        <v>535</v>
      </c>
      <c r="AY155" s="64" t="s" ph="1">
        <v>216</v>
      </c>
      <c r="AZ155" s="64" t="s" ph="1">
        <v>223</v>
      </c>
    </row>
    <row r="156" spans="33:52" ph="1">
      <c r="AZ156" s="64" t="s" ph="1">
        <v>602</v>
      </c>
    </row>
    <row r="157" spans="33:52" ph="1">
      <c r="AG157" s="64" t="s" ph="1">
        <v>551</v>
      </c>
      <c r="AI157" s="64" t="s" ph="1">
        <v>209</v>
      </c>
      <c r="AJ157" s="64" t="s" ph="1">
        <v>210</v>
      </c>
      <c r="AK157" s="64" t="s" ph="1">
        <v>211</v>
      </c>
      <c r="AM157" s="64" t="s" ph="1">
        <v>210</v>
      </c>
      <c r="AN157" s="64" t="s" ph="1">
        <v>211</v>
      </c>
      <c r="AO157" s="64" t="s" ph="1">
        <v>212</v>
      </c>
      <c r="AP157" s="64" t="s" ph="1">
        <v>210</v>
      </c>
      <c r="AQ157" s="64" t="s" ph="1">
        <v>211</v>
      </c>
      <c r="AR157" s="64" t="s" ph="1">
        <v>212</v>
      </c>
      <c r="AS157" s="64" t="s" ph="1">
        <v>210</v>
      </c>
      <c r="AT157" s="64" t="s" ph="1">
        <v>211</v>
      </c>
      <c r="AU157" s="64" t="s" ph="1">
        <v>212</v>
      </c>
      <c r="AV157" s="64" t="s" ph="1">
        <v>210</v>
      </c>
      <c r="AW157" s="64" t="s" ph="1">
        <v>211</v>
      </c>
      <c r="AX157" s="64" t="s" ph="1">
        <v>212</v>
      </c>
      <c r="AY157" s="64" t="s" ph="1">
        <v>211</v>
      </c>
      <c r="AZ157" s="64" t="s" ph="1">
        <v>213</v>
      </c>
    </row>
    <row r="158" spans="33:52" ph="1">
      <c r="AH158" s="64" ph="1">
        <v>1</v>
      </c>
      <c r="AI158" s="64" t="s" ph="1">
        <v>552</v>
      </c>
      <c r="AY158" s="64" t="s" ph="1">
        <v>216</v>
      </c>
      <c r="AZ158" s="64" t="s" ph="1">
        <v>367</v>
      </c>
    </row>
    <row r="159" spans="33:52" ph="1">
      <c r="AH159" s="64" ph="1">
        <v>2</v>
      </c>
      <c r="AI159" s="64" t="s" ph="1">
        <v>553</v>
      </c>
      <c r="AY159" s="64" t="s" ph="1">
        <v>216</v>
      </c>
      <c r="AZ159" s="64" t="s" ph="1">
        <v>367</v>
      </c>
    </row>
    <row r="160" spans="33:52" ph="1">
      <c r="AZ160" s="64" t="s" ph="1">
        <v>385</v>
      </c>
    </row>
    <row r="161" spans="33:52" ph="1">
      <c r="AG161" s="64" t="s" ph="1">
        <v>361</v>
      </c>
      <c r="AI161" s="64" t="s" ph="1">
        <v>209</v>
      </c>
      <c r="AJ161" s="64" t="s" ph="1">
        <v>210</v>
      </c>
      <c r="AK161" s="64" t="s" ph="1">
        <v>211</v>
      </c>
      <c r="AM161" s="64" t="s" ph="1">
        <v>210</v>
      </c>
      <c r="AN161" s="64" t="s" ph="1">
        <v>211</v>
      </c>
      <c r="AO161" s="64" t="s" ph="1">
        <v>212</v>
      </c>
      <c r="AP161" s="64" t="s" ph="1">
        <v>210</v>
      </c>
      <c r="AQ161" s="64" t="s" ph="1">
        <v>211</v>
      </c>
      <c r="AR161" s="64" t="s" ph="1">
        <v>212</v>
      </c>
      <c r="AS161" s="64" t="s" ph="1">
        <v>210</v>
      </c>
      <c r="AT161" s="64" t="s" ph="1">
        <v>211</v>
      </c>
      <c r="AU161" s="64" t="s" ph="1">
        <v>212</v>
      </c>
      <c r="AV161" s="64" t="s" ph="1">
        <v>210</v>
      </c>
      <c r="AW161" s="64" t="s" ph="1">
        <v>211</v>
      </c>
      <c r="AX161" s="64" t="s" ph="1">
        <v>212</v>
      </c>
      <c r="AY161" s="64" t="s" ph="1">
        <v>211</v>
      </c>
      <c r="AZ161" s="64" t="s" ph="1">
        <v>213</v>
      </c>
    </row>
    <row r="162" spans="33:52" ph="1">
      <c r="AH162" s="64" ph="1">
        <v>1</v>
      </c>
      <c r="AI162" s="64" t="s" ph="1">
        <v>554</v>
      </c>
      <c r="AJ162" s="64" t="s" ph="1">
        <v>555</v>
      </c>
      <c r="AK162" s="64" t="s" ph="1">
        <v>499</v>
      </c>
      <c r="AM162" s="64" t="s" ph="1">
        <v>556</v>
      </c>
      <c r="AN162" s="64" t="s" ph="1">
        <v>220</v>
      </c>
      <c r="AO162" s="64" t="s" ph="1">
        <v>557</v>
      </c>
      <c r="AY162" s="64" t="s" ph="1">
        <v>216</v>
      </c>
      <c r="AZ162" s="64" t="s" ph="1">
        <v>292</v>
      </c>
    </row>
    <row r="163" spans="33:52" ph="1">
      <c r="AH163" s="64" ph="1">
        <v>2</v>
      </c>
      <c r="AI163" s="64" t="s" ph="1">
        <v>558</v>
      </c>
      <c r="AJ163" s="64" t="s" ph="1">
        <v>555</v>
      </c>
      <c r="AK163" s="64" t="s" ph="1">
        <v>388</v>
      </c>
      <c r="AY163" s="64" t="s" ph="1">
        <v>216</v>
      </c>
      <c r="AZ163" s="64" t="s" ph="1">
        <v>388</v>
      </c>
    </row>
    <row r="164" spans="33:52" ph="1">
      <c r="AH164" s="64" ph="1">
        <v>3</v>
      </c>
      <c r="AI164" s="64" t="s" ph="1">
        <v>559</v>
      </c>
      <c r="AJ164" s="64" t="s" ph="1">
        <v>555</v>
      </c>
      <c r="AK164" s="64" t="s" ph="1">
        <v>292</v>
      </c>
      <c r="AY164" s="64" t="s" ph="1">
        <v>216</v>
      </c>
      <c r="AZ164" s="64" t="s" ph="1">
        <v>292</v>
      </c>
    </row>
    <row r="165" spans="33:52" ph="1">
      <c r="AH165" s="64" ph="1">
        <v>4</v>
      </c>
      <c r="AI165" s="64" t="s" ph="1">
        <v>560</v>
      </c>
      <c r="AY165" s="64" t="s" ph="1">
        <v>216</v>
      </c>
      <c r="AZ165" s="64" t="s" ph="1">
        <v>367</v>
      </c>
    </row>
    <row r="166" spans="33:52" ph="1">
      <c r="AH166" s="64" ph="1">
        <v>5</v>
      </c>
      <c r="AI166" s="64" t="s" ph="1">
        <v>561</v>
      </c>
      <c r="AY166" s="64" t="s" ph="1">
        <v>216</v>
      </c>
      <c r="AZ166" s="64" t="s" ph="1">
        <v>367</v>
      </c>
    </row>
    <row r="167" spans="33:52" ph="1">
      <c r="AZ167" s="64" t="s" ph="1">
        <v>562</v>
      </c>
    </row>
    <row r="168" spans="33:52" ph="1">
      <c r="AG168" s="64" t="s" ph="1">
        <v>305</v>
      </c>
      <c r="AI168" s="64" t="s" ph="1">
        <v>209</v>
      </c>
      <c r="AJ168" s="64" t="s" ph="1">
        <v>210</v>
      </c>
      <c r="AK168" s="64" t="s" ph="1">
        <v>211</v>
      </c>
      <c r="AM168" s="64" t="s" ph="1">
        <v>210</v>
      </c>
      <c r="AN168" s="64" t="s" ph="1">
        <v>211</v>
      </c>
      <c r="AO168" s="64" t="s" ph="1">
        <v>212</v>
      </c>
      <c r="AP168" s="64" t="s" ph="1">
        <v>210</v>
      </c>
      <c r="AQ168" s="64" t="s" ph="1">
        <v>211</v>
      </c>
      <c r="AR168" s="64" t="s" ph="1">
        <v>212</v>
      </c>
      <c r="AS168" s="64" t="s" ph="1">
        <v>210</v>
      </c>
      <c r="AT168" s="64" t="s" ph="1">
        <v>211</v>
      </c>
      <c r="AU168" s="64" t="s" ph="1">
        <v>212</v>
      </c>
      <c r="AV168" s="64" t="s" ph="1">
        <v>210</v>
      </c>
      <c r="AW168" s="64" t="s" ph="1">
        <v>211</v>
      </c>
      <c r="AX168" s="64" t="s" ph="1">
        <v>212</v>
      </c>
      <c r="AY168" s="64" t="s" ph="1">
        <v>211</v>
      </c>
      <c r="AZ168" s="64" t="s" ph="1">
        <v>213</v>
      </c>
    </row>
    <row r="169" spans="33:52" ph="1">
      <c r="AH169" s="64" ph="1">
        <v>1</v>
      </c>
      <c r="AI169" s="64" t="s" ph="1">
        <v>563</v>
      </c>
      <c r="AY169" s="64" t="s" ph="1">
        <v>216</v>
      </c>
      <c r="AZ169" s="64" t="s" ph="1">
        <v>367</v>
      </c>
    </row>
    <row r="170" spans="33:52" ph="1">
      <c r="AH170" s="64" ph="1">
        <v>2</v>
      </c>
      <c r="AI170" s="64" t="s" ph="1">
        <v>564</v>
      </c>
      <c r="AY170" s="64" t="s" ph="1">
        <v>216</v>
      </c>
      <c r="AZ170" s="64" t="s" ph="1">
        <v>367</v>
      </c>
    </row>
    <row r="171" spans="33:52" ph="1">
      <c r="AH171" s="64" ph="1">
        <v>3</v>
      </c>
      <c r="AI171" s="64" t="s" ph="1">
        <v>565</v>
      </c>
      <c r="AY171" s="64" t="s" ph="1">
        <v>216</v>
      </c>
      <c r="AZ171" s="64" t="s" ph="1">
        <v>367</v>
      </c>
    </row>
    <row r="172" spans="33:52" ph="1">
      <c r="AH172" s="64" ph="1">
        <v>4</v>
      </c>
      <c r="AI172" s="64" t="s" ph="1">
        <v>566</v>
      </c>
      <c r="AY172" s="64" t="s" ph="1">
        <v>216</v>
      </c>
      <c r="AZ172" s="64" t="s" ph="1">
        <v>367</v>
      </c>
    </row>
    <row r="173" spans="33:52" ph="1">
      <c r="AH173" s="64" ph="1">
        <v>5</v>
      </c>
      <c r="AI173" s="64" t="s" ph="1">
        <v>567</v>
      </c>
      <c r="AY173" s="64" t="s" ph="1">
        <v>216</v>
      </c>
      <c r="AZ173" s="64" t="s" ph="1">
        <v>367</v>
      </c>
    </row>
    <row r="174" spans="33:52" ph="1">
      <c r="AZ174" s="64" t="s" ph="1">
        <v>385</v>
      </c>
    </row>
    <row r="175" spans="33:52" ph="1">
      <c r="AJ175" s="64" t="s" ph="1">
        <v>306</v>
      </c>
    </row>
    <row r="176" spans="33:52" ph="1">
      <c r="AJ176" s="64" t="s" ph="1">
        <v>307</v>
      </c>
      <c r="AK176" s="64" t="s" ph="1">
        <v>308</v>
      </c>
      <c r="AM176" s="64" t="s" ph="1">
        <v>309</v>
      </c>
      <c r="AO176" s="64" t="s" ph="1">
        <v>310</v>
      </c>
      <c r="AP176" s="64" t="s" ph="1">
        <v>311</v>
      </c>
      <c r="AQ176" s="64" t="s" ph="1">
        <v>301</v>
      </c>
      <c r="AR176" s="64" t="s" ph="1">
        <v>221</v>
      </c>
    </row>
    <row r="177" spans="36:56" ph="1">
      <c r="AJ177" s="64" t="s" ph="1">
        <v>603</v>
      </c>
      <c r="AK177" s="64" t="s" ph="1">
        <v>312</v>
      </c>
      <c r="AO177" s="64" t="s" ph="1">
        <v>312</v>
      </c>
      <c r="AP177" s="64" t="s" ph="1">
        <v>312</v>
      </c>
      <c r="AQ177" s="64" t="s" ph="1">
        <v>313</v>
      </c>
      <c r="AR177" s="64" t="s" ph="1">
        <v>314</v>
      </c>
    </row>
    <row r="179" spans="36:56" ph="1">
      <c r="AJ179" s="64" t="s" ph="1">
        <v>315</v>
      </c>
      <c r="AK179" s="64" t="s" ph="1">
        <v>316</v>
      </c>
      <c r="AM179" s="64" t="s" ph="1">
        <v>317</v>
      </c>
      <c r="AN179" s="64" t="s" ph="1">
        <v>293</v>
      </c>
      <c r="AO179" s="64" t="s" ph="1">
        <v>318</v>
      </c>
      <c r="AP179" s="64" t="s" ph="1">
        <v>297</v>
      </c>
      <c r="AQ179" s="64" t="s" ph="1">
        <v>319</v>
      </c>
      <c r="AR179" s="64" t="s" ph="1">
        <v>320</v>
      </c>
    </row>
    <row r="180" spans="36:56" ph="1">
      <c r="AJ180" s="64" t="s" ph="1">
        <v>312</v>
      </c>
      <c r="AK180" s="64" t="s" ph="1">
        <v>312</v>
      </c>
      <c r="AL180" s="64" ph="1">
        <v>116</v>
      </c>
      <c r="AM180" s="64" t="s" ph="1">
        <v>312</v>
      </c>
      <c r="AN180" s="64" t="s" ph="1">
        <v>321</v>
      </c>
      <c r="AO180" s="64" t="s" ph="1">
        <v>312</v>
      </c>
      <c r="AP180" s="64" t="s" ph="1">
        <v>322</v>
      </c>
      <c r="AQ180" s="64" t="s" ph="1">
        <v>323</v>
      </c>
      <c r="AR180" s="64" t="s" ph="1">
        <v>324</v>
      </c>
    </row>
    <row r="189" spans="36:56" ph="1">
      <c r="BD189" s="64" t="s" ph="1">
        <v>568</v>
      </c>
    </row>
    <row r="223" spans="18:18" ph="1">
      <c r="R223" s="135" ph="1">
        <v>45496</v>
      </c>
    </row>
  </sheetData>
  <mergeCells count="58">
    <mergeCell ref="Z22:AE22"/>
    <mergeCell ref="Z23:AE29"/>
    <mergeCell ref="B24:B26"/>
    <mergeCell ref="B27:B29"/>
    <mergeCell ref="B1:AE1"/>
    <mergeCell ref="B2:AE2"/>
    <mergeCell ref="B3:AE3"/>
    <mergeCell ref="B4:B5"/>
    <mergeCell ref="B6:B8"/>
    <mergeCell ref="B9:B11"/>
    <mergeCell ref="P31:R31"/>
    <mergeCell ref="B13:B14"/>
    <mergeCell ref="B15:B17"/>
    <mergeCell ref="B18:B20"/>
    <mergeCell ref="B22:B23"/>
    <mergeCell ref="B31:C32"/>
    <mergeCell ref="D31:F31"/>
    <mergeCell ref="G31:I31"/>
    <mergeCell ref="J31:L31"/>
    <mergeCell ref="M31:O31"/>
    <mergeCell ref="B33:C34"/>
    <mergeCell ref="D33:D34"/>
    <mergeCell ref="E33:E34"/>
    <mergeCell ref="F33:F34"/>
    <mergeCell ref="G33:G34"/>
    <mergeCell ref="S31:U31"/>
    <mergeCell ref="V31:X31"/>
    <mergeCell ref="Y31:AA31"/>
    <mergeCell ref="AB31:AE31"/>
    <mergeCell ref="AD32:AE32"/>
    <mergeCell ref="S33:S34"/>
    <mergeCell ref="H33:H34"/>
    <mergeCell ref="I33:I34"/>
    <mergeCell ref="J33:J34"/>
    <mergeCell ref="K33:K34"/>
    <mergeCell ref="L33:L34"/>
    <mergeCell ref="M33:M34"/>
    <mergeCell ref="N33:N34"/>
    <mergeCell ref="O33:O34"/>
    <mergeCell ref="P33:P34"/>
    <mergeCell ref="Q33:Q34"/>
    <mergeCell ref="R33:R34"/>
    <mergeCell ref="I36:J36"/>
    <mergeCell ref="R36:S36"/>
    <mergeCell ref="AB36:AC36"/>
    <mergeCell ref="AD36:AE36"/>
    <mergeCell ref="Z33:Z34"/>
    <mergeCell ref="AA33:AA34"/>
    <mergeCell ref="AB33:AB34"/>
    <mergeCell ref="AC33:AC34"/>
    <mergeCell ref="AD33:AE34"/>
    <mergeCell ref="AC35:AE35"/>
    <mergeCell ref="T33:T34"/>
    <mergeCell ref="U33:U34"/>
    <mergeCell ref="V33:V34"/>
    <mergeCell ref="W33:W34"/>
    <mergeCell ref="X33:X34"/>
    <mergeCell ref="Y33:Y34"/>
  </mergeCells>
  <phoneticPr fontId="2" type="noConversion"/>
  <conditionalFormatting sqref="D4:D11">
    <cfRule type="expression" dxfId="1196" priority="103">
      <formula>ABS(D$7-D$10)&gt;=1000</formula>
    </cfRule>
  </conditionalFormatting>
  <conditionalFormatting sqref="E4 E6:E11">
    <cfRule type="expression" dxfId="1195" priority="102">
      <formula>ABS(E$7-E$10)&gt;=1000</formula>
    </cfRule>
  </conditionalFormatting>
  <conditionalFormatting sqref="F4:F11">
    <cfRule type="expression" dxfId="1194" priority="101">
      <formula>ABS(F$7-F$10)&gt;=1000</formula>
    </cfRule>
  </conditionalFormatting>
  <conditionalFormatting sqref="G4:G11">
    <cfRule type="expression" dxfId="1193" priority="100">
      <formula>ABS(G$7-G$10)&gt;=1000</formula>
    </cfRule>
  </conditionalFormatting>
  <conditionalFormatting sqref="H4:H11">
    <cfRule type="expression" dxfId="1192" priority="99">
      <formula>ABS(H$7-H$10)&gt;=1000</formula>
    </cfRule>
  </conditionalFormatting>
  <conditionalFormatting sqref="I4:I11">
    <cfRule type="expression" dxfId="1191" priority="98">
      <formula>ABS(I$7-I$10)&gt;=1000</formula>
    </cfRule>
  </conditionalFormatting>
  <conditionalFormatting sqref="J4:J11">
    <cfRule type="expression" dxfId="1190" priority="97">
      <formula>ABS(J$7-J$10)&gt;=1000</formula>
    </cfRule>
  </conditionalFormatting>
  <conditionalFormatting sqref="K4:K11">
    <cfRule type="expression" dxfId="1189" priority="96">
      <formula>ABS(K$7-K$10)&gt;=1000</formula>
    </cfRule>
  </conditionalFormatting>
  <conditionalFormatting sqref="L4:L11">
    <cfRule type="expression" dxfId="1188" priority="95">
      <formula>ABS(L$7-L$10)&gt;=1000</formula>
    </cfRule>
  </conditionalFormatting>
  <conditionalFormatting sqref="M4 M6:M11">
    <cfRule type="expression" dxfId="1187" priority="94">
      <formula>ABS(M$7-M$10)&gt;=1000</formula>
    </cfRule>
  </conditionalFormatting>
  <conditionalFormatting sqref="N4 N6:N11">
    <cfRule type="expression" dxfId="1186" priority="93">
      <formula>ABS(N$7-N$10)&gt;=1000</formula>
    </cfRule>
  </conditionalFormatting>
  <conditionalFormatting sqref="O4 O6:O11">
    <cfRule type="expression" dxfId="1185" priority="92">
      <formula>ABS(O$7-O$10)&gt;=1000</formula>
    </cfRule>
  </conditionalFormatting>
  <conditionalFormatting sqref="P4 P6:P11">
    <cfRule type="expression" dxfId="1184" priority="91">
      <formula>ABS(P$7-P$10)&gt;=1000</formula>
    </cfRule>
  </conditionalFormatting>
  <conditionalFormatting sqref="Q4:Q11">
    <cfRule type="expression" dxfId="1183" priority="90">
      <formula>ABS(Q$7-Q$10)&gt;=1000</formula>
    </cfRule>
  </conditionalFormatting>
  <conditionalFormatting sqref="R4:R11">
    <cfRule type="expression" dxfId="1182" priority="89">
      <formula>ABS(R$7-R$10)&gt;=1000</formula>
    </cfRule>
  </conditionalFormatting>
  <conditionalFormatting sqref="S4:S11">
    <cfRule type="expression" dxfId="1181" priority="88">
      <formula>ABS(S$7-S$10)&gt;=1000</formula>
    </cfRule>
  </conditionalFormatting>
  <conditionalFormatting sqref="T4:T9 T11">
    <cfRule type="expression" dxfId="1180" priority="87">
      <formula>ABS(T$7-T$10)&gt;=1000</formula>
    </cfRule>
  </conditionalFormatting>
  <conditionalFormatting sqref="U4:U9 U11">
    <cfRule type="expression" dxfId="1179" priority="86">
      <formula>ABS(U$7-U$10)&gt;=1000</formula>
    </cfRule>
  </conditionalFormatting>
  <conditionalFormatting sqref="V4:V9 V11">
    <cfRule type="expression" dxfId="1178" priority="85">
      <formula>ABS(V$7-V$10)&gt;=1000</formula>
    </cfRule>
  </conditionalFormatting>
  <conditionalFormatting sqref="W4:W9 W11">
    <cfRule type="expression" dxfId="1177" priority="84">
      <formula>ABS(W$7-W$10)&gt;=1000</formula>
    </cfRule>
  </conditionalFormatting>
  <conditionalFormatting sqref="X4:X9 X11">
    <cfRule type="expression" dxfId="1176" priority="83">
      <formula>ABS(X$7-X$10)&gt;=1000</formula>
    </cfRule>
  </conditionalFormatting>
  <conditionalFormatting sqref="Y4:Y9 Y11">
    <cfRule type="expression" dxfId="1175" priority="82">
      <formula>ABS(Y$7-Y$10)&gt;=1000</formula>
    </cfRule>
  </conditionalFormatting>
  <conditionalFormatting sqref="Z4:Z11">
    <cfRule type="expression" dxfId="1174" priority="81">
      <formula>ABS(Z$7-Z$10)&gt;=1000</formula>
    </cfRule>
  </conditionalFormatting>
  <conditionalFormatting sqref="AA4:AA11">
    <cfRule type="expression" dxfId="1173" priority="80">
      <formula>ABS(AA$7-AA$10)&gt;=1000</formula>
    </cfRule>
  </conditionalFormatting>
  <conditionalFormatting sqref="AB4:AB11">
    <cfRule type="expression" dxfId="1172" priority="79">
      <formula>ABS(AB$7-AB$10)&gt;=1000</formula>
    </cfRule>
  </conditionalFormatting>
  <conditionalFormatting sqref="AC4 AC6:AC11">
    <cfRule type="expression" dxfId="1171" priority="78">
      <formula>ABS(AC$7-AC$10)&gt;=1000</formula>
    </cfRule>
  </conditionalFormatting>
  <conditionalFormatting sqref="AD4 AD6:AD11">
    <cfRule type="expression" dxfId="1170" priority="77">
      <formula>ABS(AD$7-AD$10)&gt;=1000</formula>
    </cfRule>
  </conditionalFormatting>
  <conditionalFormatting sqref="AE4 AE6:AE11">
    <cfRule type="expression" dxfId="1169" priority="76">
      <formula>ABS(AE$7-AE$10)&gt;=1000</formula>
    </cfRule>
  </conditionalFormatting>
  <conditionalFormatting sqref="D13:D20">
    <cfRule type="expression" dxfId="1168" priority="75">
      <formula>ABS(D$16-D$19)&gt;=1000</formula>
    </cfRule>
  </conditionalFormatting>
  <conditionalFormatting sqref="E13:E20">
    <cfRule type="expression" dxfId="1167" priority="74">
      <formula>ABS(E$16-E$19)&gt;=1000</formula>
    </cfRule>
  </conditionalFormatting>
  <conditionalFormatting sqref="F13 F15:F20">
    <cfRule type="expression" dxfId="1166" priority="73">
      <formula>ABS(F$16-F$19)&gt;=1000</formula>
    </cfRule>
  </conditionalFormatting>
  <conditionalFormatting sqref="G13:G20">
    <cfRule type="expression" dxfId="1165" priority="72">
      <formula>ABS(G$16-G$19)&gt;=1000</formula>
    </cfRule>
  </conditionalFormatting>
  <conditionalFormatting sqref="H13 H15:H20">
    <cfRule type="expression" dxfId="1164" priority="71">
      <formula>ABS(H$16-H$19)&gt;=1000</formula>
    </cfRule>
  </conditionalFormatting>
  <conditionalFormatting sqref="I13:I20">
    <cfRule type="expression" dxfId="1163" priority="70">
      <formula>ABS(I$16-I$19)&gt;=1000</formula>
    </cfRule>
  </conditionalFormatting>
  <conditionalFormatting sqref="J13:J20">
    <cfRule type="expression" dxfId="1162" priority="69">
      <formula>ABS(J$16-J$19)&gt;=1000</formula>
    </cfRule>
  </conditionalFormatting>
  <conditionalFormatting sqref="L13:L20">
    <cfRule type="expression" dxfId="1161" priority="68">
      <formula>ABS(L$16-L$19)&gt;=1000</formula>
    </cfRule>
  </conditionalFormatting>
  <conditionalFormatting sqref="M13 M15 M17:M18 M20">
    <cfRule type="expression" dxfId="1160" priority="67">
      <formula>ABS(M$16-M$19)&gt;=1000</formula>
    </cfRule>
  </conditionalFormatting>
  <conditionalFormatting sqref="N13:N20">
    <cfRule type="expression" dxfId="1159" priority="66">
      <formula>ABS(N$16-N$19)&gt;=1000</formula>
    </cfRule>
  </conditionalFormatting>
  <conditionalFormatting sqref="O13:O20">
    <cfRule type="expression" dxfId="1158" priority="65">
      <formula>ABS(O$16-O$19)&gt;=1000</formula>
    </cfRule>
  </conditionalFormatting>
  <conditionalFormatting sqref="P13:P20">
    <cfRule type="expression" dxfId="1157" priority="64">
      <formula>ABS(P$16-P$19)&gt;=1000</formula>
    </cfRule>
  </conditionalFormatting>
  <conditionalFormatting sqref="Q13 Q15:Q20">
    <cfRule type="expression" dxfId="1156" priority="63">
      <formula>ABS(Q$16-Q$19)&gt;=1000</formula>
    </cfRule>
  </conditionalFormatting>
  <conditionalFormatting sqref="R13 R15:R20">
    <cfRule type="expression" dxfId="1155" priority="62">
      <formula>ABS(R$16-R$19)&gt;=1000</formula>
    </cfRule>
  </conditionalFormatting>
  <conditionalFormatting sqref="S13:S20">
    <cfRule type="expression" dxfId="1154" priority="61">
      <formula>ABS(S$16-S$19)&gt;=1000</formula>
    </cfRule>
  </conditionalFormatting>
  <conditionalFormatting sqref="T13:T15 T17:T20">
    <cfRule type="expression" dxfId="1153" priority="60">
      <formula>ABS(T$16-T$19)&gt;=1000</formula>
    </cfRule>
  </conditionalFormatting>
  <conditionalFormatting sqref="U13:U20">
    <cfRule type="expression" dxfId="1152" priority="59">
      <formula>ABS(U$16-U$19)&gt;=1000</formula>
    </cfRule>
  </conditionalFormatting>
  <conditionalFormatting sqref="V13:V20">
    <cfRule type="expression" dxfId="1151" priority="58">
      <formula>ABS(V$16-V$19)&gt;=1000</formula>
    </cfRule>
  </conditionalFormatting>
  <conditionalFormatting sqref="W13 W20 W15:W18">
    <cfRule type="expression" dxfId="1150" priority="57">
      <formula>ABS(W$16-W$19)&gt;=1000</formula>
    </cfRule>
  </conditionalFormatting>
  <conditionalFormatting sqref="X13 X15:X20 Y19">
    <cfRule type="expression" dxfId="1149" priority="56">
      <formula>ABS(X$16-X$19)&gt;=1000</formula>
    </cfRule>
  </conditionalFormatting>
  <conditionalFormatting sqref="Y13 Y15:Y18 Y20">
    <cfRule type="expression" dxfId="1148" priority="55">
      <formula>ABS(Y$16-Y$19)&gt;=1000</formula>
    </cfRule>
  </conditionalFormatting>
  <conditionalFormatting sqref="Z13:Z20">
    <cfRule type="expression" dxfId="1147" priority="54">
      <formula>ABS(Z$16-Z$19)&gt;=1000</formula>
    </cfRule>
  </conditionalFormatting>
  <conditionalFormatting sqref="AA13:AA20">
    <cfRule type="expression" dxfId="1146" priority="53">
      <formula>ABS(AA$16-AA$19)&gt;=1000</formula>
    </cfRule>
  </conditionalFormatting>
  <conditionalFormatting sqref="AB13 AB15:AB20">
    <cfRule type="expression" dxfId="1145" priority="52">
      <formula>ABS(AB$16-AB$19)&gt;=1000</formula>
    </cfRule>
  </conditionalFormatting>
  <conditionalFormatting sqref="AC13 AC15:AC20">
    <cfRule type="expression" dxfId="1144" priority="51">
      <formula>ABS(AC$16-AC$19)&gt;=1000</formula>
    </cfRule>
  </conditionalFormatting>
  <conditionalFormatting sqref="AD13:AD20">
    <cfRule type="expression" dxfId="1143" priority="50">
      <formula>ABS(AD$16-AD$19)&gt;=1000</formula>
    </cfRule>
  </conditionalFormatting>
  <conditionalFormatting sqref="AE13:AE20">
    <cfRule type="expression" dxfId="1142" priority="49">
      <formula>ABS(AE$16-AE$19)&gt;=1000</formula>
    </cfRule>
  </conditionalFormatting>
  <conditionalFormatting sqref="D22:D29">
    <cfRule type="expression" dxfId="1141" priority="48">
      <formula>ABS(D$25-D$28)&gt;=1000</formula>
    </cfRule>
  </conditionalFormatting>
  <conditionalFormatting sqref="E22:E29">
    <cfRule type="expression" dxfId="1140" priority="47">
      <formula>ABS(E$25-E$28)&gt;=1000</formula>
    </cfRule>
  </conditionalFormatting>
  <conditionalFormatting sqref="F22:F29">
    <cfRule type="expression" dxfId="1139" priority="46">
      <formula>ABS(F$25-F$28)&gt;=1000</formula>
    </cfRule>
  </conditionalFormatting>
  <conditionalFormatting sqref="G22:G29">
    <cfRule type="expression" dxfId="1138" priority="45">
      <formula>ABS(G$25-G$28)&gt;=1000</formula>
    </cfRule>
  </conditionalFormatting>
  <conditionalFormatting sqref="H22:H29">
    <cfRule type="expression" dxfId="1137" priority="44">
      <formula>ABS(H$25-H$28)&gt;=1000</formula>
    </cfRule>
  </conditionalFormatting>
  <conditionalFormatting sqref="I22 I24:I29">
    <cfRule type="expression" dxfId="1136" priority="43">
      <formula>ABS(I$25-I$28)&gt;=1000</formula>
    </cfRule>
  </conditionalFormatting>
  <conditionalFormatting sqref="J22:J29 K22">
    <cfRule type="expression" dxfId="1135" priority="42">
      <formula>ABS(J$25-J$28)&gt;=1000</formula>
    </cfRule>
  </conditionalFormatting>
  <conditionalFormatting sqref="K23:K29 L25 L28">
    <cfRule type="expression" dxfId="1134" priority="41">
      <formula>ABS(K$25-K$28)&gt;=1000</formula>
    </cfRule>
  </conditionalFormatting>
  <conditionalFormatting sqref="L22 L26:L27 L29 L24">
    <cfRule type="expression" dxfId="1133" priority="40">
      <formula>ABS(L$25-L$28)&gt;=1000</formula>
    </cfRule>
  </conditionalFormatting>
  <conditionalFormatting sqref="M22:M29">
    <cfRule type="expression" dxfId="1132" priority="39">
      <formula>ABS(M$25-M$28)&gt;=1000</formula>
    </cfRule>
  </conditionalFormatting>
  <conditionalFormatting sqref="N22:N29">
    <cfRule type="expression" dxfId="1131" priority="38">
      <formula>ABS(N$25-N$28)&gt;=1000</formula>
    </cfRule>
  </conditionalFormatting>
  <conditionalFormatting sqref="O22 O24:O29">
    <cfRule type="expression" dxfId="1130" priority="37">
      <formula>ABS(O$25-O$28)&gt;=1000</formula>
    </cfRule>
  </conditionalFormatting>
  <conditionalFormatting sqref="P22:P29">
    <cfRule type="expression" dxfId="1129" priority="36">
      <formula>ABS(P$25-P$28)&gt;=1000</formula>
    </cfRule>
  </conditionalFormatting>
  <conditionalFormatting sqref="Q22:Q29">
    <cfRule type="expression" dxfId="1128" priority="35">
      <formula>ABS(Q$25-Q$28)&gt;=1000</formula>
    </cfRule>
  </conditionalFormatting>
  <conditionalFormatting sqref="R22:R29">
    <cfRule type="expression" dxfId="1127" priority="34">
      <formula>ABS(R$25-R$28)&gt;=1000</formula>
    </cfRule>
  </conditionalFormatting>
  <conditionalFormatting sqref="S22:S29">
    <cfRule type="expression" dxfId="1126" priority="33">
      <formula>ABS(S$25-S$28)&gt;=1000</formula>
    </cfRule>
  </conditionalFormatting>
  <conditionalFormatting sqref="T22:T29">
    <cfRule type="expression" dxfId="1125" priority="32">
      <formula>ABS(T$25-T$28)&gt;=1000</formula>
    </cfRule>
  </conditionalFormatting>
  <conditionalFormatting sqref="U22:U29">
    <cfRule type="expression" dxfId="1124" priority="31">
      <formula>ABS(U$25-U$28)&gt;=1000</formula>
    </cfRule>
  </conditionalFormatting>
  <conditionalFormatting sqref="V22:V29">
    <cfRule type="expression" dxfId="1123" priority="30">
      <formula>ABS(V$25-V$28)&gt;=1000</formula>
    </cfRule>
  </conditionalFormatting>
  <conditionalFormatting sqref="W22:W29">
    <cfRule type="expression" dxfId="1122" priority="29">
      <formula>ABS(W$25-W$28)&gt;=1000</formula>
    </cfRule>
  </conditionalFormatting>
  <conditionalFormatting sqref="X22:X29">
    <cfRule type="expression" dxfId="1121" priority="28">
      <formula>ABS(X$25-X$28)&gt;=1000</formula>
    </cfRule>
  </conditionalFormatting>
  <conditionalFormatting sqref="Y22:Y29">
    <cfRule type="expression" dxfId="1120" priority="27">
      <formula>ABS(Y$25-Y$28)&gt;=1000</formula>
    </cfRule>
  </conditionalFormatting>
  <conditionalFormatting sqref="I23">
    <cfRule type="expression" dxfId="1119" priority="26">
      <formula>ABS(I$25-I$28)&gt;=1000</formula>
    </cfRule>
  </conditionalFormatting>
  <conditionalFormatting sqref="Q14">
    <cfRule type="expression" dxfId="1118" priority="25">
      <formula>ABS(Q$16-Q$19)&gt;=1000</formula>
    </cfRule>
  </conditionalFormatting>
  <conditionalFormatting sqref="W14">
    <cfRule type="expression" dxfId="1117" priority="24">
      <formula>ABS(W$16-W$19)&gt;=1000</formula>
    </cfRule>
  </conditionalFormatting>
  <conditionalFormatting sqref="X14">
    <cfRule type="expression" dxfId="1116" priority="23">
      <formula>ABS(X$16-X$19)&gt;=1000</formula>
    </cfRule>
  </conditionalFormatting>
  <conditionalFormatting sqref="T10:Y10">
    <cfRule type="expression" dxfId="1115" priority="22">
      <formula>ABS(T$7-T$10)&gt;=1000</formula>
    </cfRule>
  </conditionalFormatting>
  <conditionalFormatting sqref="W19">
    <cfRule type="expression" dxfId="1114" priority="21">
      <formula>ABS(W$16-W$19)&gt;=1000</formula>
    </cfRule>
  </conditionalFormatting>
  <conditionalFormatting sqref="AC5">
    <cfRule type="expression" dxfId="1113" priority="20">
      <formula>ABS(AC$7-AC$10)&gt;=1000</formula>
    </cfRule>
  </conditionalFormatting>
  <conditionalFormatting sqref="M14">
    <cfRule type="expression" dxfId="1112" priority="19">
      <formula>ABS(M$16-M$19)&gt;=1000</formula>
    </cfRule>
  </conditionalFormatting>
  <conditionalFormatting sqref="M16">
    <cfRule type="expression" dxfId="1111" priority="18">
      <formula>ABS(M$16-M$19)&gt;=1000</formula>
    </cfRule>
  </conditionalFormatting>
  <conditionalFormatting sqref="M19">
    <cfRule type="expression" dxfId="1110" priority="17">
      <formula>ABS(M$16-M$19)&gt;=1000</formula>
    </cfRule>
  </conditionalFormatting>
  <conditionalFormatting sqref="K13:K20">
    <cfRule type="expression" dxfId="1109" priority="16">
      <formula>ABS(K$16-K$19)&gt;=1000</formula>
    </cfRule>
  </conditionalFormatting>
  <conditionalFormatting sqref="E5">
    <cfRule type="expression" dxfId="1108" priority="15">
      <formula>ABS(E$7-E$10)&gt;=1000</formula>
    </cfRule>
  </conditionalFormatting>
  <conditionalFormatting sqref="AB14:AC14">
    <cfRule type="expression" dxfId="1107" priority="14">
      <formula>ABS(AB$16-AB$19)&gt;=1000</formula>
    </cfRule>
  </conditionalFormatting>
  <conditionalFormatting sqref="M5">
    <cfRule type="expression" dxfId="1106" priority="13">
      <formula>ABS(M$7-M$10)&gt;=1000</formula>
    </cfRule>
  </conditionalFormatting>
  <conditionalFormatting sqref="N5">
    <cfRule type="expression" dxfId="1105" priority="12">
      <formula>ABS(N$7-N$10)&gt;=1000</formula>
    </cfRule>
  </conditionalFormatting>
  <conditionalFormatting sqref="O5">
    <cfRule type="expression" dxfId="1104" priority="11">
      <formula>ABS(O$7-O$10)&gt;=1000</formula>
    </cfRule>
  </conditionalFormatting>
  <conditionalFormatting sqref="P5">
    <cfRule type="expression" dxfId="1103" priority="10">
      <formula>ABS(P$7-P$10)&gt;=1000</formula>
    </cfRule>
  </conditionalFormatting>
  <conditionalFormatting sqref="L23">
    <cfRule type="expression" dxfId="1102" priority="9">
      <formula>ABS(L$25-L$28)&gt;=1000</formula>
    </cfRule>
  </conditionalFormatting>
  <conditionalFormatting sqref="Y14">
    <cfRule type="expression" dxfId="1101" priority="8">
      <formula>ABS(Y$16-Y$19)&gt;=1000</formula>
    </cfRule>
  </conditionalFormatting>
  <conditionalFormatting sqref="H14">
    <cfRule type="expression" dxfId="1100" priority="7">
      <formula>ABS(H$16-H$19)&gt;=1000</formula>
    </cfRule>
  </conditionalFormatting>
  <conditionalFormatting sqref="AD5">
    <cfRule type="expression" dxfId="1099" priority="6">
      <formula>ABS(AD$7-AD$10)&gt;=1000</formula>
    </cfRule>
  </conditionalFormatting>
  <conditionalFormatting sqref="AE5">
    <cfRule type="expression" dxfId="1098" priority="5">
      <formula>ABS(AE$7-AE$10)&gt;=1000</formula>
    </cfRule>
  </conditionalFormatting>
  <conditionalFormatting sqref="T16">
    <cfRule type="expression" dxfId="1097" priority="4">
      <formula>ABS(T$16-T$19)&gt;=1000</formula>
    </cfRule>
  </conditionalFormatting>
  <conditionalFormatting sqref="F14">
    <cfRule type="expression" dxfId="1096" priority="3">
      <formula>ABS(F$16-F$19)&gt;=1000</formula>
    </cfRule>
  </conditionalFormatting>
  <conditionalFormatting sqref="R14">
    <cfRule type="expression" dxfId="1095" priority="2">
      <formula>ABS(R$16-R$19)&gt;=1000</formula>
    </cfRule>
  </conditionalFormatting>
  <conditionalFormatting sqref="O23">
    <cfRule type="expression" dxfId="1094" priority="1">
      <formula>ABS(O$25-O$28)&gt;=1000</formula>
    </cfRule>
  </conditionalFormatting>
  <dataValidations count="1">
    <dataValidation operator="greaterThanOrEqual" allowBlank="1" showErrorMessage="1" sqref="D6"/>
  </dataValidations>
  <printOptions horizontalCentered="1"/>
  <pageMargins left="0.39370078740157483" right="0.39370078740157483" top="0.39370078740157483" bottom="0.39370078740157483" header="0.51181102362204722" footer="0.51181102362204722"/>
  <pageSetup paperSize="9" scale="60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6529" r:id="rId4" name="Button 1">
              <controlPr defaultSize="0" print="0" autoFill="0" autoPict="0">
                <anchor moveWithCells="1">
                  <from>
                    <xdr:col>31</xdr:col>
                    <xdr:colOff>0</xdr:colOff>
                    <xdr:row>0</xdr:row>
                    <xdr:rowOff>342900</xdr:rowOff>
                  </from>
                  <to>
                    <xdr:col>32</xdr:col>
                    <xdr:colOff>411480</xdr:colOff>
                    <xdr:row>3</xdr:row>
                    <xdr:rowOff>30480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978">
    <pageSetUpPr fitToPage="1"/>
  </sheetPr>
  <dimension ref="A1:CU223"/>
  <sheetViews>
    <sheetView view="pageBreakPreview" topLeftCell="B16" zoomScale="85" zoomScaleNormal="100" zoomScaleSheetLayoutView="85" workbookViewId="0">
      <selection activeCell="Z23" sqref="Z23:AE29"/>
    </sheetView>
  </sheetViews>
  <sheetFormatPr defaultColWidth="8.109375" defaultRowHeight="25.8"/>
  <cols>
    <col min="1" max="1" width="11.6640625" style="64" customWidth="1" phonetic="1"/>
    <col min="2" max="2" width="7.6640625" style="64" customWidth="1" phonetic="1"/>
    <col min="3" max="3" width="8" style="64" customWidth="1" phonetic="1"/>
    <col min="4" max="8" width="7.6640625" style="64" customWidth="1" phonetic="1"/>
    <col min="9" max="9" width="8" style="64" customWidth="1" phonetic="1"/>
    <col min="10" max="12" width="7.6640625" style="64" customWidth="1" phonetic="1"/>
    <col min="13" max="13" width="7.77734375" style="64" bestFit="1" customWidth="1" phonetic="1"/>
    <col min="14" max="30" width="7.6640625" style="64" customWidth="1" phonetic="1"/>
    <col min="31" max="31" width="7.6640625" style="75" customWidth="1" phonetic="1"/>
    <col min="32" max="32" width="11.6640625" style="64" bestFit="1" customWidth="1" phonetic="1"/>
    <col min="33" max="33" width="22.109375" style="64" customWidth="1" phonetic="1"/>
    <col min="34" max="34" width="5.6640625" style="64" customWidth="1" phonetic="1"/>
    <col min="35" max="35" width="18.21875" style="64" customWidth="1" phonetic="1"/>
    <col min="36" max="36" width="12" style="64" bestFit="1" customWidth="1" phonetic="1"/>
    <col min="37" max="37" width="11.6640625" style="64" bestFit="1" customWidth="1" phonetic="1"/>
    <col min="38" max="38" width="5.6640625" style="64" customWidth="1" phonetic="1"/>
    <col min="39" max="39" width="11.44140625" style="64" bestFit="1" customWidth="1" phonetic="1"/>
    <col min="40" max="40" width="6.21875" style="64" customWidth="1" phonetic="1"/>
    <col min="41" max="41" width="8.6640625" style="64" customWidth="1" phonetic="1"/>
    <col min="42" max="42" width="11.21875" style="64" customWidth="1" phonetic="1"/>
    <col min="43" max="43" width="11.77734375" style="64" customWidth="1" phonetic="1"/>
    <col min="44" max="44" width="11.21875" style="64" customWidth="1" phonetic="1"/>
    <col min="45" max="45" width="11.21875" style="64" bestFit="1" customWidth="1" phonetic="1"/>
    <col min="46" max="46" width="41.77734375" style="64" customWidth="1" phonetic="1"/>
    <col min="47" max="47" width="7.77734375" style="64" customWidth="1" phonetic="1"/>
    <col min="48" max="48" width="17.109375" style="64" customWidth="1" phonetic="1"/>
    <col min="49" max="49" width="6.21875" style="64" customWidth="1" phonetic="1"/>
    <col min="50" max="50" width="10" style="64" customWidth="1" phonetic="1"/>
    <col min="51" max="51" width="6.21875" style="64" customWidth="1" phonetic="1"/>
    <col min="52" max="52" width="6.88671875" style="64" customWidth="1" phonetic="1"/>
    <col min="53" max="53" width="6.44140625" style="64" customWidth="1" phonetic="1"/>
    <col min="54" max="54" width="15.44140625" style="64" customWidth="1" phonetic="1"/>
    <col min="55" max="55" width="6.21875" style="64" customWidth="1" phonetic="1"/>
    <col min="56" max="56" width="22.109375" style="64" bestFit="1" customWidth="1" phonetic="1"/>
    <col min="57" max="57" width="6.44140625" style="64" customWidth="1" phonetic="1"/>
    <col min="58" max="60" width="6.21875" style="64" customWidth="1" phonetic="1"/>
    <col min="61" max="16384" width="8.109375" style="64" phonetic="1"/>
  </cols>
  <sheetData>
    <row r="1" spans="1:99" ht="31.2" ph="1">
      <c r="A1" s="64"/>
      <c r="B1" s="238" t="s" ph="1">
        <v>161</v>
      </c>
      <c r="C1" s="238" ph="1"/>
      <c r="D1" s="238" ph="1"/>
      <c r="E1" s="238" ph="1"/>
      <c r="F1" s="238" ph="1"/>
      <c r="G1" s="238" ph="1"/>
      <c r="H1" s="238" ph="1"/>
      <c r="I1" s="238" ph="1"/>
      <c r="J1" s="238" ph="1"/>
      <c r="K1" s="238" ph="1"/>
      <c r="L1" s="238" ph="1"/>
      <c r="M1" s="238" ph="1"/>
      <c r="N1" s="238" ph="1"/>
      <c r="O1" s="238" ph="1"/>
      <c r="P1" s="238" ph="1"/>
      <c r="Q1" s="238" ph="1"/>
      <c r="R1" s="238" ph="1"/>
      <c r="S1" s="238" ph="1"/>
      <c r="T1" s="238" ph="1"/>
      <c r="U1" s="238" ph="1"/>
      <c r="V1" s="238" ph="1"/>
      <c r="W1" s="238" ph="1"/>
      <c r="X1" s="238" ph="1"/>
      <c r="Y1" s="238" ph="1"/>
      <c r="Z1" s="238" ph="1"/>
      <c r="AA1" s="238" ph="1"/>
      <c r="AB1" s="238" ph="1"/>
      <c r="AC1" s="238" ph="1"/>
      <c r="AD1" s="238" ph="1"/>
      <c r="AE1" s="238" ph="1"/>
    </row>
    <row r="2" spans="1:99" s="66" customFormat="1" ht="24" customHeight="1" ph="1">
      <c r="B2" s="239" t="s" ph="1">
        <v>82</v>
      </c>
      <c r="C2" s="239" ph="1"/>
      <c r="D2" s="239" ph="1"/>
      <c r="E2" s="239" ph="1"/>
      <c r="F2" s="239" ph="1"/>
      <c r="G2" s="239" ph="1"/>
      <c r="H2" s="239" ph="1"/>
      <c r="I2" s="239" ph="1"/>
      <c r="J2" s="239" ph="1"/>
      <c r="K2" s="239" ph="1"/>
      <c r="L2" s="239" ph="1"/>
      <c r="M2" s="239" ph="1"/>
      <c r="N2" s="239" ph="1"/>
      <c r="O2" s="239" ph="1"/>
      <c r="P2" s="239" ph="1"/>
      <c r="Q2" s="239" ph="1"/>
      <c r="R2" s="239" ph="1"/>
      <c r="S2" s="239" ph="1"/>
      <c r="T2" s="239" ph="1"/>
      <c r="U2" s="239" ph="1"/>
      <c r="V2" s="239" ph="1"/>
      <c r="W2" s="239" ph="1"/>
      <c r="X2" s="239" ph="1"/>
      <c r="Y2" s="239" ph="1"/>
      <c r="Z2" s="239" ph="1"/>
      <c r="AA2" s="239" ph="1"/>
      <c r="AB2" s="239" ph="1"/>
      <c r="AC2" s="239" ph="1"/>
      <c r="AD2" s="239" ph="1"/>
      <c r="AE2" s="239" ph="1"/>
    </row>
    <row r="3" spans="1:99" ht="21" customHeight="1" ph="1">
      <c r="B3" s="240" ph="1">
        <v>46282</v>
      </c>
      <c r="C3" s="240"/>
      <c r="D3" s="240"/>
      <c r="E3" s="240"/>
      <c r="F3" s="240"/>
      <c r="G3" s="240"/>
      <c r="H3" s="240"/>
      <c r="I3" s="240"/>
      <c r="J3" s="240"/>
      <c r="K3" s="240"/>
      <c r="L3" s="240"/>
      <c r="M3" s="240"/>
      <c r="N3" s="240"/>
      <c r="O3" s="240"/>
      <c r="P3" s="240"/>
      <c r="Q3" s="240"/>
      <c r="R3" s="240"/>
      <c r="S3" s="240"/>
      <c r="T3" s="240"/>
      <c r="U3" s="240"/>
      <c r="V3" s="240"/>
      <c r="W3" s="240"/>
      <c r="X3" s="240"/>
      <c r="Y3" s="240"/>
      <c r="Z3" s="240"/>
      <c r="AA3" s="240"/>
      <c r="AB3" s="240"/>
      <c r="AC3" s="240"/>
      <c r="AD3" s="240"/>
      <c r="AE3" s="240"/>
    </row>
    <row r="4" spans="1:99" s="69" customFormat="1" ph="1">
      <c r="A4" s="65" ph="1"/>
      <c r="B4" s="219" t="s" ph="1">
        <v>37</v>
      </c>
      <c r="C4" s="67" t="s" ph="1">
        <v>176</v>
      </c>
      <c r="D4" s="68" t="s" ph="1">
        <v>44</v>
      </c>
      <c r="E4" s="68" t="s" ph="1">
        <v>45</v>
      </c>
      <c r="F4" s="68" t="s" ph="1">
        <v>39</v>
      </c>
      <c r="G4" s="68" t="s" ph="1">
        <v>46</v>
      </c>
      <c r="H4" s="68" t="s" ph="1">
        <v>47</v>
      </c>
      <c r="I4" s="68" t="s" ph="1">
        <v>110</v>
      </c>
      <c r="J4" s="68" t="s" ph="1">
        <v>48</v>
      </c>
      <c r="K4" s="68" t="s" ph="1">
        <v>111</v>
      </c>
      <c r="L4" s="68" t="s" ph="1">
        <v>112</v>
      </c>
      <c r="M4" s="68" t="s" ph="1">
        <v>49</v>
      </c>
      <c r="N4" s="68" t="s" ph="1">
        <v>50</v>
      </c>
      <c r="O4" s="68" t="s" ph="1">
        <v>113</v>
      </c>
      <c r="P4" s="68" t="s" ph="1">
        <v>114</v>
      </c>
      <c r="Q4" s="68" t="s" ph="1">
        <v>115</v>
      </c>
      <c r="R4" s="68" t="s" ph="1">
        <v>116</v>
      </c>
      <c r="S4" s="68" t="s" ph="1">
        <v>117</v>
      </c>
      <c r="T4" s="68" t="s" ph="1">
        <v>118</v>
      </c>
      <c r="U4" s="68" t="s" ph="1">
        <v>119</v>
      </c>
      <c r="V4" s="68" t="s" ph="1">
        <v>120</v>
      </c>
      <c r="W4" s="68" t="s" ph="1">
        <v>121</v>
      </c>
      <c r="X4" s="68" t="s" ph="1">
        <v>122</v>
      </c>
      <c r="Y4" s="68" t="s" ph="1">
        <v>123</v>
      </c>
      <c r="Z4" s="68" t="s" ph="1">
        <v>51</v>
      </c>
      <c r="AA4" s="68" t="s" ph="1">
        <v>124</v>
      </c>
      <c r="AB4" s="68" t="s" ph="1">
        <v>125</v>
      </c>
      <c r="AC4" s="68" t="s" ph="1">
        <v>126</v>
      </c>
      <c r="AD4" s="68" t="s" ph="1">
        <v>40</v>
      </c>
      <c r="AE4" s="68" t="s" ph="1">
        <v>127</v>
      </c>
      <c r="AF4" s="65" ph="1"/>
      <c r="AG4" s="65" ph="1"/>
      <c r="AH4" s="65" ph="1"/>
      <c r="AI4" s="65" ph="1"/>
      <c r="AJ4" s="65" ph="1"/>
      <c r="AK4" s="65" ph="1"/>
      <c r="AL4" s="65" ph="1"/>
      <c r="AM4" s="65" ph="1"/>
      <c r="AN4" s="65" ph="1"/>
      <c r="AO4" s="65" ph="1"/>
      <c r="AP4" s="65" ph="1"/>
      <c r="AQ4" s="65" ph="1"/>
      <c r="AR4" s="65" ph="1"/>
      <c r="AS4" s="65" ph="1"/>
      <c r="AT4" s="65" ph="1"/>
      <c r="AU4" s="65" ph="1"/>
      <c r="AV4" s="65" ph="1"/>
      <c r="AW4" s="65" ph="1"/>
      <c r="AX4" s="65" ph="1"/>
      <c r="AY4" s="65" ph="1"/>
      <c r="AZ4" s="65" ph="1"/>
      <c r="BA4" s="65" ph="1"/>
      <c r="BB4" s="65" ph="1"/>
      <c r="BC4" s="65" ph="1"/>
      <c r="BD4" s="65" ph="1"/>
      <c r="BE4" s="65" ph="1"/>
      <c r="BF4" s="65" ph="1"/>
      <c r="BG4" s="65" ph="1"/>
      <c r="BH4" s="65" ph="1"/>
      <c r="BI4" s="65" ph="1"/>
      <c r="BJ4" s="65" ph="1"/>
      <c r="BK4" s="65" ph="1"/>
      <c r="BL4" s="65" ph="1"/>
      <c r="BM4" s="65" ph="1"/>
      <c r="BN4" s="65" ph="1"/>
      <c r="BO4" s="65" ph="1"/>
      <c r="BP4" s="65" ph="1"/>
      <c r="BQ4" s="65" ph="1"/>
      <c r="BR4" s="65" ph="1"/>
      <c r="BS4" s="65" ph="1"/>
      <c r="BT4" s="65" ph="1"/>
      <c r="BU4" s="65" ph="1"/>
      <c r="BV4" s="65" ph="1"/>
      <c r="BW4" s="65" ph="1"/>
      <c r="BX4" s="65" ph="1"/>
      <c r="BY4" s="65" ph="1"/>
      <c r="BZ4" s="65" ph="1"/>
      <c r="CA4" s="65" ph="1"/>
      <c r="CB4" s="65" ph="1"/>
      <c r="CC4" s="65" ph="1"/>
      <c r="CD4" s="65" ph="1"/>
      <c r="CE4" s="65" ph="1"/>
      <c r="CF4" s="65" ph="1"/>
      <c r="CG4" s="65" ph="1"/>
      <c r="CH4" s="65" ph="1"/>
      <c r="CI4" s="65" ph="1"/>
      <c r="CJ4" s="65" ph="1"/>
      <c r="CK4" s="65" ph="1"/>
      <c r="CL4" s="65" ph="1"/>
      <c r="CM4" s="65" ph="1"/>
      <c r="CN4" s="65" ph="1"/>
      <c r="CO4" s="65" ph="1"/>
      <c r="CP4" s="65" ph="1"/>
      <c r="CQ4" s="65" ph="1"/>
      <c r="CR4" s="65" ph="1"/>
      <c r="CS4" s="65" ph="1"/>
      <c r="CT4" s="65" ph="1"/>
      <c r="CU4" s="65" ph="1"/>
    </row>
    <row r="5" spans="1:99" s="69" customFormat="1" ht="29.25" customHeight="1" ph="1">
      <c r="A5" s="65" ph="1"/>
      <c r="B5" s="219" ph="1"/>
      <c r="C5" s="67" t="s" ph="1">
        <v>36</v>
      </c>
      <c r="D5" s="70" t="s" ph="1">
        <v>160</v>
      </c>
      <c r="E5" s="142" t="s" ph="1">
        <v>642</v>
      </c>
      <c r="F5" s="142" t="s" ph="1">
        <v>1</v>
      </c>
      <c r="G5" s="142" t="s" ph="1">
        <v>7</v>
      </c>
      <c r="H5" s="142" t="s" ph="1">
        <v>7</v>
      </c>
      <c r="I5" s="141" t="s" ph="1">
        <v>608</v>
      </c>
      <c r="J5" s="141" t="s" ph="1">
        <v>609</v>
      </c>
      <c r="K5" s="141" t="s" ph="1">
        <v>611</v>
      </c>
      <c r="L5" s="141" t="s" ph="1">
        <v>613</v>
      </c>
      <c r="M5" s="141" t="s" ph="1">
        <v>608</v>
      </c>
      <c r="N5" s="70" t="s" ph="1">
        <v>609</v>
      </c>
      <c r="O5" s="70" t="s" ph="1">
        <v>611</v>
      </c>
      <c r="P5" s="70" t="s" ph="1">
        <v>613</v>
      </c>
      <c r="Q5" s="70" t="s" ph="1">
        <v>607</v>
      </c>
      <c r="R5" s="70" t="s" ph="1">
        <v>607</v>
      </c>
      <c r="S5" s="70" t="s" ph="1">
        <v>607</v>
      </c>
      <c r="T5" s="70" t="s" ph="1">
        <v>607</v>
      </c>
      <c r="U5" s="70" t="s" ph="1">
        <v>607</v>
      </c>
      <c r="V5" s="70" t="s" ph="1">
        <v>607</v>
      </c>
      <c r="W5" s="70" t="s" ph="1">
        <v>607</v>
      </c>
      <c r="X5" s="70" t="s" ph="1">
        <v>607</v>
      </c>
      <c r="Y5" s="70" t="s" ph="1">
        <v>607</v>
      </c>
      <c r="Z5" s="70" t="s" ph="1">
        <v>614</v>
      </c>
      <c r="AA5" s="70" t="s" ph="1">
        <v>54</v>
      </c>
      <c r="AB5" s="70" t="s" ph="1">
        <v>54</v>
      </c>
      <c r="AC5" s="70" t="s" ph="1">
        <v>615</v>
      </c>
      <c r="AD5" s="71" t="s">
        <v>72</v>
      </c>
      <c r="AE5" s="71" t="s">
        <v>635</v>
      </c>
      <c r="AF5" s="65" ph="1"/>
      <c r="AG5" s="65" ph="1"/>
      <c r="AH5" s="65" ph="1"/>
      <c r="AI5" s="65" ph="1"/>
      <c r="AJ5" s="65" ph="1"/>
      <c r="AK5" s="65" ph="1"/>
      <c r="AL5" s="65" ph="1"/>
      <c r="AM5" s="65" ph="1"/>
      <c r="AN5" s="65" ph="1"/>
      <c r="AO5" s="65" ph="1"/>
      <c r="AP5" s="65" ph="1"/>
      <c r="AQ5" s="65" ph="1"/>
      <c r="AR5" s="65" ph="1"/>
      <c r="AS5" s="65" ph="1"/>
      <c r="AT5" s="65" ph="1"/>
      <c r="AU5" s="65" ph="1"/>
      <c r="AV5" s="65" ph="1"/>
      <c r="AW5" s="65" ph="1"/>
      <c r="AX5" s="65" ph="1"/>
      <c r="AY5" s="65" ph="1"/>
      <c r="AZ5" s="65" ph="1"/>
      <c r="BA5" s="65" ph="1"/>
      <c r="BB5" s="65" ph="1"/>
      <c r="BC5" s="65" ph="1"/>
      <c r="BD5" s="65" ph="1"/>
      <c r="BE5" s="65" ph="1"/>
      <c r="BF5" s="65" ph="1"/>
      <c r="BG5" s="65" ph="1"/>
      <c r="BH5" s="65" ph="1"/>
      <c r="BI5" s="65" ph="1"/>
      <c r="BJ5" s="65" ph="1"/>
      <c r="BK5" s="65" ph="1"/>
      <c r="BL5" s="65" ph="1"/>
      <c r="BM5" s="65" ph="1"/>
      <c r="BN5" s="65" ph="1"/>
      <c r="BO5" s="65" ph="1"/>
      <c r="BP5" s="65" ph="1"/>
      <c r="BQ5" s="65" ph="1"/>
      <c r="BR5" s="65" ph="1"/>
      <c r="BS5" s="65" ph="1"/>
      <c r="BT5" s="65" ph="1"/>
      <c r="BU5" s="65" ph="1"/>
      <c r="BV5" s="65" ph="1"/>
      <c r="BW5" s="65" ph="1"/>
      <c r="BX5" s="65" ph="1"/>
      <c r="BY5" s="65" ph="1"/>
      <c r="BZ5" s="65" ph="1"/>
      <c r="CA5" s="65" ph="1"/>
      <c r="CB5" s="65" ph="1"/>
      <c r="CC5" s="65" ph="1"/>
      <c r="CD5" s="65" ph="1"/>
      <c r="CE5" s="65" ph="1"/>
      <c r="CF5" s="65" ph="1"/>
      <c r="CG5" s="65" ph="1"/>
      <c r="CH5" s="65" ph="1"/>
      <c r="CI5" s="65" ph="1"/>
      <c r="CJ5" s="65" ph="1"/>
      <c r="CK5" s="65" ph="1"/>
      <c r="CL5" s="65" ph="1"/>
      <c r="CM5" s="65" ph="1"/>
      <c r="CN5" s="65" ph="1"/>
      <c r="CO5" s="65" ph="1"/>
      <c r="CP5" s="65" ph="1"/>
      <c r="CQ5" s="65" ph="1"/>
      <c r="CR5" s="65" ph="1"/>
      <c r="CS5" s="65" ph="1"/>
      <c r="CT5" s="65" ph="1"/>
      <c r="CU5" s="65" ph="1"/>
    </row>
    <row r="6" spans="1:99" ph="1">
      <c r="B6" s="237" ph="1">
        <v>0.33333333333333331</v>
      </c>
      <c r="C6" s="155" t="s" ph="1">
        <v>177</v>
      </c>
      <c r="D6" s="71">
        <v>5427</v>
      </c>
      <c r="E6" s="71">
        <v>3444</v>
      </c>
      <c r="F6" s="71">
        <v>3184</v>
      </c>
      <c r="G6" s="71">
        <v>453</v>
      </c>
      <c r="H6" s="71">
        <v>7421</v>
      </c>
      <c r="I6" s="71">
        <v>4.51</v>
      </c>
      <c r="J6" s="71">
        <v>6.67</v>
      </c>
      <c r="K6" s="71">
        <v>7.26</v>
      </c>
      <c r="L6" s="71">
        <v>6.99</v>
      </c>
      <c r="M6" s="71">
        <v>3231</v>
      </c>
      <c r="N6" s="71">
        <v>1788</v>
      </c>
      <c r="O6" s="71">
        <v>2052</v>
      </c>
      <c r="P6" s="71">
        <v>5203</v>
      </c>
      <c r="Q6" s="71">
        <v>0</v>
      </c>
      <c r="R6" s="71">
        <v>0</v>
      </c>
      <c r="S6" s="71">
        <v>1066</v>
      </c>
      <c r="T6" s="71">
        <v>5363</v>
      </c>
      <c r="U6" s="71">
        <v>5173</v>
      </c>
      <c r="V6" s="71">
        <v>5185</v>
      </c>
      <c r="W6" s="71">
        <v>2738</v>
      </c>
      <c r="X6" s="71">
        <v>0</v>
      </c>
      <c r="Y6" s="71">
        <v>0</v>
      </c>
      <c r="Z6" s="71">
        <v>2476</v>
      </c>
      <c r="AA6" s="71">
        <v>1272</v>
      </c>
      <c r="AB6" s="71">
        <v>954</v>
      </c>
      <c r="AC6" s="71">
        <v>7361</v>
      </c>
      <c r="AD6" s="71">
        <v>5110</v>
      </c>
      <c r="AE6" s="71">
        <v>5557</v>
      </c>
    </row>
    <row r="7" spans="1:99" s="72" customFormat="1" ht="22.2" ph="1">
      <c r="B7" s="237" ph="1"/>
      <c r="C7" s="68" t="s" ph="1">
        <v>178</v>
      </c>
      <c r="D7" s="73" ph="1">
        <f>D6*33.183*LOOKUP(D8,密度!$A$2:$A$50,密度!$Q$2:$Q$50)</f>
        <v>170111.08127142</v>
      </c>
      <c r="E7" s="73" ph="1">
        <f>E6*51.53*LOOKUP(E8,密度!$A$2:$A$50,密度!$B$2:$B$50)</f>
        <v>138355.08187200001</v>
      </c>
      <c r="F7" s="73" ph="1">
        <f>F6*33.183*LOOKUP(F8,密度!$A$2:$A$50,密度!$C$2:$C$50)</f>
        <v>117160.4657808</v>
      </c>
      <c r="G7" s="73" ph="1">
        <f xml:space="preserve"> (G6+2)*51.53*LOOKUP(G8,密度!$A$2:$A$50,密度!$B$2:$B$50)</f>
        <v>18278.618539999999</v>
      </c>
      <c r="H7" s="73" ph="1">
        <f>(H6)*51.53*LOOKUP(H8,密度!$A$2:$A$50,密度!$B$2:$B$50)</f>
        <v>298466.423465</v>
      </c>
      <c r="I7" s="73" ph="1">
        <f>I6*290.8*1.0267</f>
        <v>1346.5252636</v>
      </c>
      <c r="J7" s="73" ph="1">
        <f>J6*290.8*0.7892</f>
        <v>1530.7607312</v>
      </c>
      <c r="K7" s="73" ph="1">
        <f>K6*290.8*1.1126</f>
        <v>2348.9300208</v>
      </c>
      <c r="L7" s="73" ph="1">
        <f>L6*290.8*0.777</f>
        <v>1579.4016840000002</v>
      </c>
      <c r="M7" s="73" ph="1">
        <f>M6*33.183*LOOKUP(M8,密度!$A$2:$A$50,密度!$D$2:$D$50)</f>
        <v>109980.4012434</v>
      </c>
      <c r="N7" s="73" ph="1">
        <f>N6*33.183*LOOKUP(N8,密度!$A$2:$A$50,密度!$E$2:$E$50)</f>
        <v>46266.472879200002</v>
      </c>
      <c r="O7" s="73" ph="1">
        <f>O6*20.428*LOOKUP(O8,密度!$A$2:$A$50,密度!$C$2:$C$50)</f>
        <v>46281.946449600007</v>
      </c>
      <c r="P7" s="73" ph="1">
        <f>P6*51.53*LOOKUP(P8,密度!$A$2:$A$50,密度!$B$2:$B$50)</f>
        <v>209260.31549500002</v>
      </c>
      <c r="Q7" s="73" ph="1">
        <f>Q6*1.5*1.5*3.1416*LOOKUP(W8,密度!$A$2:$A$50,密度!$L$2:$L$50)</f>
        <v>0</v>
      </c>
      <c r="R7" s="73" ph="1">
        <f>R6*1.5*1.5*3.1416*LOOKUP(R8,密度!$A$2:$A$50,密度!$L$2:$L$50)</f>
        <v>0</v>
      </c>
      <c r="S7" s="73" ph="1">
        <f>S6*1.5*1.5*3.1416*LOOKUP(S8,密度!$A$2:$A$50,密度!$L$2:$L$50)</f>
        <v>7067.9496887999994</v>
      </c>
      <c r="T7" s="73" ph="1">
        <f>T6*1.5*1.5*3.1416*LOOKUP(T8,密度!$A$2:$A$50,密度!$L$2:$L$50)</f>
        <v>35672.276593800001</v>
      </c>
      <c r="U7" s="73" ph="1">
        <f>U6*1.5*1.5*3.1416*LOOKUP(U8,密度!$A$2:$A$50,密度!$L$2:$L$50)</f>
        <v>34225.652260800001</v>
      </c>
      <c r="V7" s="73" ph="1">
        <f>V6*1.5*1.5*3.1416*LOOKUP(V8,密度!$A$2:$A$50,密度!$L$2:$L$50)</f>
        <v>34268.396085</v>
      </c>
      <c r="W7" s="73" ph="1">
        <f>W6*1.5*1.5*3.1416*LOOKUP(W8,密度!$A$2:$A$50,密度!$L$2:$L$50)</f>
        <v>18095.828057999999</v>
      </c>
      <c r="X7" s="73" ph="1">
        <f>X6*1.5*1.5*3.1416*LOOKUP(X8,密度!$A$2:$A$50,密度!$L$2:$L$50)</f>
        <v>0</v>
      </c>
      <c r="Y7" s="73" ph="1">
        <f>Y6*1.5*1.5*3.1416*LOOKUP(Y8,密度!$A$2:$A$50,密度!$L$2:$L$50)</f>
        <v>0</v>
      </c>
      <c r="Z7" s="73" ph="1">
        <f>Z6*33.183*LOOKUP(Z8,密度!$A$2:$A$50,密度!$L$2:$L$50)</f>
        <v>77231.441519999993</v>
      </c>
      <c r="AA7" s="73" ph="1">
        <f>AA6*33.183*LOOKUP(AA8,密度!$A$2:$A$50,密度!$D$2:$D$50)</f>
        <v>43335.750319199993</v>
      </c>
      <c r="AB7" s="73" ph="1">
        <f>AB6*20.428*LOOKUP(AB8,密度!$A$2:$A$50,密度!$D$2:$D$50)</f>
        <v>20063.217204000004</v>
      </c>
      <c r="AC7" s="73" ph="1">
        <f>AC6*51.53*LOOKUP(AC8,密度!$A$2:$A$50,密度!$Q$2:$Q$50)</f>
        <v>359110.15530420002</v>
      </c>
      <c r="AD7" s="73" ph="1">
        <f>AD6*20.428*LOOKUP(AD8,密度!$A$2:$A$50,密度!$V$2:$V$50)</f>
        <v>100295.106464</v>
      </c>
      <c r="AE7" s="73" ph="1">
        <f>AE6*20.428</f>
        <v>113518.39600000001</v>
      </c>
    </row>
    <row r="8" spans="1:99" ph="1">
      <c r="B8" s="237" ph="1"/>
      <c r="C8" s="68" t="s" ph="1">
        <v>179</v>
      </c>
      <c r="D8" s="74">
        <v>28</v>
      </c>
      <c r="E8" s="74">
        <v>25</v>
      </c>
      <c r="F8" s="74">
        <v>25</v>
      </c>
      <c r="G8" s="74">
        <v>25</v>
      </c>
      <c r="H8" s="74">
        <v>24</v>
      </c>
      <c r="I8" s="74">
        <v>25</v>
      </c>
      <c r="J8" s="74">
        <v>25</v>
      </c>
      <c r="K8" s="74">
        <v>25</v>
      </c>
      <c r="L8" s="74">
        <v>25</v>
      </c>
      <c r="M8" s="74">
        <v>26</v>
      </c>
      <c r="N8" s="74">
        <v>28</v>
      </c>
      <c r="O8" s="74">
        <v>31</v>
      </c>
      <c r="P8" s="74">
        <v>24</v>
      </c>
      <c r="Q8" s="74">
        <v>28</v>
      </c>
      <c r="R8" s="74">
        <v>31</v>
      </c>
      <c r="S8" s="74">
        <v>24</v>
      </c>
      <c r="T8" s="74">
        <v>21</v>
      </c>
      <c r="U8" s="74">
        <v>26</v>
      </c>
      <c r="V8" s="74">
        <v>27</v>
      </c>
      <c r="W8" s="74">
        <v>27</v>
      </c>
      <c r="X8" s="74">
        <v>15</v>
      </c>
      <c r="Y8" s="74">
        <v>25</v>
      </c>
      <c r="Z8" s="74">
        <v>22</v>
      </c>
      <c r="AA8" s="74">
        <v>25</v>
      </c>
      <c r="AB8" s="74">
        <v>22</v>
      </c>
      <c r="AC8" s="74">
        <v>25</v>
      </c>
      <c r="AD8" s="74">
        <v>25</v>
      </c>
      <c r="AE8" s="74">
        <v>27</v>
      </c>
    </row>
    <row r="9" spans="1:99" ht="26.4" ph="1">
      <c r="B9" s="237" ph="1">
        <v>0.66666666666666663</v>
      </c>
      <c r="C9" s="155" t="s" ph="1">
        <v>180</v>
      </c>
      <c r="D9" s="71">
        <v>5785</v>
      </c>
      <c r="E9" s="71">
        <v>3441</v>
      </c>
      <c r="F9" s="71">
        <v>3187</v>
      </c>
      <c r="G9" s="71">
        <v>179</v>
      </c>
      <c r="H9" s="71">
        <v>8303</v>
      </c>
      <c r="I9" s="71">
        <v>4.4800000000000004</v>
      </c>
      <c r="J9" s="71">
        <v>6.71</v>
      </c>
      <c r="K9" s="71">
        <v>7.35</v>
      </c>
      <c r="L9" s="71">
        <v>52.46</v>
      </c>
      <c r="M9" s="71">
        <v>3230</v>
      </c>
      <c r="N9" s="71">
        <v>1790</v>
      </c>
      <c r="O9" s="71">
        <v>2051</v>
      </c>
      <c r="P9" s="71">
        <v>5585</v>
      </c>
      <c r="Q9" s="71">
        <v>0</v>
      </c>
      <c r="R9" s="71">
        <v>0</v>
      </c>
      <c r="S9" s="71">
        <v>0</v>
      </c>
      <c r="T9" s="71">
        <v>3328</v>
      </c>
      <c r="U9" s="71">
        <v>5176</v>
      </c>
      <c r="V9" s="71">
        <v>5192</v>
      </c>
      <c r="W9" s="71">
        <v>5713</v>
      </c>
      <c r="X9" s="71">
        <v>3037</v>
      </c>
      <c r="Y9" s="71">
        <v>0</v>
      </c>
      <c r="Z9" s="71">
        <v>2963</v>
      </c>
      <c r="AA9" s="71">
        <v>1273</v>
      </c>
      <c r="AB9" s="71">
        <v>823</v>
      </c>
      <c r="AC9" s="71">
        <v>7076</v>
      </c>
      <c r="AD9" s="71">
        <v>5113</v>
      </c>
      <c r="AE9" s="71">
        <v>5572</v>
      </c>
    </row>
    <row r="10" spans="1:99" s="72" customFormat="1" ht="22.2" ph="1">
      <c r="B10" s="237" ph="1"/>
      <c r="C10" s="155" t="s" ph="1">
        <v>178</v>
      </c>
      <c r="D10" s="73" ph="1">
        <f>D9*33.183*LOOKUP(D11,密度!$A$2:$A$50,密度!$Q$2:$Q$50)</f>
        <v>181085.07467115001</v>
      </c>
      <c r="E10" s="73" ph="1">
        <f>E9*51.53*LOOKUP(E11,密度!$A$2:$A$50,密度!$B$2:$B$50)</f>
        <v>137472.11016899999</v>
      </c>
      <c r="F10" s="73" ph="1">
        <f>F9*33.183*LOOKUP(F11,密度!$A$2:$A$50,密度!$C$2:$C$50)</f>
        <v>117112.22433539999</v>
      </c>
      <c r="G10" s="73" ph="1">
        <f xml:space="preserve"> (G9+2)*51.53*LOOKUP(G11,密度!$A$2:$A$50,密度!$B$2:$B$50)</f>
        <v>7198.5245740000009</v>
      </c>
      <c r="H10" s="73" ph="1">
        <f>(H9)*51.53*LOOKUP(H11,密度!$A$2:$A$50,密度!$B$2:$B$50)</f>
        <v>331714.88832700002</v>
      </c>
      <c r="I10" s="73" ph="1">
        <f>I9*290.8*1.0267</f>
        <v>1337.5683328</v>
      </c>
      <c r="J10" s="73" ph="1">
        <f>J9*290.8*0.7892</f>
        <v>1539.9407056</v>
      </c>
      <c r="K10" s="73" ph="1">
        <f>K9*290.8*1.1126</f>
        <v>2378.048988</v>
      </c>
      <c r="L10" s="73" ph="1">
        <f>L9*290.8*0.777</f>
        <v>11853.420936</v>
      </c>
      <c r="M10" s="73" ph="1">
        <f>M9*33.183*LOOKUP(M11,密度!$A$2:$A$50,密度!$D$2:$D$50)</f>
        <v>109635.53696099999</v>
      </c>
      <c r="N10" s="73" ph="1">
        <f>N9*33.183*LOOKUP(N11,密度!$A$2:$A$50,密度!$E$2:$E$50)</f>
        <v>46252.887758999997</v>
      </c>
      <c r="O10" s="73" ph="1">
        <f>O9*20.428*LOOKUP(O11,密度!$A$2:$A$50,密度!$C$2:$C$50)</f>
        <v>46083.421017200002</v>
      </c>
      <c r="P10" s="73" ph="1">
        <f>P9*51.53*LOOKUP(P11,密度!$A$2:$A$50,密度!$B$2:$B$50)</f>
        <v>223386.51780999999</v>
      </c>
      <c r="Q10" s="73" ph="1">
        <f>Q9*1.5*1.5*3.1416*LOOKUP(W11,密度!$A$2:$A$50,密度!$L$2:$L$50)</f>
        <v>0</v>
      </c>
      <c r="R10" s="73" ph="1">
        <f>R9*1.5*1.5*3.1416*LOOKUP(R11,密度!$A$2:$A$50,密度!$L$2:$L$50)</f>
        <v>0</v>
      </c>
      <c r="S10" s="73" ph="1">
        <f>S9*1.5*1.5*3.1416*LOOKUP(S11,密度!$A$2:$A$50,密度!$L$2:$L$50)</f>
        <v>0</v>
      </c>
      <c r="T10" s="73" ph="1">
        <f>T9*1.5*1.5*3.1416*LOOKUP(T11,密度!$A$2:$A$50,密度!$L$2:$L$50)</f>
        <v>22065.794150400001</v>
      </c>
      <c r="U10" s="73" ph="1">
        <f>U9*1.5*1.5*3.1416*LOOKUP(U11,密度!$A$2:$A$50,密度!$L$2:$L$50)</f>
        <v>34245.5008896</v>
      </c>
      <c r="V10" s="73" ph="1">
        <f>V9*1.5*1.5*3.1416*LOOKUP(V11,密度!$A$2:$A$50,密度!$L$2:$L$50)</f>
        <v>34314.660071999999</v>
      </c>
      <c r="W10" s="73" ph="1">
        <f>W9*1.5*1.5*3.1416*LOOKUP(W11,密度!$A$2:$A$50,密度!$L$2:$L$50)</f>
        <v>37798.405444800002</v>
      </c>
      <c r="X10" s="73" ph="1">
        <f>X9*1.5*1.5*3.1416*LOOKUP(X11,密度!$A$2:$A$50,密度!$L$2:$L$50)</f>
        <v>20308.101937199997</v>
      </c>
      <c r="Y10" s="73" ph="1">
        <f>Y9*1.5*1.5*3.1416*LOOKUP(Y11,密度!$A$2:$A$50,密度!$L$2:$L$50)</f>
        <v>0</v>
      </c>
      <c r="Z10" s="73" ph="1">
        <f>Z9*33.183*LOOKUP(Z11,密度!$A$2:$A$50,密度!$L$2:$L$50)</f>
        <v>92028.670344000013</v>
      </c>
      <c r="AA10" s="73" ph="1">
        <f>AA9*33.183*LOOKUP(AA11,密度!$A$2:$A$50,密度!$D$2:$D$50)</f>
        <v>43209.2998611</v>
      </c>
      <c r="AB10" s="73" ph="1">
        <f>AB9*20.428*LOOKUP(AB11,密度!$A$2:$A$50,密度!$D$2:$D$50)</f>
        <v>17214.056631600004</v>
      </c>
      <c r="AC10" s="73" ph="1">
        <f>AC9*51.53*LOOKUP(AC11,密度!$A$2:$A$50,密度!$Q$2:$Q$50)</f>
        <v>344181.68448040006</v>
      </c>
      <c r="AD10" s="73" ph="1">
        <f>AD9*20.428*LOOKUP(AD11,密度!$A$2:$A$50,密度!$V$2:$V$50)</f>
        <v>100019.75336640001</v>
      </c>
      <c r="AE10" s="73" ph="1">
        <f>AE9*20.428</f>
        <v>113824.81600000001</v>
      </c>
    </row>
    <row r="11" spans="1:99" ph="1">
      <c r="A11" s="64" t="s" ph="1">
        <v>162</v>
      </c>
      <c r="B11" s="237" ph="1"/>
      <c r="C11" s="155" t="s" ph="1">
        <v>179</v>
      </c>
      <c r="D11" s="74">
        <v>30</v>
      </c>
      <c r="E11" s="74">
        <v>30</v>
      </c>
      <c r="F11" s="74">
        <v>27</v>
      </c>
      <c r="G11" s="74">
        <v>34</v>
      </c>
      <c r="H11" s="74">
        <v>30</v>
      </c>
      <c r="I11" s="74">
        <v>25</v>
      </c>
      <c r="J11" s="74">
        <v>25</v>
      </c>
      <c r="K11" s="74">
        <v>25</v>
      </c>
      <c r="L11" s="74">
        <v>25</v>
      </c>
      <c r="M11" s="74">
        <v>29</v>
      </c>
      <c r="N11" s="74">
        <v>29</v>
      </c>
      <c r="O11" s="74">
        <v>35</v>
      </c>
      <c r="P11" s="74">
        <v>29</v>
      </c>
      <c r="Q11" s="74">
        <v>43</v>
      </c>
      <c r="R11" s="74">
        <v>35</v>
      </c>
      <c r="S11" s="74">
        <v>27</v>
      </c>
      <c r="T11" s="74">
        <v>24</v>
      </c>
      <c r="U11" s="74">
        <v>26</v>
      </c>
      <c r="V11" s="74">
        <v>27</v>
      </c>
      <c r="W11" s="74">
        <v>26</v>
      </c>
      <c r="X11" s="74">
        <v>16</v>
      </c>
      <c r="Y11" s="74">
        <v>29</v>
      </c>
      <c r="Z11" s="74">
        <v>26</v>
      </c>
      <c r="AA11" s="74">
        <v>29</v>
      </c>
      <c r="AB11" s="74">
        <v>28</v>
      </c>
      <c r="AC11" s="74">
        <v>29</v>
      </c>
      <c r="AD11" s="74">
        <v>30</v>
      </c>
      <c r="AE11" s="74">
        <v>30</v>
      </c>
    </row>
    <row r="12" spans="1:99" ht="9.9" customHeight="1" ph="1"/>
    <row r="13" spans="1:99" s="72" customFormat="1" ht="29.25" customHeight="1" ph="1">
      <c r="B13" s="214" t="s" ph="1">
        <v>37</v>
      </c>
      <c r="C13" s="155" t="s" ph="1">
        <v>176</v>
      </c>
      <c r="D13" s="76" t="s" ph="1">
        <v>52</v>
      </c>
      <c r="E13" s="76" t="s" ph="1">
        <v>53</v>
      </c>
      <c r="F13" s="76" t="s" ph="1">
        <v>57</v>
      </c>
      <c r="G13" s="76" t="s" ph="1">
        <v>58</v>
      </c>
      <c r="H13" s="76" t="s" ph="1">
        <v>128</v>
      </c>
      <c r="I13" s="76" t="s" ph="1">
        <v>59</v>
      </c>
      <c r="J13" s="76" t="s" ph="1">
        <v>129</v>
      </c>
      <c r="K13" s="76" t="s" ph="1">
        <v>55</v>
      </c>
      <c r="L13" s="76" t="s" ph="1">
        <v>60</v>
      </c>
      <c r="M13" s="76" t="s" ph="1">
        <v>61</v>
      </c>
      <c r="N13" s="76" t="s" ph="1">
        <v>130</v>
      </c>
      <c r="O13" s="76" t="s" ph="1">
        <v>56</v>
      </c>
      <c r="P13" s="76" t="s" ph="1">
        <v>62</v>
      </c>
      <c r="Q13" s="76" t="s" ph="1">
        <v>63</v>
      </c>
      <c r="R13" s="76" t="s" ph="1">
        <v>64</v>
      </c>
      <c r="S13" s="76" t="s" ph="1">
        <v>65</v>
      </c>
      <c r="T13" s="76" t="s" ph="1">
        <v>66</v>
      </c>
      <c r="U13" s="76" t="s" ph="1">
        <v>67</v>
      </c>
      <c r="V13" s="76" t="s" ph="1">
        <v>131</v>
      </c>
      <c r="W13" s="76" t="s" ph="1">
        <v>132</v>
      </c>
      <c r="X13" s="76" t="s" ph="1">
        <v>133</v>
      </c>
      <c r="Y13" s="105" t="s" ph="1">
        <v>68</v>
      </c>
      <c r="Z13" s="76" t="s" ph="1">
        <v>74</v>
      </c>
      <c r="AA13" s="76" t="s" ph="1">
        <v>134</v>
      </c>
      <c r="AB13" s="76" t="s" ph="1">
        <v>135</v>
      </c>
      <c r="AC13" s="76" t="s" ph="1">
        <v>136</v>
      </c>
      <c r="AD13" s="76" t="s" ph="1">
        <v>137</v>
      </c>
      <c r="AE13" s="76" t="s" ph="1">
        <v>138</v>
      </c>
      <c r="AG13" s="72" t="s" ph="1">
        <v>325</v>
      </c>
      <c r="AH13" s="72" t="s" ph="1">
        <v>188</v>
      </c>
      <c r="AI13" s="72" t="s" ph="1">
        <v>189</v>
      </c>
      <c r="AJ13" s="72" t="s" ph="1">
        <v>190</v>
      </c>
      <c r="AK13" s="72" t="s" ph="1">
        <v>191</v>
      </c>
      <c r="AL13" s="72" t="s" ph="1">
        <v>192</v>
      </c>
      <c r="AM13" s="72" t="s" ph="1">
        <v>193</v>
      </c>
      <c r="AN13" s="72" t="s" ph="1">
        <v>194</v>
      </c>
      <c r="AO13" s="72" t="s" ph="1">
        <v>195</v>
      </c>
      <c r="AP13" s="72" t="s" ph="1">
        <v>196</v>
      </c>
      <c r="AQ13" s="72" t="s" ph="1">
        <v>197</v>
      </c>
      <c r="AR13" s="72" t="s" ph="1">
        <v>198</v>
      </c>
      <c r="AS13" s="72" t="s" ph="1">
        <v>199</v>
      </c>
      <c r="AT13" s="72" t="s" ph="1">
        <v>200</v>
      </c>
      <c r="AU13" s="72" t="s" ph="1">
        <v>201</v>
      </c>
      <c r="AV13" s="72" t="s" ph="1">
        <v>202</v>
      </c>
      <c r="AW13" s="72" t="s" ph="1">
        <v>203</v>
      </c>
      <c r="AX13" s="72" t="s" ph="1">
        <v>204</v>
      </c>
      <c r="AY13" s="72" t="s" ph="1">
        <v>326</v>
      </c>
      <c r="AZ13" s="72" t="s" ph="1">
        <v>205</v>
      </c>
      <c r="BA13" s="72" t="s" ph="1">
        <v>206</v>
      </c>
      <c r="BB13" s="72" t="s" ph="1">
        <v>591</v>
      </c>
      <c r="BC13" s="72" t="s" ph="1">
        <v>207</v>
      </c>
      <c r="BD13" s="72" t="s" ph="1">
        <v>327</v>
      </c>
      <c r="BE13" s="72" t="s" ph="1">
        <v>328</v>
      </c>
      <c r="BF13" s="72" t="s" ph="1">
        <v>329</v>
      </c>
      <c r="BG13" s="72" t="s" ph="1">
        <v>330</v>
      </c>
      <c r="BH13" s="72" t="s" ph="1">
        <v>331</v>
      </c>
    </row>
    <row r="14" spans="1:99" s="72" customFormat="1" ht="24" ph="1">
      <c r="B14" s="215" ph="1"/>
      <c r="C14" s="67" t="s" ph="1">
        <v>36</v>
      </c>
      <c r="D14" s="77" t="s" ph="1">
        <v>616</v>
      </c>
      <c r="E14" s="77" t="s" ph="1">
        <v>616</v>
      </c>
      <c r="F14" s="77" t="s" ph="1">
        <v>639</v>
      </c>
      <c r="G14" s="77" t="s" ph="1">
        <v>617</v>
      </c>
      <c r="H14" s="77" t="s" ph="1">
        <v>636</v>
      </c>
      <c r="I14" s="138" t="s" ph="1">
        <v>618</v>
      </c>
      <c r="J14" s="77" t="s" ph="1">
        <v>619</v>
      </c>
      <c r="K14" s="77" t="s" ph="1">
        <v>186</v>
      </c>
      <c r="L14" s="77" t="s" ph="1">
        <v>41</v>
      </c>
      <c r="M14" s="104" t="s" ph="1">
        <v>620</v>
      </c>
      <c r="N14" s="104" t="s" ph="1">
        <v>621</v>
      </c>
      <c r="O14" s="104" t="s" ph="1">
        <v>637</v>
      </c>
      <c r="P14" s="77" t="s" ph="1">
        <v>622</v>
      </c>
      <c r="Q14" s="77" t="s" ph="1">
        <v>622</v>
      </c>
      <c r="R14" s="77" t="s" ph="1">
        <v>622</v>
      </c>
      <c r="S14" s="77" t="s" ph="1">
        <v>622</v>
      </c>
      <c r="T14" s="77" t="s" ph="1">
        <v>624</v>
      </c>
      <c r="U14" s="77" t="s" ph="1">
        <v>605</v>
      </c>
      <c r="V14" s="77" t="s" ph="1">
        <v>633</v>
      </c>
      <c r="W14" s="77" t="s" ph="1">
        <v>622</v>
      </c>
      <c r="X14" s="77" t="s" ph="1">
        <v>625</v>
      </c>
      <c r="Y14" s="143" t="s" ph="1">
        <v>0</v>
      </c>
      <c r="Z14" s="77" t="s" ph="1">
        <v>54</v>
      </c>
      <c r="AA14" s="77" t="s" ph="1">
        <v>613</v>
      </c>
      <c r="AB14" s="77" t="s" ph="1">
        <v>632</v>
      </c>
      <c r="AC14" s="77" t="s" ph="1">
        <v>632</v>
      </c>
      <c r="AD14" s="77" t="s" ph="1">
        <v>612</v>
      </c>
      <c r="AE14" s="77" t="s" ph="1">
        <v>612</v>
      </c>
      <c r="AG14" s="72" t="s" ph="1">
        <v>208</v>
      </c>
      <c r="AI14" s="72" t="s" ph="1">
        <v>209</v>
      </c>
      <c r="AJ14" s="72" t="s" ph="1">
        <v>332</v>
      </c>
      <c r="AK14" s="72" t="s" ph="1">
        <v>210</v>
      </c>
      <c r="AM14" s="72" t="s" ph="1">
        <v>212</v>
      </c>
      <c r="AN14" s="72" t="s" ph="1">
        <v>210</v>
      </c>
      <c r="AO14" s="72" t="s" ph="1">
        <v>211</v>
      </c>
      <c r="AP14" s="72" t="s" ph="1">
        <v>212</v>
      </c>
      <c r="AQ14" s="72" t="s" ph="1">
        <v>210</v>
      </c>
      <c r="AR14" s="72" t="s" ph="1">
        <v>211</v>
      </c>
      <c r="AS14" s="72" t="s" ph="1">
        <v>212</v>
      </c>
      <c r="AT14" s="72" t="s" ph="1">
        <v>210</v>
      </c>
      <c r="AU14" s="72" t="s" ph="1">
        <v>211</v>
      </c>
      <c r="AV14" s="72" t="s" ph="1">
        <v>212</v>
      </c>
      <c r="AW14" s="72" t="s" ph="1">
        <v>210</v>
      </c>
      <c r="AX14" s="72" t="s" ph="1">
        <v>211</v>
      </c>
      <c r="AY14" s="72" t="s" ph="1">
        <v>212</v>
      </c>
      <c r="AZ14" s="72" t="s" ph="1">
        <v>211</v>
      </c>
    </row>
    <row r="15" spans="1:99" ph="1">
      <c r="B15" s="216" ph="1">
        <v>0.33333333333333331</v>
      </c>
      <c r="C15" s="155" t="s" ph="1">
        <v>177</v>
      </c>
      <c r="D15" s="78">
        <v>1787</v>
      </c>
      <c r="E15" s="78">
        <v>4500</v>
      </c>
      <c r="F15" s="78">
        <v>5166</v>
      </c>
      <c r="G15" s="78">
        <v>1621</v>
      </c>
      <c r="H15" s="78">
        <v>0</v>
      </c>
      <c r="I15" s="78">
        <v>5043</v>
      </c>
      <c r="J15" s="78">
        <v>349</v>
      </c>
      <c r="K15" s="78">
        <v>670</v>
      </c>
      <c r="L15" s="78">
        <v>6223</v>
      </c>
      <c r="M15" s="78">
        <v>1858</v>
      </c>
      <c r="N15" s="78">
        <v>749</v>
      </c>
      <c r="O15" s="78">
        <v>4675</v>
      </c>
      <c r="P15" s="78">
        <v>0</v>
      </c>
      <c r="Q15" s="78">
        <v>1225</v>
      </c>
      <c r="R15" s="78">
        <v>0</v>
      </c>
      <c r="S15" s="78">
        <v>0</v>
      </c>
      <c r="T15" s="78">
        <v>3347</v>
      </c>
      <c r="U15" s="78">
        <v>3630</v>
      </c>
      <c r="V15" s="78">
        <v>-817</v>
      </c>
      <c r="W15" s="71">
        <v>26</v>
      </c>
      <c r="X15" s="78">
        <v>817</v>
      </c>
      <c r="Y15" s="106">
        <v>-2366</v>
      </c>
      <c r="Z15" s="78">
        <v>0</v>
      </c>
      <c r="AA15" s="78">
        <v>2456</v>
      </c>
      <c r="AB15" s="78" ph="1">
        <v>0</v>
      </c>
      <c r="AC15" s="78" ph="1">
        <v>0</v>
      </c>
      <c r="AD15" s="78">
        <v>5.27</v>
      </c>
      <c r="AE15" s="78">
        <v>30.56</v>
      </c>
      <c r="AG15" s="64" t="s" ph="1">
        <v>214</v>
      </c>
      <c r="AH15" s="64" ph="1">
        <v>1</v>
      </c>
      <c r="AI15" s="64" t="s" ph="1">
        <v>333</v>
      </c>
      <c r="AK15" s="64" t="s" ph="1">
        <v>587</v>
      </c>
      <c r="AM15" s="64" t="s" ph="1">
        <v>335</v>
      </c>
      <c r="AZ15" s="64" t="s" ph="1">
        <v>216</v>
      </c>
      <c r="BA15" s="64" ph="1">
        <v>0</v>
      </c>
    </row>
    <row r="16" spans="1:99" s="72" customFormat="1" ht="22.2" ph="1">
      <c r="B16" s="217" ph="1"/>
      <c r="C16" s="155" t="s" ph="1">
        <v>178</v>
      </c>
      <c r="D16" s="73" ph="1">
        <f>D15*7.0686*LOOKUP(D17,密度!$A$2:$A$50,密度!$L$2:$L$50)</f>
        <v>11848.429731599999</v>
      </c>
      <c r="E16" s="73" ph="1">
        <f>E15*7.0686*LOOKUP(E17,密度!$A$2:$A$50,密度!$L$2:$L$50)</f>
        <v>29836.560600000001</v>
      </c>
      <c r="F16" s="73" ph="1">
        <f>F15*9.0746*LOOKUP(F17,密度!$A$2:$A$50,密度!$L$2:$L$50)</f>
        <v>43879.103049600002</v>
      </c>
      <c r="G16" s="73" ph="1">
        <f>G15*9.0746*LOOKUP(G17,密度!$A$2:$A$50,密度!$B$2:$B$50)</f>
        <v>11467.858777359999</v>
      </c>
      <c r="H16" s="73" ph="1">
        <f>H15*9.0746*LOOKUP(H17,密度!$A$2:$A$50,密度!$L$2:$L$50)</f>
        <v>0</v>
      </c>
      <c r="I16" s="73" ph="1">
        <f>I15*9.0746*LOOKUP(I17,密度!$A$2:$A$50,密度!$U$2:$U$50)</f>
        <v>46953.051202800008</v>
      </c>
      <c r="J16" s="73" ph="1">
        <f>J15*9.0746*LOOKUP(J17,密度!$A$2:$A$50,密度!$L$2:$L$50)</f>
        <v>2964.3451344000005</v>
      </c>
      <c r="K16" s="73" ph="1">
        <f>K15*9.0746*LOOKUP(K17,密度!$A$2:$A$50,密度!$C$2:$C$50)</f>
        <v>6746.3480271999997</v>
      </c>
      <c r="L16" s="73" ph="1">
        <f>L15*9.0746*LOOKUP(L17,密度!$A$2:$A$50,密度!$E$2:$E$50)</f>
        <v>44104.035159800005</v>
      </c>
      <c r="M16" s="73" ph="1">
        <f>M15*9.0746*LOOKUP(M17,密度!$A$2:$A$50,密度!$M$2:$M$50)</f>
        <v>14702.449129600001</v>
      </c>
      <c r="N16" s="73" ph="1">
        <f>N15*9.0746*LOOKUP(N17,密度!$A$2:$A$50,密度!$M$2:$M$50)</f>
        <v>5947.9456625399998</v>
      </c>
      <c r="O16" s="73" ph="1">
        <f>O15*9.0746*LOOKUP(O17,密度!$A$2:$A$50,密度!$G$2:$G$50)</f>
        <v>40735.289551000009</v>
      </c>
      <c r="P16" s="73" ph="1">
        <f ca="1">P15*9.0746*LOOKUP(P17,密度!$A$2:$A$51,密度!$Q$2:$Q$50)</f>
        <v>0</v>
      </c>
      <c r="Q16" s="73" ph="1">
        <f>Q15*9.0746*LOOKUP(Q17,密度!$A$2:$A$50,密度!$Q$2:$Q$50)</f>
        <v>10532.44129595</v>
      </c>
      <c r="R16" s="73" ph="1">
        <f>MAX(R15*9.0746*LOOKUP(R17,密度!$A$2:$A$50,密度!$Q$2:$Q$50),0)</f>
        <v>0</v>
      </c>
      <c r="S16" s="73" ph="1">
        <f>S15*9.0746*LOOKUP(S17,密度!$A$2:$A$50,密度!$Q$2:$Q$50)</f>
        <v>0</v>
      </c>
      <c r="T16" s="73" ph="1">
        <f>T15*9.0746*LOOKUP(T17,密度!$A$2:$A$50,密度!$O$2:$O$50)</f>
        <v>28125.107421200002</v>
      </c>
      <c r="U16" s="73" ph="1">
        <f>U15*9.0746*LOOKUP(U17,密度!$A$2:$A$50,密度!$H$2:$H$50)</f>
        <v>30196.829526600002</v>
      </c>
      <c r="V16" s="73" ph="1">
        <f>MAX(5600*LOOKUP(V17,密度!$A$2:$A$50,密度!$Q$2:$Q$50)+V15*9.0476*LOOKUP(V17,密度!$A$2:$A$50,密度!$Q$2:$Q$50),0)</f>
        <v>0</v>
      </c>
      <c r="W16" s="73" ph="1">
        <f>MAX(5600*LOOKUP(W17,密度!$A$2:$A$50,密度!$Q$2:$Q$50)+W15*9.0476*LOOKUP(W17,密度!$A$2:$A$50,密度!$Q$2:$Q$50),0)</f>
        <v>5516.1668080320005</v>
      </c>
      <c r="X16" s="73" ph="1">
        <f>MAX(5600*LOOKUP(X17,密度!$A$2:$A$50,密度!$I$2:$I$50)+X15*9.0476*LOOKUP(X17,密度!$A$2:$A$50,密度!$I$2:$I$50),0)</f>
        <v>13498.572878799998</v>
      </c>
      <c r="Y16" s="107" ph="1">
        <v>0</v>
      </c>
      <c r="Z16" s="73" ph="1">
        <f>Z15*9.0746*LOOKUP(Z17,密度!$A$2:$A$50,密度!$D$2:$D$50)</f>
        <v>0</v>
      </c>
      <c r="AA16" s="73" ph="1">
        <f>AA15*9.0746*LOOKUP(AA17,密度!$A$2:$A$50,密度!$B$2:$B$50)</f>
        <v>17375.114840959999</v>
      </c>
      <c r="AB16" s="73" ph="1">
        <f>AB15*9.0746*LOOKUP(AB17,密度!$A$2:$A$50,密度!$L$2:$L$50)</f>
        <v>0</v>
      </c>
      <c r="AC16" s="73" ph="1">
        <f>AC15*9.0746*LOOKUP(AC17,密度!$A$2:$A$50,密度!$L$2:$L$50)</f>
        <v>0</v>
      </c>
      <c r="AD16" s="73" ph="1">
        <f>AD15*268.68*LOOKUP(AD17,密度!$A$2:$A$50,密度!B2:B50)+IF(AD15&lt;=0,0,1566*LOOKUP(AD17,密度!$A$2:$A$50,密度!B2:B50))</f>
        <v>2324.72323056</v>
      </c>
      <c r="AE16" s="73" ph="1">
        <f>AE15*268.68*LOOKUP(AE17,密度!$A$2:$A$50,密度!B2:B50)+IF(AE15&lt;=0,0,1566*LOOKUP(AE17,密度!$A$2:$A$50,密度!B2:B50))</f>
        <v>7622.0406796799998</v>
      </c>
      <c r="AH16" s="72" ph="1">
        <v>2</v>
      </c>
      <c r="AI16" s="72" t="s" ph="1">
        <v>337</v>
      </c>
      <c r="AZ16" s="72" t="s" ph="1">
        <v>216</v>
      </c>
      <c r="BA16" s="72" ph="1">
        <v>0</v>
      </c>
    </row>
    <row r="17" spans="1:57" ph="1">
      <c r="A17" s="64" t="s" ph="1">
        <v>73</v>
      </c>
      <c r="B17" s="218" ph="1"/>
      <c r="C17" s="79" t="s" ph="1">
        <v>179</v>
      </c>
      <c r="D17" s="74">
        <v>24</v>
      </c>
      <c r="E17" s="74">
        <v>24</v>
      </c>
      <c r="F17" s="74">
        <v>26</v>
      </c>
      <c r="G17" s="74">
        <v>25</v>
      </c>
      <c r="H17" s="74">
        <v>20</v>
      </c>
      <c r="I17" s="74">
        <v>24</v>
      </c>
      <c r="J17" s="74">
        <v>26</v>
      </c>
      <c r="K17" s="74">
        <v>24</v>
      </c>
      <c r="L17" s="74">
        <v>27</v>
      </c>
      <c r="M17" s="74">
        <v>28</v>
      </c>
      <c r="N17" s="74">
        <v>25</v>
      </c>
      <c r="O17" s="74">
        <v>25</v>
      </c>
      <c r="P17" s="74">
        <v>23</v>
      </c>
      <c r="Q17" s="74">
        <v>24</v>
      </c>
      <c r="R17" s="74">
        <v>25</v>
      </c>
      <c r="S17" s="74">
        <v>24</v>
      </c>
      <c r="T17" s="74">
        <v>26</v>
      </c>
      <c r="U17" s="74">
        <v>23</v>
      </c>
      <c r="V17" s="74">
        <v>25</v>
      </c>
      <c r="W17" s="74">
        <v>27</v>
      </c>
      <c r="X17" s="74">
        <v>28</v>
      </c>
      <c r="Y17" s="108">
        <v>28</v>
      </c>
      <c r="Z17" s="74">
        <v>24</v>
      </c>
      <c r="AA17" s="74">
        <v>25</v>
      </c>
      <c r="AB17" s="74">
        <v>23</v>
      </c>
      <c r="AC17" s="74">
        <v>22</v>
      </c>
      <c r="AD17" s="74">
        <v>25</v>
      </c>
      <c r="AE17" s="74">
        <v>25</v>
      </c>
      <c r="AH17" s="64" ph="1">
        <v>3</v>
      </c>
      <c r="AI17" s="64" t="s" ph="1">
        <v>338</v>
      </c>
      <c r="AK17" s="64" t="s" ph="1">
        <v>570</v>
      </c>
      <c r="AL17" s="64" ph="1">
        <v>80</v>
      </c>
      <c r="AM17" s="64" t="s" ph="1">
        <v>335</v>
      </c>
      <c r="AZ17" s="64" t="s" ph="1">
        <v>216</v>
      </c>
      <c r="BA17" s="64" ph="1">
        <v>80</v>
      </c>
      <c r="BD17" s="64" t="s" ph="1">
        <v>214</v>
      </c>
      <c r="BE17" s="64" ph="1">
        <v>2270</v>
      </c>
    </row>
    <row r="18" spans="1:57" ht="26.4" ph="1">
      <c r="B18" s="216" ph="1">
        <v>0.66666666666666663</v>
      </c>
      <c r="C18" s="79" t="s" ph="1">
        <v>180</v>
      </c>
      <c r="D18" s="71">
        <v>4334</v>
      </c>
      <c r="E18" s="71">
        <v>4500</v>
      </c>
      <c r="F18" s="71">
        <v>3164</v>
      </c>
      <c r="G18" s="71">
        <v>1776</v>
      </c>
      <c r="H18" s="71">
        <v>1754</v>
      </c>
      <c r="I18" s="71">
        <v>5047</v>
      </c>
      <c r="J18" s="71">
        <v>387</v>
      </c>
      <c r="K18" s="71">
        <v>670</v>
      </c>
      <c r="L18" s="71">
        <v>4357</v>
      </c>
      <c r="M18" s="71">
        <v>2136</v>
      </c>
      <c r="N18" s="71">
        <v>1633</v>
      </c>
      <c r="O18" s="71">
        <v>4934</v>
      </c>
      <c r="P18" s="71">
        <v>0</v>
      </c>
      <c r="Q18" s="71">
        <v>1222</v>
      </c>
      <c r="R18" s="71">
        <v>0</v>
      </c>
      <c r="S18" s="71">
        <v>0</v>
      </c>
      <c r="T18" s="71">
        <v>2910</v>
      </c>
      <c r="U18" s="71">
        <v>5495</v>
      </c>
      <c r="V18" s="71">
        <v>-817</v>
      </c>
      <c r="W18" s="71">
        <v>26</v>
      </c>
      <c r="X18" s="71">
        <v>817</v>
      </c>
      <c r="Y18" s="109">
        <v>-9908</v>
      </c>
      <c r="Z18" s="71">
        <v>0</v>
      </c>
      <c r="AA18" s="71">
        <v>2459</v>
      </c>
      <c r="AB18" s="71">
        <v>24</v>
      </c>
      <c r="AC18" s="71">
        <v>0</v>
      </c>
      <c r="AD18" s="71">
        <v>5.21</v>
      </c>
      <c r="AE18" s="71">
        <v>79.72</v>
      </c>
      <c r="AH18" s="64" ph="1">
        <v>4</v>
      </c>
      <c r="AI18" s="64" t="s" ph="1">
        <v>340</v>
      </c>
      <c r="AJ18" s="64" t="s" ph="1">
        <v>588</v>
      </c>
      <c r="AK18" s="64" t="s" ph="1">
        <v>587</v>
      </c>
      <c r="AL18" s="64" ph="1">
        <v>740</v>
      </c>
      <c r="AM18" s="64" t="s" ph="1">
        <v>339</v>
      </c>
      <c r="AZ18" s="64" t="s" ph="1">
        <v>216</v>
      </c>
      <c r="BA18" s="64" ph="1">
        <v>740</v>
      </c>
    </row>
    <row r="19" spans="1:57" s="72" customFormat="1" ht="22.2" ph="1">
      <c r="B19" s="217" ph="1"/>
      <c r="C19" s="155" t="s" ph="1">
        <v>178</v>
      </c>
      <c r="D19" s="73" ph="1">
        <f>D18*7.0686*LOOKUP(D20,密度!$A$2:$A$50,密度!$L$2:$L$50)</f>
        <v>28521.4758444</v>
      </c>
      <c r="E19" s="73" ph="1">
        <f>E18*7.0686*LOOKUP(E20,密度!$A$2:$A$50,密度!$L$2:$L$50)</f>
        <v>29613.899700000002</v>
      </c>
      <c r="F19" s="73" ph="1">
        <f>F18*9.0746*LOOKUP(F20,密度!$A$2:$A$50,密度!$L$2:$L$50)</f>
        <v>26759.616060800003</v>
      </c>
      <c r="G19" s="73" ph="1">
        <f>G18*9.0746*LOOKUP(G20,密度!$A$2:$A$50,密度!$B$2:$B$50)</f>
        <v>12537.01725984</v>
      </c>
      <c r="H19" s="73" ph="1">
        <f>H18*9.0746*LOOKUP(H20,密度!$A$2:$A$50,密度!$L$2:$L$50)</f>
        <v>14627.583679600002</v>
      </c>
      <c r="I19" s="73" ph="1">
        <f>I18*9.0746*LOOKUP(I20,密度!$A$2:$A$50,密度!$U$2:$U$50)</f>
        <v>46715.496324000007</v>
      </c>
      <c r="J19" s="73" ph="1">
        <f>J18*9.0746*LOOKUP(J20,密度!$A$2:$A$50,密度!$L$2:$L$50)</f>
        <v>3273.0630264000006</v>
      </c>
      <c r="K19" s="73" ph="1">
        <f>K18*9.0746*LOOKUP(K20,密度!$A$2:$A$50,密度!$C$2:$C$50)</f>
        <v>6723.8520938000011</v>
      </c>
      <c r="L19" s="73" ph="1">
        <f>L18*9.0746*LOOKUP(L20,密度!$A$2:$A$50,密度!$E$2:$E$50)</f>
        <v>30744.773838720001</v>
      </c>
      <c r="M19" s="73" ph="1">
        <f>M18*9.0746*LOOKUP(M20,密度!$A$2:$A$50,密度!$M$2:$M$50)</f>
        <v>16861.57233744</v>
      </c>
      <c r="N19" s="73" ph="1">
        <f>N18*9.0746*LOOKUP(N20,密度!$A$2:$A$50,密度!$M$2:$M$50)</f>
        <v>12938.31331358</v>
      </c>
      <c r="O19" s="73" ph="1">
        <f>O18*9.0746*LOOKUP(O20,密度!$A$2:$A$50,密度!$G$2:$G$50)</f>
        <v>42799.539630759995</v>
      </c>
      <c r="P19" s="73" ph="1">
        <f ca="1">P18*9.0746*LOOKUP(P20,密度!$A$2:$A$51,密度!$Q$2:$Q$50)</f>
        <v>0</v>
      </c>
      <c r="Q19" s="73" ph="1">
        <f>Q18*9.0746*LOOKUP(Q20,密度!$A$2:$A$50,密度!$Q$2:$Q$50)</f>
        <v>10452.421563895999</v>
      </c>
      <c r="R19" s="73" ph="1">
        <f>MAX(R18*9.0746*LOOKUP(R20,密度!$A$2:$A$50,密度!$Q$2:$Q$50),0)</f>
        <v>0</v>
      </c>
      <c r="S19" s="73" ph="1">
        <f>S18*9.0746*LOOKUP(S20,密度!$A$2:$A$50,密度!$Q$2:$Q$50)</f>
        <v>0</v>
      </c>
      <c r="T19" s="73" ph="1">
        <f>T18*9.0746*LOOKUP(T20,密度!$A$2:$A$50,密度!$O$2:$O$50)</f>
        <v>24347.333291999999</v>
      </c>
      <c r="U19" s="73" ph="1">
        <f>U18*9.0746*LOOKUP(U20,密度!$A$2:$A$50,密度!$H$2:$H$50)</f>
        <v>45476.813424000007</v>
      </c>
      <c r="V19" s="73" ph="1">
        <f>MAX(5600*LOOKUP(V20,密度!$A$2:$A$50,密度!$Q$2:$Q$50)+V18*9.0476*LOOKUP(V20,密度!$A$2:$A$50,密度!$Q$2:$Q$50),0)</f>
        <v>0</v>
      </c>
      <c r="W19" s="73" ph="1">
        <f>MAX(5600*LOOKUP(W20,密度!$A$2:$A$50,密度!$Q$2:$Q$50)+W18*9.0476*LOOKUP(W20,密度!$A$2:$A$50,密度!$Q$2:$Q$50),0)</f>
        <v>5500.1782570079995</v>
      </c>
      <c r="X19" s="73" ph="1">
        <f>MAX(5600*LOOKUP(X20,密度!$A$2:$A$50,密度!$I$2:$I$50)+X18*9.0476*LOOKUP(X20,密度!$A$2:$A$50,密度!$I$2:$I$50),0)</f>
        <v>13468.691533639998</v>
      </c>
      <c r="Y19" s="73" ph="1">
        <f>MAX(5600*LOOKUP(Y20,密度!$A$2:$A$50,密度!$I$2:$I$50)+Y18*9.0476*LOOKUP(Y20,密度!$A$2:$A$50,密度!$I$2:$I$50),0)</f>
        <v>0</v>
      </c>
      <c r="Z19" s="73" ph="1">
        <f>Z18*9.0746*LOOKUP(Z20,密度!$A$2:$A$50,密度!$D$2:$D$50)</f>
        <v>0</v>
      </c>
      <c r="AA19" s="73" ph="1">
        <f>AA18*9.0746*LOOKUP(AA20,密度!$A$2:$A$50,密度!$B$2:$B$50)</f>
        <v>17376.255518179998</v>
      </c>
      <c r="AB19" s="73" ph="1">
        <f>AB18*9.0746*LOOKUP(AB20,密度!$A$2:$A$50,密度!$L$2:$L$50)</f>
        <v>202.76286240000002</v>
      </c>
      <c r="AC19" s="73" ph="1">
        <f>AC18*9.0746*LOOKUP(AC20,密度!$A$2:$A$50,密度!$L$2:$L$50)</f>
        <v>0</v>
      </c>
      <c r="AD19" s="73" ph="1">
        <f>AD18*268.68*LOOKUP(AD20,密度!$A$2:$A$50,密度!B5:B53)+IF(AD18&lt;=0,0,1566*LOOKUP(AD20,密度!$A$2:$A$50,密度!B5:B53))</f>
        <v>2304.4443155999998</v>
      </c>
      <c r="AE19" s="73" ph="1">
        <f>AE18*268.68*LOOKUP(AE20,密度!$A$2:$A$50,密度!B5:B53)+IF(AE18&lt;=0,0,1566*LOOKUP(AE20,密度!$A$2:$A$50,密度!B5:B53))</f>
        <v>17859.476779200002</v>
      </c>
      <c r="AH19" s="72" ph="1">
        <v>5</v>
      </c>
      <c r="AI19" s="72" t="s" ph="1">
        <v>341</v>
      </c>
      <c r="AZ19" s="72" t="s" ph="1">
        <v>216</v>
      </c>
      <c r="BA19" s="72" ph="1">
        <v>0</v>
      </c>
      <c r="BD19" s="72" t="s" ph="1">
        <v>342</v>
      </c>
      <c r="BE19" s="72" ph="1">
        <v>1440</v>
      </c>
    </row>
    <row r="20" spans="1:57" ph="1">
      <c r="A20" s="72" ph="1"/>
      <c r="B20" s="217" ph="1"/>
      <c r="C20" s="80" t="s" ph="1">
        <v>179</v>
      </c>
      <c r="D20" s="81">
        <v>31</v>
      </c>
      <c r="E20" s="81">
        <v>31</v>
      </c>
      <c r="F20" s="81">
        <v>30</v>
      </c>
      <c r="G20" s="81">
        <v>27</v>
      </c>
      <c r="H20" s="81">
        <v>43</v>
      </c>
      <c r="I20" s="81">
        <v>30</v>
      </c>
      <c r="J20" s="81">
        <v>30</v>
      </c>
      <c r="K20" s="81">
        <v>29</v>
      </c>
      <c r="L20" s="81">
        <v>30</v>
      </c>
      <c r="M20" s="81">
        <v>30</v>
      </c>
      <c r="N20" s="81">
        <v>27</v>
      </c>
      <c r="O20" s="81">
        <v>29</v>
      </c>
      <c r="P20" s="81">
        <v>40</v>
      </c>
      <c r="Q20" s="81">
        <v>31</v>
      </c>
      <c r="R20" s="81">
        <v>35</v>
      </c>
      <c r="S20" s="81">
        <v>30</v>
      </c>
      <c r="T20" s="81">
        <v>30</v>
      </c>
      <c r="U20" s="81">
        <v>28</v>
      </c>
      <c r="V20" s="81">
        <v>29</v>
      </c>
      <c r="W20" s="81">
        <v>31</v>
      </c>
      <c r="X20" s="81">
        <v>30</v>
      </c>
      <c r="Y20" s="110">
        <v>30</v>
      </c>
      <c r="Z20" s="81">
        <v>32</v>
      </c>
      <c r="AA20" s="81">
        <v>26</v>
      </c>
      <c r="AB20" s="81">
        <v>31</v>
      </c>
      <c r="AC20" s="81">
        <v>27</v>
      </c>
      <c r="AD20" s="81">
        <v>25</v>
      </c>
      <c r="AE20" s="81">
        <v>25</v>
      </c>
      <c r="AF20" s="64" t="s" ph="1">
        <v>35</v>
      </c>
      <c r="AH20" s="64" ph="1">
        <v>6</v>
      </c>
      <c r="AI20" s="64" t="s" ph="1">
        <v>343</v>
      </c>
      <c r="AZ20" s="64" t="s" ph="1">
        <v>216</v>
      </c>
      <c r="BA20" s="64" ph="1">
        <v>0</v>
      </c>
    </row>
    <row r="21" spans="1:57" ph="1">
      <c r="A21" s="72" ph="1"/>
      <c r="B21" s="82" ph="1"/>
      <c r="C21" s="83" ph="1"/>
      <c r="D21" s="84"/>
      <c r="E21" s="84"/>
      <c r="F21" s="84"/>
      <c r="G21" s="84"/>
      <c r="H21" s="84"/>
      <c r="I21" s="84"/>
      <c r="J21" s="84"/>
      <c r="K21" s="84"/>
      <c r="L21" s="84"/>
      <c r="M21" s="84"/>
      <c r="N21" s="84"/>
      <c r="O21" s="84"/>
      <c r="P21" s="84"/>
      <c r="Q21" s="84"/>
      <c r="R21" s="84"/>
      <c r="S21" s="84"/>
      <c r="T21" s="84"/>
      <c r="U21" s="84"/>
      <c r="V21" s="84"/>
      <c r="W21" s="84"/>
      <c r="X21" s="84"/>
      <c r="Y21" s="84"/>
      <c r="Z21" s="84"/>
      <c r="AA21" s="84"/>
      <c r="AB21" s="84"/>
      <c r="AC21" s="84"/>
      <c r="AD21" s="84"/>
      <c r="AE21" s="84"/>
      <c r="AH21" s="64" ph="1">
        <v>7</v>
      </c>
      <c r="AI21" s="64" t="s" ph="1">
        <v>344</v>
      </c>
      <c r="AZ21" s="64" t="s" ph="1">
        <v>216</v>
      </c>
      <c r="BA21" s="64" ph="1">
        <v>0</v>
      </c>
      <c r="BD21" s="64" t="s" ph="1">
        <v>232</v>
      </c>
      <c r="BE21" s="64" ph="1">
        <v>730</v>
      </c>
    </row>
    <row r="22" spans="1:57" ph="1">
      <c r="A22" s="72" ph="1"/>
      <c r="B22" s="215" t="s" ph="1">
        <v>37</v>
      </c>
      <c r="C22" s="85" t="s" ph="1">
        <v>176</v>
      </c>
      <c r="D22" s="86" t="s" ph="1">
        <v>86</v>
      </c>
      <c r="E22" s="86" t="s" ph="1">
        <v>87</v>
      </c>
      <c r="F22" s="86" t="s" ph="1">
        <v>88</v>
      </c>
      <c r="G22" s="86" t="s" ph="1">
        <v>89</v>
      </c>
      <c r="H22" s="86" t="s" ph="1">
        <v>90</v>
      </c>
      <c r="I22" s="86" t="s" ph="1">
        <v>91</v>
      </c>
      <c r="J22" s="86" t="s" ph="1">
        <v>92</v>
      </c>
      <c r="K22" s="86" t="s" ph="1">
        <v>93</v>
      </c>
      <c r="L22" s="86" t="s" ph="1">
        <v>94</v>
      </c>
      <c r="M22" s="86" t="s" ph="1">
        <v>95</v>
      </c>
      <c r="N22" s="86" t="s" ph="1">
        <v>96</v>
      </c>
      <c r="O22" s="86" t="s" ph="1">
        <v>97</v>
      </c>
      <c r="P22" s="86" t="s" ph="1">
        <v>98</v>
      </c>
      <c r="Q22" s="87" t="s" ph="1">
        <v>99</v>
      </c>
      <c r="R22" s="86" t="s" ph="1">
        <v>100</v>
      </c>
      <c r="S22" s="86" t="s" ph="1">
        <v>101</v>
      </c>
      <c r="T22" s="86" t="s" ph="1">
        <v>102</v>
      </c>
      <c r="U22" s="86" t="s" ph="1">
        <v>103</v>
      </c>
      <c r="V22" s="86" t="s" ph="1">
        <v>104</v>
      </c>
      <c r="W22" s="86" t="s" ph="1">
        <v>105</v>
      </c>
      <c r="X22" s="86" t="s" ph="1">
        <v>106</v>
      </c>
      <c r="Y22" s="86" t="s" ph="1">
        <v>108</v>
      </c>
      <c r="Z22" s="225" t="s" ph="1">
        <v>69</v>
      </c>
      <c r="AA22" s="226"/>
      <c r="AB22" s="226"/>
      <c r="AC22" s="226"/>
      <c r="AD22" s="226"/>
      <c r="AE22" s="227"/>
      <c r="AH22" s="64" ph="1">
        <v>8</v>
      </c>
      <c r="AI22" s="64" t="s" ph="1">
        <v>345</v>
      </c>
      <c r="AZ22" s="64" t="s" ph="1">
        <v>216</v>
      </c>
      <c r="BA22" s="64" ph="1">
        <v>0</v>
      </c>
    </row>
    <row r="23" spans="1:57" ph="1">
      <c r="A23" s="72" ph="1"/>
      <c r="B23" s="219" ph="1"/>
      <c r="C23" s="67" t="s" ph="1">
        <v>36</v>
      </c>
      <c r="D23" s="88" t="s" ph="1">
        <v>109</v>
      </c>
      <c r="E23" s="88" t="s" ph="1">
        <v>107</v>
      </c>
      <c r="F23" s="88" t="s" ph="1">
        <v>109</v>
      </c>
      <c r="G23" s="88" t="s" ph="1">
        <v>626</v>
      </c>
      <c r="H23" s="88" t="s" ph="1">
        <v>626</v>
      </c>
      <c r="I23" s="88" t="s" ph="1">
        <v>627</v>
      </c>
      <c r="J23" s="88" t="s" ph="1">
        <v>628</v>
      </c>
      <c r="K23" s="88" t="s" ph="1">
        <v>628</v>
      </c>
      <c r="L23" s="88" t="s" ph="1">
        <v>628</v>
      </c>
      <c r="M23" s="88" t="s" ph="1">
        <v>623</v>
      </c>
      <c r="N23" s="88" t="s" ph="1">
        <v>623</v>
      </c>
      <c r="O23" s="88" t="s" ph="1">
        <v>645</v>
      </c>
      <c r="P23" s="88" t="s" ph="1">
        <v>629</v>
      </c>
      <c r="Q23" s="89" t="s" ph="1">
        <v>643</v>
      </c>
      <c r="R23" s="88" t="s" ph="1">
        <v>610</v>
      </c>
      <c r="S23" s="88" t="s" ph="1">
        <v>629</v>
      </c>
      <c r="T23" s="88" t="s" ph="1">
        <v>604</v>
      </c>
      <c r="U23" s="104" t="s" ph="1">
        <v>606</v>
      </c>
      <c r="V23" s="88" t="s" ph="1">
        <v>629</v>
      </c>
      <c r="W23" s="88" t="s" ph="1">
        <v>629</v>
      </c>
      <c r="X23" s="88" t="s" ph="1">
        <v>187</v>
      </c>
      <c r="Y23" s="88" t="s" ph="1">
        <v>630</v>
      </c>
      <c r="Z23" s="228" t="s" ph="1">
        <v>646</v>
      </c>
      <c r="AA23" s="229"/>
      <c r="AB23" s="229"/>
      <c r="AC23" s="229"/>
      <c r="AD23" s="229"/>
      <c r="AE23" s="230"/>
      <c r="AH23" s="64" ph="1">
        <v>9</v>
      </c>
      <c r="AI23" s="64" t="s" ph="1">
        <v>346</v>
      </c>
      <c r="AZ23" s="64" t="s" ph="1">
        <v>216</v>
      </c>
      <c r="BA23" s="64" ph="1">
        <v>0</v>
      </c>
      <c r="BD23" s="64" t="s" ph="1">
        <v>238</v>
      </c>
      <c r="BE23" s="64" ph="1">
        <v>890</v>
      </c>
    </row>
    <row r="24" spans="1:57" ph="1">
      <c r="A24" s="72" ph="1"/>
      <c r="B24" s="237" ph="1">
        <v>0.33333333333333331</v>
      </c>
      <c r="C24" s="155" t="s" ph="1">
        <v>177</v>
      </c>
      <c r="D24" s="71">
        <v>0</v>
      </c>
      <c r="E24" s="71">
        <v>5.65</v>
      </c>
      <c r="F24" s="71">
        <v>48</v>
      </c>
      <c r="G24" s="71">
        <v>2516</v>
      </c>
      <c r="H24" s="71">
        <v>3765</v>
      </c>
      <c r="I24" s="71">
        <v>0</v>
      </c>
      <c r="J24" s="71">
        <v>1758</v>
      </c>
      <c r="K24" s="71">
        <v>210</v>
      </c>
      <c r="L24" s="71">
        <v>302</v>
      </c>
      <c r="M24" s="71">
        <v>3700</v>
      </c>
      <c r="N24" s="71">
        <v>4717</v>
      </c>
      <c r="O24" s="71">
        <v>862</v>
      </c>
      <c r="P24" s="71">
        <v>366</v>
      </c>
      <c r="Q24" s="90">
        <v>3811</v>
      </c>
      <c r="R24" s="71">
        <v>4209</v>
      </c>
      <c r="S24" s="71">
        <v>2276</v>
      </c>
      <c r="T24" s="71">
        <v>133</v>
      </c>
      <c r="U24" s="71">
        <v>5806</v>
      </c>
      <c r="V24" s="71">
        <v>736</v>
      </c>
      <c r="W24" s="71">
        <v>435</v>
      </c>
      <c r="X24" s="71">
        <v>3953</v>
      </c>
      <c r="Y24" s="71">
        <v>3434</v>
      </c>
      <c r="Z24" s="231"/>
      <c r="AA24" s="232"/>
      <c r="AB24" s="232"/>
      <c r="AC24" s="232"/>
      <c r="AD24" s="232"/>
      <c r="AE24" s="233"/>
      <c r="AH24" s="64" ph="1">
        <v>10</v>
      </c>
      <c r="AI24" s="64" t="s" ph="1">
        <v>347</v>
      </c>
      <c r="AZ24" s="64" t="s" ph="1">
        <v>216</v>
      </c>
      <c r="BA24" s="64" ph="1">
        <v>0</v>
      </c>
    </row>
    <row r="25" spans="1:57" ph="1">
      <c r="A25" s="72" ph="1"/>
      <c r="B25" s="237" ph="1"/>
      <c r="C25" s="68" t="s" ph="1">
        <v>178</v>
      </c>
      <c r="D25" s="91" ph="1">
        <f>D24*268.68*LOOKUP(D26,密度!$A$2:$A$50,密度!$Q$2:$Q$50)+IF(D24&lt;=0,0,1566*LOOKUP(D26,密度!$A$2:$A$50,密度!$Q$2:$Q$50))</f>
        <v>0</v>
      </c>
      <c r="E25" s="91" ph="1">
        <f>E24*268.68*LOOKUP(E26,密度!$A$2:$A$50,密度!$C$2:$C$50)+IF(E24&lt;=0,0,1566*LOOKUP(E26,密度!$A$2:$A$50,密度!$C$2:$C$50))</f>
        <v>3419.8941738000003</v>
      </c>
      <c r="F25" s="91" ph="1">
        <f>F24*11.702*LOOKUP(F26,密度!$A$2:$A$50,密度!$Q$2:$Q$50)</f>
        <v>531.38126688</v>
      </c>
      <c r="G25" s="91" ph="1">
        <f>G24*18.322*LOOKUP(G26,密度!$A$2:$A$50,密度!$B$2:$B$50)</f>
        <v>36021.095972799994</v>
      </c>
      <c r="H25" s="91" ph="1">
        <f>H24*18.322*LOOKUP(H26,密度!$A$2:$A$50,密度!$B$2:$B$50)</f>
        <v>53840.708565000001</v>
      </c>
      <c r="I25" s="91" ph="1">
        <f>I24*18.322*LOOKUP(I26,密度!$A$2:$A$50,密度!$Q$2:$Q$50)</f>
        <v>0</v>
      </c>
      <c r="J25" s="91" ph="1">
        <f>J24*18.322*LOOKUP(J26,密度!$A$2:$A$50,密度!$Q$2:$Q$50)</f>
        <v>30471.698198279999</v>
      </c>
      <c r="K25" s="91" ph="1">
        <f>K24*18.322*LOOKUP(K26,密度!$A$2:$A$50,密度!$Q$2:$Q$50)</f>
        <v>3645.5045214000002</v>
      </c>
      <c r="L25" s="91" ph="1">
        <f>L24*18.322*LOOKUP(L26,密度!$A$2:$A$50,密度!$Q$2:$Q$50)</f>
        <v>5238.5434245599999</v>
      </c>
      <c r="M25" s="91" ph="1">
        <f>M24*18.322*LOOKUP(M26,密度!$A$2:$A$50,密度!$Q$2:$Q$50)</f>
        <v>64279.805479999995</v>
      </c>
      <c r="N25" s="91" ph="1">
        <f>N24*18.322*LOOKUP(N26,密度!$A$2:$A$50,密度!$Q$2:$Q$50)</f>
        <v>81948.065526799997</v>
      </c>
      <c r="O25" s="91" ph="1">
        <f>O24*18.322*LOOKUP(O26,密度!$A$2:$A$50,密度!$C$2:$C$50)</f>
        <v>17500.848268400001</v>
      </c>
      <c r="P25" s="91" ph="1">
        <f>P24*11.702*LOOKUP(P26,密度!$A$2:$A$50,密度!$B$2:$B$50)</f>
        <v>3331.6928028000002</v>
      </c>
      <c r="Q25" s="92" ph="1">
        <f>Q24*18.322*LOOKUP(Q26,密度!$A$2:$A$50,密度!$B$2:$B$50)</f>
        <v>54316.977961799996</v>
      </c>
      <c r="R25" s="91" ph="1">
        <f>R24*35.891*LOOKUP(R26,密度!$A$2:$A$50,密度!$C$2:$C$50)</f>
        <v>167395.36917389999</v>
      </c>
      <c r="S25" s="91" ph="1">
        <f>S24*35.891*LOOKUP(S26,密度!$A$2:$A$50,密度!$B$2:$B$50)</f>
        <v>63610.38018919999</v>
      </c>
      <c r="T25" s="91" ph="1">
        <f>T24*35.891*LOOKUP(T26,密度!$A$2:$A$50,密度!$Q$2:$Q$50)</f>
        <v>4515.8770430899995</v>
      </c>
      <c r="U25" s="91" ph="1">
        <f>U24*35.891</f>
        <v>208383.14599999998</v>
      </c>
      <c r="V25" s="91" ph="1">
        <f>V24*47.051*LOOKUP(V26,密度!$A$2:$A$50,密度!$B$2:$B$50)</f>
        <v>26997.186265599998</v>
      </c>
      <c r="W25" s="91" ph="1">
        <f>W24*47.051*LOOKUP(W26,密度!$A$2:$A$50,密度!$B$2:$B$50)</f>
        <v>15937.7969595</v>
      </c>
      <c r="X25" s="91" ph="1">
        <f>X24*47.051*LOOKUP(X26,密度!$A$2:$A$61,密度!$I$2:$I$61)</f>
        <v>193023.12339340002</v>
      </c>
      <c r="Y25" s="91" ph="1">
        <f>Y24*47.051*LOOKUP(Y26,密度!$A$2:$A$50,密度!$L$2:$L$50)</f>
        <v>151070.88029000003</v>
      </c>
      <c r="Z25" s="231"/>
      <c r="AA25" s="232"/>
      <c r="AB25" s="232"/>
      <c r="AC25" s="232"/>
      <c r="AD25" s="232"/>
      <c r="AE25" s="233"/>
      <c r="AH25" s="64" ph="1">
        <v>11</v>
      </c>
      <c r="AI25" s="64" t="s" ph="1">
        <v>348</v>
      </c>
      <c r="AZ25" s="64" t="s" ph="1">
        <v>216</v>
      </c>
      <c r="BA25" s="64" ph="1">
        <v>0</v>
      </c>
      <c r="BD25" s="64" t="s" ph="1">
        <v>241</v>
      </c>
      <c r="BE25" s="64" ph="1">
        <v>8920</v>
      </c>
    </row>
    <row r="26" spans="1:57" ph="1">
      <c r="A26" s="72" ph="1"/>
      <c r="B26" s="237" ph="1"/>
      <c r="C26" s="68" t="s" ph="1">
        <v>179</v>
      </c>
      <c r="D26" s="74">
        <v>25</v>
      </c>
      <c r="E26" s="74">
        <v>25</v>
      </c>
      <c r="F26" s="74">
        <v>26</v>
      </c>
      <c r="G26" s="74">
        <v>23</v>
      </c>
      <c r="H26" s="74">
        <v>24</v>
      </c>
      <c r="I26" s="74">
        <v>25</v>
      </c>
      <c r="J26" s="74">
        <v>26</v>
      </c>
      <c r="K26" s="74">
        <v>24</v>
      </c>
      <c r="L26" s="74">
        <v>25</v>
      </c>
      <c r="M26" s="74">
        <v>23</v>
      </c>
      <c r="N26" s="74">
        <v>23</v>
      </c>
      <c r="O26" s="74">
        <v>26</v>
      </c>
      <c r="P26" s="74">
        <v>27</v>
      </c>
      <c r="Q26" s="93">
        <v>27</v>
      </c>
      <c r="R26" s="74">
        <v>26</v>
      </c>
      <c r="S26" s="74">
        <v>26</v>
      </c>
      <c r="T26" s="74">
        <v>26</v>
      </c>
      <c r="U26" s="74">
        <v>27</v>
      </c>
      <c r="V26" s="74">
        <v>25</v>
      </c>
      <c r="W26" s="74">
        <v>26</v>
      </c>
      <c r="X26" s="74">
        <v>29</v>
      </c>
      <c r="Y26" s="74">
        <v>27</v>
      </c>
      <c r="Z26" s="231"/>
      <c r="AA26" s="232"/>
      <c r="AB26" s="232"/>
      <c r="AC26" s="232"/>
      <c r="AD26" s="232"/>
      <c r="AE26" s="233"/>
      <c r="AH26" s="64" ph="1">
        <v>12</v>
      </c>
      <c r="AI26" s="64" t="s" ph="1">
        <v>349</v>
      </c>
      <c r="AZ26" s="64" t="s" ph="1">
        <v>216</v>
      </c>
      <c r="BA26" s="64" ph="1">
        <v>0</v>
      </c>
    </row>
    <row r="27" spans="1:57" ht="26.4" ph="1">
      <c r="A27" s="72" ph="1"/>
      <c r="B27" s="237" ph="1">
        <v>0.66666666666666663</v>
      </c>
      <c r="C27" s="155" t="s" ph="1">
        <v>180</v>
      </c>
      <c r="D27" s="71">
        <v>16.47</v>
      </c>
      <c r="E27" s="71">
        <v>68.59</v>
      </c>
      <c r="F27" s="71">
        <v>46</v>
      </c>
      <c r="G27" s="71">
        <v>2126</v>
      </c>
      <c r="H27" s="71">
        <v>3300</v>
      </c>
      <c r="I27" s="71">
        <v>0</v>
      </c>
      <c r="J27" s="71">
        <v>1757</v>
      </c>
      <c r="K27" s="71">
        <v>1310</v>
      </c>
      <c r="L27" s="71">
        <v>296</v>
      </c>
      <c r="M27" s="71">
        <v>4859</v>
      </c>
      <c r="N27" s="71">
        <v>4924</v>
      </c>
      <c r="O27" s="71">
        <v>857</v>
      </c>
      <c r="P27" s="71">
        <v>361</v>
      </c>
      <c r="Q27" s="90">
        <v>459</v>
      </c>
      <c r="R27" s="71">
        <v>3654</v>
      </c>
      <c r="S27" s="71">
        <v>4102</v>
      </c>
      <c r="T27" s="71">
        <v>105</v>
      </c>
      <c r="U27" s="71">
        <v>5736</v>
      </c>
      <c r="V27" s="71">
        <v>733</v>
      </c>
      <c r="W27" s="71">
        <v>428</v>
      </c>
      <c r="X27" s="71">
        <v>4442</v>
      </c>
      <c r="Y27" s="71">
        <v>1805</v>
      </c>
      <c r="Z27" s="231"/>
      <c r="AA27" s="232"/>
      <c r="AB27" s="232"/>
      <c r="AC27" s="232"/>
      <c r="AD27" s="232"/>
      <c r="AE27" s="233"/>
      <c r="AH27" s="64" ph="1">
        <v>13</v>
      </c>
      <c r="AI27" s="64" t="s" ph="1">
        <v>350</v>
      </c>
      <c r="AZ27" s="64" t="s" ph="1">
        <v>216</v>
      </c>
      <c r="BA27" s="64" ph="1">
        <v>0</v>
      </c>
      <c r="BD27" s="64" t="s" ph="1">
        <v>295</v>
      </c>
      <c r="BE27" s="64" ph="1">
        <v>7100</v>
      </c>
    </row>
    <row r="28" spans="1:57" ph="1">
      <c r="A28" s="72" ph="1"/>
      <c r="B28" s="237" ph="1"/>
      <c r="C28" s="155" t="s" ph="1">
        <v>178</v>
      </c>
      <c r="D28" s="91" ph="1">
        <f>D27*268.68*LOOKUP(D29,密度!$A$2:$A$50,密度!$Q$2:$Q$50)+IF(D27&lt;=0,0,1566*LOOKUP(D29,密度!$A$2:$A$50,密度!$Q$2:$Q$50))</f>
        <v>5672.0704397039999</v>
      </c>
      <c r="E28" s="91" ph="1">
        <f>E27*268.68*LOOKUP(E29,密度!$A$2:$A$50,密度!$C$2:$C$50)+IF(E27&lt;=0,0,1566*LOOKUP(E29,密度!$A$2:$A$50,密度!$C$2:$C$50))</f>
        <v>22172.190694680001</v>
      </c>
      <c r="F28" s="91" ph="1">
        <f>F27*11.702*LOOKUP(F29,密度!$A$2:$A$50,密度!$Q$2:$Q$50)</f>
        <v>508.48138904000001</v>
      </c>
      <c r="G28" s="91" ph="1">
        <f>G27*18.322*LOOKUP(G29,密度!$A$2:$A$50,密度!$B$2:$B$50)</f>
        <v>30234.9863864</v>
      </c>
      <c r="H28" s="91" ph="1">
        <f>H27*18.322*LOOKUP(H29,密度!$A$2:$A$50,密度!$B$2:$B$50)</f>
        <v>46931.070119999997</v>
      </c>
      <c r="I28" s="91" ph="1">
        <f>I27*18.322*LOOKUP(I29,密度!$A$2:$A$50,密度!$Q$2:$Q$50)</f>
        <v>0</v>
      </c>
      <c r="J28" s="91" ph="1">
        <f>J27*18.322*LOOKUP(J29,密度!$A$2:$A$50,密度!$Q$2:$Q$50)</f>
        <v>30321.413092599996</v>
      </c>
      <c r="K28" s="91" ph="1">
        <f>K27*18.322*LOOKUP(K29,密度!$A$2:$A$50,密度!$Q$2:$Q$50)</f>
        <v>22656.0379526</v>
      </c>
      <c r="L28" s="91" ph="1">
        <f>L27*18.322*LOOKUP(L29,密度!$A$2:$A$50,密度!$Q$2:$Q$50)</f>
        <v>5119.2268961600003</v>
      </c>
      <c r="M28" s="91" ph="1">
        <f>M27*18.322*LOOKUP(M29,密度!$A$2:$A$50,密度!$Q$2:$Q$50)</f>
        <v>83981.460691339991</v>
      </c>
      <c r="N28" s="91" ph="1">
        <f>N27*18.322*LOOKUP(N29,密度!$A$2:$A$50,密度!$Q$2:$Q$50)</f>
        <v>85221.281299359995</v>
      </c>
      <c r="O28" s="91" ph="1">
        <f>O27*18.322*LOOKUP(O29,密度!$A$2:$A$50,密度!$C$2:$C$50)</f>
        <v>17375.782296400001</v>
      </c>
      <c r="P28" s="91" ph="1">
        <f>P27*11.702*LOOKUP(P29,密度!$A$2:$A$50,密度!$B$2:$B$50)</f>
        <v>3278.9963563999995</v>
      </c>
      <c r="Q28" s="92" ph="1">
        <f>Q27*18.322*LOOKUP(Q29,密度!$A$2:$A$50,密度!$B$2:$B$50)</f>
        <v>6527.6852075999996</v>
      </c>
      <c r="R28" s="91" ph="1">
        <f>R27*35.891*LOOKUP(R29,密度!$A$2:$A$50,密度!$C$2:$C$50)</f>
        <v>144929.12854140002</v>
      </c>
      <c r="S28" s="91" ph="1">
        <f>S27*35.891*LOOKUP(S29,密度!$A$2:$A$50,密度!$B$2:$B$50)</f>
        <v>114143.45101459998</v>
      </c>
      <c r="T28" s="91" ph="1">
        <f>T27*35.891*LOOKUP(T29,密度!$A$2:$A$50,密度!$Q$2:$Q$50)</f>
        <v>3552.1645718999998</v>
      </c>
      <c r="U28" s="91" ph="1">
        <f>U27*35.891</f>
        <v>205870.77599999998</v>
      </c>
      <c r="V28" s="91" ph="1">
        <f>V27*47.051*LOOKUP(V29,密度!$A$2:$A$50,密度!$B$2:$B$50)</f>
        <v>26738.843339900002</v>
      </c>
      <c r="W28" s="91" ph="1">
        <f>W27*47.051*LOOKUP(W29,密度!$A$2:$A$50,密度!$B$2:$B$50)</f>
        <v>15594.734003200001</v>
      </c>
      <c r="X28" s="91" ph="1">
        <f>X27*47.051*LOOKUP(X29,密度!$A$2:$A$61,密度!$I$2:$I$61)</f>
        <v>215500.45885619998</v>
      </c>
      <c r="Y28" s="91" ph="1">
        <f>Y27*47.051*LOOKUP(Y29,密度!$A$2:$A$50,密度!$L$2:$L$50)</f>
        <v>79152.015260000015</v>
      </c>
      <c r="Z28" s="231"/>
      <c r="AA28" s="232"/>
      <c r="AB28" s="232"/>
      <c r="AC28" s="232"/>
      <c r="AD28" s="232"/>
      <c r="AE28" s="233"/>
      <c r="AH28" s="64" ph="1">
        <v>14</v>
      </c>
      <c r="AI28" s="64" t="s" ph="1">
        <v>351</v>
      </c>
      <c r="AZ28" s="64" t="s" ph="1">
        <v>216</v>
      </c>
      <c r="BA28" s="64" ph="1">
        <v>0</v>
      </c>
    </row>
    <row r="29" spans="1:57" ph="1">
      <c r="A29" s="72" ph="1"/>
      <c r="B29" s="237" ph="1"/>
      <c r="C29" s="155" t="s" ph="1">
        <v>179</v>
      </c>
      <c r="D29" s="74">
        <v>25</v>
      </c>
      <c r="E29" s="74">
        <v>25</v>
      </c>
      <c r="F29" s="74">
        <v>28</v>
      </c>
      <c r="G29" s="74">
        <v>29</v>
      </c>
      <c r="H29" s="74">
        <v>29</v>
      </c>
      <c r="I29" s="74">
        <v>30</v>
      </c>
      <c r="J29" s="74">
        <v>32</v>
      </c>
      <c r="K29" s="74">
        <v>29</v>
      </c>
      <c r="L29" s="74">
        <v>29</v>
      </c>
      <c r="M29" s="74">
        <v>30</v>
      </c>
      <c r="N29" s="74">
        <v>28</v>
      </c>
      <c r="O29" s="74">
        <v>28</v>
      </c>
      <c r="P29" s="74">
        <v>29</v>
      </c>
      <c r="Q29" s="93">
        <v>29</v>
      </c>
      <c r="R29" s="74">
        <v>30</v>
      </c>
      <c r="S29" s="74">
        <v>30</v>
      </c>
      <c r="T29" s="74">
        <v>31</v>
      </c>
      <c r="U29" s="74">
        <v>30</v>
      </c>
      <c r="V29" s="74">
        <v>30</v>
      </c>
      <c r="W29" s="74">
        <v>31</v>
      </c>
      <c r="X29" s="74">
        <v>35</v>
      </c>
      <c r="Y29" s="74">
        <v>30</v>
      </c>
      <c r="Z29" s="234"/>
      <c r="AA29" s="235"/>
      <c r="AB29" s="235"/>
      <c r="AC29" s="235"/>
      <c r="AD29" s="235"/>
      <c r="AE29" s="236"/>
      <c r="AH29" s="64" ph="1">
        <v>15</v>
      </c>
      <c r="AI29" s="64" t="s" ph="1">
        <v>352</v>
      </c>
      <c r="AZ29" s="64" t="s" ph="1">
        <v>216</v>
      </c>
      <c r="BA29" s="64" ph="1">
        <v>0</v>
      </c>
      <c r="BD29" s="64" t="s" ph="1">
        <v>353</v>
      </c>
      <c r="BE29" s="64" ph="1">
        <v>890</v>
      </c>
    </row>
    <row r="30" spans="1:57" ph="1">
      <c r="D30" s="94" ph="1"/>
      <c r="Z30" s="64" t="s" ph="1">
        <v>35</v>
      </c>
      <c r="AE30" s="95" ph="1"/>
      <c r="AH30" s="64" ph="1">
        <v>16</v>
      </c>
      <c r="AI30" s="64" t="s" ph="1">
        <v>354</v>
      </c>
      <c r="AZ30" s="64" t="s" ph="1">
        <v>216</v>
      </c>
      <c r="BA30" s="64" ph="1">
        <v>0</v>
      </c>
    </row>
    <row r="31" spans="1:57" ht="28.2" ph="1">
      <c r="A31" s="64"/>
      <c r="B31" s="220" t="s" ph="1">
        <v>35</v>
      </c>
      <c r="C31" s="221" ph="1"/>
      <c r="D31" s="224" t="s" ph="1">
        <v>9</v>
      </c>
      <c r="E31" s="199" ph="1"/>
      <c r="F31" s="200" ph="1"/>
      <c r="G31" s="224" t="s" ph="1">
        <v>18</v>
      </c>
      <c r="H31" s="199" ph="1"/>
      <c r="I31" s="200" ph="1"/>
      <c r="J31" s="198" t="s" ph="1">
        <v>1</v>
      </c>
      <c r="K31" s="199" ph="1"/>
      <c r="L31" s="200" ph="1"/>
      <c r="M31" s="198" t="s" ph="1">
        <v>7</v>
      </c>
      <c r="N31" s="199" ph="1"/>
      <c r="O31" s="200" ph="1"/>
      <c r="P31" s="198" t="s" ph="1">
        <v>41</v>
      </c>
      <c r="Q31" s="199"/>
      <c r="R31" s="200"/>
      <c r="S31" s="198" t="s" ph="1">
        <v>2</v>
      </c>
      <c r="T31" s="199"/>
      <c r="U31" s="200"/>
      <c r="V31" s="198" t="s" ph="1">
        <v>71</v>
      </c>
      <c r="W31" s="199" ph="1"/>
      <c r="X31" s="200" ph="1"/>
      <c r="Y31" s="198" t="s" ph="1">
        <v>3</v>
      </c>
      <c r="Z31" s="199" ph="1"/>
      <c r="AA31" s="200" ph="1"/>
      <c r="AB31" s="201" t="s">
        <v>42</v>
      </c>
      <c r="AC31" s="202"/>
      <c r="AD31" s="202"/>
      <c r="AE31" s="203"/>
      <c r="AH31" s="64" ph="1">
        <v>17</v>
      </c>
      <c r="AI31" s="64" t="s" ph="1">
        <v>355</v>
      </c>
      <c r="AZ31" s="64" t="s" ph="1">
        <v>216</v>
      </c>
      <c r="BA31" s="64" ph="1">
        <v>0</v>
      </c>
      <c r="BD31" s="64" t="s" ph="1">
        <v>356</v>
      </c>
      <c r="BE31" s="64" ph="1">
        <v>9310</v>
      </c>
    </row>
    <row r="32" spans="1:57" ph="1">
      <c r="A32" s="64"/>
      <c r="B32" s="222" ph="1"/>
      <c r="C32" s="223" ph="1"/>
      <c r="D32" s="96" t="s" ph="1">
        <v>4</v>
      </c>
      <c r="E32" s="155" t="s" ph="1">
        <v>5</v>
      </c>
      <c r="F32" s="154" t="s" ph="1">
        <v>43</v>
      </c>
      <c r="G32" s="97" t="s" ph="1">
        <v>4</v>
      </c>
      <c r="H32" s="155" t="s" ph="1">
        <v>5</v>
      </c>
      <c r="I32" s="154" t="s" ph="1">
        <v>43</v>
      </c>
      <c r="J32" s="97" t="s" ph="1">
        <v>4</v>
      </c>
      <c r="K32" s="155" t="s" ph="1">
        <v>5</v>
      </c>
      <c r="L32" s="154" t="s" ph="1">
        <v>43</v>
      </c>
      <c r="M32" s="97" t="s" ph="1">
        <v>4</v>
      </c>
      <c r="N32" s="155" t="s" ph="1">
        <v>5</v>
      </c>
      <c r="O32" s="154" t="s" ph="1">
        <v>43</v>
      </c>
      <c r="P32" s="97" t="s" ph="1">
        <v>4</v>
      </c>
      <c r="Q32" s="98" t="s" ph="1">
        <v>5</v>
      </c>
      <c r="R32" s="99" t="s" ph="1">
        <v>43</v>
      </c>
      <c r="S32" s="97" t="s" ph="1">
        <v>4</v>
      </c>
      <c r="T32" s="155" t="s" ph="1">
        <v>5</v>
      </c>
      <c r="U32" s="99" t="s" ph="1">
        <v>43</v>
      </c>
      <c r="V32" s="97" t="s" ph="1">
        <v>4</v>
      </c>
      <c r="W32" s="155" t="s" ph="1">
        <v>5</v>
      </c>
      <c r="X32" s="99" t="s" ph="1">
        <v>43</v>
      </c>
      <c r="Y32" s="100" t="s" ph="1">
        <v>4</v>
      </c>
      <c r="Z32" s="155" t="s" ph="1">
        <v>5</v>
      </c>
      <c r="AA32" s="154" t="s" ph="1">
        <v>43</v>
      </c>
      <c r="AB32" s="97" t="s" ph="1">
        <v>85</v>
      </c>
      <c r="AC32" s="155" t="s" ph="1">
        <v>84</v>
      </c>
      <c r="AD32" s="204" t="s" ph="1">
        <v>83</v>
      </c>
      <c r="AE32" s="205"/>
      <c r="AH32" s="64" ph="1">
        <v>18</v>
      </c>
      <c r="AI32" s="64" t="s" ph="1">
        <v>357</v>
      </c>
      <c r="AZ32" s="64" t="s" ph="1">
        <v>216</v>
      </c>
      <c r="BA32" s="64" ph="1">
        <v>0</v>
      </c>
    </row>
    <row r="33" spans="1:57" ph="1">
      <c r="A33" s="64"/>
      <c r="B33" s="206" t="s" ph="1">
        <v>181</v>
      </c>
      <c r="C33" s="207" ph="1"/>
      <c r="D33" s="186" ph="1">
        <f>AA10+AB10+Z19</f>
        <v>60423.356492700004</v>
      </c>
      <c r="E33" s="186" ph="1">
        <f>M10+I10</f>
        <v>110973.10529379999</v>
      </c>
      <c r="F33" s="210" ph="1">
        <f>表格_取樣回收每月庫存表_0620更新1522252632456786910111213141516171819202123456789101112131415161718192022232424356789101112131415161718192021222345678910111213141516171819202345678910111213149101516171819222123234567891012131415161711181920212224252345678910111213115[[#This Row],[F25]]</f>
        <v>3880</v>
      </c>
      <c r="G33" s="212" ph="1">
        <f>N19</f>
        <v>12938.31331358</v>
      </c>
      <c r="H33" s="186" ph="1">
        <f>M19</f>
        <v>16861.57233744</v>
      </c>
      <c r="I33" s="190" ph="1">
        <v>0</v>
      </c>
      <c r="J33" s="194" ph="1">
        <f>F10+O28</f>
        <v>134488.0066318</v>
      </c>
      <c r="K33" s="186" ph="1">
        <f>O10+K10+E28+R28</f>
        <v>215562.78924128003</v>
      </c>
      <c r="L33" s="196" ph="1">
        <f>K19</f>
        <v>6723.8520938000011</v>
      </c>
      <c r="M33" s="194" ph="1">
        <f>G10+H10+W28+S28+V28+E10+R19+P28+Q28</f>
        <v>642669.23299170006</v>
      </c>
      <c r="N33" s="186" ph="1">
        <f>L10+P10++G28+H28+AD19+AE19</f>
        <v>332569.91634719999</v>
      </c>
      <c r="O33" s="190" ph="1">
        <f>G19</f>
        <v>12537.01725984</v>
      </c>
      <c r="P33" s="194" ph="1">
        <f>L19</f>
        <v>30744.773838720001</v>
      </c>
      <c r="Q33" s="186" ph="1">
        <f>J10+N10</f>
        <v>47792.828464599996</v>
      </c>
      <c r="R33" s="190" ph="1">
        <f>BE23</f>
        <v>890</v>
      </c>
      <c r="S33" s="194" ph="1">
        <f>X28</f>
        <v>215500.45885619998</v>
      </c>
      <c r="T33" s="186" ph="1">
        <f>X19</f>
        <v>13468.691533639998</v>
      </c>
      <c r="U33" s="175" ph="1">
        <f>BE21</f>
        <v>730</v>
      </c>
      <c r="V33" s="188" ph="1">
        <f ca="1">P19+Q19+S19+M28+N28+J28+D10+AC10+D19+E19+H19+J19+O19+V19+W19+K28+L28</f>
        <v>887354.34078567417</v>
      </c>
      <c r="W33" s="188" ph="1">
        <f>D28+F28+T28+I28</f>
        <v>9732.7164006439998</v>
      </c>
      <c r="X33" s="190" ph="1">
        <f>BE29+BE31</f>
        <v>10200</v>
      </c>
      <c r="Y33" s="192" ph="1">
        <f>+Q10+R10+S10+T10+U10+V10+W10+X10+Y10</f>
        <v>148732.46249400001</v>
      </c>
      <c r="Z33" s="173" ph="1">
        <f>T19+U19+Y28+Z10</f>
        <v>241004.83232000002</v>
      </c>
      <c r="AA33" s="175" ph="1">
        <f>BE19</f>
        <v>1440</v>
      </c>
      <c r="AB33" s="177" ph="1">
        <f>I19</f>
        <v>46715.496324000007</v>
      </c>
      <c r="AC33" s="179" ph="1">
        <f>AD10+AB19</f>
        <v>100222.51622880001</v>
      </c>
      <c r="AD33" s="181" ph="1">
        <v>0</v>
      </c>
      <c r="AE33" s="182"/>
      <c r="AH33" s="64" ph="1">
        <v>19</v>
      </c>
      <c r="AI33" s="64" t="s" ph="1">
        <v>358</v>
      </c>
      <c r="AJ33" s="64" t="s" ph="1">
        <v>592</v>
      </c>
      <c r="AK33" s="64" t="s" ph="1">
        <v>589</v>
      </c>
      <c r="AL33" s="64" ph="1">
        <v>730</v>
      </c>
      <c r="AM33" s="64" t="s" ph="1">
        <v>339</v>
      </c>
      <c r="AZ33" s="64" t="s" ph="1">
        <v>216</v>
      </c>
      <c r="BA33" s="64" ph="1">
        <v>730</v>
      </c>
      <c r="BD33" s="64" t="s" ph="1">
        <v>290</v>
      </c>
      <c r="BE33" s="64" ph="1">
        <v>3880</v>
      </c>
    </row>
    <row r="34" spans="1:57" ph="1">
      <c r="A34" s="64"/>
      <c r="B34" s="208" ph="1"/>
      <c r="C34" s="209" ph="1"/>
      <c r="D34" s="187" ph="1"/>
      <c r="E34" s="187" ph="1"/>
      <c r="F34" s="211" ph="1"/>
      <c r="G34" s="213" ph="1"/>
      <c r="H34" s="187" ph="1"/>
      <c r="I34" s="191" ph="1"/>
      <c r="J34" s="195" ph="1"/>
      <c r="K34" s="187" ph="1"/>
      <c r="L34" s="197" ph="1"/>
      <c r="M34" s="195" ph="1"/>
      <c r="N34" s="187" ph="1"/>
      <c r="O34" s="191" ph="1"/>
      <c r="P34" s="195" ph="1"/>
      <c r="Q34" s="187" ph="1"/>
      <c r="R34" s="191" ph="1"/>
      <c r="S34" s="195" ph="1"/>
      <c r="T34" s="187"/>
      <c r="U34" s="176"/>
      <c r="V34" s="189" ph="1"/>
      <c r="W34" s="189" ph="1"/>
      <c r="X34" s="191" ph="1"/>
      <c r="Y34" s="193" ph="1"/>
      <c r="Z34" s="174" ph="1"/>
      <c r="AA34" s="176" ph="1"/>
      <c r="AB34" s="178"/>
      <c r="AC34" s="180"/>
      <c r="AD34" s="183"/>
      <c r="AE34" s="184"/>
      <c r="AH34" s="64" ph="1">
        <v>20</v>
      </c>
      <c r="AI34" s="64" t="s" ph="1">
        <v>359</v>
      </c>
      <c r="AJ34" s="64" t="s" ph="1">
        <v>593</v>
      </c>
      <c r="AK34" s="64" t="s" ph="1">
        <v>589</v>
      </c>
      <c r="AL34" s="64" ph="1">
        <v>720</v>
      </c>
      <c r="AM34" s="64" t="s" ph="1">
        <v>339</v>
      </c>
      <c r="AZ34" s="64" t="s" ph="1">
        <v>216</v>
      </c>
      <c r="BA34" s="64" ph="1">
        <v>720</v>
      </c>
    </row>
    <row r="35" spans="1:57" ph="1">
      <c r="A35" s="64"/>
      <c r="AC35" s="185" t="s" ph="1">
        <v>631</v>
      </c>
      <c r="AD35" s="185"/>
      <c r="AE35" s="185"/>
      <c r="AH35" s="64" ph="1">
        <v>21</v>
      </c>
      <c r="AI35" s="64" t="s" ph="1">
        <v>360</v>
      </c>
      <c r="AZ35" s="64" t="s" ph="1">
        <v>216</v>
      </c>
      <c r="BA35" s="64" ph="1">
        <v>0</v>
      </c>
      <c r="BD35" s="64" t="s" ph="1">
        <v>361</v>
      </c>
      <c r="BE35" s="64" ph="1">
        <v>2030</v>
      </c>
    </row>
    <row r="36" spans="1:57" ht="28.2" ph="1">
      <c r="A36" s="64"/>
      <c r="B36" s="103" t="s" ph="1">
        <v>182</v>
      </c>
      <c r="I36" s="171" t="s" ph="1">
        <v>183</v>
      </c>
      <c r="J36" s="171" ph="1"/>
      <c r="K36" s="101" ph="1"/>
      <c r="P36" s="101" ph="1"/>
      <c r="R36" s="171" t="s" ph="1">
        <v>184</v>
      </c>
      <c r="S36" s="171" ph="1"/>
      <c r="Y36" s="102" ph="1"/>
      <c r="Z36" s="153" t="s" ph="1">
        <v>185</v>
      </c>
      <c r="AA36" s="153" ph="1"/>
      <c r="AB36" s="172" t="s" ph="1">
        <v>640</v>
      </c>
      <c r="AC36" s="172" ph="1"/>
      <c r="AD36" s="172" ph="1"/>
      <c r="AE36" s="172" ph="1"/>
      <c r="BA36" s="64" ph="1">
        <v>2270</v>
      </c>
    </row>
    <row r="37" spans="1:57" s="153" customFormat="1" ph="1">
      <c r="A37" s="64" ph="1"/>
      <c r="B37" s="64" ph="1"/>
      <c r="C37" s="64" ph="1"/>
      <c r="D37" s="64" ph="1"/>
      <c r="E37" s="64" ph="1"/>
      <c r="F37" s="64" ph="1"/>
      <c r="G37" s="64" ph="1"/>
      <c r="H37" s="64" ph="1"/>
      <c r="I37" s="64" ph="1"/>
      <c r="J37" s="64" ph="1"/>
      <c r="K37" s="64" ph="1"/>
      <c r="L37" s="64" ph="1"/>
      <c r="M37" s="64" ph="1"/>
      <c r="N37" s="64" ph="1"/>
      <c r="O37" s="64" ph="1"/>
      <c r="P37" s="64" ph="1"/>
      <c r="Q37" s="64" ph="1"/>
      <c r="R37" s="64" ph="1"/>
      <c r="S37" s="64" ph="1"/>
      <c r="T37" s="64" ph="1"/>
      <c r="U37" s="64" ph="1"/>
      <c r="V37" s="64" ph="1"/>
      <c r="W37" s="64" ph="1"/>
      <c r="X37" s="64" ph="1"/>
      <c r="Y37" s="64" ph="1"/>
      <c r="Z37" s="64" ph="1"/>
      <c r="AA37" s="64" ph="1"/>
      <c r="AB37" s="64" ph="1"/>
      <c r="AC37" s="64" ph="1"/>
      <c r="AD37" s="64" ph="1"/>
      <c r="AE37" s="64" ph="1"/>
      <c r="AG37" s="153" t="s" ph="1">
        <v>342</v>
      </c>
      <c r="AI37" s="153" t="s" ph="1">
        <v>209</v>
      </c>
      <c r="AJ37" s="153" t="s" ph="1">
        <v>210</v>
      </c>
      <c r="AK37" s="153" t="s" ph="1">
        <v>211</v>
      </c>
      <c r="AM37" s="153" t="s" ph="1">
        <v>210</v>
      </c>
      <c r="AN37" s="153" t="s" ph="1">
        <v>211</v>
      </c>
      <c r="AO37" s="153" t="s" ph="1">
        <v>212</v>
      </c>
      <c r="AP37" s="153" t="s" ph="1">
        <v>210</v>
      </c>
      <c r="AQ37" s="153" t="s" ph="1">
        <v>211</v>
      </c>
      <c r="AR37" s="153" t="s" ph="1">
        <v>212</v>
      </c>
      <c r="AS37" s="153" t="s" ph="1">
        <v>210</v>
      </c>
      <c r="AT37" s="153" t="s" ph="1">
        <v>211</v>
      </c>
      <c r="AU37" s="153" t="s" ph="1">
        <v>212</v>
      </c>
      <c r="AV37" s="153" t="s" ph="1">
        <v>210</v>
      </c>
      <c r="AW37" s="153" t="s" ph="1">
        <v>211</v>
      </c>
      <c r="AX37" s="153" t="s" ph="1">
        <v>212</v>
      </c>
      <c r="AY37" s="153" t="s" ph="1">
        <v>211</v>
      </c>
      <c r="AZ37" s="153" t="s" ph="1">
        <v>213</v>
      </c>
      <c r="BD37" s="153" t="s" ph="1">
        <v>305</v>
      </c>
      <c r="BE37" s="153" ph="1">
        <v>0</v>
      </c>
    </row>
    <row r="38" spans="1:57" ph="1">
      <c r="AE38" s="64" ph="1"/>
      <c r="AH38" s="64" ph="1">
        <v>1</v>
      </c>
      <c r="AI38" s="64" t="s" ph="1">
        <v>362</v>
      </c>
      <c r="AY38" s="64" t="s" ph="1">
        <v>216</v>
      </c>
      <c r="AZ38" s="64" t="s" ph="1">
        <v>367</v>
      </c>
    </row>
    <row r="39" spans="1:57" ph="1">
      <c r="AH39" s="64" ph="1">
        <v>2</v>
      </c>
      <c r="AI39" s="64" t="s" ph="1">
        <v>364</v>
      </c>
      <c r="AJ39" s="64" t="s" ph="1">
        <v>336</v>
      </c>
      <c r="AK39" s="64" t="s" ph="1">
        <v>365</v>
      </c>
      <c r="AM39" s="64" t="s" ph="1">
        <v>570</v>
      </c>
      <c r="AN39" s="64" t="s" ph="1">
        <v>228</v>
      </c>
      <c r="AO39" s="64" t="s" ph="1">
        <v>363</v>
      </c>
      <c r="AY39" s="64" t="s" ph="1">
        <v>216</v>
      </c>
      <c r="AZ39" s="64" t="s" ph="1">
        <v>499</v>
      </c>
    </row>
    <row r="40" spans="1:57" ph="1">
      <c r="AH40" s="64" ph="1">
        <v>3</v>
      </c>
      <c r="AI40" s="64" t="s" ph="1">
        <v>366</v>
      </c>
      <c r="AJ40" s="64" t="s" ph="1">
        <v>570</v>
      </c>
      <c r="AK40" s="64" t="s" ph="1">
        <v>571</v>
      </c>
      <c r="AY40" s="64" t="s" ph="1">
        <v>216</v>
      </c>
      <c r="AZ40" s="64" t="s" ph="1">
        <v>571</v>
      </c>
    </row>
    <row r="41" spans="1:57" ph="1">
      <c r="AH41" s="64" ph="1">
        <v>4</v>
      </c>
      <c r="AI41" s="64" t="s" ph="1">
        <v>368</v>
      </c>
      <c r="AJ41" s="64" t="s" ph="1">
        <v>572</v>
      </c>
      <c r="AK41" s="64" t="s" ph="1">
        <v>573</v>
      </c>
      <c r="AM41" s="64" t="s" ph="1">
        <v>574</v>
      </c>
      <c r="AY41" s="64" t="s" ph="1">
        <v>216</v>
      </c>
      <c r="AZ41" s="64" t="s" ph="1">
        <v>573</v>
      </c>
    </row>
    <row r="42" spans="1:57" ph="1">
      <c r="P42" s="64"/>
      <c r="Q42" s="64"/>
      <c r="R42" s="64"/>
      <c r="S42" s="64"/>
      <c r="T42" s="64"/>
      <c r="U42" s="64"/>
      <c r="V42" s="64"/>
      <c r="W42" s="64"/>
      <c r="X42" s="64"/>
      <c r="Y42" s="64"/>
      <c r="Z42" s="64"/>
      <c r="AA42" s="64"/>
      <c r="AB42" s="64"/>
      <c r="AC42" s="64"/>
      <c r="AD42" s="64"/>
      <c r="AE42" s="75"/>
      <c r="AH42" s="64" ph="1">
        <v>5</v>
      </c>
      <c r="AI42" s="64" t="s" ph="1">
        <v>369</v>
      </c>
      <c r="AY42" s="64" t="s" ph="1">
        <v>216</v>
      </c>
      <c r="AZ42" s="64" t="s" ph="1">
        <v>367</v>
      </c>
    </row>
    <row r="43" spans="1:57" ph="1">
      <c r="C43" s="64"/>
      <c r="D43" s="64"/>
      <c r="E43" s="64"/>
      <c r="F43" s="64"/>
      <c r="G43" s="64"/>
      <c r="H43" s="64"/>
      <c r="I43" s="64"/>
      <c r="J43" s="64"/>
      <c r="K43" s="64"/>
      <c r="L43" s="64"/>
      <c r="M43" s="64"/>
      <c r="N43" s="64"/>
      <c r="O43" s="64"/>
      <c r="P43" s="64"/>
      <c r="R43" s="64"/>
      <c r="S43" s="64"/>
      <c r="T43" s="64"/>
      <c r="U43" s="64"/>
      <c r="V43" s="64"/>
      <c r="W43" s="64"/>
      <c r="X43" s="64"/>
      <c r="Y43" s="64"/>
      <c r="Z43" s="64"/>
      <c r="AA43" s="64"/>
      <c r="AB43" s="64"/>
      <c r="AC43" s="64"/>
      <c r="AD43" s="64"/>
      <c r="AE43" s="75"/>
      <c r="AH43" s="64" ph="1">
        <v>6</v>
      </c>
      <c r="AI43" s="64" t="s" ph="1">
        <v>370</v>
      </c>
      <c r="AY43" s="64" t="s" ph="1">
        <v>216</v>
      </c>
      <c r="AZ43" s="64" t="s" ph="1">
        <v>367</v>
      </c>
    </row>
    <row r="44" spans="1:57" ph="1">
      <c r="R44" s="64"/>
      <c r="S44" s="64"/>
      <c r="T44" s="64"/>
      <c r="U44" s="64"/>
      <c r="V44" s="64"/>
      <c r="W44" s="64"/>
      <c r="X44" s="64"/>
      <c r="Y44" s="64"/>
      <c r="Z44" s="64"/>
      <c r="AA44" s="64"/>
      <c r="AB44" s="64"/>
      <c r="AC44" s="64"/>
      <c r="AD44" s="64"/>
      <c r="AE44" s="75"/>
      <c r="AH44" s="64" ph="1">
        <v>7</v>
      </c>
      <c r="AI44" s="64" t="s" ph="1">
        <v>371</v>
      </c>
      <c r="AV44" s="64" t="s" ph="1">
        <v>217</v>
      </c>
      <c r="AY44" s="64" t="s" ph="1">
        <v>216</v>
      </c>
      <c r="AZ44" s="64" t="s" ph="1">
        <v>367</v>
      </c>
    </row>
    <row r="45" spans="1:57" ph="1">
      <c r="R45" s="64"/>
      <c r="S45" s="64"/>
      <c r="T45" s="64"/>
      <c r="U45" s="64"/>
      <c r="V45" s="64"/>
      <c r="W45" s="64"/>
      <c r="X45" s="64"/>
      <c r="Y45" s="64"/>
      <c r="Z45" s="64"/>
      <c r="AA45" s="64"/>
      <c r="AB45" s="64"/>
      <c r="AC45" s="64"/>
      <c r="AD45" s="64"/>
      <c r="AE45" s="75"/>
      <c r="AH45" s="64" ph="1">
        <v>8</v>
      </c>
      <c r="AI45" s="64" t="s" ph="1">
        <v>372</v>
      </c>
      <c r="AV45" s="64" t="s" ph="1">
        <v>217</v>
      </c>
      <c r="AY45" s="64" t="s" ph="1">
        <v>216</v>
      </c>
      <c r="AZ45" s="64" t="s" ph="1">
        <v>367</v>
      </c>
    </row>
    <row r="46" spans="1:57" ph="1">
      <c r="R46" s="64"/>
      <c r="S46" s="64"/>
      <c r="T46" s="64"/>
      <c r="U46" s="64"/>
      <c r="V46" s="64"/>
      <c r="W46" s="64"/>
      <c r="X46" s="64"/>
      <c r="Y46" s="64"/>
      <c r="Z46" s="64"/>
      <c r="AA46" s="64"/>
      <c r="AB46" s="64"/>
      <c r="AC46" s="64"/>
      <c r="AD46" s="64"/>
      <c r="AE46" s="75"/>
      <c r="AH46" s="64" ph="1">
        <v>9</v>
      </c>
      <c r="AI46" s="64" t="s" ph="1">
        <v>373</v>
      </c>
      <c r="AV46" s="64" t="s" ph="1">
        <v>217</v>
      </c>
      <c r="AY46" s="64" t="s" ph="1">
        <v>216</v>
      </c>
      <c r="AZ46" s="64" t="s" ph="1">
        <v>367</v>
      </c>
    </row>
    <row r="47" spans="1:57" ph="1">
      <c r="R47" s="64"/>
      <c r="S47" s="64"/>
      <c r="T47" s="64"/>
      <c r="U47" s="64"/>
      <c r="V47" s="64"/>
      <c r="W47" s="64"/>
      <c r="X47" s="64"/>
      <c r="Y47" s="64"/>
      <c r="Z47" s="64"/>
      <c r="AA47" s="64"/>
      <c r="AB47" s="64"/>
      <c r="AC47" s="64"/>
      <c r="AD47" s="64"/>
      <c r="AE47" s="75"/>
      <c r="AH47" s="64" ph="1">
        <v>10</v>
      </c>
      <c r="AI47" s="64" t="s" ph="1">
        <v>374</v>
      </c>
      <c r="AV47" s="64" t="s" ph="1">
        <v>217</v>
      </c>
      <c r="AY47" s="64" t="s" ph="1">
        <v>216</v>
      </c>
      <c r="AZ47" s="64" t="s" ph="1">
        <v>367</v>
      </c>
    </row>
    <row r="48" spans="1:57" ph="1">
      <c r="R48" s="64"/>
      <c r="S48" s="64"/>
      <c r="T48" s="64"/>
      <c r="U48" s="64"/>
      <c r="V48" s="64"/>
      <c r="W48" s="64"/>
      <c r="X48" s="64"/>
      <c r="Y48" s="64"/>
      <c r="Z48" s="64"/>
      <c r="AA48" s="64"/>
      <c r="AB48" s="64"/>
      <c r="AC48" s="64"/>
      <c r="AD48" s="64"/>
      <c r="AE48" s="75"/>
      <c r="AZ48" s="64" t="s" ph="1">
        <v>575</v>
      </c>
    </row>
    <row r="49" spans="16:52" ph="1">
      <c r="R49" s="64"/>
      <c r="S49" s="64"/>
      <c r="T49" s="64"/>
      <c r="U49" s="64"/>
      <c r="V49" s="64"/>
      <c r="W49" s="64"/>
      <c r="X49" s="64"/>
      <c r="Y49" s="64"/>
      <c r="Z49" s="64"/>
      <c r="AA49" s="64"/>
      <c r="AB49" s="64"/>
      <c r="AC49" s="64"/>
      <c r="AD49" s="64"/>
      <c r="AE49" s="75"/>
      <c r="AG49" s="64" t="s" ph="1">
        <v>232</v>
      </c>
      <c r="AI49" s="64" t="s" ph="1">
        <v>209</v>
      </c>
      <c r="AJ49" s="64" t="s" ph="1">
        <v>210</v>
      </c>
      <c r="AK49" s="64" t="s" ph="1">
        <v>211</v>
      </c>
      <c r="AM49" s="64" t="s" ph="1">
        <v>210</v>
      </c>
      <c r="AN49" s="64" t="s" ph="1">
        <v>211</v>
      </c>
      <c r="AO49" s="64" t="s" ph="1">
        <v>212</v>
      </c>
      <c r="AP49" s="64" t="s" ph="1">
        <v>210</v>
      </c>
      <c r="AQ49" s="64" t="s" ph="1">
        <v>211</v>
      </c>
      <c r="AR49" s="64" t="s" ph="1">
        <v>212</v>
      </c>
      <c r="AS49" s="64" t="s" ph="1">
        <v>210</v>
      </c>
      <c r="AT49" s="64" t="s" ph="1">
        <v>211</v>
      </c>
      <c r="AU49" s="64" t="s" ph="1">
        <v>212</v>
      </c>
      <c r="AV49" s="64" t="s" ph="1">
        <v>210</v>
      </c>
      <c r="AW49" s="64" t="s" ph="1">
        <v>211</v>
      </c>
      <c r="AX49" s="64" t="s" ph="1">
        <v>212</v>
      </c>
      <c r="AY49" s="64" t="s" ph="1">
        <v>211</v>
      </c>
      <c r="AZ49" s="64" t="s" ph="1">
        <v>213</v>
      </c>
    </row>
    <row r="50" spans="16:52" ph="1">
      <c r="R50" s="64"/>
      <c r="S50" s="64"/>
      <c r="T50" s="64"/>
      <c r="U50" s="64"/>
      <c r="V50" s="64"/>
      <c r="W50" s="64"/>
      <c r="X50" s="64"/>
      <c r="Y50" s="64"/>
      <c r="Z50" s="64"/>
      <c r="AA50" s="64"/>
      <c r="AB50" s="64"/>
      <c r="AC50" s="64"/>
      <c r="AD50" s="64"/>
      <c r="AE50" s="75"/>
      <c r="AH50" s="64" ph="1">
        <v>1</v>
      </c>
      <c r="AI50" s="64" t="s" ph="1">
        <v>375</v>
      </c>
      <c r="AY50" s="64" t="s" ph="1">
        <v>216</v>
      </c>
      <c r="AZ50" s="64" t="s" ph="1">
        <v>367</v>
      </c>
    </row>
    <row r="51" spans="16:52" ph="1">
      <c r="R51" s="64"/>
      <c r="S51" s="64"/>
      <c r="T51" s="64"/>
      <c r="U51" s="64"/>
      <c r="V51" s="64"/>
      <c r="W51" s="64"/>
      <c r="X51" s="64"/>
      <c r="Y51" s="64"/>
      <c r="Z51" s="64"/>
      <c r="AA51" s="64"/>
      <c r="AB51" s="64"/>
      <c r="AC51" s="64"/>
      <c r="AD51" s="64"/>
      <c r="AE51" s="75"/>
      <c r="AH51" s="64" ph="1">
        <v>2</v>
      </c>
      <c r="AI51" s="64" t="s" ph="1">
        <v>376</v>
      </c>
      <c r="AY51" s="64" t="s" ph="1">
        <v>216</v>
      </c>
      <c r="AZ51" s="64" t="s" ph="1">
        <v>367</v>
      </c>
    </row>
    <row r="52" spans="16:52" ph="1">
      <c r="R52" s="64"/>
      <c r="S52" s="64"/>
      <c r="T52" s="64"/>
      <c r="U52" s="64"/>
      <c r="V52" s="64"/>
      <c r="W52" s="64"/>
      <c r="X52" s="64"/>
      <c r="Y52" s="64"/>
      <c r="Z52" s="64"/>
      <c r="AA52" s="64"/>
      <c r="AB52" s="64"/>
      <c r="AC52" s="64"/>
      <c r="AD52" s="64"/>
      <c r="AE52" s="75"/>
      <c r="AH52" s="64" ph="1">
        <v>3</v>
      </c>
      <c r="AI52" s="64" t="s" ph="1">
        <v>377</v>
      </c>
      <c r="AJ52" s="64" t="s" ph="1">
        <v>334</v>
      </c>
      <c r="AK52" s="64" t="s" ph="1">
        <v>228</v>
      </c>
      <c r="AM52" s="64" t="s" ph="1">
        <v>336</v>
      </c>
      <c r="AN52" s="64" t="s" ph="1">
        <v>300</v>
      </c>
      <c r="AO52" s="64" t="s" ph="1">
        <v>233</v>
      </c>
      <c r="AP52" s="64" t="s" ph="1">
        <v>570</v>
      </c>
      <c r="AQ52" s="64" t="s" ph="1">
        <v>282</v>
      </c>
      <c r="AR52" s="64" t="s" ph="1">
        <v>233</v>
      </c>
      <c r="AY52" s="64" t="s" ph="1">
        <v>216</v>
      </c>
      <c r="AZ52" s="64" t="s" ph="1">
        <v>576</v>
      </c>
    </row>
    <row r="53" spans="16:52" ph="1">
      <c r="R53" s="64"/>
      <c r="S53" s="64"/>
      <c r="T53" s="64"/>
      <c r="U53" s="64"/>
      <c r="W53" s="64"/>
      <c r="X53" s="64"/>
      <c r="Y53" s="64"/>
      <c r="Z53" s="64"/>
      <c r="AA53" s="64"/>
      <c r="AB53" s="64"/>
      <c r="AC53" s="64"/>
      <c r="AD53" s="64"/>
      <c r="AH53" s="64" ph="1">
        <v>4</v>
      </c>
      <c r="AI53" s="64" t="s" ph="1">
        <v>378</v>
      </c>
      <c r="AY53" s="64" t="s" ph="1">
        <v>216</v>
      </c>
      <c r="AZ53" s="64" t="s" ph="1">
        <v>367</v>
      </c>
    </row>
    <row r="54" spans="16:52" ph="1">
      <c r="R54" s="64"/>
      <c r="S54" s="64"/>
      <c r="T54" s="64"/>
      <c r="U54" s="64"/>
      <c r="W54" s="64"/>
      <c r="X54" s="64"/>
      <c r="Y54" s="64"/>
      <c r="Z54" s="64"/>
      <c r="AA54" s="64"/>
      <c r="AC54" s="64"/>
      <c r="AD54" s="64"/>
      <c r="AH54" s="64" ph="1">
        <v>5</v>
      </c>
      <c r="AI54" s="64" t="s" ph="1">
        <v>379</v>
      </c>
      <c r="AJ54" s="64" t="s" ph="1">
        <v>334</v>
      </c>
      <c r="AK54" s="64" t="s" ph="1">
        <v>219</v>
      </c>
      <c r="AM54" s="64" t="s" ph="1">
        <v>336</v>
      </c>
      <c r="AN54" s="64" t="s" ph="1">
        <v>224</v>
      </c>
      <c r="AO54" s="64" t="s" ph="1">
        <v>233</v>
      </c>
      <c r="AP54" s="64" t="s" ph="1">
        <v>570</v>
      </c>
      <c r="AQ54" s="64" t="s" ph="1">
        <v>240</v>
      </c>
      <c r="AR54" s="64" t="s" ph="1">
        <v>233</v>
      </c>
      <c r="AY54" s="64" t="s" ph="1">
        <v>216</v>
      </c>
      <c r="AZ54" s="64" t="s" ph="1">
        <v>234</v>
      </c>
    </row>
    <row r="55" spans="16:52" ph="1">
      <c r="R55" s="64"/>
      <c r="S55" s="64"/>
      <c r="T55" s="64"/>
      <c r="U55" s="64"/>
      <c r="V55" s="64"/>
      <c r="W55" s="64"/>
      <c r="X55" s="64"/>
      <c r="Z55" s="64"/>
      <c r="AC55" s="64"/>
      <c r="AD55" s="64"/>
      <c r="AE55" s="75"/>
      <c r="AH55" s="64" ph="1">
        <v>6</v>
      </c>
      <c r="AI55" s="64" t="s" ph="1">
        <v>380</v>
      </c>
      <c r="AY55" s="64" t="s" ph="1">
        <v>216</v>
      </c>
      <c r="AZ55" s="64" t="s" ph="1">
        <v>367</v>
      </c>
    </row>
    <row r="56" spans="16:52" ph="1">
      <c r="P56" s="64" ph="1">
        <v>20260804</v>
      </c>
      <c r="R56" s="64"/>
      <c r="S56" s="64"/>
      <c r="T56" s="64"/>
      <c r="U56" s="64"/>
      <c r="V56" s="64"/>
      <c r="W56" s="64"/>
      <c r="X56" s="64"/>
      <c r="Z56" s="64"/>
      <c r="AA56" s="64"/>
      <c r="AB56" s="64"/>
      <c r="AC56" s="64"/>
      <c r="AD56" s="64"/>
      <c r="AE56" s="75"/>
      <c r="AH56" s="64" ph="1">
        <v>7</v>
      </c>
      <c r="AI56" s="64" t="s" ph="1">
        <v>381</v>
      </c>
      <c r="AY56" s="64" t="s" ph="1">
        <v>216</v>
      </c>
      <c r="AZ56" s="64" t="s" ph="1">
        <v>367</v>
      </c>
    </row>
    <row r="57" spans="16:52" ph="1">
      <c r="R57" s="64"/>
      <c r="S57" s="64"/>
      <c r="T57" s="64"/>
      <c r="U57" s="64"/>
      <c r="V57" s="64"/>
      <c r="W57" s="64"/>
      <c r="AA57" s="64"/>
      <c r="AB57" s="64"/>
      <c r="AC57" s="64"/>
      <c r="AD57" s="64"/>
      <c r="AE57" s="75"/>
      <c r="AH57" s="64" ph="1">
        <v>8</v>
      </c>
      <c r="AI57" s="64" t="s" ph="1">
        <v>382</v>
      </c>
      <c r="AY57" s="64" t="s" ph="1">
        <v>216</v>
      </c>
      <c r="AZ57" s="64" t="s" ph="1">
        <v>367</v>
      </c>
    </row>
    <row r="58" spans="16:52" ph="1">
      <c r="P58" s="64"/>
      <c r="AN58" s="64" t="s" ph="1">
        <v>217</v>
      </c>
      <c r="AZ58" s="64" t="s" ph="1">
        <v>577</v>
      </c>
    </row>
    <row r="59" spans="16:52" ph="1">
      <c r="V59" s="64"/>
      <c r="AG59" s="64" t="s" ph="1">
        <v>235</v>
      </c>
      <c r="AI59" s="64" t="s" ph="1">
        <v>209</v>
      </c>
      <c r="AJ59" s="64" t="s" ph="1">
        <v>210</v>
      </c>
      <c r="AK59" s="64" t="s" ph="1">
        <v>211</v>
      </c>
      <c r="AM59" s="64" t="s" ph="1">
        <v>210</v>
      </c>
      <c r="AN59" s="64" t="s" ph="1">
        <v>211</v>
      </c>
      <c r="AO59" s="64" t="s" ph="1">
        <v>212</v>
      </c>
      <c r="AP59" s="64" t="s" ph="1">
        <v>210</v>
      </c>
      <c r="AQ59" s="64" t="s" ph="1">
        <v>211</v>
      </c>
      <c r="AR59" s="64" t="s" ph="1">
        <v>212</v>
      </c>
      <c r="AS59" s="64" t="s" ph="1">
        <v>210</v>
      </c>
      <c r="AT59" s="64" t="s" ph="1">
        <v>211</v>
      </c>
      <c r="AU59" s="64" t="s" ph="1">
        <v>212</v>
      </c>
      <c r="AV59" s="64" t="s" ph="1">
        <v>210</v>
      </c>
      <c r="AW59" s="64" t="s" ph="1">
        <v>211</v>
      </c>
      <c r="AX59" s="64" t="s" ph="1">
        <v>212</v>
      </c>
      <c r="AY59" s="64" t="s" ph="1">
        <v>211</v>
      </c>
      <c r="AZ59" s="64" t="s" ph="1">
        <v>213</v>
      </c>
    </row>
    <row r="60" spans="16:52" ph="1">
      <c r="R60" s="64"/>
      <c r="S60" s="64"/>
      <c r="T60" s="64"/>
      <c r="AH60" s="64" ph="1">
        <v>1</v>
      </c>
      <c r="AI60" s="64" t="s" ph="1">
        <v>383</v>
      </c>
      <c r="AY60" s="64" t="s" ph="1">
        <v>216</v>
      </c>
      <c r="AZ60" s="64" t="s" ph="1">
        <v>367</v>
      </c>
    </row>
    <row r="61" spans="16:52" ph="1">
      <c r="AH61" s="64" ph="1">
        <v>2</v>
      </c>
      <c r="AI61" s="64" t="s" ph="1">
        <v>384</v>
      </c>
      <c r="AS61" s="64" t="s" ph="1">
        <v>217</v>
      </c>
      <c r="AY61" s="64" t="s" ph="1">
        <v>216</v>
      </c>
      <c r="AZ61" s="64" t="s" ph="1">
        <v>367</v>
      </c>
    </row>
    <row r="62" spans="16:52" ph="1">
      <c r="AZ62" s="64" t="s" ph="1">
        <v>385</v>
      </c>
    </row>
    <row r="63" spans="16:52" ph="1">
      <c r="AG63" s="64" t="s" ph="1">
        <v>238</v>
      </c>
      <c r="AI63" s="64" t="s" ph="1">
        <v>209</v>
      </c>
      <c r="AJ63" s="64" t="s" ph="1">
        <v>210</v>
      </c>
      <c r="AK63" s="64" t="s" ph="1">
        <v>211</v>
      </c>
      <c r="AM63" s="64" t="s" ph="1">
        <v>210</v>
      </c>
      <c r="AN63" s="64" t="s" ph="1">
        <v>211</v>
      </c>
      <c r="AO63" s="64" t="s" ph="1">
        <v>212</v>
      </c>
      <c r="AP63" s="64" t="s" ph="1">
        <v>210</v>
      </c>
      <c r="AQ63" s="64" t="s" ph="1">
        <v>211</v>
      </c>
      <c r="AR63" s="64" t="s" ph="1">
        <v>212</v>
      </c>
      <c r="AS63" s="64" t="s" ph="1">
        <v>210</v>
      </c>
      <c r="AT63" s="64" t="s" ph="1">
        <v>211</v>
      </c>
      <c r="AU63" s="64" t="s" ph="1">
        <v>212</v>
      </c>
      <c r="AV63" s="64" t="s" ph="1">
        <v>210</v>
      </c>
      <c r="AW63" s="64" t="s" ph="1">
        <v>211</v>
      </c>
      <c r="AX63" s="64" t="s" ph="1">
        <v>212</v>
      </c>
      <c r="AY63" s="64" t="s" ph="1">
        <v>211</v>
      </c>
      <c r="AZ63" s="64" t="s" ph="1">
        <v>213</v>
      </c>
    </row>
    <row r="64" spans="16:52" ph="1">
      <c r="AH64" s="64" ph="1">
        <v>1</v>
      </c>
      <c r="AI64" s="64" t="s" ph="1">
        <v>386</v>
      </c>
      <c r="AJ64" s="64" t="s" ph="1">
        <v>387</v>
      </c>
      <c r="AK64" s="64" t="s" ph="1">
        <v>388</v>
      </c>
      <c r="AY64" s="64" t="s" ph="1">
        <v>216</v>
      </c>
      <c r="AZ64" s="64" t="s" ph="1">
        <v>388</v>
      </c>
    </row>
    <row r="65" spans="33:52" ph="1">
      <c r="AH65" s="64" ph="1">
        <v>2</v>
      </c>
      <c r="AI65" s="64" t="s" ph="1">
        <v>389</v>
      </c>
      <c r="AY65" s="64" t="s" ph="1">
        <v>216</v>
      </c>
      <c r="AZ65" s="64" t="s" ph="1">
        <v>367</v>
      </c>
    </row>
    <row r="66" spans="33:52" ph="1">
      <c r="AH66" s="64" ph="1">
        <v>3</v>
      </c>
      <c r="AI66" s="64" t="s" ph="1">
        <v>390</v>
      </c>
      <c r="AY66" s="64" t="s" ph="1">
        <v>216</v>
      </c>
      <c r="AZ66" s="64" t="s" ph="1">
        <v>367</v>
      </c>
    </row>
    <row r="67" spans="33:52" ph="1">
      <c r="AH67" s="64" ph="1">
        <v>4</v>
      </c>
      <c r="AI67" s="64" t="s" ph="1">
        <v>391</v>
      </c>
      <c r="AY67" s="64" t="s" ph="1">
        <v>216</v>
      </c>
      <c r="AZ67" s="64" t="s" ph="1">
        <v>367</v>
      </c>
    </row>
    <row r="68" spans="33:52" ph="1">
      <c r="AH68" s="64" ph="1">
        <v>5</v>
      </c>
      <c r="AI68" s="64" t="s" ph="1">
        <v>392</v>
      </c>
      <c r="AY68" s="64" t="s" ph="1">
        <v>216</v>
      </c>
      <c r="AZ68" s="64" t="s" ph="1">
        <v>367</v>
      </c>
    </row>
    <row r="69" spans="33:52" ph="1">
      <c r="AH69" s="64" ph="1">
        <v>6</v>
      </c>
      <c r="AI69" s="64" t="s" ph="1">
        <v>393</v>
      </c>
      <c r="AY69" s="64" t="s" ph="1">
        <v>216</v>
      </c>
      <c r="AZ69" s="64" t="s" ph="1">
        <v>367</v>
      </c>
    </row>
    <row r="70" spans="33:52" ph="1">
      <c r="AI70" s="64" t="s" ph="1">
        <v>394</v>
      </c>
      <c r="AY70" s="64" t="s" ph="1">
        <v>216</v>
      </c>
      <c r="AZ70" s="64" t="s" ph="1">
        <v>367</v>
      </c>
    </row>
    <row r="71" spans="33:52" ph="1">
      <c r="AH71" s="64" ph="1">
        <v>7</v>
      </c>
      <c r="AI71" s="64" t="s" ph="1">
        <v>395</v>
      </c>
      <c r="AJ71" s="64" t="s" ph="1">
        <v>334</v>
      </c>
      <c r="AK71" s="64" t="s" ph="1">
        <v>228</v>
      </c>
      <c r="AM71" s="64" t="s" ph="1">
        <v>336</v>
      </c>
      <c r="AN71" s="64" t="s" ph="1">
        <v>228</v>
      </c>
      <c r="AO71" s="64" t="s" ph="1">
        <v>396</v>
      </c>
      <c r="AP71" s="64" t="s" ph="1">
        <v>570</v>
      </c>
      <c r="AQ71" s="64" t="s" ph="1">
        <v>219</v>
      </c>
      <c r="AR71" s="64" t="s" ph="1">
        <v>396</v>
      </c>
      <c r="AY71" s="64" t="s" ph="1">
        <v>216</v>
      </c>
      <c r="AZ71" s="64" t="s" ph="1">
        <v>578</v>
      </c>
    </row>
    <row r="72" spans="33:52" ph="1">
      <c r="AZ72" s="64" t="s" ph="1">
        <v>579</v>
      </c>
    </row>
    <row r="73" spans="33:52" ph="1">
      <c r="AG73" s="64" t="s" ph="1">
        <v>241</v>
      </c>
      <c r="AI73" s="64" t="s" ph="1">
        <v>209</v>
      </c>
      <c r="AJ73" s="64" t="s" ph="1">
        <v>210</v>
      </c>
      <c r="AK73" s="64" t="s" ph="1">
        <v>211</v>
      </c>
      <c r="AM73" s="64" t="s" ph="1">
        <v>210</v>
      </c>
      <c r="AN73" s="64" t="s" ph="1">
        <v>211</v>
      </c>
      <c r="AO73" s="64" t="s" ph="1">
        <v>212</v>
      </c>
      <c r="AP73" s="64" t="s" ph="1">
        <v>210</v>
      </c>
      <c r="AQ73" s="64" t="s" ph="1">
        <v>211</v>
      </c>
      <c r="AR73" s="64" t="s" ph="1">
        <v>212</v>
      </c>
      <c r="AS73" s="64" t="s" ph="1">
        <v>210</v>
      </c>
      <c r="AT73" s="64" t="s" ph="1">
        <v>211</v>
      </c>
      <c r="AU73" s="64" t="s" ph="1">
        <v>212</v>
      </c>
      <c r="AV73" s="64" t="s" ph="1">
        <v>210</v>
      </c>
      <c r="AW73" s="64" t="s" ph="1">
        <v>211</v>
      </c>
      <c r="AX73" s="64" t="s" ph="1">
        <v>212</v>
      </c>
      <c r="AY73" s="64" t="s" ph="1">
        <v>211</v>
      </c>
      <c r="AZ73" s="64" t="s" ph="1">
        <v>213</v>
      </c>
    </row>
    <row r="74" spans="33:52" ph="1">
      <c r="AH74" s="64" ph="1">
        <v>1</v>
      </c>
      <c r="AI74" s="64" t="s" ph="1">
        <v>397</v>
      </c>
      <c r="AJ74" s="64" t="s" ph="1">
        <v>242</v>
      </c>
      <c r="AK74" s="64" t="s" ph="1">
        <v>224</v>
      </c>
      <c r="AM74" s="64" t="s" ph="1">
        <v>244</v>
      </c>
      <c r="AN74" s="64" t="s" ph="1">
        <v>254</v>
      </c>
      <c r="AO74" s="64" t="s" ph="1">
        <v>243</v>
      </c>
      <c r="AP74" s="64" t="s" ph="1">
        <v>245</v>
      </c>
      <c r="AQ74" s="64" t="s" ph="1">
        <v>222</v>
      </c>
      <c r="AR74" s="64" t="s" ph="1">
        <v>243</v>
      </c>
      <c r="AS74" s="64" t="s" ph="1">
        <v>215</v>
      </c>
      <c r="AT74" s="64" t="s" ph="1">
        <v>217</v>
      </c>
      <c r="AV74" s="64" t="s" ph="1">
        <v>398</v>
      </c>
      <c r="AW74" s="64" t="s" ph="1">
        <v>399</v>
      </c>
      <c r="AX74" s="64" t="s" ph="1">
        <v>400</v>
      </c>
      <c r="AY74" s="64" t="s" ph="1">
        <v>216</v>
      </c>
      <c r="AZ74" s="64" t="s" ph="1">
        <v>401</v>
      </c>
    </row>
    <row r="75" spans="33:52" ph="1">
      <c r="AJ75" s="64" t="s" ph="1">
        <v>247</v>
      </c>
      <c r="AK75" s="64" t="s" ph="1">
        <v>300</v>
      </c>
      <c r="AM75" s="64" t="s" ph="1">
        <v>245</v>
      </c>
      <c r="AN75" s="64" t="s" ph="1">
        <v>225</v>
      </c>
      <c r="AO75" s="64" t="s" ph="1">
        <v>243</v>
      </c>
      <c r="AS75" s="64" t="s" ph="1">
        <v>215</v>
      </c>
      <c r="AT75" s="64" t="s" ph="1">
        <v>246</v>
      </c>
    </row>
    <row r="76" spans="33:52" ph="1">
      <c r="AJ76" s="64" t="s" ph="1">
        <v>247</v>
      </c>
      <c r="AK76" s="64" t="s" ph="1">
        <v>240</v>
      </c>
      <c r="AM76" s="64" t="s" ph="1">
        <v>245</v>
      </c>
      <c r="AN76" s="64" t="s" ph="1">
        <v>228</v>
      </c>
      <c r="AO76" s="64" t="s" ph="1">
        <v>243</v>
      </c>
      <c r="AS76" s="64" t="s" ph="1">
        <v>215</v>
      </c>
      <c r="AT76" s="64" t="s" ph="1">
        <v>246</v>
      </c>
    </row>
    <row r="77" spans="33:52" ph="1">
      <c r="AJ77" s="64" t="s" ph="1">
        <v>283</v>
      </c>
      <c r="AK77" s="64" t="s" ph="1">
        <v>240</v>
      </c>
      <c r="AM77" s="64" t="s" ph="1">
        <v>284</v>
      </c>
      <c r="AN77" s="64" t="s" ph="1">
        <v>223</v>
      </c>
      <c r="AO77" s="64" t="s" ph="1">
        <v>243</v>
      </c>
      <c r="AS77" s="64" t="s" ph="1">
        <v>215</v>
      </c>
      <c r="AT77" s="64" t="s" ph="1">
        <v>285</v>
      </c>
    </row>
    <row r="78" spans="33:52" ph="1">
      <c r="AH78" s="64" ph="1">
        <v>2</v>
      </c>
      <c r="AI78" s="64" t="s" ph="1">
        <v>249</v>
      </c>
      <c r="AJ78" s="64" t="s" ph="1">
        <v>250</v>
      </c>
      <c r="AK78" s="64" t="s" ph="1">
        <v>219</v>
      </c>
      <c r="AM78" s="64" t="s" ph="1">
        <v>251</v>
      </c>
      <c r="AN78" s="64" t="s" ph="1">
        <v>254</v>
      </c>
      <c r="AO78" s="64" t="s" ph="1">
        <v>243</v>
      </c>
      <c r="AP78" s="64" t="s" ph="1">
        <v>252</v>
      </c>
      <c r="AQ78" s="64" t="s" ph="1">
        <v>298</v>
      </c>
      <c r="AR78" s="64" t="s" ph="1">
        <v>243</v>
      </c>
      <c r="AS78" s="64" t="s" ph="1">
        <v>253</v>
      </c>
      <c r="AT78" s="64" t="s" ph="1">
        <v>254</v>
      </c>
      <c r="AU78" s="64" t="s" ph="1">
        <v>243</v>
      </c>
      <c r="AV78" s="64" t="s" ph="1">
        <v>255</v>
      </c>
      <c r="AW78" s="64" t="s" ph="1">
        <v>243</v>
      </c>
      <c r="AY78" s="64" t="s" ph="1">
        <v>216</v>
      </c>
      <c r="AZ78" s="64" t="s" ph="1">
        <v>402</v>
      </c>
    </row>
    <row r="79" spans="33:52" ph="1">
      <c r="AJ79" s="64" t="s" ph="1">
        <v>245</v>
      </c>
      <c r="AK79" s="64" t="s" ph="1">
        <v>256</v>
      </c>
      <c r="AM79" s="64" t="s" ph="1">
        <v>257</v>
      </c>
      <c r="AN79" s="64" t="s" ph="1">
        <v>225</v>
      </c>
      <c r="AO79" s="64" t="s" ph="1">
        <v>243</v>
      </c>
      <c r="AP79" s="64" t="s" ph="1">
        <v>258</v>
      </c>
      <c r="AQ79" s="64" t="s" ph="1">
        <v>223</v>
      </c>
      <c r="AR79" s="64" t="s" ph="1">
        <v>259</v>
      </c>
      <c r="AS79" s="64" t="s" ph="1">
        <v>215</v>
      </c>
      <c r="AT79" s="64" t="s" ph="1">
        <v>260</v>
      </c>
      <c r="AV79" s="64" t="s" ph="1">
        <v>403</v>
      </c>
      <c r="AW79" s="64" t="s" ph="1">
        <v>302</v>
      </c>
      <c r="AX79" s="64" t="s" ph="1">
        <v>400</v>
      </c>
    </row>
    <row r="80" spans="33:52" ph="1">
      <c r="AH80" s="64" ph="1">
        <v>3</v>
      </c>
      <c r="AI80" s="64" t="s" ph="1">
        <v>261</v>
      </c>
      <c r="AJ80" s="64" t="s" ph="1">
        <v>262</v>
      </c>
      <c r="AK80" s="64" t="s" ph="1">
        <v>263</v>
      </c>
      <c r="AM80" s="64" t="s" ph="1">
        <v>264</v>
      </c>
      <c r="AN80" s="64" t="s" ph="1">
        <v>254</v>
      </c>
      <c r="AO80" s="64" t="s" ph="1">
        <v>243</v>
      </c>
      <c r="AP80" s="64" t="s" ph="1">
        <v>265</v>
      </c>
      <c r="AQ80" s="64" t="s" ph="1">
        <v>228</v>
      </c>
      <c r="AR80" s="64" t="s" ph="1">
        <v>243</v>
      </c>
      <c r="AS80" s="64" t="s" ph="1">
        <v>266</v>
      </c>
      <c r="AT80" s="64" t="s" ph="1">
        <v>227</v>
      </c>
      <c r="AU80" s="64" t="s" ph="1">
        <v>243</v>
      </c>
      <c r="AV80" s="64" t="s" ph="1">
        <v>267</v>
      </c>
      <c r="AW80" s="64" t="s" ph="1">
        <v>243</v>
      </c>
      <c r="AY80" s="64" t="s" ph="1">
        <v>216</v>
      </c>
      <c r="AZ80" s="64" t="s" ph="1">
        <v>404</v>
      </c>
    </row>
    <row r="81" spans="34:52" ph="1">
      <c r="AJ81" s="64" t="s" ph="1">
        <v>268</v>
      </c>
      <c r="AK81" s="64" t="s" ph="1">
        <v>222</v>
      </c>
      <c r="AM81" s="64" t="s" ph="1">
        <v>269</v>
      </c>
      <c r="AN81" s="64" t="s" ph="1">
        <v>225</v>
      </c>
      <c r="AO81" s="64" t="s" ph="1">
        <v>243</v>
      </c>
      <c r="AP81" s="64" t="s" ph="1">
        <v>270</v>
      </c>
      <c r="AQ81" s="64" t="s" ph="1">
        <v>254</v>
      </c>
      <c r="AR81" s="64" t="s" ph="1">
        <v>243</v>
      </c>
      <c r="AS81" s="64" t="s" ph="1">
        <v>271</v>
      </c>
      <c r="AT81" s="64" t="s" ph="1">
        <v>272</v>
      </c>
      <c r="AU81" s="64" t="s" ph="1">
        <v>243</v>
      </c>
      <c r="AV81" s="64" t="s" ph="1">
        <v>273</v>
      </c>
    </row>
    <row r="82" spans="34:52" ph="1">
      <c r="AJ82" s="64" t="s" ph="1">
        <v>274</v>
      </c>
      <c r="AK82" s="64" t="s" ph="1">
        <v>222</v>
      </c>
      <c r="AM82" s="64" t="s" ph="1">
        <v>275</v>
      </c>
      <c r="AN82" s="64" t="s" ph="1">
        <v>272</v>
      </c>
      <c r="AO82" s="64" t="s" ph="1">
        <v>276</v>
      </c>
      <c r="AP82" s="64" t="s" ph="1">
        <v>277</v>
      </c>
      <c r="AQ82" s="64" t="s" ph="1">
        <v>254</v>
      </c>
      <c r="AR82" s="64" t="s" ph="1">
        <v>243</v>
      </c>
      <c r="AS82" s="64" t="s" ph="1">
        <v>278</v>
      </c>
      <c r="AT82" s="64" t="s" ph="1">
        <v>229</v>
      </c>
      <c r="AU82" s="64" t="s" ph="1">
        <v>243</v>
      </c>
      <c r="AV82" s="64" t="s" ph="1">
        <v>403</v>
      </c>
      <c r="AW82" s="64" t="s" ph="1">
        <v>303</v>
      </c>
      <c r="AX82" s="64" t="s" ph="1">
        <v>400</v>
      </c>
    </row>
    <row r="83" spans="34:52" ph="1">
      <c r="AJ83" s="64" t="s" ph="1">
        <v>279</v>
      </c>
      <c r="AK83" s="64" t="s" ph="1">
        <v>296</v>
      </c>
      <c r="AM83" s="64" t="s" ph="1">
        <v>280</v>
      </c>
      <c r="AN83" s="64" t="s" ph="1">
        <v>228</v>
      </c>
      <c r="AO83" s="64" t="s" ph="1">
        <v>259</v>
      </c>
      <c r="AP83" s="64" t="s" ph="1">
        <v>281</v>
      </c>
      <c r="AQ83" s="64" t="s" ph="1">
        <v>282</v>
      </c>
      <c r="AR83" s="64" t="s" ph="1">
        <v>259</v>
      </c>
      <c r="AS83" s="64" t="s" ph="1">
        <v>405</v>
      </c>
      <c r="AT83" s="64" t="s" ph="1">
        <v>254</v>
      </c>
      <c r="AU83" s="64" t="s" ph="1">
        <v>259</v>
      </c>
      <c r="AV83" s="64" t="s" ph="1">
        <v>406</v>
      </c>
      <c r="AW83" s="64" t="s" ph="1">
        <v>303</v>
      </c>
      <c r="AX83" s="64" t="s" ph="1">
        <v>407</v>
      </c>
    </row>
    <row r="84" spans="34:52" ph="1">
      <c r="AH84" s="64" ph="1">
        <v>4</v>
      </c>
      <c r="AI84" s="64" t="s" ph="1">
        <v>286</v>
      </c>
      <c r="AJ84" s="64" t="s" ph="1">
        <v>226</v>
      </c>
      <c r="AK84" s="64" t="s" ph="1">
        <v>229</v>
      </c>
      <c r="AM84" s="64" t="s" ph="1">
        <v>230</v>
      </c>
      <c r="AN84" s="64" t="s" ph="1">
        <v>223</v>
      </c>
      <c r="AO84" s="64" t="s" ph="1">
        <v>259</v>
      </c>
      <c r="AP84" s="64" t="s" ph="1">
        <v>288</v>
      </c>
      <c r="AQ84" s="64" t="s" ph="1">
        <v>222</v>
      </c>
      <c r="AR84" s="64" t="s" ph="1">
        <v>259</v>
      </c>
      <c r="AS84" s="64" t="s" ph="1">
        <v>288</v>
      </c>
      <c r="AT84" s="64" t="s" ph="1">
        <v>224</v>
      </c>
      <c r="AU84" s="64" t="s" ph="1">
        <v>259</v>
      </c>
      <c r="AY84" s="64" t="s" ph="1">
        <v>216</v>
      </c>
      <c r="AZ84" s="64" t="s" ph="1">
        <v>408</v>
      </c>
    </row>
    <row r="85" spans="34:52" ph="1">
      <c r="AJ85" s="64" t="s" ph="1">
        <v>218</v>
      </c>
      <c r="AK85" s="64" t="s" ph="1">
        <v>222</v>
      </c>
      <c r="AM85" s="64" t="s" ph="1">
        <v>409</v>
      </c>
      <c r="AN85" s="64" t="s" ph="1">
        <v>229</v>
      </c>
      <c r="AO85" s="64" t="s" ph="1">
        <v>259</v>
      </c>
      <c r="AP85" s="64" t="s" ph="1">
        <v>410</v>
      </c>
      <c r="AQ85" s="64" t="s" ph="1">
        <v>225</v>
      </c>
      <c r="AR85" s="64" t="s" ph="1">
        <v>259</v>
      </c>
      <c r="AS85" s="64" t="s" ph="1">
        <v>411</v>
      </c>
      <c r="AT85" s="64" t="s" ph="1">
        <v>225</v>
      </c>
      <c r="AU85" s="64" t="s" ph="1">
        <v>259</v>
      </c>
    </row>
    <row r="86" spans="34:52" ph="1">
      <c r="AJ86" s="64" t="s" ph="1">
        <v>412</v>
      </c>
      <c r="AK86" s="64" t="s" ph="1">
        <v>231</v>
      </c>
      <c r="AM86" s="64" t="s" ph="1">
        <v>413</v>
      </c>
      <c r="AN86" s="64" t="s" ph="1">
        <v>272</v>
      </c>
      <c r="AO86" s="64" t="s" ph="1">
        <v>259</v>
      </c>
      <c r="AP86" s="64" t="s" ph="1">
        <v>414</v>
      </c>
      <c r="AQ86" s="64" t="s" ph="1">
        <v>219</v>
      </c>
      <c r="AR86" s="64" t="s" ph="1">
        <v>259</v>
      </c>
      <c r="AS86" s="64" t="s" ph="1">
        <v>415</v>
      </c>
      <c r="AT86" s="64" t="s" ph="1">
        <v>237</v>
      </c>
      <c r="AU86" s="64" t="s" ph="1">
        <v>259</v>
      </c>
    </row>
    <row r="87" spans="34:52" ph="1">
      <c r="AJ87" s="64" t="s" ph="1">
        <v>416</v>
      </c>
      <c r="AK87" s="64" t="s" ph="1">
        <v>272</v>
      </c>
      <c r="AM87" s="64" t="s" ph="1">
        <v>403</v>
      </c>
      <c r="AN87" s="64" t="s" ph="1">
        <v>417</v>
      </c>
      <c r="AO87" s="64" t="s" ph="1">
        <v>400</v>
      </c>
    </row>
    <row r="88" spans="34:52" ph="1">
      <c r="AH88" s="64" ph="1">
        <v>5</v>
      </c>
      <c r="AI88" s="64" t="s" ph="1">
        <v>289</v>
      </c>
      <c r="AJ88" s="64" t="s" ph="1">
        <v>418</v>
      </c>
      <c r="AK88" s="64" t="s" ph="1">
        <v>272</v>
      </c>
      <c r="AM88" s="64" t="s" ph="1">
        <v>419</v>
      </c>
      <c r="AN88" s="64" t="s" ph="1">
        <v>272</v>
      </c>
      <c r="AO88" s="64" t="s" ph="1">
        <v>259</v>
      </c>
      <c r="AP88" s="64" t="s" ph="1">
        <v>420</v>
      </c>
      <c r="AQ88" s="64" t="s" ph="1">
        <v>222</v>
      </c>
      <c r="AR88" s="64" t="s" ph="1">
        <v>259</v>
      </c>
      <c r="AS88" s="64" t="s" ph="1">
        <v>421</v>
      </c>
      <c r="AT88" s="64" t="s" ph="1">
        <v>272</v>
      </c>
      <c r="AU88" s="64" t="s" ph="1">
        <v>259</v>
      </c>
      <c r="AV88" s="64" t="s" ph="1">
        <v>422</v>
      </c>
      <c r="AW88" s="64" t="s" ph="1">
        <v>227</v>
      </c>
      <c r="AX88" s="64" t="s" ph="1">
        <v>259</v>
      </c>
      <c r="AY88" s="64" t="s" ph="1">
        <v>216</v>
      </c>
      <c r="AZ88" s="64" t="s" ph="1">
        <v>423</v>
      </c>
    </row>
    <row r="89" spans="34:52" ph="1">
      <c r="AJ89" s="64" t="s" ph="1">
        <v>424</v>
      </c>
      <c r="AK89" s="64" t="s" ph="1">
        <v>225</v>
      </c>
      <c r="AM89" s="64" t="s" ph="1">
        <v>425</v>
      </c>
      <c r="AN89" s="64" t="s" ph="1">
        <v>228</v>
      </c>
      <c r="AO89" s="64" t="s" ph="1">
        <v>259</v>
      </c>
      <c r="AP89" s="64" t="s" ph="1">
        <v>426</v>
      </c>
      <c r="AQ89" s="64" t="s" ph="1">
        <v>237</v>
      </c>
      <c r="AR89" s="64" t="s" ph="1">
        <v>259</v>
      </c>
      <c r="AS89" s="64" t="s" ph="1">
        <v>427</v>
      </c>
      <c r="AT89" s="64" t="s" ph="1">
        <v>272</v>
      </c>
      <c r="AU89" s="64" t="s" ph="1">
        <v>259</v>
      </c>
      <c r="AV89" s="64" t="s" ph="1">
        <v>428</v>
      </c>
      <c r="AW89" s="64" t="s" ph="1">
        <v>254</v>
      </c>
      <c r="AX89" s="64" t="s" ph="1">
        <v>287</v>
      </c>
    </row>
    <row r="90" spans="34:52" ph="1">
      <c r="AJ90" s="64" t="s" ph="1">
        <v>429</v>
      </c>
      <c r="AK90" s="64" t="s" ph="1">
        <v>228</v>
      </c>
      <c r="AM90" s="64" t="s" ph="1">
        <v>430</v>
      </c>
      <c r="AN90" s="64" t="s" ph="1">
        <v>225</v>
      </c>
      <c r="AO90" s="64" t="s" ph="1">
        <v>259</v>
      </c>
      <c r="AP90" s="64" t="s" ph="1">
        <v>431</v>
      </c>
      <c r="AQ90" s="64" t="s" ph="1">
        <v>294</v>
      </c>
      <c r="AR90" s="64" t="s" ph="1">
        <v>259</v>
      </c>
      <c r="AS90" s="64" t="s" ph="1">
        <v>432</v>
      </c>
      <c r="AT90" s="64" t="s" ph="1">
        <v>282</v>
      </c>
      <c r="AU90" s="64" t="s" ph="1">
        <v>259</v>
      </c>
      <c r="AV90" s="64" t="s" ph="1">
        <v>433</v>
      </c>
      <c r="AW90" s="64" t="s" ph="1">
        <v>219</v>
      </c>
      <c r="AX90" s="64" t="s" ph="1">
        <v>259</v>
      </c>
    </row>
    <row r="91" spans="34:52" ph="1">
      <c r="AJ91" s="64" t="s" ph="1">
        <v>434</v>
      </c>
      <c r="AK91" s="64" t="s" ph="1">
        <v>272</v>
      </c>
      <c r="AM91" s="64" t="s" ph="1">
        <v>435</v>
      </c>
      <c r="AN91" s="64" t="s" ph="1">
        <v>239</v>
      </c>
      <c r="AO91" s="64" t="s" ph="1">
        <v>259</v>
      </c>
      <c r="AP91" s="64" t="s" ph="1">
        <v>436</v>
      </c>
      <c r="AQ91" s="64" t="s" ph="1">
        <v>219</v>
      </c>
      <c r="AS91" s="64" t="s" ph="1">
        <v>403</v>
      </c>
      <c r="AT91" s="64" t="s" ph="1">
        <v>399</v>
      </c>
      <c r="AU91" s="64" t="s" ph="1">
        <v>400</v>
      </c>
    </row>
    <row r="92" spans="34:52" ph="1">
      <c r="AH92" s="64" ph="1">
        <v>6</v>
      </c>
      <c r="AI92" s="64" t="s" ph="1">
        <v>437</v>
      </c>
      <c r="AJ92" s="64" t="s" ph="1">
        <v>438</v>
      </c>
      <c r="AK92" s="64" t="s" ph="1">
        <v>367</v>
      </c>
      <c r="AM92" s="64" t="s" ph="1">
        <v>439</v>
      </c>
      <c r="AN92" s="64" t="s" ph="1">
        <v>227</v>
      </c>
      <c r="AO92" s="64" t="s" ph="1">
        <v>259</v>
      </c>
      <c r="AP92" s="64" t="s" ph="1">
        <v>440</v>
      </c>
      <c r="AQ92" s="64" t="s" ph="1">
        <v>299</v>
      </c>
      <c r="AR92" s="64" t="s" ph="1">
        <v>259</v>
      </c>
      <c r="AS92" s="64" t="s" ph="1">
        <v>441</v>
      </c>
      <c r="AT92" s="64" t="s" ph="1">
        <v>272</v>
      </c>
      <c r="AU92" s="64" t="s" ph="1">
        <v>259</v>
      </c>
      <c r="AV92" s="64" t="s" ph="1">
        <v>442</v>
      </c>
      <c r="AW92" s="64" t="s" ph="1">
        <v>228</v>
      </c>
      <c r="AX92" s="64" t="s" ph="1">
        <v>259</v>
      </c>
      <c r="AY92" s="64" t="s" ph="1">
        <v>216</v>
      </c>
      <c r="AZ92" s="64" t="s" ph="1">
        <v>423</v>
      </c>
    </row>
    <row r="93" spans="34:52" ph="1">
      <c r="AJ93" s="64" t="s" ph="1">
        <v>443</v>
      </c>
      <c r="AK93" s="64" t="s" ph="1">
        <v>222</v>
      </c>
      <c r="AM93" s="64" t="s" ph="1">
        <v>444</v>
      </c>
      <c r="AN93" s="64" t="s" ph="1">
        <v>227</v>
      </c>
      <c r="AO93" s="64" t="s" ph="1">
        <v>259</v>
      </c>
      <c r="AP93" s="64" t="s" ph="1">
        <v>445</v>
      </c>
      <c r="AQ93" s="64" t="s" ph="1">
        <v>231</v>
      </c>
      <c r="AR93" s="64" t="s" ph="1">
        <v>259</v>
      </c>
      <c r="AS93" s="64" t="s" ph="1">
        <v>446</v>
      </c>
      <c r="AT93" s="64" t="s" ph="1">
        <v>237</v>
      </c>
      <c r="AU93" s="64" t="s" ph="1">
        <v>259</v>
      </c>
      <c r="AV93" s="64" t="s" ph="1">
        <v>447</v>
      </c>
      <c r="AW93" s="64" t="s" ph="1">
        <v>231</v>
      </c>
      <c r="AX93" s="64" t="s" ph="1">
        <v>259</v>
      </c>
    </row>
    <row r="94" spans="34:52" ph="1">
      <c r="AJ94" s="64" t="s" ph="1">
        <v>448</v>
      </c>
      <c r="AK94" s="64" t="s" ph="1">
        <v>294</v>
      </c>
      <c r="AM94" s="64" t="s" ph="1">
        <v>449</v>
      </c>
      <c r="AN94" s="64" t="s" ph="1">
        <v>231</v>
      </c>
      <c r="AO94" s="64" t="s" ph="1">
        <v>259</v>
      </c>
      <c r="AP94" s="64" t="s" ph="1">
        <v>450</v>
      </c>
      <c r="AQ94" s="64" t="s" ph="1">
        <v>239</v>
      </c>
      <c r="AR94" s="64" t="s" ph="1">
        <v>259</v>
      </c>
      <c r="AS94" s="64" t="s" ph="1">
        <v>451</v>
      </c>
      <c r="AT94" s="64" t="s" ph="1">
        <v>225</v>
      </c>
      <c r="AU94" s="64" t="s" ph="1">
        <v>259</v>
      </c>
      <c r="AV94" s="64" t="s" ph="1">
        <v>452</v>
      </c>
      <c r="AW94" s="64" t="s" ph="1">
        <v>225</v>
      </c>
      <c r="AX94" s="64" t="s" ph="1">
        <v>259</v>
      </c>
    </row>
    <row r="95" spans="34:52" ph="1">
      <c r="AJ95" s="64" t="s" ph="1">
        <v>453</v>
      </c>
      <c r="AK95" s="64" t="s" ph="1">
        <v>299</v>
      </c>
    </row>
    <row r="96" spans="34:52" ph="1">
      <c r="AH96" s="64" ph="1">
        <v>7</v>
      </c>
      <c r="AI96" s="64" t="s" ph="1">
        <v>454</v>
      </c>
      <c r="AJ96" s="64" t="s" ph="1">
        <v>453</v>
      </c>
      <c r="AK96" s="64" t="s" ph="1">
        <v>254</v>
      </c>
      <c r="AM96" s="64" t="s" ph="1">
        <v>455</v>
      </c>
      <c r="AN96" s="64" t="s" ph="1">
        <v>228</v>
      </c>
      <c r="AO96" s="64" t="s" ph="1">
        <v>259</v>
      </c>
      <c r="AP96" s="64" t="s" ph="1">
        <v>456</v>
      </c>
      <c r="AQ96" s="64" t="s" ph="1">
        <v>272</v>
      </c>
      <c r="AR96" s="64" t="s" ph="1">
        <v>287</v>
      </c>
      <c r="AS96" s="64" t="s" ph="1">
        <v>457</v>
      </c>
      <c r="AT96" s="64" t="s" ph="1">
        <v>231</v>
      </c>
      <c r="AU96" s="64" t="s" ph="1">
        <v>287</v>
      </c>
      <c r="AV96" s="64" t="s" ph="1">
        <v>458</v>
      </c>
      <c r="AW96" s="64" t="s" ph="1">
        <v>227</v>
      </c>
      <c r="AX96" s="64" t="s" ph="1">
        <v>287</v>
      </c>
      <c r="AY96" s="64" t="s" ph="1">
        <v>216</v>
      </c>
      <c r="AZ96" s="64" t="s" ph="1">
        <v>459</v>
      </c>
    </row>
    <row r="97" spans="33:52" ph="1">
      <c r="AJ97" s="64" t="s" ph="1">
        <v>460</v>
      </c>
      <c r="AK97" s="64" t="s" ph="1">
        <v>282</v>
      </c>
      <c r="AM97" s="64" t="s" ph="1">
        <v>461</v>
      </c>
      <c r="AN97" s="64" t="s" ph="1">
        <v>225</v>
      </c>
      <c r="AO97" s="64" t="s" ph="1">
        <v>259</v>
      </c>
      <c r="AP97" s="64" t="s" ph="1">
        <v>462</v>
      </c>
      <c r="AQ97" s="64" t="s" ph="1">
        <v>219</v>
      </c>
      <c r="AR97" s="64" t="s" ph="1">
        <v>287</v>
      </c>
      <c r="AS97" s="64" t="s" ph="1">
        <v>463</v>
      </c>
      <c r="AT97" s="64" t="s" ph="1">
        <v>222</v>
      </c>
      <c r="AU97" s="64" t="s" ph="1">
        <v>287</v>
      </c>
      <c r="AV97" s="64" t="s" ph="1">
        <v>464</v>
      </c>
      <c r="AW97" s="64" t="s" ph="1">
        <v>228</v>
      </c>
      <c r="AX97" s="64" t="s" ph="1">
        <v>287</v>
      </c>
    </row>
    <row r="98" spans="33:52" ph="1">
      <c r="AJ98" s="64" t="s" ph="1">
        <v>465</v>
      </c>
      <c r="AK98" s="64" t="s" ph="1">
        <v>231</v>
      </c>
      <c r="AM98" s="64" t="s" ph="1">
        <v>466</v>
      </c>
      <c r="AN98" s="64" t="s" ph="1">
        <v>239</v>
      </c>
      <c r="AO98" s="64" t="s" ph="1">
        <v>259</v>
      </c>
      <c r="AP98" s="64" t="s" ph="1">
        <v>467</v>
      </c>
      <c r="AQ98" s="64" t="s" ph="1">
        <v>219</v>
      </c>
      <c r="AR98" s="64" t="s" ph="1">
        <v>287</v>
      </c>
      <c r="AS98" s="64" t="s" ph="1">
        <v>468</v>
      </c>
      <c r="AT98" s="64" t="s" ph="1">
        <v>299</v>
      </c>
      <c r="AU98" s="64" t="s" ph="1">
        <v>287</v>
      </c>
      <c r="AV98" s="64" t="s" ph="1">
        <v>469</v>
      </c>
      <c r="AW98" s="64" t="s" ph="1">
        <v>222</v>
      </c>
      <c r="AX98" s="64" t="s" ph="1">
        <v>287</v>
      </c>
    </row>
    <row r="99" spans="33:52" ph="1">
      <c r="AH99" s="64" ph="1">
        <v>8</v>
      </c>
      <c r="AI99" s="64" t="s" ph="1">
        <v>470</v>
      </c>
      <c r="AJ99" s="64" t="s" ph="1">
        <v>471</v>
      </c>
      <c r="AK99" s="64" t="s" ph="1">
        <v>367</v>
      </c>
      <c r="AM99" s="64" t="s" ph="1">
        <v>472</v>
      </c>
      <c r="AN99" s="64" t="s" ph="1">
        <v>254</v>
      </c>
      <c r="AO99" s="64" t="s" ph="1">
        <v>259</v>
      </c>
      <c r="AP99" s="64" t="s" ph="1">
        <v>473</v>
      </c>
      <c r="AQ99" s="64" t="s" ph="1">
        <v>224</v>
      </c>
      <c r="AR99" s="64" t="s" ph="1">
        <v>287</v>
      </c>
      <c r="AS99" s="64" t="s" ph="1">
        <v>474</v>
      </c>
      <c r="AT99" s="64" t="s" ph="1">
        <v>239</v>
      </c>
      <c r="AU99" s="64" t="s" ph="1">
        <v>287</v>
      </c>
      <c r="AV99" s="64" t="s" ph="1">
        <v>475</v>
      </c>
      <c r="AW99" s="64" t="s" ph="1">
        <v>224</v>
      </c>
      <c r="AX99" s="64" t="s" ph="1">
        <v>287</v>
      </c>
      <c r="AY99" s="64" t="s" ph="1">
        <v>216</v>
      </c>
      <c r="AZ99" s="64" t="s" ph="1">
        <v>476</v>
      </c>
    </row>
    <row r="100" spans="33:52" ph="1">
      <c r="AJ100" s="64" t="s" ph="1">
        <v>477</v>
      </c>
      <c r="AK100" s="64" t="s" ph="1">
        <v>222</v>
      </c>
      <c r="AM100" s="64" t="s" ph="1">
        <v>478</v>
      </c>
      <c r="AN100" s="64" t="s" ph="1">
        <v>294</v>
      </c>
      <c r="AO100" s="64" t="s" ph="1">
        <v>259</v>
      </c>
      <c r="AP100" s="64" t="s" ph="1">
        <v>479</v>
      </c>
      <c r="AQ100" s="64" t="s" ph="1">
        <v>300</v>
      </c>
      <c r="AR100" s="64" t="s" ph="1">
        <v>287</v>
      </c>
      <c r="AS100" s="64" t="s" ph="1">
        <v>480</v>
      </c>
      <c r="AT100" s="64" t="s" ph="1">
        <v>367</v>
      </c>
      <c r="AU100" s="64" t="s" ph="1">
        <v>259</v>
      </c>
      <c r="AV100" s="64" t="s" ph="1">
        <v>481</v>
      </c>
      <c r="AW100" s="64" t="s" ph="1">
        <v>367</v>
      </c>
      <c r="AX100" s="64" t="s" ph="1">
        <v>259</v>
      </c>
    </row>
    <row r="101" spans="33:52" ph="1">
      <c r="AJ101" s="64" t="s" ph="1">
        <v>482</v>
      </c>
      <c r="AK101" s="64" t="s" ph="1">
        <v>367</v>
      </c>
      <c r="AM101" s="64" t="s" ph="1">
        <v>483</v>
      </c>
      <c r="AN101" s="64" t="s" ph="1">
        <v>225</v>
      </c>
      <c r="AO101" s="64" t="s" ph="1">
        <v>259</v>
      </c>
      <c r="AP101" s="64" t="s" ph="1">
        <v>484</v>
      </c>
      <c r="AQ101" s="64" t="s" ph="1">
        <v>237</v>
      </c>
      <c r="AR101" s="64" t="s" ph="1">
        <v>287</v>
      </c>
      <c r="AS101" s="64" t="s" ph="1">
        <v>485</v>
      </c>
      <c r="AT101" s="64" t="s" ph="1">
        <v>294</v>
      </c>
      <c r="AU101" s="64" t="s" ph="1">
        <v>287</v>
      </c>
      <c r="AV101" s="64" t="s" ph="1">
        <v>486</v>
      </c>
      <c r="AW101" s="64" t="s" ph="1">
        <v>225</v>
      </c>
      <c r="AX101" s="64" t="s" ph="1">
        <v>259</v>
      </c>
    </row>
    <row r="102" spans="33:52" ph="1">
      <c r="AJ102" s="64" t="s" ph="1">
        <v>487</v>
      </c>
      <c r="AK102" s="64" t="s" ph="1">
        <v>222</v>
      </c>
      <c r="AM102" s="64" t="s" ph="1">
        <v>488</v>
      </c>
      <c r="AN102" s="64" t="s" ph="1">
        <v>231</v>
      </c>
      <c r="AO102" s="64" t="s" ph="1">
        <v>259</v>
      </c>
      <c r="AP102" s="64" t="s" ph="1">
        <v>489</v>
      </c>
      <c r="AQ102" s="64" t="s" ph="1">
        <v>237</v>
      </c>
      <c r="AR102" s="64" t="s" ph="1">
        <v>259</v>
      </c>
      <c r="AS102" s="64" t="s" ph="1">
        <v>490</v>
      </c>
      <c r="AT102" s="64" t="s" ph="1">
        <v>254</v>
      </c>
      <c r="AU102" s="64" t="s" ph="1">
        <v>259</v>
      </c>
      <c r="AV102" s="64" t="s" ph="1">
        <v>491</v>
      </c>
      <c r="AW102" s="64" t="s" ph="1">
        <v>272</v>
      </c>
      <c r="AX102" s="64" t="s" ph="1">
        <v>259</v>
      </c>
    </row>
    <row r="103" spans="33:52" ph="1">
      <c r="AH103" s="64" ph="1">
        <v>9</v>
      </c>
      <c r="AI103" s="64" t="s" ph="1">
        <v>492</v>
      </c>
      <c r="AJ103" s="64" t="s" ph="1">
        <v>493</v>
      </c>
      <c r="AK103" s="64" t="s" ph="1">
        <v>367</v>
      </c>
      <c r="AM103" s="64" t="s" ph="1">
        <v>494</v>
      </c>
      <c r="AN103" s="64" t="s" ph="1">
        <v>282</v>
      </c>
      <c r="AO103" s="64" t="s" ph="1">
        <v>259</v>
      </c>
      <c r="AP103" s="64" t="s" ph="1">
        <v>336</v>
      </c>
      <c r="AQ103" s="64" t="s" ph="1">
        <v>225</v>
      </c>
      <c r="AR103" s="64" t="s" ph="1">
        <v>259</v>
      </c>
      <c r="AS103" s="64" t="s" ph="1">
        <v>570</v>
      </c>
      <c r="AT103" s="64" t="s" ph="1">
        <v>367</v>
      </c>
      <c r="AU103" s="64" t="s" ph="1">
        <v>259</v>
      </c>
      <c r="AY103" s="64" t="s" ph="1">
        <v>216</v>
      </c>
      <c r="AZ103" s="64" t="s" ph="1">
        <v>224</v>
      </c>
    </row>
    <row r="104" spans="33:52" ph="1">
      <c r="AZ104" s="64" t="s" ph="1">
        <v>495</v>
      </c>
    </row>
    <row r="105" spans="33:52" ph="1">
      <c r="AG105" s="64" t="s" ph="1">
        <v>295</v>
      </c>
      <c r="AI105" s="64" t="s" ph="1">
        <v>209</v>
      </c>
      <c r="AJ105" s="64" t="s" ph="1">
        <v>210</v>
      </c>
      <c r="AK105" s="64" t="s" ph="1">
        <v>211</v>
      </c>
      <c r="AM105" s="64" t="s" ph="1">
        <v>210</v>
      </c>
      <c r="AN105" s="64" t="s" ph="1">
        <v>211</v>
      </c>
      <c r="AO105" s="64" t="s" ph="1">
        <v>212</v>
      </c>
      <c r="AP105" s="64" t="s" ph="1">
        <v>210</v>
      </c>
      <c r="AQ105" s="64" t="s" ph="1">
        <v>211</v>
      </c>
      <c r="AR105" s="64" t="s" ph="1">
        <v>212</v>
      </c>
      <c r="AS105" s="64" t="s" ph="1">
        <v>210</v>
      </c>
      <c r="AT105" s="64" t="s" ph="1">
        <v>211</v>
      </c>
      <c r="AU105" s="64" t="s" ph="1">
        <v>212</v>
      </c>
      <c r="AV105" s="64" t="s" ph="1">
        <v>210</v>
      </c>
      <c r="AW105" s="64" t="s" ph="1">
        <v>211</v>
      </c>
      <c r="AX105" s="64" t="s" ph="1">
        <v>212</v>
      </c>
      <c r="AZ105" s="64" t="s" ph="1">
        <v>213</v>
      </c>
    </row>
    <row r="106" spans="33:52" ph="1">
      <c r="AH106" s="64" ph="1">
        <v>1</v>
      </c>
      <c r="AI106" s="64" t="s" ph="1">
        <v>496</v>
      </c>
      <c r="AJ106" s="64" t="s" ph="1">
        <v>570</v>
      </c>
      <c r="AK106" s="64" t="s" ph="1">
        <v>231</v>
      </c>
      <c r="AZ106" s="64" t="s" ph="1">
        <v>231</v>
      </c>
    </row>
    <row r="107" spans="33:52" ph="1">
      <c r="AH107" s="64" ph="1">
        <v>2</v>
      </c>
      <c r="AI107" s="64" t="s" ph="1">
        <v>497</v>
      </c>
      <c r="AJ107" s="64" t="s" ph="1">
        <v>498</v>
      </c>
      <c r="AK107" s="64" t="s" ph="1">
        <v>228</v>
      </c>
      <c r="AM107" s="64" t="s" ph="1">
        <v>334</v>
      </c>
      <c r="AN107" s="64" t="s" ph="1">
        <v>499</v>
      </c>
      <c r="AO107" s="64" t="s" ph="1">
        <v>500</v>
      </c>
      <c r="AP107" s="64" t="s" ph="1">
        <v>336</v>
      </c>
      <c r="AQ107" s="64" t="s" ph="1">
        <v>304</v>
      </c>
      <c r="AR107" s="64" t="s" ph="1">
        <v>500</v>
      </c>
      <c r="AS107" s="64" t="s" ph="1">
        <v>570</v>
      </c>
      <c r="AT107" s="64" t="s" ph="1">
        <v>499</v>
      </c>
      <c r="AU107" s="64" t="s" ph="1">
        <v>500</v>
      </c>
      <c r="AY107" s="64" t="s" ph="1">
        <v>216</v>
      </c>
      <c r="AZ107" s="64" t="s" ph="1">
        <v>580</v>
      </c>
    </row>
    <row r="108" spans="33:52" ph="1">
      <c r="AH108" s="64" ph="1">
        <v>3</v>
      </c>
      <c r="AI108" s="64" t="s" ph="1">
        <v>501</v>
      </c>
      <c r="AY108" s="64" t="s" ph="1">
        <v>216</v>
      </c>
      <c r="AZ108" s="64" t="s" ph="1">
        <v>367</v>
      </c>
    </row>
    <row r="109" spans="33:52" ph="1">
      <c r="AH109" s="64" ph="1">
        <v>4</v>
      </c>
      <c r="AI109" s="64" t="s" ph="1">
        <v>502</v>
      </c>
      <c r="AY109" s="64" t="s" ph="1">
        <v>216</v>
      </c>
      <c r="AZ109" s="64" t="s" ph="1">
        <v>367</v>
      </c>
    </row>
    <row r="110" spans="33:52" ph="1">
      <c r="AH110" s="64" ph="1">
        <v>5</v>
      </c>
      <c r="AI110" s="64" t="s" ph="1">
        <v>503</v>
      </c>
      <c r="AY110" s="64" t="s" ph="1">
        <v>216</v>
      </c>
      <c r="AZ110" s="64" t="s" ph="1">
        <v>367</v>
      </c>
    </row>
    <row r="111" spans="33:52" ph="1">
      <c r="AH111" s="64" ph="1">
        <v>6</v>
      </c>
      <c r="AI111" s="64" t="s" ph="1">
        <v>581</v>
      </c>
      <c r="AJ111" s="64" t="s" ph="1">
        <v>486</v>
      </c>
      <c r="AK111" s="64" t="s" ph="1">
        <v>225</v>
      </c>
      <c r="AM111" s="64" t="s" ph="1">
        <v>487</v>
      </c>
      <c r="AN111" s="64" t="s" ph="1">
        <v>219</v>
      </c>
      <c r="AO111" s="64" t="s" ph="1">
        <v>500</v>
      </c>
      <c r="AP111" s="64" t="s" ph="1">
        <v>488</v>
      </c>
      <c r="AQ111" s="64" t="s" ph="1">
        <v>228</v>
      </c>
      <c r="AR111" s="64" t="s" ph="1">
        <v>500</v>
      </c>
      <c r="AS111" s="64" t="s" ph="1">
        <v>489</v>
      </c>
      <c r="AT111" s="64" t="s" ph="1">
        <v>237</v>
      </c>
      <c r="AU111" s="64" t="s" ph="1">
        <v>500</v>
      </c>
      <c r="AV111" s="64" t="s" ph="1">
        <v>490</v>
      </c>
      <c r="AW111" s="64" t="s" ph="1">
        <v>227</v>
      </c>
      <c r="AX111" s="64" t="s" ph="1">
        <v>500</v>
      </c>
      <c r="AY111" s="64" t="s" ph="1">
        <v>216</v>
      </c>
      <c r="AZ111" s="64" t="s" ph="1">
        <v>504</v>
      </c>
    </row>
    <row r="112" spans="33:52" ph="1">
      <c r="AJ112" s="64" t="s" ph="1">
        <v>491</v>
      </c>
      <c r="AK112" s="64" t="s" ph="1">
        <v>272</v>
      </c>
      <c r="AM112" s="64" t="s" ph="1">
        <v>493</v>
      </c>
      <c r="AN112" s="64" t="s" ph="1">
        <v>296</v>
      </c>
      <c r="AO112" s="64" t="s" ph="1">
        <v>500</v>
      </c>
      <c r="AP112" s="64" t="s" ph="1">
        <v>494</v>
      </c>
      <c r="AQ112" s="64" t="s" ph="1">
        <v>505</v>
      </c>
      <c r="AR112" s="64" t="s" ph="1">
        <v>500</v>
      </c>
      <c r="AS112" s="64" t="s" ph="1">
        <v>506</v>
      </c>
      <c r="AT112" s="64" t="s" ph="1">
        <v>248</v>
      </c>
      <c r="AU112" s="64" t="s" ph="1">
        <v>500</v>
      </c>
      <c r="AV112" s="64" t="s" ph="1">
        <v>507</v>
      </c>
      <c r="AW112" s="64" t="s" ph="1">
        <v>294</v>
      </c>
      <c r="AX112" s="64" t="s" ph="1">
        <v>500</v>
      </c>
    </row>
    <row r="113" spans="33:52" ph="1">
      <c r="AH113" s="64" ph="1">
        <v>7</v>
      </c>
      <c r="AI113" s="64" t="s" ph="1">
        <v>508</v>
      </c>
      <c r="AJ113" s="64" t="s" ph="1">
        <v>589</v>
      </c>
      <c r="AK113" s="64" t="s" ph="1">
        <v>594</v>
      </c>
      <c r="AY113" s="64" t="s" ph="1">
        <v>216</v>
      </c>
      <c r="AZ113" s="64" t="s" ph="1">
        <v>594</v>
      </c>
    </row>
    <row r="114" spans="33:52" ph="1">
      <c r="AH114" s="64" ph="1">
        <v>8</v>
      </c>
      <c r="AI114" s="64" t="s" ph="1">
        <v>509</v>
      </c>
      <c r="AJ114" s="64" t="s" ph="1">
        <v>589</v>
      </c>
      <c r="AK114" s="64" t="s" ph="1">
        <v>595</v>
      </c>
      <c r="AY114" s="64" t="s" ph="1">
        <v>216</v>
      </c>
      <c r="AZ114" s="64" t="s" ph="1">
        <v>595</v>
      </c>
    </row>
    <row r="115" spans="33:52" ph="1">
      <c r="AH115" s="64" ph="1">
        <v>9</v>
      </c>
      <c r="AI115" s="64" t="s" ph="1">
        <v>510</v>
      </c>
      <c r="AJ115" s="64" t="s" ph="1">
        <v>589</v>
      </c>
      <c r="AK115" s="64" t="s" ph="1">
        <v>595</v>
      </c>
      <c r="AY115" s="64" t="s" ph="1">
        <v>216</v>
      </c>
      <c r="AZ115" s="64" t="s" ph="1">
        <v>595</v>
      </c>
    </row>
    <row r="116" spans="33:52" ph="1">
      <c r="AH116" s="64" ph="1">
        <v>10</v>
      </c>
      <c r="AI116" s="64" t="s" ph="1">
        <v>511</v>
      </c>
      <c r="AJ116" s="64" t="s" ph="1">
        <v>589</v>
      </c>
      <c r="AK116" s="64" t="s" ph="1">
        <v>595</v>
      </c>
      <c r="AY116" s="64" t="s" ph="1">
        <v>216</v>
      </c>
      <c r="AZ116" s="64" t="s" ph="1">
        <v>595</v>
      </c>
    </row>
    <row r="117" spans="33:52" ph="1">
      <c r="AH117" s="64" ph="1">
        <v>11</v>
      </c>
      <c r="AI117" s="64" t="s" ph="1">
        <v>512</v>
      </c>
      <c r="AJ117" s="64" t="s" ph="1">
        <v>589</v>
      </c>
      <c r="AK117" s="64" t="s" ph="1">
        <v>595</v>
      </c>
      <c r="AY117" s="64" t="s" ph="1">
        <v>216</v>
      </c>
      <c r="AZ117" s="64" t="s" ph="1">
        <v>595</v>
      </c>
    </row>
    <row r="118" spans="33:52" ph="1">
      <c r="AZ118" s="64" t="s" ph="1">
        <v>596</v>
      </c>
    </row>
    <row r="119" spans="33:52" ph="1">
      <c r="AI119" s="64" t="s" ph="1">
        <v>209</v>
      </c>
      <c r="AJ119" s="64" t="s" ph="1">
        <v>210</v>
      </c>
      <c r="AK119" s="64" t="s" ph="1">
        <v>211</v>
      </c>
      <c r="AM119" s="64" t="s" ph="1">
        <v>210</v>
      </c>
      <c r="AN119" s="64" t="s" ph="1">
        <v>211</v>
      </c>
      <c r="AO119" s="64" t="s" ph="1">
        <v>212</v>
      </c>
      <c r="AP119" s="64" t="s" ph="1">
        <v>210</v>
      </c>
      <c r="AQ119" s="64" t="s" ph="1">
        <v>211</v>
      </c>
      <c r="AR119" s="64" t="s" ph="1">
        <v>212</v>
      </c>
      <c r="AS119" s="64" t="s" ph="1">
        <v>210</v>
      </c>
      <c r="AT119" s="64" t="s" ph="1">
        <v>211</v>
      </c>
      <c r="AU119" s="64" t="s" ph="1">
        <v>212</v>
      </c>
      <c r="AV119" s="64" t="s" ph="1">
        <v>210</v>
      </c>
      <c r="AW119" s="64" t="s" ph="1">
        <v>211</v>
      </c>
      <c r="AX119" s="64" t="s" ph="1">
        <v>212</v>
      </c>
      <c r="AY119" s="64" t="s" ph="1">
        <v>211</v>
      </c>
      <c r="AZ119" s="64" t="s" ph="1">
        <v>213</v>
      </c>
    </row>
    <row r="120" spans="33:52" ph="1">
      <c r="AG120" s="64" t="s" ph="1">
        <v>353</v>
      </c>
      <c r="AH120" s="64" ph="1">
        <v>1</v>
      </c>
      <c r="AI120" s="64" t="s" ph="1">
        <v>513</v>
      </c>
      <c r="AJ120" s="64" t="s" ph="1">
        <v>587</v>
      </c>
      <c r="AK120" s="64" t="s" ph="1">
        <v>367</v>
      </c>
      <c r="AY120" s="64" t="s" ph="1">
        <v>216</v>
      </c>
      <c r="AZ120" s="64" t="s" ph="1">
        <v>367</v>
      </c>
    </row>
    <row r="121" spans="33:52" ph="1">
      <c r="AH121" s="64" ph="1">
        <v>2</v>
      </c>
      <c r="AI121" s="64" t="s" ph="1">
        <v>514</v>
      </c>
      <c r="AY121" s="64" t="s" ph="1">
        <v>216</v>
      </c>
      <c r="AZ121" s="64" t="s" ph="1">
        <v>367</v>
      </c>
    </row>
    <row r="122" spans="33:52" ph="1">
      <c r="AH122" s="64" ph="1">
        <v>3</v>
      </c>
      <c r="AI122" s="64" t="s" ph="1">
        <v>515</v>
      </c>
      <c r="AJ122" s="64" t="s" ph="1">
        <v>570</v>
      </c>
      <c r="AK122" s="64" t="s" ph="1">
        <v>582</v>
      </c>
      <c r="AM122" s="64" t="s" ph="1">
        <v>597</v>
      </c>
      <c r="AN122" s="64" t="s" ph="1">
        <v>590</v>
      </c>
      <c r="AO122" s="64" t="s" ph="1">
        <v>91</v>
      </c>
      <c r="AY122" s="64" t="s" ph="1">
        <v>216</v>
      </c>
      <c r="AZ122" s="64" t="s" ph="1">
        <v>579</v>
      </c>
    </row>
    <row r="123" spans="33:52" ph="1">
      <c r="AY123" s="64" t="s" ph="1">
        <v>216</v>
      </c>
      <c r="AZ123" s="64" t="s" ph="1">
        <v>579</v>
      </c>
    </row>
    <row r="124" spans="33:52" ph="1">
      <c r="AG124" s="64" t="s" ph="1">
        <v>356</v>
      </c>
      <c r="AH124" s="64" ph="1">
        <v>4</v>
      </c>
      <c r="AI124" s="64" t="s" ph="1">
        <v>516</v>
      </c>
      <c r="AJ124" s="64" t="s" ph="1">
        <v>517</v>
      </c>
      <c r="AK124" s="64" t="s" ph="1">
        <v>518</v>
      </c>
      <c r="AY124" s="64" t="s" ph="1">
        <v>216</v>
      </c>
      <c r="AZ124" s="64" t="s" ph="1">
        <v>518</v>
      </c>
    </row>
    <row r="125" spans="33:52" ph="1">
      <c r="AH125" s="64" ph="1">
        <v>5</v>
      </c>
      <c r="AI125" s="64" t="s" ph="1">
        <v>519</v>
      </c>
      <c r="AJ125" s="64" t="s" ph="1">
        <v>517</v>
      </c>
      <c r="AK125" s="64" t="s" ph="1">
        <v>518</v>
      </c>
      <c r="AY125" s="64" t="s" ph="1">
        <v>216</v>
      </c>
      <c r="AZ125" s="64" t="s" ph="1">
        <v>518</v>
      </c>
    </row>
    <row r="126" spans="33:52" ph="1">
      <c r="AH126" s="64" ph="1">
        <v>6</v>
      </c>
      <c r="AI126" s="64" t="s" ph="1">
        <v>520</v>
      </c>
      <c r="AJ126" s="64" t="s" ph="1">
        <v>589</v>
      </c>
      <c r="AK126" s="64" t="s" ph="1">
        <v>598</v>
      </c>
      <c r="AY126" s="64" t="s" ph="1">
        <v>216</v>
      </c>
      <c r="AZ126" s="64" t="s" ph="1">
        <v>598</v>
      </c>
    </row>
    <row r="127" spans="33:52" ph="1">
      <c r="AH127" s="64" ph="1">
        <v>7</v>
      </c>
      <c r="AI127" s="64" t="s" ph="1">
        <v>521</v>
      </c>
      <c r="AJ127" s="64" t="s" ph="1">
        <v>589</v>
      </c>
      <c r="AK127" s="64" t="s" ph="1">
        <v>599</v>
      </c>
      <c r="AY127" s="64" t="s" ph="1">
        <v>216</v>
      </c>
      <c r="AZ127" s="64" t="s" ph="1">
        <v>599</v>
      </c>
    </row>
    <row r="128" spans="33:52" ph="1">
      <c r="AH128" s="64" ph="1">
        <v>8</v>
      </c>
      <c r="AI128" s="64" t="s" ph="1">
        <v>522</v>
      </c>
      <c r="AY128" s="64" t="s" ph="1">
        <v>216</v>
      </c>
      <c r="AZ128" s="64" t="s" ph="1">
        <v>367</v>
      </c>
    </row>
    <row r="129" spans="33:52" ph="1">
      <c r="AH129" s="64" ph="1">
        <v>9</v>
      </c>
      <c r="AI129" s="64" t="s" ph="1">
        <v>523</v>
      </c>
      <c r="AY129" s="64" t="s" ph="1">
        <v>216</v>
      </c>
      <c r="AZ129" s="64" t="s" ph="1">
        <v>367</v>
      </c>
    </row>
    <row r="130" spans="33:52" ph="1">
      <c r="AH130" s="64" ph="1">
        <v>10</v>
      </c>
      <c r="AI130" s="64" t="s" ph="1">
        <v>524</v>
      </c>
      <c r="AY130" s="64" t="s" ph="1">
        <v>216</v>
      </c>
      <c r="AZ130" s="64" t="s" ph="1">
        <v>367</v>
      </c>
    </row>
    <row r="131" spans="33:52" ph="1">
      <c r="AH131" s="64" ph="1">
        <v>11</v>
      </c>
      <c r="AI131" s="64" t="s" ph="1">
        <v>525</v>
      </c>
      <c r="AJ131" s="64" t="s" ph="1">
        <v>583</v>
      </c>
      <c r="AK131" s="64" t="s" ph="1">
        <v>579</v>
      </c>
      <c r="AY131" s="64" t="s" ph="1">
        <v>216</v>
      </c>
      <c r="AZ131" s="64" t="s" ph="1">
        <v>579</v>
      </c>
    </row>
    <row r="132" spans="33:52" ph="1">
      <c r="AH132" s="64" ph="1">
        <v>12</v>
      </c>
      <c r="AI132" s="64" t="s" ph="1">
        <v>526</v>
      </c>
      <c r="AJ132" s="64" t="s" ph="1">
        <v>583</v>
      </c>
      <c r="AK132" s="64" t="s" ph="1">
        <v>518</v>
      </c>
      <c r="AY132" s="64" t="s" ph="1">
        <v>216</v>
      </c>
      <c r="AZ132" s="64" t="s" ph="1">
        <v>518</v>
      </c>
    </row>
    <row r="133" spans="33:52" ph="1">
      <c r="AH133" s="64" ph="1">
        <v>13</v>
      </c>
      <c r="AI133" s="64" t="s" ph="1">
        <v>527</v>
      </c>
      <c r="AJ133" s="64" t="s" ph="1">
        <v>583</v>
      </c>
      <c r="AK133" s="64" t="s" ph="1">
        <v>584</v>
      </c>
      <c r="AY133" s="64" t="s" ph="1">
        <v>216</v>
      </c>
      <c r="AZ133" s="64" t="s" ph="1">
        <v>584</v>
      </c>
    </row>
    <row r="134" spans="33:52" ph="1">
      <c r="AH134" s="64" ph="1">
        <v>14</v>
      </c>
      <c r="AI134" s="64" t="s" ph="1">
        <v>528</v>
      </c>
      <c r="AJ134" s="64" t="s" ph="1">
        <v>583</v>
      </c>
      <c r="AK134" s="64" t="s" ph="1">
        <v>585</v>
      </c>
      <c r="AY134" s="64" t="s" ph="1">
        <v>216</v>
      </c>
      <c r="AZ134" s="64" t="s" ph="1">
        <v>585</v>
      </c>
    </row>
    <row r="135" spans="33:52" ph="1">
      <c r="AH135" s="64" ph="1">
        <v>15</v>
      </c>
      <c r="AI135" s="64" t="s" ph="1">
        <v>529</v>
      </c>
      <c r="AJ135" s="64" t="s" ph="1">
        <v>583</v>
      </c>
      <c r="AK135" s="64" t="s" ph="1">
        <v>586</v>
      </c>
      <c r="AY135" s="64" t="s" ph="1">
        <v>216</v>
      </c>
      <c r="AZ135" s="64" t="s" ph="1">
        <v>586</v>
      </c>
    </row>
    <row r="136" spans="33:52" ph="1">
      <c r="AZ136" s="64" t="s" ph="1">
        <v>600</v>
      </c>
    </row>
    <row r="137" spans="33:52" ph="1">
      <c r="AG137" s="64" t="s" ph="1">
        <v>290</v>
      </c>
      <c r="AI137" s="64" t="s" ph="1">
        <v>209</v>
      </c>
      <c r="AJ137" s="64" t="s" ph="1">
        <v>210</v>
      </c>
      <c r="AK137" s="64" t="s" ph="1">
        <v>211</v>
      </c>
      <c r="AM137" s="64" t="s" ph="1">
        <v>210</v>
      </c>
      <c r="AN137" s="64" t="s" ph="1">
        <v>211</v>
      </c>
      <c r="AO137" s="64" t="s" ph="1">
        <v>212</v>
      </c>
      <c r="AP137" s="64" t="s" ph="1">
        <v>210</v>
      </c>
      <c r="AQ137" s="64" t="s" ph="1">
        <v>211</v>
      </c>
      <c r="AR137" s="64" t="s" ph="1">
        <v>212</v>
      </c>
      <c r="AS137" s="64" t="s" ph="1">
        <v>210</v>
      </c>
      <c r="AT137" s="64" t="s" ph="1">
        <v>211</v>
      </c>
      <c r="AU137" s="64" t="s" ph="1">
        <v>212</v>
      </c>
      <c r="AV137" s="64" t="s" ph="1">
        <v>210</v>
      </c>
      <c r="AW137" s="64" t="s" ph="1">
        <v>211</v>
      </c>
      <c r="AX137" s="64" t="s" ph="1">
        <v>212</v>
      </c>
      <c r="AY137" s="64" t="s" ph="1">
        <v>211</v>
      </c>
      <c r="AZ137" s="64" t="s" ph="1">
        <v>213</v>
      </c>
    </row>
    <row r="138" spans="33:52" ph="1">
      <c r="AH138" s="64" ph="1">
        <v>1</v>
      </c>
      <c r="AI138" s="64" t="s" ph="1">
        <v>530</v>
      </c>
      <c r="AJ138" s="64" t="s" ph="1">
        <v>531</v>
      </c>
      <c r="AK138" s="64" t="s" ph="1">
        <v>532</v>
      </c>
      <c r="AY138" s="64" t="s" ph="1">
        <v>216</v>
      </c>
      <c r="AZ138" s="64" t="s" ph="1">
        <v>532</v>
      </c>
    </row>
    <row r="139" spans="33:52" ph="1">
      <c r="AH139" s="64" ph="1">
        <v>2</v>
      </c>
      <c r="AI139" s="64" t="s" ph="1">
        <v>533</v>
      </c>
      <c r="AJ139" s="64" t="s" ph="1">
        <v>589</v>
      </c>
      <c r="AK139" s="64" t="s" ph="1">
        <v>601</v>
      </c>
      <c r="AY139" s="64" t="s" ph="1">
        <v>216</v>
      </c>
      <c r="AZ139" s="64" t="s" ph="1">
        <v>601</v>
      </c>
    </row>
    <row r="140" spans="33:52" ph="1">
      <c r="AH140" s="64" ph="1">
        <v>3</v>
      </c>
      <c r="AI140" s="64" t="s" ph="1">
        <v>534</v>
      </c>
      <c r="AJ140" s="64" t="s" ph="1">
        <v>487</v>
      </c>
      <c r="AK140" s="64" t="s" ph="1">
        <v>299</v>
      </c>
      <c r="AM140" s="64" t="s" ph="1">
        <v>488</v>
      </c>
      <c r="AN140" s="64" t="s" ph="1">
        <v>219</v>
      </c>
      <c r="AO140" s="64" t="s" ph="1">
        <v>535</v>
      </c>
      <c r="AP140" s="64" t="s" ph="1">
        <v>489</v>
      </c>
      <c r="AQ140" s="64" t="s" ph="1">
        <v>236</v>
      </c>
      <c r="AR140" s="64" t="s" ph="1">
        <v>535</v>
      </c>
      <c r="AS140" s="64" t="s" ph="1">
        <v>490</v>
      </c>
      <c r="AT140" s="64" t="s" ph="1">
        <v>229</v>
      </c>
      <c r="AU140" s="64" t="s" ph="1">
        <v>535</v>
      </c>
      <c r="AV140" s="64" t="s" ph="1">
        <v>491</v>
      </c>
      <c r="AW140" s="64" t="s" ph="1">
        <v>222</v>
      </c>
      <c r="AX140" s="64" t="s" ph="1">
        <v>535</v>
      </c>
      <c r="AY140" s="64" t="s" ph="1">
        <v>216</v>
      </c>
      <c r="AZ140" s="64" t="s" ph="1">
        <v>291</v>
      </c>
    </row>
    <row r="141" spans="33:52" ph="1">
      <c r="AJ141" s="64" t="s" ph="1">
        <v>493</v>
      </c>
      <c r="AK141" s="64" t="s" ph="1">
        <v>222</v>
      </c>
      <c r="AM141" s="64" t="s" ph="1">
        <v>494</v>
      </c>
      <c r="AN141" s="64" t="s" ph="1">
        <v>225</v>
      </c>
      <c r="AO141" s="64" t="s" ph="1">
        <v>535</v>
      </c>
      <c r="AP141" s="64" t="s" ph="1">
        <v>506</v>
      </c>
      <c r="AQ141" s="64" t="s" ph="1">
        <v>294</v>
      </c>
      <c r="AR141" s="64" t="s" ph="1">
        <v>535</v>
      </c>
      <c r="AS141" s="64" t="s" ph="1">
        <v>498</v>
      </c>
      <c r="AT141" s="64" t="s" ph="1">
        <v>222</v>
      </c>
      <c r="AU141" s="64" t="s" ph="1">
        <v>535</v>
      </c>
      <c r="AV141" s="64" t="s" ph="1">
        <v>334</v>
      </c>
      <c r="AW141" s="64" t="s" ph="1">
        <v>228</v>
      </c>
      <c r="AX141" s="64" t="s" ph="1">
        <v>535</v>
      </c>
    </row>
    <row r="142" spans="33:52" ph="1">
      <c r="AJ142" s="64" t="s" ph="1">
        <v>536</v>
      </c>
      <c r="AK142" s="64" t="s" ph="1">
        <v>239</v>
      </c>
    </row>
    <row r="143" spans="33:52" ph="1">
      <c r="AH143" s="64" ph="1">
        <v>4</v>
      </c>
      <c r="AI143" s="64" t="s" ph="1">
        <v>537</v>
      </c>
      <c r="AJ143" s="64" t="s" ph="1">
        <v>517</v>
      </c>
      <c r="AK143" s="64" t="s" ph="1">
        <v>538</v>
      </c>
      <c r="AY143" s="64" t="s" ph="1">
        <v>216</v>
      </c>
      <c r="AZ143" s="64" t="s" ph="1">
        <v>538</v>
      </c>
    </row>
    <row r="144" spans="33:52" ph="1">
      <c r="AH144" s="64" ph="1">
        <v>5</v>
      </c>
      <c r="AI144" s="64" t="s" ph="1">
        <v>539</v>
      </c>
      <c r="AY144" s="64" t="s" ph="1">
        <v>216</v>
      </c>
      <c r="AZ144" s="64" t="s" ph="1">
        <v>367</v>
      </c>
    </row>
    <row r="145" spans="33:52" ph="1">
      <c r="AH145" s="64" ph="1">
        <v>6</v>
      </c>
      <c r="AI145" s="64" t="s" ph="1">
        <v>540</v>
      </c>
      <c r="AY145" s="64" t="s" ph="1">
        <v>216</v>
      </c>
      <c r="AZ145" s="64" t="s" ph="1">
        <v>367</v>
      </c>
    </row>
    <row r="146" spans="33:52" ph="1">
      <c r="AH146" s="64" ph="1">
        <v>7</v>
      </c>
      <c r="AI146" s="64" t="s" ph="1">
        <v>541</v>
      </c>
      <c r="AY146" s="64" t="s" ph="1">
        <v>216</v>
      </c>
      <c r="AZ146" s="64" t="s" ph="1">
        <v>367</v>
      </c>
    </row>
    <row r="147" spans="33:52" ph="1">
      <c r="AH147" s="64" ph="1">
        <v>8</v>
      </c>
      <c r="AI147" s="64" t="s" ph="1">
        <v>542</v>
      </c>
      <c r="AY147" s="64" t="s" ph="1">
        <v>216</v>
      </c>
      <c r="AZ147" s="64" t="s" ph="1">
        <v>367</v>
      </c>
    </row>
    <row r="148" spans="33:52" ph="1">
      <c r="AH148" s="64" ph="1">
        <v>9</v>
      </c>
      <c r="AI148" s="64" t="s" ph="1">
        <v>543</v>
      </c>
      <c r="AY148" s="64" t="s" ph="1">
        <v>216</v>
      </c>
      <c r="AZ148" s="64" t="s" ph="1">
        <v>367</v>
      </c>
    </row>
    <row r="149" spans="33:52" ph="1">
      <c r="AH149" s="64" ph="1">
        <v>10</v>
      </c>
      <c r="AI149" s="64" t="s" ph="1">
        <v>544</v>
      </c>
      <c r="AY149" s="64" t="s" ph="1">
        <v>216</v>
      </c>
      <c r="AZ149" s="64" t="s" ph="1">
        <v>367</v>
      </c>
    </row>
    <row r="150" spans="33:52" ph="1">
      <c r="AH150" s="64" ph="1">
        <v>11</v>
      </c>
      <c r="AI150" s="64" t="s" ph="1">
        <v>545</v>
      </c>
      <c r="AY150" s="64" t="s" ph="1">
        <v>216</v>
      </c>
      <c r="AZ150" s="64" t="s" ph="1">
        <v>367</v>
      </c>
    </row>
    <row r="151" spans="33:52" ph="1">
      <c r="AH151" s="64" ph="1">
        <v>12</v>
      </c>
      <c r="AI151" s="64" t="s" ph="1">
        <v>546</v>
      </c>
      <c r="AY151" s="64" t="s" ph="1">
        <v>216</v>
      </c>
      <c r="AZ151" s="64" t="s" ph="1">
        <v>367</v>
      </c>
    </row>
    <row r="152" spans="33:52" ph="1">
      <c r="AH152" s="64" ph="1">
        <v>13</v>
      </c>
      <c r="AI152" s="64" t="s" ph="1">
        <v>547</v>
      </c>
      <c r="AY152" s="64" t="s" ph="1">
        <v>216</v>
      </c>
      <c r="AZ152" s="64" t="s" ph="1">
        <v>367</v>
      </c>
    </row>
    <row r="153" spans="33:52" ph="1">
      <c r="AH153" s="64" ph="1">
        <v>14</v>
      </c>
      <c r="AI153" s="64" t="s" ph="1">
        <v>548</v>
      </c>
      <c r="AY153" s="64" t="s" ph="1">
        <v>216</v>
      </c>
      <c r="AZ153" s="64" t="s" ph="1">
        <v>367</v>
      </c>
    </row>
    <row r="154" spans="33:52" ph="1">
      <c r="AH154" s="64" ph="1">
        <v>15</v>
      </c>
      <c r="AI154" s="64" t="s" ph="1">
        <v>549</v>
      </c>
      <c r="AY154" s="64" t="s" ph="1">
        <v>216</v>
      </c>
      <c r="AZ154" s="64" t="s" ph="1">
        <v>367</v>
      </c>
    </row>
    <row r="155" spans="33:52" ph="1">
      <c r="AH155" s="64" ph="1">
        <v>16</v>
      </c>
      <c r="AI155" s="64" t="s" ph="1">
        <v>550</v>
      </c>
      <c r="AJ155" s="64" t="s" ph="1">
        <v>336</v>
      </c>
      <c r="AK155" s="64" t="s" ph="1">
        <v>231</v>
      </c>
      <c r="AM155" s="64" t="s" ph="1">
        <v>570</v>
      </c>
      <c r="AN155" s="64" t="s" ph="1">
        <v>282</v>
      </c>
      <c r="AO155" s="64" t="s" ph="1">
        <v>535</v>
      </c>
      <c r="AY155" s="64" t="s" ph="1">
        <v>216</v>
      </c>
      <c r="AZ155" s="64" t="s" ph="1">
        <v>223</v>
      </c>
    </row>
    <row r="156" spans="33:52" ph="1">
      <c r="AZ156" s="64" t="s" ph="1">
        <v>602</v>
      </c>
    </row>
    <row r="157" spans="33:52" ph="1">
      <c r="AG157" s="64" t="s" ph="1">
        <v>551</v>
      </c>
      <c r="AI157" s="64" t="s" ph="1">
        <v>209</v>
      </c>
      <c r="AJ157" s="64" t="s" ph="1">
        <v>210</v>
      </c>
      <c r="AK157" s="64" t="s" ph="1">
        <v>211</v>
      </c>
      <c r="AM157" s="64" t="s" ph="1">
        <v>210</v>
      </c>
      <c r="AN157" s="64" t="s" ph="1">
        <v>211</v>
      </c>
      <c r="AO157" s="64" t="s" ph="1">
        <v>212</v>
      </c>
      <c r="AP157" s="64" t="s" ph="1">
        <v>210</v>
      </c>
      <c r="AQ157" s="64" t="s" ph="1">
        <v>211</v>
      </c>
      <c r="AR157" s="64" t="s" ph="1">
        <v>212</v>
      </c>
      <c r="AS157" s="64" t="s" ph="1">
        <v>210</v>
      </c>
      <c r="AT157" s="64" t="s" ph="1">
        <v>211</v>
      </c>
      <c r="AU157" s="64" t="s" ph="1">
        <v>212</v>
      </c>
      <c r="AV157" s="64" t="s" ph="1">
        <v>210</v>
      </c>
      <c r="AW157" s="64" t="s" ph="1">
        <v>211</v>
      </c>
      <c r="AX157" s="64" t="s" ph="1">
        <v>212</v>
      </c>
      <c r="AY157" s="64" t="s" ph="1">
        <v>211</v>
      </c>
      <c r="AZ157" s="64" t="s" ph="1">
        <v>213</v>
      </c>
    </row>
    <row r="158" spans="33:52" ph="1">
      <c r="AH158" s="64" ph="1">
        <v>1</v>
      </c>
      <c r="AI158" s="64" t="s" ph="1">
        <v>552</v>
      </c>
      <c r="AY158" s="64" t="s" ph="1">
        <v>216</v>
      </c>
      <c r="AZ158" s="64" t="s" ph="1">
        <v>367</v>
      </c>
    </row>
    <row r="159" spans="33:52" ph="1">
      <c r="AH159" s="64" ph="1">
        <v>2</v>
      </c>
      <c r="AI159" s="64" t="s" ph="1">
        <v>553</v>
      </c>
      <c r="AY159" s="64" t="s" ph="1">
        <v>216</v>
      </c>
      <c r="AZ159" s="64" t="s" ph="1">
        <v>367</v>
      </c>
    </row>
    <row r="160" spans="33:52" ph="1">
      <c r="AZ160" s="64" t="s" ph="1">
        <v>385</v>
      </c>
    </row>
    <row r="161" spans="33:52" ph="1">
      <c r="AG161" s="64" t="s" ph="1">
        <v>361</v>
      </c>
      <c r="AI161" s="64" t="s" ph="1">
        <v>209</v>
      </c>
      <c r="AJ161" s="64" t="s" ph="1">
        <v>210</v>
      </c>
      <c r="AK161" s="64" t="s" ph="1">
        <v>211</v>
      </c>
      <c r="AM161" s="64" t="s" ph="1">
        <v>210</v>
      </c>
      <c r="AN161" s="64" t="s" ph="1">
        <v>211</v>
      </c>
      <c r="AO161" s="64" t="s" ph="1">
        <v>212</v>
      </c>
      <c r="AP161" s="64" t="s" ph="1">
        <v>210</v>
      </c>
      <c r="AQ161" s="64" t="s" ph="1">
        <v>211</v>
      </c>
      <c r="AR161" s="64" t="s" ph="1">
        <v>212</v>
      </c>
      <c r="AS161" s="64" t="s" ph="1">
        <v>210</v>
      </c>
      <c r="AT161" s="64" t="s" ph="1">
        <v>211</v>
      </c>
      <c r="AU161" s="64" t="s" ph="1">
        <v>212</v>
      </c>
      <c r="AV161" s="64" t="s" ph="1">
        <v>210</v>
      </c>
      <c r="AW161" s="64" t="s" ph="1">
        <v>211</v>
      </c>
      <c r="AX161" s="64" t="s" ph="1">
        <v>212</v>
      </c>
      <c r="AY161" s="64" t="s" ph="1">
        <v>211</v>
      </c>
      <c r="AZ161" s="64" t="s" ph="1">
        <v>213</v>
      </c>
    </row>
    <row r="162" spans="33:52" ph="1">
      <c r="AH162" s="64" ph="1">
        <v>1</v>
      </c>
      <c r="AI162" s="64" t="s" ph="1">
        <v>554</v>
      </c>
      <c r="AJ162" s="64" t="s" ph="1">
        <v>555</v>
      </c>
      <c r="AK162" s="64" t="s" ph="1">
        <v>499</v>
      </c>
      <c r="AM162" s="64" t="s" ph="1">
        <v>556</v>
      </c>
      <c r="AN162" s="64" t="s" ph="1">
        <v>220</v>
      </c>
      <c r="AO162" s="64" t="s" ph="1">
        <v>557</v>
      </c>
      <c r="AY162" s="64" t="s" ph="1">
        <v>216</v>
      </c>
      <c r="AZ162" s="64" t="s" ph="1">
        <v>292</v>
      </c>
    </row>
    <row r="163" spans="33:52" ph="1">
      <c r="AH163" s="64" ph="1">
        <v>2</v>
      </c>
      <c r="AI163" s="64" t="s" ph="1">
        <v>558</v>
      </c>
      <c r="AJ163" s="64" t="s" ph="1">
        <v>555</v>
      </c>
      <c r="AK163" s="64" t="s" ph="1">
        <v>388</v>
      </c>
      <c r="AY163" s="64" t="s" ph="1">
        <v>216</v>
      </c>
      <c r="AZ163" s="64" t="s" ph="1">
        <v>388</v>
      </c>
    </row>
    <row r="164" spans="33:52" ph="1">
      <c r="AH164" s="64" ph="1">
        <v>3</v>
      </c>
      <c r="AI164" s="64" t="s" ph="1">
        <v>559</v>
      </c>
      <c r="AJ164" s="64" t="s" ph="1">
        <v>555</v>
      </c>
      <c r="AK164" s="64" t="s" ph="1">
        <v>292</v>
      </c>
      <c r="AY164" s="64" t="s" ph="1">
        <v>216</v>
      </c>
      <c r="AZ164" s="64" t="s" ph="1">
        <v>292</v>
      </c>
    </row>
    <row r="165" spans="33:52" ph="1">
      <c r="AH165" s="64" ph="1">
        <v>4</v>
      </c>
      <c r="AI165" s="64" t="s" ph="1">
        <v>560</v>
      </c>
      <c r="AY165" s="64" t="s" ph="1">
        <v>216</v>
      </c>
      <c r="AZ165" s="64" t="s" ph="1">
        <v>367</v>
      </c>
    </row>
    <row r="166" spans="33:52" ph="1">
      <c r="AH166" s="64" ph="1">
        <v>5</v>
      </c>
      <c r="AI166" s="64" t="s" ph="1">
        <v>561</v>
      </c>
      <c r="AY166" s="64" t="s" ph="1">
        <v>216</v>
      </c>
      <c r="AZ166" s="64" t="s" ph="1">
        <v>367</v>
      </c>
    </row>
    <row r="167" spans="33:52" ph="1">
      <c r="AZ167" s="64" t="s" ph="1">
        <v>562</v>
      </c>
    </row>
    <row r="168" spans="33:52" ph="1">
      <c r="AG168" s="64" t="s" ph="1">
        <v>305</v>
      </c>
      <c r="AI168" s="64" t="s" ph="1">
        <v>209</v>
      </c>
      <c r="AJ168" s="64" t="s" ph="1">
        <v>210</v>
      </c>
      <c r="AK168" s="64" t="s" ph="1">
        <v>211</v>
      </c>
      <c r="AM168" s="64" t="s" ph="1">
        <v>210</v>
      </c>
      <c r="AN168" s="64" t="s" ph="1">
        <v>211</v>
      </c>
      <c r="AO168" s="64" t="s" ph="1">
        <v>212</v>
      </c>
      <c r="AP168" s="64" t="s" ph="1">
        <v>210</v>
      </c>
      <c r="AQ168" s="64" t="s" ph="1">
        <v>211</v>
      </c>
      <c r="AR168" s="64" t="s" ph="1">
        <v>212</v>
      </c>
      <c r="AS168" s="64" t="s" ph="1">
        <v>210</v>
      </c>
      <c r="AT168" s="64" t="s" ph="1">
        <v>211</v>
      </c>
      <c r="AU168" s="64" t="s" ph="1">
        <v>212</v>
      </c>
      <c r="AV168" s="64" t="s" ph="1">
        <v>210</v>
      </c>
      <c r="AW168" s="64" t="s" ph="1">
        <v>211</v>
      </c>
      <c r="AX168" s="64" t="s" ph="1">
        <v>212</v>
      </c>
      <c r="AY168" s="64" t="s" ph="1">
        <v>211</v>
      </c>
      <c r="AZ168" s="64" t="s" ph="1">
        <v>213</v>
      </c>
    </row>
    <row r="169" spans="33:52" ph="1">
      <c r="AH169" s="64" ph="1">
        <v>1</v>
      </c>
      <c r="AI169" s="64" t="s" ph="1">
        <v>563</v>
      </c>
      <c r="AY169" s="64" t="s" ph="1">
        <v>216</v>
      </c>
      <c r="AZ169" s="64" t="s" ph="1">
        <v>367</v>
      </c>
    </row>
    <row r="170" spans="33:52" ph="1">
      <c r="AH170" s="64" ph="1">
        <v>2</v>
      </c>
      <c r="AI170" s="64" t="s" ph="1">
        <v>564</v>
      </c>
      <c r="AY170" s="64" t="s" ph="1">
        <v>216</v>
      </c>
      <c r="AZ170" s="64" t="s" ph="1">
        <v>367</v>
      </c>
    </row>
    <row r="171" spans="33:52" ph="1">
      <c r="AH171" s="64" ph="1">
        <v>3</v>
      </c>
      <c r="AI171" s="64" t="s" ph="1">
        <v>565</v>
      </c>
      <c r="AY171" s="64" t="s" ph="1">
        <v>216</v>
      </c>
      <c r="AZ171" s="64" t="s" ph="1">
        <v>367</v>
      </c>
    </row>
    <row r="172" spans="33:52" ph="1">
      <c r="AH172" s="64" ph="1">
        <v>4</v>
      </c>
      <c r="AI172" s="64" t="s" ph="1">
        <v>566</v>
      </c>
      <c r="AY172" s="64" t="s" ph="1">
        <v>216</v>
      </c>
      <c r="AZ172" s="64" t="s" ph="1">
        <v>367</v>
      </c>
    </row>
    <row r="173" spans="33:52" ph="1">
      <c r="AH173" s="64" ph="1">
        <v>5</v>
      </c>
      <c r="AI173" s="64" t="s" ph="1">
        <v>567</v>
      </c>
      <c r="AY173" s="64" t="s" ph="1">
        <v>216</v>
      </c>
      <c r="AZ173" s="64" t="s" ph="1">
        <v>367</v>
      </c>
    </row>
    <row r="174" spans="33:52" ph="1">
      <c r="AZ174" s="64" t="s" ph="1">
        <v>385</v>
      </c>
    </row>
    <row r="175" spans="33:52" ph="1">
      <c r="AJ175" s="64" t="s" ph="1">
        <v>306</v>
      </c>
    </row>
    <row r="176" spans="33:52" ph="1">
      <c r="AJ176" s="64" t="s" ph="1">
        <v>307</v>
      </c>
      <c r="AK176" s="64" t="s" ph="1">
        <v>308</v>
      </c>
      <c r="AM176" s="64" t="s" ph="1">
        <v>309</v>
      </c>
      <c r="AO176" s="64" t="s" ph="1">
        <v>310</v>
      </c>
      <c r="AP176" s="64" t="s" ph="1">
        <v>311</v>
      </c>
      <c r="AQ176" s="64" t="s" ph="1">
        <v>301</v>
      </c>
      <c r="AR176" s="64" t="s" ph="1">
        <v>221</v>
      </c>
    </row>
    <row r="177" spans="36:56" ph="1">
      <c r="AJ177" s="64" t="s" ph="1">
        <v>603</v>
      </c>
      <c r="AK177" s="64" t="s" ph="1">
        <v>312</v>
      </c>
      <c r="AO177" s="64" t="s" ph="1">
        <v>312</v>
      </c>
      <c r="AP177" s="64" t="s" ph="1">
        <v>312</v>
      </c>
      <c r="AQ177" s="64" t="s" ph="1">
        <v>313</v>
      </c>
      <c r="AR177" s="64" t="s" ph="1">
        <v>314</v>
      </c>
    </row>
    <row r="179" spans="36:56" ph="1">
      <c r="AJ179" s="64" t="s" ph="1">
        <v>315</v>
      </c>
      <c r="AK179" s="64" t="s" ph="1">
        <v>316</v>
      </c>
      <c r="AM179" s="64" t="s" ph="1">
        <v>317</v>
      </c>
      <c r="AN179" s="64" t="s" ph="1">
        <v>293</v>
      </c>
      <c r="AO179" s="64" t="s" ph="1">
        <v>318</v>
      </c>
      <c r="AP179" s="64" t="s" ph="1">
        <v>297</v>
      </c>
      <c r="AQ179" s="64" t="s" ph="1">
        <v>319</v>
      </c>
      <c r="AR179" s="64" t="s" ph="1">
        <v>320</v>
      </c>
    </row>
    <row r="180" spans="36:56" ph="1">
      <c r="AJ180" s="64" t="s" ph="1">
        <v>312</v>
      </c>
      <c r="AK180" s="64" t="s" ph="1">
        <v>312</v>
      </c>
      <c r="AL180" s="64" ph="1">
        <v>116</v>
      </c>
      <c r="AM180" s="64" t="s" ph="1">
        <v>312</v>
      </c>
      <c r="AN180" s="64" t="s" ph="1">
        <v>321</v>
      </c>
      <c r="AO180" s="64" t="s" ph="1">
        <v>312</v>
      </c>
      <c r="AP180" s="64" t="s" ph="1">
        <v>322</v>
      </c>
      <c r="AQ180" s="64" t="s" ph="1">
        <v>323</v>
      </c>
      <c r="AR180" s="64" t="s" ph="1">
        <v>324</v>
      </c>
    </row>
    <row r="189" spans="36:56" ph="1">
      <c r="BD189" s="64" t="s" ph="1">
        <v>568</v>
      </c>
    </row>
    <row r="223" spans="18:18" ph="1">
      <c r="R223" s="135" ph="1">
        <v>45496</v>
      </c>
    </row>
  </sheetData>
  <mergeCells count="58">
    <mergeCell ref="Z22:AE22"/>
    <mergeCell ref="Z23:AE29"/>
    <mergeCell ref="B24:B26"/>
    <mergeCell ref="B27:B29"/>
    <mergeCell ref="B1:AE1"/>
    <mergeCell ref="B2:AE2"/>
    <mergeCell ref="B3:AE3"/>
    <mergeCell ref="B4:B5"/>
    <mergeCell ref="B6:B8"/>
    <mergeCell ref="B9:B11"/>
    <mergeCell ref="P31:R31"/>
    <mergeCell ref="B13:B14"/>
    <mergeCell ref="B15:B17"/>
    <mergeCell ref="B18:B20"/>
    <mergeCell ref="B22:B23"/>
    <mergeCell ref="B31:C32"/>
    <mergeCell ref="D31:F31"/>
    <mergeCell ref="G31:I31"/>
    <mergeCell ref="J31:L31"/>
    <mergeCell ref="M31:O31"/>
    <mergeCell ref="B33:C34"/>
    <mergeCell ref="D33:D34"/>
    <mergeCell ref="E33:E34"/>
    <mergeCell ref="F33:F34"/>
    <mergeCell ref="G33:G34"/>
    <mergeCell ref="S31:U31"/>
    <mergeCell ref="V31:X31"/>
    <mergeCell ref="Y31:AA31"/>
    <mergeCell ref="AB31:AE31"/>
    <mergeCell ref="AD32:AE32"/>
    <mergeCell ref="S33:S34"/>
    <mergeCell ref="H33:H34"/>
    <mergeCell ref="I33:I34"/>
    <mergeCell ref="J33:J34"/>
    <mergeCell ref="K33:K34"/>
    <mergeCell ref="L33:L34"/>
    <mergeCell ref="M33:M34"/>
    <mergeCell ref="N33:N34"/>
    <mergeCell ref="O33:O34"/>
    <mergeCell ref="P33:P34"/>
    <mergeCell ref="Q33:Q34"/>
    <mergeCell ref="R33:R34"/>
    <mergeCell ref="I36:J36"/>
    <mergeCell ref="R36:S36"/>
    <mergeCell ref="AB36:AC36"/>
    <mergeCell ref="AD36:AE36"/>
    <mergeCell ref="Z33:Z34"/>
    <mergeCell ref="AA33:AA34"/>
    <mergeCell ref="AB33:AB34"/>
    <mergeCell ref="AC33:AC34"/>
    <mergeCell ref="AD33:AE34"/>
    <mergeCell ref="AC35:AE35"/>
    <mergeCell ref="T33:T34"/>
    <mergeCell ref="U33:U34"/>
    <mergeCell ref="V33:V34"/>
    <mergeCell ref="W33:W34"/>
    <mergeCell ref="X33:X34"/>
    <mergeCell ref="Y33:Y34"/>
  </mergeCells>
  <phoneticPr fontId="2" type="noConversion"/>
  <conditionalFormatting sqref="D4:D11">
    <cfRule type="expression" dxfId="1063" priority="103">
      <formula>ABS(D$7-D$10)&gt;=1000</formula>
    </cfRule>
  </conditionalFormatting>
  <conditionalFormatting sqref="E4 E6:E11">
    <cfRule type="expression" dxfId="1062" priority="102">
      <formula>ABS(E$7-E$10)&gt;=1000</formula>
    </cfRule>
  </conditionalFormatting>
  <conditionalFormatting sqref="F4:F11">
    <cfRule type="expression" dxfId="1061" priority="101">
      <formula>ABS(F$7-F$10)&gt;=1000</formula>
    </cfRule>
  </conditionalFormatting>
  <conditionalFormatting sqref="G4:G11">
    <cfRule type="expression" dxfId="1060" priority="100">
      <formula>ABS(G$7-G$10)&gt;=1000</formula>
    </cfRule>
  </conditionalFormatting>
  <conditionalFormatting sqref="H4:H11">
    <cfRule type="expression" dxfId="1059" priority="99">
      <formula>ABS(H$7-H$10)&gt;=1000</formula>
    </cfRule>
  </conditionalFormatting>
  <conditionalFormatting sqref="I4:I11">
    <cfRule type="expression" dxfId="1058" priority="98">
      <formula>ABS(I$7-I$10)&gt;=1000</formula>
    </cfRule>
  </conditionalFormatting>
  <conditionalFormatting sqref="J4:J11">
    <cfRule type="expression" dxfId="1057" priority="97">
      <formula>ABS(J$7-J$10)&gt;=1000</formula>
    </cfRule>
  </conditionalFormatting>
  <conditionalFormatting sqref="K4:K11">
    <cfRule type="expression" dxfId="1056" priority="96">
      <formula>ABS(K$7-K$10)&gt;=1000</formula>
    </cfRule>
  </conditionalFormatting>
  <conditionalFormatting sqref="L4:L11">
    <cfRule type="expression" dxfId="1055" priority="95">
      <formula>ABS(L$7-L$10)&gt;=1000</formula>
    </cfRule>
  </conditionalFormatting>
  <conditionalFormatting sqref="M4 M6:M11">
    <cfRule type="expression" dxfId="1054" priority="94">
      <formula>ABS(M$7-M$10)&gt;=1000</formula>
    </cfRule>
  </conditionalFormatting>
  <conditionalFormatting sqref="N4 N6:N11">
    <cfRule type="expression" dxfId="1053" priority="93">
      <formula>ABS(N$7-N$10)&gt;=1000</formula>
    </cfRule>
  </conditionalFormatting>
  <conditionalFormatting sqref="O4 O6:O11">
    <cfRule type="expression" dxfId="1052" priority="92">
      <formula>ABS(O$7-O$10)&gt;=1000</formula>
    </cfRule>
  </conditionalFormatting>
  <conditionalFormatting sqref="P4 P6:P11">
    <cfRule type="expression" dxfId="1051" priority="91">
      <formula>ABS(P$7-P$10)&gt;=1000</formula>
    </cfRule>
  </conditionalFormatting>
  <conditionalFormatting sqref="Q4:Q11">
    <cfRule type="expression" dxfId="1050" priority="90">
      <formula>ABS(Q$7-Q$10)&gt;=1000</formula>
    </cfRule>
  </conditionalFormatting>
  <conditionalFormatting sqref="R4:R11">
    <cfRule type="expression" dxfId="1049" priority="89">
      <formula>ABS(R$7-R$10)&gt;=1000</formula>
    </cfRule>
  </conditionalFormatting>
  <conditionalFormatting sqref="S4:S11">
    <cfRule type="expression" dxfId="1048" priority="88">
      <formula>ABS(S$7-S$10)&gt;=1000</formula>
    </cfRule>
  </conditionalFormatting>
  <conditionalFormatting sqref="T4:T9 T11">
    <cfRule type="expression" dxfId="1047" priority="87">
      <formula>ABS(T$7-T$10)&gt;=1000</formula>
    </cfRule>
  </conditionalFormatting>
  <conditionalFormatting sqref="U4:U9 U11">
    <cfRule type="expression" dxfId="1046" priority="86">
      <formula>ABS(U$7-U$10)&gt;=1000</formula>
    </cfRule>
  </conditionalFormatting>
  <conditionalFormatting sqref="V4:V9 V11">
    <cfRule type="expression" dxfId="1045" priority="85">
      <formula>ABS(V$7-V$10)&gt;=1000</formula>
    </cfRule>
  </conditionalFormatting>
  <conditionalFormatting sqref="W4:W9 W11">
    <cfRule type="expression" dxfId="1044" priority="84">
      <formula>ABS(W$7-W$10)&gt;=1000</formula>
    </cfRule>
  </conditionalFormatting>
  <conditionalFormatting sqref="X4:X9 X11">
    <cfRule type="expression" dxfId="1043" priority="83">
      <formula>ABS(X$7-X$10)&gt;=1000</formula>
    </cfRule>
  </conditionalFormatting>
  <conditionalFormatting sqref="Y4:Y9 Y11">
    <cfRule type="expression" dxfId="1042" priority="82">
      <formula>ABS(Y$7-Y$10)&gt;=1000</formula>
    </cfRule>
  </conditionalFormatting>
  <conditionalFormatting sqref="Z4:Z11">
    <cfRule type="expression" dxfId="1041" priority="81">
      <formula>ABS(Z$7-Z$10)&gt;=1000</formula>
    </cfRule>
  </conditionalFormatting>
  <conditionalFormatting sqref="AA4:AA11">
    <cfRule type="expression" dxfId="1040" priority="80">
      <formula>ABS(AA$7-AA$10)&gt;=1000</formula>
    </cfRule>
  </conditionalFormatting>
  <conditionalFormatting sqref="AB4:AB11">
    <cfRule type="expression" dxfId="1039" priority="79">
      <formula>ABS(AB$7-AB$10)&gt;=1000</formula>
    </cfRule>
  </conditionalFormatting>
  <conditionalFormatting sqref="AC4 AC6:AC11">
    <cfRule type="expression" dxfId="1038" priority="78">
      <formula>ABS(AC$7-AC$10)&gt;=1000</formula>
    </cfRule>
  </conditionalFormatting>
  <conditionalFormatting sqref="AD4 AD6:AD11">
    <cfRule type="expression" dxfId="1037" priority="77">
      <formula>ABS(AD$7-AD$10)&gt;=1000</formula>
    </cfRule>
  </conditionalFormatting>
  <conditionalFormatting sqref="AE4 AE6:AE11">
    <cfRule type="expression" dxfId="1036" priority="76">
      <formula>ABS(AE$7-AE$10)&gt;=1000</formula>
    </cfRule>
  </conditionalFormatting>
  <conditionalFormatting sqref="D13:D20">
    <cfRule type="expression" dxfId="1035" priority="75">
      <formula>ABS(D$16-D$19)&gt;=1000</formula>
    </cfRule>
  </conditionalFormatting>
  <conditionalFormatting sqref="E13:E20">
    <cfRule type="expression" dxfId="1034" priority="74">
      <formula>ABS(E$16-E$19)&gt;=1000</formula>
    </cfRule>
  </conditionalFormatting>
  <conditionalFormatting sqref="F13 F15:F20">
    <cfRule type="expression" dxfId="1033" priority="73">
      <formula>ABS(F$16-F$19)&gt;=1000</formula>
    </cfRule>
  </conditionalFormatting>
  <conditionalFormatting sqref="G13:G20">
    <cfRule type="expression" dxfId="1032" priority="72">
      <formula>ABS(G$16-G$19)&gt;=1000</formula>
    </cfRule>
  </conditionalFormatting>
  <conditionalFormatting sqref="H13 H15:H20">
    <cfRule type="expression" dxfId="1031" priority="71">
      <formula>ABS(H$16-H$19)&gt;=1000</formula>
    </cfRule>
  </conditionalFormatting>
  <conditionalFormatting sqref="I13:I20">
    <cfRule type="expression" dxfId="1030" priority="70">
      <formula>ABS(I$16-I$19)&gt;=1000</formula>
    </cfRule>
  </conditionalFormatting>
  <conditionalFormatting sqref="J13:J20">
    <cfRule type="expression" dxfId="1029" priority="69">
      <formula>ABS(J$16-J$19)&gt;=1000</formula>
    </cfRule>
  </conditionalFormatting>
  <conditionalFormatting sqref="L13:L20">
    <cfRule type="expression" dxfId="1028" priority="68">
      <formula>ABS(L$16-L$19)&gt;=1000</formula>
    </cfRule>
  </conditionalFormatting>
  <conditionalFormatting sqref="M13 M15 M17:M18 M20">
    <cfRule type="expression" dxfId="1027" priority="67">
      <formula>ABS(M$16-M$19)&gt;=1000</formula>
    </cfRule>
  </conditionalFormatting>
  <conditionalFormatting sqref="N13:N20">
    <cfRule type="expression" dxfId="1026" priority="66">
      <formula>ABS(N$16-N$19)&gt;=1000</formula>
    </cfRule>
  </conditionalFormatting>
  <conditionalFormatting sqref="O13:O20">
    <cfRule type="expression" dxfId="1025" priority="65">
      <formula>ABS(O$16-O$19)&gt;=1000</formula>
    </cfRule>
  </conditionalFormatting>
  <conditionalFormatting sqref="P13:P20">
    <cfRule type="expression" dxfId="1024" priority="64">
      <formula>ABS(P$16-P$19)&gt;=1000</formula>
    </cfRule>
  </conditionalFormatting>
  <conditionalFormatting sqref="Q13 Q15:Q20">
    <cfRule type="expression" dxfId="1023" priority="63">
      <formula>ABS(Q$16-Q$19)&gt;=1000</formula>
    </cfRule>
  </conditionalFormatting>
  <conditionalFormatting sqref="R13 R15:R20">
    <cfRule type="expression" dxfId="1022" priority="62">
      <formula>ABS(R$16-R$19)&gt;=1000</formula>
    </cfRule>
  </conditionalFormatting>
  <conditionalFormatting sqref="S13:S20">
    <cfRule type="expression" dxfId="1021" priority="61">
      <formula>ABS(S$16-S$19)&gt;=1000</formula>
    </cfRule>
  </conditionalFormatting>
  <conditionalFormatting sqref="T13:T15 T17:T20">
    <cfRule type="expression" dxfId="1020" priority="60">
      <formula>ABS(T$16-T$19)&gt;=1000</formula>
    </cfRule>
  </conditionalFormatting>
  <conditionalFormatting sqref="U13:U20">
    <cfRule type="expression" dxfId="1019" priority="59">
      <formula>ABS(U$16-U$19)&gt;=1000</formula>
    </cfRule>
  </conditionalFormatting>
  <conditionalFormatting sqref="V13:V20">
    <cfRule type="expression" dxfId="1018" priority="58">
      <formula>ABS(V$16-V$19)&gt;=1000</formula>
    </cfRule>
  </conditionalFormatting>
  <conditionalFormatting sqref="W13 W20 W15:W18">
    <cfRule type="expression" dxfId="1017" priority="57">
      <formula>ABS(W$16-W$19)&gt;=1000</formula>
    </cfRule>
  </conditionalFormatting>
  <conditionalFormatting sqref="X13 X15:X20 Y19">
    <cfRule type="expression" dxfId="1016" priority="56">
      <formula>ABS(X$16-X$19)&gt;=1000</formula>
    </cfRule>
  </conditionalFormatting>
  <conditionalFormatting sqref="Y13 Y15:Y18 Y20">
    <cfRule type="expression" dxfId="1015" priority="55">
      <formula>ABS(Y$16-Y$19)&gt;=1000</formula>
    </cfRule>
  </conditionalFormatting>
  <conditionalFormatting sqref="Z13:Z20">
    <cfRule type="expression" dxfId="1014" priority="54">
      <formula>ABS(Z$16-Z$19)&gt;=1000</formula>
    </cfRule>
  </conditionalFormatting>
  <conditionalFormatting sqref="AA13:AA20">
    <cfRule type="expression" dxfId="1013" priority="53">
      <formula>ABS(AA$16-AA$19)&gt;=1000</formula>
    </cfRule>
  </conditionalFormatting>
  <conditionalFormatting sqref="AB13 AB15:AB20">
    <cfRule type="expression" dxfId="1012" priority="52">
      <formula>ABS(AB$16-AB$19)&gt;=1000</formula>
    </cfRule>
  </conditionalFormatting>
  <conditionalFormatting sqref="AC13 AC15:AC20">
    <cfRule type="expression" dxfId="1011" priority="51">
      <formula>ABS(AC$16-AC$19)&gt;=1000</formula>
    </cfRule>
  </conditionalFormatting>
  <conditionalFormatting sqref="AD13:AD20">
    <cfRule type="expression" dxfId="1010" priority="50">
      <formula>ABS(AD$16-AD$19)&gt;=1000</formula>
    </cfRule>
  </conditionalFormatting>
  <conditionalFormatting sqref="AE13:AE20">
    <cfRule type="expression" dxfId="1009" priority="49">
      <formula>ABS(AE$16-AE$19)&gt;=1000</formula>
    </cfRule>
  </conditionalFormatting>
  <conditionalFormatting sqref="D22:D29">
    <cfRule type="expression" dxfId="1008" priority="48">
      <formula>ABS(D$25-D$28)&gt;=1000</formula>
    </cfRule>
  </conditionalFormatting>
  <conditionalFormatting sqref="E22:E29">
    <cfRule type="expression" dxfId="1007" priority="47">
      <formula>ABS(E$25-E$28)&gt;=1000</formula>
    </cfRule>
  </conditionalFormatting>
  <conditionalFormatting sqref="F22:F29">
    <cfRule type="expression" dxfId="1006" priority="46">
      <formula>ABS(F$25-F$28)&gt;=1000</formula>
    </cfRule>
  </conditionalFormatting>
  <conditionalFormatting sqref="G22:G29">
    <cfRule type="expression" dxfId="1005" priority="45">
      <formula>ABS(G$25-G$28)&gt;=1000</formula>
    </cfRule>
  </conditionalFormatting>
  <conditionalFormatting sqref="H22:H29">
    <cfRule type="expression" dxfId="1004" priority="44">
      <formula>ABS(H$25-H$28)&gt;=1000</formula>
    </cfRule>
  </conditionalFormatting>
  <conditionalFormatting sqref="I22 I24:I29">
    <cfRule type="expression" dxfId="1003" priority="43">
      <formula>ABS(I$25-I$28)&gt;=1000</formula>
    </cfRule>
  </conditionalFormatting>
  <conditionalFormatting sqref="J22:J29 K22">
    <cfRule type="expression" dxfId="1002" priority="42">
      <formula>ABS(J$25-J$28)&gt;=1000</formula>
    </cfRule>
  </conditionalFormatting>
  <conditionalFormatting sqref="K23:K29 L25 L28">
    <cfRule type="expression" dxfId="1001" priority="41">
      <formula>ABS(K$25-K$28)&gt;=1000</formula>
    </cfRule>
  </conditionalFormatting>
  <conditionalFormatting sqref="L22 L26:L27 L29 L24">
    <cfRule type="expression" dxfId="1000" priority="40">
      <formula>ABS(L$25-L$28)&gt;=1000</formula>
    </cfRule>
  </conditionalFormatting>
  <conditionalFormatting sqref="M22:M29">
    <cfRule type="expression" dxfId="999" priority="39">
      <formula>ABS(M$25-M$28)&gt;=1000</formula>
    </cfRule>
  </conditionalFormatting>
  <conditionalFormatting sqref="N22:N29">
    <cfRule type="expression" dxfId="998" priority="38">
      <formula>ABS(N$25-N$28)&gt;=1000</formula>
    </cfRule>
  </conditionalFormatting>
  <conditionalFormatting sqref="O22 O24:O29">
    <cfRule type="expression" dxfId="997" priority="37">
      <formula>ABS(O$25-O$28)&gt;=1000</formula>
    </cfRule>
  </conditionalFormatting>
  <conditionalFormatting sqref="P22:P29">
    <cfRule type="expression" dxfId="996" priority="36">
      <formula>ABS(P$25-P$28)&gt;=1000</formula>
    </cfRule>
  </conditionalFormatting>
  <conditionalFormatting sqref="Q22:Q29">
    <cfRule type="expression" dxfId="995" priority="35">
      <formula>ABS(Q$25-Q$28)&gt;=1000</formula>
    </cfRule>
  </conditionalFormatting>
  <conditionalFormatting sqref="R22:R29">
    <cfRule type="expression" dxfId="994" priority="34">
      <formula>ABS(R$25-R$28)&gt;=1000</formula>
    </cfRule>
  </conditionalFormatting>
  <conditionalFormatting sqref="S22:S29">
    <cfRule type="expression" dxfId="993" priority="33">
      <formula>ABS(S$25-S$28)&gt;=1000</formula>
    </cfRule>
  </conditionalFormatting>
  <conditionalFormatting sqref="T22:T29">
    <cfRule type="expression" dxfId="992" priority="32">
      <formula>ABS(T$25-T$28)&gt;=1000</formula>
    </cfRule>
  </conditionalFormatting>
  <conditionalFormatting sqref="U22:U29">
    <cfRule type="expression" dxfId="991" priority="31">
      <formula>ABS(U$25-U$28)&gt;=1000</formula>
    </cfRule>
  </conditionalFormatting>
  <conditionalFormatting sqref="V22:V29">
    <cfRule type="expression" dxfId="990" priority="30">
      <formula>ABS(V$25-V$28)&gt;=1000</formula>
    </cfRule>
  </conditionalFormatting>
  <conditionalFormatting sqref="W22:W29">
    <cfRule type="expression" dxfId="989" priority="29">
      <formula>ABS(W$25-W$28)&gt;=1000</formula>
    </cfRule>
  </conditionalFormatting>
  <conditionalFormatting sqref="X22:X29">
    <cfRule type="expression" dxfId="988" priority="28">
      <formula>ABS(X$25-X$28)&gt;=1000</formula>
    </cfRule>
  </conditionalFormatting>
  <conditionalFormatting sqref="Y22:Y29">
    <cfRule type="expression" dxfId="987" priority="27">
      <formula>ABS(Y$25-Y$28)&gt;=1000</formula>
    </cfRule>
  </conditionalFormatting>
  <conditionalFormatting sqref="I23">
    <cfRule type="expression" dxfId="986" priority="26">
      <formula>ABS(I$25-I$28)&gt;=1000</formula>
    </cfRule>
  </conditionalFormatting>
  <conditionalFormatting sqref="Q14">
    <cfRule type="expression" dxfId="985" priority="25">
      <formula>ABS(Q$16-Q$19)&gt;=1000</formula>
    </cfRule>
  </conditionalFormatting>
  <conditionalFormatting sqref="W14">
    <cfRule type="expression" dxfId="984" priority="24">
      <formula>ABS(W$16-W$19)&gt;=1000</formula>
    </cfRule>
  </conditionalFormatting>
  <conditionalFormatting sqref="X14">
    <cfRule type="expression" dxfId="983" priority="23">
      <formula>ABS(X$16-X$19)&gt;=1000</formula>
    </cfRule>
  </conditionalFormatting>
  <conditionalFormatting sqref="T10:Y10">
    <cfRule type="expression" dxfId="982" priority="22">
      <formula>ABS(T$7-T$10)&gt;=1000</formula>
    </cfRule>
  </conditionalFormatting>
  <conditionalFormatting sqref="W19">
    <cfRule type="expression" dxfId="981" priority="21">
      <formula>ABS(W$16-W$19)&gt;=1000</formula>
    </cfRule>
  </conditionalFormatting>
  <conditionalFormatting sqref="AC5">
    <cfRule type="expression" dxfId="980" priority="20">
      <formula>ABS(AC$7-AC$10)&gt;=1000</formula>
    </cfRule>
  </conditionalFormatting>
  <conditionalFormatting sqref="M14">
    <cfRule type="expression" dxfId="979" priority="19">
      <formula>ABS(M$16-M$19)&gt;=1000</formula>
    </cfRule>
  </conditionalFormatting>
  <conditionalFormatting sqref="M16">
    <cfRule type="expression" dxfId="978" priority="18">
      <formula>ABS(M$16-M$19)&gt;=1000</formula>
    </cfRule>
  </conditionalFormatting>
  <conditionalFormatting sqref="M19">
    <cfRule type="expression" dxfId="977" priority="17">
      <formula>ABS(M$16-M$19)&gt;=1000</formula>
    </cfRule>
  </conditionalFormatting>
  <conditionalFormatting sqref="K13:K20">
    <cfRule type="expression" dxfId="976" priority="16">
      <formula>ABS(K$16-K$19)&gt;=1000</formula>
    </cfRule>
  </conditionalFormatting>
  <conditionalFormatting sqref="E5">
    <cfRule type="expression" dxfId="975" priority="15">
      <formula>ABS(E$7-E$10)&gt;=1000</formula>
    </cfRule>
  </conditionalFormatting>
  <conditionalFormatting sqref="AB14:AC14">
    <cfRule type="expression" dxfId="974" priority="14">
      <formula>ABS(AB$16-AB$19)&gt;=1000</formula>
    </cfRule>
  </conditionalFormatting>
  <conditionalFormatting sqref="M5">
    <cfRule type="expression" dxfId="973" priority="13">
      <formula>ABS(M$7-M$10)&gt;=1000</formula>
    </cfRule>
  </conditionalFormatting>
  <conditionalFormatting sqref="N5">
    <cfRule type="expression" dxfId="972" priority="12">
      <formula>ABS(N$7-N$10)&gt;=1000</formula>
    </cfRule>
  </conditionalFormatting>
  <conditionalFormatting sqref="O5">
    <cfRule type="expression" dxfId="971" priority="11">
      <formula>ABS(O$7-O$10)&gt;=1000</formula>
    </cfRule>
  </conditionalFormatting>
  <conditionalFormatting sqref="P5">
    <cfRule type="expression" dxfId="970" priority="10">
      <formula>ABS(P$7-P$10)&gt;=1000</formula>
    </cfRule>
  </conditionalFormatting>
  <conditionalFormatting sqref="L23">
    <cfRule type="expression" dxfId="969" priority="9">
      <formula>ABS(L$25-L$28)&gt;=1000</formula>
    </cfRule>
  </conditionalFormatting>
  <conditionalFormatting sqref="Y14">
    <cfRule type="expression" dxfId="968" priority="8">
      <formula>ABS(Y$16-Y$19)&gt;=1000</formula>
    </cfRule>
  </conditionalFormatting>
  <conditionalFormatting sqref="H14">
    <cfRule type="expression" dxfId="967" priority="7">
      <formula>ABS(H$16-H$19)&gt;=1000</formula>
    </cfRule>
  </conditionalFormatting>
  <conditionalFormatting sqref="AD5">
    <cfRule type="expression" dxfId="966" priority="6">
      <formula>ABS(AD$7-AD$10)&gt;=1000</formula>
    </cfRule>
  </conditionalFormatting>
  <conditionalFormatting sqref="AE5">
    <cfRule type="expression" dxfId="965" priority="5">
      <formula>ABS(AE$7-AE$10)&gt;=1000</formula>
    </cfRule>
  </conditionalFormatting>
  <conditionalFormatting sqref="T16">
    <cfRule type="expression" dxfId="964" priority="4">
      <formula>ABS(T$16-T$19)&gt;=1000</formula>
    </cfRule>
  </conditionalFormatting>
  <conditionalFormatting sqref="F14">
    <cfRule type="expression" dxfId="963" priority="3">
      <formula>ABS(F$16-F$19)&gt;=1000</formula>
    </cfRule>
  </conditionalFormatting>
  <conditionalFormatting sqref="R14">
    <cfRule type="expression" dxfId="962" priority="2">
      <formula>ABS(R$16-R$19)&gt;=1000</formula>
    </cfRule>
  </conditionalFormatting>
  <conditionalFormatting sqref="O23">
    <cfRule type="expression" dxfId="961" priority="1">
      <formula>ABS(O$25-O$28)&gt;=1000</formula>
    </cfRule>
  </conditionalFormatting>
  <dataValidations count="1">
    <dataValidation operator="greaterThanOrEqual" allowBlank="1" showErrorMessage="1" sqref="D6"/>
  </dataValidations>
  <printOptions horizontalCentered="1"/>
  <pageMargins left="0.39370078740157483" right="0.39370078740157483" top="0.39370078740157483" bottom="0.39370078740157483" header="0.51181102362204722" footer="0.51181102362204722"/>
  <pageSetup paperSize="9" scale="60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7553" r:id="rId4" name="Button 1">
              <controlPr defaultSize="0" print="0" autoFill="0" autoPict="0">
                <anchor moveWithCells="1">
                  <from>
                    <xdr:col>31</xdr:col>
                    <xdr:colOff>0</xdr:colOff>
                    <xdr:row>0</xdr:row>
                    <xdr:rowOff>342900</xdr:rowOff>
                  </from>
                  <to>
                    <xdr:col>32</xdr:col>
                    <xdr:colOff>411480</xdr:colOff>
                    <xdr:row>3</xdr:row>
                    <xdr:rowOff>30480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979">
    <pageSetUpPr fitToPage="1"/>
  </sheetPr>
  <dimension ref="A1:CU223"/>
  <sheetViews>
    <sheetView view="pageBreakPreview" topLeftCell="B10" zoomScale="85" zoomScaleNormal="100" zoomScaleSheetLayoutView="85" workbookViewId="0">
      <selection activeCell="Z23" sqref="Z23:AE29"/>
    </sheetView>
  </sheetViews>
  <sheetFormatPr defaultColWidth="8.109375" defaultRowHeight="25.8"/>
  <cols>
    <col min="1" max="1" width="11.6640625" style="64" customWidth="1" phonetic="1"/>
    <col min="2" max="2" width="7.6640625" style="64" customWidth="1" phonetic="1"/>
    <col min="3" max="3" width="8" style="64" customWidth="1" phonetic="1"/>
    <col min="4" max="8" width="7.6640625" style="64" customWidth="1" phonetic="1"/>
    <col min="9" max="9" width="8" style="64" customWidth="1" phonetic="1"/>
    <col min="10" max="12" width="7.6640625" style="64" customWidth="1" phonetic="1"/>
    <col min="13" max="13" width="7.77734375" style="64" bestFit="1" customWidth="1" phonetic="1"/>
    <col min="14" max="30" width="7.6640625" style="64" customWidth="1" phonetic="1"/>
    <col min="31" max="31" width="7.6640625" style="75" customWidth="1" phonetic="1"/>
    <col min="32" max="32" width="11.6640625" style="64" bestFit="1" customWidth="1" phonetic="1"/>
    <col min="33" max="33" width="22.109375" style="64" customWidth="1" phonetic="1"/>
    <col min="34" max="34" width="5.6640625" style="64" customWidth="1" phonetic="1"/>
    <col min="35" max="35" width="18.21875" style="64" customWidth="1" phonetic="1"/>
    <col min="36" max="36" width="12" style="64" bestFit="1" customWidth="1" phonetic="1"/>
    <col min="37" max="37" width="11.6640625" style="64" bestFit="1" customWidth="1" phonetic="1"/>
    <col min="38" max="38" width="5.6640625" style="64" customWidth="1" phonetic="1"/>
    <col min="39" max="39" width="11.44140625" style="64" bestFit="1" customWidth="1" phonetic="1"/>
    <col min="40" max="40" width="6.21875" style="64" customWidth="1" phonetic="1"/>
    <col min="41" max="41" width="8.6640625" style="64" customWidth="1" phonetic="1"/>
    <col min="42" max="42" width="11.21875" style="64" customWidth="1" phonetic="1"/>
    <col min="43" max="43" width="11.77734375" style="64" customWidth="1" phonetic="1"/>
    <col min="44" max="44" width="11.21875" style="64" customWidth="1" phonetic="1"/>
    <col min="45" max="45" width="11.21875" style="64" bestFit="1" customWidth="1" phonetic="1"/>
    <col min="46" max="46" width="41.77734375" style="64" customWidth="1" phonetic="1"/>
    <col min="47" max="47" width="7.77734375" style="64" customWidth="1" phonetic="1"/>
    <col min="48" max="48" width="17.109375" style="64" customWidth="1" phonetic="1"/>
    <col min="49" max="49" width="6.21875" style="64" customWidth="1" phonetic="1"/>
    <col min="50" max="50" width="10" style="64" customWidth="1" phonetic="1"/>
    <col min="51" max="51" width="6.21875" style="64" customWidth="1" phonetic="1"/>
    <col min="52" max="52" width="6.88671875" style="64" customWidth="1" phonetic="1"/>
    <col min="53" max="53" width="6.44140625" style="64" customWidth="1" phonetic="1"/>
    <col min="54" max="54" width="15.44140625" style="64" customWidth="1" phonetic="1"/>
    <col min="55" max="55" width="6.21875" style="64" customWidth="1" phonetic="1"/>
    <col min="56" max="56" width="22.109375" style="64" bestFit="1" customWidth="1" phonetic="1"/>
    <col min="57" max="57" width="6.44140625" style="64" customWidth="1" phonetic="1"/>
    <col min="58" max="60" width="6.21875" style="64" customWidth="1" phonetic="1"/>
    <col min="61" max="16384" width="8.109375" style="64" phonetic="1"/>
  </cols>
  <sheetData>
    <row r="1" spans="1:99" ht="31.2" ph="1">
      <c r="A1" s="64"/>
      <c r="B1" s="238" t="s" ph="1">
        <v>161</v>
      </c>
      <c r="C1" s="238" ph="1"/>
      <c r="D1" s="238" ph="1"/>
      <c r="E1" s="238" ph="1"/>
      <c r="F1" s="238" ph="1"/>
      <c r="G1" s="238" ph="1"/>
      <c r="H1" s="238" ph="1"/>
      <c r="I1" s="238" ph="1"/>
      <c r="J1" s="238" ph="1"/>
      <c r="K1" s="238" ph="1"/>
      <c r="L1" s="238" ph="1"/>
      <c r="M1" s="238" ph="1"/>
      <c r="N1" s="238" ph="1"/>
      <c r="O1" s="238" ph="1"/>
      <c r="P1" s="238" ph="1"/>
      <c r="Q1" s="238" ph="1"/>
      <c r="R1" s="238" ph="1"/>
      <c r="S1" s="238" ph="1"/>
      <c r="T1" s="238" ph="1"/>
      <c r="U1" s="238" ph="1"/>
      <c r="V1" s="238" ph="1"/>
      <c r="W1" s="238" ph="1"/>
      <c r="X1" s="238" ph="1"/>
      <c r="Y1" s="238" ph="1"/>
      <c r="Z1" s="238" ph="1"/>
      <c r="AA1" s="238" ph="1"/>
      <c r="AB1" s="238" ph="1"/>
      <c r="AC1" s="238" ph="1"/>
      <c r="AD1" s="238" ph="1"/>
      <c r="AE1" s="238" ph="1"/>
    </row>
    <row r="2" spans="1:99" s="66" customFormat="1" ht="24" customHeight="1" ph="1">
      <c r="B2" s="239" t="s" ph="1">
        <v>82</v>
      </c>
      <c r="C2" s="239" ph="1"/>
      <c r="D2" s="239" ph="1"/>
      <c r="E2" s="239" ph="1"/>
      <c r="F2" s="239" ph="1"/>
      <c r="G2" s="239" ph="1"/>
      <c r="H2" s="239" ph="1"/>
      <c r="I2" s="239" ph="1"/>
      <c r="J2" s="239" ph="1"/>
      <c r="K2" s="239" ph="1"/>
      <c r="L2" s="239" ph="1"/>
      <c r="M2" s="239" ph="1"/>
      <c r="N2" s="239" ph="1"/>
      <c r="O2" s="239" ph="1"/>
      <c r="P2" s="239" ph="1"/>
      <c r="Q2" s="239" ph="1"/>
      <c r="R2" s="239" ph="1"/>
      <c r="S2" s="239" ph="1"/>
      <c r="T2" s="239" ph="1"/>
      <c r="U2" s="239" ph="1"/>
      <c r="V2" s="239" ph="1"/>
      <c r="W2" s="239" ph="1"/>
      <c r="X2" s="239" ph="1"/>
      <c r="Y2" s="239" ph="1"/>
      <c r="Z2" s="239" ph="1"/>
      <c r="AA2" s="239" ph="1"/>
      <c r="AB2" s="239" ph="1"/>
      <c r="AC2" s="239" ph="1"/>
      <c r="AD2" s="239" ph="1"/>
      <c r="AE2" s="239" ph="1"/>
    </row>
    <row r="3" spans="1:99" ht="21" customHeight="1" ph="1">
      <c r="B3" s="240" ph="1">
        <v>46283</v>
      </c>
      <c r="C3" s="240"/>
      <c r="D3" s="240"/>
      <c r="E3" s="240"/>
      <c r="F3" s="240"/>
      <c r="G3" s="240"/>
      <c r="H3" s="240"/>
      <c r="I3" s="240"/>
      <c r="J3" s="240"/>
      <c r="K3" s="240"/>
      <c r="L3" s="240"/>
      <c r="M3" s="240"/>
      <c r="N3" s="240"/>
      <c r="O3" s="240"/>
      <c r="P3" s="240"/>
      <c r="Q3" s="240"/>
      <c r="R3" s="240"/>
      <c r="S3" s="240"/>
      <c r="T3" s="240"/>
      <c r="U3" s="240"/>
      <c r="V3" s="240"/>
      <c r="W3" s="240"/>
      <c r="X3" s="240"/>
      <c r="Y3" s="240"/>
      <c r="Z3" s="240"/>
      <c r="AA3" s="240"/>
      <c r="AB3" s="240"/>
      <c r="AC3" s="240"/>
      <c r="AD3" s="240"/>
      <c r="AE3" s="240"/>
    </row>
    <row r="4" spans="1:99" s="69" customFormat="1" ph="1">
      <c r="A4" s="65" ph="1"/>
      <c r="B4" s="219" t="s" ph="1">
        <v>37</v>
      </c>
      <c r="C4" s="67" t="s" ph="1">
        <v>176</v>
      </c>
      <c r="D4" s="68" t="s" ph="1">
        <v>44</v>
      </c>
      <c r="E4" s="68" t="s" ph="1">
        <v>45</v>
      </c>
      <c r="F4" s="68" t="s" ph="1">
        <v>39</v>
      </c>
      <c r="G4" s="68" t="s" ph="1">
        <v>46</v>
      </c>
      <c r="H4" s="68" t="s" ph="1">
        <v>47</v>
      </c>
      <c r="I4" s="68" t="s" ph="1">
        <v>110</v>
      </c>
      <c r="J4" s="68" t="s" ph="1">
        <v>48</v>
      </c>
      <c r="K4" s="68" t="s" ph="1">
        <v>111</v>
      </c>
      <c r="L4" s="68" t="s" ph="1">
        <v>112</v>
      </c>
      <c r="M4" s="68" t="s" ph="1">
        <v>49</v>
      </c>
      <c r="N4" s="68" t="s" ph="1">
        <v>50</v>
      </c>
      <c r="O4" s="68" t="s" ph="1">
        <v>113</v>
      </c>
      <c r="P4" s="68" t="s" ph="1">
        <v>114</v>
      </c>
      <c r="Q4" s="68" t="s" ph="1">
        <v>115</v>
      </c>
      <c r="R4" s="68" t="s" ph="1">
        <v>116</v>
      </c>
      <c r="S4" s="68" t="s" ph="1">
        <v>117</v>
      </c>
      <c r="T4" s="68" t="s" ph="1">
        <v>118</v>
      </c>
      <c r="U4" s="68" t="s" ph="1">
        <v>119</v>
      </c>
      <c r="V4" s="68" t="s" ph="1">
        <v>120</v>
      </c>
      <c r="W4" s="68" t="s" ph="1">
        <v>121</v>
      </c>
      <c r="X4" s="68" t="s" ph="1">
        <v>122</v>
      </c>
      <c r="Y4" s="68" t="s" ph="1">
        <v>123</v>
      </c>
      <c r="Z4" s="68" t="s" ph="1">
        <v>51</v>
      </c>
      <c r="AA4" s="68" t="s" ph="1">
        <v>124</v>
      </c>
      <c r="AB4" s="68" t="s" ph="1">
        <v>125</v>
      </c>
      <c r="AC4" s="68" t="s" ph="1">
        <v>126</v>
      </c>
      <c r="AD4" s="68" t="s" ph="1">
        <v>40</v>
      </c>
      <c r="AE4" s="68" t="s" ph="1">
        <v>127</v>
      </c>
      <c r="AF4" s="65" ph="1"/>
      <c r="AG4" s="65" ph="1"/>
      <c r="AH4" s="65" ph="1"/>
      <c r="AI4" s="65" ph="1"/>
      <c r="AJ4" s="65" ph="1"/>
      <c r="AK4" s="65" ph="1"/>
      <c r="AL4" s="65" ph="1"/>
      <c r="AM4" s="65" ph="1"/>
      <c r="AN4" s="65" ph="1"/>
      <c r="AO4" s="65" ph="1"/>
      <c r="AP4" s="65" ph="1"/>
      <c r="AQ4" s="65" ph="1"/>
      <c r="AR4" s="65" ph="1"/>
      <c r="AS4" s="65" ph="1"/>
      <c r="AT4" s="65" ph="1"/>
      <c r="AU4" s="65" ph="1"/>
      <c r="AV4" s="65" ph="1"/>
      <c r="AW4" s="65" ph="1"/>
      <c r="AX4" s="65" ph="1"/>
      <c r="AY4" s="65" ph="1"/>
      <c r="AZ4" s="65" ph="1"/>
      <c r="BA4" s="65" ph="1"/>
      <c r="BB4" s="65" ph="1"/>
      <c r="BC4" s="65" ph="1"/>
      <c r="BD4" s="65" ph="1"/>
      <c r="BE4" s="65" ph="1"/>
      <c r="BF4" s="65" ph="1"/>
      <c r="BG4" s="65" ph="1"/>
      <c r="BH4" s="65" ph="1"/>
      <c r="BI4" s="65" ph="1"/>
      <c r="BJ4" s="65" ph="1"/>
      <c r="BK4" s="65" ph="1"/>
      <c r="BL4" s="65" ph="1"/>
      <c r="BM4" s="65" ph="1"/>
      <c r="BN4" s="65" ph="1"/>
      <c r="BO4" s="65" ph="1"/>
      <c r="BP4" s="65" ph="1"/>
      <c r="BQ4" s="65" ph="1"/>
      <c r="BR4" s="65" ph="1"/>
      <c r="BS4" s="65" ph="1"/>
      <c r="BT4" s="65" ph="1"/>
      <c r="BU4" s="65" ph="1"/>
      <c r="BV4" s="65" ph="1"/>
      <c r="BW4" s="65" ph="1"/>
      <c r="BX4" s="65" ph="1"/>
      <c r="BY4" s="65" ph="1"/>
      <c r="BZ4" s="65" ph="1"/>
      <c r="CA4" s="65" ph="1"/>
      <c r="CB4" s="65" ph="1"/>
      <c r="CC4" s="65" ph="1"/>
      <c r="CD4" s="65" ph="1"/>
      <c r="CE4" s="65" ph="1"/>
      <c r="CF4" s="65" ph="1"/>
      <c r="CG4" s="65" ph="1"/>
      <c r="CH4" s="65" ph="1"/>
      <c r="CI4" s="65" ph="1"/>
      <c r="CJ4" s="65" ph="1"/>
      <c r="CK4" s="65" ph="1"/>
      <c r="CL4" s="65" ph="1"/>
      <c r="CM4" s="65" ph="1"/>
      <c r="CN4" s="65" ph="1"/>
      <c r="CO4" s="65" ph="1"/>
      <c r="CP4" s="65" ph="1"/>
      <c r="CQ4" s="65" ph="1"/>
      <c r="CR4" s="65" ph="1"/>
      <c r="CS4" s="65" ph="1"/>
      <c r="CT4" s="65" ph="1"/>
      <c r="CU4" s="65" ph="1"/>
    </row>
    <row r="5" spans="1:99" s="69" customFormat="1" ht="29.25" customHeight="1" ph="1">
      <c r="A5" s="65" ph="1"/>
      <c r="B5" s="219" ph="1"/>
      <c r="C5" s="67" t="s" ph="1">
        <v>36</v>
      </c>
      <c r="D5" s="70" t="s" ph="1">
        <v>160</v>
      </c>
      <c r="E5" s="142" t="s" ph="1">
        <v>642</v>
      </c>
      <c r="F5" s="142" t="s" ph="1">
        <v>1</v>
      </c>
      <c r="G5" s="142" t="s" ph="1">
        <v>7</v>
      </c>
      <c r="H5" s="142" t="s" ph="1">
        <v>7</v>
      </c>
      <c r="I5" s="141" t="s" ph="1">
        <v>608</v>
      </c>
      <c r="J5" s="141" t="s" ph="1">
        <v>609</v>
      </c>
      <c r="K5" s="141" t="s" ph="1">
        <v>611</v>
      </c>
      <c r="L5" s="141" t="s" ph="1">
        <v>613</v>
      </c>
      <c r="M5" s="141" t="s" ph="1">
        <v>608</v>
      </c>
      <c r="N5" s="70" t="s" ph="1">
        <v>609</v>
      </c>
      <c r="O5" s="70" t="s" ph="1">
        <v>611</v>
      </c>
      <c r="P5" s="70" t="s" ph="1">
        <v>613</v>
      </c>
      <c r="Q5" s="70" t="s" ph="1">
        <v>607</v>
      </c>
      <c r="R5" s="70" t="s" ph="1">
        <v>607</v>
      </c>
      <c r="S5" s="70" t="s" ph="1">
        <v>607</v>
      </c>
      <c r="T5" s="70" t="s" ph="1">
        <v>607</v>
      </c>
      <c r="U5" s="70" t="s" ph="1">
        <v>607</v>
      </c>
      <c r="V5" s="70" t="s" ph="1">
        <v>607</v>
      </c>
      <c r="W5" s="70" t="s" ph="1">
        <v>607</v>
      </c>
      <c r="X5" s="70" t="s" ph="1">
        <v>607</v>
      </c>
      <c r="Y5" s="70" t="s" ph="1">
        <v>607</v>
      </c>
      <c r="Z5" s="70" t="s" ph="1">
        <v>614</v>
      </c>
      <c r="AA5" s="70" t="s" ph="1">
        <v>54</v>
      </c>
      <c r="AB5" s="70" t="s" ph="1">
        <v>54</v>
      </c>
      <c r="AC5" s="70" t="s" ph="1">
        <v>615</v>
      </c>
      <c r="AD5" s="71" t="s">
        <v>72</v>
      </c>
      <c r="AE5" s="71" t="s">
        <v>635</v>
      </c>
      <c r="AF5" s="65" ph="1"/>
      <c r="AG5" s="65" ph="1"/>
      <c r="AH5" s="65" ph="1"/>
      <c r="AI5" s="65" ph="1"/>
      <c r="AJ5" s="65" ph="1"/>
      <c r="AK5" s="65" ph="1"/>
      <c r="AL5" s="65" ph="1"/>
      <c r="AM5" s="65" ph="1"/>
      <c r="AN5" s="65" ph="1"/>
      <c r="AO5" s="65" ph="1"/>
      <c r="AP5" s="65" ph="1"/>
      <c r="AQ5" s="65" ph="1"/>
      <c r="AR5" s="65" ph="1"/>
      <c r="AS5" s="65" ph="1"/>
      <c r="AT5" s="65" ph="1"/>
      <c r="AU5" s="65" ph="1"/>
      <c r="AV5" s="65" ph="1"/>
      <c r="AW5" s="65" ph="1"/>
      <c r="AX5" s="65" ph="1"/>
      <c r="AY5" s="65" ph="1"/>
      <c r="AZ5" s="65" ph="1"/>
      <c r="BA5" s="65" ph="1"/>
      <c r="BB5" s="65" ph="1"/>
      <c r="BC5" s="65" ph="1"/>
      <c r="BD5" s="65" ph="1"/>
      <c r="BE5" s="65" ph="1"/>
      <c r="BF5" s="65" ph="1"/>
      <c r="BG5" s="65" ph="1"/>
      <c r="BH5" s="65" ph="1"/>
      <c r="BI5" s="65" ph="1"/>
      <c r="BJ5" s="65" ph="1"/>
      <c r="BK5" s="65" ph="1"/>
      <c r="BL5" s="65" ph="1"/>
      <c r="BM5" s="65" ph="1"/>
      <c r="BN5" s="65" ph="1"/>
      <c r="BO5" s="65" ph="1"/>
      <c r="BP5" s="65" ph="1"/>
      <c r="BQ5" s="65" ph="1"/>
      <c r="BR5" s="65" ph="1"/>
      <c r="BS5" s="65" ph="1"/>
      <c r="BT5" s="65" ph="1"/>
      <c r="BU5" s="65" ph="1"/>
      <c r="BV5" s="65" ph="1"/>
      <c r="BW5" s="65" ph="1"/>
      <c r="BX5" s="65" ph="1"/>
      <c r="BY5" s="65" ph="1"/>
      <c r="BZ5" s="65" ph="1"/>
      <c r="CA5" s="65" ph="1"/>
      <c r="CB5" s="65" ph="1"/>
      <c r="CC5" s="65" ph="1"/>
      <c r="CD5" s="65" ph="1"/>
      <c r="CE5" s="65" ph="1"/>
      <c r="CF5" s="65" ph="1"/>
      <c r="CG5" s="65" ph="1"/>
      <c r="CH5" s="65" ph="1"/>
      <c r="CI5" s="65" ph="1"/>
      <c r="CJ5" s="65" ph="1"/>
      <c r="CK5" s="65" ph="1"/>
      <c r="CL5" s="65" ph="1"/>
      <c r="CM5" s="65" ph="1"/>
      <c r="CN5" s="65" ph="1"/>
      <c r="CO5" s="65" ph="1"/>
      <c r="CP5" s="65" ph="1"/>
      <c r="CQ5" s="65" ph="1"/>
      <c r="CR5" s="65" ph="1"/>
      <c r="CS5" s="65" ph="1"/>
      <c r="CT5" s="65" ph="1"/>
      <c r="CU5" s="65" ph="1"/>
    </row>
    <row r="6" spans="1:99" ph="1">
      <c r="B6" s="237" ph="1">
        <v>0.33333333333333331</v>
      </c>
      <c r="C6" s="155" t="s" ph="1">
        <v>177</v>
      </c>
      <c r="D6" s="71">
        <v>6500</v>
      </c>
      <c r="E6" s="71">
        <v>3442</v>
      </c>
      <c r="F6" s="71">
        <v>3184</v>
      </c>
      <c r="G6" s="71">
        <v>0</v>
      </c>
      <c r="H6" s="71">
        <v>7936</v>
      </c>
      <c r="I6" s="71">
        <v>4.51</v>
      </c>
      <c r="J6" s="71">
        <v>6.66</v>
      </c>
      <c r="K6" s="71">
        <v>7.37</v>
      </c>
      <c r="L6" s="71">
        <v>61.93</v>
      </c>
      <c r="M6" s="71">
        <v>3230</v>
      </c>
      <c r="N6" s="71">
        <v>1518</v>
      </c>
      <c r="O6" s="71">
        <v>2855</v>
      </c>
      <c r="P6" s="71">
        <v>5894</v>
      </c>
      <c r="Q6" s="71">
        <v>0</v>
      </c>
      <c r="R6" s="71">
        <v>0</v>
      </c>
      <c r="S6" s="71">
        <v>0</v>
      </c>
      <c r="T6" s="71">
        <v>0</v>
      </c>
      <c r="U6" s="71">
        <v>3985</v>
      </c>
      <c r="V6" s="71">
        <v>5190</v>
      </c>
      <c r="W6" s="71">
        <v>5712</v>
      </c>
      <c r="X6" s="71">
        <v>3041</v>
      </c>
      <c r="Y6" s="71">
        <v>0</v>
      </c>
      <c r="Z6" s="71">
        <v>3941</v>
      </c>
      <c r="AA6" s="71">
        <v>1272</v>
      </c>
      <c r="AB6" s="71">
        <v>825</v>
      </c>
      <c r="AC6" s="71">
        <v>6484</v>
      </c>
      <c r="AD6" s="71">
        <v>5109</v>
      </c>
      <c r="AE6" s="71">
        <v>5570</v>
      </c>
    </row>
    <row r="7" spans="1:99" s="72" customFormat="1" ht="22.2" ph="1">
      <c r="B7" s="237" ph="1"/>
      <c r="C7" s="68" t="s" ph="1">
        <v>178</v>
      </c>
      <c r="D7" s="73" ph="1">
        <f>D6*33.183*LOOKUP(D8,密度!$A$2:$A$50,密度!$Q$2:$Q$50)</f>
        <v>203595.789735</v>
      </c>
      <c r="E7" s="73" ph="1">
        <f>E6*51.53*LOOKUP(E8,密度!$A$2:$A$50,密度!$B$2:$B$50)</f>
        <v>138115.10666200001</v>
      </c>
      <c r="F7" s="73" ph="1">
        <f>F6*33.183*LOOKUP(F8,密度!$A$2:$A$50,密度!$C$2:$C$50)</f>
        <v>117160.4657808</v>
      </c>
      <c r="G7" s="73" ph="1">
        <f xml:space="preserve"> (G6+2)*51.53*LOOKUP(G8,密度!$A$2:$A$50,密度!$B$2:$B$50)</f>
        <v>80.252821999999995</v>
      </c>
      <c r="H7" s="73" ph="1">
        <f>(H6)*51.53*LOOKUP(H8,密度!$A$2:$A$50,密度!$B$2:$B$50)</f>
        <v>318811.24556800001</v>
      </c>
      <c r="I7" s="73" ph="1">
        <f>I6*290.8*1.0267</f>
        <v>1346.5252636</v>
      </c>
      <c r="J7" s="73" ph="1">
        <f>J6*290.8*0.7892</f>
        <v>1528.4657376</v>
      </c>
      <c r="K7" s="73" ph="1">
        <f>K6*290.8*1.1126</f>
        <v>2384.5198695999998</v>
      </c>
      <c r="L7" s="73" ph="1">
        <f>L6*290.8*0.777</f>
        <v>13993.182588000001</v>
      </c>
      <c r="M7" s="73" ph="1">
        <f>M6*33.183*LOOKUP(M8,密度!$A$2:$A$50,密度!$D$2:$D$50)</f>
        <v>109839.18103199999</v>
      </c>
      <c r="N7" s="73" ph="1">
        <f>N6*33.183*LOOKUP(N8,密度!$A$2:$A$50,密度!$E$2:$E$50)</f>
        <v>39340.371114000001</v>
      </c>
      <c r="O7" s="73" ph="1">
        <f>O6*20.428*LOOKUP(O8,密度!$A$2:$A$50,密度!$C$2:$C$50)</f>
        <v>64393.253954000007</v>
      </c>
      <c r="P7" s="73" ph="1">
        <f>P6*51.53*LOOKUP(P8,密度!$A$2:$A$50,密度!$B$2:$B$50)</f>
        <v>236778.412472</v>
      </c>
      <c r="Q7" s="73" ph="1">
        <f>Q6*1.5*1.5*3.1416*LOOKUP(W8,密度!$A$2:$A$50,密度!$L$2:$L$50)</f>
        <v>0</v>
      </c>
      <c r="R7" s="73" ph="1">
        <f>R6*1.5*1.5*3.1416*LOOKUP(R8,密度!$A$2:$A$50,密度!$L$2:$L$50)</f>
        <v>0</v>
      </c>
      <c r="S7" s="73" ph="1">
        <f>S6*1.5*1.5*3.1416*LOOKUP(S8,密度!$A$2:$A$50,密度!$L$2:$L$50)</f>
        <v>0</v>
      </c>
      <c r="T7" s="73" ph="1">
        <f>T6*1.5*1.5*3.1416*LOOKUP(T8,密度!$A$2:$A$50,密度!$L$2:$L$50)</f>
        <v>0</v>
      </c>
      <c r="U7" s="73" ph="1">
        <f>U6*1.5*1.5*3.1416*LOOKUP(U8,密度!$A$2:$A$50,密度!$L$2:$L$50)</f>
        <v>26365.595256000001</v>
      </c>
      <c r="V7" s="73" ph="1">
        <f>V6*1.5*1.5*3.1416*LOOKUP(V8,密度!$A$2:$A$50,密度!$L$2:$L$50)</f>
        <v>34301.441790000004</v>
      </c>
      <c r="W7" s="73" ph="1">
        <f>W6*1.5*1.5*3.1416*LOOKUP(W8,密度!$A$2:$A$50,密度!$L$2:$L$50)</f>
        <v>37791.789235199998</v>
      </c>
      <c r="X7" s="73" ph="1">
        <f>X6*1.5*1.5*3.1416*LOOKUP(X8,密度!$A$2:$A$50,密度!$L$2:$L$50)</f>
        <v>20334.8495196</v>
      </c>
      <c r="Y7" s="73" ph="1">
        <f>Y6*1.5*1.5*3.1416*LOOKUP(Y8,密度!$A$2:$A$50,密度!$L$2:$L$50)</f>
        <v>0</v>
      </c>
      <c r="Z7" s="73" ph="1">
        <f>Z6*33.183*LOOKUP(Z8,密度!$A$2:$A$50,密度!$L$2:$L$50)</f>
        <v>122666.20241399998</v>
      </c>
      <c r="AA7" s="73" ph="1">
        <f>AA6*33.183*LOOKUP(AA8,密度!$A$2:$A$50,密度!$D$2:$D$50)</f>
        <v>43297.762420799998</v>
      </c>
      <c r="AB7" s="73" ph="1">
        <f>AB6*20.428*LOOKUP(AB8,密度!$A$2:$A$50,密度!$D$2:$D$50)</f>
        <v>17367.119550000003</v>
      </c>
      <c r="AC7" s="73" ph="1">
        <f>AC6*51.53*LOOKUP(AC8,密度!$A$2:$A$50,密度!$Q$2:$Q$50)</f>
        <v>316088.03553560004</v>
      </c>
      <c r="AD7" s="73" ph="1">
        <f>AD6*20.428*LOOKUP(AD8,密度!$A$2:$A$50,密度!$V$2:$V$50)</f>
        <v>100275.4792416</v>
      </c>
      <c r="AE7" s="73" ph="1">
        <f>AE6*20.428</f>
        <v>113783.96</v>
      </c>
    </row>
    <row r="8" spans="1:99" ph="1">
      <c r="B8" s="237" ph="1"/>
      <c r="C8" s="68" t="s" ph="1">
        <v>179</v>
      </c>
      <c r="D8" s="74">
        <v>29</v>
      </c>
      <c r="E8" s="74">
        <v>26</v>
      </c>
      <c r="F8" s="74">
        <v>25</v>
      </c>
      <c r="G8" s="74">
        <v>26</v>
      </c>
      <c r="H8" s="74">
        <v>25</v>
      </c>
      <c r="I8" s="74">
        <v>25</v>
      </c>
      <c r="J8" s="74">
        <v>25</v>
      </c>
      <c r="K8" s="74">
        <v>25</v>
      </c>
      <c r="L8" s="74">
        <v>25</v>
      </c>
      <c r="M8" s="74">
        <v>27</v>
      </c>
      <c r="N8" s="74">
        <v>27</v>
      </c>
      <c r="O8" s="74">
        <v>31</v>
      </c>
      <c r="P8" s="74">
        <v>25</v>
      </c>
      <c r="Q8" s="74">
        <v>29</v>
      </c>
      <c r="R8" s="74">
        <v>32</v>
      </c>
      <c r="S8" s="74">
        <v>23</v>
      </c>
      <c r="T8" s="74">
        <v>21</v>
      </c>
      <c r="U8" s="74">
        <v>26</v>
      </c>
      <c r="V8" s="74">
        <v>27</v>
      </c>
      <c r="W8" s="74">
        <v>26</v>
      </c>
      <c r="X8" s="74">
        <v>16</v>
      </c>
      <c r="Y8" s="74">
        <v>26</v>
      </c>
      <c r="Z8" s="74">
        <v>24</v>
      </c>
      <c r="AA8" s="74">
        <v>26</v>
      </c>
      <c r="AB8" s="74">
        <v>21</v>
      </c>
      <c r="AC8" s="74">
        <v>26</v>
      </c>
      <c r="AD8" s="74">
        <v>25</v>
      </c>
      <c r="AE8" s="74">
        <v>28</v>
      </c>
    </row>
    <row r="9" spans="1:99" ht="26.4" ph="1">
      <c r="B9" s="237" ph="1">
        <v>0.66666666666666663</v>
      </c>
      <c r="C9" s="155" t="s" ph="1">
        <v>180</v>
      </c>
      <c r="D9" s="71">
        <v>6860</v>
      </c>
      <c r="E9" s="71">
        <v>3439</v>
      </c>
      <c r="F9" s="71">
        <v>3187</v>
      </c>
      <c r="G9" s="71">
        <v>0</v>
      </c>
      <c r="H9" s="71">
        <v>8539</v>
      </c>
      <c r="I9" s="71">
        <v>4.4800000000000004</v>
      </c>
      <c r="J9" s="71">
        <v>6.67</v>
      </c>
      <c r="K9" s="71">
        <v>64.53</v>
      </c>
      <c r="L9" s="71">
        <v>12.44</v>
      </c>
      <c r="M9" s="71">
        <v>3232</v>
      </c>
      <c r="N9" s="71">
        <v>1520</v>
      </c>
      <c r="O9" s="71">
        <v>2854</v>
      </c>
      <c r="P9" s="71">
        <v>6553</v>
      </c>
      <c r="Q9" s="71">
        <v>0</v>
      </c>
      <c r="R9" s="71">
        <v>0</v>
      </c>
      <c r="S9" s="71">
        <v>0</v>
      </c>
      <c r="T9" s="71">
        <v>0</v>
      </c>
      <c r="U9" s="71">
        <v>0</v>
      </c>
      <c r="V9" s="71">
        <v>5132</v>
      </c>
      <c r="W9" s="71">
        <v>7079</v>
      </c>
      <c r="X9" s="71">
        <v>5212</v>
      </c>
      <c r="Y9" s="71">
        <v>1223</v>
      </c>
      <c r="Z9" s="71">
        <v>4783</v>
      </c>
      <c r="AA9" s="71">
        <v>1273</v>
      </c>
      <c r="AB9" s="71">
        <v>737</v>
      </c>
      <c r="AC9" s="71">
        <v>6207</v>
      </c>
      <c r="AD9" s="71">
        <v>5113</v>
      </c>
      <c r="AE9" s="71">
        <v>5532</v>
      </c>
    </row>
    <row r="10" spans="1:99" s="72" customFormat="1" ht="22.2" ph="1">
      <c r="B10" s="237" ph="1"/>
      <c r="C10" s="155" t="s" ph="1">
        <v>178</v>
      </c>
      <c r="D10" s="73" ph="1">
        <f>D9*33.183*LOOKUP(D11,密度!$A$2:$A$50,密度!$Q$2:$Q$50)</f>
        <v>214735.2830154</v>
      </c>
      <c r="E10" s="73" ph="1">
        <f>E9*51.53*LOOKUP(E11,密度!$A$2:$A$50,密度!$B$2:$B$50)</f>
        <v>137392.20775100001</v>
      </c>
      <c r="F10" s="73" ph="1">
        <f>F9*33.183*LOOKUP(F11,密度!$A$2:$A$50,密度!$C$2:$C$50)</f>
        <v>117112.22433539999</v>
      </c>
      <c r="G10" s="73" ph="1">
        <f xml:space="preserve"> (G9+2)*51.53*LOOKUP(G11,密度!$A$2:$A$50,密度!$B$2:$B$50)</f>
        <v>79.541708</v>
      </c>
      <c r="H10" s="73" ph="1">
        <f>(H9)*51.53*LOOKUP(H11,密度!$A$2:$A$50,密度!$B$2:$B$50)</f>
        <v>340747.36044799996</v>
      </c>
      <c r="I10" s="73" ph="1">
        <f>I9*290.8*1.0267</f>
        <v>1337.5683328</v>
      </c>
      <c r="J10" s="73" ph="1">
        <f>J9*290.8*0.7892</f>
        <v>1530.7607312</v>
      </c>
      <c r="K10" s="73" ph="1">
        <f>K9*290.8*1.1126</f>
        <v>20878.299482400002</v>
      </c>
      <c r="L10" s="73" ph="1">
        <f>L9*290.8*0.777</f>
        <v>2810.837904</v>
      </c>
      <c r="M10" s="73" ph="1">
        <f>M9*33.183*LOOKUP(M11,密度!$A$2:$A$50,密度!$D$2:$D$50)</f>
        <v>109606.90003200001</v>
      </c>
      <c r="N10" s="73" ph="1">
        <f>N9*33.183*LOOKUP(N11,密度!$A$2:$A$50,密度!$E$2:$E$50)</f>
        <v>39220.713215999996</v>
      </c>
      <c r="O10" s="73" ph="1">
        <f>O9*20.428*LOOKUP(O11,密度!$A$2:$A$50,密度!$C$2:$C$50)</f>
        <v>64125.833048800007</v>
      </c>
      <c r="P10" s="73" ph="1">
        <f>P9*51.53*LOOKUP(P11,密度!$A$2:$A$50,密度!$B$2:$B$50)</f>
        <v>261800.27257700003</v>
      </c>
      <c r="Q10" s="73" ph="1">
        <f>Q9*1.5*1.5*3.1416*LOOKUP(W11,密度!$A$2:$A$50,密度!$L$2:$L$50)</f>
        <v>0</v>
      </c>
      <c r="R10" s="73" ph="1">
        <f>R9*1.5*1.5*3.1416*LOOKUP(R11,密度!$A$2:$A$50,密度!$L$2:$L$50)</f>
        <v>0</v>
      </c>
      <c r="S10" s="73" ph="1">
        <f>S9*1.5*1.5*3.1416*LOOKUP(S11,密度!$A$2:$A$50,密度!$L$2:$L$50)</f>
        <v>0</v>
      </c>
      <c r="T10" s="73" ph="1">
        <f>T9*1.5*1.5*3.1416*LOOKUP(T11,密度!$A$2:$A$50,密度!$L$2:$L$50)</f>
        <v>0</v>
      </c>
      <c r="U10" s="73" ph="1">
        <f>U9*1.5*1.5*3.1416*LOOKUP(U11,密度!$A$2:$A$50,密度!$L$2:$L$50)</f>
        <v>0</v>
      </c>
      <c r="V10" s="73" ph="1">
        <f>V9*1.5*1.5*3.1416*LOOKUP(V11,密度!$A$2:$A$50,密度!$L$2:$L$50)</f>
        <v>33918.111612000008</v>
      </c>
      <c r="W10" s="73" ph="1">
        <f>W9*1.5*1.5*3.1416*LOOKUP(W11,密度!$A$2:$A$50,密度!$L$2:$L$50)</f>
        <v>46786.109139</v>
      </c>
      <c r="X10" s="73" ph="1">
        <f>X9*1.5*1.5*3.1416*LOOKUP(X11,密度!$A$2:$A$50,密度!$L$2:$L$50)</f>
        <v>34741.575237599995</v>
      </c>
      <c r="Y10" s="73" ph="1">
        <f>Y9*1.5*1.5*3.1416*LOOKUP(Y11,密度!$A$2:$A$50,密度!$L$2:$L$50)</f>
        <v>8082.9794430000011</v>
      </c>
      <c r="Z10" s="73" ph="1">
        <f>Z9*33.183*LOOKUP(Z11,密度!$A$2:$A$50,密度!$L$2:$L$50)</f>
        <v>148556.57450399999</v>
      </c>
      <c r="AA10" s="73" ph="1">
        <f>AA9*33.183*LOOKUP(AA11,密度!$A$2:$A$50,密度!$D$2:$D$50)</f>
        <v>43171.282098000003</v>
      </c>
      <c r="AB10" s="73" ph="1">
        <f>AB9*20.428*LOOKUP(AB11,密度!$A$2:$A$50,密度!$D$2:$D$50)</f>
        <v>15386.655592000001</v>
      </c>
      <c r="AC10" s="73" ph="1">
        <f>AC9*51.53*LOOKUP(AC11,密度!$A$2:$A$50,密度!$Q$2:$Q$50)</f>
        <v>301720.99694430002</v>
      </c>
      <c r="AD10" s="73" ph="1">
        <f>AD9*20.428*LOOKUP(AD11,密度!$A$2:$A$50,密度!$V$2:$V$50)</f>
        <v>100019.75336640001</v>
      </c>
      <c r="AE10" s="73" ph="1">
        <f>AE9*20.428</f>
        <v>113007.69600000001</v>
      </c>
    </row>
    <row r="11" spans="1:99" ph="1">
      <c r="A11" s="64" t="s" ph="1">
        <v>162</v>
      </c>
      <c r="B11" s="237" ph="1"/>
      <c r="C11" s="155" t="s" ph="1">
        <v>179</v>
      </c>
      <c r="D11" s="74">
        <v>30</v>
      </c>
      <c r="E11" s="74">
        <v>30</v>
      </c>
      <c r="F11" s="74">
        <v>27</v>
      </c>
      <c r="G11" s="74">
        <v>34</v>
      </c>
      <c r="H11" s="74">
        <v>31</v>
      </c>
      <c r="I11" s="74">
        <v>25</v>
      </c>
      <c r="J11" s="74">
        <v>25</v>
      </c>
      <c r="K11" s="74">
        <v>25</v>
      </c>
      <c r="L11" s="74">
        <v>25</v>
      </c>
      <c r="M11" s="74">
        <v>30</v>
      </c>
      <c r="N11" s="74">
        <v>30</v>
      </c>
      <c r="O11" s="74">
        <v>35</v>
      </c>
      <c r="P11" s="74">
        <v>30</v>
      </c>
      <c r="Q11" s="74">
        <v>42</v>
      </c>
      <c r="R11" s="74">
        <v>36</v>
      </c>
      <c r="S11" s="74">
        <v>27</v>
      </c>
      <c r="T11" s="74">
        <v>38</v>
      </c>
      <c r="U11" s="74">
        <v>30</v>
      </c>
      <c r="V11" s="74">
        <v>27</v>
      </c>
      <c r="W11" s="74">
        <v>27</v>
      </c>
      <c r="X11" s="74">
        <v>19</v>
      </c>
      <c r="Y11" s="74">
        <v>27</v>
      </c>
      <c r="Z11" s="74">
        <v>26</v>
      </c>
      <c r="AA11" s="74">
        <v>30</v>
      </c>
      <c r="AB11" s="74">
        <v>30</v>
      </c>
      <c r="AC11" s="74">
        <v>30</v>
      </c>
      <c r="AD11" s="74">
        <v>30</v>
      </c>
      <c r="AE11" s="74">
        <v>31</v>
      </c>
    </row>
    <row r="12" spans="1:99" ht="9.9" customHeight="1" ph="1"/>
    <row r="13" spans="1:99" s="72" customFormat="1" ht="29.25" customHeight="1" ph="1">
      <c r="B13" s="214" t="s" ph="1">
        <v>37</v>
      </c>
      <c r="C13" s="155" t="s" ph="1">
        <v>176</v>
      </c>
      <c r="D13" s="76" t="s" ph="1">
        <v>52</v>
      </c>
      <c r="E13" s="76" t="s" ph="1">
        <v>53</v>
      </c>
      <c r="F13" s="76" t="s" ph="1">
        <v>57</v>
      </c>
      <c r="G13" s="76" t="s" ph="1">
        <v>58</v>
      </c>
      <c r="H13" s="76" t="s" ph="1">
        <v>128</v>
      </c>
      <c r="I13" s="76" t="s" ph="1">
        <v>59</v>
      </c>
      <c r="J13" s="76" t="s" ph="1">
        <v>129</v>
      </c>
      <c r="K13" s="76" t="s" ph="1">
        <v>55</v>
      </c>
      <c r="L13" s="76" t="s" ph="1">
        <v>60</v>
      </c>
      <c r="M13" s="76" t="s" ph="1">
        <v>61</v>
      </c>
      <c r="N13" s="76" t="s" ph="1">
        <v>130</v>
      </c>
      <c r="O13" s="76" t="s" ph="1">
        <v>56</v>
      </c>
      <c r="P13" s="76" t="s" ph="1">
        <v>62</v>
      </c>
      <c r="Q13" s="76" t="s" ph="1">
        <v>63</v>
      </c>
      <c r="R13" s="76" t="s" ph="1">
        <v>64</v>
      </c>
      <c r="S13" s="76" t="s" ph="1">
        <v>65</v>
      </c>
      <c r="T13" s="76" t="s" ph="1">
        <v>66</v>
      </c>
      <c r="U13" s="76" t="s" ph="1">
        <v>67</v>
      </c>
      <c r="V13" s="76" t="s" ph="1">
        <v>131</v>
      </c>
      <c r="W13" s="76" t="s" ph="1">
        <v>132</v>
      </c>
      <c r="X13" s="76" t="s" ph="1">
        <v>133</v>
      </c>
      <c r="Y13" s="105" t="s" ph="1">
        <v>68</v>
      </c>
      <c r="Z13" s="76" t="s" ph="1">
        <v>74</v>
      </c>
      <c r="AA13" s="76" t="s" ph="1">
        <v>134</v>
      </c>
      <c r="AB13" s="76" t="s" ph="1">
        <v>135</v>
      </c>
      <c r="AC13" s="76" t="s" ph="1">
        <v>136</v>
      </c>
      <c r="AD13" s="76" t="s" ph="1">
        <v>137</v>
      </c>
      <c r="AE13" s="76" t="s" ph="1">
        <v>138</v>
      </c>
      <c r="AG13" s="72" t="s" ph="1">
        <v>325</v>
      </c>
      <c r="AH13" s="72" t="s" ph="1">
        <v>188</v>
      </c>
      <c r="AI13" s="72" t="s" ph="1">
        <v>189</v>
      </c>
      <c r="AJ13" s="72" t="s" ph="1">
        <v>190</v>
      </c>
      <c r="AK13" s="72" t="s" ph="1">
        <v>191</v>
      </c>
      <c r="AL13" s="72" t="s" ph="1">
        <v>192</v>
      </c>
      <c r="AM13" s="72" t="s" ph="1">
        <v>193</v>
      </c>
      <c r="AN13" s="72" t="s" ph="1">
        <v>194</v>
      </c>
      <c r="AO13" s="72" t="s" ph="1">
        <v>195</v>
      </c>
      <c r="AP13" s="72" t="s" ph="1">
        <v>196</v>
      </c>
      <c r="AQ13" s="72" t="s" ph="1">
        <v>197</v>
      </c>
      <c r="AR13" s="72" t="s" ph="1">
        <v>198</v>
      </c>
      <c r="AS13" s="72" t="s" ph="1">
        <v>199</v>
      </c>
      <c r="AT13" s="72" t="s" ph="1">
        <v>200</v>
      </c>
      <c r="AU13" s="72" t="s" ph="1">
        <v>201</v>
      </c>
      <c r="AV13" s="72" t="s" ph="1">
        <v>202</v>
      </c>
      <c r="AW13" s="72" t="s" ph="1">
        <v>203</v>
      </c>
      <c r="AX13" s="72" t="s" ph="1">
        <v>204</v>
      </c>
      <c r="AY13" s="72" t="s" ph="1">
        <v>326</v>
      </c>
      <c r="AZ13" s="72" t="s" ph="1">
        <v>205</v>
      </c>
      <c r="BA13" s="72" t="s" ph="1">
        <v>206</v>
      </c>
      <c r="BB13" s="72" t="s" ph="1">
        <v>591</v>
      </c>
      <c r="BC13" s="72" t="s" ph="1">
        <v>207</v>
      </c>
      <c r="BD13" s="72" t="s" ph="1">
        <v>327</v>
      </c>
      <c r="BE13" s="72" t="s" ph="1">
        <v>328</v>
      </c>
      <c r="BF13" s="72" t="s" ph="1">
        <v>329</v>
      </c>
      <c r="BG13" s="72" t="s" ph="1">
        <v>330</v>
      </c>
      <c r="BH13" s="72" t="s" ph="1">
        <v>331</v>
      </c>
    </row>
    <row r="14" spans="1:99" s="72" customFormat="1" ht="24" ph="1">
      <c r="B14" s="215" ph="1"/>
      <c r="C14" s="67" t="s" ph="1">
        <v>36</v>
      </c>
      <c r="D14" s="77" t="s" ph="1">
        <v>616</v>
      </c>
      <c r="E14" s="77" t="s" ph="1">
        <v>616</v>
      </c>
      <c r="F14" s="77" t="s" ph="1">
        <v>639</v>
      </c>
      <c r="G14" s="77" t="s" ph="1">
        <v>617</v>
      </c>
      <c r="H14" s="77" t="s" ph="1">
        <v>636</v>
      </c>
      <c r="I14" s="138" t="s" ph="1">
        <v>618</v>
      </c>
      <c r="J14" s="77" t="s" ph="1">
        <v>619</v>
      </c>
      <c r="K14" s="77" t="s" ph="1">
        <v>186</v>
      </c>
      <c r="L14" s="77" t="s" ph="1">
        <v>41</v>
      </c>
      <c r="M14" s="104" t="s" ph="1">
        <v>620</v>
      </c>
      <c r="N14" s="104" t="s" ph="1">
        <v>621</v>
      </c>
      <c r="O14" s="104" t="s" ph="1">
        <v>637</v>
      </c>
      <c r="P14" s="77" t="s" ph="1">
        <v>622</v>
      </c>
      <c r="Q14" s="77" t="s" ph="1">
        <v>622</v>
      </c>
      <c r="R14" s="77" t="s" ph="1">
        <v>622</v>
      </c>
      <c r="S14" s="77" t="s" ph="1">
        <v>622</v>
      </c>
      <c r="T14" s="77" t="s" ph="1">
        <v>624</v>
      </c>
      <c r="U14" s="77" t="s" ph="1">
        <v>605</v>
      </c>
      <c r="V14" s="77" t="s" ph="1">
        <v>633</v>
      </c>
      <c r="W14" s="77" t="s" ph="1">
        <v>622</v>
      </c>
      <c r="X14" s="77" t="s" ph="1">
        <v>625</v>
      </c>
      <c r="Y14" s="143" t="s" ph="1">
        <v>0</v>
      </c>
      <c r="Z14" s="77" t="s" ph="1">
        <v>54</v>
      </c>
      <c r="AA14" s="77" t="s" ph="1">
        <v>613</v>
      </c>
      <c r="AB14" s="77" t="s" ph="1">
        <v>632</v>
      </c>
      <c r="AC14" s="77" t="s" ph="1">
        <v>632</v>
      </c>
      <c r="AD14" s="77" t="s" ph="1">
        <v>612</v>
      </c>
      <c r="AE14" s="77" t="s" ph="1">
        <v>612</v>
      </c>
      <c r="AG14" s="72" t="s" ph="1">
        <v>208</v>
      </c>
      <c r="AI14" s="72" t="s" ph="1">
        <v>209</v>
      </c>
      <c r="AJ14" s="72" t="s" ph="1">
        <v>332</v>
      </c>
      <c r="AK14" s="72" t="s" ph="1">
        <v>210</v>
      </c>
      <c r="AM14" s="72" t="s" ph="1">
        <v>212</v>
      </c>
      <c r="AN14" s="72" t="s" ph="1">
        <v>210</v>
      </c>
      <c r="AO14" s="72" t="s" ph="1">
        <v>211</v>
      </c>
      <c r="AP14" s="72" t="s" ph="1">
        <v>212</v>
      </c>
      <c r="AQ14" s="72" t="s" ph="1">
        <v>210</v>
      </c>
      <c r="AR14" s="72" t="s" ph="1">
        <v>211</v>
      </c>
      <c r="AS14" s="72" t="s" ph="1">
        <v>212</v>
      </c>
      <c r="AT14" s="72" t="s" ph="1">
        <v>210</v>
      </c>
      <c r="AU14" s="72" t="s" ph="1">
        <v>211</v>
      </c>
      <c r="AV14" s="72" t="s" ph="1">
        <v>212</v>
      </c>
      <c r="AW14" s="72" t="s" ph="1">
        <v>210</v>
      </c>
      <c r="AX14" s="72" t="s" ph="1">
        <v>211</v>
      </c>
      <c r="AY14" s="72" t="s" ph="1">
        <v>212</v>
      </c>
      <c r="AZ14" s="72" t="s" ph="1">
        <v>211</v>
      </c>
    </row>
    <row r="15" spans="1:99" ph="1">
      <c r="B15" s="216" ph="1">
        <v>0.33333333333333331</v>
      </c>
      <c r="C15" s="155" t="s" ph="1">
        <v>177</v>
      </c>
      <c r="D15" s="78">
        <v>4331</v>
      </c>
      <c r="E15" s="78">
        <v>4500</v>
      </c>
      <c r="F15" s="78">
        <v>3517</v>
      </c>
      <c r="G15" s="78">
        <v>2072</v>
      </c>
      <c r="H15" s="78">
        <v>1742</v>
      </c>
      <c r="I15" s="78">
        <v>5043</v>
      </c>
      <c r="J15" s="78">
        <v>419</v>
      </c>
      <c r="K15" s="78">
        <v>670</v>
      </c>
      <c r="L15" s="78">
        <v>4342</v>
      </c>
      <c r="M15" s="78">
        <v>3296</v>
      </c>
      <c r="N15" s="78">
        <v>471</v>
      </c>
      <c r="O15" s="78">
        <v>5427</v>
      </c>
      <c r="P15" s="78">
        <v>0</v>
      </c>
      <c r="Q15" s="78">
        <v>1225</v>
      </c>
      <c r="R15" s="78">
        <v>0</v>
      </c>
      <c r="S15" s="78">
        <v>0</v>
      </c>
      <c r="T15" s="78">
        <v>2909</v>
      </c>
      <c r="U15" s="78">
        <v>5492</v>
      </c>
      <c r="V15" s="78">
        <v>-817</v>
      </c>
      <c r="W15" s="71">
        <v>26</v>
      </c>
      <c r="X15" s="78">
        <v>817</v>
      </c>
      <c r="Y15" s="106">
        <v>-2366</v>
      </c>
      <c r="Z15" s="78">
        <v>0</v>
      </c>
      <c r="AA15" s="78">
        <v>2456</v>
      </c>
      <c r="AB15" s="78" ph="1">
        <v>0</v>
      </c>
      <c r="AC15" s="78" ph="1">
        <v>0</v>
      </c>
      <c r="AD15" s="78">
        <v>5.18</v>
      </c>
      <c r="AE15" s="78">
        <v>27.89</v>
      </c>
      <c r="AG15" s="64" t="s" ph="1">
        <v>214</v>
      </c>
      <c r="AH15" s="64" ph="1">
        <v>1</v>
      </c>
      <c r="AI15" s="64" t="s" ph="1">
        <v>333</v>
      </c>
      <c r="AK15" s="64" t="s" ph="1">
        <v>587</v>
      </c>
      <c r="AM15" s="64" t="s" ph="1">
        <v>335</v>
      </c>
      <c r="AZ15" s="64" t="s" ph="1">
        <v>216</v>
      </c>
      <c r="BA15" s="64" ph="1">
        <v>0</v>
      </c>
    </row>
    <row r="16" spans="1:99" s="72" customFormat="1" ht="22.2" ph="1">
      <c r="B16" s="217" ph="1"/>
      <c r="C16" s="155" t="s" ph="1">
        <v>178</v>
      </c>
      <c r="D16" s="73" ph="1">
        <f>D15*7.0686*LOOKUP(D17,密度!$A$2:$A$50,密度!$L$2:$L$50)</f>
        <v>28654.803777600002</v>
      </c>
      <c r="E16" s="73" ph="1">
        <f>E15*7.0686*LOOKUP(E17,密度!$A$2:$A$50,密度!$L$2:$L$50)</f>
        <v>29772.943200000002</v>
      </c>
      <c r="F16" s="73" ph="1">
        <f>F15*9.0746*LOOKUP(F17,密度!$A$2:$A$50,密度!$L$2:$L$50)</f>
        <v>29777.038530600003</v>
      </c>
      <c r="G16" s="73" ph="1">
        <f>G15*9.0746*LOOKUP(G17,密度!$A$2:$A$50,密度!$B$2:$B$50)</f>
        <v>14641.562193440001</v>
      </c>
      <c r="H16" s="73" ph="1">
        <f>H15*9.0746*LOOKUP(H17,密度!$A$2:$A$50,密度!$L$2:$L$50)</f>
        <v>14669.780569600001</v>
      </c>
      <c r="I16" s="73" ph="1">
        <f>I15*9.0746*LOOKUP(I17,密度!$A$2:$A$50,密度!$U$2:$U$50)</f>
        <v>46815.761579400001</v>
      </c>
      <c r="J16" s="73" ph="1">
        <f>J15*9.0746*LOOKUP(J17,密度!$A$2:$A$50,密度!$L$2:$L$50)</f>
        <v>3555.1106690000001</v>
      </c>
      <c r="K16" s="73" ph="1">
        <f>K15*9.0746*LOOKUP(K17,密度!$A$2:$A$50,密度!$C$2:$C$50)</f>
        <v>6737.2280542000008</v>
      </c>
      <c r="L16" s="73" ph="1">
        <f>L15*9.0746*LOOKUP(L17,密度!$A$2:$A$50,密度!$E$2:$E$50)</f>
        <v>30772.894209200003</v>
      </c>
      <c r="M16" s="73" ph="1">
        <f>M15*9.0746*LOOKUP(M17,密度!$A$2:$A$50,密度!$M$2:$M$50)</f>
        <v>26018.606003839999</v>
      </c>
      <c r="N16" s="73" ph="1">
        <f>N15*9.0746*LOOKUP(N17,密度!$A$2:$A$50,密度!$M$2:$M$50)</f>
        <v>3743.7162479399999</v>
      </c>
      <c r="O16" s="73" ph="1">
        <f>O15*9.0746*LOOKUP(O17,密度!$A$2:$A$50,密度!$G$2:$G$50)</f>
        <v>47179.444323600001</v>
      </c>
      <c r="P16" s="73" ph="1">
        <f ca="1">P15*9.0746*LOOKUP(P17,密度!$A$2:$A$51,密度!$Q$2:$Q$50)</f>
        <v>0</v>
      </c>
      <c r="Q16" s="73" ph="1">
        <f>Q15*9.0746*LOOKUP(Q17,密度!$A$2:$A$50,密度!$Q$2:$Q$50)</f>
        <v>10516.43370155</v>
      </c>
      <c r="R16" s="73" ph="1">
        <f>MAX(R15*9.0746*LOOKUP(R17,密度!$A$2:$A$50,密度!$Q$2:$Q$50),0)</f>
        <v>0</v>
      </c>
      <c r="S16" s="73" ph="1">
        <f>S15*9.0746*LOOKUP(S17,密度!$A$2:$A$50,密度!$Q$2:$Q$50)</f>
        <v>0</v>
      </c>
      <c r="T16" s="73" ph="1">
        <f>T15*9.0746*LOOKUP(T17,密度!$A$2:$A$50,密度!$O$2:$O$50)</f>
        <v>24444.558556399999</v>
      </c>
      <c r="U16" s="73" ph="1">
        <f>U15*9.0746*LOOKUP(U17,密度!$A$2:$A$50,密度!$H$2:$H$50)</f>
        <v>45586.547117039998</v>
      </c>
      <c r="V16" s="73" ph="1">
        <f>MAX(5600*LOOKUP(V17,密度!$A$2:$A$50,密度!$Q$2:$Q$50)+V15*9.0476*LOOKUP(V17,密度!$A$2:$A$50,密度!$Q$2:$Q$50),0)</f>
        <v>0</v>
      </c>
      <c r="W16" s="73" ph="1">
        <f>MAX(5600*LOOKUP(W17,密度!$A$2:$A$50,密度!$Q$2:$Q$50)+W15*9.0476*LOOKUP(W17,密度!$A$2:$A$50,密度!$Q$2:$Q$50),0)</f>
        <v>5516.1668080320005</v>
      </c>
      <c r="X16" s="73" ph="1">
        <f>MAX(5600*LOOKUP(X17,密度!$A$2:$A$50,密度!$I$2:$I$50)+X15*9.0476*LOOKUP(X17,密度!$A$2:$A$50,密度!$I$2:$I$50),0)</f>
        <v>13498.572878799998</v>
      </c>
      <c r="Y16" s="107" ph="1">
        <v>0</v>
      </c>
      <c r="Z16" s="73" ph="1">
        <f>Z15*9.0746*LOOKUP(Z17,密度!$A$2:$A$50,密度!$D$2:$D$50)</f>
        <v>0</v>
      </c>
      <c r="AA16" s="73" ph="1">
        <f>AA15*9.0746*LOOKUP(AA17,密度!$A$2:$A$50,密度!$B$2:$B$50)</f>
        <v>17375.114840959999</v>
      </c>
      <c r="AB16" s="73" ph="1">
        <f>AB15*9.0746*LOOKUP(AB17,密度!$A$2:$A$50,密度!$L$2:$L$50)</f>
        <v>0</v>
      </c>
      <c r="AC16" s="73" ph="1">
        <f>AC15*9.0746*LOOKUP(AC17,密度!$A$2:$A$50,密度!$L$2:$L$50)</f>
        <v>0</v>
      </c>
      <c r="AD16" s="73" ph="1">
        <f>AD15*268.68*LOOKUP(AD17,密度!$A$2:$A$50,密度!B2:B50)+IF(AD15&lt;=0,0,1566*LOOKUP(AD17,密度!$A$2:$A$50,密度!B2:B50))</f>
        <v>2305.8715670399997</v>
      </c>
      <c r="AE16" s="73" ph="1">
        <f>AE15*268.68*LOOKUP(AE17,密度!$A$2:$A$50,密度!B2:B50)+IF(AE15&lt;=0,0,1566*LOOKUP(AE17,密度!$A$2:$A$50,密度!B2:B50))</f>
        <v>7062.7746619199988</v>
      </c>
      <c r="AH16" s="72" ph="1">
        <v>2</v>
      </c>
      <c r="AI16" s="72" t="s" ph="1">
        <v>337</v>
      </c>
      <c r="AZ16" s="72" t="s" ph="1">
        <v>216</v>
      </c>
      <c r="BA16" s="72" ph="1">
        <v>0</v>
      </c>
    </row>
    <row r="17" spans="1:57" ph="1">
      <c r="A17" s="64" t="s" ph="1">
        <v>73</v>
      </c>
      <c r="B17" s="218" ph="1"/>
      <c r="C17" s="79" t="s" ph="1">
        <v>179</v>
      </c>
      <c r="D17" s="74">
        <v>26</v>
      </c>
      <c r="E17" s="74">
        <v>26</v>
      </c>
      <c r="F17" s="74">
        <v>29</v>
      </c>
      <c r="G17" s="74">
        <v>26</v>
      </c>
      <c r="H17" s="74">
        <v>34</v>
      </c>
      <c r="I17" s="74">
        <v>27</v>
      </c>
      <c r="J17" s="74">
        <v>27</v>
      </c>
      <c r="K17" s="74">
        <v>26</v>
      </c>
      <c r="L17" s="74">
        <v>27</v>
      </c>
      <c r="M17" s="74">
        <v>30</v>
      </c>
      <c r="N17" s="74">
        <v>24</v>
      </c>
      <c r="O17" s="74">
        <v>27</v>
      </c>
      <c r="P17" s="74">
        <v>24</v>
      </c>
      <c r="Q17" s="74">
        <v>26</v>
      </c>
      <c r="R17" s="74">
        <v>26</v>
      </c>
      <c r="S17" s="74">
        <v>25</v>
      </c>
      <c r="T17" s="74">
        <v>26</v>
      </c>
      <c r="U17" s="74">
        <v>25</v>
      </c>
      <c r="V17" s="74">
        <v>26</v>
      </c>
      <c r="W17" s="74">
        <v>27</v>
      </c>
      <c r="X17" s="74">
        <v>28</v>
      </c>
      <c r="Y17" s="108">
        <v>28</v>
      </c>
      <c r="Z17" s="74">
        <v>25</v>
      </c>
      <c r="AA17" s="74">
        <v>25</v>
      </c>
      <c r="AB17" s="74">
        <v>25</v>
      </c>
      <c r="AC17" s="74">
        <v>23</v>
      </c>
      <c r="AD17" s="74">
        <v>25</v>
      </c>
      <c r="AE17" s="74">
        <v>25</v>
      </c>
      <c r="AH17" s="64" ph="1">
        <v>3</v>
      </c>
      <c r="AI17" s="64" t="s" ph="1">
        <v>338</v>
      </c>
      <c r="AK17" s="64" t="s" ph="1">
        <v>570</v>
      </c>
      <c r="AL17" s="64" ph="1">
        <v>80</v>
      </c>
      <c r="AM17" s="64" t="s" ph="1">
        <v>335</v>
      </c>
      <c r="AZ17" s="64" t="s" ph="1">
        <v>216</v>
      </c>
      <c r="BA17" s="64" ph="1">
        <v>80</v>
      </c>
      <c r="BD17" s="64" t="s" ph="1">
        <v>214</v>
      </c>
      <c r="BE17" s="64" ph="1">
        <v>2270</v>
      </c>
    </row>
    <row r="18" spans="1:57" ht="26.4" ph="1">
      <c r="B18" s="216" ph="1">
        <v>0.66666666666666663</v>
      </c>
      <c r="C18" s="79" t="s" ph="1">
        <v>180</v>
      </c>
      <c r="D18" s="71">
        <v>4253</v>
      </c>
      <c r="E18" s="71">
        <v>4500</v>
      </c>
      <c r="F18" s="71">
        <v>1967</v>
      </c>
      <c r="G18" s="71">
        <v>2225</v>
      </c>
      <c r="H18" s="71">
        <v>1907</v>
      </c>
      <c r="I18" s="71">
        <v>5047</v>
      </c>
      <c r="J18" s="71">
        <v>419</v>
      </c>
      <c r="K18" s="71">
        <v>670</v>
      </c>
      <c r="L18" s="71">
        <v>4354</v>
      </c>
      <c r="M18" s="71">
        <v>414</v>
      </c>
      <c r="N18" s="71">
        <v>471</v>
      </c>
      <c r="O18" s="71">
        <v>2905</v>
      </c>
      <c r="P18" s="71">
        <v>0</v>
      </c>
      <c r="Q18" s="71">
        <v>1221</v>
      </c>
      <c r="R18" s="71">
        <v>0</v>
      </c>
      <c r="S18" s="71">
        <v>0</v>
      </c>
      <c r="T18" s="71">
        <v>2327</v>
      </c>
      <c r="U18" s="71">
        <v>5495</v>
      </c>
      <c r="V18" s="71">
        <v>-817</v>
      </c>
      <c r="W18" s="71">
        <v>25</v>
      </c>
      <c r="X18" s="71">
        <v>815</v>
      </c>
      <c r="Y18" s="109">
        <v>-9908</v>
      </c>
      <c r="Z18" s="71">
        <v>0</v>
      </c>
      <c r="AA18" s="71">
        <v>2458</v>
      </c>
      <c r="AB18" s="71">
        <v>0</v>
      </c>
      <c r="AC18" s="71">
        <v>14</v>
      </c>
      <c r="AD18" s="71">
        <v>5.1100000000000003</v>
      </c>
      <c r="AE18" s="71">
        <v>77.5</v>
      </c>
      <c r="AH18" s="64" ph="1">
        <v>4</v>
      </c>
      <c r="AI18" s="64" t="s" ph="1">
        <v>340</v>
      </c>
      <c r="AJ18" s="64" t="s" ph="1">
        <v>588</v>
      </c>
      <c r="AK18" s="64" t="s" ph="1">
        <v>587</v>
      </c>
      <c r="AL18" s="64" ph="1">
        <v>740</v>
      </c>
      <c r="AM18" s="64" t="s" ph="1">
        <v>339</v>
      </c>
      <c r="AZ18" s="64" t="s" ph="1">
        <v>216</v>
      </c>
      <c r="BA18" s="64" ph="1">
        <v>740</v>
      </c>
    </row>
    <row r="19" spans="1:57" s="72" customFormat="1" ht="22.2" ph="1">
      <c r="B19" s="217" ph="1"/>
      <c r="C19" s="155" t="s" ph="1">
        <v>178</v>
      </c>
      <c r="D19" s="73" ph="1">
        <f>D18*7.0686*LOOKUP(D20,密度!$A$2:$A$50,密度!$L$2:$L$50)</f>
        <v>27928.3001382</v>
      </c>
      <c r="E19" s="73" ph="1">
        <f>E18*7.0686*LOOKUP(E20,密度!$A$2:$A$50,密度!$L$2:$L$50)</f>
        <v>29550.282300000003</v>
      </c>
      <c r="F19" s="73" ph="1">
        <f>F18*9.0746*LOOKUP(F20,密度!$A$2:$A$50,密度!$L$2:$L$50)</f>
        <v>16618.1062642</v>
      </c>
      <c r="G19" s="73" ph="1">
        <f>G18*9.0746*LOOKUP(G20,密度!$A$2:$A$50,密度!$B$2:$B$50)</f>
        <v>15706.567231500001</v>
      </c>
      <c r="H19" s="73" ph="1">
        <f>H18*9.0746*LOOKUP(H20,密度!$A$2:$A$50,密度!$L$2:$L$50)</f>
        <v>16059.283321600002</v>
      </c>
      <c r="I19" s="73" ph="1">
        <f>I18*9.0746*LOOKUP(I20,密度!$A$2:$A$50,密度!$U$2:$U$50)</f>
        <v>46715.496324000007</v>
      </c>
      <c r="J19" s="73" ph="1">
        <f>J18*9.0746*LOOKUP(J20,密度!$A$2:$A$50,密度!$L$2:$L$50)</f>
        <v>3539.9016394</v>
      </c>
      <c r="K19" s="73" ph="1">
        <f>K18*9.0746*LOOKUP(K20,密度!$A$2:$A$50,密度!$C$2:$C$50)</f>
        <v>6718.9881082000002</v>
      </c>
      <c r="L19" s="73" ph="1">
        <f>L18*9.0746*LOOKUP(L20,密度!$A$2:$A$50,密度!$E$2:$E$50)</f>
        <v>30723.604611840001</v>
      </c>
      <c r="M19" s="73" ph="1">
        <f>M18*9.0746*LOOKUP(M20,密度!$A$2:$A$50,密度!$M$2:$M$50)</f>
        <v>3260.2994200080002</v>
      </c>
      <c r="N19" s="73" ph="1">
        <f>N18*9.0746*LOOKUP(N20,密度!$A$2:$A$50,密度!$M$2:$M$50)</f>
        <v>3722.7729786</v>
      </c>
      <c r="O19" s="73" ph="1">
        <f>O18*9.0746*LOOKUP(O20,密度!$A$2:$A$50,密度!$G$2:$G$50)</f>
        <v>25167.5274011</v>
      </c>
      <c r="P19" s="73" ph="1">
        <f ca="1">P18*9.0746*LOOKUP(P20,密度!$A$2:$A$51,密度!$Q$2:$Q$50)</f>
        <v>0</v>
      </c>
      <c r="Q19" s="73" ph="1">
        <f>Q18*9.0746*LOOKUP(Q20,密度!$A$2:$A$50,密度!$Q$2:$Q$50)</f>
        <v>10429.13151225</v>
      </c>
      <c r="R19" s="73" ph="1">
        <f>MAX(R18*9.0746*LOOKUP(R20,密度!$A$2:$A$50,密度!$Q$2:$Q$50),0)</f>
        <v>0</v>
      </c>
      <c r="S19" s="73" ph="1">
        <f>S18*9.0746*LOOKUP(S20,密度!$A$2:$A$50,密度!$Q$2:$Q$50)</f>
        <v>0</v>
      </c>
      <c r="T19" s="73" ph="1">
        <f>T18*9.0746*LOOKUP(T20,密度!$A$2:$A$50,密度!$O$2:$O$50)</f>
        <v>19469.4998524</v>
      </c>
      <c r="U19" s="73" ph="1">
        <f>U18*9.0746*LOOKUP(U20,密度!$A$2:$A$50,密度!$H$2:$H$50)</f>
        <v>45377.083570000003</v>
      </c>
      <c r="V19" s="73" ph="1">
        <f>MAX(5600*LOOKUP(V20,密度!$A$2:$A$50,密度!$Q$2:$Q$50)+V18*9.0476*LOOKUP(V20,密度!$A$2:$A$50,密度!$Q$2:$Q$50),0)</f>
        <v>0</v>
      </c>
      <c r="W19" s="73" ph="1">
        <f>MAX(5600*LOOKUP(W20,密度!$A$2:$A$50,密度!$Q$2:$Q$50)+W18*9.0476*LOOKUP(W20,密度!$A$2:$A$50,密度!$Q$2:$Q$50),0)</f>
        <v>5491.6501701999996</v>
      </c>
      <c r="X19" s="73" ph="1">
        <f>MAX(5600*LOOKUP(X20,密度!$A$2:$A$50,密度!$I$2:$I$50)+X18*9.0476*LOOKUP(X20,密度!$A$2:$A$50,密度!$I$2:$I$50),0)</f>
        <v>13449.932239799999</v>
      </c>
      <c r="Y19" s="73" ph="1">
        <f>MAX(5600*LOOKUP(Y20,密度!$A$2:$A$50,密度!$I$2:$I$50)+Y18*9.0476*LOOKUP(Y20,密度!$A$2:$A$50,密度!$I$2:$I$50),0)</f>
        <v>0</v>
      </c>
      <c r="Z19" s="73" ph="1">
        <f>Z18*9.0746*LOOKUP(Z20,密度!$A$2:$A$50,密度!$D$2:$D$50)</f>
        <v>0</v>
      </c>
      <c r="AA19" s="73" ph="1">
        <f>AA18*9.0746*LOOKUP(AA20,密度!$A$2:$A$50,密度!$B$2:$B$50)</f>
        <v>17369.18912716</v>
      </c>
      <c r="AB19" s="73" ph="1">
        <f>AB18*9.0746*LOOKUP(AB20,密度!$A$2:$A$50,密度!$L$2:$L$50)</f>
        <v>0</v>
      </c>
      <c r="AC19" s="73" ph="1">
        <f>AC18*9.0746*LOOKUP(AC20,密度!$A$2:$A$50,密度!$L$2:$L$50)</f>
        <v>118.53242520000001</v>
      </c>
      <c r="AD19" s="73" ph="1">
        <f>AD18*268.68*LOOKUP(AD20,密度!$A$2:$A$50,密度!B5:B53)+IF(AD18&lt;=0,0,1566*LOOKUP(AD20,密度!$A$2:$A$50,密度!B5:B53))</f>
        <v>2283.5678796000002</v>
      </c>
      <c r="AE19" s="73" ph="1">
        <f>AE18*268.68*LOOKUP(AE20,密度!$A$2:$A$50,密度!B5:B53)+IF(AE18&lt;=0,0,1566*LOOKUP(AE20,密度!$A$2:$A$50,密度!B5:B53))</f>
        <v>17396.019900000003</v>
      </c>
      <c r="AH19" s="72" ph="1">
        <v>5</v>
      </c>
      <c r="AI19" s="72" t="s" ph="1">
        <v>341</v>
      </c>
      <c r="AZ19" s="72" t="s" ph="1">
        <v>216</v>
      </c>
      <c r="BA19" s="72" ph="1">
        <v>0</v>
      </c>
      <c r="BD19" s="72" t="s" ph="1">
        <v>342</v>
      </c>
      <c r="BE19" s="72" ph="1">
        <v>1440</v>
      </c>
    </row>
    <row r="20" spans="1:57" ph="1">
      <c r="A20" s="72" ph="1"/>
      <c r="B20" s="217" ph="1"/>
      <c r="C20" s="80" t="s" ph="1">
        <v>179</v>
      </c>
      <c r="D20" s="81">
        <v>33</v>
      </c>
      <c r="E20" s="81">
        <v>33</v>
      </c>
      <c r="F20" s="81">
        <v>31</v>
      </c>
      <c r="G20" s="81">
        <v>27</v>
      </c>
      <c r="H20" s="81">
        <v>34</v>
      </c>
      <c r="I20" s="81">
        <v>30</v>
      </c>
      <c r="J20" s="81">
        <v>31</v>
      </c>
      <c r="K20" s="81">
        <v>30</v>
      </c>
      <c r="L20" s="81">
        <v>30</v>
      </c>
      <c r="M20" s="81">
        <v>32</v>
      </c>
      <c r="N20" s="81">
        <v>29</v>
      </c>
      <c r="O20" s="81">
        <v>30</v>
      </c>
      <c r="P20" s="81">
        <v>41</v>
      </c>
      <c r="Q20" s="81">
        <v>33</v>
      </c>
      <c r="R20" s="81">
        <v>39</v>
      </c>
      <c r="S20" s="81">
        <v>32</v>
      </c>
      <c r="T20" s="81">
        <v>30</v>
      </c>
      <c r="U20" s="81">
        <v>30</v>
      </c>
      <c r="V20" s="81">
        <v>30</v>
      </c>
      <c r="W20" s="81">
        <v>31</v>
      </c>
      <c r="X20" s="81">
        <v>30</v>
      </c>
      <c r="Y20" s="110">
        <v>30</v>
      </c>
      <c r="Z20" s="81">
        <v>34</v>
      </c>
      <c r="AA20" s="81">
        <v>26</v>
      </c>
      <c r="AB20" s="81">
        <v>33</v>
      </c>
      <c r="AC20" s="81">
        <v>29</v>
      </c>
      <c r="AD20" s="81">
        <v>25</v>
      </c>
      <c r="AE20" s="81">
        <v>25</v>
      </c>
      <c r="AF20" s="64" t="s" ph="1">
        <v>35</v>
      </c>
      <c r="AH20" s="64" ph="1">
        <v>6</v>
      </c>
      <c r="AI20" s="64" t="s" ph="1">
        <v>343</v>
      </c>
      <c r="AZ20" s="64" t="s" ph="1">
        <v>216</v>
      </c>
      <c r="BA20" s="64" ph="1">
        <v>0</v>
      </c>
    </row>
    <row r="21" spans="1:57" ph="1">
      <c r="A21" s="72" ph="1"/>
      <c r="B21" s="82" ph="1"/>
      <c r="C21" s="83" ph="1"/>
      <c r="D21" s="84"/>
      <c r="E21" s="84"/>
      <c r="F21" s="84"/>
      <c r="G21" s="84"/>
      <c r="H21" s="84"/>
      <c r="I21" s="84"/>
      <c r="J21" s="84"/>
      <c r="K21" s="84"/>
      <c r="L21" s="84"/>
      <c r="M21" s="84"/>
      <c r="N21" s="84"/>
      <c r="O21" s="84"/>
      <c r="P21" s="84"/>
      <c r="Q21" s="84"/>
      <c r="R21" s="84"/>
      <c r="S21" s="84"/>
      <c r="T21" s="84"/>
      <c r="U21" s="84"/>
      <c r="V21" s="84"/>
      <c r="W21" s="84"/>
      <c r="X21" s="84"/>
      <c r="Y21" s="84"/>
      <c r="Z21" s="84"/>
      <c r="AA21" s="84"/>
      <c r="AB21" s="84"/>
      <c r="AC21" s="84"/>
      <c r="AD21" s="84"/>
      <c r="AE21" s="84"/>
      <c r="AH21" s="64" ph="1">
        <v>7</v>
      </c>
      <c r="AI21" s="64" t="s" ph="1">
        <v>344</v>
      </c>
      <c r="AZ21" s="64" t="s" ph="1">
        <v>216</v>
      </c>
      <c r="BA21" s="64" ph="1">
        <v>0</v>
      </c>
      <c r="BD21" s="64" t="s" ph="1">
        <v>232</v>
      </c>
      <c r="BE21" s="64" ph="1">
        <v>730</v>
      </c>
    </row>
    <row r="22" spans="1:57" ph="1">
      <c r="A22" s="72" ph="1"/>
      <c r="B22" s="215" t="s" ph="1">
        <v>37</v>
      </c>
      <c r="C22" s="85" t="s" ph="1">
        <v>176</v>
      </c>
      <c r="D22" s="86" t="s" ph="1">
        <v>86</v>
      </c>
      <c r="E22" s="86" t="s" ph="1">
        <v>87</v>
      </c>
      <c r="F22" s="86" t="s" ph="1">
        <v>88</v>
      </c>
      <c r="G22" s="86" t="s" ph="1">
        <v>89</v>
      </c>
      <c r="H22" s="86" t="s" ph="1">
        <v>90</v>
      </c>
      <c r="I22" s="86" t="s" ph="1">
        <v>91</v>
      </c>
      <c r="J22" s="86" t="s" ph="1">
        <v>92</v>
      </c>
      <c r="K22" s="86" t="s" ph="1">
        <v>93</v>
      </c>
      <c r="L22" s="86" t="s" ph="1">
        <v>94</v>
      </c>
      <c r="M22" s="86" t="s" ph="1">
        <v>95</v>
      </c>
      <c r="N22" s="86" t="s" ph="1">
        <v>96</v>
      </c>
      <c r="O22" s="86" t="s" ph="1">
        <v>97</v>
      </c>
      <c r="P22" s="86" t="s" ph="1">
        <v>98</v>
      </c>
      <c r="Q22" s="87" t="s" ph="1">
        <v>99</v>
      </c>
      <c r="R22" s="86" t="s" ph="1">
        <v>100</v>
      </c>
      <c r="S22" s="86" t="s" ph="1">
        <v>101</v>
      </c>
      <c r="T22" s="86" t="s" ph="1">
        <v>102</v>
      </c>
      <c r="U22" s="86" t="s" ph="1">
        <v>103</v>
      </c>
      <c r="V22" s="86" t="s" ph="1">
        <v>104</v>
      </c>
      <c r="W22" s="86" t="s" ph="1">
        <v>105</v>
      </c>
      <c r="X22" s="86" t="s" ph="1">
        <v>106</v>
      </c>
      <c r="Y22" s="86" t="s" ph="1">
        <v>108</v>
      </c>
      <c r="Z22" s="225" t="s" ph="1">
        <v>69</v>
      </c>
      <c r="AA22" s="226"/>
      <c r="AB22" s="226"/>
      <c r="AC22" s="226"/>
      <c r="AD22" s="226"/>
      <c r="AE22" s="227"/>
      <c r="AH22" s="64" ph="1">
        <v>8</v>
      </c>
      <c r="AI22" s="64" t="s" ph="1">
        <v>345</v>
      </c>
      <c r="AZ22" s="64" t="s" ph="1">
        <v>216</v>
      </c>
      <c r="BA22" s="64" ph="1">
        <v>0</v>
      </c>
    </row>
    <row r="23" spans="1:57" ph="1">
      <c r="A23" s="72" ph="1"/>
      <c r="B23" s="219" ph="1"/>
      <c r="C23" s="67" t="s" ph="1">
        <v>36</v>
      </c>
      <c r="D23" s="88" t="s" ph="1">
        <v>109</v>
      </c>
      <c r="E23" s="88" t="s" ph="1">
        <v>107</v>
      </c>
      <c r="F23" s="88" t="s" ph="1">
        <v>109</v>
      </c>
      <c r="G23" s="88" t="s" ph="1">
        <v>626</v>
      </c>
      <c r="H23" s="88" t="s" ph="1">
        <v>626</v>
      </c>
      <c r="I23" s="88" t="s" ph="1">
        <v>627</v>
      </c>
      <c r="J23" s="88" t="s" ph="1">
        <v>628</v>
      </c>
      <c r="K23" s="88" t="s" ph="1">
        <v>628</v>
      </c>
      <c r="L23" s="88" t="s" ph="1">
        <v>628</v>
      </c>
      <c r="M23" s="88" t="s" ph="1">
        <v>623</v>
      </c>
      <c r="N23" s="88" t="s" ph="1">
        <v>623</v>
      </c>
      <c r="O23" s="88" t="s" ph="1">
        <v>645</v>
      </c>
      <c r="P23" s="88" t="s" ph="1">
        <v>629</v>
      </c>
      <c r="Q23" s="89" t="s" ph="1">
        <v>643</v>
      </c>
      <c r="R23" s="88" t="s" ph="1">
        <v>610</v>
      </c>
      <c r="S23" s="88" t="s" ph="1">
        <v>629</v>
      </c>
      <c r="T23" s="88" t="s" ph="1">
        <v>604</v>
      </c>
      <c r="U23" s="104" t="s" ph="1">
        <v>606</v>
      </c>
      <c r="V23" s="88" t="s" ph="1">
        <v>629</v>
      </c>
      <c r="W23" s="88" t="s" ph="1">
        <v>629</v>
      </c>
      <c r="X23" s="88" t="s" ph="1">
        <v>187</v>
      </c>
      <c r="Y23" s="88" t="s" ph="1">
        <v>630</v>
      </c>
      <c r="Z23" s="228" t="s" ph="1">
        <v>646</v>
      </c>
      <c r="AA23" s="229"/>
      <c r="AB23" s="229"/>
      <c r="AC23" s="229"/>
      <c r="AD23" s="229"/>
      <c r="AE23" s="230"/>
      <c r="AH23" s="64" ph="1">
        <v>9</v>
      </c>
      <c r="AI23" s="64" t="s" ph="1">
        <v>346</v>
      </c>
      <c r="AZ23" s="64" t="s" ph="1">
        <v>216</v>
      </c>
      <c r="BA23" s="64" ph="1">
        <v>0</v>
      </c>
      <c r="BD23" s="64" t="s" ph="1">
        <v>238</v>
      </c>
      <c r="BE23" s="64" ph="1">
        <v>890</v>
      </c>
    </row>
    <row r="24" spans="1:57" ph="1">
      <c r="A24" s="72" ph="1"/>
      <c r="B24" s="237" ph="1">
        <v>0.33333333333333331</v>
      </c>
      <c r="C24" s="155" t="s" ph="1">
        <v>177</v>
      </c>
      <c r="D24" s="71">
        <v>41.58</v>
      </c>
      <c r="E24" s="71">
        <v>5.94</v>
      </c>
      <c r="F24" s="71">
        <v>888</v>
      </c>
      <c r="G24" s="71">
        <v>2942</v>
      </c>
      <c r="H24" s="71">
        <v>3415</v>
      </c>
      <c r="I24" s="71">
        <v>0</v>
      </c>
      <c r="J24" s="71">
        <v>1760</v>
      </c>
      <c r="K24" s="71">
        <v>3530</v>
      </c>
      <c r="L24" s="71">
        <v>301</v>
      </c>
      <c r="M24" s="71">
        <v>4861</v>
      </c>
      <c r="N24" s="71">
        <v>4323</v>
      </c>
      <c r="O24" s="71">
        <v>860</v>
      </c>
      <c r="P24" s="71">
        <v>366</v>
      </c>
      <c r="Q24" s="90">
        <v>504</v>
      </c>
      <c r="R24" s="71">
        <v>4580</v>
      </c>
      <c r="S24" s="71">
        <v>4105</v>
      </c>
      <c r="T24" s="71">
        <v>110</v>
      </c>
      <c r="U24" s="71">
        <v>5858</v>
      </c>
      <c r="V24" s="71">
        <v>737</v>
      </c>
      <c r="W24" s="71">
        <v>434</v>
      </c>
      <c r="X24" s="71">
        <v>4442</v>
      </c>
      <c r="Y24" s="71">
        <v>1804</v>
      </c>
      <c r="Z24" s="231"/>
      <c r="AA24" s="232"/>
      <c r="AB24" s="232"/>
      <c r="AC24" s="232"/>
      <c r="AD24" s="232"/>
      <c r="AE24" s="233"/>
      <c r="AH24" s="64" ph="1">
        <v>10</v>
      </c>
      <c r="AI24" s="64" t="s" ph="1">
        <v>347</v>
      </c>
      <c r="AZ24" s="64" t="s" ph="1">
        <v>216</v>
      </c>
      <c r="BA24" s="64" ph="1">
        <v>0</v>
      </c>
    </row>
    <row r="25" spans="1:57" ph="1">
      <c r="A25" s="72" ph="1"/>
      <c r="B25" s="237" ph="1"/>
      <c r="C25" s="68" t="s" ph="1">
        <v>178</v>
      </c>
      <c r="D25" s="91" ph="1">
        <f>D24*268.68*LOOKUP(D26,密度!$A$2:$A$50,密度!$Q$2:$Q$50)+IF(D24&lt;=0,0,1566*LOOKUP(D26,密度!$A$2:$A$50,密度!$Q$2:$Q$50))</f>
        <v>12059.303731055999</v>
      </c>
      <c r="E25" s="91" ph="1">
        <f>E24*268.68*LOOKUP(E26,密度!$A$2:$A$50,密度!$C$2:$C$50)+IF(E24&lt;=0,0,1566*LOOKUP(E26,密度!$A$2:$A$50,密度!$C$2:$C$50))</f>
        <v>3506.29655688</v>
      </c>
      <c r="F25" s="91" ph="1">
        <f>F24*11.702*LOOKUP(F26,密度!$A$2:$A$50,密度!$Q$2:$Q$50)</f>
        <v>9823.1755603199999</v>
      </c>
      <c r="G25" s="91" ph="1">
        <f>G24*18.322*LOOKUP(G26,密度!$A$2:$A$50,密度!$B$2:$B$50)</f>
        <v>42023.0313904</v>
      </c>
      <c r="H25" s="91" ph="1">
        <f>H24*18.322*LOOKUP(H26,密度!$A$2:$A$50,密度!$B$2:$B$50)</f>
        <v>48835.596214999998</v>
      </c>
      <c r="I25" s="91" ph="1">
        <f>I24*18.322*LOOKUP(I26,密度!$A$2:$A$50,密度!$Q$2:$Q$50)</f>
        <v>0</v>
      </c>
      <c r="J25" s="91" ph="1">
        <f>J24*18.322*LOOKUP(J26,密度!$A$2:$A$50,密度!$Q$2:$Q$50)</f>
        <v>30483.469350399999</v>
      </c>
      <c r="K25" s="91" ph="1">
        <f>K24*18.322*LOOKUP(K26,密度!$A$2:$A$50,密度!$Q$2:$Q$50)</f>
        <v>61186.060659800001</v>
      </c>
      <c r="L25" s="91" ph="1">
        <f>L24*18.322*LOOKUP(L26,密度!$A$2:$A$50,密度!$Q$2:$Q$50)</f>
        <v>5217.2816596599996</v>
      </c>
      <c r="M25" s="91" ph="1">
        <f>M24*18.322*LOOKUP(M26,密度!$A$2:$A$50,密度!$Q$2:$Q$50)</f>
        <v>84256.498829260003</v>
      </c>
      <c r="N25" s="91" ph="1">
        <f>N24*18.322*LOOKUP(N26,密度!$A$2:$A$50,密度!$Q$2:$Q$50)</f>
        <v>75045.314504819995</v>
      </c>
      <c r="O25" s="91" ph="1">
        <f>O24*18.322*LOOKUP(O26,密度!$A$2:$A$50,密度!$C$2:$C$50)</f>
        <v>17449.213207999997</v>
      </c>
      <c r="P25" s="91" ph="1">
        <f>P24*11.702*LOOKUP(P26,密度!$A$2:$A$50,密度!$B$2:$B$50)</f>
        <v>3335.1191483999996</v>
      </c>
      <c r="Q25" s="92" ph="1">
        <f>Q24*18.322*LOOKUP(Q26,密度!$A$2:$A$50,密度!$B$2:$B$50)</f>
        <v>7190.7400656</v>
      </c>
      <c r="R25" s="91" ph="1">
        <f>R24*35.891*LOOKUP(R26,密度!$A$2:$A$50,密度!$C$2:$C$50)</f>
        <v>182035.27577199999</v>
      </c>
      <c r="S25" s="91" ph="1">
        <f>S24*35.891*LOOKUP(S26,密度!$A$2:$A$50,密度!$B$2:$B$50)</f>
        <v>114609.9945345</v>
      </c>
      <c r="T25" s="91" ph="1">
        <f>T24*35.891*LOOKUP(T26,密度!$A$2:$A$50,密度!$Q$2:$Q$50)</f>
        <v>3737.7389874</v>
      </c>
      <c r="U25" s="91" ph="1">
        <f>U24*35.891</f>
        <v>210249.478</v>
      </c>
      <c r="V25" s="91" ph="1">
        <f>V24*47.051*LOOKUP(V26,密度!$A$2:$A$50,密度!$B$2:$B$50)</f>
        <v>27002.658296899997</v>
      </c>
      <c r="W25" s="91" ph="1">
        <f>W24*47.051*LOOKUP(W26,密度!$A$2:$A$50,密度!$B$2:$B$50)</f>
        <v>15884.822238600002</v>
      </c>
      <c r="X25" s="91" ph="1">
        <f>X24*47.051*LOOKUP(X26,密度!$A$2:$A$61,密度!$I$2:$I$61)</f>
        <v>216900.76248760003</v>
      </c>
      <c r="Y25" s="91" ph="1">
        <f>Y24*47.051*LOOKUP(Y26,密度!$A$2:$A$50,密度!$L$2:$L$50)</f>
        <v>79362.803740000003</v>
      </c>
      <c r="Z25" s="231"/>
      <c r="AA25" s="232"/>
      <c r="AB25" s="232"/>
      <c r="AC25" s="232"/>
      <c r="AD25" s="232"/>
      <c r="AE25" s="233"/>
      <c r="AH25" s="64" ph="1">
        <v>11</v>
      </c>
      <c r="AI25" s="64" t="s" ph="1">
        <v>348</v>
      </c>
      <c r="AZ25" s="64" t="s" ph="1">
        <v>216</v>
      </c>
      <c r="BA25" s="64" ph="1">
        <v>0</v>
      </c>
      <c r="BD25" s="64" t="s" ph="1">
        <v>241</v>
      </c>
      <c r="BE25" s="64" ph="1">
        <v>8920</v>
      </c>
    </row>
    <row r="26" spans="1:57" ph="1">
      <c r="A26" s="72" ph="1"/>
      <c r="B26" s="237" ph="1"/>
      <c r="C26" s="68" t="s" ph="1">
        <v>179</v>
      </c>
      <c r="D26" s="74">
        <v>25</v>
      </c>
      <c r="E26" s="74">
        <v>25</v>
      </c>
      <c r="F26" s="74">
        <v>27</v>
      </c>
      <c r="G26" s="74">
        <v>25</v>
      </c>
      <c r="H26" s="74">
        <v>24</v>
      </c>
      <c r="I26" s="74">
        <v>25</v>
      </c>
      <c r="J26" s="74">
        <v>27</v>
      </c>
      <c r="K26" s="74">
        <v>26</v>
      </c>
      <c r="L26" s="74">
        <v>26</v>
      </c>
      <c r="M26" s="74">
        <v>26</v>
      </c>
      <c r="N26" s="74">
        <v>24</v>
      </c>
      <c r="O26" s="74">
        <v>27</v>
      </c>
      <c r="P26" s="74">
        <v>26</v>
      </c>
      <c r="Q26" s="93">
        <v>26</v>
      </c>
      <c r="R26" s="74">
        <v>27</v>
      </c>
      <c r="S26" s="74">
        <v>27</v>
      </c>
      <c r="T26" s="74">
        <v>25</v>
      </c>
      <c r="U26" s="74">
        <v>26</v>
      </c>
      <c r="V26" s="74">
        <v>26</v>
      </c>
      <c r="W26" s="74">
        <v>27</v>
      </c>
      <c r="X26" s="74">
        <v>29</v>
      </c>
      <c r="Y26" s="74">
        <v>27</v>
      </c>
      <c r="Z26" s="231"/>
      <c r="AA26" s="232"/>
      <c r="AB26" s="232"/>
      <c r="AC26" s="232"/>
      <c r="AD26" s="232"/>
      <c r="AE26" s="233"/>
      <c r="AH26" s="64" ph="1">
        <v>12</v>
      </c>
      <c r="AI26" s="64" t="s" ph="1">
        <v>349</v>
      </c>
      <c r="AZ26" s="64" t="s" ph="1">
        <v>216</v>
      </c>
      <c r="BA26" s="64" ph="1">
        <v>0</v>
      </c>
    </row>
    <row r="27" spans="1:57" ht="26.4" ph="1">
      <c r="A27" s="72" ph="1"/>
      <c r="B27" s="237" ph="1">
        <v>0.66666666666666663</v>
      </c>
      <c r="C27" s="155" t="s" ph="1">
        <v>180</v>
      </c>
      <c r="D27" s="71">
        <v>36.26</v>
      </c>
      <c r="E27" s="71">
        <v>5.92</v>
      </c>
      <c r="F27" s="71">
        <v>594</v>
      </c>
      <c r="G27" s="71">
        <v>2553</v>
      </c>
      <c r="H27" s="71">
        <v>2995</v>
      </c>
      <c r="I27" s="71">
        <v>0</v>
      </c>
      <c r="J27" s="71">
        <v>2253</v>
      </c>
      <c r="K27" s="71">
        <v>5757</v>
      </c>
      <c r="L27" s="71">
        <v>296</v>
      </c>
      <c r="M27" s="71">
        <v>4862</v>
      </c>
      <c r="N27" s="71">
        <v>3640</v>
      </c>
      <c r="O27" s="71">
        <v>857</v>
      </c>
      <c r="P27" s="71">
        <v>361</v>
      </c>
      <c r="Q27" s="90">
        <v>677</v>
      </c>
      <c r="R27" s="71">
        <v>4577</v>
      </c>
      <c r="S27" s="71">
        <v>4102</v>
      </c>
      <c r="T27" s="71">
        <v>106</v>
      </c>
      <c r="U27" s="71">
        <v>5897</v>
      </c>
      <c r="V27" s="71">
        <v>731</v>
      </c>
      <c r="W27" s="71">
        <v>430</v>
      </c>
      <c r="X27" s="71">
        <v>5057</v>
      </c>
      <c r="Y27" s="71">
        <v>715</v>
      </c>
      <c r="Z27" s="231"/>
      <c r="AA27" s="232"/>
      <c r="AB27" s="232"/>
      <c r="AC27" s="232"/>
      <c r="AD27" s="232"/>
      <c r="AE27" s="233"/>
      <c r="AH27" s="64" ph="1">
        <v>13</v>
      </c>
      <c r="AI27" s="64" t="s" ph="1">
        <v>350</v>
      </c>
      <c r="AZ27" s="64" t="s" ph="1">
        <v>216</v>
      </c>
      <c r="BA27" s="64" ph="1">
        <v>0</v>
      </c>
      <c r="BD27" s="64" t="s" ph="1">
        <v>295</v>
      </c>
      <c r="BE27" s="64" ph="1">
        <v>7100</v>
      </c>
    </row>
    <row r="28" spans="1:57" ph="1">
      <c r="A28" s="72" ph="1"/>
      <c r="B28" s="237" ph="1"/>
      <c r="C28" s="155" t="s" ph="1">
        <v>178</v>
      </c>
      <c r="D28" s="91" ph="1">
        <f>D27*268.68*LOOKUP(D29,密度!$A$2:$A$50,密度!$Q$2:$Q$50)+IF(D27&lt;=0,0,1566*LOOKUP(D29,密度!$A$2:$A$50,密度!$Q$2:$Q$50))</f>
        <v>10706.054782031999</v>
      </c>
      <c r="E28" s="91" ph="1">
        <f>E27*268.68*LOOKUP(E29,密度!$A$2:$A$50,密度!$C$2:$C$50)+IF(E27&lt;=0,0,1566*LOOKUP(E29,密度!$A$2:$A$50,密度!$C$2:$C$50))</f>
        <v>3500.3377718399997</v>
      </c>
      <c r="F28" s="91" ph="1">
        <f>F27*11.702*LOOKUP(F29,密度!$A$2:$A$50,密度!$Q$2:$Q$50)</f>
        <v>6561.2461028400003</v>
      </c>
      <c r="G28" s="91" ph="1">
        <f>G27*18.322*LOOKUP(G29,密度!$A$2:$A$50,密度!$B$2:$B$50)</f>
        <v>36387.101741400002</v>
      </c>
      <c r="H28" s="91" ph="1">
        <f>H27*18.322*LOOKUP(H29,密度!$A$2:$A$50,密度!$B$2:$B$50)</f>
        <v>42686.787981000001</v>
      </c>
      <c r="I28" s="91" ph="1">
        <f>I27*18.322*LOOKUP(I29,密度!$A$2:$A$50,密度!$Q$2:$Q$50)</f>
        <v>0</v>
      </c>
      <c r="J28" s="91" ph="1">
        <f>J27*18.322*LOOKUP(J29,密度!$A$2:$A$50,密度!$Q$2:$Q$50)</f>
        <v>38940.158661779999</v>
      </c>
      <c r="K28" s="91" ph="1">
        <f>K27*18.322*LOOKUP(K29,密度!$A$2:$A$50,密度!$Q$2:$Q$50)</f>
        <v>99565.504193220011</v>
      </c>
      <c r="L28" s="91" ph="1">
        <f>L27*18.322*LOOKUP(L29,密度!$A$2:$A$50,密度!$Q$2:$Q$50)</f>
        <v>5119.2268961600003</v>
      </c>
      <c r="M28" s="91" ph="1">
        <f>M27*18.322*LOOKUP(M29,密度!$A$2:$A$50,密度!$Q$2:$Q$50)</f>
        <v>83905.925131600001</v>
      </c>
      <c r="N28" s="91" ph="1">
        <f>N27*18.322*LOOKUP(N29,密度!$A$2:$A$50,密度!$Q$2:$Q$50)</f>
        <v>62912.639826400002</v>
      </c>
      <c r="O28" s="91" ph="1">
        <f>O27*18.322*LOOKUP(O29,密度!$A$2:$A$50,密度!$C$2:$C$50)</f>
        <v>17352.229365399999</v>
      </c>
      <c r="P28" s="91" ph="1">
        <f>P27*11.702*LOOKUP(P29,密度!$A$2:$A$50,密度!$B$2:$B$50)</f>
        <v>3271.3923967999995</v>
      </c>
      <c r="Q28" s="92" ph="1">
        <f>Q27*18.322*LOOKUP(Q29,密度!$A$2:$A$50,密度!$B$2:$B$50)</f>
        <v>9605.652953599998</v>
      </c>
      <c r="R28" s="91" ph="1">
        <f>R27*35.891*LOOKUP(R29,密度!$A$2:$A$50,密度!$C$2:$C$50)</f>
        <v>181538.21054569999</v>
      </c>
      <c r="S28" s="91" ph="1">
        <f>S27*35.891*LOOKUP(S29,密度!$A$2:$A$50,密度!$B$2:$B$50)</f>
        <v>114143.45101459998</v>
      </c>
      <c r="T28" s="91" ph="1">
        <f>T27*35.891*LOOKUP(T29,密度!$A$2:$A$50,密度!$Q$2:$Q$50)</f>
        <v>3583.4076873999998</v>
      </c>
      <c r="U28" s="91" ph="1">
        <f>U27*35.891</f>
        <v>211649.22699999998</v>
      </c>
      <c r="V28" s="91" ph="1">
        <f>V27*47.051*LOOKUP(V29,密度!$A$2:$A$50,密度!$B$2:$B$50)</f>
        <v>26634.931206400001</v>
      </c>
      <c r="W28" s="91" ph="1">
        <f>W27*47.051*LOOKUP(W29,密度!$A$2:$A$50,密度!$B$2:$B$50)</f>
        <v>15667.606592</v>
      </c>
      <c r="X28" s="91" ph="1">
        <f>X27*47.051*LOOKUP(X29,密度!$A$2:$A$61,密度!$I$2:$I$61)</f>
        <v>245075.01421000002</v>
      </c>
      <c r="Y28" s="91" ph="1">
        <f>Y27*47.051*LOOKUP(Y29,密度!$A$2:$A$50,密度!$L$2:$L$50)</f>
        <v>31320.203915000006</v>
      </c>
      <c r="Z28" s="231"/>
      <c r="AA28" s="232"/>
      <c r="AB28" s="232"/>
      <c r="AC28" s="232"/>
      <c r="AD28" s="232"/>
      <c r="AE28" s="233"/>
      <c r="AH28" s="64" ph="1">
        <v>14</v>
      </c>
      <c r="AI28" s="64" t="s" ph="1">
        <v>351</v>
      </c>
      <c r="AZ28" s="64" t="s" ph="1">
        <v>216</v>
      </c>
      <c r="BA28" s="64" ph="1">
        <v>0</v>
      </c>
    </row>
    <row r="29" spans="1:57" ph="1">
      <c r="A29" s="72" ph="1"/>
      <c r="B29" s="237" ph="1"/>
      <c r="C29" s="155" t="s" ph="1">
        <v>179</v>
      </c>
      <c r="D29" s="74">
        <v>25</v>
      </c>
      <c r="E29" s="74">
        <v>25</v>
      </c>
      <c r="F29" s="74">
        <v>29</v>
      </c>
      <c r="G29" s="74">
        <v>27</v>
      </c>
      <c r="H29" s="74">
        <v>27</v>
      </c>
      <c r="I29" s="74">
        <v>31</v>
      </c>
      <c r="J29" s="74">
        <v>30</v>
      </c>
      <c r="K29" s="74">
        <v>29</v>
      </c>
      <c r="L29" s="74">
        <v>29</v>
      </c>
      <c r="M29" s="74">
        <v>32</v>
      </c>
      <c r="N29" s="74">
        <v>30</v>
      </c>
      <c r="O29" s="74">
        <v>30</v>
      </c>
      <c r="P29" s="74">
        <v>31</v>
      </c>
      <c r="Q29" s="93">
        <v>31</v>
      </c>
      <c r="R29" s="74">
        <v>30</v>
      </c>
      <c r="S29" s="74">
        <v>30</v>
      </c>
      <c r="T29" s="74">
        <v>32</v>
      </c>
      <c r="U29" s="74">
        <v>32</v>
      </c>
      <c r="V29" s="74">
        <v>31</v>
      </c>
      <c r="W29" s="74">
        <v>31</v>
      </c>
      <c r="X29" s="74">
        <v>36</v>
      </c>
      <c r="Y29" s="74">
        <v>31</v>
      </c>
      <c r="Z29" s="234"/>
      <c r="AA29" s="235"/>
      <c r="AB29" s="235"/>
      <c r="AC29" s="235"/>
      <c r="AD29" s="235"/>
      <c r="AE29" s="236"/>
      <c r="AH29" s="64" ph="1">
        <v>15</v>
      </c>
      <c r="AI29" s="64" t="s" ph="1">
        <v>352</v>
      </c>
      <c r="AZ29" s="64" t="s" ph="1">
        <v>216</v>
      </c>
      <c r="BA29" s="64" ph="1">
        <v>0</v>
      </c>
      <c r="BD29" s="64" t="s" ph="1">
        <v>353</v>
      </c>
      <c r="BE29" s="64" ph="1">
        <v>890</v>
      </c>
    </row>
    <row r="30" spans="1:57" ph="1">
      <c r="D30" s="94" ph="1"/>
      <c r="Z30" s="64" t="s" ph="1">
        <v>35</v>
      </c>
      <c r="AE30" s="95" ph="1"/>
      <c r="AH30" s="64" ph="1">
        <v>16</v>
      </c>
      <c r="AI30" s="64" t="s" ph="1">
        <v>354</v>
      </c>
      <c r="AZ30" s="64" t="s" ph="1">
        <v>216</v>
      </c>
      <c r="BA30" s="64" ph="1">
        <v>0</v>
      </c>
    </row>
    <row r="31" spans="1:57" ht="28.2" ph="1">
      <c r="A31" s="64"/>
      <c r="B31" s="220" t="s" ph="1">
        <v>35</v>
      </c>
      <c r="C31" s="221" ph="1"/>
      <c r="D31" s="224" t="s" ph="1">
        <v>9</v>
      </c>
      <c r="E31" s="199" ph="1"/>
      <c r="F31" s="200" ph="1"/>
      <c r="G31" s="224" t="s" ph="1">
        <v>18</v>
      </c>
      <c r="H31" s="199" ph="1"/>
      <c r="I31" s="200" ph="1"/>
      <c r="J31" s="198" t="s" ph="1">
        <v>1</v>
      </c>
      <c r="K31" s="199" ph="1"/>
      <c r="L31" s="200" ph="1"/>
      <c r="M31" s="198" t="s" ph="1">
        <v>7</v>
      </c>
      <c r="N31" s="199" ph="1"/>
      <c r="O31" s="200" ph="1"/>
      <c r="P31" s="198" t="s" ph="1">
        <v>41</v>
      </c>
      <c r="Q31" s="199"/>
      <c r="R31" s="200"/>
      <c r="S31" s="198" t="s" ph="1">
        <v>2</v>
      </c>
      <c r="T31" s="199"/>
      <c r="U31" s="200"/>
      <c r="V31" s="198" t="s" ph="1">
        <v>71</v>
      </c>
      <c r="W31" s="199" ph="1"/>
      <c r="X31" s="200" ph="1"/>
      <c r="Y31" s="198" t="s" ph="1">
        <v>3</v>
      </c>
      <c r="Z31" s="199" ph="1"/>
      <c r="AA31" s="200" ph="1"/>
      <c r="AB31" s="201" t="s">
        <v>42</v>
      </c>
      <c r="AC31" s="202"/>
      <c r="AD31" s="202"/>
      <c r="AE31" s="203"/>
      <c r="AH31" s="64" ph="1">
        <v>17</v>
      </c>
      <c r="AI31" s="64" t="s" ph="1">
        <v>355</v>
      </c>
      <c r="AZ31" s="64" t="s" ph="1">
        <v>216</v>
      </c>
      <c r="BA31" s="64" ph="1">
        <v>0</v>
      </c>
      <c r="BD31" s="64" t="s" ph="1">
        <v>356</v>
      </c>
      <c r="BE31" s="64" ph="1">
        <v>9310</v>
      </c>
    </row>
    <row r="32" spans="1:57" ph="1">
      <c r="A32" s="64"/>
      <c r="B32" s="222" ph="1"/>
      <c r="C32" s="223" ph="1"/>
      <c r="D32" s="96" t="s" ph="1">
        <v>4</v>
      </c>
      <c r="E32" s="155" t="s" ph="1">
        <v>5</v>
      </c>
      <c r="F32" s="154" t="s" ph="1">
        <v>43</v>
      </c>
      <c r="G32" s="97" t="s" ph="1">
        <v>4</v>
      </c>
      <c r="H32" s="155" t="s" ph="1">
        <v>5</v>
      </c>
      <c r="I32" s="154" t="s" ph="1">
        <v>43</v>
      </c>
      <c r="J32" s="97" t="s" ph="1">
        <v>4</v>
      </c>
      <c r="K32" s="155" t="s" ph="1">
        <v>5</v>
      </c>
      <c r="L32" s="154" t="s" ph="1">
        <v>43</v>
      </c>
      <c r="M32" s="97" t="s" ph="1">
        <v>4</v>
      </c>
      <c r="N32" s="155" t="s" ph="1">
        <v>5</v>
      </c>
      <c r="O32" s="154" t="s" ph="1">
        <v>43</v>
      </c>
      <c r="P32" s="97" t="s" ph="1">
        <v>4</v>
      </c>
      <c r="Q32" s="98" t="s" ph="1">
        <v>5</v>
      </c>
      <c r="R32" s="99" t="s" ph="1">
        <v>43</v>
      </c>
      <c r="S32" s="97" t="s" ph="1">
        <v>4</v>
      </c>
      <c r="T32" s="155" t="s" ph="1">
        <v>5</v>
      </c>
      <c r="U32" s="99" t="s" ph="1">
        <v>43</v>
      </c>
      <c r="V32" s="97" t="s" ph="1">
        <v>4</v>
      </c>
      <c r="W32" s="155" t="s" ph="1">
        <v>5</v>
      </c>
      <c r="X32" s="99" t="s" ph="1">
        <v>43</v>
      </c>
      <c r="Y32" s="100" t="s" ph="1">
        <v>4</v>
      </c>
      <c r="Z32" s="155" t="s" ph="1">
        <v>5</v>
      </c>
      <c r="AA32" s="154" t="s" ph="1">
        <v>43</v>
      </c>
      <c r="AB32" s="97" t="s" ph="1">
        <v>85</v>
      </c>
      <c r="AC32" s="155" t="s" ph="1">
        <v>84</v>
      </c>
      <c r="AD32" s="204" t="s" ph="1">
        <v>83</v>
      </c>
      <c r="AE32" s="205"/>
      <c r="AH32" s="64" ph="1">
        <v>18</v>
      </c>
      <c r="AI32" s="64" t="s" ph="1">
        <v>357</v>
      </c>
      <c r="AZ32" s="64" t="s" ph="1">
        <v>216</v>
      </c>
      <c r="BA32" s="64" ph="1">
        <v>0</v>
      </c>
    </row>
    <row r="33" spans="1:57" ph="1">
      <c r="A33" s="64"/>
      <c r="B33" s="206" t="s" ph="1">
        <v>181</v>
      </c>
      <c r="C33" s="207" ph="1"/>
      <c r="D33" s="186" ph="1">
        <f>AA10+AB10+Z19</f>
        <v>58557.937690000006</v>
      </c>
      <c r="E33" s="186" ph="1">
        <f>M10+I10</f>
        <v>110944.46836480001</v>
      </c>
      <c r="F33" s="210" ph="1">
        <f>表格_取樣回收每月庫存表_0620更新1522252632456786910111213141516171819202123456789101112131415161718192022232424356789101112131415161718192021222345678910111213141516171819202345678910111213149101516171819222123234567891012131415161711181920212224252345678910111213116[[#This Row],[F25]]</f>
        <v>3880</v>
      </c>
      <c r="G33" s="212" ph="1">
        <f>N19</f>
        <v>3722.7729786</v>
      </c>
      <c r="H33" s="186" ph="1">
        <f>M19</f>
        <v>3260.2994200080002</v>
      </c>
      <c r="I33" s="190" ph="1">
        <v>0</v>
      </c>
      <c r="J33" s="194" ph="1">
        <f>F10+O28</f>
        <v>134464.45370079999</v>
      </c>
      <c r="K33" s="186" ph="1">
        <f>O10+K10+E28+R28</f>
        <v>270042.68084873998</v>
      </c>
      <c r="L33" s="196" ph="1">
        <f>K19</f>
        <v>6718.9881082000002</v>
      </c>
      <c r="M33" s="194" ph="1">
        <f>G10+H10+W28+S28+V28+E10+R19+P28+Q28</f>
        <v>647542.14407039993</v>
      </c>
      <c r="N33" s="186" ph="1">
        <f>L10+P10++G28+H28+AD19+AE19</f>
        <v>363364.58798300003</v>
      </c>
      <c r="O33" s="190" ph="1">
        <f>G19</f>
        <v>15706.567231500001</v>
      </c>
      <c r="P33" s="194" ph="1">
        <f>L19</f>
        <v>30723.604611840001</v>
      </c>
      <c r="Q33" s="186" ph="1">
        <f>J10+N10</f>
        <v>40751.473947199993</v>
      </c>
      <c r="R33" s="190" ph="1">
        <f>BE23</f>
        <v>890</v>
      </c>
      <c r="S33" s="194" ph="1">
        <f>X28</f>
        <v>245075.01421000002</v>
      </c>
      <c r="T33" s="186" ph="1">
        <f>X19</f>
        <v>13449.932239799999</v>
      </c>
      <c r="U33" s="175" ph="1">
        <f>BE21</f>
        <v>730</v>
      </c>
      <c r="V33" s="188" ph="1">
        <f ca="1">P19+Q19+S19+M28+N28+J28+D10+AC10+D19+E19+H19+J19+O19+V19+W19+K28+L28</f>
        <v>925065.81115161034</v>
      </c>
      <c r="W33" s="188" ph="1">
        <f>D28+F28+T28+I28</f>
        <v>20850.708572271997</v>
      </c>
      <c r="X33" s="190" ph="1">
        <f>BE29+BE31</f>
        <v>10200</v>
      </c>
      <c r="Y33" s="192" ph="1">
        <f>+Q10+R10+S10+T10+U10+V10+W10+X10+Y10</f>
        <v>123528.77543160001</v>
      </c>
      <c r="Z33" s="173" ph="1">
        <f>T19+U19+Y28+Z10</f>
        <v>244723.36184139998</v>
      </c>
      <c r="AA33" s="175" ph="1">
        <f>BE19</f>
        <v>1440</v>
      </c>
      <c r="AB33" s="177" ph="1">
        <f>I19</f>
        <v>46715.496324000007</v>
      </c>
      <c r="AC33" s="179" ph="1">
        <f>AD10+AB19</f>
        <v>100019.75336640001</v>
      </c>
      <c r="AD33" s="181" ph="1">
        <v>0</v>
      </c>
      <c r="AE33" s="182"/>
      <c r="AH33" s="64" ph="1">
        <v>19</v>
      </c>
      <c r="AI33" s="64" t="s" ph="1">
        <v>358</v>
      </c>
      <c r="AJ33" s="64" t="s" ph="1">
        <v>592</v>
      </c>
      <c r="AK33" s="64" t="s" ph="1">
        <v>589</v>
      </c>
      <c r="AL33" s="64" ph="1">
        <v>730</v>
      </c>
      <c r="AM33" s="64" t="s" ph="1">
        <v>339</v>
      </c>
      <c r="AZ33" s="64" t="s" ph="1">
        <v>216</v>
      </c>
      <c r="BA33" s="64" ph="1">
        <v>730</v>
      </c>
      <c r="BD33" s="64" t="s" ph="1">
        <v>290</v>
      </c>
      <c r="BE33" s="64" ph="1">
        <v>3880</v>
      </c>
    </row>
    <row r="34" spans="1:57" ph="1">
      <c r="A34" s="64"/>
      <c r="B34" s="208" ph="1"/>
      <c r="C34" s="209" ph="1"/>
      <c r="D34" s="187" ph="1"/>
      <c r="E34" s="187" ph="1"/>
      <c r="F34" s="211" ph="1"/>
      <c r="G34" s="213" ph="1"/>
      <c r="H34" s="187" ph="1"/>
      <c r="I34" s="191" ph="1"/>
      <c r="J34" s="195" ph="1"/>
      <c r="K34" s="187" ph="1"/>
      <c r="L34" s="197" ph="1"/>
      <c r="M34" s="195" ph="1"/>
      <c r="N34" s="187" ph="1"/>
      <c r="O34" s="191" ph="1"/>
      <c r="P34" s="195" ph="1"/>
      <c r="Q34" s="187" ph="1"/>
      <c r="R34" s="191" ph="1"/>
      <c r="S34" s="195" ph="1"/>
      <c r="T34" s="187"/>
      <c r="U34" s="176"/>
      <c r="V34" s="189" ph="1"/>
      <c r="W34" s="189" ph="1"/>
      <c r="X34" s="191" ph="1"/>
      <c r="Y34" s="193" ph="1"/>
      <c r="Z34" s="174" ph="1"/>
      <c r="AA34" s="176" ph="1"/>
      <c r="AB34" s="178"/>
      <c r="AC34" s="180"/>
      <c r="AD34" s="183"/>
      <c r="AE34" s="184"/>
      <c r="AH34" s="64" ph="1">
        <v>20</v>
      </c>
      <c r="AI34" s="64" t="s" ph="1">
        <v>359</v>
      </c>
      <c r="AJ34" s="64" t="s" ph="1">
        <v>593</v>
      </c>
      <c r="AK34" s="64" t="s" ph="1">
        <v>589</v>
      </c>
      <c r="AL34" s="64" ph="1">
        <v>720</v>
      </c>
      <c r="AM34" s="64" t="s" ph="1">
        <v>339</v>
      </c>
      <c r="AZ34" s="64" t="s" ph="1">
        <v>216</v>
      </c>
      <c r="BA34" s="64" ph="1">
        <v>720</v>
      </c>
    </row>
    <row r="35" spans="1:57" ph="1">
      <c r="A35" s="64"/>
      <c r="AC35" s="185" t="s" ph="1">
        <v>631</v>
      </c>
      <c r="AD35" s="185"/>
      <c r="AE35" s="185"/>
      <c r="AH35" s="64" ph="1">
        <v>21</v>
      </c>
      <c r="AI35" s="64" t="s" ph="1">
        <v>360</v>
      </c>
      <c r="AZ35" s="64" t="s" ph="1">
        <v>216</v>
      </c>
      <c r="BA35" s="64" ph="1">
        <v>0</v>
      </c>
      <c r="BD35" s="64" t="s" ph="1">
        <v>361</v>
      </c>
      <c r="BE35" s="64" ph="1">
        <v>2030</v>
      </c>
    </row>
    <row r="36" spans="1:57" ht="28.2" ph="1">
      <c r="A36" s="64"/>
      <c r="B36" s="103" t="s" ph="1">
        <v>182</v>
      </c>
      <c r="I36" s="171" t="s" ph="1">
        <v>183</v>
      </c>
      <c r="J36" s="171" ph="1"/>
      <c r="K36" s="101" ph="1"/>
      <c r="P36" s="101" ph="1"/>
      <c r="R36" s="171" t="s" ph="1">
        <v>184</v>
      </c>
      <c r="S36" s="171" ph="1"/>
      <c r="Y36" s="102" ph="1"/>
      <c r="Z36" s="153" t="s" ph="1">
        <v>185</v>
      </c>
      <c r="AA36" s="153" ph="1"/>
      <c r="AB36" s="172" t="s" ph="1">
        <v>640</v>
      </c>
      <c r="AC36" s="172" ph="1"/>
      <c r="AD36" s="172" ph="1"/>
      <c r="AE36" s="172" ph="1"/>
      <c r="BA36" s="64" ph="1">
        <v>2270</v>
      </c>
    </row>
    <row r="37" spans="1:57" s="153" customFormat="1" ph="1">
      <c r="A37" s="64" ph="1"/>
      <c r="B37" s="64" ph="1"/>
      <c r="C37" s="64" ph="1"/>
      <c r="D37" s="64" ph="1"/>
      <c r="E37" s="64" ph="1"/>
      <c r="F37" s="64" ph="1"/>
      <c r="G37" s="64" ph="1"/>
      <c r="H37" s="64" ph="1"/>
      <c r="I37" s="64" ph="1"/>
      <c r="J37" s="64" ph="1"/>
      <c r="K37" s="64" ph="1"/>
      <c r="L37" s="64" ph="1"/>
      <c r="M37" s="64" ph="1"/>
      <c r="N37" s="64" ph="1"/>
      <c r="O37" s="64" ph="1"/>
      <c r="P37" s="64" ph="1"/>
      <c r="Q37" s="64" ph="1"/>
      <c r="R37" s="64" ph="1"/>
      <c r="S37" s="64" ph="1"/>
      <c r="T37" s="64" ph="1"/>
      <c r="U37" s="64" ph="1"/>
      <c r="V37" s="64" ph="1"/>
      <c r="W37" s="64" ph="1"/>
      <c r="X37" s="64" ph="1"/>
      <c r="Y37" s="64" ph="1"/>
      <c r="Z37" s="64" ph="1"/>
      <c r="AA37" s="64" ph="1"/>
      <c r="AB37" s="64" ph="1"/>
      <c r="AC37" s="64" ph="1"/>
      <c r="AD37" s="64" ph="1"/>
      <c r="AE37" s="64" ph="1"/>
      <c r="AG37" s="153" t="s" ph="1">
        <v>342</v>
      </c>
      <c r="AI37" s="153" t="s" ph="1">
        <v>209</v>
      </c>
      <c r="AJ37" s="153" t="s" ph="1">
        <v>210</v>
      </c>
      <c r="AK37" s="153" t="s" ph="1">
        <v>211</v>
      </c>
      <c r="AM37" s="153" t="s" ph="1">
        <v>210</v>
      </c>
      <c r="AN37" s="153" t="s" ph="1">
        <v>211</v>
      </c>
      <c r="AO37" s="153" t="s" ph="1">
        <v>212</v>
      </c>
      <c r="AP37" s="153" t="s" ph="1">
        <v>210</v>
      </c>
      <c r="AQ37" s="153" t="s" ph="1">
        <v>211</v>
      </c>
      <c r="AR37" s="153" t="s" ph="1">
        <v>212</v>
      </c>
      <c r="AS37" s="153" t="s" ph="1">
        <v>210</v>
      </c>
      <c r="AT37" s="153" t="s" ph="1">
        <v>211</v>
      </c>
      <c r="AU37" s="153" t="s" ph="1">
        <v>212</v>
      </c>
      <c r="AV37" s="153" t="s" ph="1">
        <v>210</v>
      </c>
      <c r="AW37" s="153" t="s" ph="1">
        <v>211</v>
      </c>
      <c r="AX37" s="153" t="s" ph="1">
        <v>212</v>
      </c>
      <c r="AY37" s="153" t="s" ph="1">
        <v>211</v>
      </c>
      <c r="AZ37" s="153" t="s" ph="1">
        <v>213</v>
      </c>
      <c r="BD37" s="153" t="s" ph="1">
        <v>305</v>
      </c>
      <c r="BE37" s="153" ph="1">
        <v>0</v>
      </c>
    </row>
    <row r="38" spans="1:57" ph="1">
      <c r="AE38" s="64" ph="1"/>
      <c r="AH38" s="64" ph="1">
        <v>1</v>
      </c>
      <c r="AI38" s="64" t="s" ph="1">
        <v>362</v>
      </c>
      <c r="AY38" s="64" t="s" ph="1">
        <v>216</v>
      </c>
      <c r="AZ38" s="64" t="s" ph="1">
        <v>367</v>
      </c>
    </row>
    <row r="39" spans="1:57" ph="1">
      <c r="AH39" s="64" ph="1">
        <v>2</v>
      </c>
      <c r="AI39" s="64" t="s" ph="1">
        <v>364</v>
      </c>
      <c r="AJ39" s="64" t="s" ph="1">
        <v>336</v>
      </c>
      <c r="AK39" s="64" t="s" ph="1">
        <v>365</v>
      </c>
      <c r="AM39" s="64" t="s" ph="1">
        <v>570</v>
      </c>
      <c r="AN39" s="64" t="s" ph="1">
        <v>228</v>
      </c>
      <c r="AO39" s="64" t="s" ph="1">
        <v>363</v>
      </c>
      <c r="AY39" s="64" t="s" ph="1">
        <v>216</v>
      </c>
      <c r="AZ39" s="64" t="s" ph="1">
        <v>499</v>
      </c>
    </row>
    <row r="40" spans="1:57" ph="1">
      <c r="AH40" s="64" ph="1">
        <v>3</v>
      </c>
      <c r="AI40" s="64" t="s" ph="1">
        <v>366</v>
      </c>
      <c r="AJ40" s="64" t="s" ph="1">
        <v>570</v>
      </c>
      <c r="AK40" s="64" t="s" ph="1">
        <v>571</v>
      </c>
      <c r="AY40" s="64" t="s" ph="1">
        <v>216</v>
      </c>
      <c r="AZ40" s="64" t="s" ph="1">
        <v>571</v>
      </c>
    </row>
    <row r="41" spans="1:57" ph="1">
      <c r="AH41" s="64" ph="1">
        <v>4</v>
      </c>
      <c r="AI41" s="64" t="s" ph="1">
        <v>368</v>
      </c>
      <c r="AJ41" s="64" t="s" ph="1">
        <v>572</v>
      </c>
      <c r="AK41" s="64" t="s" ph="1">
        <v>573</v>
      </c>
      <c r="AM41" s="64" t="s" ph="1">
        <v>574</v>
      </c>
      <c r="AY41" s="64" t="s" ph="1">
        <v>216</v>
      </c>
      <c r="AZ41" s="64" t="s" ph="1">
        <v>573</v>
      </c>
    </row>
    <row r="42" spans="1:57" ph="1">
      <c r="P42" s="64"/>
      <c r="Q42" s="64"/>
      <c r="R42" s="64"/>
      <c r="S42" s="64"/>
      <c r="T42" s="64"/>
      <c r="U42" s="64"/>
      <c r="V42" s="64"/>
      <c r="W42" s="64"/>
      <c r="X42" s="64"/>
      <c r="Y42" s="64"/>
      <c r="Z42" s="64"/>
      <c r="AA42" s="64"/>
      <c r="AB42" s="64"/>
      <c r="AC42" s="64"/>
      <c r="AD42" s="64"/>
      <c r="AE42" s="75"/>
      <c r="AH42" s="64" ph="1">
        <v>5</v>
      </c>
      <c r="AI42" s="64" t="s" ph="1">
        <v>369</v>
      </c>
      <c r="AY42" s="64" t="s" ph="1">
        <v>216</v>
      </c>
      <c r="AZ42" s="64" t="s" ph="1">
        <v>367</v>
      </c>
    </row>
    <row r="43" spans="1:57" ph="1">
      <c r="C43" s="64"/>
      <c r="D43" s="64"/>
      <c r="E43" s="64"/>
      <c r="F43" s="64"/>
      <c r="G43" s="64"/>
      <c r="H43" s="64"/>
      <c r="I43" s="64"/>
      <c r="J43" s="64"/>
      <c r="K43" s="64"/>
      <c r="L43" s="64"/>
      <c r="M43" s="64"/>
      <c r="N43" s="64"/>
      <c r="O43" s="64"/>
      <c r="P43" s="64"/>
      <c r="R43" s="64"/>
      <c r="S43" s="64"/>
      <c r="T43" s="64"/>
      <c r="U43" s="64"/>
      <c r="V43" s="64"/>
      <c r="W43" s="64"/>
      <c r="X43" s="64"/>
      <c r="Y43" s="64"/>
      <c r="Z43" s="64"/>
      <c r="AA43" s="64"/>
      <c r="AB43" s="64"/>
      <c r="AC43" s="64"/>
      <c r="AD43" s="64"/>
      <c r="AE43" s="75"/>
      <c r="AH43" s="64" ph="1">
        <v>6</v>
      </c>
      <c r="AI43" s="64" t="s" ph="1">
        <v>370</v>
      </c>
      <c r="AY43" s="64" t="s" ph="1">
        <v>216</v>
      </c>
      <c r="AZ43" s="64" t="s" ph="1">
        <v>367</v>
      </c>
    </row>
    <row r="44" spans="1:57" ph="1">
      <c r="R44" s="64"/>
      <c r="S44" s="64"/>
      <c r="T44" s="64"/>
      <c r="U44" s="64"/>
      <c r="V44" s="64"/>
      <c r="W44" s="64"/>
      <c r="X44" s="64"/>
      <c r="Y44" s="64"/>
      <c r="Z44" s="64"/>
      <c r="AA44" s="64"/>
      <c r="AB44" s="64"/>
      <c r="AC44" s="64"/>
      <c r="AD44" s="64"/>
      <c r="AE44" s="75"/>
      <c r="AH44" s="64" ph="1">
        <v>7</v>
      </c>
      <c r="AI44" s="64" t="s" ph="1">
        <v>371</v>
      </c>
      <c r="AV44" s="64" t="s" ph="1">
        <v>217</v>
      </c>
      <c r="AY44" s="64" t="s" ph="1">
        <v>216</v>
      </c>
      <c r="AZ44" s="64" t="s" ph="1">
        <v>367</v>
      </c>
    </row>
    <row r="45" spans="1:57" ph="1">
      <c r="R45" s="64"/>
      <c r="S45" s="64"/>
      <c r="T45" s="64"/>
      <c r="U45" s="64"/>
      <c r="V45" s="64"/>
      <c r="W45" s="64"/>
      <c r="X45" s="64"/>
      <c r="Y45" s="64"/>
      <c r="Z45" s="64"/>
      <c r="AA45" s="64"/>
      <c r="AB45" s="64"/>
      <c r="AC45" s="64"/>
      <c r="AD45" s="64"/>
      <c r="AE45" s="75"/>
      <c r="AH45" s="64" ph="1">
        <v>8</v>
      </c>
      <c r="AI45" s="64" t="s" ph="1">
        <v>372</v>
      </c>
      <c r="AV45" s="64" t="s" ph="1">
        <v>217</v>
      </c>
      <c r="AY45" s="64" t="s" ph="1">
        <v>216</v>
      </c>
      <c r="AZ45" s="64" t="s" ph="1">
        <v>367</v>
      </c>
    </row>
    <row r="46" spans="1:57" ph="1">
      <c r="R46" s="64"/>
      <c r="S46" s="64"/>
      <c r="T46" s="64"/>
      <c r="U46" s="64"/>
      <c r="V46" s="64"/>
      <c r="W46" s="64"/>
      <c r="X46" s="64"/>
      <c r="Y46" s="64"/>
      <c r="Z46" s="64"/>
      <c r="AA46" s="64"/>
      <c r="AB46" s="64"/>
      <c r="AC46" s="64"/>
      <c r="AD46" s="64"/>
      <c r="AE46" s="75"/>
      <c r="AH46" s="64" ph="1">
        <v>9</v>
      </c>
      <c r="AI46" s="64" t="s" ph="1">
        <v>373</v>
      </c>
      <c r="AV46" s="64" t="s" ph="1">
        <v>217</v>
      </c>
      <c r="AY46" s="64" t="s" ph="1">
        <v>216</v>
      </c>
      <c r="AZ46" s="64" t="s" ph="1">
        <v>367</v>
      </c>
    </row>
    <row r="47" spans="1:57" ph="1">
      <c r="R47" s="64"/>
      <c r="S47" s="64"/>
      <c r="T47" s="64"/>
      <c r="U47" s="64"/>
      <c r="V47" s="64"/>
      <c r="W47" s="64"/>
      <c r="X47" s="64"/>
      <c r="Y47" s="64"/>
      <c r="Z47" s="64"/>
      <c r="AA47" s="64"/>
      <c r="AB47" s="64"/>
      <c r="AC47" s="64"/>
      <c r="AD47" s="64"/>
      <c r="AE47" s="75"/>
      <c r="AH47" s="64" ph="1">
        <v>10</v>
      </c>
      <c r="AI47" s="64" t="s" ph="1">
        <v>374</v>
      </c>
      <c r="AV47" s="64" t="s" ph="1">
        <v>217</v>
      </c>
      <c r="AY47" s="64" t="s" ph="1">
        <v>216</v>
      </c>
      <c r="AZ47" s="64" t="s" ph="1">
        <v>367</v>
      </c>
    </row>
    <row r="48" spans="1:57" ph="1">
      <c r="R48" s="64"/>
      <c r="S48" s="64"/>
      <c r="T48" s="64"/>
      <c r="U48" s="64"/>
      <c r="V48" s="64"/>
      <c r="W48" s="64"/>
      <c r="X48" s="64"/>
      <c r="Y48" s="64"/>
      <c r="Z48" s="64"/>
      <c r="AA48" s="64"/>
      <c r="AB48" s="64"/>
      <c r="AC48" s="64"/>
      <c r="AD48" s="64"/>
      <c r="AE48" s="75"/>
      <c r="AZ48" s="64" t="s" ph="1">
        <v>575</v>
      </c>
    </row>
    <row r="49" spans="16:52" ph="1">
      <c r="R49" s="64"/>
      <c r="S49" s="64"/>
      <c r="T49" s="64"/>
      <c r="U49" s="64"/>
      <c r="V49" s="64"/>
      <c r="W49" s="64"/>
      <c r="X49" s="64"/>
      <c r="Y49" s="64"/>
      <c r="Z49" s="64"/>
      <c r="AA49" s="64"/>
      <c r="AB49" s="64"/>
      <c r="AC49" s="64"/>
      <c r="AD49" s="64"/>
      <c r="AE49" s="75"/>
      <c r="AG49" s="64" t="s" ph="1">
        <v>232</v>
      </c>
      <c r="AI49" s="64" t="s" ph="1">
        <v>209</v>
      </c>
      <c r="AJ49" s="64" t="s" ph="1">
        <v>210</v>
      </c>
      <c r="AK49" s="64" t="s" ph="1">
        <v>211</v>
      </c>
      <c r="AM49" s="64" t="s" ph="1">
        <v>210</v>
      </c>
      <c r="AN49" s="64" t="s" ph="1">
        <v>211</v>
      </c>
      <c r="AO49" s="64" t="s" ph="1">
        <v>212</v>
      </c>
      <c r="AP49" s="64" t="s" ph="1">
        <v>210</v>
      </c>
      <c r="AQ49" s="64" t="s" ph="1">
        <v>211</v>
      </c>
      <c r="AR49" s="64" t="s" ph="1">
        <v>212</v>
      </c>
      <c r="AS49" s="64" t="s" ph="1">
        <v>210</v>
      </c>
      <c r="AT49" s="64" t="s" ph="1">
        <v>211</v>
      </c>
      <c r="AU49" s="64" t="s" ph="1">
        <v>212</v>
      </c>
      <c r="AV49" s="64" t="s" ph="1">
        <v>210</v>
      </c>
      <c r="AW49" s="64" t="s" ph="1">
        <v>211</v>
      </c>
      <c r="AX49" s="64" t="s" ph="1">
        <v>212</v>
      </c>
      <c r="AY49" s="64" t="s" ph="1">
        <v>211</v>
      </c>
      <c r="AZ49" s="64" t="s" ph="1">
        <v>213</v>
      </c>
    </row>
    <row r="50" spans="16:52" ph="1">
      <c r="R50" s="64"/>
      <c r="S50" s="64"/>
      <c r="T50" s="64"/>
      <c r="U50" s="64"/>
      <c r="V50" s="64"/>
      <c r="W50" s="64"/>
      <c r="X50" s="64"/>
      <c r="Y50" s="64"/>
      <c r="Z50" s="64"/>
      <c r="AA50" s="64"/>
      <c r="AB50" s="64"/>
      <c r="AC50" s="64"/>
      <c r="AD50" s="64"/>
      <c r="AE50" s="75"/>
      <c r="AH50" s="64" ph="1">
        <v>1</v>
      </c>
      <c r="AI50" s="64" t="s" ph="1">
        <v>375</v>
      </c>
      <c r="AY50" s="64" t="s" ph="1">
        <v>216</v>
      </c>
      <c r="AZ50" s="64" t="s" ph="1">
        <v>367</v>
      </c>
    </row>
    <row r="51" spans="16:52" ph="1">
      <c r="R51" s="64"/>
      <c r="S51" s="64"/>
      <c r="T51" s="64"/>
      <c r="U51" s="64"/>
      <c r="V51" s="64"/>
      <c r="W51" s="64"/>
      <c r="X51" s="64"/>
      <c r="Y51" s="64"/>
      <c r="Z51" s="64"/>
      <c r="AA51" s="64"/>
      <c r="AB51" s="64"/>
      <c r="AC51" s="64"/>
      <c r="AD51" s="64"/>
      <c r="AE51" s="75"/>
      <c r="AH51" s="64" ph="1">
        <v>2</v>
      </c>
      <c r="AI51" s="64" t="s" ph="1">
        <v>376</v>
      </c>
      <c r="AY51" s="64" t="s" ph="1">
        <v>216</v>
      </c>
      <c r="AZ51" s="64" t="s" ph="1">
        <v>367</v>
      </c>
    </row>
    <row r="52" spans="16:52" ph="1">
      <c r="R52" s="64"/>
      <c r="S52" s="64"/>
      <c r="T52" s="64"/>
      <c r="U52" s="64"/>
      <c r="V52" s="64"/>
      <c r="W52" s="64"/>
      <c r="X52" s="64"/>
      <c r="Y52" s="64"/>
      <c r="Z52" s="64"/>
      <c r="AA52" s="64"/>
      <c r="AB52" s="64"/>
      <c r="AC52" s="64"/>
      <c r="AD52" s="64"/>
      <c r="AE52" s="75"/>
      <c r="AH52" s="64" ph="1">
        <v>3</v>
      </c>
      <c r="AI52" s="64" t="s" ph="1">
        <v>377</v>
      </c>
      <c r="AJ52" s="64" t="s" ph="1">
        <v>334</v>
      </c>
      <c r="AK52" s="64" t="s" ph="1">
        <v>228</v>
      </c>
      <c r="AM52" s="64" t="s" ph="1">
        <v>336</v>
      </c>
      <c r="AN52" s="64" t="s" ph="1">
        <v>300</v>
      </c>
      <c r="AO52" s="64" t="s" ph="1">
        <v>233</v>
      </c>
      <c r="AP52" s="64" t="s" ph="1">
        <v>570</v>
      </c>
      <c r="AQ52" s="64" t="s" ph="1">
        <v>282</v>
      </c>
      <c r="AR52" s="64" t="s" ph="1">
        <v>233</v>
      </c>
      <c r="AY52" s="64" t="s" ph="1">
        <v>216</v>
      </c>
      <c r="AZ52" s="64" t="s" ph="1">
        <v>576</v>
      </c>
    </row>
    <row r="53" spans="16:52" ph="1">
      <c r="R53" s="64"/>
      <c r="S53" s="64"/>
      <c r="T53" s="64"/>
      <c r="U53" s="64"/>
      <c r="W53" s="64"/>
      <c r="X53" s="64"/>
      <c r="Y53" s="64"/>
      <c r="Z53" s="64"/>
      <c r="AA53" s="64"/>
      <c r="AB53" s="64"/>
      <c r="AC53" s="64"/>
      <c r="AD53" s="64"/>
      <c r="AH53" s="64" ph="1">
        <v>4</v>
      </c>
      <c r="AI53" s="64" t="s" ph="1">
        <v>378</v>
      </c>
      <c r="AY53" s="64" t="s" ph="1">
        <v>216</v>
      </c>
      <c r="AZ53" s="64" t="s" ph="1">
        <v>367</v>
      </c>
    </row>
    <row r="54" spans="16:52" ph="1">
      <c r="R54" s="64"/>
      <c r="S54" s="64"/>
      <c r="T54" s="64"/>
      <c r="U54" s="64"/>
      <c r="W54" s="64"/>
      <c r="X54" s="64"/>
      <c r="Y54" s="64"/>
      <c r="Z54" s="64"/>
      <c r="AA54" s="64"/>
      <c r="AC54" s="64"/>
      <c r="AD54" s="64"/>
      <c r="AH54" s="64" ph="1">
        <v>5</v>
      </c>
      <c r="AI54" s="64" t="s" ph="1">
        <v>379</v>
      </c>
      <c r="AJ54" s="64" t="s" ph="1">
        <v>334</v>
      </c>
      <c r="AK54" s="64" t="s" ph="1">
        <v>219</v>
      </c>
      <c r="AM54" s="64" t="s" ph="1">
        <v>336</v>
      </c>
      <c r="AN54" s="64" t="s" ph="1">
        <v>224</v>
      </c>
      <c r="AO54" s="64" t="s" ph="1">
        <v>233</v>
      </c>
      <c r="AP54" s="64" t="s" ph="1">
        <v>570</v>
      </c>
      <c r="AQ54" s="64" t="s" ph="1">
        <v>240</v>
      </c>
      <c r="AR54" s="64" t="s" ph="1">
        <v>233</v>
      </c>
      <c r="AY54" s="64" t="s" ph="1">
        <v>216</v>
      </c>
      <c r="AZ54" s="64" t="s" ph="1">
        <v>234</v>
      </c>
    </row>
    <row r="55" spans="16:52" ph="1">
      <c r="R55" s="64"/>
      <c r="S55" s="64"/>
      <c r="T55" s="64"/>
      <c r="U55" s="64"/>
      <c r="V55" s="64"/>
      <c r="W55" s="64"/>
      <c r="X55" s="64"/>
      <c r="Z55" s="64"/>
      <c r="AC55" s="64"/>
      <c r="AD55" s="64"/>
      <c r="AE55" s="75"/>
      <c r="AH55" s="64" ph="1">
        <v>6</v>
      </c>
      <c r="AI55" s="64" t="s" ph="1">
        <v>380</v>
      </c>
      <c r="AY55" s="64" t="s" ph="1">
        <v>216</v>
      </c>
      <c r="AZ55" s="64" t="s" ph="1">
        <v>367</v>
      </c>
    </row>
    <row r="56" spans="16:52" ph="1">
      <c r="P56" s="64" ph="1">
        <v>20260804</v>
      </c>
      <c r="R56" s="64"/>
      <c r="S56" s="64"/>
      <c r="T56" s="64"/>
      <c r="U56" s="64"/>
      <c r="V56" s="64"/>
      <c r="W56" s="64"/>
      <c r="X56" s="64"/>
      <c r="Z56" s="64"/>
      <c r="AA56" s="64"/>
      <c r="AB56" s="64"/>
      <c r="AC56" s="64"/>
      <c r="AD56" s="64"/>
      <c r="AE56" s="75"/>
      <c r="AH56" s="64" ph="1">
        <v>7</v>
      </c>
      <c r="AI56" s="64" t="s" ph="1">
        <v>381</v>
      </c>
      <c r="AY56" s="64" t="s" ph="1">
        <v>216</v>
      </c>
      <c r="AZ56" s="64" t="s" ph="1">
        <v>367</v>
      </c>
    </row>
    <row r="57" spans="16:52" ph="1">
      <c r="R57" s="64"/>
      <c r="S57" s="64"/>
      <c r="T57" s="64"/>
      <c r="U57" s="64"/>
      <c r="V57" s="64"/>
      <c r="W57" s="64"/>
      <c r="AA57" s="64"/>
      <c r="AB57" s="64"/>
      <c r="AC57" s="64"/>
      <c r="AD57" s="64"/>
      <c r="AE57" s="75"/>
      <c r="AH57" s="64" ph="1">
        <v>8</v>
      </c>
      <c r="AI57" s="64" t="s" ph="1">
        <v>382</v>
      </c>
      <c r="AY57" s="64" t="s" ph="1">
        <v>216</v>
      </c>
      <c r="AZ57" s="64" t="s" ph="1">
        <v>367</v>
      </c>
    </row>
    <row r="58" spans="16:52" ph="1">
      <c r="P58" s="64"/>
      <c r="AN58" s="64" t="s" ph="1">
        <v>217</v>
      </c>
      <c r="AZ58" s="64" t="s" ph="1">
        <v>577</v>
      </c>
    </row>
    <row r="59" spans="16:52" ph="1">
      <c r="V59" s="64"/>
      <c r="AG59" s="64" t="s" ph="1">
        <v>235</v>
      </c>
      <c r="AI59" s="64" t="s" ph="1">
        <v>209</v>
      </c>
      <c r="AJ59" s="64" t="s" ph="1">
        <v>210</v>
      </c>
      <c r="AK59" s="64" t="s" ph="1">
        <v>211</v>
      </c>
      <c r="AM59" s="64" t="s" ph="1">
        <v>210</v>
      </c>
      <c r="AN59" s="64" t="s" ph="1">
        <v>211</v>
      </c>
      <c r="AO59" s="64" t="s" ph="1">
        <v>212</v>
      </c>
      <c r="AP59" s="64" t="s" ph="1">
        <v>210</v>
      </c>
      <c r="AQ59" s="64" t="s" ph="1">
        <v>211</v>
      </c>
      <c r="AR59" s="64" t="s" ph="1">
        <v>212</v>
      </c>
      <c r="AS59" s="64" t="s" ph="1">
        <v>210</v>
      </c>
      <c r="AT59" s="64" t="s" ph="1">
        <v>211</v>
      </c>
      <c r="AU59" s="64" t="s" ph="1">
        <v>212</v>
      </c>
      <c r="AV59" s="64" t="s" ph="1">
        <v>210</v>
      </c>
      <c r="AW59" s="64" t="s" ph="1">
        <v>211</v>
      </c>
      <c r="AX59" s="64" t="s" ph="1">
        <v>212</v>
      </c>
      <c r="AY59" s="64" t="s" ph="1">
        <v>211</v>
      </c>
      <c r="AZ59" s="64" t="s" ph="1">
        <v>213</v>
      </c>
    </row>
    <row r="60" spans="16:52" ph="1">
      <c r="R60" s="64"/>
      <c r="S60" s="64"/>
      <c r="T60" s="64"/>
      <c r="AH60" s="64" ph="1">
        <v>1</v>
      </c>
      <c r="AI60" s="64" t="s" ph="1">
        <v>383</v>
      </c>
      <c r="AY60" s="64" t="s" ph="1">
        <v>216</v>
      </c>
      <c r="AZ60" s="64" t="s" ph="1">
        <v>367</v>
      </c>
    </row>
    <row r="61" spans="16:52" ph="1">
      <c r="AH61" s="64" ph="1">
        <v>2</v>
      </c>
      <c r="AI61" s="64" t="s" ph="1">
        <v>384</v>
      </c>
      <c r="AS61" s="64" t="s" ph="1">
        <v>217</v>
      </c>
      <c r="AY61" s="64" t="s" ph="1">
        <v>216</v>
      </c>
      <c r="AZ61" s="64" t="s" ph="1">
        <v>367</v>
      </c>
    </row>
    <row r="62" spans="16:52" ph="1">
      <c r="AZ62" s="64" t="s" ph="1">
        <v>385</v>
      </c>
    </row>
    <row r="63" spans="16:52" ph="1">
      <c r="AG63" s="64" t="s" ph="1">
        <v>238</v>
      </c>
      <c r="AI63" s="64" t="s" ph="1">
        <v>209</v>
      </c>
      <c r="AJ63" s="64" t="s" ph="1">
        <v>210</v>
      </c>
      <c r="AK63" s="64" t="s" ph="1">
        <v>211</v>
      </c>
      <c r="AM63" s="64" t="s" ph="1">
        <v>210</v>
      </c>
      <c r="AN63" s="64" t="s" ph="1">
        <v>211</v>
      </c>
      <c r="AO63" s="64" t="s" ph="1">
        <v>212</v>
      </c>
      <c r="AP63" s="64" t="s" ph="1">
        <v>210</v>
      </c>
      <c r="AQ63" s="64" t="s" ph="1">
        <v>211</v>
      </c>
      <c r="AR63" s="64" t="s" ph="1">
        <v>212</v>
      </c>
      <c r="AS63" s="64" t="s" ph="1">
        <v>210</v>
      </c>
      <c r="AT63" s="64" t="s" ph="1">
        <v>211</v>
      </c>
      <c r="AU63" s="64" t="s" ph="1">
        <v>212</v>
      </c>
      <c r="AV63" s="64" t="s" ph="1">
        <v>210</v>
      </c>
      <c r="AW63" s="64" t="s" ph="1">
        <v>211</v>
      </c>
      <c r="AX63" s="64" t="s" ph="1">
        <v>212</v>
      </c>
      <c r="AY63" s="64" t="s" ph="1">
        <v>211</v>
      </c>
      <c r="AZ63" s="64" t="s" ph="1">
        <v>213</v>
      </c>
    </row>
    <row r="64" spans="16:52" ph="1">
      <c r="AH64" s="64" ph="1">
        <v>1</v>
      </c>
      <c r="AI64" s="64" t="s" ph="1">
        <v>386</v>
      </c>
      <c r="AJ64" s="64" t="s" ph="1">
        <v>387</v>
      </c>
      <c r="AK64" s="64" t="s" ph="1">
        <v>388</v>
      </c>
      <c r="AY64" s="64" t="s" ph="1">
        <v>216</v>
      </c>
      <c r="AZ64" s="64" t="s" ph="1">
        <v>388</v>
      </c>
    </row>
    <row r="65" spans="33:52" ph="1">
      <c r="AH65" s="64" ph="1">
        <v>2</v>
      </c>
      <c r="AI65" s="64" t="s" ph="1">
        <v>389</v>
      </c>
      <c r="AY65" s="64" t="s" ph="1">
        <v>216</v>
      </c>
      <c r="AZ65" s="64" t="s" ph="1">
        <v>367</v>
      </c>
    </row>
    <row r="66" spans="33:52" ph="1">
      <c r="AH66" s="64" ph="1">
        <v>3</v>
      </c>
      <c r="AI66" s="64" t="s" ph="1">
        <v>390</v>
      </c>
      <c r="AY66" s="64" t="s" ph="1">
        <v>216</v>
      </c>
      <c r="AZ66" s="64" t="s" ph="1">
        <v>367</v>
      </c>
    </row>
    <row r="67" spans="33:52" ph="1">
      <c r="AH67" s="64" ph="1">
        <v>4</v>
      </c>
      <c r="AI67" s="64" t="s" ph="1">
        <v>391</v>
      </c>
      <c r="AY67" s="64" t="s" ph="1">
        <v>216</v>
      </c>
      <c r="AZ67" s="64" t="s" ph="1">
        <v>367</v>
      </c>
    </row>
    <row r="68" spans="33:52" ph="1">
      <c r="AH68" s="64" ph="1">
        <v>5</v>
      </c>
      <c r="AI68" s="64" t="s" ph="1">
        <v>392</v>
      </c>
      <c r="AY68" s="64" t="s" ph="1">
        <v>216</v>
      </c>
      <c r="AZ68" s="64" t="s" ph="1">
        <v>367</v>
      </c>
    </row>
    <row r="69" spans="33:52" ph="1">
      <c r="AH69" s="64" ph="1">
        <v>6</v>
      </c>
      <c r="AI69" s="64" t="s" ph="1">
        <v>393</v>
      </c>
      <c r="AY69" s="64" t="s" ph="1">
        <v>216</v>
      </c>
      <c r="AZ69" s="64" t="s" ph="1">
        <v>367</v>
      </c>
    </row>
    <row r="70" spans="33:52" ph="1">
      <c r="AI70" s="64" t="s" ph="1">
        <v>394</v>
      </c>
      <c r="AY70" s="64" t="s" ph="1">
        <v>216</v>
      </c>
      <c r="AZ70" s="64" t="s" ph="1">
        <v>367</v>
      </c>
    </row>
    <row r="71" spans="33:52" ph="1">
      <c r="AH71" s="64" ph="1">
        <v>7</v>
      </c>
      <c r="AI71" s="64" t="s" ph="1">
        <v>395</v>
      </c>
      <c r="AJ71" s="64" t="s" ph="1">
        <v>334</v>
      </c>
      <c r="AK71" s="64" t="s" ph="1">
        <v>228</v>
      </c>
      <c r="AM71" s="64" t="s" ph="1">
        <v>336</v>
      </c>
      <c r="AN71" s="64" t="s" ph="1">
        <v>228</v>
      </c>
      <c r="AO71" s="64" t="s" ph="1">
        <v>396</v>
      </c>
      <c r="AP71" s="64" t="s" ph="1">
        <v>570</v>
      </c>
      <c r="AQ71" s="64" t="s" ph="1">
        <v>219</v>
      </c>
      <c r="AR71" s="64" t="s" ph="1">
        <v>396</v>
      </c>
      <c r="AY71" s="64" t="s" ph="1">
        <v>216</v>
      </c>
      <c r="AZ71" s="64" t="s" ph="1">
        <v>578</v>
      </c>
    </row>
    <row r="72" spans="33:52" ph="1">
      <c r="AZ72" s="64" t="s" ph="1">
        <v>579</v>
      </c>
    </row>
    <row r="73" spans="33:52" ph="1">
      <c r="AG73" s="64" t="s" ph="1">
        <v>241</v>
      </c>
      <c r="AI73" s="64" t="s" ph="1">
        <v>209</v>
      </c>
      <c r="AJ73" s="64" t="s" ph="1">
        <v>210</v>
      </c>
      <c r="AK73" s="64" t="s" ph="1">
        <v>211</v>
      </c>
      <c r="AM73" s="64" t="s" ph="1">
        <v>210</v>
      </c>
      <c r="AN73" s="64" t="s" ph="1">
        <v>211</v>
      </c>
      <c r="AO73" s="64" t="s" ph="1">
        <v>212</v>
      </c>
      <c r="AP73" s="64" t="s" ph="1">
        <v>210</v>
      </c>
      <c r="AQ73" s="64" t="s" ph="1">
        <v>211</v>
      </c>
      <c r="AR73" s="64" t="s" ph="1">
        <v>212</v>
      </c>
      <c r="AS73" s="64" t="s" ph="1">
        <v>210</v>
      </c>
      <c r="AT73" s="64" t="s" ph="1">
        <v>211</v>
      </c>
      <c r="AU73" s="64" t="s" ph="1">
        <v>212</v>
      </c>
      <c r="AV73" s="64" t="s" ph="1">
        <v>210</v>
      </c>
      <c r="AW73" s="64" t="s" ph="1">
        <v>211</v>
      </c>
      <c r="AX73" s="64" t="s" ph="1">
        <v>212</v>
      </c>
      <c r="AY73" s="64" t="s" ph="1">
        <v>211</v>
      </c>
      <c r="AZ73" s="64" t="s" ph="1">
        <v>213</v>
      </c>
    </row>
    <row r="74" spans="33:52" ph="1">
      <c r="AH74" s="64" ph="1">
        <v>1</v>
      </c>
      <c r="AI74" s="64" t="s" ph="1">
        <v>397</v>
      </c>
      <c r="AJ74" s="64" t="s" ph="1">
        <v>242</v>
      </c>
      <c r="AK74" s="64" t="s" ph="1">
        <v>224</v>
      </c>
      <c r="AM74" s="64" t="s" ph="1">
        <v>244</v>
      </c>
      <c r="AN74" s="64" t="s" ph="1">
        <v>254</v>
      </c>
      <c r="AO74" s="64" t="s" ph="1">
        <v>243</v>
      </c>
      <c r="AP74" s="64" t="s" ph="1">
        <v>245</v>
      </c>
      <c r="AQ74" s="64" t="s" ph="1">
        <v>222</v>
      </c>
      <c r="AR74" s="64" t="s" ph="1">
        <v>243</v>
      </c>
      <c r="AS74" s="64" t="s" ph="1">
        <v>215</v>
      </c>
      <c r="AT74" s="64" t="s" ph="1">
        <v>217</v>
      </c>
      <c r="AV74" s="64" t="s" ph="1">
        <v>398</v>
      </c>
      <c r="AW74" s="64" t="s" ph="1">
        <v>399</v>
      </c>
      <c r="AX74" s="64" t="s" ph="1">
        <v>400</v>
      </c>
      <c r="AY74" s="64" t="s" ph="1">
        <v>216</v>
      </c>
      <c r="AZ74" s="64" t="s" ph="1">
        <v>401</v>
      </c>
    </row>
    <row r="75" spans="33:52" ph="1">
      <c r="AJ75" s="64" t="s" ph="1">
        <v>247</v>
      </c>
      <c r="AK75" s="64" t="s" ph="1">
        <v>300</v>
      </c>
      <c r="AM75" s="64" t="s" ph="1">
        <v>245</v>
      </c>
      <c r="AN75" s="64" t="s" ph="1">
        <v>225</v>
      </c>
      <c r="AO75" s="64" t="s" ph="1">
        <v>243</v>
      </c>
      <c r="AS75" s="64" t="s" ph="1">
        <v>215</v>
      </c>
      <c r="AT75" s="64" t="s" ph="1">
        <v>246</v>
      </c>
    </row>
    <row r="76" spans="33:52" ph="1">
      <c r="AJ76" s="64" t="s" ph="1">
        <v>247</v>
      </c>
      <c r="AK76" s="64" t="s" ph="1">
        <v>240</v>
      </c>
      <c r="AM76" s="64" t="s" ph="1">
        <v>245</v>
      </c>
      <c r="AN76" s="64" t="s" ph="1">
        <v>228</v>
      </c>
      <c r="AO76" s="64" t="s" ph="1">
        <v>243</v>
      </c>
      <c r="AS76" s="64" t="s" ph="1">
        <v>215</v>
      </c>
      <c r="AT76" s="64" t="s" ph="1">
        <v>246</v>
      </c>
    </row>
    <row r="77" spans="33:52" ph="1">
      <c r="AJ77" s="64" t="s" ph="1">
        <v>283</v>
      </c>
      <c r="AK77" s="64" t="s" ph="1">
        <v>240</v>
      </c>
      <c r="AM77" s="64" t="s" ph="1">
        <v>284</v>
      </c>
      <c r="AN77" s="64" t="s" ph="1">
        <v>223</v>
      </c>
      <c r="AO77" s="64" t="s" ph="1">
        <v>243</v>
      </c>
      <c r="AS77" s="64" t="s" ph="1">
        <v>215</v>
      </c>
      <c r="AT77" s="64" t="s" ph="1">
        <v>285</v>
      </c>
    </row>
    <row r="78" spans="33:52" ph="1">
      <c r="AH78" s="64" ph="1">
        <v>2</v>
      </c>
      <c r="AI78" s="64" t="s" ph="1">
        <v>249</v>
      </c>
      <c r="AJ78" s="64" t="s" ph="1">
        <v>250</v>
      </c>
      <c r="AK78" s="64" t="s" ph="1">
        <v>219</v>
      </c>
      <c r="AM78" s="64" t="s" ph="1">
        <v>251</v>
      </c>
      <c r="AN78" s="64" t="s" ph="1">
        <v>254</v>
      </c>
      <c r="AO78" s="64" t="s" ph="1">
        <v>243</v>
      </c>
      <c r="AP78" s="64" t="s" ph="1">
        <v>252</v>
      </c>
      <c r="AQ78" s="64" t="s" ph="1">
        <v>298</v>
      </c>
      <c r="AR78" s="64" t="s" ph="1">
        <v>243</v>
      </c>
      <c r="AS78" s="64" t="s" ph="1">
        <v>253</v>
      </c>
      <c r="AT78" s="64" t="s" ph="1">
        <v>254</v>
      </c>
      <c r="AU78" s="64" t="s" ph="1">
        <v>243</v>
      </c>
      <c r="AV78" s="64" t="s" ph="1">
        <v>255</v>
      </c>
      <c r="AW78" s="64" t="s" ph="1">
        <v>243</v>
      </c>
      <c r="AY78" s="64" t="s" ph="1">
        <v>216</v>
      </c>
      <c r="AZ78" s="64" t="s" ph="1">
        <v>402</v>
      </c>
    </row>
    <row r="79" spans="33:52" ph="1">
      <c r="AJ79" s="64" t="s" ph="1">
        <v>245</v>
      </c>
      <c r="AK79" s="64" t="s" ph="1">
        <v>256</v>
      </c>
      <c r="AM79" s="64" t="s" ph="1">
        <v>257</v>
      </c>
      <c r="AN79" s="64" t="s" ph="1">
        <v>225</v>
      </c>
      <c r="AO79" s="64" t="s" ph="1">
        <v>243</v>
      </c>
      <c r="AP79" s="64" t="s" ph="1">
        <v>258</v>
      </c>
      <c r="AQ79" s="64" t="s" ph="1">
        <v>223</v>
      </c>
      <c r="AR79" s="64" t="s" ph="1">
        <v>259</v>
      </c>
      <c r="AS79" s="64" t="s" ph="1">
        <v>215</v>
      </c>
      <c r="AT79" s="64" t="s" ph="1">
        <v>260</v>
      </c>
      <c r="AV79" s="64" t="s" ph="1">
        <v>403</v>
      </c>
      <c r="AW79" s="64" t="s" ph="1">
        <v>302</v>
      </c>
      <c r="AX79" s="64" t="s" ph="1">
        <v>400</v>
      </c>
    </row>
    <row r="80" spans="33:52" ph="1">
      <c r="AH80" s="64" ph="1">
        <v>3</v>
      </c>
      <c r="AI80" s="64" t="s" ph="1">
        <v>261</v>
      </c>
      <c r="AJ80" s="64" t="s" ph="1">
        <v>262</v>
      </c>
      <c r="AK80" s="64" t="s" ph="1">
        <v>263</v>
      </c>
      <c r="AM80" s="64" t="s" ph="1">
        <v>264</v>
      </c>
      <c r="AN80" s="64" t="s" ph="1">
        <v>254</v>
      </c>
      <c r="AO80" s="64" t="s" ph="1">
        <v>243</v>
      </c>
      <c r="AP80" s="64" t="s" ph="1">
        <v>265</v>
      </c>
      <c r="AQ80" s="64" t="s" ph="1">
        <v>228</v>
      </c>
      <c r="AR80" s="64" t="s" ph="1">
        <v>243</v>
      </c>
      <c r="AS80" s="64" t="s" ph="1">
        <v>266</v>
      </c>
      <c r="AT80" s="64" t="s" ph="1">
        <v>227</v>
      </c>
      <c r="AU80" s="64" t="s" ph="1">
        <v>243</v>
      </c>
      <c r="AV80" s="64" t="s" ph="1">
        <v>267</v>
      </c>
      <c r="AW80" s="64" t="s" ph="1">
        <v>243</v>
      </c>
      <c r="AY80" s="64" t="s" ph="1">
        <v>216</v>
      </c>
      <c r="AZ80" s="64" t="s" ph="1">
        <v>404</v>
      </c>
    </row>
    <row r="81" spans="34:52" ph="1">
      <c r="AJ81" s="64" t="s" ph="1">
        <v>268</v>
      </c>
      <c r="AK81" s="64" t="s" ph="1">
        <v>222</v>
      </c>
      <c r="AM81" s="64" t="s" ph="1">
        <v>269</v>
      </c>
      <c r="AN81" s="64" t="s" ph="1">
        <v>225</v>
      </c>
      <c r="AO81" s="64" t="s" ph="1">
        <v>243</v>
      </c>
      <c r="AP81" s="64" t="s" ph="1">
        <v>270</v>
      </c>
      <c r="AQ81" s="64" t="s" ph="1">
        <v>254</v>
      </c>
      <c r="AR81" s="64" t="s" ph="1">
        <v>243</v>
      </c>
      <c r="AS81" s="64" t="s" ph="1">
        <v>271</v>
      </c>
      <c r="AT81" s="64" t="s" ph="1">
        <v>272</v>
      </c>
      <c r="AU81" s="64" t="s" ph="1">
        <v>243</v>
      </c>
      <c r="AV81" s="64" t="s" ph="1">
        <v>273</v>
      </c>
    </row>
    <row r="82" spans="34:52" ph="1">
      <c r="AJ82" s="64" t="s" ph="1">
        <v>274</v>
      </c>
      <c r="AK82" s="64" t="s" ph="1">
        <v>222</v>
      </c>
      <c r="AM82" s="64" t="s" ph="1">
        <v>275</v>
      </c>
      <c r="AN82" s="64" t="s" ph="1">
        <v>272</v>
      </c>
      <c r="AO82" s="64" t="s" ph="1">
        <v>276</v>
      </c>
      <c r="AP82" s="64" t="s" ph="1">
        <v>277</v>
      </c>
      <c r="AQ82" s="64" t="s" ph="1">
        <v>254</v>
      </c>
      <c r="AR82" s="64" t="s" ph="1">
        <v>243</v>
      </c>
      <c r="AS82" s="64" t="s" ph="1">
        <v>278</v>
      </c>
      <c r="AT82" s="64" t="s" ph="1">
        <v>229</v>
      </c>
      <c r="AU82" s="64" t="s" ph="1">
        <v>243</v>
      </c>
      <c r="AV82" s="64" t="s" ph="1">
        <v>403</v>
      </c>
      <c r="AW82" s="64" t="s" ph="1">
        <v>303</v>
      </c>
      <c r="AX82" s="64" t="s" ph="1">
        <v>400</v>
      </c>
    </row>
    <row r="83" spans="34:52" ph="1">
      <c r="AJ83" s="64" t="s" ph="1">
        <v>279</v>
      </c>
      <c r="AK83" s="64" t="s" ph="1">
        <v>296</v>
      </c>
      <c r="AM83" s="64" t="s" ph="1">
        <v>280</v>
      </c>
      <c r="AN83" s="64" t="s" ph="1">
        <v>228</v>
      </c>
      <c r="AO83" s="64" t="s" ph="1">
        <v>259</v>
      </c>
      <c r="AP83" s="64" t="s" ph="1">
        <v>281</v>
      </c>
      <c r="AQ83" s="64" t="s" ph="1">
        <v>282</v>
      </c>
      <c r="AR83" s="64" t="s" ph="1">
        <v>259</v>
      </c>
      <c r="AS83" s="64" t="s" ph="1">
        <v>405</v>
      </c>
      <c r="AT83" s="64" t="s" ph="1">
        <v>254</v>
      </c>
      <c r="AU83" s="64" t="s" ph="1">
        <v>259</v>
      </c>
      <c r="AV83" s="64" t="s" ph="1">
        <v>406</v>
      </c>
      <c r="AW83" s="64" t="s" ph="1">
        <v>303</v>
      </c>
      <c r="AX83" s="64" t="s" ph="1">
        <v>407</v>
      </c>
    </row>
    <row r="84" spans="34:52" ph="1">
      <c r="AH84" s="64" ph="1">
        <v>4</v>
      </c>
      <c r="AI84" s="64" t="s" ph="1">
        <v>286</v>
      </c>
      <c r="AJ84" s="64" t="s" ph="1">
        <v>226</v>
      </c>
      <c r="AK84" s="64" t="s" ph="1">
        <v>229</v>
      </c>
      <c r="AM84" s="64" t="s" ph="1">
        <v>230</v>
      </c>
      <c r="AN84" s="64" t="s" ph="1">
        <v>223</v>
      </c>
      <c r="AO84" s="64" t="s" ph="1">
        <v>259</v>
      </c>
      <c r="AP84" s="64" t="s" ph="1">
        <v>288</v>
      </c>
      <c r="AQ84" s="64" t="s" ph="1">
        <v>222</v>
      </c>
      <c r="AR84" s="64" t="s" ph="1">
        <v>259</v>
      </c>
      <c r="AS84" s="64" t="s" ph="1">
        <v>288</v>
      </c>
      <c r="AT84" s="64" t="s" ph="1">
        <v>224</v>
      </c>
      <c r="AU84" s="64" t="s" ph="1">
        <v>259</v>
      </c>
      <c r="AY84" s="64" t="s" ph="1">
        <v>216</v>
      </c>
      <c r="AZ84" s="64" t="s" ph="1">
        <v>408</v>
      </c>
    </row>
    <row r="85" spans="34:52" ph="1">
      <c r="AJ85" s="64" t="s" ph="1">
        <v>218</v>
      </c>
      <c r="AK85" s="64" t="s" ph="1">
        <v>222</v>
      </c>
      <c r="AM85" s="64" t="s" ph="1">
        <v>409</v>
      </c>
      <c r="AN85" s="64" t="s" ph="1">
        <v>229</v>
      </c>
      <c r="AO85" s="64" t="s" ph="1">
        <v>259</v>
      </c>
      <c r="AP85" s="64" t="s" ph="1">
        <v>410</v>
      </c>
      <c r="AQ85" s="64" t="s" ph="1">
        <v>225</v>
      </c>
      <c r="AR85" s="64" t="s" ph="1">
        <v>259</v>
      </c>
      <c r="AS85" s="64" t="s" ph="1">
        <v>411</v>
      </c>
      <c r="AT85" s="64" t="s" ph="1">
        <v>225</v>
      </c>
      <c r="AU85" s="64" t="s" ph="1">
        <v>259</v>
      </c>
    </row>
    <row r="86" spans="34:52" ph="1">
      <c r="AJ86" s="64" t="s" ph="1">
        <v>412</v>
      </c>
      <c r="AK86" s="64" t="s" ph="1">
        <v>231</v>
      </c>
      <c r="AM86" s="64" t="s" ph="1">
        <v>413</v>
      </c>
      <c r="AN86" s="64" t="s" ph="1">
        <v>272</v>
      </c>
      <c r="AO86" s="64" t="s" ph="1">
        <v>259</v>
      </c>
      <c r="AP86" s="64" t="s" ph="1">
        <v>414</v>
      </c>
      <c r="AQ86" s="64" t="s" ph="1">
        <v>219</v>
      </c>
      <c r="AR86" s="64" t="s" ph="1">
        <v>259</v>
      </c>
      <c r="AS86" s="64" t="s" ph="1">
        <v>415</v>
      </c>
      <c r="AT86" s="64" t="s" ph="1">
        <v>237</v>
      </c>
      <c r="AU86" s="64" t="s" ph="1">
        <v>259</v>
      </c>
    </row>
    <row r="87" spans="34:52" ph="1">
      <c r="AJ87" s="64" t="s" ph="1">
        <v>416</v>
      </c>
      <c r="AK87" s="64" t="s" ph="1">
        <v>272</v>
      </c>
      <c r="AM87" s="64" t="s" ph="1">
        <v>403</v>
      </c>
      <c r="AN87" s="64" t="s" ph="1">
        <v>417</v>
      </c>
      <c r="AO87" s="64" t="s" ph="1">
        <v>400</v>
      </c>
    </row>
    <row r="88" spans="34:52" ph="1">
      <c r="AH88" s="64" ph="1">
        <v>5</v>
      </c>
      <c r="AI88" s="64" t="s" ph="1">
        <v>289</v>
      </c>
      <c r="AJ88" s="64" t="s" ph="1">
        <v>418</v>
      </c>
      <c r="AK88" s="64" t="s" ph="1">
        <v>272</v>
      </c>
      <c r="AM88" s="64" t="s" ph="1">
        <v>419</v>
      </c>
      <c r="AN88" s="64" t="s" ph="1">
        <v>272</v>
      </c>
      <c r="AO88" s="64" t="s" ph="1">
        <v>259</v>
      </c>
      <c r="AP88" s="64" t="s" ph="1">
        <v>420</v>
      </c>
      <c r="AQ88" s="64" t="s" ph="1">
        <v>222</v>
      </c>
      <c r="AR88" s="64" t="s" ph="1">
        <v>259</v>
      </c>
      <c r="AS88" s="64" t="s" ph="1">
        <v>421</v>
      </c>
      <c r="AT88" s="64" t="s" ph="1">
        <v>272</v>
      </c>
      <c r="AU88" s="64" t="s" ph="1">
        <v>259</v>
      </c>
      <c r="AV88" s="64" t="s" ph="1">
        <v>422</v>
      </c>
      <c r="AW88" s="64" t="s" ph="1">
        <v>227</v>
      </c>
      <c r="AX88" s="64" t="s" ph="1">
        <v>259</v>
      </c>
      <c r="AY88" s="64" t="s" ph="1">
        <v>216</v>
      </c>
      <c r="AZ88" s="64" t="s" ph="1">
        <v>423</v>
      </c>
    </row>
    <row r="89" spans="34:52" ph="1">
      <c r="AJ89" s="64" t="s" ph="1">
        <v>424</v>
      </c>
      <c r="AK89" s="64" t="s" ph="1">
        <v>225</v>
      </c>
      <c r="AM89" s="64" t="s" ph="1">
        <v>425</v>
      </c>
      <c r="AN89" s="64" t="s" ph="1">
        <v>228</v>
      </c>
      <c r="AO89" s="64" t="s" ph="1">
        <v>259</v>
      </c>
      <c r="AP89" s="64" t="s" ph="1">
        <v>426</v>
      </c>
      <c r="AQ89" s="64" t="s" ph="1">
        <v>237</v>
      </c>
      <c r="AR89" s="64" t="s" ph="1">
        <v>259</v>
      </c>
      <c r="AS89" s="64" t="s" ph="1">
        <v>427</v>
      </c>
      <c r="AT89" s="64" t="s" ph="1">
        <v>272</v>
      </c>
      <c r="AU89" s="64" t="s" ph="1">
        <v>259</v>
      </c>
      <c r="AV89" s="64" t="s" ph="1">
        <v>428</v>
      </c>
      <c r="AW89" s="64" t="s" ph="1">
        <v>254</v>
      </c>
      <c r="AX89" s="64" t="s" ph="1">
        <v>287</v>
      </c>
    </row>
    <row r="90" spans="34:52" ph="1">
      <c r="AJ90" s="64" t="s" ph="1">
        <v>429</v>
      </c>
      <c r="AK90" s="64" t="s" ph="1">
        <v>228</v>
      </c>
      <c r="AM90" s="64" t="s" ph="1">
        <v>430</v>
      </c>
      <c r="AN90" s="64" t="s" ph="1">
        <v>225</v>
      </c>
      <c r="AO90" s="64" t="s" ph="1">
        <v>259</v>
      </c>
      <c r="AP90" s="64" t="s" ph="1">
        <v>431</v>
      </c>
      <c r="AQ90" s="64" t="s" ph="1">
        <v>294</v>
      </c>
      <c r="AR90" s="64" t="s" ph="1">
        <v>259</v>
      </c>
      <c r="AS90" s="64" t="s" ph="1">
        <v>432</v>
      </c>
      <c r="AT90" s="64" t="s" ph="1">
        <v>282</v>
      </c>
      <c r="AU90" s="64" t="s" ph="1">
        <v>259</v>
      </c>
      <c r="AV90" s="64" t="s" ph="1">
        <v>433</v>
      </c>
      <c r="AW90" s="64" t="s" ph="1">
        <v>219</v>
      </c>
      <c r="AX90" s="64" t="s" ph="1">
        <v>259</v>
      </c>
    </row>
    <row r="91" spans="34:52" ph="1">
      <c r="AJ91" s="64" t="s" ph="1">
        <v>434</v>
      </c>
      <c r="AK91" s="64" t="s" ph="1">
        <v>272</v>
      </c>
      <c r="AM91" s="64" t="s" ph="1">
        <v>435</v>
      </c>
      <c r="AN91" s="64" t="s" ph="1">
        <v>239</v>
      </c>
      <c r="AO91" s="64" t="s" ph="1">
        <v>259</v>
      </c>
      <c r="AP91" s="64" t="s" ph="1">
        <v>436</v>
      </c>
      <c r="AQ91" s="64" t="s" ph="1">
        <v>219</v>
      </c>
      <c r="AS91" s="64" t="s" ph="1">
        <v>403</v>
      </c>
      <c r="AT91" s="64" t="s" ph="1">
        <v>399</v>
      </c>
      <c r="AU91" s="64" t="s" ph="1">
        <v>400</v>
      </c>
    </row>
    <row r="92" spans="34:52" ph="1">
      <c r="AH92" s="64" ph="1">
        <v>6</v>
      </c>
      <c r="AI92" s="64" t="s" ph="1">
        <v>437</v>
      </c>
      <c r="AJ92" s="64" t="s" ph="1">
        <v>438</v>
      </c>
      <c r="AK92" s="64" t="s" ph="1">
        <v>367</v>
      </c>
      <c r="AM92" s="64" t="s" ph="1">
        <v>439</v>
      </c>
      <c r="AN92" s="64" t="s" ph="1">
        <v>227</v>
      </c>
      <c r="AO92" s="64" t="s" ph="1">
        <v>259</v>
      </c>
      <c r="AP92" s="64" t="s" ph="1">
        <v>440</v>
      </c>
      <c r="AQ92" s="64" t="s" ph="1">
        <v>299</v>
      </c>
      <c r="AR92" s="64" t="s" ph="1">
        <v>259</v>
      </c>
      <c r="AS92" s="64" t="s" ph="1">
        <v>441</v>
      </c>
      <c r="AT92" s="64" t="s" ph="1">
        <v>272</v>
      </c>
      <c r="AU92" s="64" t="s" ph="1">
        <v>259</v>
      </c>
      <c r="AV92" s="64" t="s" ph="1">
        <v>442</v>
      </c>
      <c r="AW92" s="64" t="s" ph="1">
        <v>228</v>
      </c>
      <c r="AX92" s="64" t="s" ph="1">
        <v>259</v>
      </c>
      <c r="AY92" s="64" t="s" ph="1">
        <v>216</v>
      </c>
      <c r="AZ92" s="64" t="s" ph="1">
        <v>423</v>
      </c>
    </row>
    <row r="93" spans="34:52" ph="1">
      <c r="AJ93" s="64" t="s" ph="1">
        <v>443</v>
      </c>
      <c r="AK93" s="64" t="s" ph="1">
        <v>222</v>
      </c>
      <c r="AM93" s="64" t="s" ph="1">
        <v>444</v>
      </c>
      <c r="AN93" s="64" t="s" ph="1">
        <v>227</v>
      </c>
      <c r="AO93" s="64" t="s" ph="1">
        <v>259</v>
      </c>
      <c r="AP93" s="64" t="s" ph="1">
        <v>445</v>
      </c>
      <c r="AQ93" s="64" t="s" ph="1">
        <v>231</v>
      </c>
      <c r="AR93" s="64" t="s" ph="1">
        <v>259</v>
      </c>
      <c r="AS93" s="64" t="s" ph="1">
        <v>446</v>
      </c>
      <c r="AT93" s="64" t="s" ph="1">
        <v>237</v>
      </c>
      <c r="AU93" s="64" t="s" ph="1">
        <v>259</v>
      </c>
      <c r="AV93" s="64" t="s" ph="1">
        <v>447</v>
      </c>
      <c r="AW93" s="64" t="s" ph="1">
        <v>231</v>
      </c>
      <c r="AX93" s="64" t="s" ph="1">
        <v>259</v>
      </c>
    </row>
    <row r="94" spans="34:52" ph="1">
      <c r="AJ94" s="64" t="s" ph="1">
        <v>448</v>
      </c>
      <c r="AK94" s="64" t="s" ph="1">
        <v>294</v>
      </c>
      <c r="AM94" s="64" t="s" ph="1">
        <v>449</v>
      </c>
      <c r="AN94" s="64" t="s" ph="1">
        <v>231</v>
      </c>
      <c r="AO94" s="64" t="s" ph="1">
        <v>259</v>
      </c>
      <c r="AP94" s="64" t="s" ph="1">
        <v>450</v>
      </c>
      <c r="AQ94" s="64" t="s" ph="1">
        <v>239</v>
      </c>
      <c r="AR94" s="64" t="s" ph="1">
        <v>259</v>
      </c>
      <c r="AS94" s="64" t="s" ph="1">
        <v>451</v>
      </c>
      <c r="AT94" s="64" t="s" ph="1">
        <v>225</v>
      </c>
      <c r="AU94" s="64" t="s" ph="1">
        <v>259</v>
      </c>
      <c r="AV94" s="64" t="s" ph="1">
        <v>452</v>
      </c>
      <c r="AW94" s="64" t="s" ph="1">
        <v>225</v>
      </c>
      <c r="AX94" s="64" t="s" ph="1">
        <v>259</v>
      </c>
    </row>
    <row r="95" spans="34:52" ph="1">
      <c r="AJ95" s="64" t="s" ph="1">
        <v>453</v>
      </c>
      <c r="AK95" s="64" t="s" ph="1">
        <v>299</v>
      </c>
    </row>
    <row r="96" spans="34:52" ph="1">
      <c r="AH96" s="64" ph="1">
        <v>7</v>
      </c>
      <c r="AI96" s="64" t="s" ph="1">
        <v>454</v>
      </c>
      <c r="AJ96" s="64" t="s" ph="1">
        <v>453</v>
      </c>
      <c r="AK96" s="64" t="s" ph="1">
        <v>254</v>
      </c>
      <c r="AM96" s="64" t="s" ph="1">
        <v>455</v>
      </c>
      <c r="AN96" s="64" t="s" ph="1">
        <v>228</v>
      </c>
      <c r="AO96" s="64" t="s" ph="1">
        <v>259</v>
      </c>
      <c r="AP96" s="64" t="s" ph="1">
        <v>456</v>
      </c>
      <c r="AQ96" s="64" t="s" ph="1">
        <v>272</v>
      </c>
      <c r="AR96" s="64" t="s" ph="1">
        <v>287</v>
      </c>
      <c r="AS96" s="64" t="s" ph="1">
        <v>457</v>
      </c>
      <c r="AT96" s="64" t="s" ph="1">
        <v>231</v>
      </c>
      <c r="AU96" s="64" t="s" ph="1">
        <v>287</v>
      </c>
      <c r="AV96" s="64" t="s" ph="1">
        <v>458</v>
      </c>
      <c r="AW96" s="64" t="s" ph="1">
        <v>227</v>
      </c>
      <c r="AX96" s="64" t="s" ph="1">
        <v>287</v>
      </c>
      <c r="AY96" s="64" t="s" ph="1">
        <v>216</v>
      </c>
      <c r="AZ96" s="64" t="s" ph="1">
        <v>459</v>
      </c>
    </row>
    <row r="97" spans="33:52" ph="1">
      <c r="AJ97" s="64" t="s" ph="1">
        <v>460</v>
      </c>
      <c r="AK97" s="64" t="s" ph="1">
        <v>282</v>
      </c>
      <c r="AM97" s="64" t="s" ph="1">
        <v>461</v>
      </c>
      <c r="AN97" s="64" t="s" ph="1">
        <v>225</v>
      </c>
      <c r="AO97" s="64" t="s" ph="1">
        <v>259</v>
      </c>
      <c r="AP97" s="64" t="s" ph="1">
        <v>462</v>
      </c>
      <c r="AQ97" s="64" t="s" ph="1">
        <v>219</v>
      </c>
      <c r="AR97" s="64" t="s" ph="1">
        <v>287</v>
      </c>
      <c r="AS97" s="64" t="s" ph="1">
        <v>463</v>
      </c>
      <c r="AT97" s="64" t="s" ph="1">
        <v>222</v>
      </c>
      <c r="AU97" s="64" t="s" ph="1">
        <v>287</v>
      </c>
      <c r="AV97" s="64" t="s" ph="1">
        <v>464</v>
      </c>
      <c r="AW97" s="64" t="s" ph="1">
        <v>228</v>
      </c>
      <c r="AX97" s="64" t="s" ph="1">
        <v>287</v>
      </c>
    </row>
    <row r="98" spans="33:52" ph="1">
      <c r="AJ98" s="64" t="s" ph="1">
        <v>465</v>
      </c>
      <c r="AK98" s="64" t="s" ph="1">
        <v>231</v>
      </c>
      <c r="AM98" s="64" t="s" ph="1">
        <v>466</v>
      </c>
      <c r="AN98" s="64" t="s" ph="1">
        <v>239</v>
      </c>
      <c r="AO98" s="64" t="s" ph="1">
        <v>259</v>
      </c>
      <c r="AP98" s="64" t="s" ph="1">
        <v>467</v>
      </c>
      <c r="AQ98" s="64" t="s" ph="1">
        <v>219</v>
      </c>
      <c r="AR98" s="64" t="s" ph="1">
        <v>287</v>
      </c>
      <c r="AS98" s="64" t="s" ph="1">
        <v>468</v>
      </c>
      <c r="AT98" s="64" t="s" ph="1">
        <v>299</v>
      </c>
      <c r="AU98" s="64" t="s" ph="1">
        <v>287</v>
      </c>
      <c r="AV98" s="64" t="s" ph="1">
        <v>469</v>
      </c>
      <c r="AW98" s="64" t="s" ph="1">
        <v>222</v>
      </c>
      <c r="AX98" s="64" t="s" ph="1">
        <v>287</v>
      </c>
    </row>
    <row r="99" spans="33:52" ph="1">
      <c r="AH99" s="64" ph="1">
        <v>8</v>
      </c>
      <c r="AI99" s="64" t="s" ph="1">
        <v>470</v>
      </c>
      <c r="AJ99" s="64" t="s" ph="1">
        <v>471</v>
      </c>
      <c r="AK99" s="64" t="s" ph="1">
        <v>367</v>
      </c>
      <c r="AM99" s="64" t="s" ph="1">
        <v>472</v>
      </c>
      <c r="AN99" s="64" t="s" ph="1">
        <v>254</v>
      </c>
      <c r="AO99" s="64" t="s" ph="1">
        <v>259</v>
      </c>
      <c r="AP99" s="64" t="s" ph="1">
        <v>473</v>
      </c>
      <c r="AQ99" s="64" t="s" ph="1">
        <v>224</v>
      </c>
      <c r="AR99" s="64" t="s" ph="1">
        <v>287</v>
      </c>
      <c r="AS99" s="64" t="s" ph="1">
        <v>474</v>
      </c>
      <c r="AT99" s="64" t="s" ph="1">
        <v>239</v>
      </c>
      <c r="AU99" s="64" t="s" ph="1">
        <v>287</v>
      </c>
      <c r="AV99" s="64" t="s" ph="1">
        <v>475</v>
      </c>
      <c r="AW99" s="64" t="s" ph="1">
        <v>224</v>
      </c>
      <c r="AX99" s="64" t="s" ph="1">
        <v>287</v>
      </c>
      <c r="AY99" s="64" t="s" ph="1">
        <v>216</v>
      </c>
      <c r="AZ99" s="64" t="s" ph="1">
        <v>476</v>
      </c>
    </row>
    <row r="100" spans="33:52" ph="1">
      <c r="AJ100" s="64" t="s" ph="1">
        <v>477</v>
      </c>
      <c r="AK100" s="64" t="s" ph="1">
        <v>222</v>
      </c>
      <c r="AM100" s="64" t="s" ph="1">
        <v>478</v>
      </c>
      <c r="AN100" s="64" t="s" ph="1">
        <v>294</v>
      </c>
      <c r="AO100" s="64" t="s" ph="1">
        <v>259</v>
      </c>
      <c r="AP100" s="64" t="s" ph="1">
        <v>479</v>
      </c>
      <c r="AQ100" s="64" t="s" ph="1">
        <v>300</v>
      </c>
      <c r="AR100" s="64" t="s" ph="1">
        <v>287</v>
      </c>
      <c r="AS100" s="64" t="s" ph="1">
        <v>480</v>
      </c>
      <c r="AT100" s="64" t="s" ph="1">
        <v>367</v>
      </c>
      <c r="AU100" s="64" t="s" ph="1">
        <v>259</v>
      </c>
      <c r="AV100" s="64" t="s" ph="1">
        <v>481</v>
      </c>
      <c r="AW100" s="64" t="s" ph="1">
        <v>367</v>
      </c>
      <c r="AX100" s="64" t="s" ph="1">
        <v>259</v>
      </c>
    </row>
    <row r="101" spans="33:52" ph="1">
      <c r="AJ101" s="64" t="s" ph="1">
        <v>482</v>
      </c>
      <c r="AK101" s="64" t="s" ph="1">
        <v>367</v>
      </c>
      <c r="AM101" s="64" t="s" ph="1">
        <v>483</v>
      </c>
      <c r="AN101" s="64" t="s" ph="1">
        <v>225</v>
      </c>
      <c r="AO101" s="64" t="s" ph="1">
        <v>259</v>
      </c>
      <c r="AP101" s="64" t="s" ph="1">
        <v>484</v>
      </c>
      <c r="AQ101" s="64" t="s" ph="1">
        <v>237</v>
      </c>
      <c r="AR101" s="64" t="s" ph="1">
        <v>287</v>
      </c>
      <c r="AS101" s="64" t="s" ph="1">
        <v>485</v>
      </c>
      <c r="AT101" s="64" t="s" ph="1">
        <v>294</v>
      </c>
      <c r="AU101" s="64" t="s" ph="1">
        <v>287</v>
      </c>
      <c r="AV101" s="64" t="s" ph="1">
        <v>486</v>
      </c>
      <c r="AW101" s="64" t="s" ph="1">
        <v>225</v>
      </c>
      <c r="AX101" s="64" t="s" ph="1">
        <v>259</v>
      </c>
    </row>
    <row r="102" spans="33:52" ph="1">
      <c r="AJ102" s="64" t="s" ph="1">
        <v>487</v>
      </c>
      <c r="AK102" s="64" t="s" ph="1">
        <v>222</v>
      </c>
      <c r="AM102" s="64" t="s" ph="1">
        <v>488</v>
      </c>
      <c r="AN102" s="64" t="s" ph="1">
        <v>231</v>
      </c>
      <c r="AO102" s="64" t="s" ph="1">
        <v>259</v>
      </c>
      <c r="AP102" s="64" t="s" ph="1">
        <v>489</v>
      </c>
      <c r="AQ102" s="64" t="s" ph="1">
        <v>237</v>
      </c>
      <c r="AR102" s="64" t="s" ph="1">
        <v>259</v>
      </c>
      <c r="AS102" s="64" t="s" ph="1">
        <v>490</v>
      </c>
      <c r="AT102" s="64" t="s" ph="1">
        <v>254</v>
      </c>
      <c r="AU102" s="64" t="s" ph="1">
        <v>259</v>
      </c>
      <c r="AV102" s="64" t="s" ph="1">
        <v>491</v>
      </c>
      <c r="AW102" s="64" t="s" ph="1">
        <v>272</v>
      </c>
      <c r="AX102" s="64" t="s" ph="1">
        <v>259</v>
      </c>
    </row>
    <row r="103" spans="33:52" ph="1">
      <c r="AH103" s="64" ph="1">
        <v>9</v>
      </c>
      <c r="AI103" s="64" t="s" ph="1">
        <v>492</v>
      </c>
      <c r="AJ103" s="64" t="s" ph="1">
        <v>493</v>
      </c>
      <c r="AK103" s="64" t="s" ph="1">
        <v>367</v>
      </c>
      <c r="AM103" s="64" t="s" ph="1">
        <v>494</v>
      </c>
      <c r="AN103" s="64" t="s" ph="1">
        <v>282</v>
      </c>
      <c r="AO103" s="64" t="s" ph="1">
        <v>259</v>
      </c>
      <c r="AP103" s="64" t="s" ph="1">
        <v>336</v>
      </c>
      <c r="AQ103" s="64" t="s" ph="1">
        <v>225</v>
      </c>
      <c r="AR103" s="64" t="s" ph="1">
        <v>259</v>
      </c>
      <c r="AS103" s="64" t="s" ph="1">
        <v>570</v>
      </c>
      <c r="AT103" s="64" t="s" ph="1">
        <v>367</v>
      </c>
      <c r="AU103" s="64" t="s" ph="1">
        <v>259</v>
      </c>
      <c r="AY103" s="64" t="s" ph="1">
        <v>216</v>
      </c>
      <c r="AZ103" s="64" t="s" ph="1">
        <v>224</v>
      </c>
    </row>
    <row r="104" spans="33:52" ph="1">
      <c r="AZ104" s="64" t="s" ph="1">
        <v>495</v>
      </c>
    </row>
    <row r="105" spans="33:52" ph="1">
      <c r="AG105" s="64" t="s" ph="1">
        <v>295</v>
      </c>
      <c r="AI105" s="64" t="s" ph="1">
        <v>209</v>
      </c>
      <c r="AJ105" s="64" t="s" ph="1">
        <v>210</v>
      </c>
      <c r="AK105" s="64" t="s" ph="1">
        <v>211</v>
      </c>
      <c r="AM105" s="64" t="s" ph="1">
        <v>210</v>
      </c>
      <c r="AN105" s="64" t="s" ph="1">
        <v>211</v>
      </c>
      <c r="AO105" s="64" t="s" ph="1">
        <v>212</v>
      </c>
      <c r="AP105" s="64" t="s" ph="1">
        <v>210</v>
      </c>
      <c r="AQ105" s="64" t="s" ph="1">
        <v>211</v>
      </c>
      <c r="AR105" s="64" t="s" ph="1">
        <v>212</v>
      </c>
      <c r="AS105" s="64" t="s" ph="1">
        <v>210</v>
      </c>
      <c r="AT105" s="64" t="s" ph="1">
        <v>211</v>
      </c>
      <c r="AU105" s="64" t="s" ph="1">
        <v>212</v>
      </c>
      <c r="AV105" s="64" t="s" ph="1">
        <v>210</v>
      </c>
      <c r="AW105" s="64" t="s" ph="1">
        <v>211</v>
      </c>
      <c r="AX105" s="64" t="s" ph="1">
        <v>212</v>
      </c>
      <c r="AZ105" s="64" t="s" ph="1">
        <v>213</v>
      </c>
    </row>
    <row r="106" spans="33:52" ph="1">
      <c r="AH106" s="64" ph="1">
        <v>1</v>
      </c>
      <c r="AI106" s="64" t="s" ph="1">
        <v>496</v>
      </c>
      <c r="AJ106" s="64" t="s" ph="1">
        <v>570</v>
      </c>
      <c r="AK106" s="64" t="s" ph="1">
        <v>231</v>
      </c>
      <c r="AZ106" s="64" t="s" ph="1">
        <v>231</v>
      </c>
    </row>
    <row r="107" spans="33:52" ph="1">
      <c r="AH107" s="64" ph="1">
        <v>2</v>
      </c>
      <c r="AI107" s="64" t="s" ph="1">
        <v>497</v>
      </c>
      <c r="AJ107" s="64" t="s" ph="1">
        <v>498</v>
      </c>
      <c r="AK107" s="64" t="s" ph="1">
        <v>228</v>
      </c>
      <c r="AM107" s="64" t="s" ph="1">
        <v>334</v>
      </c>
      <c r="AN107" s="64" t="s" ph="1">
        <v>499</v>
      </c>
      <c r="AO107" s="64" t="s" ph="1">
        <v>500</v>
      </c>
      <c r="AP107" s="64" t="s" ph="1">
        <v>336</v>
      </c>
      <c r="AQ107" s="64" t="s" ph="1">
        <v>304</v>
      </c>
      <c r="AR107" s="64" t="s" ph="1">
        <v>500</v>
      </c>
      <c r="AS107" s="64" t="s" ph="1">
        <v>570</v>
      </c>
      <c r="AT107" s="64" t="s" ph="1">
        <v>499</v>
      </c>
      <c r="AU107" s="64" t="s" ph="1">
        <v>500</v>
      </c>
      <c r="AY107" s="64" t="s" ph="1">
        <v>216</v>
      </c>
      <c r="AZ107" s="64" t="s" ph="1">
        <v>580</v>
      </c>
    </row>
    <row r="108" spans="33:52" ph="1">
      <c r="AH108" s="64" ph="1">
        <v>3</v>
      </c>
      <c r="AI108" s="64" t="s" ph="1">
        <v>501</v>
      </c>
      <c r="AY108" s="64" t="s" ph="1">
        <v>216</v>
      </c>
      <c r="AZ108" s="64" t="s" ph="1">
        <v>367</v>
      </c>
    </row>
    <row r="109" spans="33:52" ph="1">
      <c r="AH109" s="64" ph="1">
        <v>4</v>
      </c>
      <c r="AI109" s="64" t="s" ph="1">
        <v>502</v>
      </c>
      <c r="AY109" s="64" t="s" ph="1">
        <v>216</v>
      </c>
      <c r="AZ109" s="64" t="s" ph="1">
        <v>367</v>
      </c>
    </row>
    <row r="110" spans="33:52" ph="1">
      <c r="AH110" s="64" ph="1">
        <v>5</v>
      </c>
      <c r="AI110" s="64" t="s" ph="1">
        <v>503</v>
      </c>
      <c r="AY110" s="64" t="s" ph="1">
        <v>216</v>
      </c>
      <c r="AZ110" s="64" t="s" ph="1">
        <v>367</v>
      </c>
    </row>
    <row r="111" spans="33:52" ph="1">
      <c r="AH111" s="64" ph="1">
        <v>6</v>
      </c>
      <c r="AI111" s="64" t="s" ph="1">
        <v>581</v>
      </c>
      <c r="AJ111" s="64" t="s" ph="1">
        <v>486</v>
      </c>
      <c r="AK111" s="64" t="s" ph="1">
        <v>225</v>
      </c>
      <c r="AM111" s="64" t="s" ph="1">
        <v>487</v>
      </c>
      <c r="AN111" s="64" t="s" ph="1">
        <v>219</v>
      </c>
      <c r="AO111" s="64" t="s" ph="1">
        <v>500</v>
      </c>
      <c r="AP111" s="64" t="s" ph="1">
        <v>488</v>
      </c>
      <c r="AQ111" s="64" t="s" ph="1">
        <v>228</v>
      </c>
      <c r="AR111" s="64" t="s" ph="1">
        <v>500</v>
      </c>
      <c r="AS111" s="64" t="s" ph="1">
        <v>489</v>
      </c>
      <c r="AT111" s="64" t="s" ph="1">
        <v>237</v>
      </c>
      <c r="AU111" s="64" t="s" ph="1">
        <v>500</v>
      </c>
      <c r="AV111" s="64" t="s" ph="1">
        <v>490</v>
      </c>
      <c r="AW111" s="64" t="s" ph="1">
        <v>227</v>
      </c>
      <c r="AX111" s="64" t="s" ph="1">
        <v>500</v>
      </c>
      <c r="AY111" s="64" t="s" ph="1">
        <v>216</v>
      </c>
      <c r="AZ111" s="64" t="s" ph="1">
        <v>504</v>
      </c>
    </row>
    <row r="112" spans="33:52" ph="1">
      <c r="AJ112" s="64" t="s" ph="1">
        <v>491</v>
      </c>
      <c r="AK112" s="64" t="s" ph="1">
        <v>272</v>
      </c>
      <c r="AM112" s="64" t="s" ph="1">
        <v>493</v>
      </c>
      <c r="AN112" s="64" t="s" ph="1">
        <v>296</v>
      </c>
      <c r="AO112" s="64" t="s" ph="1">
        <v>500</v>
      </c>
      <c r="AP112" s="64" t="s" ph="1">
        <v>494</v>
      </c>
      <c r="AQ112" s="64" t="s" ph="1">
        <v>505</v>
      </c>
      <c r="AR112" s="64" t="s" ph="1">
        <v>500</v>
      </c>
      <c r="AS112" s="64" t="s" ph="1">
        <v>506</v>
      </c>
      <c r="AT112" s="64" t="s" ph="1">
        <v>248</v>
      </c>
      <c r="AU112" s="64" t="s" ph="1">
        <v>500</v>
      </c>
      <c r="AV112" s="64" t="s" ph="1">
        <v>507</v>
      </c>
      <c r="AW112" s="64" t="s" ph="1">
        <v>294</v>
      </c>
      <c r="AX112" s="64" t="s" ph="1">
        <v>500</v>
      </c>
    </row>
    <row r="113" spans="33:52" ph="1">
      <c r="AH113" s="64" ph="1">
        <v>7</v>
      </c>
      <c r="AI113" s="64" t="s" ph="1">
        <v>508</v>
      </c>
      <c r="AJ113" s="64" t="s" ph="1">
        <v>589</v>
      </c>
      <c r="AK113" s="64" t="s" ph="1">
        <v>594</v>
      </c>
      <c r="AY113" s="64" t="s" ph="1">
        <v>216</v>
      </c>
      <c r="AZ113" s="64" t="s" ph="1">
        <v>594</v>
      </c>
    </row>
    <row r="114" spans="33:52" ph="1">
      <c r="AH114" s="64" ph="1">
        <v>8</v>
      </c>
      <c r="AI114" s="64" t="s" ph="1">
        <v>509</v>
      </c>
      <c r="AJ114" s="64" t="s" ph="1">
        <v>589</v>
      </c>
      <c r="AK114" s="64" t="s" ph="1">
        <v>595</v>
      </c>
      <c r="AY114" s="64" t="s" ph="1">
        <v>216</v>
      </c>
      <c r="AZ114" s="64" t="s" ph="1">
        <v>595</v>
      </c>
    </row>
    <row r="115" spans="33:52" ph="1">
      <c r="AH115" s="64" ph="1">
        <v>9</v>
      </c>
      <c r="AI115" s="64" t="s" ph="1">
        <v>510</v>
      </c>
      <c r="AJ115" s="64" t="s" ph="1">
        <v>589</v>
      </c>
      <c r="AK115" s="64" t="s" ph="1">
        <v>595</v>
      </c>
      <c r="AY115" s="64" t="s" ph="1">
        <v>216</v>
      </c>
      <c r="AZ115" s="64" t="s" ph="1">
        <v>595</v>
      </c>
    </row>
    <row r="116" spans="33:52" ph="1">
      <c r="AH116" s="64" ph="1">
        <v>10</v>
      </c>
      <c r="AI116" s="64" t="s" ph="1">
        <v>511</v>
      </c>
      <c r="AJ116" s="64" t="s" ph="1">
        <v>589</v>
      </c>
      <c r="AK116" s="64" t="s" ph="1">
        <v>595</v>
      </c>
      <c r="AY116" s="64" t="s" ph="1">
        <v>216</v>
      </c>
      <c r="AZ116" s="64" t="s" ph="1">
        <v>595</v>
      </c>
    </row>
    <row r="117" spans="33:52" ph="1">
      <c r="AH117" s="64" ph="1">
        <v>11</v>
      </c>
      <c r="AI117" s="64" t="s" ph="1">
        <v>512</v>
      </c>
      <c r="AJ117" s="64" t="s" ph="1">
        <v>589</v>
      </c>
      <c r="AK117" s="64" t="s" ph="1">
        <v>595</v>
      </c>
      <c r="AY117" s="64" t="s" ph="1">
        <v>216</v>
      </c>
      <c r="AZ117" s="64" t="s" ph="1">
        <v>595</v>
      </c>
    </row>
    <row r="118" spans="33:52" ph="1">
      <c r="AZ118" s="64" t="s" ph="1">
        <v>596</v>
      </c>
    </row>
    <row r="119" spans="33:52" ph="1">
      <c r="AI119" s="64" t="s" ph="1">
        <v>209</v>
      </c>
      <c r="AJ119" s="64" t="s" ph="1">
        <v>210</v>
      </c>
      <c r="AK119" s="64" t="s" ph="1">
        <v>211</v>
      </c>
      <c r="AM119" s="64" t="s" ph="1">
        <v>210</v>
      </c>
      <c r="AN119" s="64" t="s" ph="1">
        <v>211</v>
      </c>
      <c r="AO119" s="64" t="s" ph="1">
        <v>212</v>
      </c>
      <c r="AP119" s="64" t="s" ph="1">
        <v>210</v>
      </c>
      <c r="AQ119" s="64" t="s" ph="1">
        <v>211</v>
      </c>
      <c r="AR119" s="64" t="s" ph="1">
        <v>212</v>
      </c>
      <c r="AS119" s="64" t="s" ph="1">
        <v>210</v>
      </c>
      <c r="AT119" s="64" t="s" ph="1">
        <v>211</v>
      </c>
      <c r="AU119" s="64" t="s" ph="1">
        <v>212</v>
      </c>
      <c r="AV119" s="64" t="s" ph="1">
        <v>210</v>
      </c>
      <c r="AW119" s="64" t="s" ph="1">
        <v>211</v>
      </c>
      <c r="AX119" s="64" t="s" ph="1">
        <v>212</v>
      </c>
      <c r="AY119" s="64" t="s" ph="1">
        <v>211</v>
      </c>
      <c r="AZ119" s="64" t="s" ph="1">
        <v>213</v>
      </c>
    </row>
    <row r="120" spans="33:52" ph="1">
      <c r="AG120" s="64" t="s" ph="1">
        <v>353</v>
      </c>
      <c r="AH120" s="64" ph="1">
        <v>1</v>
      </c>
      <c r="AI120" s="64" t="s" ph="1">
        <v>513</v>
      </c>
      <c r="AJ120" s="64" t="s" ph="1">
        <v>587</v>
      </c>
      <c r="AK120" s="64" t="s" ph="1">
        <v>367</v>
      </c>
      <c r="AY120" s="64" t="s" ph="1">
        <v>216</v>
      </c>
      <c r="AZ120" s="64" t="s" ph="1">
        <v>367</v>
      </c>
    </row>
    <row r="121" spans="33:52" ph="1">
      <c r="AH121" s="64" ph="1">
        <v>2</v>
      </c>
      <c r="AI121" s="64" t="s" ph="1">
        <v>514</v>
      </c>
      <c r="AY121" s="64" t="s" ph="1">
        <v>216</v>
      </c>
      <c r="AZ121" s="64" t="s" ph="1">
        <v>367</v>
      </c>
    </row>
    <row r="122" spans="33:52" ph="1">
      <c r="AH122" s="64" ph="1">
        <v>3</v>
      </c>
      <c r="AI122" s="64" t="s" ph="1">
        <v>515</v>
      </c>
      <c r="AJ122" s="64" t="s" ph="1">
        <v>570</v>
      </c>
      <c r="AK122" s="64" t="s" ph="1">
        <v>582</v>
      </c>
      <c r="AM122" s="64" t="s" ph="1">
        <v>597</v>
      </c>
      <c r="AN122" s="64" t="s" ph="1">
        <v>590</v>
      </c>
      <c r="AO122" s="64" t="s" ph="1">
        <v>91</v>
      </c>
      <c r="AY122" s="64" t="s" ph="1">
        <v>216</v>
      </c>
      <c r="AZ122" s="64" t="s" ph="1">
        <v>579</v>
      </c>
    </row>
    <row r="123" spans="33:52" ph="1">
      <c r="AY123" s="64" t="s" ph="1">
        <v>216</v>
      </c>
      <c r="AZ123" s="64" t="s" ph="1">
        <v>579</v>
      </c>
    </row>
    <row r="124" spans="33:52" ph="1">
      <c r="AG124" s="64" t="s" ph="1">
        <v>356</v>
      </c>
      <c r="AH124" s="64" ph="1">
        <v>4</v>
      </c>
      <c r="AI124" s="64" t="s" ph="1">
        <v>516</v>
      </c>
      <c r="AJ124" s="64" t="s" ph="1">
        <v>517</v>
      </c>
      <c r="AK124" s="64" t="s" ph="1">
        <v>518</v>
      </c>
      <c r="AY124" s="64" t="s" ph="1">
        <v>216</v>
      </c>
      <c r="AZ124" s="64" t="s" ph="1">
        <v>518</v>
      </c>
    </row>
    <row r="125" spans="33:52" ph="1">
      <c r="AH125" s="64" ph="1">
        <v>5</v>
      </c>
      <c r="AI125" s="64" t="s" ph="1">
        <v>519</v>
      </c>
      <c r="AJ125" s="64" t="s" ph="1">
        <v>517</v>
      </c>
      <c r="AK125" s="64" t="s" ph="1">
        <v>518</v>
      </c>
      <c r="AY125" s="64" t="s" ph="1">
        <v>216</v>
      </c>
      <c r="AZ125" s="64" t="s" ph="1">
        <v>518</v>
      </c>
    </row>
    <row r="126" spans="33:52" ph="1">
      <c r="AH126" s="64" ph="1">
        <v>6</v>
      </c>
      <c r="AI126" s="64" t="s" ph="1">
        <v>520</v>
      </c>
      <c r="AJ126" s="64" t="s" ph="1">
        <v>589</v>
      </c>
      <c r="AK126" s="64" t="s" ph="1">
        <v>598</v>
      </c>
      <c r="AY126" s="64" t="s" ph="1">
        <v>216</v>
      </c>
      <c r="AZ126" s="64" t="s" ph="1">
        <v>598</v>
      </c>
    </row>
    <row r="127" spans="33:52" ph="1">
      <c r="AH127" s="64" ph="1">
        <v>7</v>
      </c>
      <c r="AI127" s="64" t="s" ph="1">
        <v>521</v>
      </c>
      <c r="AJ127" s="64" t="s" ph="1">
        <v>589</v>
      </c>
      <c r="AK127" s="64" t="s" ph="1">
        <v>599</v>
      </c>
      <c r="AY127" s="64" t="s" ph="1">
        <v>216</v>
      </c>
      <c r="AZ127" s="64" t="s" ph="1">
        <v>599</v>
      </c>
    </row>
    <row r="128" spans="33:52" ph="1">
      <c r="AH128" s="64" ph="1">
        <v>8</v>
      </c>
      <c r="AI128" s="64" t="s" ph="1">
        <v>522</v>
      </c>
      <c r="AY128" s="64" t="s" ph="1">
        <v>216</v>
      </c>
      <c r="AZ128" s="64" t="s" ph="1">
        <v>367</v>
      </c>
    </row>
    <row r="129" spans="33:52" ph="1">
      <c r="AH129" s="64" ph="1">
        <v>9</v>
      </c>
      <c r="AI129" s="64" t="s" ph="1">
        <v>523</v>
      </c>
      <c r="AY129" s="64" t="s" ph="1">
        <v>216</v>
      </c>
      <c r="AZ129" s="64" t="s" ph="1">
        <v>367</v>
      </c>
    </row>
    <row r="130" spans="33:52" ph="1">
      <c r="AH130" s="64" ph="1">
        <v>10</v>
      </c>
      <c r="AI130" s="64" t="s" ph="1">
        <v>524</v>
      </c>
      <c r="AY130" s="64" t="s" ph="1">
        <v>216</v>
      </c>
      <c r="AZ130" s="64" t="s" ph="1">
        <v>367</v>
      </c>
    </row>
    <row r="131" spans="33:52" ph="1">
      <c r="AH131" s="64" ph="1">
        <v>11</v>
      </c>
      <c r="AI131" s="64" t="s" ph="1">
        <v>525</v>
      </c>
      <c r="AJ131" s="64" t="s" ph="1">
        <v>583</v>
      </c>
      <c r="AK131" s="64" t="s" ph="1">
        <v>579</v>
      </c>
      <c r="AY131" s="64" t="s" ph="1">
        <v>216</v>
      </c>
      <c r="AZ131" s="64" t="s" ph="1">
        <v>579</v>
      </c>
    </row>
    <row r="132" spans="33:52" ph="1">
      <c r="AH132" s="64" ph="1">
        <v>12</v>
      </c>
      <c r="AI132" s="64" t="s" ph="1">
        <v>526</v>
      </c>
      <c r="AJ132" s="64" t="s" ph="1">
        <v>583</v>
      </c>
      <c r="AK132" s="64" t="s" ph="1">
        <v>518</v>
      </c>
      <c r="AY132" s="64" t="s" ph="1">
        <v>216</v>
      </c>
      <c r="AZ132" s="64" t="s" ph="1">
        <v>518</v>
      </c>
    </row>
    <row r="133" spans="33:52" ph="1">
      <c r="AH133" s="64" ph="1">
        <v>13</v>
      </c>
      <c r="AI133" s="64" t="s" ph="1">
        <v>527</v>
      </c>
      <c r="AJ133" s="64" t="s" ph="1">
        <v>583</v>
      </c>
      <c r="AK133" s="64" t="s" ph="1">
        <v>584</v>
      </c>
      <c r="AY133" s="64" t="s" ph="1">
        <v>216</v>
      </c>
      <c r="AZ133" s="64" t="s" ph="1">
        <v>584</v>
      </c>
    </row>
    <row r="134" spans="33:52" ph="1">
      <c r="AH134" s="64" ph="1">
        <v>14</v>
      </c>
      <c r="AI134" s="64" t="s" ph="1">
        <v>528</v>
      </c>
      <c r="AJ134" s="64" t="s" ph="1">
        <v>583</v>
      </c>
      <c r="AK134" s="64" t="s" ph="1">
        <v>585</v>
      </c>
      <c r="AY134" s="64" t="s" ph="1">
        <v>216</v>
      </c>
      <c r="AZ134" s="64" t="s" ph="1">
        <v>585</v>
      </c>
    </row>
    <row r="135" spans="33:52" ph="1">
      <c r="AH135" s="64" ph="1">
        <v>15</v>
      </c>
      <c r="AI135" s="64" t="s" ph="1">
        <v>529</v>
      </c>
      <c r="AJ135" s="64" t="s" ph="1">
        <v>583</v>
      </c>
      <c r="AK135" s="64" t="s" ph="1">
        <v>586</v>
      </c>
      <c r="AY135" s="64" t="s" ph="1">
        <v>216</v>
      </c>
      <c r="AZ135" s="64" t="s" ph="1">
        <v>586</v>
      </c>
    </row>
    <row r="136" spans="33:52" ph="1">
      <c r="AZ136" s="64" t="s" ph="1">
        <v>600</v>
      </c>
    </row>
    <row r="137" spans="33:52" ph="1">
      <c r="AG137" s="64" t="s" ph="1">
        <v>290</v>
      </c>
      <c r="AI137" s="64" t="s" ph="1">
        <v>209</v>
      </c>
      <c r="AJ137" s="64" t="s" ph="1">
        <v>210</v>
      </c>
      <c r="AK137" s="64" t="s" ph="1">
        <v>211</v>
      </c>
      <c r="AM137" s="64" t="s" ph="1">
        <v>210</v>
      </c>
      <c r="AN137" s="64" t="s" ph="1">
        <v>211</v>
      </c>
      <c r="AO137" s="64" t="s" ph="1">
        <v>212</v>
      </c>
      <c r="AP137" s="64" t="s" ph="1">
        <v>210</v>
      </c>
      <c r="AQ137" s="64" t="s" ph="1">
        <v>211</v>
      </c>
      <c r="AR137" s="64" t="s" ph="1">
        <v>212</v>
      </c>
      <c r="AS137" s="64" t="s" ph="1">
        <v>210</v>
      </c>
      <c r="AT137" s="64" t="s" ph="1">
        <v>211</v>
      </c>
      <c r="AU137" s="64" t="s" ph="1">
        <v>212</v>
      </c>
      <c r="AV137" s="64" t="s" ph="1">
        <v>210</v>
      </c>
      <c r="AW137" s="64" t="s" ph="1">
        <v>211</v>
      </c>
      <c r="AX137" s="64" t="s" ph="1">
        <v>212</v>
      </c>
      <c r="AY137" s="64" t="s" ph="1">
        <v>211</v>
      </c>
      <c r="AZ137" s="64" t="s" ph="1">
        <v>213</v>
      </c>
    </row>
    <row r="138" spans="33:52" ph="1">
      <c r="AH138" s="64" ph="1">
        <v>1</v>
      </c>
      <c r="AI138" s="64" t="s" ph="1">
        <v>530</v>
      </c>
      <c r="AJ138" s="64" t="s" ph="1">
        <v>531</v>
      </c>
      <c r="AK138" s="64" t="s" ph="1">
        <v>532</v>
      </c>
      <c r="AY138" s="64" t="s" ph="1">
        <v>216</v>
      </c>
      <c r="AZ138" s="64" t="s" ph="1">
        <v>532</v>
      </c>
    </row>
    <row r="139" spans="33:52" ph="1">
      <c r="AH139" s="64" ph="1">
        <v>2</v>
      </c>
      <c r="AI139" s="64" t="s" ph="1">
        <v>533</v>
      </c>
      <c r="AJ139" s="64" t="s" ph="1">
        <v>589</v>
      </c>
      <c r="AK139" s="64" t="s" ph="1">
        <v>601</v>
      </c>
      <c r="AY139" s="64" t="s" ph="1">
        <v>216</v>
      </c>
      <c r="AZ139" s="64" t="s" ph="1">
        <v>601</v>
      </c>
    </row>
    <row r="140" spans="33:52" ph="1">
      <c r="AH140" s="64" ph="1">
        <v>3</v>
      </c>
      <c r="AI140" s="64" t="s" ph="1">
        <v>534</v>
      </c>
      <c r="AJ140" s="64" t="s" ph="1">
        <v>487</v>
      </c>
      <c r="AK140" s="64" t="s" ph="1">
        <v>299</v>
      </c>
      <c r="AM140" s="64" t="s" ph="1">
        <v>488</v>
      </c>
      <c r="AN140" s="64" t="s" ph="1">
        <v>219</v>
      </c>
      <c r="AO140" s="64" t="s" ph="1">
        <v>535</v>
      </c>
      <c r="AP140" s="64" t="s" ph="1">
        <v>489</v>
      </c>
      <c r="AQ140" s="64" t="s" ph="1">
        <v>236</v>
      </c>
      <c r="AR140" s="64" t="s" ph="1">
        <v>535</v>
      </c>
      <c r="AS140" s="64" t="s" ph="1">
        <v>490</v>
      </c>
      <c r="AT140" s="64" t="s" ph="1">
        <v>229</v>
      </c>
      <c r="AU140" s="64" t="s" ph="1">
        <v>535</v>
      </c>
      <c r="AV140" s="64" t="s" ph="1">
        <v>491</v>
      </c>
      <c r="AW140" s="64" t="s" ph="1">
        <v>222</v>
      </c>
      <c r="AX140" s="64" t="s" ph="1">
        <v>535</v>
      </c>
      <c r="AY140" s="64" t="s" ph="1">
        <v>216</v>
      </c>
      <c r="AZ140" s="64" t="s" ph="1">
        <v>291</v>
      </c>
    </row>
    <row r="141" spans="33:52" ph="1">
      <c r="AJ141" s="64" t="s" ph="1">
        <v>493</v>
      </c>
      <c r="AK141" s="64" t="s" ph="1">
        <v>222</v>
      </c>
      <c r="AM141" s="64" t="s" ph="1">
        <v>494</v>
      </c>
      <c r="AN141" s="64" t="s" ph="1">
        <v>225</v>
      </c>
      <c r="AO141" s="64" t="s" ph="1">
        <v>535</v>
      </c>
      <c r="AP141" s="64" t="s" ph="1">
        <v>506</v>
      </c>
      <c r="AQ141" s="64" t="s" ph="1">
        <v>294</v>
      </c>
      <c r="AR141" s="64" t="s" ph="1">
        <v>535</v>
      </c>
      <c r="AS141" s="64" t="s" ph="1">
        <v>498</v>
      </c>
      <c r="AT141" s="64" t="s" ph="1">
        <v>222</v>
      </c>
      <c r="AU141" s="64" t="s" ph="1">
        <v>535</v>
      </c>
      <c r="AV141" s="64" t="s" ph="1">
        <v>334</v>
      </c>
      <c r="AW141" s="64" t="s" ph="1">
        <v>228</v>
      </c>
      <c r="AX141" s="64" t="s" ph="1">
        <v>535</v>
      </c>
    </row>
    <row r="142" spans="33:52" ph="1">
      <c r="AJ142" s="64" t="s" ph="1">
        <v>536</v>
      </c>
      <c r="AK142" s="64" t="s" ph="1">
        <v>239</v>
      </c>
    </row>
    <row r="143" spans="33:52" ph="1">
      <c r="AH143" s="64" ph="1">
        <v>4</v>
      </c>
      <c r="AI143" s="64" t="s" ph="1">
        <v>537</v>
      </c>
      <c r="AJ143" s="64" t="s" ph="1">
        <v>517</v>
      </c>
      <c r="AK143" s="64" t="s" ph="1">
        <v>538</v>
      </c>
      <c r="AY143" s="64" t="s" ph="1">
        <v>216</v>
      </c>
      <c r="AZ143" s="64" t="s" ph="1">
        <v>538</v>
      </c>
    </row>
    <row r="144" spans="33:52" ph="1">
      <c r="AH144" s="64" ph="1">
        <v>5</v>
      </c>
      <c r="AI144" s="64" t="s" ph="1">
        <v>539</v>
      </c>
      <c r="AY144" s="64" t="s" ph="1">
        <v>216</v>
      </c>
      <c r="AZ144" s="64" t="s" ph="1">
        <v>367</v>
      </c>
    </row>
    <row r="145" spans="33:52" ph="1">
      <c r="AH145" s="64" ph="1">
        <v>6</v>
      </c>
      <c r="AI145" s="64" t="s" ph="1">
        <v>540</v>
      </c>
      <c r="AY145" s="64" t="s" ph="1">
        <v>216</v>
      </c>
      <c r="AZ145" s="64" t="s" ph="1">
        <v>367</v>
      </c>
    </row>
    <row r="146" spans="33:52" ph="1">
      <c r="AH146" s="64" ph="1">
        <v>7</v>
      </c>
      <c r="AI146" s="64" t="s" ph="1">
        <v>541</v>
      </c>
      <c r="AY146" s="64" t="s" ph="1">
        <v>216</v>
      </c>
      <c r="AZ146" s="64" t="s" ph="1">
        <v>367</v>
      </c>
    </row>
    <row r="147" spans="33:52" ph="1">
      <c r="AH147" s="64" ph="1">
        <v>8</v>
      </c>
      <c r="AI147" s="64" t="s" ph="1">
        <v>542</v>
      </c>
      <c r="AY147" s="64" t="s" ph="1">
        <v>216</v>
      </c>
      <c r="AZ147" s="64" t="s" ph="1">
        <v>367</v>
      </c>
    </row>
    <row r="148" spans="33:52" ph="1">
      <c r="AH148" s="64" ph="1">
        <v>9</v>
      </c>
      <c r="AI148" s="64" t="s" ph="1">
        <v>543</v>
      </c>
      <c r="AY148" s="64" t="s" ph="1">
        <v>216</v>
      </c>
      <c r="AZ148" s="64" t="s" ph="1">
        <v>367</v>
      </c>
    </row>
    <row r="149" spans="33:52" ph="1">
      <c r="AH149" s="64" ph="1">
        <v>10</v>
      </c>
      <c r="AI149" s="64" t="s" ph="1">
        <v>544</v>
      </c>
      <c r="AY149" s="64" t="s" ph="1">
        <v>216</v>
      </c>
      <c r="AZ149" s="64" t="s" ph="1">
        <v>367</v>
      </c>
    </row>
    <row r="150" spans="33:52" ph="1">
      <c r="AH150" s="64" ph="1">
        <v>11</v>
      </c>
      <c r="AI150" s="64" t="s" ph="1">
        <v>545</v>
      </c>
      <c r="AY150" s="64" t="s" ph="1">
        <v>216</v>
      </c>
      <c r="AZ150" s="64" t="s" ph="1">
        <v>367</v>
      </c>
    </row>
    <row r="151" spans="33:52" ph="1">
      <c r="AH151" s="64" ph="1">
        <v>12</v>
      </c>
      <c r="AI151" s="64" t="s" ph="1">
        <v>546</v>
      </c>
      <c r="AY151" s="64" t="s" ph="1">
        <v>216</v>
      </c>
      <c r="AZ151" s="64" t="s" ph="1">
        <v>367</v>
      </c>
    </row>
    <row r="152" spans="33:52" ph="1">
      <c r="AH152" s="64" ph="1">
        <v>13</v>
      </c>
      <c r="AI152" s="64" t="s" ph="1">
        <v>547</v>
      </c>
      <c r="AY152" s="64" t="s" ph="1">
        <v>216</v>
      </c>
      <c r="AZ152" s="64" t="s" ph="1">
        <v>367</v>
      </c>
    </row>
    <row r="153" spans="33:52" ph="1">
      <c r="AH153" s="64" ph="1">
        <v>14</v>
      </c>
      <c r="AI153" s="64" t="s" ph="1">
        <v>548</v>
      </c>
      <c r="AY153" s="64" t="s" ph="1">
        <v>216</v>
      </c>
      <c r="AZ153" s="64" t="s" ph="1">
        <v>367</v>
      </c>
    </row>
    <row r="154" spans="33:52" ph="1">
      <c r="AH154" s="64" ph="1">
        <v>15</v>
      </c>
      <c r="AI154" s="64" t="s" ph="1">
        <v>549</v>
      </c>
      <c r="AY154" s="64" t="s" ph="1">
        <v>216</v>
      </c>
      <c r="AZ154" s="64" t="s" ph="1">
        <v>367</v>
      </c>
    </row>
    <row r="155" spans="33:52" ph="1">
      <c r="AH155" s="64" ph="1">
        <v>16</v>
      </c>
      <c r="AI155" s="64" t="s" ph="1">
        <v>550</v>
      </c>
      <c r="AJ155" s="64" t="s" ph="1">
        <v>336</v>
      </c>
      <c r="AK155" s="64" t="s" ph="1">
        <v>231</v>
      </c>
      <c r="AM155" s="64" t="s" ph="1">
        <v>570</v>
      </c>
      <c r="AN155" s="64" t="s" ph="1">
        <v>282</v>
      </c>
      <c r="AO155" s="64" t="s" ph="1">
        <v>535</v>
      </c>
      <c r="AY155" s="64" t="s" ph="1">
        <v>216</v>
      </c>
      <c r="AZ155" s="64" t="s" ph="1">
        <v>223</v>
      </c>
    </row>
    <row r="156" spans="33:52" ph="1">
      <c r="AZ156" s="64" t="s" ph="1">
        <v>602</v>
      </c>
    </row>
    <row r="157" spans="33:52" ph="1">
      <c r="AG157" s="64" t="s" ph="1">
        <v>551</v>
      </c>
      <c r="AI157" s="64" t="s" ph="1">
        <v>209</v>
      </c>
      <c r="AJ157" s="64" t="s" ph="1">
        <v>210</v>
      </c>
      <c r="AK157" s="64" t="s" ph="1">
        <v>211</v>
      </c>
      <c r="AM157" s="64" t="s" ph="1">
        <v>210</v>
      </c>
      <c r="AN157" s="64" t="s" ph="1">
        <v>211</v>
      </c>
      <c r="AO157" s="64" t="s" ph="1">
        <v>212</v>
      </c>
      <c r="AP157" s="64" t="s" ph="1">
        <v>210</v>
      </c>
      <c r="AQ157" s="64" t="s" ph="1">
        <v>211</v>
      </c>
      <c r="AR157" s="64" t="s" ph="1">
        <v>212</v>
      </c>
      <c r="AS157" s="64" t="s" ph="1">
        <v>210</v>
      </c>
      <c r="AT157" s="64" t="s" ph="1">
        <v>211</v>
      </c>
      <c r="AU157" s="64" t="s" ph="1">
        <v>212</v>
      </c>
      <c r="AV157" s="64" t="s" ph="1">
        <v>210</v>
      </c>
      <c r="AW157" s="64" t="s" ph="1">
        <v>211</v>
      </c>
      <c r="AX157" s="64" t="s" ph="1">
        <v>212</v>
      </c>
      <c r="AY157" s="64" t="s" ph="1">
        <v>211</v>
      </c>
      <c r="AZ157" s="64" t="s" ph="1">
        <v>213</v>
      </c>
    </row>
    <row r="158" spans="33:52" ph="1">
      <c r="AH158" s="64" ph="1">
        <v>1</v>
      </c>
      <c r="AI158" s="64" t="s" ph="1">
        <v>552</v>
      </c>
      <c r="AY158" s="64" t="s" ph="1">
        <v>216</v>
      </c>
      <c r="AZ158" s="64" t="s" ph="1">
        <v>367</v>
      </c>
    </row>
    <row r="159" spans="33:52" ph="1">
      <c r="AH159" s="64" ph="1">
        <v>2</v>
      </c>
      <c r="AI159" s="64" t="s" ph="1">
        <v>553</v>
      </c>
      <c r="AY159" s="64" t="s" ph="1">
        <v>216</v>
      </c>
      <c r="AZ159" s="64" t="s" ph="1">
        <v>367</v>
      </c>
    </row>
    <row r="160" spans="33:52" ph="1">
      <c r="AZ160" s="64" t="s" ph="1">
        <v>385</v>
      </c>
    </row>
    <row r="161" spans="33:52" ph="1">
      <c r="AG161" s="64" t="s" ph="1">
        <v>361</v>
      </c>
      <c r="AI161" s="64" t="s" ph="1">
        <v>209</v>
      </c>
      <c r="AJ161" s="64" t="s" ph="1">
        <v>210</v>
      </c>
      <c r="AK161" s="64" t="s" ph="1">
        <v>211</v>
      </c>
      <c r="AM161" s="64" t="s" ph="1">
        <v>210</v>
      </c>
      <c r="AN161" s="64" t="s" ph="1">
        <v>211</v>
      </c>
      <c r="AO161" s="64" t="s" ph="1">
        <v>212</v>
      </c>
      <c r="AP161" s="64" t="s" ph="1">
        <v>210</v>
      </c>
      <c r="AQ161" s="64" t="s" ph="1">
        <v>211</v>
      </c>
      <c r="AR161" s="64" t="s" ph="1">
        <v>212</v>
      </c>
      <c r="AS161" s="64" t="s" ph="1">
        <v>210</v>
      </c>
      <c r="AT161" s="64" t="s" ph="1">
        <v>211</v>
      </c>
      <c r="AU161" s="64" t="s" ph="1">
        <v>212</v>
      </c>
      <c r="AV161" s="64" t="s" ph="1">
        <v>210</v>
      </c>
      <c r="AW161" s="64" t="s" ph="1">
        <v>211</v>
      </c>
      <c r="AX161" s="64" t="s" ph="1">
        <v>212</v>
      </c>
      <c r="AY161" s="64" t="s" ph="1">
        <v>211</v>
      </c>
      <c r="AZ161" s="64" t="s" ph="1">
        <v>213</v>
      </c>
    </row>
    <row r="162" spans="33:52" ph="1">
      <c r="AH162" s="64" ph="1">
        <v>1</v>
      </c>
      <c r="AI162" s="64" t="s" ph="1">
        <v>554</v>
      </c>
      <c r="AJ162" s="64" t="s" ph="1">
        <v>555</v>
      </c>
      <c r="AK162" s="64" t="s" ph="1">
        <v>499</v>
      </c>
      <c r="AM162" s="64" t="s" ph="1">
        <v>556</v>
      </c>
      <c r="AN162" s="64" t="s" ph="1">
        <v>220</v>
      </c>
      <c r="AO162" s="64" t="s" ph="1">
        <v>557</v>
      </c>
      <c r="AY162" s="64" t="s" ph="1">
        <v>216</v>
      </c>
      <c r="AZ162" s="64" t="s" ph="1">
        <v>292</v>
      </c>
    </row>
    <row r="163" spans="33:52" ph="1">
      <c r="AH163" s="64" ph="1">
        <v>2</v>
      </c>
      <c r="AI163" s="64" t="s" ph="1">
        <v>558</v>
      </c>
      <c r="AJ163" s="64" t="s" ph="1">
        <v>555</v>
      </c>
      <c r="AK163" s="64" t="s" ph="1">
        <v>388</v>
      </c>
      <c r="AY163" s="64" t="s" ph="1">
        <v>216</v>
      </c>
      <c r="AZ163" s="64" t="s" ph="1">
        <v>388</v>
      </c>
    </row>
    <row r="164" spans="33:52" ph="1">
      <c r="AH164" s="64" ph="1">
        <v>3</v>
      </c>
      <c r="AI164" s="64" t="s" ph="1">
        <v>559</v>
      </c>
      <c r="AJ164" s="64" t="s" ph="1">
        <v>555</v>
      </c>
      <c r="AK164" s="64" t="s" ph="1">
        <v>292</v>
      </c>
      <c r="AY164" s="64" t="s" ph="1">
        <v>216</v>
      </c>
      <c r="AZ164" s="64" t="s" ph="1">
        <v>292</v>
      </c>
    </row>
    <row r="165" spans="33:52" ph="1">
      <c r="AH165" s="64" ph="1">
        <v>4</v>
      </c>
      <c r="AI165" s="64" t="s" ph="1">
        <v>560</v>
      </c>
      <c r="AY165" s="64" t="s" ph="1">
        <v>216</v>
      </c>
      <c r="AZ165" s="64" t="s" ph="1">
        <v>367</v>
      </c>
    </row>
    <row r="166" spans="33:52" ph="1">
      <c r="AH166" s="64" ph="1">
        <v>5</v>
      </c>
      <c r="AI166" s="64" t="s" ph="1">
        <v>561</v>
      </c>
      <c r="AY166" s="64" t="s" ph="1">
        <v>216</v>
      </c>
      <c r="AZ166" s="64" t="s" ph="1">
        <v>367</v>
      </c>
    </row>
    <row r="167" spans="33:52" ph="1">
      <c r="AZ167" s="64" t="s" ph="1">
        <v>562</v>
      </c>
    </row>
    <row r="168" spans="33:52" ph="1">
      <c r="AG168" s="64" t="s" ph="1">
        <v>305</v>
      </c>
      <c r="AI168" s="64" t="s" ph="1">
        <v>209</v>
      </c>
      <c r="AJ168" s="64" t="s" ph="1">
        <v>210</v>
      </c>
      <c r="AK168" s="64" t="s" ph="1">
        <v>211</v>
      </c>
      <c r="AM168" s="64" t="s" ph="1">
        <v>210</v>
      </c>
      <c r="AN168" s="64" t="s" ph="1">
        <v>211</v>
      </c>
      <c r="AO168" s="64" t="s" ph="1">
        <v>212</v>
      </c>
      <c r="AP168" s="64" t="s" ph="1">
        <v>210</v>
      </c>
      <c r="AQ168" s="64" t="s" ph="1">
        <v>211</v>
      </c>
      <c r="AR168" s="64" t="s" ph="1">
        <v>212</v>
      </c>
      <c r="AS168" s="64" t="s" ph="1">
        <v>210</v>
      </c>
      <c r="AT168" s="64" t="s" ph="1">
        <v>211</v>
      </c>
      <c r="AU168" s="64" t="s" ph="1">
        <v>212</v>
      </c>
      <c r="AV168" s="64" t="s" ph="1">
        <v>210</v>
      </c>
      <c r="AW168" s="64" t="s" ph="1">
        <v>211</v>
      </c>
      <c r="AX168" s="64" t="s" ph="1">
        <v>212</v>
      </c>
      <c r="AY168" s="64" t="s" ph="1">
        <v>211</v>
      </c>
      <c r="AZ168" s="64" t="s" ph="1">
        <v>213</v>
      </c>
    </row>
    <row r="169" spans="33:52" ph="1">
      <c r="AH169" s="64" ph="1">
        <v>1</v>
      </c>
      <c r="AI169" s="64" t="s" ph="1">
        <v>563</v>
      </c>
      <c r="AY169" s="64" t="s" ph="1">
        <v>216</v>
      </c>
      <c r="AZ169" s="64" t="s" ph="1">
        <v>367</v>
      </c>
    </row>
    <row r="170" spans="33:52" ph="1">
      <c r="AH170" s="64" ph="1">
        <v>2</v>
      </c>
      <c r="AI170" s="64" t="s" ph="1">
        <v>564</v>
      </c>
      <c r="AY170" s="64" t="s" ph="1">
        <v>216</v>
      </c>
      <c r="AZ170" s="64" t="s" ph="1">
        <v>367</v>
      </c>
    </row>
    <row r="171" spans="33:52" ph="1">
      <c r="AH171" s="64" ph="1">
        <v>3</v>
      </c>
      <c r="AI171" s="64" t="s" ph="1">
        <v>565</v>
      </c>
      <c r="AY171" s="64" t="s" ph="1">
        <v>216</v>
      </c>
      <c r="AZ171" s="64" t="s" ph="1">
        <v>367</v>
      </c>
    </row>
    <row r="172" spans="33:52" ph="1">
      <c r="AH172" s="64" ph="1">
        <v>4</v>
      </c>
      <c r="AI172" s="64" t="s" ph="1">
        <v>566</v>
      </c>
      <c r="AY172" s="64" t="s" ph="1">
        <v>216</v>
      </c>
      <c r="AZ172" s="64" t="s" ph="1">
        <v>367</v>
      </c>
    </row>
    <row r="173" spans="33:52" ph="1">
      <c r="AH173" s="64" ph="1">
        <v>5</v>
      </c>
      <c r="AI173" s="64" t="s" ph="1">
        <v>567</v>
      </c>
      <c r="AY173" s="64" t="s" ph="1">
        <v>216</v>
      </c>
      <c r="AZ173" s="64" t="s" ph="1">
        <v>367</v>
      </c>
    </row>
    <row r="174" spans="33:52" ph="1">
      <c r="AZ174" s="64" t="s" ph="1">
        <v>385</v>
      </c>
    </row>
    <row r="175" spans="33:52" ph="1">
      <c r="AJ175" s="64" t="s" ph="1">
        <v>306</v>
      </c>
    </row>
    <row r="176" spans="33:52" ph="1">
      <c r="AJ176" s="64" t="s" ph="1">
        <v>307</v>
      </c>
      <c r="AK176" s="64" t="s" ph="1">
        <v>308</v>
      </c>
      <c r="AM176" s="64" t="s" ph="1">
        <v>309</v>
      </c>
      <c r="AO176" s="64" t="s" ph="1">
        <v>310</v>
      </c>
      <c r="AP176" s="64" t="s" ph="1">
        <v>311</v>
      </c>
      <c r="AQ176" s="64" t="s" ph="1">
        <v>301</v>
      </c>
      <c r="AR176" s="64" t="s" ph="1">
        <v>221</v>
      </c>
    </row>
    <row r="177" spans="36:56" ph="1">
      <c r="AJ177" s="64" t="s" ph="1">
        <v>603</v>
      </c>
      <c r="AK177" s="64" t="s" ph="1">
        <v>312</v>
      </c>
      <c r="AO177" s="64" t="s" ph="1">
        <v>312</v>
      </c>
      <c r="AP177" s="64" t="s" ph="1">
        <v>312</v>
      </c>
      <c r="AQ177" s="64" t="s" ph="1">
        <v>313</v>
      </c>
      <c r="AR177" s="64" t="s" ph="1">
        <v>314</v>
      </c>
    </row>
    <row r="179" spans="36:56" ph="1">
      <c r="AJ179" s="64" t="s" ph="1">
        <v>315</v>
      </c>
      <c r="AK179" s="64" t="s" ph="1">
        <v>316</v>
      </c>
      <c r="AM179" s="64" t="s" ph="1">
        <v>317</v>
      </c>
      <c r="AN179" s="64" t="s" ph="1">
        <v>293</v>
      </c>
      <c r="AO179" s="64" t="s" ph="1">
        <v>318</v>
      </c>
      <c r="AP179" s="64" t="s" ph="1">
        <v>297</v>
      </c>
      <c r="AQ179" s="64" t="s" ph="1">
        <v>319</v>
      </c>
      <c r="AR179" s="64" t="s" ph="1">
        <v>320</v>
      </c>
    </row>
    <row r="180" spans="36:56" ph="1">
      <c r="AJ180" s="64" t="s" ph="1">
        <v>312</v>
      </c>
      <c r="AK180" s="64" t="s" ph="1">
        <v>312</v>
      </c>
      <c r="AL180" s="64" ph="1">
        <v>116</v>
      </c>
      <c r="AM180" s="64" t="s" ph="1">
        <v>312</v>
      </c>
      <c r="AN180" s="64" t="s" ph="1">
        <v>321</v>
      </c>
      <c r="AO180" s="64" t="s" ph="1">
        <v>312</v>
      </c>
      <c r="AP180" s="64" t="s" ph="1">
        <v>322</v>
      </c>
      <c r="AQ180" s="64" t="s" ph="1">
        <v>323</v>
      </c>
      <c r="AR180" s="64" t="s" ph="1">
        <v>324</v>
      </c>
    </row>
    <row r="189" spans="36:56" ph="1">
      <c r="BD189" s="64" t="s" ph="1">
        <v>568</v>
      </c>
    </row>
    <row r="223" spans="18:18" ph="1">
      <c r="R223" s="135" ph="1">
        <v>45496</v>
      </c>
    </row>
  </sheetData>
  <mergeCells count="58">
    <mergeCell ref="Z22:AE22"/>
    <mergeCell ref="Z23:AE29"/>
    <mergeCell ref="B24:B26"/>
    <mergeCell ref="B27:B29"/>
    <mergeCell ref="B1:AE1"/>
    <mergeCell ref="B2:AE2"/>
    <mergeCell ref="B3:AE3"/>
    <mergeCell ref="B4:B5"/>
    <mergeCell ref="B6:B8"/>
    <mergeCell ref="B9:B11"/>
    <mergeCell ref="P31:R31"/>
    <mergeCell ref="B13:B14"/>
    <mergeCell ref="B15:B17"/>
    <mergeCell ref="B18:B20"/>
    <mergeCell ref="B22:B23"/>
    <mergeCell ref="B31:C32"/>
    <mergeCell ref="D31:F31"/>
    <mergeCell ref="G31:I31"/>
    <mergeCell ref="J31:L31"/>
    <mergeCell ref="M31:O31"/>
    <mergeCell ref="B33:C34"/>
    <mergeCell ref="D33:D34"/>
    <mergeCell ref="E33:E34"/>
    <mergeCell ref="F33:F34"/>
    <mergeCell ref="G33:G34"/>
    <mergeCell ref="S31:U31"/>
    <mergeCell ref="V31:X31"/>
    <mergeCell ref="Y31:AA31"/>
    <mergeCell ref="AB31:AE31"/>
    <mergeCell ref="AD32:AE32"/>
    <mergeCell ref="S33:S34"/>
    <mergeCell ref="H33:H34"/>
    <mergeCell ref="I33:I34"/>
    <mergeCell ref="J33:J34"/>
    <mergeCell ref="K33:K34"/>
    <mergeCell ref="L33:L34"/>
    <mergeCell ref="M33:M34"/>
    <mergeCell ref="N33:N34"/>
    <mergeCell ref="O33:O34"/>
    <mergeCell ref="P33:P34"/>
    <mergeCell ref="Q33:Q34"/>
    <mergeCell ref="R33:R34"/>
    <mergeCell ref="I36:J36"/>
    <mergeCell ref="R36:S36"/>
    <mergeCell ref="AB36:AC36"/>
    <mergeCell ref="AD36:AE36"/>
    <mergeCell ref="Z33:Z34"/>
    <mergeCell ref="AA33:AA34"/>
    <mergeCell ref="AB33:AB34"/>
    <mergeCell ref="AC33:AC34"/>
    <mergeCell ref="AD33:AE34"/>
    <mergeCell ref="AC35:AE35"/>
    <mergeCell ref="T33:T34"/>
    <mergeCell ref="U33:U34"/>
    <mergeCell ref="V33:V34"/>
    <mergeCell ref="W33:W34"/>
    <mergeCell ref="X33:X34"/>
    <mergeCell ref="Y33:Y34"/>
  </mergeCells>
  <phoneticPr fontId="2" type="noConversion"/>
  <conditionalFormatting sqref="D4:D11">
    <cfRule type="expression" dxfId="930" priority="103">
      <formula>ABS(D$7-D$10)&gt;=1000</formula>
    </cfRule>
  </conditionalFormatting>
  <conditionalFormatting sqref="E4 E6:E11">
    <cfRule type="expression" dxfId="929" priority="102">
      <formula>ABS(E$7-E$10)&gt;=1000</formula>
    </cfRule>
  </conditionalFormatting>
  <conditionalFormatting sqref="F4:F11">
    <cfRule type="expression" dxfId="928" priority="101">
      <formula>ABS(F$7-F$10)&gt;=1000</formula>
    </cfRule>
  </conditionalFormatting>
  <conditionalFormatting sqref="G4:G11">
    <cfRule type="expression" dxfId="927" priority="100">
      <formula>ABS(G$7-G$10)&gt;=1000</formula>
    </cfRule>
  </conditionalFormatting>
  <conditionalFormatting sqref="H4:H11">
    <cfRule type="expression" dxfId="926" priority="99">
      <formula>ABS(H$7-H$10)&gt;=1000</formula>
    </cfRule>
  </conditionalFormatting>
  <conditionalFormatting sqref="I4:I11">
    <cfRule type="expression" dxfId="925" priority="98">
      <formula>ABS(I$7-I$10)&gt;=1000</formula>
    </cfRule>
  </conditionalFormatting>
  <conditionalFormatting sqref="J4:J11">
    <cfRule type="expression" dxfId="924" priority="97">
      <formula>ABS(J$7-J$10)&gt;=1000</formula>
    </cfRule>
  </conditionalFormatting>
  <conditionalFormatting sqref="K4:K11">
    <cfRule type="expression" dxfId="923" priority="96">
      <formula>ABS(K$7-K$10)&gt;=1000</formula>
    </cfRule>
  </conditionalFormatting>
  <conditionalFormatting sqref="L4:L11">
    <cfRule type="expression" dxfId="922" priority="95">
      <formula>ABS(L$7-L$10)&gt;=1000</formula>
    </cfRule>
  </conditionalFormatting>
  <conditionalFormatting sqref="M4 M6:M11">
    <cfRule type="expression" dxfId="921" priority="94">
      <formula>ABS(M$7-M$10)&gt;=1000</formula>
    </cfRule>
  </conditionalFormatting>
  <conditionalFormatting sqref="N4 N6:N11">
    <cfRule type="expression" dxfId="920" priority="93">
      <formula>ABS(N$7-N$10)&gt;=1000</formula>
    </cfRule>
  </conditionalFormatting>
  <conditionalFormatting sqref="O4 O6:O11">
    <cfRule type="expression" dxfId="919" priority="92">
      <formula>ABS(O$7-O$10)&gt;=1000</formula>
    </cfRule>
  </conditionalFormatting>
  <conditionalFormatting sqref="P4 P6:P11">
    <cfRule type="expression" dxfId="918" priority="91">
      <formula>ABS(P$7-P$10)&gt;=1000</formula>
    </cfRule>
  </conditionalFormatting>
  <conditionalFormatting sqref="Q4:Q11">
    <cfRule type="expression" dxfId="917" priority="90">
      <formula>ABS(Q$7-Q$10)&gt;=1000</formula>
    </cfRule>
  </conditionalFormatting>
  <conditionalFormatting sqref="R4:R11">
    <cfRule type="expression" dxfId="916" priority="89">
      <formula>ABS(R$7-R$10)&gt;=1000</formula>
    </cfRule>
  </conditionalFormatting>
  <conditionalFormatting sqref="S4:S11">
    <cfRule type="expression" dxfId="915" priority="88">
      <formula>ABS(S$7-S$10)&gt;=1000</formula>
    </cfRule>
  </conditionalFormatting>
  <conditionalFormatting sqref="T4:T9 T11">
    <cfRule type="expression" dxfId="914" priority="87">
      <formula>ABS(T$7-T$10)&gt;=1000</formula>
    </cfRule>
  </conditionalFormatting>
  <conditionalFormatting sqref="U4:U9 U11">
    <cfRule type="expression" dxfId="913" priority="86">
      <formula>ABS(U$7-U$10)&gt;=1000</formula>
    </cfRule>
  </conditionalFormatting>
  <conditionalFormatting sqref="V4:V9 V11">
    <cfRule type="expression" dxfId="912" priority="85">
      <formula>ABS(V$7-V$10)&gt;=1000</formula>
    </cfRule>
  </conditionalFormatting>
  <conditionalFormatting sqref="W4:W9 W11">
    <cfRule type="expression" dxfId="911" priority="84">
      <formula>ABS(W$7-W$10)&gt;=1000</formula>
    </cfRule>
  </conditionalFormatting>
  <conditionalFormatting sqref="X4:X9 X11">
    <cfRule type="expression" dxfId="910" priority="83">
      <formula>ABS(X$7-X$10)&gt;=1000</formula>
    </cfRule>
  </conditionalFormatting>
  <conditionalFormatting sqref="Y4:Y9 Y11">
    <cfRule type="expression" dxfId="909" priority="82">
      <formula>ABS(Y$7-Y$10)&gt;=1000</formula>
    </cfRule>
  </conditionalFormatting>
  <conditionalFormatting sqref="Z4:Z11">
    <cfRule type="expression" dxfId="908" priority="81">
      <formula>ABS(Z$7-Z$10)&gt;=1000</formula>
    </cfRule>
  </conditionalFormatting>
  <conditionalFormatting sqref="AA4:AA11">
    <cfRule type="expression" dxfId="907" priority="80">
      <formula>ABS(AA$7-AA$10)&gt;=1000</formula>
    </cfRule>
  </conditionalFormatting>
  <conditionalFormatting sqref="AB4:AB11">
    <cfRule type="expression" dxfId="906" priority="79">
      <formula>ABS(AB$7-AB$10)&gt;=1000</formula>
    </cfRule>
  </conditionalFormatting>
  <conditionalFormatting sqref="AC4 AC6:AC11">
    <cfRule type="expression" dxfId="905" priority="78">
      <formula>ABS(AC$7-AC$10)&gt;=1000</formula>
    </cfRule>
  </conditionalFormatting>
  <conditionalFormatting sqref="AD4 AD6:AD11">
    <cfRule type="expression" dxfId="904" priority="77">
      <formula>ABS(AD$7-AD$10)&gt;=1000</formula>
    </cfRule>
  </conditionalFormatting>
  <conditionalFormatting sqref="AE4 AE6:AE11">
    <cfRule type="expression" dxfId="903" priority="76">
      <formula>ABS(AE$7-AE$10)&gt;=1000</formula>
    </cfRule>
  </conditionalFormatting>
  <conditionalFormatting sqref="D13:D20">
    <cfRule type="expression" dxfId="902" priority="75">
      <formula>ABS(D$16-D$19)&gt;=1000</formula>
    </cfRule>
  </conditionalFormatting>
  <conditionalFormatting sqref="E13:E20">
    <cfRule type="expression" dxfId="901" priority="74">
      <formula>ABS(E$16-E$19)&gt;=1000</formula>
    </cfRule>
  </conditionalFormatting>
  <conditionalFormatting sqref="F13 F15:F20">
    <cfRule type="expression" dxfId="900" priority="73">
      <formula>ABS(F$16-F$19)&gt;=1000</formula>
    </cfRule>
  </conditionalFormatting>
  <conditionalFormatting sqref="G13:G20">
    <cfRule type="expression" dxfId="899" priority="72">
      <formula>ABS(G$16-G$19)&gt;=1000</formula>
    </cfRule>
  </conditionalFormatting>
  <conditionalFormatting sqref="H13 H15:H20">
    <cfRule type="expression" dxfId="898" priority="71">
      <formula>ABS(H$16-H$19)&gt;=1000</formula>
    </cfRule>
  </conditionalFormatting>
  <conditionalFormatting sqref="I13:I20">
    <cfRule type="expression" dxfId="897" priority="70">
      <formula>ABS(I$16-I$19)&gt;=1000</formula>
    </cfRule>
  </conditionalFormatting>
  <conditionalFormatting sqref="J13:J20">
    <cfRule type="expression" dxfId="896" priority="69">
      <formula>ABS(J$16-J$19)&gt;=1000</formula>
    </cfRule>
  </conditionalFormatting>
  <conditionalFormatting sqref="L13:L20">
    <cfRule type="expression" dxfId="895" priority="68">
      <formula>ABS(L$16-L$19)&gt;=1000</formula>
    </cfRule>
  </conditionalFormatting>
  <conditionalFormatting sqref="M13 M15 M17:M18 M20">
    <cfRule type="expression" dxfId="894" priority="67">
      <formula>ABS(M$16-M$19)&gt;=1000</formula>
    </cfRule>
  </conditionalFormatting>
  <conditionalFormatting sqref="N13:N20">
    <cfRule type="expression" dxfId="893" priority="66">
      <formula>ABS(N$16-N$19)&gt;=1000</formula>
    </cfRule>
  </conditionalFormatting>
  <conditionalFormatting sqref="O13:O20">
    <cfRule type="expression" dxfId="892" priority="65">
      <formula>ABS(O$16-O$19)&gt;=1000</formula>
    </cfRule>
  </conditionalFormatting>
  <conditionalFormatting sqref="P13:P20">
    <cfRule type="expression" dxfId="891" priority="64">
      <formula>ABS(P$16-P$19)&gt;=1000</formula>
    </cfRule>
  </conditionalFormatting>
  <conditionalFormatting sqref="Q13 Q15:Q20">
    <cfRule type="expression" dxfId="890" priority="63">
      <formula>ABS(Q$16-Q$19)&gt;=1000</formula>
    </cfRule>
  </conditionalFormatting>
  <conditionalFormatting sqref="R13 R15:R20">
    <cfRule type="expression" dxfId="889" priority="62">
      <formula>ABS(R$16-R$19)&gt;=1000</formula>
    </cfRule>
  </conditionalFormatting>
  <conditionalFormatting sqref="S13:S20">
    <cfRule type="expression" dxfId="888" priority="61">
      <formula>ABS(S$16-S$19)&gt;=1000</formula>
    </cfRule>
  </conditionalFormatting>
  <conditionalFormatting sqref="T13:T15 T17:T20">
    <cfRule type="expression" dxfId="887" priority="60">
      <formula>ABS(T$16-T$19)&gt;=1000</formula>
    </cfRule>
  </conditionalFormatting>
  <conditionalFormatting sqref="U13:U20">
    <cfRule type="expression" dxfId="886" priority="59">
      <formula>ABS(U$16-U$19)&gt;=1000</formula>
    </cfRule>
  </conditionalFormatting>
  <conditionalFormatting sqref="V13:V20">
    <cfRule type="expression" dxfId="885" priority="58">
      <formula>ABS(V$16-V$19)&gt;=1000</formula>
    </cfRule>
  </conditionalFormatting>
  <conditionalFormatting sqref="W13 W20 W15:W18">
    <cfRule type="expression" dxfId="884" priority="57">
      <formula>ABS(W$16-W$19)&gt;=1000</formula>
    </cfRule>
  </conditionalFormatting>
  <conditionalFormatting sqref="X13 X15:X20 Y19">
    <cfRule type="expression" dxfId="883" priority="56">
      <formula>ABS(X$16-X$19)&gt;=1000</formula>
    </cfRule>
  </conditionalFormatting>
  <conditionalFormatting sqref="Y13 Y15:Y18 Y20">
    <cfRule type="expression" dxfId="882" priority="55">
      <formula>ABS(Y$16-Y$19)&gt;=1000</formula>
    </cfRule>
  </conditionalFormatting>
  <conditionalFormatting sqref="Z13:Z20">
    <cfRule type="expression" dxfId="881" priority="54">
      <formula>ABS(Z$16-Z$19)&gt;=1000</formula>
    </cfRule>
  </conditionalFormatting>
  <conditionalFormatting sqref="AA13:AA20">
    <cfRule type="expression" dxfId="880" priority="53">
      <formula>ABS(AA$16-AA$19)&gt;=1000</formula>
    </cfRule>
  </conditionalFormatting>
  <conditionalFormatting sqref="AB13 AB15:AB20">
    <cfRule type="expression" dxfId="879" priority="52">
      <formula>ABS(AB$16-AB$19)&gt;=1000</formula>
    </cfRule>
  </conditionalFormatting>
  <conditionalFormatting sqref="AC13 AC15:AC20">
    <cfRule type="expression" dxfId="878" priority="51">
      <formula>ABS(AC$16-AC$19)&gt;=1000</formula>
    </cfRule>
  </conditionalFormatting>
  <conditionalFormatting sqref="AD13:AD20">
    <cfRule type="expression" dxfId="877" priority="50">
      <formula>ABS(AD$16-AD$19)&gt;=1000</formula>
    </cfRule>
  </conditionalFormatting>
  <conditionalFormatting sqref="AE13:AE20">
    <cfRule type="expression" dxfId="876" priority="49">
      <formula>ABS(AE$16-AE$19)&gt;=1000</formula>
    </cfRule>
  </conditionalFormatting>
  <conditionalFormatting sqref="D22:D29">
    <cfRule type="expression" dxfId="875" priority="48">
      <formula>ABS(D$25-D$28)&gt;=1000</formula>
    </cfRule>
  </conditionalFormatting>
  <conditionalFormatting sqref="E22:E29">
    <cfRule type="expression" dxfId="874" priority="47">
      <formula>ABS(E$25-E$28)&gt;=1000</formula>
    </cfRule>
  </conditionalFormatting>
  <conditionalFormatting sqref="F22:F29">
    <cfRule type="expression" dxfId="873" priority="46">
      <formula>ABS(F$25-F$28)&gt;=1000</formula>
    </cfRule>
  </conditionalFormatting>
  <conditionalFormatting sqref="G22:G29">
    <cfRule type="expression" dxfId="872" priority="45">
      <formula>ABS(G$25-G$28)&gt;=1000</formula>
    </cfRule>
  </conditionalFormatting>
  <conditionalFormatting sqref="H22:H29">
    <cfRule type="expression" dxfId="871" priority="44">
      <formula>ABS(H$25-H$28)&gt;=1000</formula>
    </cfRule>
  </conditionalFormatting>
  <conditionalFormatting sqref="I22 I24:I29">
    <cfRule type="expression" dxfId="870" priority="43">
      <formula>ABS(I$25-I$28)&gt;=1000</formula>
    </cfRule>
  </conditionalFormatting>
  <conditionalFormatting sqref="J22:J29 K22">
    <cfRule type="expression" dxfId="869" priority="42">
      <formula>ABS(J$25-J$28)&gt;=1000</formula>
    </cfRule>
  </conditionalFormatting>
  <conditionalFormatting sqref="K23:K29 L25 L28">
    <cfRule type="expression" dxfId="868" priority="41">
      <formula>ABS(K$25-K$28)&gt;=1000</formula>
    </cfRule>
  </conditionalFormatting>
  <conditionalFormatting sqref="L22 L26:L27 L29 L24">
    <cfRule type="expression" dxfId="867" priority="40">
      <formula>ABS(L$25-L$28)&gt;=1000</formula>
    </cfRule>
  </conditionalFormatting>
  <conditionalFormatting sqref="M22:M29">
    <cfRule type="expression" dxfId="866" priority="39">
      <formula>ABS(M$25-M$28)&gt;=1000</formula>
    </cfRule>
  </conditionalFormatting>
  <conditionalFormatting sqref="N22:N29">
    <cfRule type="expression" dxfId="865" priority="38">
      <formula>ABS(N$25-N$28)&gt;=1000</formula>
    </cfRule>
  </conditionalFormatting>
  <conditionalFormatting sqref="O22 O24:O29">
    <cfRule type="expression" dxfId="864" priority="37">
      <formula>ABS(O$25-O$28)&gt;=1000</formula>
    </cfRule>
  </conditionalFormatting>
  <conditionalFormatting sqref="P22:P29">
    <cfRule type="expression" dxfId="863" priority="36">
      <formula>ABS(P$25-P$28)&gt;=1000</formula>
    </cfRule>
  </conditionalFormatting>
  <conditionalFormatting sqref="Q22:Q29">
    <cfRule type="expression" dxfId="862" priority="35">
      <formula>ABS(Q$25-Q$28)&gt;=1000</formula>
    </cfRule>
  </conditionalFormatting>
  <conditionalFormatting sqref="R22:R29">
    <cfRule type="expression" dxfId="861" priority="34">
      <formula>ABS(R$25-R$28)&gt;=1000</formula>
    </cfRule>
  </conditionalFormatting>
  <conditionalFormatting sqref="S22:S29">
    <cfRule type="expression" dxfId="860" priority="33">
      <formula>ABS(S$25-S$28)&gt;=1000</formula>
    </cfRule>
  </conditionalFormatting>
  <conditionalFormatting sqref="T22:T29">
    <cfRule type="expression" dxfId="859" priority="32">
      <formula>ABS(T$25-T$28)&gt;=1000</formula>
    </cfRule>
  </conditionalFormatting>
  <conditionalFormatting sqref="U22:U29">
    <cfRule type="expression" dxfId="858" priority="31">
      <formula>ABS(U$25-U$28)&gt;=1000</formula>
    </cfRule>
  </conditionalFormatting>
  <conditionalFormatting sqref="V22:V29">
    <cfRule type="expression" dxfId="857" priority="30">
      <formula>ABS(V$25-V$28)&gt;=1000</formula>
    </cfRule>
  </conditionalFormatting>
  <conditionalFormatting sqref="W22:W29">
    <cfRule type="expression" dxfId="856" priority="29">
      <formula>ABS(W$25-W$28)&gt;=1000</formula>
    </cfRule>
  </conditionalFormatting>
  <conditionalFormatting sqref="X22:X29">
    <cfRule type="expression" dxfId="855" priority="28">
      <formula>ABS(X$25-X$28)&gt;=1000</formula>
    </cfRule>
  </conditionalFormatting>
  <conditionalFormatting sqref="Y22:Y29">
    <cfRule type="expression" dxfId="854" priority="27">
      <formula>ABS(Y$25-Y$28)&gt;=1000</formula>
    </cfRule>
  </conditionalFormatting>
  <conditionalFormatting sqref="I23">
    <cfRule type="expression" dxfId="853" priority="26">
      <formula>ABS(I$25-I$28)&gt;=1000</formula>
    </cfRule>
  </conditionalFormatting>
  <conditionalFormatting sqref="Q14">
    <cfRule type="expression" dxfId="852" priority="25">
      <formula>ABS(Q$16-Q$19)&gt;=1000</formula>
    </cfRule>
  </conditionalFormatting>
  <conditionalFormatting sqref="W14">
    <cfRule type="expression" dxfId="851" priority="24">
      <formula>ABS(W$16-W$19)&gt;=1000</formula>
    </cfRule>
  </conditionalFormatting>
  <conditionalFormatting sqref="X14">
    <cfRule type="expression" dxfId="850" priority="23">
      <formula>ABS(X$16-X$19)&gt;=1000</formula>
    </cfRule>
  </conditionalFormatting>
  <conditionalFormatting sqref="T10:Y10">
    <cfRule type="expression" dxfId="849" priority="22">
      <formula>ABS(T$7-T$10)&gt;=1000</formula>
    </cfRule>
  </conditionalFormatting>
  <conditionalFormatting sqref="W19">
    <cfRule type="expression" dxfId="848" priority="21">
      <formula>ABS(W$16-W$19)&gt;=1000</formula>
    </cfRule>
  </conditionalFormatting>
  <conditionalFormatting sqref="AC5">
    <cfRule type="expression" dxfId="847" priority="20">
      <formula>ABS(AC$7-AC$10)&gt;=1000</formula>
    </cfRule>
  </conditionalFormatting>
  <conditionalFormatting sqref="M14">
    <cfRule type="expression" dxfId="846" priority="19">
      <formula>ABS(M$16-M$19)&gt;=1000</formula>
    </cfRule>
  </conditionalFormatting>
  <conditionalFormatting sqref="M16">
    <cfRule type="expression" dxfId="845" priority="18">
      <formula>ABS(M$16-M$19)&gt;=1000</formula>
    </cfRule>
  </conditionalFormatting>
  <conditionalFormatting sqref="M19">
    <cfRule type="expression" dxfId="844" priority="17">
      <formula>ABS(M$16-M$19)&gt;=1000</formula>
    </cfRule>
  </conditionalFormatting>
  <conditionalFormatting sqref="K13:K20">
    <cfRule type="expression" dxfId="843" priority="16">
      <formula>ABS(K$16-K$19)&gt;=1000</formula>
    </cfRule>
  </conditionalFormatting>
  <conditionalFormatting sqref="E5">
    <cfRule type="expression" dxfId="842" priority="15">
      <formula>ABS(E$7-E$10)&gt;=1000</formula>
    </cfRule>
  </conditionalFormatting>
  <conditionalFormatting sqref="AB14:AC14">
    <cfRule type="expression" dxfId="841" priority="14">
      <formula>ABS(AB$16-AB$19)&gt;=1000</formula>
    </cfRule>
  </conditionalFormatting>
  <conditionalFormatting sqref="M5">
    <cfRule type="expression" dxfId="840" priority="13">
      <formula>ABS(M$7-M$10)&gt;=1000</formula>
    </cfRule>
  </conditionalFormatting>
  <conditionalFormatting sqref="N5">
    <cfRule type="expression" dxfId="839" priority="12">
      <formula>ABS(N$7-N$10)&gt;=1000</formula>
    </cfRule>
  </conditionalFormatting>
  <conditionalFormatting sqref="O5">
    <cfRule type="expression" dxfId="838" priority="11">
      <formula>ABS(O$7-O$10)&gt;=1000</formula>
    </cfRule>
  </conditionalFormatting>
  <conditionalFormatting sqref="P5">
    <cfRule type="expression" dxfId="837" priority="10">
      <formula>ABS(P$7-P$10)&gt;=1000</formula>
    </cfRule>
  </conditionalFormatting>
  <conditionalFormatting sqref="L23">
    <cfRule type="expression" dxfId="836" priority="9">
      <formula>ABS(L$25-L$28)&gt;=1000</formula>
    </cfRule>
  </conditionalFormatting>
  <conditionalFormatting sqref="Y14">
    <cfRule type="expression" dxfId="835" priority="8">
      <formula>ABS(Y$16-Y$19)&gt;=1000</formula>
    </cfRule>
  </conditionalFormatting>
  <conditionalFormatting sqref="H14">
    <cfRule type="expression" dxfId="834" priority="7">
      <formula>ABS(H$16-H$19)&gt;=1000</formula>
    </cfRule>
  </conditionalFormatting>
  <conditionalFormatting sqref="AD5">
    <cfRule type="expression" dxfId="833" priority="6">
      <formula>ABS(AD$7-AD$10)&gt;=1000</formula>
    </cfRule>
  </conditionalFormatting>
  <conditionalFormatting sqref="AE5">
    <cfRule type="expression" dxfId="832" priority="5">
      <formula>ABS(AE$7-AE$10)&gt;=1000</formula>
    </cfRule>
  </conditionalFormatting>
  <conditionalFormatting sqref="T16">
    <cfRule type="expression" dxfId="831" priority="4">
      <formula>ABS(T$16-T$19)&gt;=1000</formula>
    </cfRule>
  </conditionalFormatting>
  <conditionalFormatting sqref="F14">
    <cfRule type="expression" dxfId="830" priority="3">
      <formula>ABS(F$16-F$19)&gt;=1000</formula>
    </cfRule>
  </conditionalFormatting>
  <conditionalFormatting sqref="R14">
    <cfRule type="expression" dxfId="829" priority="2">
      <formula>ABS(R$16-R$19)&gt;=1000</formula>
    </cfRule>
  </conditionalFormatting>
  <conditionalFormatting sqref="O23">
    <cfRule type="expression" dxfId="828" priority="1">
      <formula>ABS(O$25-O$28)&gt;=1000</formula>
    </cfRule>
  </conditionalFormatting>
  <dataValidations count="1">
    <dataValidation operator="greaterThanOrEqual" allowBlank="1" showErrorMessage="1" sqref="D6"/>
  </dataValidations>
  <printOptions horizontalCentered="1"/>
  <pageMargins left="0.39370078740157483" right="0.39370078740157483" top="0.39370078740157483" bottom="0.39370078740157483" header="0.51181102362204722" footer="0.51181102362204722"/>
  <pageSetup paperSize="9" scale="60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8577" r:id="rId4" name="Button 1">
              <controlPr defaultSize="0" print="0" autoFill="0" autoPict="0">
                <anchor moveWithCells="1">
                  <from>
                    <xdr:col>31</xdr:col>
                    <xdr:colOff>0</xdr:colOff>
                    <xdr:row>0</xdr:row>
                    <xdr:rowOff>342900</xdr:rowOff>
                  </from>
                  <to>
                    <xdr:col>32</xdr:col>
                    <xdr:colOff>411480</xdr:colOff>
                    <xdr:row>3</xdr:row>
                    <xdr:rowOff>30480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980">
    <pageSetUpPr fitToPage="1"/>
  </sheetPr>
  <dimension ref="A1:CU223"/>
  <sheetViews>
    <sheetView view="pageBreakPreview" zoomScale="85" zoomScaleNormal="100" zoomScaleSheetLayoutView="85" workbookViewId="0">
      <selection activeCell="Z23" sqref="Z23:AE29"/>
    </sheetView>
  </sheetViews>
  <sheetFormatPr defaultColWidth="8.109375" defaultRowHeight="25.8"/>
  <cols>
    <col min="1" max="1" width="11.6640625" style="64" customWidth="1" phonetic="1"/>
    <col min="2" max="2" width="7.6640625" style="64" customWidth="1" phonetic="1"/>
    <col min="3" max="3" width="8" style="64" customWidth="1" phonetic="1"/>
    <col min="4" max="8" width="7.6640625" style="64" customWidth="1" phonetic="1"/>
    <col min="9" max="9" width="8" style="64" customWidth="1" phonetic="1"/>
    <col min="10" max="12" width="7.6640625" style="64" customWidth="1" phonetic="1"/>
    <col min="13" max="13" width="7.77734375" style="64" bestFit="1" customWidth="1" phonetic="1"/>
    <col min="14" max="30" width="7.6640625" style="64" customWidth="1" phonetic="1"/>
    <col min="31" max="31" width="7.6640625" style="75" customWidth="1" phonetic="1"/>
    <col min="32" max="32" width="11.6640625" style="64" bestFit="1" customWidth="1" phonetic="1"/>
    <col min="33" max="33" width="22.109375" style="64" customWidth="1" phonetic="1"/>
    <col min="34" max="34" width="5.6640625" style="64" customWidth="1" phonetic="1"/>
    <col min="35" max="35" width="18.21875" style="64" customWidth="1" phonetic="1"/>
    <col min="36" max="36" width="12" style="64" bestFit="1" customWidth="1" phonetic="1"/>
    <col min="37" max="37" width="11.6640625" style="64" bestFit="1" customWidth="1" phonetic="1"/>
    <col min="38" max="38" width="5.6640625" style="64" customWidth="1" phonetic="1"/>
    <col min="39" max="39" width="11.44140625" style="64" bestFit="1" customWidth="1" phonetic="1"/>
    <col min="40" max="40" width="6.21875" style="64" customWidth="1" phonetic="1"/>
    <col min="41" max="41" width="8.6640625" style="64" customWidth="1" phonetic="1"/>
    <col min="42" max="42" width="11.21875" style="64" customWidth="1" phonetic="1"/>
    <col min="43" max="43" width="11.77734375" style="64" customWidth="1" phonetic="1"/>
    <col min="44" max="44" width="11.21875" style="64" customWidth="1" phonetic="1"/>
    <col min="45" max="45" width="11.21875" style="64" bestFit="1" customWidth="1" phonetic="1"/>
    <col min="46" max="46" width="41.77734375" style="64" customWidth="1" phonetic="1"/>
    <col min="47" max="47" width="7.77734375" style="64" customWidth="1" phonetic="1"/>
    <col min="48" max="48" width="17.109375" style="64" customWidth="1" phonetic="1"/>
    <col min="49" max="49" width="6.21875" style="64" customWidth="1" phonetic="1"/>
    <col min="50" max="50" width="10" style="64" customWidth="1" phonetic="1"/>
    <col min="51" max="51" width="6.21875" style="64" customWidth="1" phonetic="1"/>
    <col min="52" max="52" width="6.88671875" style="64" customWidth="1" phonetic="1"/>
    <col min="53" max="53" width="6.44140625" style="64" customWidth="1" phonetic="1"/>
    <col min="54" max="54" width="15.44140625" style="64" customWidth="1" phonetic="1"/>
    <col min="55" max="55" width="6.21875" style="64" customWidth="1" phonetic="1"/>
    <col min="56" max="56" width="22.109375" style="64" bestFit="1" customWidth="1" phonetic="1"/>
    <col min="57" max="57" width="6.44140625" style="64" customWidth="1" phonetic="1"/>
    <col min="58" max="60" width="6.21875" style="64" customWidth="1" phonetic="1"/>
    <col min="61" max="16384" width="8.109375" style="64" phonetic="1"/>
  </cols>
  <sheetData>
    <row r="1" spans="1:99" ht="31.2" ph="1">
      <c r="A1" s="64"/>
      <c r="B1" s="238" t="s" ph="1">
        <v>161</v>
      </c>
      <c r="C1" s="238" ph="1"/>
      <c r="D1" s="238" ph="1"/>
      <c r="E1" s="238" ph="1"/>
      <c r="F1" s="238" ph="1"/>
      <c r="G1" s="238" ph="1"/>
      <c r="H1" s="238" ph="1"/>
      <c r="I1" s="238" ph="1"/>
      <c r="J1" s="238" ph="1"/>
      <c r="K1" s="238" ph="1"/>
      <c r="L1" s="238" ph="1"/>
      <c r="M1" s="238" ph="1"/>
      <c r="N1" s="238" ph="1"/>
      <c r="O1" s="238" ph="1"/>
      <c r="P1" s="238" ph="1"/>
      <c r="Q1" s="238" ph="1"/>
      <c r="R1" s="238" ph="1"/>
      <c r="S1" s="238" ph="1"/>
      <c r="T1" s="238" ph="1"/>
      <c r="U1" s="238" ph="1"/>
      <c r="V1" s="238" ph="1"/>
      <c r="W1" s="238" ph="1"/>
      <c r="X1" s="238" ph="1"/>
      <c r="Y1" s="238" ph="1"/>
      <c r="Z1" s="238" ph="1"/>
      <c r="AA1" s="238" ph="1"/>
      <c r="AB1" s="238" ph="1"/>
      <c r="AC1" s="238" ph="1"/>
      <c r="AD1" s="238" ph="1"/>
      <c r="AE1" s="238" ph="1"/>
    </row>
    <row r="2" spans="1:99" s="66" customFormat="1" ht="24" customHeight="1" ph="1">
      <c r="B2" s="239" t="s" ph="1">
        <v>82</v>
      </c>
      <c r="C2" s="239" ph="1"/>
      <c r="D2" s="239" ph="1"/>
      <c r="E2" s="239" ph="1"/>
      <c r="F2" s="239" ph="1"/>
      <c r="G2" s="239" ph="1"/>
      <c r="H2" s="239" ph="1"/>
      <c r="I2" s="239" ph="1"/>
      <c r="J2" s="239" ph="1"/>
      <c r="K2" s="239" ph="1"/>
      <c r="L2" s="239" ph="1"/>
      <c r="M2" s="239" ph="1"/>
      <c r="N2" s="239" ph="1"/>
      <c r="O2" s="239" ph="1"/>
      <c r="P2" s="239" ph="1"/>
      <c r="Q2" s="239" ph="1"/>
      <c r="R2" s="239" ph="1"/>
      <c r="S2" s="239" ph="1"/>
      <c r="T2" s="239" ph="1"/>
      <c r="U2" s="239" ph="1"/>
      <c r="V2" s="239" ph="1"/>
      <c r="W2" s="239" ph="1"/>
      <c r="X2" s="239" ph="1"/>
      <c r="Y2" s="239" ph="1"/>
      <c r="Z2" s="239" ph="1"/>
      <c r="AA2" s="239" ph="1"/>
      <c r="AB2" s="239" ph="1"/>
      <c r="AC2" s="239" ph="1"/>
      <c r="AD2" s="239" ph="1"/>
      <c r="AE2" s="239" ph="1"/>
    </row>
    <row r="3" spans="1:99" ht="21" customHeight="1" ph="1">
      <c r="B3" s="240" ph="1">
        <v>46286</v>
      </c>
      <c r="C3" s="240"/>
      <c r="D3" s="240"/>
      <c r="E3" s="240"/>
      <c r="F3" s="240"/>
      <c r="G3" s="240"/>
      <c r="H3" s="240"/>
      <c r="I3" s="240"/>
      <c r="J3" s="240"/>
      <c r="K3" s="240"/>
      <c r="L3" s="240"/>
      <c r="M3" s="240"/>
      <c r="N3" s="240"/>
      <c r="O3" s="240"/>
      <c r="P3" s="240"/>
      <c r="Q3" s="240"/>
      <c r="R3" s="240"/>
      <c r="S3" s="240"/>
      <c r="T3" s="240"/>
      <c r="U3" s="240"/>
      <c r="V3" s="240"/>
      <c r="W3" s="240"/>
      <c r="X3" s="240"/>
      <c r="Y3" s="240"/>
      <c r="Z3" s="240"/>
      <c r="AA3" s="240"/>
      <c r="AB3" s="240"/>
      <c r="AC3" s="240"/>
      <c r="AD3" s="240"/>
      <c r="AE3" s="240"/>
    </row>
    <row r="4" spans="1:99" s="69" customFormat="1" ph="1">
      <c r="A4" s="65" ph="1"/>
      <c r="B4" s="219" t="s" ph="1">
        <v>37</v>
      </c>
      <c r="C4" s="67" t="s" ph="1">
        <v>176</v>
      </c>
      <c r="D4" s="68" t="s" ph="1">
        <v>44</v>
      </c>
      <c r="E4" s="68" t="s" ph="1">
        <v>45</v>
      </c>
      <c r="F4" s="68" t="s" ph="1">
        <v>39</v>
      </c>
      <c r="G4" s="68" t="s" ph="1">
        <v>46</v>
      </c>
      <c r="H4" s="68" t="s" ph="1">
        <v>47</v>
      </c>
      <c r="I4" s="68" t="s" ph="1">
        <v>110</v>
      </c>
      <c r="J4" s="68" t="s" ph="1">
        <v>48</v>
      </c>
      <c r="K4" s="68" t="s" ph="1">
        <v>111</v>
      </c>
      <c r="L4" s="68" t="s" ph="1">
        <v>112</v>
      </c>
      <c r="M4" s="68" t="s" ph="1">
        <v>49</v>
      </c>
      <c r="N4" s="68" t="s" ph="1">
        <v>50</v>
      </c>
      <c r="O4" s="68" t="s" ph="1">
        <v>113</v>
      </c>
      <c r="P4" s="68" t="s" ph="1">
        <v>114</v>
      </c>
      <c r="Q4" s="68" t="s" ph="1">
        <v>115</v>
      </c>
      <c r="R4" s="68" t="s" ph="1">
        <v>116</v>
      </c>
      <c r="S4" s="68" t="s" ph="1">
        <v>117</v>
      </c>
      <c r="T4" s="68" t="s" ph="1">
        <v>118</v>
      </c>
      <c r="U4" s="68" t="s" ph="1">
        <v>119</v>
      </c>
      <c r="V4" s="68" t="s" ph="1">
        <v>120</v>
      </c>
      <c r="W4" s="68" t="s" ph="1">
        <v>121</v>
      </c>
      <c r="X4" s="68" t="s" ph="1">
        <v>122</v>
      </c>
      <c r="Y4" s="68" t="s" ph="1">
        <v>123</v>
      </c>
      <c r="Z4" s="68" t="s" ph="1">
        <v>51</v>
      </c>
      <c r="AA4" s="68" t="s" ph="1">
        <v>124</v>
      </c>
      <c r="AB4" s="68" t="s" ph="1">
        <v>125</v>
      </c>
      <c r="AC4" s="68" t="s" ph="1">
        <v>126</v>
      </c>
      <c r="AD4" s="68" t="s" ph="1">
        <v>40</v>
      </c>
      <c r="AE4" s="68" t="s" ph="1">
        <v>127</v>
      </c>
      <c r="AF4" s="65" ph="1"/>
      <c r="AG4" s="65" ph="1"/>
      <c r="AH4" s="65" ph="1"/>
      <c r="AI4" s="65" ph="1"/>
      <c r="AJ4" s="65" ph="1"/>
      <c r="AK4" s="65" ph="1"/>
      <c r="AL4" s="65" ph="1"/>
      <c r="AM4" s="65" ph="1"/>
      <c r="AN4" s="65" ph="1"/>
      <c r="AO4" s="65" ph="1"/>
      <c r="AP4" s="65" ph="1"/>
      <c r="AQ4" s="65" ph="1"/>
      <c r="AR4" s="65" ph="1"/>
      <c r="AS4" s="65" ph="1"/>
      <c r="AT4" s="65" ph="1"/>
      <c r="AU4" s="65" ph="1"/>
      <c r="AV4" s="65" ph="1"/>
      <c r="AW4" s="65" ph="1"/>
      <c r="AX4" s="65" ph="1"/>
      <c r="AY4" s="65" ph="1"/>
      <c r="AZ4" s="65" ph="1"/>
      <c r="BA4" s="65" ph="1"/>
      <c r="BB4" s="65" ph="1"/>
      <c r="BC4" s="65" ph="1"/>
      <c r="BD4" s="65" ph="1"/>
      <c r="BE4" s="65" ph="1"/>
      <c r="BF4" s="65" ph="1"/>
      <c r="BG4" s="65" ph="1"/>
      <c r="BH4" s="65" ph="1"/>
      <c r="BI4" s="65" ph="1"/>
      <c r="BJ4" s="65" ph="1"/>
      <c r="BK4" s="65" ph="1"/>
      <c r="BL4" s="65" ph="1"/>
      <c r="BM4" s="65" ph="1"/>
      <c r="BN4" s="65" ph="1"/>
      <c r="BO4" s="65" ph="1"/>
      <c r="BP4" s="65" ph="1"/>
      <c r="BQ4" s="65" ph="1"/>
      <c r="BR4" s="65" ph="1"/>
      <c r="BS4" s="65" ph="1"/>
      <c r="BT4" s="65" ph="1"/>
      <c r="BU4" s="65" ph="1"/>
      <c r="BV4" s="65" ph="1"/>
      <c r="BW4" s="65" ph="1"/>
      <c r="BX4" s="65" ph="1"/>
      <c r="BY4" s="65" ph="1"/>
      <c r="BZ4" s="65" ph="1"/>
      <c r="CA4" s="65" ph="1"/>
      <c r="CB4" s="65" ph="1"/>
      <c r="CC4" s="65" ph="1"/>
      <c r="CD4" s="65" ph="1"/>
      <c r="CE4" s="65" ph="1"/>
      <c r="CF4" s="65" ph="1"/>
      <c r="CG4" s="65" ph="1"/>
      <c r="CH4" s="65" ph="1"/>
      <c r="CI4" s="65" ph="1"/>
      <c r="CJ4" s="65" ph="1"/>
      <c r="CK4" s="65" ph="1"/>
      <c r="CL4" s="65" ph="1"/>
      <c r="CM4" s="65" ph="1"/>
      <c r="CN4" s="65" ph="1"/>
      <c r="CO4" s="65" ph="1"/>
      <c r="CP4" s="65" ph="1"/>
      <c r="CQ4" s="65" ph="1"/>
      <c r="CR4" s="65" ph="1"/>
      <c r="CS4" s="65" ph="1"/>
      <c r="CT4" s="65" ph="1"/>
      <c r="CU4" s="65" ph="1"/>
    </row>
    <row r="5" spans="1:99" s="69" customFormat="1" ht="29.25" customHeight="1" ph="1">
      <c r="A5" s="65" ph="1"/>
      <c r="B5" s="219" ph="1"/>
      <c r="C5" s="67" t="s" ph="1">
        <v>36</v>
      </c>
      <c r="D5" s="70" t="s" ph="1">
        <v>160</v>
      </c>
      <c r="E5" s="142" t="s" ph="1">
        <v>642</v>
      </c>
      <c r="F5" s="142" t="s" ph="1">
        <v>1</v>
      </c>
      <c r="G5" s="142" t="s" ph="1">
        <v>7</v>
      </c>
      <c r="H5" s="142" t="s" ph="1">
        <v>7</v>
      </c>
      <c r="I5" s="141" t="s" ph="1">
        <v>608</v>
      </c>
      <c r="J5" s="141" t="s" ph="1">
        <v>609</v>
      </c>
      <c r="K5" s="141" t="s" ph="1">
        <v>611</v>
      </c>
      <c r="L5" s="141" t="s" ph="1">
        <v>613</v>
      </c>
      <c r="M5" s="141" t="s" ph="1">
        <v>608</v>
      </c>
      <c r="N5" s="70" t="s" ph="1">
        <v>609</v>
      </c>
      <c r="O5" s="70" t="s" ph="1">
        <v>611</v>
      </c>
      <c r="P5" s="70" t="s" ph="1">
        <v>613</v>
      </c>
      <c r="Q5" s="70" t="s" ph="1">
        <v>607</v>
      </c>
      <c r="R5" s="70" t="s" ph="1">
        <v>607</v>
      </c>
      <c r="S5" s="70" t="s" ph="1">
        <v>607</v>
      </c>
      <c r="T5" s="70" t="s" ph="1">
        <v>607</v>
      </c>
      <c r="U5" s="70" t="s" ph="1">
        <v>607</v>
      </c>
      <c r="V5" s="70" t="s" ph="1">
        <v>607</v>
      </c>
      <c r="W5" s="70" t="s" ph="1">
        <v>607</v>
      </c>
      <c r="X5" s="70" t="s" ph="1">
        <v>607</v>
      </c>
      <c r="Y5" s="70" t="s" ph="1">
        <v>607</v>
      </c>
      <c r="Z5" s="70" t="s" ph="1">
        <v>614</v>
      </c>
      <c r="AA5" s="70" t="s" ph="1">
        <v>54</v>
      </c>
      <c r="AB5" s="70" t="s" ph="1">
        <v>54</v>
      </c>
      <c r="AC5" s="70" t="s" ph="1">
        <v>615</v>
      </c>
      <c r="AD5" s="71" t="s">
        <v>72</v>
      </c>
      <c r="AE5" s="71" t="s">
        <v>635</v>
      </c>
      <c r="AF5" s="65" ph="1"/>
      <c r="AG5" s="65" ph="1"/>
      <c r="AH5" s="65" ph="1"/>
      <c r="AI5" s="65" ph="1"/>
      <c r="AJ5" s="65" ph="1"/>
      <c r="AK5" s="65" ph="1"/>
      <c r="AL5" s="65" ph="1"/>
      <c r="AM5" s="65" ph="1"/>
      <c r="AN5" s="65" ph="1"/>
      <c r="AO5" s="65" ph="1"/>
      <c r="AP5" s="65" ph="1"/>
      <c r="AQ5" s="65" ph="1"/>
      <c r="AR5" s="65" ph="1"/>
      <c r="AS5" s="65" ph="1"/>
      <c r="AT5" s="65" ph="1"/>
      <c r="AU5" s="65" ph="1"/>
      <c r="AV5" s="65" ph="1"/>
      <c r="AW5" s="65" ph="1"/>
      <c r="AX5" s="65" ph="1"/>
      <c r="AY5" s="65" ph="1"/>
      <c r="AZ5" s="65" ph="1"/>
      <c r="BA5" s="65" ph="1"/>
      <c r="BB5" s="65" ph="1"/>
      <c r="BC5" s="65" ph="1"/>
      <c r="BD5" s="65" ph="1"/>
      <c r="BE5" s="65" ph="1"/>
      <c r="BF5" s="65" ph="1"/>
      <c r="BG5" s="65" ph="1"/>
      <c r="BH5" s="65" ph="1"/>
      <c r="BI5" s="65" ph="1"/>
      <c r="BJ5" s="65" ph="1"/>
      <c r="BK5" s="65" ph="1"/>
      <c r="BL5" s="65" ph="1"/>
      <c r="BM5" s="65" ph="1"/>
      <c r="BN5" s="65" ph="1"/>
      <c r="BO5" s="65" ph="1"/>
      <c r="BP5" s="65" ph="1"/>
      <c r="BQ5" s="65" ph="1"/>
      <c r="BR5" s="65" ph="1"/>
      <c r="BS5" s="65" ph="1"/>
      <c r="BT5" s="65" ph="1"/>
      <c r="BU5" s="65" ph="1"/>
      <c r="BV5" s="65" ph="1"/>
      <c r="BW5" s="65" ph="1"/>
      <c r="BX5" s="65" ph="1"/>
      <c r="BY5" s="65" ph="1"/>
      <c r="BZ5" s="65" ph="1"/>
      <c r="CA5" s="65" ph="1"/>
      <c r="CB5" s="65" ph="1"/>
      <c r="CC5" s="65" ph="1"/>
      <c r="CD5" s="65" ph="1"/>
      <c r="CE5" s="65" ph="1"/>
      <c r="CF5" s="65" ph="1"/>
      <c r="CG5" s="65" ph="1"/>
      <c r="CH5" s="65" ph="1"/>
      <c r="CI5" s="65" ph="1"/>
      <c r="CJ5" s="65" ph="1"/>
      <c r="CK5" s="65" ph="1"/>
      <c r="CL5" s="65" ph="1"/>
      <c r="CM5" s="65" ph="1"/>
      <c r="CN5" s="65" ph="1"/>
      <c r="CO5" s="65" ph="1"/>
      <c r="CP5" s="65" ph="1"/>
      <c r="CQ5" s="65" ph="1"/>
      <c r="CR5" s="65" ph="1"/>
      <c r="CS5" s="65" ph="1"/>
      <c r="CT5" s="65" ph="1"/>
      <c r="CU5" s="65" ph="1"/>
    </row>
    <row r="6" spans="1:99" ph="1">
      <c r="B6" s="237" ph="1">
        <v>0.33333333333333331</v>
      </c>
      <c r="C6" s="155" t="s" ph="1">
        <v>177</v>
      </c>
      <c r="D6" s="71">
        <v>3879</v>
      </c>
      <c r="E6" s="71">
        <v>3444</v>
      </c>
      <c r="F6" s="71">
        <v>3184</v>
      </c>
      <c r="G6" s="71">
        <v>10</v>
      </c>
      <c r="H6" s="71">
        <v>6268</v>
      </c>
      <c r="I6" s="71">
        <v>4.5</v>
      </c>
      <c r="J6" s="71">
        <v>6.65</v>
      </c>
      <c r="K6" s="71">
        <v>7.24</v>
      </c>
      <c r="L6" s="71">
        <v>6.99</v>
      </c>
      <c r="M6" s="71">
        <v>3232</v>
      </c>
      <c r="N6" s="71">
        <v>1518</v>
      </c>
      <c r="O6" s="71">
        <v>5307</v>
      </c>
      <c r="P6" s="71">
        <v>6964</v>
      </c>
      <c r="Q6" s="71">
        <v>5714</v>
      </c>
      <c r="R6" s="71">
        <v>5283</v>
      </c>
      <c r="S6" s="71">
        <v>0</v>
      </c>
      <c r="T6" s="71">
        <v>0</v>
      </c>
      <c r="U6" s="71">
        <v>0</v>
      </c>
      <c r="V6" s="71">
        <v>0</v>
      </c>
      <c r="W6" s="71">
        <v>7077</v>
      </c>
      <c r="X6" s="71">
        <v>5515</v>
      </c>
      <c r="Y6" s="71">
        <v>7060</v>
      </c>
      <c r="Z6" s="71">
        <v>5985</v>
      </c>
      <c r="AA6" s="71">
        <v>1273</v>
      </c>
      <c r="AB6" s="71">
        <v>740</v>
      </c>
      <c r="AC6" s="71">
        <v>6908</v>
      </c>
      <c r="AD6" s="71">
        <v>5110</v>
      </c>
      <c r="AE6" s="71">
        <v>5545</v>
      </c>
    </row>
    <row r="7" spans="1:99" s="72" customFormat="1" ht="22.2" ph="1">
      <c r="B7" s="237" ph="1"/>
      <c r="C7" s="68" t="s" ph="1">
        <v>178</v>
      </c>
      <c r="D7" s="73" ph="1">
        <f>D6*33.183*LOOKUP(D8,密度!$A$2:$A$50,密度!$Q$2:$Q$50)</f>
        <v>121499.70282801001</v>
      </c>
      <c r="E7" s="73" ph="1">
        <f>E6*51.53*LOOKUP(E8,密度!$A$2:$A$50,密度!$B$2:$B$50)</f>
        <v>138195.35948399999</v>
      </c>
      <c r="F7" s="73" ph="1">
        <f>F6*33.183*LOOKUP(F8,密度!$A$2:$A$50,密度!$C$2:$C$50)</f>
        <v>117075.94204320002</v>
      </c>
      <c r="G7" s="73" ph="1">
        <f xml:space="preserve"> (G6+2)*51.53*LOOKUP(G8,密度!$A$2:$A$50,密度!$B$2:$B$50)</f>
        <v>481.516932</v>
      </c>
      <c r="H7" s="73" ph="1">
        <f>(H6)*51.53*LOOKUP(H8,密度!$A$2:$A$50,密度!$B$2:$B$50)</f>
        <v>251512.34414799997</v>
      </c>
      <c r="I7" s="73" ph="1">
        <f>I6*290.8*1.0267</f>
        <v>1343.53962</v>
      </c>
      <c r="J7" s="73" ph="1">
        <f>J6*290.8*0.7892</f>
        <v>1526.1707440000002</v>
      </c>
      <c r="K7" s="73" ph="1">
        <f>K6*290.8*1.1126</f>
        <v>2342.4591392000002</v>
      </c>
      <c r="L7" s="73" ph="1">
        <f>L6*290.8*0.777</f>
        <v>1579.4016840000002</v>
      </c>
      <c r="M7" s="73" ph="1">
        <f>M6*33.183*LOOKUP(M8,密度!$A$2:$A$50,密度!$D$2:$D$50)</f>
        <v>109907.1929088</v>
      </c>
      <c r="N7" s="73" ph="1">
        <f>N6*33.183*LOOKUP(N8,密度!$A$2:$A$50,密度!$E$2:$E$50)</f>
        <v>39279.924961200006</v>
      </c>
      <c r="O7" s="73" ph="1">
        <f>O6*20.428*LOOKUP(O8,密度!$A$2:$A$50,密度!$C$2:$C$50)</f>
        <v>119577.76978800001</v>
      </c>
      <c r="P7" s="73" ph="1">
        <f>P6*51.53*LOOKUP(P8,密度!$A$2:$A$50,密度!$B$2:$B$50)</f>
        <v>279440.32620399998</v>
      </c>
      <c r="Q7" s="73" ph="1">
        <f>Q6*1.5*1.5*3.1416*LOOKUP(W8,密度!$A$2:$A$50,密度!$L$2:$L$50)</f>
        <v>37764.631674000004</v>
      </c>
      <c r="R7" s="73" ph="1">
        <f>R6*1.5*1.5*3.1416*LOOKUP(R8,密度!$A$2:$A$50,密度!$L$2:$L$50)</f>
        <v>34654.688006400007</v>
      </c>
      <c r="S7" s="73" ph="1">
        <f>S6*1.5*1.5*3.1416*LOOKUP(S8,密度!$A$2:$A$50,密度!$L$2:$L$50)</f>
        <v>0</v>
      </c>
      <c r="T7" s="73" ph="1">
        <f>T6*1.5*1.5*3.1416*LOOKUP(T8,密度!$A$2:$A$50,密度!$L$2:$L$50)</f>
        <v>0</v>
      </c>
      <c r="U7" s="73" ph="1">
        <f>U6*1.5*1.5*3.1416*LOOKUP(U8,密度!$A$2:$A$50,密度!$L$2:$L$50)</f>
        <v>0</v>
      </c>
      <c r="V7" s="73" ph="1">
        <f>V6*1.5*1.5*3.1416*LOOKUP(V8,密度!$A$2:$A$50,密度!$L$2:$L$50)</f>
        <v>0</v>
      </c>
      <c r="W7" s="73" ph="1">
        <f>W6*1.5*1.5*3.1416*LOOKUP(W8,密度!$A$2:$A$50,密度!$L$2:$L$50)</f>
        <v>46772.890856999999</v>
      </c>
      <c r="X7" s="73" ph="1">
        <f>X6*1.5*1.5*3.1416*LOOKUP(X8,密度!$A$2:$A$50,密度!$L$2:$L$50)</f>
        <v>36761.279246999999</v>
      </c>
      <c r="Y7" s="73" ph="1">
        <f>Y6*1.5*1.5*3.1416*LOOKUP(Y8,密度!$A$2:$A$50,密度!$L$2:$L$50)</f>
        <v>46660.535459999999</v>
      </c>
      <c r="Z7" s="73" ph="1">
        <f>Z6*33.183*LOOKUP(Z8,密度!$A$2:$A$50,密度!$L$2:$L$50)</f>
        <v>186287.03918999998</v>
      </c>
      <c r="AA7" s="73" ph="1">
        <f>AA6*33.183*LOOKUP(AA8,密度!$A$2:$A$50,密度!$D$2:$D$50)</f>
        <v>43289.559583199996</v>
      </c>
      <c r="AB7" s="73" ph="1">
        <f>AB6*20.428*LOOKUP(AB8,密度!$A$2:$A$50,密度!$D$2:$D$50)</f>
        <v>15533.941472000002</v>
      </c>
      <c r="AC7" s="73" ph="1">
        <f>AC6*51.53*LOOKUP(AC8,密度!$A$2:$A$50,密度!$Q$2:$Q$50)</f>
        <v>336504.84195680002</v>
      </c>
      <c r="AD7" s="73" ph="1">
        <f>AD6*20.428*LOOKUP(AD8,密度!$A$2:$A$50,密度!$V$2:$V$50)</f>
        <v>99961.067808000007</v>
      </c>
      <c r="AE7" s="73" ph="1">
        <f>AE6*20.428</f>
        <v>113273.26000000001</v>
      </c>
    </row>
    <row r="8" spans="1:99" ph="1">
      <c r="B8" s="237" ph="1"/>
      <c r="C8" s="68" t="s" ph="1">
        <v>179</v>
      </c>
      <c r="D8" s="74">
        <v>29</v>
      </c>
      <c r="E8" s="74">
        <v>26</v>
      </c>
      <c r="F8" s="74">
        <v>26</v>
      </c>
      <c r="G8" s="74">
        <v>26</v>
      </c>
      <c r="H8" s="74">
        <v>26</v>
      </c>
      <c r="I8" s="74">
        <v>25</v>
      </c>
      <c r="J8" s="74">
        <v>25</v>
      </c>
      <c r="K8" s="74">
        <v>25</v>
      </c>
      <c r="L8" s="74">
        <v>25</v>
      </c>
      <c r="M8" s="74">
        <v>27</v>
      </c>
      <c r="N8" s="74">
        <v>28</v>
      </c>
      <c r="O8" s="74">
        <v>32</v>
      </c>
      <c r="P8" s="74">
        <v>26</v>
      </c>
      <c r="Q8" s="74">
        <v>31</v>
      </c>
      <c r="R8" s="74">
        <v>34</v>
      </c>
      <c r="S8" s="74">
        <v>27</v>
      </c>
      <c r="T8" s="74">
        <v>22</v>
      </c>
      <c r="U8" s="74">
        <v>26</v>
      </c>
      <c r="V8" s="74">
        <v>27</v>
      </c>
      <c r="W8" s="74">
        <v>27</v>
      </c>
      <c r="X8" s="74">
        <v>19</v>
      </c>
      <c r="Y8" s="74">
        <v>27</v>
      </c>
      <c r="Z8" s="74">
        <v>24</v>
      </c>
      <c r="AA8" s="74">
        <v>27</v>
      </c>
      <c r="AB8" s="74">
        <v>24</v>
      </c>
      <c r="AC8" s="74">
        <v>27</v>
      </c>
      <c r="AD8" s="74">
        <v>26</v>
      </c>
      <c r="AE8" s="74">
        <v>28</v>
      </c>
    </row>
    <row r="9" spans="1:99" ht="26.4" ph="1">
      <c r="B9" s="237" ph="1">
        <v>0.66666666666666663</v>
      </c>
      <c r="C9" s="155" t="s" ph="1">
        <v>180</v>
      </c>
      <c r="D9" s="71">
        <v>3325</v>
      </c>
      <c r="E9" s="71">
        <v>3441</v>
      </c>
      <c r="F9" s="71">
        <v>3187</v>
      </c>
      <c r="G9" s="71">
        <v>890</v>
      </c>
      <c r="H9" s="71">
        <v>5986</v>
      </c>
      <c r="I9" s="71">
        <v>4.49</v>
      </c>
      <c r="J9" s="71">
        <v>6.69</v>
      </c>
      <c r="K9" s="71">
        <v>58.69</v>
      </c>
      <c r="L9" s="71">
        <v>6.56</v>
      </c>
      <c r="M9" s="71">
        <v>3232</v>
      </c>
      <c r="N9" s="71">
        <v>1346</v>
      </c>
      <c r="O9" s="71">
        <v>5307</v>
      </c>
      <c r="P9" s="71">
        <v>6894</v>
      </c>
      <c r="Q9" s="71">
        <v>7122</v>
      </c>
      <c r="R9" s="71">
        <v>6083</v>
      </c>
      <c r="S9" s="71">
        <v>2891</v>
      </c>
      <c r="T9" s="71">
        <v>0</v>
      </c>
      <c r="U9" s="71">
        <v>0</v>
      </c>
      <c r="V9" s="71">
        <v>0</v>
      </c>
      <c r="W9" s="71">
        <v>7086</v>
      </c>
      <c r="X9" s="71">
        <v>5521</v>
      </c>
      <c r="Y9" s="71">
        <v>7071</v>
      </c>
      <c r="Z9" s="71">
        <v>2933</v>
      </c>
      <c r="AA9" s="71">
        <v>1218</v>
      </c>
      <c r="AB9" s="71">
        <v>660</v>
      </c>
      <c r="AC9" s="71">
        <v>7256</v>
      </c>
      <c r="AD9" s="71">
        <v>4172</v>
      </c>
      <c r="AE9" s="71">
        <v>5538</v>
      </c>
    </row>
    <row r="10" spans="1:99" s="72" customFormat="1" ht="22.2" ph="1">
      <c r="B10" s="237" ph="1"/>
      <c r="C10" s="155" t="s" ph="1">
        <v>178</v>
      </c>
      <c r="D10" s="73" ph="1">
        <f>D9*33.183*LOOKUP(D11,密度!$A$2:$A$50,密度!$Q$2:$Q$50)</f>
        <v>104080.87697175001</v>
      </c>
      <c r="E10" s="73" ph="1">
        <f>E9*51.53*LOOKUP(E11,密度!$A$2:$A$50,密度!$B$2:$B$50)</f>
        <v>137472.11016899999</v>
      </c>
      <c r="F10" s="73" ph="1">
        <f>F9*33.183*LOOKUP(F11,密度!$A$2:$A$50,密度!$C$2:$C$50)</f>
        <v>117112.22433539999</v>
      </c>
      <c r="G10" s="73" ph="1">
        <f xml:space="preserve"> (G9+2)*51.53*LOOKUP(G11,密度!$A$2:$A$50,密度!$B$2:$B$50)</f>
        <v>35553.741860000002</v>
      </c>
      <c r="H10" s="73" ph="1">
        <f>(H9)*51.53*LOOKUP(H11,密度!$A$2:$A$50,密度!$B$2:$B$50)</f>
        <v>239147.93707400002</v>
      </c>
      <c r="I10" s="73" ph="1">
        <f>I9*290.8*1.0267</f>
        <v>1340.5539764</v>
      </c>
      <c r="J10" s="73" ph="1">
        <f>J9*290.8*0.7892</f>
        <v>1535.3507184000002</v>
      </c>
      <c r="K10" s="73" ph="1">
        <f>K9*290.8*1.1126</f>
        <v>18988.802055200002</v>
      </c>
      <c r="L10" s="73" ph="1">
        <f>L9*290.8*0.777</f>
        <v>1482.2424960000001</v>
      </c>
      <c r="M10" s="73" ph="1">
        <f>M9*33.183*LOOKUP(M11,密度!$A$2:$A$50,密度!$D$2:$D$50)</f>
        <v>109606.90003200001</v>
      </c>
      <c r="N10" s="73" ph="1">
        <f>N9*33.183*LOOKUP(N11,密度!$A$2:$A$50,密度!$E$2:$E$50)</f>
        <v>34730.9736768</v>
      </c>
      <c r="O10" s="73" ph="1">
        <f>O9*20.428*LOOKUP(O11,密度!$A$2:$A$50,密度!$C$2:$C$50)</f>
        <v>119241.69446040002</v>
      </c>
      <c r="P10" s="73" ph="1">
        <f>P9*51.53*LOOKUP(P11,密度!$A$2:$A$50,密度!$B$2:$B$50)</f>
        <v>275743.357884</v>
      </c>
      <c r="Q10" s="73" ph="1">
        <f>Q9*1.5*1.5*3.1416*LOOKUP(W11,密度!$A$2:$A$50,密度!$L$2:$L$50)</f>
        <v>46919.274494400001</v>
      </c>
      <c r="R10" s="73" ph="1">
        <f>R9*1.5*1.5*3.1416*LOOKUP(R11,密度!$A$2:$A$50,密度!$L$2:$L$50)</f>
        <v>39859.418352599998</v>
      </c>
      <c r="S10" s="73" ph="1">
        <f>S9*1.5*1.5*3.1416*LOOKUP(S11,密度!$A$2:$A$50,密度!$L$2:$L$50)</f>
        <v>19147.897276200001</v>
      </c>
      <c r="T10" s="73" ph="1">
        <f>T9*1.5*1.5*3.1416*LOOKUP(T11,密度!$A$2:$A$50,密度!$L$2:$L$50)</f>
        <v>0</v>
      </c>
      <c r="U10" s="73" ph="1">
        <f>U9*1.5*1.5*3.1416*LOOKUP(U11,密度!$A$2:$A$50,密度!$L$2:$L$50)</f>
        <v>0</v>
      </c>
      <c r="V10" s="73" ph="1">
        <f>V9*1.5*1.5*3.1416*LOOKUP(V11,密度!$A$2:$A$50,密度!$L$2:$L$50)</f>
        <v>0</v>
      </c>
      <c r="W10" s="73" ph="1">
        <f>W9*1.5*1.5*3.1416*LOOKUP(W11,密度!$A$2:$A$50,密度!$L$2:$L$50)</f>
        <v>46682.108827200005</v>
      </c>
      <c r="X10" s="73" ph="1">
        <f>X9*1.5*1.5*3.1416*LOOKUP(X11,密度!$A$2:$A$50,密度!$L$2:$L$50)</f>
        <v>36723.221904599995</v>
      </c>
      <c r="Y10" s="73" ph="1">
        <f>Y9*1.5*1.5*3.1416*LOOKUP(Y11,密度!$A$2:$A$50,密度!$L$2:$L$50)</f>
        <v>46733.236011000001</v>
      </c>
      <c r="Z10" s="73" ph="1">
        <f>Z9*33.183*LOOKUP(Z11,密度!$A$2:$A$50,密度!$L$2:$L$50)</f>
        <v>91291.543181999994</v>
      </c>
      <c r="AA10" s="73" ph="1">
        <f>AA9*33.183*LOOKUP(AA11,密度!$A$2:$A$50,密度!$D$2:$D$50)</f>
        <v>41306.065668000003</v>
      </c>
      <c r="AB10" s="73" ph="1">
        <f>AB9*20.428*LOOKUP(AB11,密度!$A$2:$A$50,密度!$D$2:$D$50)</f>
        <v>13779.094560000001</v>
      </c>
      <c r="AC10" s="73" ph="1">
        <f>AC9*51.53*LOOKUP(AC11,密度!$A$2:$A$50,密度!$Q$2:$Q$50)</f>
        <v>352432.24553439999</v>
      </c>
      <c r="AD10" s="73" ph="1">
        <f>AD9*20.428*LOOKUP(AD11,密度!$A$2:$A$50,密度!$V$2:$V$50)</f>
        <v>81612.049881600004</v>
      </c>
      <c r="AE10" s="73" ph="1">
        <f>AE9*20.428</f>
        <v>113130.26400000001</v>
      </c>
    </row>
    <row r="11" spans="1:99" ph="1">
      <c r="A11" s="64" t="s" ph="1">
        <v>162</v>
      </c>
      <c r="B11" s="237" ph="1"/>
      <c r="C11" s="155" t="s" ph="1">
        <v>179</v>
      </c>
      <c r="D11" s="74">
        <v>30</v>
      </c>
      <c r="E11" s="74">
        <v>30</v>
      </c>
      <c r="F11" s="74">
        <v>27</v>
      </c>
      <c r="G11" s="74">
        <v>32</v>
      </c>
      <c r="H11" s="74">
        <v>30</v>
      </c>
      <c r="I11" s="74">
        <v>25</v>
      </c>
      <c r="J11" s="74">
        <v>25</v>
      </c>
      <c r="K11" s="74">
        <v>25</v>
      </c>
      <c r="L11" s="74">
        <v>25</v>
      </c>
      <c r="M11" s="74">
        <v>30</v>
      </c>
      <c r="N11" s="74">
        <v>30</v>
      </c>
      <c r="O11" s="74">
        <v>35</v>
      </c>
      <c r="P11" s="74">
        <v>29</v>
      </c>
      <c r="Q11" s="74">
        <v>33</v>
      </c>
      <c r="R11" s="74">
        <v>35</v>
      </c>
      <c r="S11" s="74">
        <v>25</v>
      </c>
      <c r="T11" s="74">
        <v>33</v>
      </c>
      <c r="U11" s="74">
        <v>30</v>
      </c>
      <c r="V11" s="74">
        <v>27</v>
      </c>
      <c r="W11" s="74">
        <v>30</v>
      </c>
      <c r="X11" s="74">
        <v>21</v>
      </c>
      <c r="Y11" s="74">
        <v>27</v>
      </c>
      <c r="Z11" s="74">
        <v>24</v>
      </c>
      <c r="AA11" s="74">
        <v>30</v>
      </c>
      <c r="AB11" s="74">
        <v>30</v>
      </c>
      <c r="AC11" s="74">
        <v>31</v>
      </c>
      <c r="AD11" s="74">
        <v>29</v>
      </c>
      <c r="AE11" s="74">
        <v>30</v>
      </c>
    </row>
    <row r="12" spans="1:99" ht="9.9" customHeight="1" ph="1"/>
    <row r="13" spans="1:99" s="72" customFormat="1" ht="29.25" customHeight="1" ph="1">
      <c r="B13" s="214" t="s" ph="1">
        <v>37</v>
      </c>
      <c r="C13" s="155" t="s" ph="1">
        <v>176</v>
      </c>
      <c r="D13" s="76" t="s" ph="1">
        <v>52</v>
      </c>
      <c r="E13" s="76" t="s" ph="1">
        <v>53</v>
      </c>
      <c r="F13" s="76" t="s" ph="1">
        <v>57</v>
      </c>
      <c r="G13" s="76" t="s" ph="1">
        <v>58</v>
      </c>
      <c r="H13" s="76" t="s" ph="1">
        <v>128</v>
      </c>
      <c r="I13" s="76" t="s" ph="1">
        <v>59</v>
      </c>
      <c r="J13" s="76" t="s" ph="1">
        <v>129</v>
      </c>
      <c r="K13" s="76" t="s" ph="1">
        <v>55</v>
      </c>
      <c r="L13" s="76" t="s" ph="1">
        <v>60</v>
      </c>
      <c r="M13" s="76" t="s" ph="1">
        <v>61</v>
      </c>
      <c r="N13" s="76" t="s" ph="1">
        <v>130</v>
      </c>
      <c r="O13" s="76" t="s" ph="1">
        <v>56</v>
      </c>
      <c r="P13" s="76" t="s" ph="1">
        <v>62</v>
      </c>
      <c r="Q13" s="76" t="s" ph="1">
        <v>63</v>
      </c>
      <c r="R13" s="76" t="s" ph="1">
        <v>64</v>
      </c>
      <c r="S13" s="76" t="s" ph="1">
        <v>65</v>
      </c>
      <c r="T13" s="76" t="s" ph="1">
        <v>66</v>
      </c>
      <c r="U13" s="76" t="s" ph="1">
        <v>67</v>
      </c>
      <c r="V13" s="76" t="s" ph="1">
        <v>131</v>
      </c>
      <c r="W13" s="76" t="s" ph="1">
        <v>132</v>
      </c>
      <c r="X13" s="76" t="s" ph="1">
        <v>133</v>
      </c>
      <c r="Y13" s="105" t="s" ph="1">
        <v>68</v>
      </c>
      <c r="Z13" s="76" t="s" ph="1">
        <v>74</v>
      </c>
      <c r="AA13" s="76" t="s" ph="1">
        <v>134</v>
      </c>
      <c r="AB13" s="76" t="s" ph="1">
        <v>135</v>
      </c>
      <c r="AC13" s="76" t="s" ph="1">
        <v>136</v>
      </c>
      <c r="AD13" s="76" t="s" ph="1">
        <v>137</v>
      </c>
      <c r="AE13" s="76" t="s" ph="1">
        <v>138</v>
      </c>
      <c r="AG13" s="72" t="s" ph="1">
        <v>325</v>
      </c>
      <c r="AH13" s="72" t="s" ph="1">
        <v>188</v>
      </c>
      <c r="AI13" s="72" t="s" ph="1">
        <v>189</v>
      </c>
      <c r="AJ13" s="72" t="s" ph="1">
        <v>190</v>
      </c>
      <c r="AK13" s="72" t="s" ph="1">
        <v>191</v>
      </c>
      <c r="AL13" s="72" t="s" ph="1">
        <v>192</v>
      </c>
      <c r="AM13" s="72" t="s" ph="1">
        <v>193</v>
      </c>
      <c r="AN13" s="72" t="s" ph="1">
        <v>194</v>
      </c>
      <c r="AO13" s="72" t="s" ph="1">
        <v>195</v>
      </c>
      <c r="AP13" s="72" t="s" ph="1">
        <v>196</v>
      </c>
      <c r="AQ13" s="72" t="s" ph="1">
        <v>197</v>
      </c>
      <c r="AR13" s="72" t="s" ph="1">
        <v>198</v>
      </c>
      <c r="AS13" s="72" t="s" ph="1">
        <v>199</v>
      </c>
      <c r="AT13" s="72" t="s" ph="1">
        <v>200</v>
      </c>
      <c r="AU13" s="72" t="s" ph="1">
        <v>201</v>
      </c>
      <c r="AV13" s="72" t="s" ph="1">
        <v>202</v>
      </c>
      <c r="AW13" s="72" t="s" ph="1">
        <v>203</v>
      </c>
      <c r="AX13" s="72" t="s" ph="1">
        <v>204</v>
      </c>
      <c r="AY13" s="72" t="s" ph="1">
        <v>326</v>
      </c>
      <c r="AZ13" s="72" t="s" ph="1">
        <v>205</v>
      </c>
      <c r="BA13" s="72" t="s" ph="1">
        <v>206</v>
      </c>
      <c r="BB13" s="72" t="s" ph="1">
        <v>591</v>
      </c>
      <c r="BC13" s="72" t="s" ph="1">
        <v>207</v>
      </c>
      <c r="BD13" s="72" t="s" ph="1">
        <v>327</v>
      </c>
      <c r="BE13" s="72" t="s" ph="1">
        <v>328</v>
      </c>
      <c r="BF13" s="72" t="s" ph="1">
        <v>329</v>
      </c>
      <c r="BG13" s="72" t="s" ph="1">
        <v>330</v>
      </c>
      <c r="BH13" s="72" t="s" ph="1">
        <v>331</v>
      </c>
    </row>
    <row r="14" spans="1:99" s="72" customFormat="1" ht="24" ph="1">
      <c r="B14" s="215" ph="1"/>
      <c r="C14" s="67" t="s" ph="1">
        <v>36</v>
      </c>
      <c r="D14" s="77" t="s" ph="1">
        <v>616</v>
      </c>
      <c r="E14" s="77" t="s" ph="1">
        <v>616</v>
      </c>
      <c r="F14" s="77" t="s" ph="1">
        <v>639</v>
      </c>
      <c r="G14" s="77" t="s" ph="1">
        <v>617</v>
      </c>
      <c r="H14" s="77" t="s" ph="1">
        <v>636</v>
      </c>
      <c r="I14" s="138" t="s" ph="1">
        <v>618</v>
      </c>
      <c r="J14" s="77" t="s" ph="1">
        <v>619</v>
      </c>
      <c r="K14" s="77" t="s" ph="1">
        <v>186</v>
      </c>
      <c r="L14" s="77" t="s" ph="1">
        <v>41</v>
      </c>
      <c r="M14" s="104" t="s" ph="1">
        <v>620</v>
      </c>
      <c r="N14" s="104" t="s" ph="1">
        <v>621</v>
      </c>
      <c r="O14" s="104" t="s" ph="1">
        <v>637</v>
      </c>
      <c r="P14" s="77" t="s" ph="1">
        <v>622</v>
      </c>
      <c r="Q14" s="77" t="s" ph="1">
        <v>622</v>
      </c>
      <c r="R14" s="77" t="s" ph="1">
        <v>622</v>
      </c>
      <c r="S14" s="77" t="s" ph="1">
        <v>622</v>
      </c>
      <c r="T14" s="77" t="s" ph="1">
        <v>624</v>
      </c>
      <c r="U14" s="77" t="s" ph="1">
        <v>605</v>
      </c>
      <c r="V14" s="77" t="s" ph="1">
        <v>633</v>
      </c>
      <c r="W14" s="77" t="s" ph="1">
        <v>622</v>
      </c>
      <c r="X14" s="77" t="s" ph="1">
        <v>625</v>
      </c>
      <c r="Y14" s="143" t="s" ph="1">
        <v>0</v>
      </c>
      <c r="Z14" s="77" t="s" ph="1">
        <v>54</v>
      </c>
      <c r="AA14" s="77" t="s" ph="1">
        <v>613</v>
      </c>
      <c r="AB14" s="77" t="s" ph="1">
        <v>632</v>
      </c>
      <c r="AC14" s="77" t="s" ph="1">
        <v>632</v>
      </c>
      <c r="AD14" s="77" t="s" ph="1">
        <v>612</v>
      </c>
      <c r="AE14" s="77" t="s" ph="1">
        <v>612</v>
      </c>
      <c r="AG14" s="72" t="s" ph="1">
        <v>208</v>
      </c>
      <c r="AI14" s="72" t="s" ph="1">
        <v>209</v>
      </c>
      <c r="AJ14" s="72" t="s" ph="1">
        <v>332</v>
      </c>
      <c r="AK14" s="72" t="s" ph="1">
        <v>210</v>
      </c>
      <c r="AM14" s="72" t="s" ph="1">
        <v>212</v>
      </c>
      <c r="AN14" s="72" t="s" ph="1">
        <v>210</v>
      </c>
      <c r="AO14" s="72" t="s" ph="1">
        <v>211</v>
      </c>
      <c r="AP14" s="72" t="s" ph="1">
        <v>212</v>
      </c>
      <c r="AQ14" s="72" t="s" ph="1">
        <v>210</v>
      </c>
      <c r="AR14" s="72" t="s" ph="1">
        <v>211</v>
      </c>
      <c r="AS14" s="72" t="s" ph="1">
        <v>212</v>
      </c>
      <c r="AT14" s="72" t="s" ph="1">
        <v>210</v>
      </c>
      <c r="AU14" s="72" t="s" ph="1">
        <v>211</v>
      </c>
      <c r="AV14" s="72" t="s" ph="1">
        <v>212</v>
      </c>
      <c r="AW14" s="72" t="s" ph="1">
        <v>210</v>
      </c>
      <c r="AX14" s="72" t="s" ph="1">
        <v>211</v>
      </c>
      <c r="AY14" s="72" t="s" ph="1">
        <v>212</v>
      </c>
      <c r="AZ14" s="72" t="s" ph="1">
        <v>211</v>
      </c>
    </row>
    <row r="15" spans="1:99" ph="1">
      <c r="B15" s="216" ph="1">
        <v>0.33333333333333331</v>
      </c>
      <c r="C15" s="155" t="s" ph="1">
        <v>177</v>
      </c>
      <c r="D15" s="78">
        <v>5748</v>
      </c>
      <c r="E15" s="78">
        <v>1520</v>
      </c>
      <c r="F15" s="78">
        <v>3877</v>
      </c>
      <c r="G15" s="78">
        <v>3576</v>
      </c>
      <c r="H15" s="78">
        <v>3470</v>
      </c>
      <c r="I15" s="78">
        <v>5047</v>
      </c>
      <c r="J15" s="78">
        <v>3008</v>
      </c>
      <c r="K15" s="78">
        <v>670</v>
      </c>
      <c r="L15" s="78">
        <v>4345</v>
      </c>
      <c r="M15" s="78">
        <v>409</v>
      </c>
      <c r="N15" s="78">
        <v>2847</v>
      </c>
      <c r="O15" s="78">
        <v>3061</v>
      </c>
      <c r="P15" s="78">
        <v>5507</v>
      </c>
      <c r="Q15" s="78">
        <v>1256</v>
      </c>
      <c r="R15" s="78">
        <v>0</v>
      </c>
      <c r="S15" s="78">
        <v>1136</v>
      </c>
      <c r="T15" s="78">
        <v>2323</v>
      </c>
      <c r="U15" s="78">
        <v>5494</v>
      </c>
      <c r="V15" s="78">
        <v>2867</v>
      </c>
      <c r="W15" s="71">
        <v>26</v>
      </c>
      <c r="X15" s="78">
        <v>817</v>
      </c>
      <c r="Y15" s="106">
        <v>-2366</v>
      </c>
      <c r="Z15" s="78">
        <v>0</v>
      </c>
      <c r="AA15" s="78">
        <v>2455</v>
      </c>
      <c r="AB15" s="78" ph="1">
        <v>0</v>
      </c>
      <c r="AC15" s="78" ph="1">
        <v>0</v>
      </c>
      <c r="AD15" s="78">
        <v>5.51</v>
      </c>
      <c r="AE15" s="78">
        <v>41.58</v>
      </c>
      <c r="AG15" s="64" t="s" ph="1">
        <v>214</v>
      </c>
      <c r="AH15" s="64" ph="1">
        <v>1</v>
      </c>
      <c r="AI15" s="64" t="s" ph="1">
        <v>333</v>
      </c>
      <c r="AK15" s="64" t="s" ph="1">
        <v>587</v>
      </c>
      <c r="AM15" s="64" t="s" ph="1">
        <v>335</v>
      </c>
      <c r="AZ15" s="64" t="s" ph="1">
        <v>216</v>
      </c>
      <c r="BA15" s="64" ph="1">
        <v>0</v>
      </c>
    </row>
    <row r="16" spans="1:99" s="72" customFormat="1" ht="22.2" ph="1">
      <c r="B16" s="217" ph="1"/>
      <c r="C16" s="155" t="s" ph="1">
        <v>178</v>
      </c>
      <c r="D16" s="73" ph="1">
        <f>D15*7.0686*LOOKUP(D17,密度!$A$2:$A$50,密度!$L$2:$L$50)</f>
        <v>38029.972780800003</v>
      </c>
      <c r="E16" s="73" ph="1">
        <f>E15*7.0686*LOOKUP(E17,密度!$A$2:$A$50,密度!$L$2:$L$50)</f>
        <v>10056.638592000001</v>
      </c>
      <c r="F16" s="73" ph="1">
        <f>F15*9.0746*LOOKUP(F17,密度!$A$2:$A$50,密度!$L$2:$L$50)</f>
        <v>32649.104057600005</v>
      </c>
      <c r="G16" s="73" ph="1">
        <f>G15*9.0746*LOOKUP(G17,密度!$A$2:$A$50,密度!$B$2:$B$50)</f>
        <v>25269.414287519998</v>
      </c>
      <c r="H16" s="73" ph="1">
        <f>H15*9.0746*LOOKUP(H17,密度!$A$2:$A$50,密度!$L$2:$L$50)</f>
        <v>29442.085970000004</v>
      </c>
      <c r="I16" s="73" ph="1">
        <f>I15*9.0746*LOOKUP(I17,密度!$A$2:$A$50,密度!$U$2:$U$50)</f>
        <v>46807.095336400002</v>
      </c>
      <c r="J16" s="73" ph="1">
        <f>J15*9.0746*LOOKUP(J17,密度!$A$2:$A$50,密度!$L$2:$L$50)</f>
        <v>25440.241817600003</v>
      </c>
      <c r="K16" s="73" ph="1">
        <f>K15*9.0746*LOOKUP(K17,密度!$A$2:$A$50,密度!$C$2:$C$50)</f>
        <v>6737.2280542000008</v>
      </c>
      <c r="L16" s="73" ph="1">
        <f>L15*9.0746*LOOKUP(L17,密度!$A$2:$A$50,密度!$E$2:$E$50)</f>
        <v>30703.468981900001</v>
      </c>
      <c r="M16" s="73" ph="1">
        <f>M15*9.0746*LOOKUP(M17,密度!$A$2:$A$50,密度!$M$2:$M$50)</f>
        <v>3240.52060334</v>
      </c>
      <c r="N16" s="73" ph="1">
        <f>N15*9.0746*LOOKUP(N17,密度!$A$2:$A$50,密度!$M$2:$M$50)</f>
        <v>22582.711077420001</v>
      </c>
      <c r="O16" s="73" ph="1">
        <f>O15*9.0746*LOOKUP(O17,密度!$A$2:$A$50,密度!$G$2:$G$50)</f>
        <v>26610.701874800001</v>
      </c>
      <c r="P16" s="73" ph="1">
        <f ca="1">P15*9.0746*LOOKUP(P17,密度!$A$2:$A$51,密度!$Q$2:$Q$50)</f>
        <v>47241.253602104007</v>
      </c>
      <c r="Q16" s="73" ph="1">
        <f>Q15*9.0746*LOOKUP(Q17,密度!$A$2:$A$50,密度!$Q$2:$Q$50)</f>
        <v>10782.563860528</v>
      </c>
      <c r="R16" s="73" ph="1">
        <f>MAX(R15*9.0746*LOOKUP(R17,密度!$A$2:$A$50,密度!$Q$2:$Q$50),0)</f>
        <v>0</v>
      </c>
      <c r="S16" s="73" ph="1">
        <f>S15*9.0746*LOOKUP(S17,密度!$A$2:$A$50,密度!$Q$2:$Q$50)</f>
        <v>9745.0633905920004</v>
      </c>
      <c r="T16" s="73" ph="1">
        <f>T15*9.0746*LOOKUP(T17,密度!$A$2:$A$50,密度!$O$2:$O$50)</f>
        <v>19520.3539108</v>
      </c>
      <c r="U16" s="73" ph="1">
        <f>U15*9.0746*LOOKUP(U17,密度!$A$2:$A$50,密度!$H$2:$H$50)</f>
        <v>45603.148190280001</v>
      </c>
      <c r="V16" s="73" ph="1">
        <f>MAX(5600*LOOKUP(V17,密度!$A$2:$A$50,密度!$Q$2:$Q$50)+V15*9.0476*LOOKUP(V17,密度!$A$2:$A$50,密度!$Q$2:$Q$50),0)</f>
        <v>29752.127480435996</v>
      </c>
      <c r="W16" s="73" ph="1">
        <f>MAX(5600*LOOKUP(W17,密度!$A$2:$A$50,密度!$Q$2:$Q$50)+W15*9.0476*LOOKUP(W17,密度!$A$2:$A$50,密度!$Q$2:$Q$50),0)</f>
        <v>5508.0558277680002</v>
      </c>
      <c r="X16" s="73" ph="1">
        <f>MAX(5600*LOOKUP(X17,密度!$A$2:$A$50,密度!$I$2:$I$50)+X15*9.0476*LOOKUP(X17,密度!$A$2:$A$50,密度!$I$2:$I$50),0)</f>
        <v>13468.691533639998</v>
      </c>
      <c r="Y16" s="107" ph="1">
        <v>0</v>
      </c>
      <c r="Z16" s="73" ph="1">
        <f>Z15*9.0746*LOOKUP(Z17,密度!$A$2:$A$50,密度!$D$2:$D$50)</f>
        <v>0</v>
      </c>
      <c r="AA16" s="73" ph="1">
        <f>AA15*9.0746*LOOKUP(AA17,密度!$A$2:$A$50,密度!$B$2:$B$50)</f>
        <v>17347.989954099998</v>
      </c>
      <c r="AB16" s="73" ph="1">
        <f>AB15*9.0746*LOOKUP(AB17,密度!$A$2:$A$50,密度!$L$2:$L$50)</f>
        <v>0</v>
      </c>
      <c r="AC16" s="73" ph="1">
        <f>AC15*9.0746*LOOKUP(AC17,密度!$A$2:$A$50,密度!$L$2:$L$50)</f>
        <v>0</v>
      </c>
      <c r="AD16" s="73" ph="1">
        <f>AD15*268.68*LOOKUP(AD17,密度!$A$2:$A$50,密度!B2:B50)+IF(AD15&lt;=0,0,1566*LOOKUP(AD17,密度!$A$2:$A$50,密度!B2:B50))</f>
        <v>2374.9943332799999</v>
      </c>
      <c r="AE16" s="73" ph="1">
        <f>AE15*268.68*LOOKUP(AE17,密度!$A$2:$A$50,密度!B2:B50)+IF(AE15&lt;=0,0,1566*LOOKUP(AE17,密度!$A$2:$A$50,密度!B2:B50))</f>
        <v>9930.3221462399997</v>
      </c>
      <c r="AH16" s="72" ph="1">
        <v>2</v>
      </c>
      <c r="AI16" s="72" t="s" ph="1">
        <v>337</v>
      </c>
      <c r="AZ16" s="72" t="s" ph="1">
        <v>216</v>
      </c>
      <c r="BA16" s="72" ph="1">
        <v>0</v>
      </c>
    </row>
    <row r="17" spans="1:57" ph="1">
      <c r="A17" s="64" t="s" ph="1">
        <v>73</v>
      </c>
      <c r="B17" s="218" ph="1"/>
      <c r="C17" s="79" t="s" ph="1">
        <v>179</v>
      </c>
      <c r="D17" s="74">
        <v>26</v>
      </c>
      <c r="E17" s="74">
        <v>26</v>
      </c>
      <c r="F17" s="74">
        <v>34</v>
      </c>
      <c r="G17" s="74">
        <v>26</v>
      </c>
      <c r="H17" s="74">
        <v>27</v>
      </c>
      <c r="I17" s="74">
        <v>28</v>
      </c>
      <c r="J17" s="74">
        <v>30</v>
      </c>
      <c r="K17" s="74">
        <v>26</v>
      </c>
      <c r="L17" s="74">
        <v>29</v>
      </c>
      <c r="M17" s="74">
        <v>27</v>
      </c>
      <c r="N17" s="74">
        <v>26</v>
      </c>
      <c r="O17" s="74">
        <v>27</v>
      </c>
      <c r="P17" s="74">
        <v>27</v>
      </c>
      <c r="Q17" s="74">
        <v>26</v>
      </c>
      <c r="R17" s="74">
        <v>27</v>
      </c>
      <c r="S17" s="74">
        <v>27</v>
      </c>
      <c r="T17" s="74">
        <v>28</v>
      </c>
      <c r="U17" s="74">
        <v>25</v>
      </c>
      <c r="V17" s="74">
        <v>30</v>
      </c>
      <c r="W17" s="74">
        <v>29</v>
      </c>
      <c r="X17" s="74">
        <v>30</v>
      </c>
      <c r="Y17" s="108">
        <v>30</v>
      </c>
      <c r="Z17" s="74">
        <v>26</v>
      </c>
      <c r="AA17" s="74">
        <v>26</v>
      </c>
      <c r="AB17" s="74">
        <v>27</v>
      </c>
      <c r="AC17" s="74">
        <v>24</v>
      </c>
      <c r="AD17" s="74">
        <v>25</v>
      </c>
      <c r="AE17" s="74">
        <v>25</v>
      </c>
      <c r="AH17" s="64" ph="1">
        <v>3</v>
      </c>
      <c r="AI17" s="64" t="s" ph="1">
        <v>338</v>
      </c>
      <c r="AK17" s="64" t="s" ph="1">
        <v>570</v>
      </c>
      <c r="AL17" s="64" ph="1">
        <v>80</v>
      </c>
      <c r="AM17" s="64" t="s" ph="1">
        <v>335</v>
      </c>
      <c r="AZ17" s="64" t="s" ph="1">
        <v>216</v>
      </c>
      <c r="BA17" s="64" ph="1">
        <v>80</v>
      </c>
      <c r="BD17" s="64" t="s" ph="1">
        <v>214</v>
      </c>
      <c r="BE17" s="64" ph="1">
        <v>2270</v>
      </c>
    </row>
    <row r="18" spans="1:57" ht="26.4" ph="1">
      <c r="B18" s="216" ph="1">
        <v>0.66666666666666663</v>
      </c>
      <c r="C18" s="79" t="s" ph="1">
        <v>180</v>
      </c>
      <c r="D18" s="71">
        <v>3486</v>
      </c>
      <c r="E18" s="71">
        <v>4619</v>
      </c>
      <c r="F18" s="71">
        <v>3996</v>
      </c>
      <c r="G18" s="71">
        <v>3744</v>
      </c>
      <c r="H18" s="71">
        <v>3471</v>
      </c>
      <c r="I18" s="71">
        <v>5189</v>
      </c>
      <c r="J18" s="71">
        <v>3496</v>
      </c>
      <c r="K18" s="71">
        <v>671</v>
      </c>
      <c r="L18" s="71">
        <v>4353</v>
      </c>
      <c r="M18" s="71">
        <v>1479</v>
      </c>
      <c r="N18" s="71">
        <v>3911</v>
      </c>
      <c r="O18" s="71">
        <v>386</v>
      </c>
      <c r="P18" s="71">
        <v>3823</v>
      </c>
      <c r="Q18" s="71">
        <v>2315</v>
      </c>
      <c r="R18" s="71">
        <v>0</v>
      </c>
      <c r="S18" s="71">
        <v>1303</v>
      </c>
      <c r="T18" s="71">
        <v>2327</v>
      </c>
      <c r="U18" s="71">
        <v>5497</v>
      </c>
      <c r="V18" s="71">
        <v>2039</v>
      </c>
      <c r="W18" s="71">
        <v>421</v>
      </c>
      <c r="X18" s="71">
        <v>816</v>
      </c>
      <c r="Y18" s="109">
        <v>-9908</v>
      </c>
      <c r="Z18" s="71">
        <v>0</v>
      </c>
      <c r="AA18" s="71">
        <v>2458</v>
      </c>
      <c r="AB18" s="71">
        <v>0</v>
      </c>
      <c r="AC18" s="71">
        <v>0</v>
      </c>
      <c r="AD18" s="71">
        <v>12.86</v>
      </c>
      <c r="AE18" s="71">
        <v>84.55</v>
      </c>
      <c r="AH18" s="64" ph="1">
        <v>4</v>
      </c>
      <c r="AI18" s="64" t="s" ph="1">
        <v>340</v>
      </c>
      <c r="AJ18" s="64" t="s" ph="1">
        <v>588</v>
      </c>
      <c r="AK18" s="64" t="s" ph="1">
        <v>587</v>
      </c>
      <c r="AL18" s="64" ph="1">
        <v>740</v>
      </c>
      <c r="AM18" s="64" t="s" ph="1">
        <v>339</v>
      </c>
      <c r="AZ18" s="64" t="s" ph="1">
        <v>216</v>
      </c>
      <c r="BA18" s="64" ph="1">
        <v>740</v>
      </c>
    </row>
    <row r="19" spans="1:57" s="72" customFormat="1" ht="22.2" ph="1">
      <c r="B19" s="217" ph="1"/>
      <c r="C19" s="155" t="s" ph="1">
        <v>178</v>
      </c>
      <c r="D19" s="73" ph="1">
        <f>D18*7.0686*LOOKUP(D20,密度!$A$2:$A$50,密度!$L$2:$L$50)</f>
        <v>22965.542107199999</v>
      </c>
      <c r="E19" s="73" ph="1">
        <f>E18*7.0686*LOOKUP(E20,密度!$A$2:$A$50,密度!$L$2:$L$50)</f>
        <v>30429.672688800001</v>
      </c>
      <c r="F19" s="73" ph="1">
        <f>F18*9.0746*LOOKUP(F20,密度!$A$2:$A$50,密度!$L$2:$L$50)</f>
        <v>33687.492386400001</v>
      </c>
      <c r="G19" s="73" ph="1">
        <f>G18*9.0746*LOOKUP(G20,密度!$A$2:$A$50,密度!$B$2:$B$50)</f>
        <v>26398.809964800002</v>
      </c>
      <c r="H19" s="73" ph="1">
        <f>H18*9.0746*LOOKUP(H20,密度!$A$2:$A$50,密度!$L$2:$L$50)</f>
        <v>29450.570721000004</v>
      </c>
      <c r="I19" s="73" ph="1">
        <f>I18*9.0746*LOOKUP(I20,密度!$A$2:$A$50,密度!$U$2:$U$50)</f>
        <v>47982.773288599994</v>
      </c>
      <c r="J19" s="73" ph="1">
        <f>J18*9.0746*LOOKUP(J20,密度!$A$2:$A$50,密度!$L$2:$L$50)</f>
        <v>29567.515091200003</v>
      </c>
      <c r="K19" s="73" ph="1">
        <f>K18*9.0746*LOOKUP(K20,密度!$A$2:$A$50,密度!$C$2:$C$50)</f>
        <v>6729.0164486599997</v>
      </c>
      <c r="L19" s="73" ph="1">
        <f>L18*9.0746*LOOKUP(L20,密度!$A$2:$A$50,密度!$E$2:$E$50)</f>
        <v>30671.121209010002</v>
      </c>
      <c r="M19" s="73" ph="1">
        <f>M18*9.0746*LOOKUP(M20,密度!$A$2:$A$50,密度!$M$2:$M$50)</f>
        <v>11633.209151118001</v>
      </c>
      <c r="N19" s="73" ph="1">
        <f>N18*9.0746*LOOKUP(N20,密度!$A$2:$A$50,密度!$M$2:$M$50)</f>
        <v>30986.983079860001</v>
      </c>
      <c r="O19" s="73" ph="1">
        <f>O18*9.0746*LOOKUP(O20,密度!$A$2:$A$50,密度!$G$2:$G$50)</f>
        <v>3348.32231404</v>
      </c>
      <c r="P19" s="73" ph="1">
        <f ca="1">P18*9.0746*LOOKUP(P20,密度!$A$2:$A$51,密度!$Q$2:$Q$50)</f>
        <v>32700.169917163999</v>
      </c>
      <c r="Q19" s="73" ph="1">
        <f>Q18*9.0746*LOOKUP(Q20,密度!$A$2:$A$50,密度!$Q$2:$Q$50)</f>
        <v>19817.192697670002</v>
      </c>
      <c r="R19" s="73" ph="1">
        <f>MAX(R18*9.0746*LOOKUP(R20,密度!$A$2:$A$50,密度!$Q$2:$Q$50),0)</f>
        <v>0</v>
      </c>
      <c r="S19" s="73" ph="1">
        <f>S18*9.0746*LOOKUP(S20,密度!$A$2:$A$50,密度!$Q$2:$Q$50)</f>
        <v>11145.258017804001</v>
      </c>
      <c r="T19" s="73" ph="1">
        <f>T18*9.0746*LOOKUP(T20,密度!$A$2:$A$50,密度!$O$2:$O$50)</f>
        <v>19469.4998524</v>
      </c>
      <c r="U19" s="73" ph="1">
        <f>U18*9.0746*LOOKUP(U20,密度!$A$2:$A$50,密度!$H$2:$H$50)</f>
        <v>45493.365494400001</v>
      </c>
      <c r="V19" s="73" ph="1">
        <f>MAX(5600*LOOKUP(V20,密度!$A$2:$A$50,密度!$Q$2:$Q$50)+V18*9.0476*LOOKUP(V20,密度!$A$2:$A$50,密度!$Q$2:$Q$50),0)</f>
        <v>22685.253043811997</v>
      </c>
      <c r="W19" s="73" ph="1">
        <f>MAX(5600*LOOKUP(W20,密度!$A$2:$A$50,密度!$Q$2:$Q$50)+W18*9.0476*LOOKUP(W20,密度!$A$2:$A$50,密度!$Q$2:$Q$50),0)</f>
        <v>8862.3743992399995</v>
      </c>
      <c r="X19" s="73" ph="1">
        <f>MAX(5600*LOOKUP(X20,密度!$A$2:$A$50,密度!$I$2:$I$50)+X18*9.0476*LOOKUP(X20,密度!$A$2:$A$50,密度!$I$2:$I$50),0)</f>
        <v>13459.311886719999</v>
      </c>
      <c r="Y19" s="73" ph="1">
        <f>MAX(5600*LOOKUP(Y20,密度!$A$2:$A$50,密度!$I$2:$I$50)+Y18*9.0476*LOOKUP(Y20,密度!$A$2:$A$50,密度!$I$2:$I$50),0)</f>
        <v>0</v>
      </c>
      <c r="Z19" s="73" ph="1">
        <f>Z18*9.0746*LOOKUP(Z20,密度!$A$2:$A$50,密度!$D$2:$D$50)</f>
        <v>0</v>
      </c>
      <c r="AA19" s="73" ph="1">
        <f>AA18*9.0746*LOOKUP(AA20,密度!$A$2:$A$50,密度!$B$2:$B$50)</f>
        <v>17351.344833719999</v>
      </c>
      <c r="AB19" s="73" ph="1">
        <f>AB18*9.0746*LOOKUP(AB20,密度!$A$2:$A$50,密度!$L$2:$L$50)</f>
        <v>0</v>
      </c>
      <c r="AC19" s="73" ph="1">
        <f>AC18*9.0746*LOOKUP(AC20,密度!$A$2:$A$50,密度!$L$2:$L$50)</f>
        <v>0</v>
      </c>
      <c r="AD19" s="73" ph="1">
        <f>AD18*268.68*LOOKUP(AD20,密度!$A$2:$A$50,密度!B5:B53)+IF(AD18&lt;=0,0,1566*LOOKUP(AD20,密度!$A$2:$A$50,密度!B5:B53))</f>
        <v>3901.4916696</v>
      </c>
      <c r="AE19" s="73" ph="1">
        <f>AE18*268.68*LOOKUP(AE20,密度!$A$2:$A$50,密度!B5:B53)+IF(AE18&lt;=0,0,1566*LOOKUP(AE20,密度!$A$2:$A$50,密度!B5:B53))</f>
        <v>18867.808637999999</v>
      </c>
      <c r="AH19" s="72" ph="1">
        <v>5</v>
      </c>
      <c r="AI19" s="72" t="s" ph="1">
        <v>341</v>
      </c>
      <c r="AZ19" s="72" t="s" ph="1">
        <v>216</v>
      </c>
      <c r="BA19" s="72" ph="1">
        <v>0</v>
      </c>
      <c r="BD19" s="72" t="s" ph="1">
        <v>342</v>
      </c>
      <c r="BE19" s="72" ph="1">
        <v>1440</v>
      </c>
    </row>
    <row r="20" spans="1:57" ph="1">
      <c r="A20" s="72" ph="1"/>
      <c r="B20" s="217" ph="1"/>
      <c r="C20" s="80" t="s" ph="1">
        <v>179</v>
      </c>
      <c r="D20" s="81">
        <v>30</v>
      </c>
      <c r="E20" s="81">
        <v>30</v>
      </c>
      <c r="F20" s="81">
        <v>33</v>
      </c>
      <c r="G20" s="81">
        <v>28</v>
      </c>
      <c r="H20" s="81">
        <v>27</v>
      </c>
      <c r="I20" s="81">
        <v>31</v>
      </c>
      <c r="J20" s="81">
        <v>30</v>
      </c>
      <c r="K20" s="81">
        <v>30</v>
      </c>
      <c r="L20" s="81">
        <v>31</v>
      </c>
      <c r="M20" s="81">
        <v>33</v>
      </c>
      <c r="N20" s="81">
        <v>27</v>
      </c>
      <c r="O20" s="81">
        <v>29</v>
      </c>
      <c r="P20" s="81">
        <v>31</v>
      </c>
      <c r="Q20" s="81">
        <v>30</v>
      </c>
      <c r="R20" s="81">
        <v>35</v>
      </c>
      <c r="S20" s="81">
        <v>31</v>
      </c>
      <c r="T20" s="81">
        <v>30</v>
      </c>
      <c r="U20" s="81">
        <v>28</v>
      </c>
      <c r="V20" s="81">
        <v>30</v>
      </c>
      <c r="W20" s="81">
        <v>32</v>
      </c>
      <c r="X20" s="81">
        <v>30</v>
      </c>
      <c r="Y20" s="110">
        <v>30</v>
      </c>
      <c r="Z20" s="81">
        <v>35</v>
      </c>
      <c r="AA20" s="81">
        <v>27</v>
      </c>
      <c r="AB20" s="81">
        <v>35</v>
      </c>
      <c r="AC20" s="81">
        <v>28</v>
      </c>
      <c r="AD20" s="81">
        <v>25</v>
      </c>
      <c r="AE20" s="81">
        <v>25</v>
      </c>
      <c r="AF20" s="64" t="s" ph="1">
        <v>35</v>
      </c>
      <c r="AH20" s="64" ph="1">
        <v>6</v>
      </c>
      <c r="AI20" s="64" t="s" ph="1">
        <v>343</v>
      </c>
      <c r="AZ20" s="64" t="s" ph="1">
        <v>216</v>
      </c>
      <c r="BA20" s="64" ph="1">
        <v>0</v>
      </c>
    </row>
    <row r="21" spans="1:57" ph="1">
      <c r="A21" s="72" ph="1"/>
      <c r="B21" s="82" ph="1"/>
      <c r="C21" s="83" ph="1"/>
      <c r="D21" s="84"/>
      <c r="E21" s="84"/>
      <c r="F21" s="84"/>
      <c r="G21" s="84"/>
      <c r="H21" s="84"/>
      <c r="I21" s="84"/>
      <c r="J21" s="84"/>
      <c r="K21" s="84"/>
      <c r="L21" s="84"/>
      <c r="M21" s="84"/>
      <c r="N21" s="84"/>
      <c r="O21" s="84"/>
      <c r="P21" s="84"/>
      <c r="Q21" s="84"/>
      <c r="R21" s="84"/>
      <c r="S21" s="84"/>
      <c r="T21" s="84"/>
      <c r="U21" s="84"/>
      <c r="V21" s="84"/>
      <c r="W21" s="84"/>
      <c r="X21" s="84"/>
      <c r="Y21" s="84"/>
      <c r="Z21" s="84"/>
      <c r="AA21" s="84"/>
      <c r="AB21" s="84"/>
      <c r="AC21" s="84"/>
      <c r="AD21" s="84"/>
      <c r="AE21" s="84"/>
      <c r="AH21" s="64" ph="1">
        <v>7</v>
      </c>
      <c r="AI21" s="64" t="s" ph="1">
        <v>344</v>
      </c>
      <c r="AZ21" s="64" t="s" ph="1">
        <v>216</v>
      </c>
      <c r="BA21" s="64" ph="1">
        <v>0</v>
      </c>
      <c r="BD21" s="64" t="s" ph="1">
        <v>232</v>
      </c>
      <c r="BE21" s="64" ph="1">
        <v>730</v>
      </c>
    </row>
    <row r="22" spans="1:57" ph="1">
      <c r="A22" s="72" ph="1"/>
      <c r="B22" s="215" t="s" ph="1">
        <v>37</v>
      </c>
      <c r="C22" s="85" t="s" ph="1">
        <v>176</v>
      </c>
      <c r="D22" s="86" t="s" ph="1">
        <v>86</v>
      </c>
      <c r="E22" s="86" t="s" ph="1">
        <v>87</v>
      </c>
      <c r="F22" s="86" t="s" ph="1">
        <v>88</v>
      </c>
      <c r="G22" s="86" t="s" ph="1">
        <v>89</v>
      </c>
      <c r="H22" s="86" t="s" ph="1">
        <v>90</v>
      </c>
      <c r="I22" s="86" t="s" ph="1">
        <v>91</v>
      </c>
      <c r="J22" s="86" t="s" ph="1">
        <v>92</v>
      </c>
      <c r="K22" s="86" t="s" ph="1">
        <v>93</v>
      </c>
      <c r="L22" s="86" t="s" ph="1">
        <v>94</v>
      </c>
      <c r="M22" s="86" t="s" ph="1">
        <v>95</v>
      </c>
      <c r="N22" s="86" t="s" ph="1">
        <v>96</v>
      </c>
      <c r="O22" s="86" t="s" ph="1">
        <v>97</v>
      </c>
      <c r="P22" s="86" t="s" ph="1">
        <v>98</v>
      </c>
      <c r="Q22" s="87" t="s" ph="1">
        <v>99</v>
      </c>
      <c r="R22" s="86" t="s" ph="1">
        <v>100</v>
      </c>
      <c r="S22" s="86" t="s" ph="1">
        <v>101</v>
      </c>
      <c r="T22" s="86" t="s" ph="1">
        <v>102</v>
      </c>
      <c r="U22" s="86" t="s" ph="1">
        <v>103</v>
      </c>
      <c r="V22" s="86" t="s" ph="1">
        <v>104</v>
      </c>
      <c r="W22" s="86" t="s" ph="1">
        <v>105</v>
      </c>
      <c r="X22" s="86" t="s" ph="1">
        <v>106</v>
      </c>
      <c r="Y22" s="86" t="s" ph="1">
        <v>108</v>
      </c>
      <c r="Z22" s="225" t="s" ph="1">
        <v>69</v>
      </c>
      <c r="AA22" s="226"/>
      <c r="AB22" s="226"/>
      <c r="AC22" s="226"/>
      <c r="AD22" s="226"/>
      <c r="AE22" s="227"/>
      <c r="AH22" s="64" ph="1">
        <v>8</v>
      </c>
      <c r="AI22" s="64" t="s" ph="1">
        <v>345</v>
      </c>
      <c r="AZ22" s="64" t="s" ph="1">
        <v>216</v>
      </c>
      <c r="BA22" s="64" ph="1">
        <v>0</v>
      </c>
    </row>
    <row r="23" spans="1:57" ph="1">
      <c r="A23" s="72" ph="1"/>
      <c r="B23" s="219" ph="1"/>
      <c r="C23" s="67" t="s" ph="1">
        <v>36</v>
      </c>
      <c r="D23" s="88" t="s" ph="1">
        <v>109</v>
      </c>
      <c r="E23" s="88" t="s" ph="1">
        <v>107</v>
      </c>
      <c r="F23" s="88" t="s" ph="1">
        <v>109</v>
      </c>
      <c r="G23" s="88" t="s" ph="1">
        <v>626</v>
      </c>
      <c r="H23" s="88" t="s" ph="1">
        <v>626</v>
      </c>
      <c r="I23" s="88" t="s" ph="1">
        <v>627</v>
      </c>
      <c r="J23" s="88" t="s" ph="1">
        <v>628</v>
      </c>
      <c r="K23" s="88" t="s" ph="1">
        <v>628</v>
      </c>
      <c r="L23" s="88" t="s" ph="1">
        <v>628</v>
      </c>
      <c r="M23" s="88" t="s" ph="1">
        <v>623</v>
      </c>
      <c r="N23" s="88" t="s" ph="1">
        <v>623</v>
      </c>
      <c r="O23" s="88" t="s" ph="1">
        <v>645</v>
      </c>
      <c r="P23" s="88" t="s" ph="1">
        <v>629</v>
      </c>
      <c r="Q23" s="89" t="s" ph="1">
        <v>643</v>
      </c>
      <c r="R23" s="88" t="s" ph="1">
        <v>610</v>
      </c>
      <c r="S23" s="88" t="s" ph="1">
        <v>629</v>
      </c>
      <c r="T23" s="88" t="s" ph="1">
        <v>604</v>
      </c>
      <c r="U23" s="104" t="s" ph="1">
        <v>606</v>
      </c>
      <c r="V23" s="88" t="s" ph="1">
        <v>629</v>
      </c>
      <c r="W23" s="88" t="s" ph="1">
        <v>629</v>
      </c>
      <c r="X23" s="88" t="s" ph="1">
        <v>187</v>
      </c>
      <c r="Y23" s="88" t="s" ph="1">
        <v>630</v>
      </c>
      <c r="Z23" s="228" t="s" ph="1">
        <v>646</v>
      </c>
      <c r="AA23" s="229"/>
      <c r="AB23" s="229"/>
      <c r="AC23" s="229"/>
      <c r="AD23" s="229"/>
      <c r="AE23" s="230"/>
      <c r="AH23" s="64" ph="1">
        <v>9</v>
      </c>
      <c r="AI23" s="64" t="s" ph="1">
        <v>346</v>
      </c>
      <c r="AZ23" s="64" t="s" ph="1">
        <v>216</v>
      </c>
      <c r="BA23" s="64" ph="1">
        <v>0</v>
      </c>
      <c r="BD23" s="64" t="s" ph="1">
        <v>238</v>
      </c>
      <c r="BE23" s="64" ph="1">
        <v>890</v>
      </c>
    </row>
    <row r="24" spans="1:57" ph="1">
      <c r="A24" s="72" ph="1"/>
      <c r="B24" s="237" ph="1">
        <v>0.33333333333333331</v>
      </c>
      <c r="C24" s="155" t="s" ph="1">
        <v>177</v>
      </c>
      <c r="D24" s="71">
        <v>11.8</v>
      </c>
      <c r="E24" s="71">
        <v>4.7300000000000004</v>
      </c>
      <c r="F24" s="71">
        <v>287</v>
      </c>
      <c r="G24" s="71">
        <v>3482</v>
      </c>
      <c r="H24" s="71">
        <v>2673</v>
      </c>
      <c r="I24" s="71">
        <v>1297</v>
      </c>
      <c r="J24" s="71">
        <v>2519</v>
      </c>
      <c r="K24" s="71">
        <v>4768</v>
      </c>
      <c r="L24" s="71">
        <v>302</v>
      </c>
      <c r="M24" s="71">
        <v>4866</v>
      </c>
      <c r="N24" s="71">
        <v>324</v>
      </c>
      <c r="O24" s="71">
        <v>4</v>
      </c>
      <c r="P24" s="71">
        <v>366</v>
      </c>
      <c r="Q24" s="90">
        <v>1229</v>
      </c>
      <c r="R24" s="71">
        <v>6456</v>
      </c>
      <c r="S24" s="71">
        <v>4106</v>
      </c>
      <c r="T24" s="71">
        <v>112</v>
      </c>
      <c r="U24" s="71">
        <v>5532</v>
      </c>
      <c r="V24" s="71">
        <v>737</v>
      </c>
      <c r="W24" s="71">
        <v>433</v>
      </c>
      <c r="X24" s="71">
        <v>5058</v>
      </c>
      <c r="Y24" s="71">
        <v>720</v>
      </c>
      <c r="Z24" s="231"/>
      <c r="AA24" s="232"/>
      <c r="AB24" s="232"/>
      <c r="AC24" s="232"/>
      <c r="AD24" s="232"/>
      <c r="AE24" s="233"/>
      <c r="AH24" s="64" ph="1">
        <v>10</v>
      </c>
      <c r="AI24" s="64" t="s" ph="1">
        <v>347</v>
      </c>
      <c r="AZ24" s="64" t="s" ph="1">
        <v>216</v>
      </c>
      <c r="BA24" s="64" ph="1">
        <v>0</v>
      </c>
    </row>
    <row r="25" spans="1:57" ph="1">
      <c r="A25" s="72" ph="1"/>
      <c r="B25" s="237" ph="1"/>
      <c r="C25" s="68" t="s" ph="1">
        <v>178</v>
      </c>
      <c r="D25" s="91" ph="1">
        <f>D24*268.68*LOOKUP(D26,密度!$A$2:$A$50,密度!$Q$2:$Q$50)+IF(D24&lt;=0,0,1566*LOOKUP(D26,密度!$A$2:$A$50,密度!$Q$2:$Q$50))</f>
        <v>4484.1620577600006</v>
      </c>
      <c r="E25" s="91" ph="1">
        <f>E24*268.68*LOOKUP(E26,密度!$A$2:$A$50,密度!$C$2:$C$50)+IF(E24&lt;=0,0,1566*LOOKUP(E26,密度!$A$2:$A$50,密度!$C$2:$C$50))</f>
        <v>3145.79006196</v>
      </c>
      <c r="F25" s="91" ph="1">
        <f>F24*11.702*LOOKUP(F26,密度!$A$2:$A$50,密度!$Q$2:$Q$50)</f>
        <v>3174.8326416800005</v>
      </c>
      <c r="G25" s="91" ph="1">
        <f>G24*18.322*LOOKUP(G26,密度!$A$2:$A$50,密度!$B$2:$B$50)</f>
        <v>49627.844991600003</v>
      </c>
      <c r="H25" s="91" ph="1">
        <f>H24*18.322*LOOKUP(H26,密度!$A$2:$A$50,密度!$B$2:$B$50)</f>
        <v>38053.346561999999</v>
      </c>
      <c r="I25" s="91" ph="1">
        <f>I24*18.322*LOOKUP(I26,密度!$A$2:$A$50,密度!$Q$2:$Q$50)</f>
        <v>22447.603949079999</v>
      </c>
      <c r="J25" s="91" ph="1">
        <f>J24*18.322*LOOKUP(J26,密度!$A$2:$A$50,密度!$Q$2:$Q$50)</f>
        <v>43629.465507759996</v>
      </c>
      <c r="K25" s="91" ph="1">
        <f>K24*18.322*LOOKUP(K26,密度!$A$2:$A$50,密度!$Q$2:$Q$50)</f>
        <v>82582.489694720003</v>
      </c>
      <c r="L25" s="91" ph="1">
        <f>L24*18.322*LOOKUP(L26,密度!$A$2:$A$50,密度!$Q$2:$Q$50)</f>
        <v>5242.58269268</v>
      </c>
      <c r="M25" s="91" ph="1">
        <f>M24*18.322*LOOKUP(M26,密度!$A$2:$A$50,密度!$Q$2:$Q$50)</f>
        <v>84343.164637559996</v>
      </c>
      <c r="N25" s="91" ph="1">
        <f>N24*18.322*LOOKUP(N26,密度!$A$2:$A$50,密度!$Q$2:$Q$50)</f>
        <v>5615.94437784</v>
      </c>
      <c r="O25" s="91" ph="1">
        <f>O24*18.322*LOOKUP(O26,密度!$A$2:$A$50,密度!$C$2:$C$50)</f>
        <v>81.15913119999999</v>
      </c>
      <c r="P25" s="91" ph="1">
        <f>P24*11.702*LOOKUP(P26,密度!$A$2:$A$50,密度!$B$2:$B$50)</f>
        <v>3331.6928028000002</v>
      </c>
      <c r="Q25" s="92" ph="1">
        <f>Q24*18.322*LOOKUP(Q26,密度!$A$2:$A$50,密度!$B$2:$B$50)</f>
        <v>17496.282425999998</v>
      </c>
      <c r="R25" s="91" ph="1">
        <f>R24*35.891*LOOKUP(R26,密度!$A$2:$A$50,密度!$C$2:$C$50)</f>
        <v>256760.39519760001</v>
      </c>
      <c r="S25" s="91" ph="1">
        <f>S24*35.891*LOOKUP(S26,密度!$A$2:$A$50,密度!$B$2:$B$50)</f>
        <v>114755.80890019999</v>
      </c>
      <c r="T25" s="91" ph="1">
        <f>T24*35.891*LOOKUP(T26,密度!$A$2:$A$50,密度!$Q$2:$Q$50)</f>
        <v>3799.9897734400001</v>
      </c>
      <c r="U25" s="91" ph="1">
        <f>U24*35.891</f>
        <v>198549.01199999999</v>
      </c>
      <c r="V25" s="91" ph="1">
        <f>V24*47.051*LOOKUP(V26,密度!$A$2:$A$50,密度!$B$2:$B$50)</f>
        <v>27002.658296899997</v>
      </c>
      <c r="W25" s="91" ph="1">
        <f>W24*47.051*LOOKUP(W26,密度!$A$2:$A$50,密度!$B$2:$B$50)</f>
        <v>15864.519732100001</v>
      </c>
      <c r="X25" s="91" ph="1">
        <f>X24*47.051*LOOKUP(X26,密度!$A$2:$A$61,密度!$I$2:$I$61)</f>
        <v>246717.9692586</v>
      </c>
      <c r="Y25" s="91" ph="1">
        <f>Y24*47.051*LOOKUP(Y26,密度!$A$2:$A$50,密度!$L$2:$L$50)</f>
        <v>31640.856480000002</v>
      </c>
      <c r="Z25" s="231"/>
      <c r="AA25" s="232"/>
      <c r="AB25" s="232"/>
      <c r="AC25" s="232"/>
      <c r="AD25" s="232"/>
      <c r="AE25" s="233"/>
      <c r="AH25" s="64" ph="1">
        <v>11</v>
      </c>
      <c r="AI25" s="64" t="s" ph="1">
        <v>348</v>
      </c>
      <c r="AZ25" s="64" t="s" ph="1">
        <v>216</v>
      </c>
      <c r="BA25" s="64" ph="1">
        <v>0</v>
      </c>
      <c r="BD25" s="64" t="s" ph="1">
        <v>241</v>
      </c>
      <c r="BE25" s="64" ph="1">
        <v>8920</v>
      </c>
    </row>
    <row r="26" spans="1:57" ph="1">
      <c r="A26" s="72" ph="1"/>
      <c r="B26" s="237" ph="1"/>
      <c r="C26" s="68" t="s" ph="1">
        <v>179</v>
      </c>
      <c r="D26" s="74">
        <v>25</v>
      </c>
      <c r="E26" s="74">
        <v>25</v>
      </c>
      <c r="F26" s="74">
        <v>27</v>
      </c>
      <c r="G26" s="74">
        <v>27</v>
      </c>
      <c r="H26" s="74">
        <v>28</v>
      </c>
      <c r="I26" s="74">
        <v>28</v>
      </c>
      <c r="J26" s="74">
        <v>27</v>
      </c>
      <c r="K26" s="74">
        <v>27</v>
      </c>
      <c r="L26" s="74">
        <v>24</v>
      </c>
      <c r="M26" s="74">
        <v>26</v>
      </c>
      <c r="N26" s="74">
        <v>26</v>
      </c>
      <c r="O26" s="74">
        <v>27</v>
      </c>
      <c r="P26" s="74">
        <v>27</v>
      </c>
      <c r="Q26" s="93">
        <v>28</v>
      </c>
      <c r="R26" s="74">
        <v>26</v>
      </c>
      <c r="S26" s="74">
        <v>26</v>
      </c>
      <c r="T26" s="74">
        <v>27</v>
      </c>
      <c r="U26" s="74">
        <v>27</v>
      </c>
      <c r="V26" s="74">
        <v>26</v>
      </c>
      <c r="W26" s="74">
        <v>26</v>
      </c>
      <c r="X26" s="74">
        <v>30</v>
      </c>
      <c r="Y26" s="74">
        <v>28</v>
      </c>
      <c r="Z26" s="231"/>
      <c r="AA26" s="232"/>
      <c r="AB26" s="232"/>
      <c r="AC26" s="232"/>
      <c r="AD26" s="232"/>
      <c r="AE26" s="233"/>
      <c r="AH26" s="64" ph="1">
        <v>12</v>
      </c>
      <c r="AI26" s="64" t="s" ph="1">
        <v>349</v>
      </c>
      <c r="AZ26" s="64" t="s" ph="1">
        <v>216</v>
      </c>
      <c r="BA26" s="64" ph="1">
        <v>0</v>
      </c>
    </row>
    <row r="27" spans="1:57" ht="26.4" ph="1">
      <c r="A27" s="72" ph="1"/>
      <c r="B27" s="237" ph="1">
        <v>0.66666666666666663</v>
      </c>
      <c r="C27" s="155" t="s" ph="1">
        <v>180</v>
      </c>
      <c r="D27" s="71">
        <v>3.06</v>
      </c>
      <c r="E27" s="71">
        <v>4.71</v>
      </c>
      <c r="F27" s="71">
        <v>492</v>
      </c>
      <c r="G27" s="71">
        <v>3074</v>
      </c>
      <c r="H27" s="71">
        <v>2238</v>
      </c>
      <c r="I27" s="71">
        <v>823</v>
      </c>
      <c r="J27" s="71">
        <v>2240</v>
      </c>
      <c r="K27" s="71">
        <v>4769</v>
      </c>
      <c r="L27" s="71">
        <v>296</v>
      </c>
      <c r="M27" s="71">
        <v>4866</v>
      </c>
      <c r="N27" s="71">
        <v>320</v>
      </c>
      <c r="O27" s="71">
        <v>0</v>
      </c>
      <c r="P27" s="71">
        <v>362</v>
      </c>
      <c r="Q27" s="90">
        <v>1471</v>
      </c>
      <c r="R27" s="71">
        <v>5953</v>
      </c>
      <c r="S27" s="71">
        <v>4104</v>
      </c>
      <c r="T27" s="71">
        <v>111</v>
      </c>
      <c r="U27" s="71">
        <v>5357</v>
      </c>
      <c r="V27" s="71">
        <v>732</v>
      </c>
      <c r="W27" s="71">
        <v>429</v>
      </c>
      <c r="X27" s="71">
        <v>4933</v>
      </c>
      <c r="Y27" s="71">
        <v>716</v>
      </c>
      <c r="Z27" s="231"/>
      <c r="AA27" s="232"/>
      <c r="AB27" s="232"/>
      <c r="AC27" s="232"/>
      <c r="AD27" s="232"/>
      <c r="AE27" s="233"/>
      <c r="AH27" s="64" ph="1">
        <v>13</v>
      </c>
      <c r="AI27" s="64" t="s" ph="1">
        <v>350</v>
      </c>
      <c r="AZ27" s="64" t="s" ph="1">
        <v>216</v>
      </c>
      <c r="BA27" s="64" ph="1">
        <v>0</v>
      </c>
      <c r="BD27" s="64" t="s" ph="1">
        <v>295</v>
      </c>
      <c r="BE27" s="64" ph="1">
        <v>7100</v>
      </c>
    </row>
    <row r="28" spans="1:57" ph="1">
      <c r="A28" s="72" ph="1"/>
      <c r="B28" s="237" ph="1"/>
      <c r="C28" s="155" t="s" ph="1">
        <v>178</v>
      </c>
      <c r="D28" s="91" ph="1">
        <f>D27*268.68*LOOKUP(D29,密度!$A$2:$A$50,密度!$Q$2:$Q$50)+IF(D27&lt;=0,0,1566*LOOKUP(D29,密度!$A$2:$A$50,密度!$Q$2:$Q$50))</f>
        <v>2260.967355792</v>
      </c>
      <c r="E28" s="91" ph="1">
        <f>E27*268.68*LOOKUP(E29,密度!$A$2:$A$50,密度!$C$2:$C$50)+IF(E27&lt;=0,0,1566*LOOKUP(E29,密度!$A$2:$A$50,密度!$C$2:$C$50))</f>
        <v>3139.8312769200002</v>
      </c>
      <c r="F28" s="91" ph="1">
        <f>F27*11.702*LOOKUP(F29,密度!$A$2:$A$50,密度!$Q$2:$Q$50)</f>
        <v>5431.1130487199998</v>
      </c>
      <c r="G28" s="91" ph="1">
        <f>G27*18.322*LOOKUP(G29,密度!$A$2:$A$50,密度!$B$2:$B$50)</f>
        <v>43615.623603199994</v>
      </c>
      <c r="H28" s="91" ph="1">
        <f>H27*18.322*LOOKUP(H29,密度!$A$2:$A$50,密度!$B$2:$B$50)</f>
        <v>31753.990118399997</v>
      </c>
      <c r="I28" s="91" ph="1">
        <f>I27*18.322*LOOKUP(I29,密度!$A$2:$A$50,密度!$Q$2:$Q$50)</f>
        <v>14224.478729979999</v>
      </c>
      <c r="J28" s="91" ph="1">
        <f>J27*18.322*LOOKUP(J29,密度!$A$2:$A$50,密度!$Q$2:$Q$50)</f>
        <v>38656.781631999998</v>
      </c>
      <c r="K28" s="91" ph="1">
        <f>K27*18.322*LOOKUP(K29,密度!$A$2:$A$50,密度!$Q$2:$Q$50)</f>
        <v>82360.395174439996</v>
      </c>
      <c r="L28" s="91" ph="1">
        <f>L27*18.322*LOOKUP(L29,密度!$A$2:$A$50,密度!$Q$2:$Q$50)</f>
        <v>5111.9054249599994</v>
      </c>
      <c r="M28" s="91" ph="1">
        <f>M27*18.322*LOOKUP(M29,密度!$A$2:$A$50,密度!$Q$2:$Q$50)</f>
        <v>83917.004444999999</v>
      </c>
      <c r="N28" s="91" ph="1">
        <f>N27*18.322*LOOKUP(N29,密度!$A$2:$A$50,密度!$Q$2:$Q$50)</f>
        <v>5530.7815232000003</v>
      </c>
      <c r="O28" s="91" ph="1">
        <f>O27*18.322*LOOKUP(O29,密度!$A$2:$A$50,密度!$C$2:$C$50)</f>
        <v>0</v>
      </c>
      <c r="P28" s="91" ph="1">
        <f>P27*11.702*LOOKUP(P29,密度!$A$2:$A$50,密度!$B$2:$B$50)</f>
        <v>3280.4544255999999</v>
      </c>
      <c r="Q28" s="92" ph="1">
        <f>Q27*18.322*LOOKUP(Q29,密度!$A$2:$A$50,密度!$B$2:$B$50)</f>
        <v>20871.3670528</v>
      </c>
      <c r="R28" s="91" ph="1">
        <f>R27*35.891*LOOKUP(R29,密度!$A$2:$A$50,密度!$C$2:$C$50)</f>
        <v>236114.69682729998</v>
      </c>
      <c r="S28" s="91" ph="1">
        <f>S27*35.891*LOOKUP(S29,密度!$A$2:$A$50,密度!$B$2:$B$50)</f>
        <v>114199.1035992</v>
      </c>
      <c r="T28" s="91" ph="1">
        <f>T27*35.891*LOOKUP(T29,密度!$A$2:$A$50,密度!$Q$2:$Q$50)</f>
        <v>3752.4363518999999</v>
      </c>
      <c r="U28" s="91" ph="1">
        <f>U27*35.891</f>
        <v>192268.087</v>
      </c>
      <c r="V28" s="91" ph="1">
        <f>V27*47.051*LOOKUP(V29,密度!$A$2:$A$50,密度!$B$2:$B$50)</f>
        <v>26671.367500799999</v>
      </c>
      <c r="W28" s="91" ph="1">
        <f>W27*47.051*LOOKUP(W29,密度!$A$2:$A$50,密度!$B$2:$B$50)</f>
        <v>15649.336688700001</v>
      </c>
      <c r="X28" s="91" ph="1">
        <f>X27*47.051*LOOKUP(X29,密度!$A$2:$A$61,密度!$I$2:$I$61)</f>
        <v>239320.97333129999</v>
      </c>
      <c r="Y28" s="91" ph="1">
        <f>Y27*47.051*LOOKUP(Y29,密度!$A$2:$A$50,密度!$L$2:$L$50)</f>
        <v>31330.319880000006</v>
      </c>
      <c r="Z28" s="231"/>
      <c r="AA28" s="232"/>
      <c r="AB28" s="232"/>
      <c r="AC28" s="232"/>
      <c r="AD28" s="232"/>
      <c r="AE28" s="233"/>
      <c r="AH28" s="64" ph="1">
        <v>14</v>
      </c>
      <c r="AI28" s="64" t="s" ph="1">
        <v>351</v>
      </c>
      <c r="AZ28" s="64" t="s" ph="1">
        <v>216</v>
      </c>
      <c r="BA28" s="64" ph="1">
        <v>0</v>
      </c>
    </row>
    <row r="29" spans="1:57" ph="1">
      <c r="A29" s="72" ph="1"/>
      <c r="B29" s="237" ph="1"/>
      <c r="C29" s="155" t="s" ph="1">
        <v>179</v>
      </c>
      <c r="D29" s="74">
        <v>25</v>
      </c>
      <c r="E29" s="74">
        <v>25</v>
      </c>
      <c r="F29" s="74">
        <v>30</v>
      </c>
      <c r="G29" s="74">
        <v>31</v>
      </c>
      <c r="H29" s="74">
        <v>31</v>
      </c>
      <c r="I29" s="74">
        <v>30</v>
      </c>
      <c r="J29" s="74">
        <v>32</v>
      </c>
      <c r="K29" s="74">
        <v>31</v>
      </c>
      <c r="L29" s="74">
        <v>31</v>
      </c>
      <c r="M29" s="74">
        <v>33</v>
      </c>
      <c r="N29" s="74">
        <v>30</v>
      </c>
      <c r="O29" s="74">
        <v>32</v>
      </c>
      <c r="P29" s="74">
        <v>31</v>
      </c>
      <c r="Q29" s="93">
        <v>31</v>
      </c>
      <c r="R29" s="74">
        <v>30</v>
      </c>
      <c r="S29" s="74">
        <v>30</v>
      </c>
      <c r="T29" s="74">
        <v>32</v>
      </c>
      <c r="U29" s="74">
        <v>32</v>
      </c>
      <c r="V29" s="74">
        <v>31</v>
      </c>
      <c r="W29" s="74">
        <v>30</v>
      </c>
      <c r="X29" s="74">
        <v>35</v>
      </c>
      <c r="Y29" s="74">
        <v>32</v>
      </c>
      <c r="Z29" s="234"/>
      <c r="AA29" s="235"/>
      <c r="AB29" s="235"/>
      <c r="AC29" s="235"/>
      <c r="AD29" s="235"/>
      <c r="AE29" s="236"/>
      <c r="AH29" s="64" ph="1">
        <v>15</v>
      </c>
      <c r="AI29" s="64" t="s" ph="1">
        <v>352</v>
      </c>
      <c r="AZ29" s="64" t="s" ph="1">
        <v>216</v>
      </c>
      <c r="BA29" s="64" ph="1">
        <v>0</v>
      </c>
      <c r="BD29" s="64" t="s" ph="1">
        <v>353</v>
      </c>
      <c r="BE29" s="64" ph="1">
        <v>890</v>
      </c>
    </row>
    <row r="30" spans="1:57" ph="1">
      <c r="D30" s="94" ph="1"/>
      <c r="Z30" s="64" t="s" ph="1">
        <v>35</v>
      </c>
      <c r="AE30" s="95" ph="1"/>
      <c r="AH30" s="64" ph="1">
        <v>16</v>
      </c>
      <c r="AI30" s="64" t="s" ph="1">
        <v>354</v>
      </c>
      <c r="AZ30" s="64" t="s" ph="1">
        <v>216</v>
      </c>
      <c r="BA30" s="64" ph="1">
        <v>0</v>
      </c>
    </row>
    <row r="31" spans="1:57" ht="28.2" ph="1">
      <c r="A31" s="64"/>
      <c r="B31" s="220" t="s" ph="1">
        <v>35</v>
      </c>
      <c r="C31" s="221" ph="1"/>
      <c r="D31" s="224" t="s" ph="1">
        <v>9</v>
      </c>
      <c r="E31" s="199" ph="1"/>
      <c r="F31" s="200" ph="1"/>
      <c r="G31" s="224" t="s" ph="1">
        <v>18</v>
      </c>
      <c r="H31" s="199" ph="1"/>
      <c r="I31" s="200" ph="1"/>
      <c r="J31" s="198" t="s" ph="1">
        <v>1</v>
      </c>
      <c r="K31" s="199" ph="1"/>
      <c r="L31" s="200" ph="1"/>
      <c r="M31" s="198" t="s" ph="1">
        <v>7</v>
      </c>
      <c r="N31" s="199" ph="1"/>
      <c r="O31" s="200" ph="1"/>
      <c r="P31" s="198" t="s" ph="1">
        <v>41</v>
      </c>
      <c r="Q31" s="199"/>
      <c r="R31" s="200"/>
      <c r="S31" s="198" t="s" ph="1">
        <v>2</v>
      </c>
      <c r="T31" s="199"/>
      <c r="U31" s="200"/>
      <c r="V31" s="198" t="s" ph="1">
        <v>71</v>
      </c>
      <c r="W31" s="199" ph="1"/>
      <c r="X31" s="200" ph="1"/>
      <c r="Y31" s="198" t="s" ph="1">
        <v>3</v>
      </c>
      <c r="Z31" s="199" ph="1"/>
      <c r="AA31" s="200" ph="1"/>
      <c r="AB31" s="201" t="s">
        <v>42</v>
      </c>
      <c r="AC31" s="202"/>
      <c r="AD31" s="202"/>
      <c r="AE31" s="203"/>
      <c r="AH31" s="64" ph="1">
        <v>17</v>
      </c>
      <c r="AI31" s="64" t="s" ph="1">
        <v>355</v>
      </c>
      <c r="AZ31" s="64" t="s" ph="1">
        <v>216</v>
      </c>
      <c r="BA31" s="64" ph="1">
        <v>0</v>
      </c>
      <c r="BD31" s="64" t="s" ph="1">
        <v>356</v>
      </c>
      <c r="BE31" s="64" ph="1">
        <v>9310</v>
      </c>
    </row>
    <row r="32" spans="1:57" ph="1">
      <c r="A32" s="64"/>
      <c r="B32" s="222" ph="1"/>
      <c r="C32" s="223" ph="1"/>
      <c r="D32" s="96" t="s" ph="1">
        <v>4</v>
      </c>
      <c r="E32" s="155" t="s" ph="1">
        <v>5</v>
      </c>
      <c r="F32" s="154" t="s" ph="1">
        <v>43</v>
      </c>
      <c r="G32" s="97" t="s" ph="1">
        <v>4</v>
      </c>
      <c r="H32" s="155" t="s" ph="1">
        <v>5</v>
      </c>
      <c r="I32" s="154" t="s" ph="1">
        <v>43</v>
      </c>
      <c r="J32" s="97" t="s" ph="1">
        <v>4</v>
      </c>
      <c r="K32" s="155" t="s" ph="1">
        <v>5</v>
      </c>
      <c r="L32" s="154" t="s" ph="1">
        <v>43</v>
      </c>
      <c r="M32" s="97" t="s" ph="1">
        <v>4</v>
      </c>
      <c r="N32" s="155" t="s" ph="1">
        <v>5</v>
      </c>
      <c r="O32" s="154" t="s" ph="1">
        <v>43</v>
      </c>
      <c r="P32" s="97" t="s" ph="1">
        <v>4</v>
      </c>
      <c r="Q32" s="98" t="s" ph="1">
        <v>5</v>
      </c>
      <c r="R32" s="99" t="s" ph="1">
        <v>43</v>
      </c>
      <c r="S32" s="97" t="s" ph="1">
        <v>4</v>
      </c>
      <c r="T32" s="155" t="s" ph="1">
        <v>5</v>
      </c>
      <c r="U32" s="99" t="s" ph="1">
        <v>43</v>
      </c>
      <c r="V32" s="97" t="s" ph="1">
        <v>4</v>
      </c>
      <c r="W32" s="155" t="s" ph="1">
        <v>5</v>
      </c>
      <c r="X32" s="99" t="s" ph="1">
        <v>43</v>
      </c>
      <c r="Y32" s="100" t="s" ph="1">
        <v>4</v>
      </c>
      <c r="Z32" s="155" t="s" ph="1">
        <v>5</v>
      </c>
      <c r="AA32" s="154" t="s" ph="1">
        <v>43</v>
      </c>
      <c r="AB32" s="97" t="s" ph="1">
        <v>85</v>
      </c>
      <c r="AC32" s="155" t="s" ph="1">
        <v>84</v>
      </c>
      <c r="AD32" s="204" t="s" ph="1">
        <v>83</v>
      </c>
      <c r="AE32" s="205"/>
      <c r="AH32" s="64" ph="1">
        <v>18</v>
      </c>
      <c r="AI32" s="64" t="s" ph="1">
        <v>357</v>
      </c>
      <c r="AZ32" s="64" t="s" ph="1">
        <v>216</v>
      </c>
      <c r="BA32" s="64" ph="1">
        <v>0</v>
      </c>
    </row>
    <row r="33" spans="1:57" ph="1">
      <c r="A33" s="64"/>
      <c r="B33" s="206" t="s" ph="1">
        <v>181</v>
      </c>
      <c r="C33" s="207" ph="1"/>
      <c r="D33" s="186" ph="1">
        <f>AA10+AB10+Z19</f>
        <v>55085.160228000008</v>
      </c>
      <c r="E33" s="186" ph="1">
        <f>M10+I10</f>
        <v>110947.4540084</v>
      </c>
      <c r="F33" s="210" ph="1">
        <f>表格_取樣回收每月庫存表_0620更新1522252632456786910111213141516171819202123456789101112131415161718192022232424356789101112131415161718192021222345678910111213141516171819202345678910111213149101516171819222123234567891012131415161711181920212224252345678910111213117[[#This Row],[F25]]</f>
        <v>3880</v>
      </c>
      <c r="G33" s="212" ph="1">
        <f>N19</f>
        <v>30986.983079860001</v>
      </c>
      <c r="H33" s="186" ph="1">
        <f>M19</f>
        <v>11633.209151118001</v>
      </c>
      <c r="I33" s="190" ph="1">
        <v>0</v>
      </c>
      <c r="J33" s="194" ph="1">
        <f>F10+O28</f>
        <v>117112.22433539999</v>
      </c>
      <c r="K33" s="186" ph="1">
        <f>O10+K10+E28+R28</f>
        <v>377485.02461982</v>
      </c>
      <c r="L33" s="196" ph="1">
        <f>K19</f>
        <v>6729.0164486599997</v>
      </c>
      <c r="M33" s="194" ph="1">
        <f>G10+H10+W28+S28+V28+E10+R19+P28+Q28</f>
        <v>592845.41837010009</v>
      </c>
      <c r="N33" s="186" ph="1">
        <f>L10+P10++G28+H28+AD19+AE19</f>
        <v>375364.51440920006</v>
      </c>
      <c r="O33" s="190" ph="1">
        <f>G19</f>
        <v>26398.809964800002</v>
      </c>
      <c r="P33" s="194" ph="1">
        <f>L19</f>
        <v>30671.121209010002</v>
      </c>
      <c r="Q33" s="186" ph="1">
        <f>J10+N10</f>
        <v>36266.324395199998</v>
      </c>
      <c r="R33" s="190" ph="1">
        <f>BE23</f>
        <v>890</v>
      </c>
      <c r="S33" s="194" ph="1">
        <f>X28</f>
        <v>239320.97333129999</v>
      </c>
      <c r="T33" s="186" ph="1">
        <f>X19</f>
        <v>13459.311886719999</v>
      </c>
      <c r="U33" s="175" ph="1">
        <f>BE21</f>
        <v>730</v>
      </c>
      <c r="V33" s="188" ph="1">
        <f ca="1">P19+Q19+S19+M28+N28+J28+D10+AC10+D19+E19+H19+J19+O19+V19+W19+K28+L28</f>
        <v>883061.86170368001</v>
      </c>
      <c r="W33" s="188" ph="1">
        <f>D28+F28+T28+I28</f>
        <v>25668.995486391999</v>
      </c>
      <c r="X33" s="190" ph="1">
        <f>BE29+BE31</f>
        <v>10200</v>
      </c>
      <c r="Y33" s="192" ph="1">
        <f>+Q10+R10+S10+T10+U10+V10+W10+X10+Y10</f>
        <v>236065.15686599998</v>
      </c>
      <c r="Z33" s="173" ph="1">
        <f>T19+U19+Y28+Z10</f>
        <v>187584.7284088</v>
      </c>
      <c r="AA33" s="175" ph="1">
        <f>BE19</f>
        <v>1440</v>
      </c>
      <c r="AB33" s="177" ph="1">
        <f>I19</f>
        <v>47982.773288599994</v>
      </c>
      <c r="AC33" s="179" ph="1">
        <f>AD10+AB19</f>
        <v>81612.049881600004</v>
      </c>
      <c r="AD33" s="181" ph="1">
        <v>0</v>
      </c>
      <c r="AE33" s="182"/>
      <c r="AH33" s="64" ph="1">
        <v>19</v>
      </c>
      <c r="AI33" s="64" t="s" ph="1">
        <v>358</v>
      </c>
      <c r="AJ33" s="64" t="s" ph="1">
        <v>592</v>
      </c>
      <c r="AK33" s="64" t="s" ph="1">
        <v>589</v>
      </c>
      <c r="AL33" s="64" ph="1">
        <v>730</v>
      </c>
      <c r="AM33" s="64" t="s" ph="1">
        <v>339</v>
      </c>
      <c r="AZ33" s="64" t="s" ph="1">
        <v>216</v>
      </c>
      <c r="BA33" s="64" ph="1">
        <v>730</v>
      </c>
      <c r="BD33" s="64" t="s" ph="1">
        <v>290</v>
      </c>
      <c r="BE33" s="64" ph="1">
        <v>3880</v>
      </c>
    </row>
    <row r="34" spans="1:57" ph="1">
      <c r="A34" s="64"/>
      <c r="B34" s="208" ph="1"/>
      <c r="C34" s="209" ph="1"/>
      <c r="D34" s="187" ph="1"/>
      <c r="E34" s="187" ph="1"/>
      <c r="F34" s="211" ph="1"/>
      <c r="G34" s="213" ph="1"/>
      <c r="H34" s="187" ph="1"/>
      <c r="I34" s="191" ph="1"/>
      <c r="J34" s="195" ph="1"/>
      <c r="K34" s="187" ph="1"/>
      <c r="L34" s="197" ph="1"/>
      <c r="M34" s="195" ph="1"/>
      <c r="N34" s="187" ph="1"/>
      <c r="O34" s="191" ph="1"/>
      <c r="P34" s="195" ph="1"/>
      <c r="Q34" s="187" ph="1"/>
      <c r="R34" s="191" ph="1"/>
      <c r="S34" s="195" ph="1"/>
      <c r="T34" s="187"/>
      <c r="U34" s="176"/>
      <c r="V34" s="189" ph="1"/>
      <c r="W34" s="189" ph="1"/>
      <c r="X34" s="191" ph="1"/>
      <c r="Y34" s="193" ph="1"/>
      <c r="Z34" s="174" ph="1"/>
      <c r="AA34" s="176" ph="1"/>
      <c r="AB34" s="178"/>
      <c r="AC34" s="180"/>
      <c r="AD34" s="183"/>
      <c r="AE34" s="184"/>
      <c r="AH34" s="64" ph="1">
        <v>20</v>
      </c>
      <c r="AI34" s="64" t="s" ph="1">
        <v>359</v>
      </c>
      <c r="AJ34" s="64" t="s" ph="1">
        <v>593</v>
      </c>
      <c r="AK34" s="64" t="s" ph="1">
        <v>589</v>
      </c>
      <c r="AL34" s="64" ph="1">
        <v>720</v>
      </c>
      <c r="AM34" s="64" t="s" ph="1">
        <v>339</v>
      </c>
      <c r="AZ34" s="64" t="s" ph="1">
        <v>216</v>
      </c>
      <c r="BA34" s="64" ph="1">
        <v>720</v>
      </c>
    </row>
    <row r="35" spans="1:57" ph="1">
      <c r="A35" s="64"/>
      <c r="AC35" s="185" t="s" ph="1">
        <v>631</v>
      </c>
      <c r="AD35" s="185"/>
      <c r="AE35" s="185"/>
      <c r="AH35" s="64" ph="1">
        <v>21</v>
      </c>
      <c r="AI35" s="64" t="s" ph="1">
        <v>360</v>
      </c>
      <c r="AZ35" s="64" t="s" ph="1">
        <v>216</v>
      </c>
      <c r="BA35" s="64" ph="1">
        <v>0</v>
      </c>
      <c r="BD35" s="64" t="s" ph="1">
        <v>361</v>
      </c>
      <c r="BE35" s="64" ph="1">
        <v>2030</v>
      </c>
    </row>
    <row r="36" spans="1:57" ht="28.2" ph="1">
      <c r="A36" s="64"/>
      <c r="B36" s="103" t="s" ph="1">
        <v>182</v>
      </c>
      <c r="I36" s="171" t="s" ph="1">
        <v>183</v>
      </c>
      <c r="J36" s="171" ph="1"/>
      <c r="K36" s="101" ph="1"/>
      <c r="P36" s="101" ph="1"/>
      <c r="R36" s="171" t="s" ph="1">
        <v>184</v>
      </c>
      <c r="S36" s="171" ph="1"/>
      <c r="Y36" s="102" ph="1"/>
      <c r="Z36" s="153" t="s" ph="1">
        <v>185</v>
      </c>
      <c r="AA36" s="153" ph="1"/>
      <c r="AB36" s="172" t="s" ph="1">
        <v>640</v>
      </c>
      <c r="AC36" s="172" ph="1"/>
      <c r="AD36" s="172" ph="1"/>
      <c r="AE36" s="172" ph="1"/>
      <c r="BA36" s="64" ph="1">
        <v>2270</v>
      </c>
    </row>
    <row r="37" spans="1:57" s="153" customFormat="1" ph="1">
      <c r="A37" s="64" ph="1"/>
      <c r="B37" s="64" ph="1"/>
      <c r="C37" s="64" ph="1"/>
      <c r="D37" s="64" ph="1"/>
      <c r="E37" s="64" ph="1"/>
      <c r="F37" s="64" ph="1"/>
      <c r="G37" s="64" ph="1"/>
      <c r="H37" s="64" ph="1"/>
      <c r="I37" s="64" ph="1"/>
      <c r="J37" s="64" ph="1"/>
      <c r="K37" s="64" ph="1"/>
      <c r="L37" s="64" ph="1"/>
      <c r="M37" s="64" ph="1"/>
      <c r="N37" s="64" ph="1"/>
      <c r="O37" s="64" ph="1"/>
      <c r="P37" s="64" ph="1"/>
      <c r="Q37" s="64" ph="1"/>
      <c r="R37" s="64" ph="1"/>
      <c r="S37" s="64" ph="1"/>
      <c r="T37" s="64" ph="1"/>
      <c r="U37" s="64" ph="1"/>
      <c r="V37" s="64" ph="1"/>
      <c r="W37" s="64" ph="1"/>
      <c r="X37" s="64" ph="1"/>
      <c r="Y37" s="64" ph="1"/>
      <c r="Z37" s="64" ph="1"/>
      <c r="AA37" s="64" ph="1"/>
      <c r="AB37" s="64" ph="1"/>
      <c r="AC37" s="64" ph="1"/>
      <c r="AD37" s="64" ph="1"/>
      <c r="AE37" s="64" ph="1"/>
      <c r="AG37" s="153" t="s" ph="1">
        <v>342</v>
      </c>
      <c r="AI37" s="153" t="s" ph="1">
        <v>209</v>
      </c>
      <c r="AJ37" s="153" t="s" ph="1">
        <v>210</v>
      </c>
      <c r="AK37" s="153" t="s" ph="1">
        <v>211</v>
      </c>
      <c r="AM37" s="153" t="s" ph="1">
        <v>210</v>
      </c>
      <c r="AN37" s="153" t="s" ph="1">
        <v>211</v>
      </c>
      <c r="AO37" s="153" t="s" ph="1">
        <v>212</v>
      </c>
      <c r="AP37" s="153" t="s" ph="1">
        <v>210</v>
      </c>
      <c r="AQ37" s="153" t="s" ph="1">
        <v>211</v>
      </c>
      <c r="AR37" s="153" t="s" ph="1">
        <v>212</v>
      </c>
      <c r="AS37" s="153" t="s" ph="1">
        <v>210</v>
      </c>
      <c r="AT37" s="153" t="s" ph="1">
        <v>211</v>
      </c>
      <c r="AU37" s="153" t="s" ph="1">
        <v>212</v>
      </c>
      <c r="AV37" s="153" t="s" ph="1">
        <v>210</v>
      </c>
      <c r="AW37" s="153" t="s" ph="1">
        <v>211</v>
      </c>
      <c r="AX37" s="153" t="s" ph="1">
        <v>212</v>
      </c>
      <c r="AY37" s="153" t="s" ph="1">
        <v>211</v>
      </c>
      <c r="AZ37" s="153" t="s" ph="1">
        <v>213</v>
      </c>
      <c r="BD37" s="153" t="s" ph="1">
        <v>305</v>
      </c>
      <c r="BE37" s="153" ph="1">
        <v>0</v>
      </c>
    </row>
    <row r="38" spans="1:57" ph="1">
      <c r="AE38" s="64" ph="1"/>
      <c r="AH38" s="64" ph="1">
        <v>1</v>
      </c>
      <c r="AI38" s="64" t="s" ph="1">
        <v>362</v>
      </c>
      <c r="AY38" s="64" t="s" ph="1">
        <v>216</v>
      </c>
      <c r="AZ38" s="64" t="s" ph="1">
        <v>367</v>
      </c>
    </row>
    <row r="39" spans="1:57" ph="1">
      <c r="AH39" s="64" ph="1">
        <v>2</v>
      </c>
      <c r="AI39" s="64" t="s" ph="1">
        <v>364</v>
      </c>
      <c r="AJ39" s="64" t="s" ph="1">
        <v>336</v>
      </c>
      <c r="AK39" s="64" t="s" ph="1">
        <v>365</v>
      </c>
      <c r="AM39" s="64" t="s" ph="1">
        <v>570</v>
      </c>
      <c r="AN39" s="64" t="s" ph="1">
        <v>228</v>
      </c>
      <c r="AO39" s="64" t="s" ph="1">
        <v>363</v>
      </c>
      <c r="AY39" s="64" t="s" ph="1">
        <v>216</v>
      </c>
      <c r="AZ39" s="64" t="s" ph="1">
        <v>499</v>
      </c>
    </row>
    <row r="40" spans="1:57" ph="1">
      <c r="AH40" s="64" ph="1">
        <v>3</v>
      </c>
      <c r="AI40" s="64" t="s" ph="1">
        <v>366</v>
      </c>
      <c r="AJ40" s="64" t="s" ph="1">
        <v>570</v>
      </c>
      <c r="AK40" s="64" t="s" ph="1">
        <v>571</v>
      </c>
      <c r="AY40" s="64" t="s" ph="1">
        <v>216</v>
      </c>
      <c r="AZ40" s="64" t="s" ph="1">
        <v>571</v>
      </c>
    </row>
    <row r="41" spans="1:57" ph="1">
      <c r="AH41" s="64" ph="1">
        <v>4</v>
      </c>
      <c r="AI41" s="64" t="s" ph="1">
        <v>368</v>
      </c>
      <c r="AJ41" s="64" t="s" ph="1">
        <v>572</v>
      </c>
      <c r="AK41" s="64" t="s" ph="1">
        <v>573</v>
      </c>
      <c r="AM41" s="64" t="s" ph="1">
        <v>574</v>
      </c>
      <c r="AY41" s="64" t="s" ph="1">
        <v>216</v>
      </c>
      <c r="AZ41" s="64" t="s" ph="1">
        <v>573</v>
      </c>
    </row>
    <row r="42" spans="1:57" ph="1">
      <c r="P42" s="64"/>
      <c r="Q42" s="64"/>
      <c r="R42" s="64"/>
      <c r="S42" s="64"/>
      <c r="T42" s="64"/>
      <c r="U42" s="64"/>
      <c r="V42" s="64"/>
      <c r="W42" s="64"/>
      <c r="X42" s="64"/>
      <c r="Y42" s="64"/>
      <c r="Z42" s="64"/>
      <c r="AA42" s="64"/>
      <c r="AB42" s="64"/>
      <c r="AC42" s="64"/>
      <c r="AD42" s="64"/>
      <c r="AE42" s="75"/>
      <c r="AH42" s="64" ph="1">
        <v>5</v>
      </c>
      <c r="AI42" s="64" t="s" ph="1">
        <v>369</v>
      </c>
      <c r="AY42" s="64" t="s" ph="1">
        <v>216</v>
      </c>
      <c r="AZ42" s="64" t="s" ph="1">
        <v>367</v>
      </c>
    </row>
    <row r="43" spans="1:57" ph="1">
      <c r="C43" s="64"/>
      <c r="D43" s="64"/>
      <c r="E43" s="64"/>
      <c r="F43" s="64"/>
      <c r="G43" s="64"/>
      <c r="H43" s="64"/>
      <c r="I43" s="64"/>
      <c r="J43" s="64"/>
      <c r="K43" s="64"/>
      <c r="L43" s="64"/>
      <c r="M43" s="64"/>
      <c r="N43" s="64"/>
      <c r="O43" s="64"/>
      <c r="P43" s="64"/>
      <c r="R43" s="64"/>
      <c r="S43" s="64"/>
      <c r="T43" s="64"/>
      <c r="U43" s="64"/>
      <c r="V43" s="64"/>
      <c r="W43" s="64"/>
      <c r="X43" s="64"/>
      <c r="Y43" s="64"/>
      <c r="Z43" s="64"/>
      <c r="AA43" s="64"/>
      <c r="AB43" s="64"/>
      <c r="AC43" s="64"/>
      <c r="AD43" s="64"/>
      <c r="AE43" s="75"/>
      <c r="AH43" s="64" ph="1">
        <v>6</v>
      </c>
      <c r="AI43" s="64" t="s" ph="1">
        <v>370</v>
      </c>
      <c r="AY43" s="64" t="s" ph="1">
        <v>216</v>
      </c>
      <c r="AZ43" s="64" t="s" ph="1">
        <v>367</v>
      </c>
    </row>
    <row r="44" spans="1:57" ph="1">
      <c r="R44" s="64"/>
      <c r="S44" s="64"/>
      <c r="T44" s="64"/>
      <c r="U44" s="64"/>
      <c r="V44" s="64"/>
      <c r="W44" s="64"/>
      <c r="X44" s="64"/>
      <c r="Y44" s="64"/>
      <c r="Z44" s="64"/>
      <c r="AA44" s="64"/>
      <c r="AB44" s="64"/>
      <c r="AC44" s="64"/>
      <c r="AD44" s="64"/>
      <c r="AE44" s="75"/>
      <c r="AH44" s="64" ph="1">
        <v>7</v>
      </c>
      <c r="AI44" s="64" t="s" ph="1">
        <v>371</v>
      </c>
      <c r="AV44" s="64" t="s" ph="1">
        <v>217</v>
      </c>
      <c r="AY44" s="64" t="s" ph="1">
        <v>216</v>
      </c>
      <c r="AZ44" s="64" t="s" ph="1">
        <v>367</v>
      </c>
    </row>
    <row r="45" spans="1:57" ph="1">
      <c r="R45" s="64"/>
      <c r="S45" s="64"/>
      <c r="T45" s="64"/>
      <c r="U45" s="64"/>
      <c r="V45" s="64"/>
      <c r="W45" s="64"/>
      <c r="X45" s="64"/>
      <c r="Y45" s="64"/>
      <c r="Z45" s="64"/>
      <c r="AA45" s="64"/>
      <c r="AB45" s="64"/>
      <c r="AC45" s="64"/>
      <c r="AD45" s="64"/>
      <c r="AE45" s="75"/>
      <c r="AH45" s="64" ph="1">
        <v>8</v>
      </c>
      <c r="AI45" s="64" t="s" ph="1">
        <v>372</v>
      </c>
      <c r="AV45" s="64" t="s" ph="1">
        <v>217</v>
      </c>
      <c r="AY45" s="64" t="s" ph="1">
        <v>216</v>
      </c>
      <c r="AZ45" s="64" t="s" ph="1">
        <v>367</v>
      </c>
    </row>
    <row r="46" spans="1:57" ph="1">
      <c r="R46" s="64"/>
      <c r="S46" s="64"/>
      <c r="T46" s="64"/>
      <c r="U46" s="64"/>
      <c r="V46" s="64"/>
      <c r="W46" s="64"/>
      <c r="X46" s="64"/>
      <c r="Y46" s="64"/>
      <c r="Z46" s="64"/>
      <c r="AA46" s="64"/>
      <c r="AB46" s="64"/>
      <c r="AC46" s="64"/>
      <c r="AD46" s="64"/>
      <c r="AE46" s="75"/>
      <c r="AH46" s="64" ph="1">
        <v>9</v>
      </c>
      <c r="AI46" s="64" t="s" ph="1">
        <v>373</v>
      </c>
      <c r="AV46" s="64" t="s" ph="1">
        <v>217</v>
      </c>
      <c r="AY46" s="64" t="s" ph="1">
        <v>216</v>
      </c>
      <c r="AZ46" s="64" t="s" ph="1">
        <v>367</v>
      </c>
    </row>
    <row r="47" spans="1:57" ph="1">
      <c r="R47" s="64"/>
      <c r="S47" s="64"/>
      <c r="T47" s="64"/>
      <c r="U47" s="64"/>
      <c r="V47" s="64"/>
      <c r="W47" s="64"/>
      <c r="X47" s="64"/>
      <c r="Y47" s="64"/>
      <c r="Z47" s="64"/>
      <c r="AA47" s="64"/>
      <c r="AB47" s="64"/>
      <c r="AC47" s="64"/>
      <c r="AD47" s="64"/>
      <c r="AE47" s="75"/>
      <c r="AH47" s="64" ph="1">
        <v>10</v>
      </c>
      <c r="AI47" s="64" t="s" ph="1">
        <v>374</v>
      </c>
      <c r="AV47" s="64" t="s" ph="1">
        <v>217</v>
      </c>
      <c r="AY47" s="64" t="s" ph="1">
        <v>216</v>
      </c>
      <c r="AZ47" s="64" t="s" ph="1">
        <v>367</v>
      </c>
    </row>
    <row r="48" spans="1:57" ph="1">
      <c r="R48" s="64"/>
      <c r="S48" s="64"/>
      <c r="T48" s="64"/>
      <c r="U48" s="64"/>
      <c r="V48" s="64"/>
      <c r="W48" s="64"/>
      <c r="X48" s="64"/>
      <c r="Y48" s="64"/>
      <c r="Z48" s="64"/>
      <c r="AA48" s="64"/>
      <c r="AB48" s="64"/>
      <c r="AC48" s="64"/>
      <c r="AD48" s="64"/>
      <c r="AE48" s="75"/>
      <c r="AZ48" s="64" t="s" ph="1">
        <v>575</v>
      </c>
    </row>
    <row r="49" spans="16:52" ph="1">
      <c r="R49" s="64"/>
      <c r="S49" s="64"/>
      <c r="T49" s="64"/>
      <c r="U49" s="64"/>
      <c r="V49" s="64"/>
      <c r="W49" s="64"/>
      <c r="X49" s="64"/>
      <c r="Y49" s="64"/>
      <c r="Z49" s="64"/>
      <c r="AA49" s="64"/>
      <c r="AB49" s="64"/>
      <c r="AC49" s="64"/>
      <c r="AD49" s="64"/>
      <c r="AE49" s="75"/>
      <c r="AG49" s="64" t="s" ph="1">
        <v>232</v>
      </c>
      <c r="AI49" s="64" t="s" ph="1">
        <v>209</v>
      </c>
      <c r="AJ49" s="64" t="s" ph="1">
        <v>210</v>
      </c>
      <c r="AK49" s="64" t="s" ph="1">
        <v>211</v>
      </c>
      <c r="AM49" s="64" t="s" ph="1">
        <v>210</v>
      </c>
      <c r="AN49" s="64" t="s" ph="1">
        <v>211</v>
      </c>
      <c r="AO49" s="64" t="s" ph="1">
        <v>212</v>
      </c>
      <c r="AP49" s="64" t="s" ph="1">
        <v>210</v>
      </c>
      <c r="AQ49" s="64" t="s" ph="1">
        <v>211</v>
      </c>
      <c r="AR49" s="64" t="s" ph="1">
        <v>212</v>
      </c>
      <c r="AS49" s="64" t="s" ph="1">
        <v>210</v>
      </c>
      <c r="AT49" s="64" t="s" ph="1">
        <v>211</v>
      </c>
      <c r="AU49" s="64" t="s" ph="1">
        <v>212</v>
      </c>
      <c r="AV49" s="64" t="s" ph="1">
        <v>210</v>
      </c>
      <c r="AW49" s="64" t="s" ph="1">
        <v>211</v>
      </c>
      <c r="AX49" s="64" t="s" ph="1">
        <v>212</v>
      </c>
      <c r="AY49" s="64" t="s" ph="1">
        <v>211</v>
      </c>
      <c r="AZ49" s="64" t="s" ph="1">
        <v>213</v>
      </c>
    </row>
    <row r="50" spans="16:52" ph="1">
      <c r="R50" s="64"/>
      <c r="S50" s="64"/>
      <c r="T50" s="64"/>
      <c r="U50" s="64"/>
      <c r="V50" s="64"/>
      <c r="W50" s="64"/>
      <c r="X50" s="64"/>
      <c r="Y50" s="64"/>
      <c r="Z50" s="64"/>
      <c r="AA50" s="64"/>
      <c r="AB50" s="64"/>
      <c r="AC50" s="64"/>
      <c r="AD50" s="64"/>
      <c r="AE50" s="75"/>
      <c r="AH50" s="64" ph="1">
        <v>1</v>
      </c>
      <c r="AI50" s="64" t="s" ph="1">
        <v>375</v>
      </c>
      <c r="AY50" s="64" t="s" ph="1">
        <v>216</v>
      </c>
      <c r="AZ50" s="64" t="s" ph="1">
        <v>367</v>
      </c>
    </row>
    <row r="51" spans="16:52" ph="1">
      <c r="R51" s="64"/>
      <c r="S51" s="64"/>
      <c r="T51" s="64"/>
      <c r="U51" s="64"/>
      <c r="V51" s="64"/>
      <c r="W51" s="64"/>
      <c r="X51" s="64"/>
      <c r="Y51" s="64"/>
      <c r="Z51" s="64"/>
      <c r="AA51" s="64"/>
      <c r="AB51" s="64"/>
      <c r="AC51" s="64"/>
      <c r="AD51" s="64"/>
      <c r="AE51" s="75"/>
      <c r="AH51" s="64" ph="1">
        <v>2</v>
      </c>
      <c r="AI51" s="64" t="s" ph="1">
        <v>376</v>
      </c>
      <c r="AY51" s="64" t="s" ph="1">
        <v>216</v>
      </c>
      <c r="AZ51" s="64" t="s" ph="1">
        <v>367</v>
      </c>
    </row>
    <row r="52" spans="16:52" ph="1">
      <c r="R52" s="64"/>
      <c r="S52" s="64"/>
      <c r="T52" s="64"/>
      <c r="U52" s="64"/>
      <c r="V52" s="64"/>
      <c r="W52" s="64"/>
      <c r="X52" s="64"/>
      <c r="Y52" s="64"/>
      <c r="Z52" s="64"/>
      <c r="AA52" s="64"/>
      <c r="AB52" s="64"/>
      <c r="AC52" s="64"/>
      <c r="AD52" s="64"/>
      <c r="AE52" s="75"/>
      <c r="AH52" s="64" ph="1">
        <v>3</v>
      </c>
      <c r="AI52" s="64" t="s" ph="1">
        <v>377</v>
      </c>
      <c r="AJ52" s="64" t="s" ph="1">
        <v>334</v>
      </c>
      <c r="AK52" s="64" t="s" ph="1">
        <v>228</v>
      </c>
      <c r="AM52" s="64" t="s" ph="1">
        <v>336</v>
      </c>
      <c r="AN52" s="64" t="s" ph="1">
        <v>300</v>
      </c>
      <c r="AO52" s="64" t="s" ph="1">
        <v>233</v>
      </c>
      <c r="AP52" s="64" t="s" ph="1">
        <v>570</v>
      </c>
      <c r="AQ52" s="64" t="s" ph="1">
        <v>282</v>
      </c>
      <c r="AR52" s="64" t="s" ph="1">
        <v>233</v>
      </c>
      <c r="AY52" s="64" t="s" ph="1">
        <v>216</v>
      </c>
      <c r="AZ52" s="64" t="s" ph="1">
        <v>576</v>
      </c>
    </row>
    <row r="53" spans="16:52" ph="1">
      <c r="R53" s="64"/>
      <c r="S53" s="64"/>
      <c r="T53" s="64"/>
      <c r="U53" s="64"/>
      <c r="W53" s="64"/>
      <c r="X53" s="64"/>
      <c r="Y53" s="64"/>
      <c r="Z53" s="64"/>
      <c r="AA53" s="64"/>
      <c r="AB53" s="64"/>
      <c r="AC53" s="64"/>
      <c r="AD53" s="64"/>
      <c r="AH53" s="64" ph="1">
        <v>4</v>
      </c>
      <c r="AI53" s="64" t="s" ph="1">
        <v>378</v>
      </c>
      <c r="AY53" s="64" t="s" ph="1">
        <v>216</v>
      </c>
      <c r="AZ53" s="64" t="s" ph="1">
        <v>367</v>
      </c>
    </row>
    <row r="54" spans="16:52" ph="1">
      <c r="R54" s="64"/>
      <c r="S54" s="64"/>
      <c r="T54" s="64"/>
      <c r="U54" s="64"/>
      <c r="W54" s="64"/>
      <c r="X54" s="64"/>
      <c r="Y54" s="64"/>
      <c r="Z54" s="64"/>
      <c r="AA54" s="64"/>
      <c r="AC54" s="64"/>
      <c r="AD54" s="64"/>
      <c r="AH54" s="64" ph="1">
        <v>5</v>
      </c>
      <c r="AI54" s="64" t="s" ph="1">
        <v>379</v>
      </c>
      <c r="AJ54" s="64" t="s" ph="1">
        <v>334</v>
      </c>
      <c r="AK54" s="64" t="s" ph="1">
        <v>219</v>
      </c>
      <c r="AM54" s="64" t="s" ph="1">
        <v>336</v>
      </c>
      <c r="AN54" s="64" t="s" ph="1">
        <v>224</v>
      </c>
      <c r="AO54" s="64" t="s" ph="1">
        <v>233</v>
      </c>
      <c r="AP54" s="64" t="s" ph="1">
        <v>570</v>
      </c>
      <c r="AQ54" s="64" t="s" ph="1">
        <v>240</v>
      </c>
      <c r="AR54" s="64" t="s" ph="1">
        <v>233</v>
      </c>
      <c r="AY54" s="64" t="s" ph="1">
        <v>216</v>
      </c>
      <c r="AZ54" s="64" t="s" ph="1">
        <v>234</v>
      </c>
    </row>
    <row r="55" spans="16:52" ph="1">
      <c r="R55" s="64"/>
      <c r="S55" s="64"/>
      <c r="T55" s="64"/>
      <c r="U55" s="64"/>
      <c r="V55" s="64"/>
      <c r="W55" s="64"/>
      <c r="X55" s="64"/>
      <c r="Z55" s="64"/>
      <c r="AC55" s="64"/>
      <c r="AD55" s="64"/>
      <c r="AE55" s="75"/>
      <c r="AH55" s="64" ph="1">
        <v>6</v>
      </c>
      <c r="AI55" s="64" t="s" ph="1">
        <v>380</v>
      </c>
      <c r="AY55" s="64" t="s" ph="1">
        <v>216</v>
      </c>
      <c r="AZ55" s="64" t="s" ph="1">
        <v>367</v>
      </c>
    </row>
    <row r="56" spans="16:52" ph="1">
      <c r="P56" s="64" ph="1">
        <v>20260804</v>
      </c>
      <c r="R56" s="64"/>
      <c r="S56" s="64"/>
      <c r="T56" s="64"/>
      <c r="U56" s="64"/>
      <c r="V56" s="64"/>
      <c r="W56" s="64"/>
      <c r="X56" s="64"/>
      <c r="Z56" s="64"/>
      <c r="AA56" s="64"/>
      <c r="AB56" s="64"/>
      <c r="AC56" s="64"/>
      <c r="AD56" s="64"/>
      <c r="AE56" s="75"/>
      <c r="AH56" s="64" ph="1">
        <v>7</v>
      </c>
      <c r="AI56" s="64" t="s" ph="1">
        <v>381</v>
      </c>
      <c r="AY56" s="64" t="s" ph="1">
        <v>216</v>
      </c>
      <c r="AZ56" s="64" t="s" ph="1">
        <v>367</v>
      </c>
    </row>
    <row r="57" spans="16:52" ph="1">
      <c r="R57" s="64"/>
      <c r="S57" s="64"/>
      <c r="T57" s="64"/>
      <c r="U57" s="64"/>
      <c r="V57" s="64"/>
      <c r="W57" s="64"/>
      <c r="AA57" s="64"/>
      <c r="AB57" s="64"/>
      <c r="AC57" s="64"/>
      <c r="AD57" s="64"/>
      <c r="AE57" s="75"/>
      <c r="AH57" s="64" ph="1">
        <v>8</v>
      </c>
      <c r="AI57" s="64" t="s" ph="1">
        <v>382</v>
      </c>
      <c r="AY57" s="64" t="s" ph="1">
        <v>216</v>
      </c>
      <c r="AZ57" s="64" t="s" ph="1">
        <v>367</v>
      </c>
    </row>
    <row r="58" spans="16:52" ph="1">
      <c r="P58" s="64"/>
      <c r="AN58" s="64" t="s" ph="1">
        <v>217</v>
      </c>
      <c r="AZ58" s="64" t="s" ph="1">
        <v>577</v>
      </c>
    </row>
    <row r="59" spans="16:52" ph="1">
      <c r="V59" s="64"/>
      <c r="AG59" s="64" t="s" ph="1">
        <v>235</v>
      </c>
      <c r="AI59" s="64" t="s" ph="1">
        <v>209</v>
      </c>
      <c r="AJ59" s="64" t="s" ph="1">
        <v>210</v>
      </c>
      <c r="AK59" s="64" t="s" ph="1">
        <v>211</v>
      </c>
      <c r="AM59" s="64" t="s" ph="1">
        <v>210</v>
      </c>
      <c r="AN59" s="64" t="s" ph="1">
        <v>211</v>
      </c>
      <c r="AO59" s="64" t="s" ph="1">
        <v>212</v>
      </c>
      <c r="AP59" s="64" t="s" ph="1">
        <v>210</v>
      </c>
      <c r="AQ59" s="64" t="s" ph="1">
        <v>211</v>
      </c>
      <c r="AR59" s="64" t="s" ph="1">
        <v>212</v>
      </c>
      <c r="AS59" s="64" t="s" ph="1">
        <v>210</v>
      </c>
      <c r="AT59" s="64" t="s" ph="1">
        <v>211</v>
      </c>
      <c r="AU59" s="64" t="s" ph="1">
        <v>212</v>
      </c>
      <c r="AV59" s="64" t="s" ph="1">
        <v>210</v>
      </c>
      <c r="AW59" s="64" t="s" ph="1">
        <v>211</v>
      </c>
      <c r="AX59" s="64" t="s" ph="1">
        <v>212</v>
      </c>
      <c r="AY59" s="64" t="s" ph="1">
        <v>211</v>
      </c>
      <c r="AZ59" s="64" t="s" ph="1">
        <v>213</v>
      </c>
    </row>
    <row r="60" spans="16:52" ph="1">
      <c r="R60" s="64"/>
      <c r="S60" s="64"/>
      <c r="T60" s="64"/>
      <c r="AH60" s="64" ph="1">
        <v>1</v>
      </c>
      <c r="AI60" s="64" t="s" ph="1">
        <v>383</v>
      </c>
      <c r="AY60" s="64" t="s" ph="1">
        <v>216</v>
      </c>
      <c r="AZ60" s="64" t="s" ph="1">
        <v>367</v>
      </c>
    </row>
    <row r="61" spans="16:52" ph="1">
      <c r="AH61" s="64" ph="1">
        <v>2</v>
      </c>
      <c r="AI61" s="64" t="s" ph="1">
        <v>384</v>
      </c>
      <c r="AS61" s="64" t="s" ph="1">
        <v>217</v>
      </c>
      <c r="AY61" s="64" t="s" ph="1">
        <v>216</v>
      </c>
      <c r="AZ61" s="64" t="s" ph="1">
        <v>367</v>
      </c>
    </row>
    <row r="62" spans="16:52" ph="1">
      <c r="AZ62" s="64" t="s" ph="1">
        <v>385</v>
      </c>
    </row>
    <row r="63" spans="16:52" ph="1">
      <c r="AG63" s="64" t="s" ph="1">
        <v>238</v>
      </c>
      <c r="AI63" s="64" t="s" ph="1">
        <v>209</v>
      </c>
      <c r="AJ63" s="64" t="s" ph="1">
        <v>210</v>
      </c>
      <c r="AK63" s="64" t="s" ph="1">
        <v>211</v>
      </c>
      <c r="AM63" s="64" t="s" ph="1">
        <v>210</v>
      </c>
      <c r="AN63" s="64" t="s" ph="1">
        <v>211</v>
      </c>
      <c r="AO63" s="64" t="s" ph="1">
        <v>212</v>
      </c>
      <c r="AP63" s="64" t="s" ph="1">
        <v>210</v>
      </c>
      <c r="AQ63" s="64" t="s" ph="1">
        <v>211</v>
      </c>
      <c r="AR63" s="64" t="s" ph="1">
        <v>212</v>
      </c>
      <c r="AS63" s="64" t="s" ph="1">
        <v>210</v>
      </c>
      <c r="AT63" s="64" t="s" ph="1">
        <v>211</v>
      </c>
      <c r="AU63" s="64" t="s" ph="1">
        <v>212</v>
      </c>
      <c r="AV63" s="64" t="s" ph="1">
        <v>210</v>
      </c>
      <c r="AW63" s="64" t="s" ph="1">
        <v>211</v>
      </c>
      <c r="AX63" s="64" t="s" ph="1">
        <v>212</v>
      </c>
      <c r="AY63" s="64" t="s" ph="1">
        <v>211</v>
      </c>
      <c r="AZ63" s="64" t="s" ph="1">
        <v>213</v>
      </c>
    </row>
    <row r="64" spans="16:52" ph="1">
      <c r="AH64" s="64" ph="1">
        <v>1</v>
      </c>
      <c r="AI64" s="64" t="s" ph="1">
        <v>386</v>
      </c>
      <c r="AJ64" s="64" t="s" ph="1">
        <v>387</v>
      </c>
      <c r="AK64" s="64" t="s" ph="1">
        <v>388</v>
      </c>
      <c r="AY64" s="64" t="s" ph="1">
        <v>216</v>
      </c>
      <c r="AZ64" s="64" t="s" ph="1">
        <v>388</v>
      </c>
    </row>
    <row r="65" spans="33:52" ph="1">
      <c r="AH65" s="64" ph="1">
        <v>2</v>
      </c>
      <c r="AI65" s="64" t="s" ph="1">
        <v>389</v>
      </c>
      <c r="AY65" s="64" t="s" ph="1">
        <v>216</v>
      </c>
      <c r="AZ65" s="64" t="s" ph="1">
        <v>367</v>
      </c>
    </row>
    <row r="66" spans="33:52" ph="1">
      <c r="AH66" s="64" ph="1">
        <v>3</v>
      </c>
      <c r="AI66" s="64" t="s" ph="1">
        <v>390</v>
      </c>
      <c r="AY66" s="64" t="s" ph="1">
        <v>216</v>
      </c>
      <c r="AZ66" s="64" t="s" ph="1">
        <v>367</v>
      </c>
    </row>
    <row r="67" spans="33:52" ph="1">
      <c r="AH67" s="64" ph="1">
        <v>4</v>
      </c>
      <c r="AI67" s="64" t="s" ph="1">
        <v>391</v>
      </c>
      <c r="AY67" s="64" t="s" ph="1">
        <v>216</v>
      </c>
      <c r="AZ67" s="64" t="s" ph="1">
        <v>367</v>
      </c>
    </row>
    <row r="68" spans="33:52" ph="1">
      <c r="AH68" s="64" ph="1">
        <v>5</v>
      </c>
      <c r="AI68" s="64" t="s" ph="1">
        <v>392</v>
      </c>
      <c r="AY68" s="64" t="s" ph="1">
        <v>216</v>
      </c>
      <c r="AZ68" s="64" t="s" ph="1">
        <v>367</v>
      </c>
    </row>
    <row r="69" spans="33:52" ph="1">
      <c r="AH69" s="64" ph="1">
        <v>6</v>
      </c>
      <c r="AI69" s="64" t="s" ph="1">
        <v>393</v>
      </c>
      <c r="AY69" s="64" t="s" ph="1">
        <v>216</v>
      </c>
      <c r="AZ69" s="64" t="s" ph="1">
        <v>367</v>
      </c>
    </row>
    <row r="70" spans="33:52" ph="1">
      <c r="AI70" s="64" t="s" ph="1">
        <v>394</v>
      </c>
      <c r="AY70" s="64" t="s" ph="1">
        <v>216</v>
      </c>
      <c r="AZ70" s="64" t="s" ph="1">
        <v>367</v>
      </c>
    </row>
    <row r="71" spans="33:52" ph="1">
      <c r="AH71" s="64" ph="1">
        <v>7</v>
      </c>
      <c r="AI71" s="64" t="s" ph="1">
        <v>395</v>
      </c>
      <c r="AJ71" s="64" t="s" ph="1">
        <v>334</v>
      </c>
      <c r="AK71" s="64" t="s" ph="1">
        <v>228</v>
      </c>
      <c r="AM71" s="64" t="s" ph="1">
        <v>336</v>
      </c>
      <c r="AN71" s="64" t="s" ph="1">
        <v>228</v>
      </c>
      <c r="AO71" s="64" t="s" ph="1">
        <v>396</v>
      </c>
      <c r="AP71" s="64" t="s" ph="1">
        <v>570</v>
      </c>
      <c r="AQ71" s="64" t="s" ph="1">
        <v>219</v>
      </c>
      <c r="AR71" s="64" t="s" ph="1">
        <v>396</v>
      </c>
      <c r="AY71" s="64" t="s" ph="1">
        <v>216</v>
      </c>
      <c r="AZ71" s="64" t="s" ph="1">
        <v>578</v>
      </c>
    </row>
    <row r="72" spans="33:52" ph="1">
      <c r="AZ72" s="64" t="s" ph="1">
        <v>579</v>
      </c>
    </row>
    <row r="73" spans="33:52" ph="1">
      <c r="AG73" s="64" t="s" ph="1">
        <v>241</v>
      </c>
      <c r="AI73" s="64" t="s" ph="1">
        <v>209</v>
      </c>
      <c r="AJ73" s="64" t="s" ph="1">
        <v>210</v>
      </c>
      <c r="AK73" s="64" t="s" ph="1">
        <v>211</v>
      </c>
      <c r="AM73" s="64" t="s" ph="1">
        <v>210</v>
      </c>
      <c r="AN73" s="64" t="s" ph="1">
        <v>211</v>
      </c>
      <c r="AO73" s="64" t="s" ph="1">
        <v>212</v>
      </c>
      <c r="AP73" s="64" t="s" ph="1">
        <v>210</v>
      </c>
      <c r="AQ73" s="64" t="s" ph="1">
        <v>211</v>
      </c>
      <c r="AR73" s="64" t="s" ph="1">
        <v>212</v>
      </c>
      <c r="AS73" s="64" t="s" ph="1">
        <v>210</v>
      </c>
      <c r="AT73" s="64" t="s" ph="1">
        <v>211</v>
      </c>
      <c r="AU73" s="64" t="s" ph="1">
        <v>212</v>
      </c>
      <c r="AV73" s="64" t="s" ph="1">
        <v>210</v>
      </c>
      <c r="AW73" s="64" t="s" ph="1">
        <v>211</v>
      </c>
      <c r="AX73" s="64" t="s" ph="1">
        <v>212</v>
      </c>
      <c r="AY73" s="64" t="s" ph="1">
        <v>211</v>
      </c>
      <c r="AZ73" s="64" t="s" ph="1">
        <v>213</v>
      </c>
    </row>
    <row r="74" spans="33:52" ph="1">
      <c r="AH74" s="64" ph="1">
        <v>1</v>
      </c>
      <c r="AI74" s="64" t="s" ph="1">
        <v>397</v>
      </c>
      <c r="AJ74" s="64" t="s" ph="1">
        <v>242</v>
      </c>
      <c r="AK74" s="64" t="s" ph="1">
        <v>224</v>
      </c>
      <c r="AM74" s="64" t="s" ph="1">
        <v>244</v>
      </c>
      <c r="AN74" s="64" t="s" ph="1">
        <v>254</v>
      </c>
      <c r="AO74" s="64" t="s" ph="1">
        <v>243</v>
      </c>
      <c r="AP74" s="64" t="s" ph="1">
        <v>245</v>
      </c>
      <c r="AQ74" s="64" t="s" ph="1">
        <v>222</v>
      </c>
      <c r="AR74" s="64" t="s" ph="1">
        <v>243</v>
      </c>
      <c r="AS74" s="64" t="s" ph="1">
        <v>215</v>
      </c>
      <c r="AT74" s="64" t="s" ph="1">
        <v>217</v>
      </c>
      <c r="AV74" s="64" t="s" ph="1">
        <v>398</v>
      </c>
      <c r="AW74" s="64" t="s" ph="1">
        <v>399</v>
      </c>
      <c r="AX74" s="64" t="s" ph="1">
        <v>400</v>
      </c>
      <c r="AY74" s="64" t="s" ph="1">
        <v>216</v>
      </c>
      <c r="AZ74" s="64" t="s" ph="1">
        <v>401</v>
      </c>
    </row>
    <row r="75" spans="33:52" ph="1">
      <c r="AJ75" s="64" t="s" ph="1">
        <v>247</v>
      </c>
      <c r="AK75" s="64" t="s" ph="1">
        <v>300</v>
      </c>
      <c r="AM75" s="64" t="s" ph="1">
        <v>245</v>
      </c>
      <c r="AN75" s="64" t="s" ph="1">
        <v>225</v>
      </c>
      <c r="AO75" s="64" t="s" ph="1">
        <v>243</v>
      </c>
      <c r="AS75" s="64" t="s" ph="1">
        <v>215</v>
      </c>
      <c r="AT75" s="64" t="s" ph="1">
        <v>246</v>
      </c>
    </row>
    <row r="76" spans="33:52" ph="1">
      <c r="AJ76" s="64" t="s" ph="1">
        <v>247</v>
      </c>
      <c r="AK76" s="64" t="s" ph="1">
        <v>240</v>
      </c>
      <c r="AM76" s="64" t="s" ph="1">
        <v>245</v>
      </c>
      <c r="AN76" s="64" t="s" ph="1">
        <v>228</v>
      </c>
      <c r="AO76" s="64" t="s" ph="1">
        <v>243</v>
      </c>
      <c r="AS76" s="64" t="s" ph="1">
        <v>215</v>
      </c>
      <c r="AT76" s="64" t="s" ph="1">
        <v>246</v>
      </c>
    </row>
    <row r="77" spans="33:52" ph="1">
      <c r="AJ77" s="64" t="s" ph="1">
        <v>283</v>
      </c>
      <c r="AK77" s="64" t="s" ph="1">
        <v>240</v>
      </c>
      <c r="AM77" s="64" t="s" ph="1">
        <v>284</v>
      </c>
      <c r="AN77" s="64" t="s" ph="1">
        <v>223</v>
      </c>
      <c r="AO77" s="64" t="s" ph="1">
        <v>243</v>
      </c>
      <c r="AS77" s="64" t="s" ph="1">
        <v>215</v>
      </c>
      <c r="AT77" s="64" t="s" ph="1">
        <v>285</v>
      </c>
    </row>
    <row r="78" spans="33:52" ph="1">
      <c r="AH78" s="64" ph="1">
        <v>2</v>
      </c>
      <c r="AI78" s="64" t="s" ph="1">
        <v>249</v>
      </c>
      <c r="AJ78" s="64" t="s" ph="1">
        <v>250</v>
      </c>
      <c r="AK78" s="64" t="s" ph="1">
        <v>219</v>
      </c>
      <c r="AM78" s="64" t="s" ph="1">
        <v>251</v>
      </c>
      <c r="AN78" s="64" t="s" ph="1">
        <v>254</v>
      </c>
      <c r="AO78" s="64" t="s" ph="1">
        <v>243</v>
      </c>
      <c r="AP78" s="64" t="s" ph="1">
        <v>252</v>
      </c>
      <c r="AQ78" s="64" t="s" ph="1">
        <v>298</v>
      </c>
      <c r="AR78" s="64" t="s" ph="1">
        <v>243</v>
      </c>
      <c r="AS78" s="64" t="s" ph="1">
        <v>253</v>
      </c>
      <c r="AT78" s="64" t="s" ph="1">
        <v>254</v>
      </c>
      <c r="AU78" s="64" t="s" ph="1">
        <v>243</v>
      </c>
      <c r="AV78" s="64" t="s" ph="1">
        <v>255</v>
      </c>
      <c r="AW78" s="64" t="s" ph="1">
        <v>243</v>
      </c>
      <c r="AY78" s="64" t="s" ph="1">
        <v>216</v>
      </c>
      <c r="AZ78" s="64" t="s" ph="1">
        <v>402</v>
      </c>
    </row>
    <row r="79" spans="33:52" ph="1">
      <c r="AJ79" s="64" t="s" ph="1">
        <v>245</v>
      </c>
      <c r="AK79" s="64" t="s" ph="1">
        <v>256</v>
      </c>
      <c r="AM79" s="64" t="s" ph="1">
        <v>257</v>
      </c>
      <c r="AN79" s="64" t="s" ph="1">
        <v>225</v>
      </c>
      <c r="AO79" s="64" t="s" ph="1">
        <v>243</v>
      </c>
      <c r="AP79" s="64" t="s" ph="1">
        <v>258</v>
      </c>
      <c r="AQ79" s="64" t="s" ph="1">
        <v>223</v>
      </c>
      <c r="AR79" s="64" t="s" ph="1">
        <v>259</v>
      </c>
      <c r="AS79" s="64" t="s" ph="1">
        <v>215</v>
      </c>
      <c r="AT79" s="64" t="s" ph="1">
        <v>260</v>
      </c>
      <c r="AV79" s="64" t="s" ph="1">
        <v>403</v>
      </c>
      <c r="AW79" s="64" t="s" ph="1">
        <v>302</v>
      </c>
      <c r="AX79" s="64" t="s" ph="1">
        <v>400</v>
      </c>
    </row>
    <row r="80" spans="33:52" ph="1">
      <c r="AH80" s="64" ph="1">
        <v>3</v>
      </c>
      <c r="AI80" s="64" t="s" ph="1">
        <v>261</v>
      </c>
      <c r="AJ80" s="64" t="s" ph="1">
        <v>262</v>
      </c>
      <c r="AK80" s="64" t="s" ph="1">
        <v>263</v>
      </c>
      <c r="AM80" s="64" t="s" ph="1">
        <v>264</v>
      </c>
      <c r="AN80" s="64" t="s" ph="1">
        <v>254</v>
      </c>
      <c r="AO80" s="64" t="s" ph="1">
        <v>243</v>
      </c>
      <c r="AP80" s="64" t="s" ph="1">
        <v>265</v>
      </c>
      <c r="AQ80" s="64" t="s" ph="1">
        <v>228</v>
      </c>
      <c r="AR80" s="64" t="s" ph="1">
        <v>243</v>
      </c>
      <c r="AS80" s="64" t="s" ph="1">
        <v>266</v>
      </c>
      <c r="AT80" s="64" t="s" ph="1">
        <v>227</v>
      </c>
      <c r="AU80" s="64" t="s" ph="1">
        <v>243</v>
      </c>
      <c r="AV80" s="64" t="s" ph="1">
        <v>267</v>
      </c>
      <c r="AW80" s="64" t="s" ph="1">
        <v>243</v>
      </c>
      <c r="AY80" s="64" t="s" ph="1">
        <v>216</v>
      </c>
      <c r="AZ80" s="64" t="s" ph="1">
        <v>404</v>
      </c>
    </row>
    <row r="81" spans="34:52" ph="1">
      <c r="AJ81" s="64" t="s" ph="1">
        <v>268</v>
      </c>
      <c r="AK81" s="64" t="s" ph="1">
        <v>222</v>
      </c>
      <c r="AM81" s="64" t="s" ph="1">
        <v>269</v>
      </c>
      <c r="AN81" s="64" t="s" ph="1">
        <v>225</v>
      </c>
      <c r="AO81" s="64" t="s" ph="1">
        <v>243</v>
      </c>
      <c r="AP81" s="64" t="s" ph="1">
        <v>270</v>
      </c>
      <c r="AQ81" s="64" t="s" ph="1">
        <v>254</v>
      </c>
      <c r="AR81" s="64" t="s" ph="1">
        <v>243</v>
      </c>
      <c r="AS81" s="64" t="s" ph="1">
        <v>271</v>
      </c>
      <c r="AT81" s="64" t="s" ph="1">
        <v>272</v>
      </c>
      <c r="AU81" s="64" t="s" ph="1">
        <v>243</v>
      </c>
      <c r="AV81" s="64" t="s" ph="1">
        <v>273</v>
      </c>
    </row>
    <row r="82" spans="34:52" ph="1">
      <c r="AJ82" s="64" t="s" ph="1">
        <v>274</v>
      </c>
      <c r="AK82" s="64" t="s" ph="1">
        <v>222</v>
      </c>
      <c r="AM82" s="64" t="s" ph="1">
        <v>275</v>
      </c>
      <c r="AN82" s="64" t="s" ph="1">
        <v>272</v>
      </c>
      <c r="AO82" s="64" t="s" ph="1">
        <v>276</v>
      </c>
      <c r="AP82" s="64" t="s" ph="1">
        <v>277</v>
      </c>
      <c r="AQ82" s="64" t="s" ph="1">
        <v>254</v>
      </c>
      <c r="AR82" s="64" t="s" ph="1">
        <v>243</v>
      </c>
      <c r="AS82" s="64" t="s" ph="1">
        <v>278</v>
      </c>
      <c r="AT82" s="64" t="s" ph="1">
        <v>229</v>
      </c>
      <c r="AU82" s="64" t="s" ph="1">
        <v>243</v>
      </c>
      <c r="AV82" s="64" t="s" ph="1">
        <v>403</v>
      </c>
      <c r="AW82" s="64" t="s" ph="1">
        <v>303</v>
      </c>
      <c r="AX82" s="64" t="s" ph="1">
        <v>400</v>
      </c>
    </row>
    <row r="83" spans="34:52" ph="1">
      <c r="AJ83" s="64" t="s" ph="1">
        <v>279</v>
      </c>
      <c r="AK83" s="64" t="s" ph="1">
        <v>296</v>
      </c>
      <c r="AM83" s="64" t="s" ph="1">
        <v>280</v>
      </c>
      <c r="AN83" s="64" t="s" ph="1">
        <v>228</v>
      </c>
      <c r="AO83" s="64" t="s" ph="1">
        <v>259</v>
      </c>
      <c r="AP83" s="64" t="s" ph="1">
        <v>281</v>
      </c>
      <c r="AQ83" s="64" t="s" ph="1">
        <v>282</v>
      </c>
      <c r="AR83" s="64" t="s" ph="1">
        <v>259</v>
      </c>
      <c r="AS83" s="64" t="s" ph="1">
        <v>405</v>
      </c>
      <c r="AT83" s="64" t="s" ph="1">
        <v>254</v>
      </c>
      <c r="AU83" s="64" t="s" ph="1">
        <v>259</v>
      </c>
      <c r="AV83" s="64" t="s" ph="1">
        <v>406</v>
      </c>
      <c r="AW83" s="64" t="s" ph="1">
        <v>303</v>
      </c>
      <c r="AX83" s="64" t="s" ph="1">
        <v>407</v>
      </c>
    </row>
    <row r="84" spans="34:52" ph="1">
      <c r="AH84" s="64" ph="1">
        <v>4</v>
      </c>
      <c r="AI84" s="64" t="s" ph="1">
        <v>286</v>
      </c>
      <c r="AJ84" s="64" t="s" ph="1">
        <v>226</v>
      </c>
      <c r="AK84" s="64" t="s" ph="1">
        <v>229</v>
      </c>
      <c r="AM84" s="64" t="s" ph="1">
        <v>230</v>
      </c>
      <c r="AN84" s="64" t="s" ph="1">
        <v>223</v>
      </c>
      <c r="AO84" s="64" t="s" ph="1">
        <v>259</v>
      </c>
      <c r="AP84" s="64" t="s" ph="1">
        <v>288</v>
      </c>
      <c r="AQ84" s="64" t="s" ph="1">
        <v>222</v>
      </c>
      <c r="AR84" s="64" t="s" ph="1">
        <v>259</v>
      </c>
      <c r="AS84" s="64" t="s" ph="1">
        <v>288</v>
      </c>
      <c r="AT84" s="64" t="s" ph="1">
        <v>224</v>
      </c>
      <c r="AU84" s="64" t="s" ph="1">
        <v>259</v>
      </c>
      <c r="AY84" s="64" t="s" ph="1">
        <v>216</v>
      </c>
      <c r="AZ84" s="64" t="s" ph="1">
        <v>408</v>
      </c>
    </row>
    <row r="85" spans="34:52" ph="1">
      <c r="AJ85" s="64" t="s" ph="1">
        <v>218</v>
      </c>
      <c r="AK85" s="64" t="s" ph="1">
        <v>222</v>
      </c>
      <c r="AM85" s="64" t="s" ph="1">
        <v>409</v>
      </c>
      <c r="AN85" s="64" t="s" ph="1">
        <v>229</v>
      </c>
      <c r="AO85" s="64" t="s" ph="1">
        <v>259</v>
      </c>
      <c r="AP85" s="64" t="s" ph="1">
        <v>410</v>
      </c>
      <c r="AQ85" s="64" t="s" ph="1">
        <v>225</v>
      </c>
      <c r="AR85" s="64" t="s" ph="1">
        <v>259</v>
      </c>
      <c r="AS85" s="64" t="s" ph="1">
        <v>411</v>
      </c>
      <c r="AT85" s="64" t="s" ph="1">
        <v>225</v>
      </c>
      <c r="AU85" s="64" t="s" ph="1">
        <v>259</v>
      </c>
    </row>
    <row r="86" spans="34:52" ph="1">
      <c r="AJ86" s="64" t="s" ph="1">
        <v>412</v>
      </c>
      <c r="AK86" s="64" t="s" ph="1">
        <v>231</v>
      </c>
      <c r="AM86" s="64" t="s" ph="1">
        <v>413</v>
      </c>
      <c r="AN86" s="64" t="s" ph="1">
        <v>272</v>
      </c>
      <c r="AO86" s="64" t="s" ph="1">
        <v>259</v>
      </c>
      <c r="AP86" s="64" t="s" ph="1">
        <v>414</v>
      </c>
      <c r="AQ86" s="64" t="s" ph="1">
        <v>219</v>
      </c>
      <c r="AR86" s="64" t="s" ph="1">
        <v>259</v>
      </c>
      <c r="AS86" s="64" t="s" ph="1">
        <v>415</v>
      </c>
      <c r="AT86" s="64" t="s" ph="1">
        <v>237</v>
      </c>
      <c r="AU86" s="64" t="s" ph="1">
        <v>259</v>
      </c>
    </row>
    <row r="87" spans="34:52" ph="1">
      <c r="AJ87" s="64" t="s" ph="1">
        <v>416</v>
      </c>
      <c r="AK87" s="64" t="s" ph="1">
        <v>272</v>
      </c>
      <c r="AM87" s="64" t="s" ph="1">
        <v>403</v>
      </c>
      <c r="AN87" s="64" t="s" ph="1">
        <v>417</v>
      </c>
      <c r="AO87" s="64" t="s" ph="1">
        <v>400</v>
      </c>
    </row>
    <row r="88" spans="34:52" ph="1">
      <c r="AH88" s="64" ph="1">
        <v>5</v>
      </c>
      <c r="AI88" s="64" t="s" ph="1">
        <v>289</v>
      </c>
      <c r="AJ88" s="64" t="s" ph="1">
        <v>418</v>
      </c>
      <c r="AK88" s="64" t="s" ph="1">
        <v>272</v>
      </c>
      <c r="AM88" s="64" t="s" ph="1">
        <v>419</v>
      </c>
      <c r="AN88" s="64" t="s" ph="1">
        <v>272</v>
      </c>
      <c r="AO88" s="64" t="s" ph="1">
        <v>259</v>
      </c>
      <c r="AP88" s="64" t="s" ph="1">
        <v>420</v>
      </c>
      <c r="AQ88" s="64" t="s" ph="1">
        <v>222</v>
      </c>
      <c r="AR88" s="64" t="s" ph="1">
        <v>259</v>
      </c>
      <c r="AS88" s="64" t="s" ph="1">
        <v>421</v>
      </c>
      <c r="AT88" s="64" t="s" ph="1">
        <v>272</v>
      </c>
      <c r="AU88" s="64" t="s" ph="1">
        <v>259</v>
      </c>
      <c r="AV88" s="64" t="s" ph="1">
        <v>422</v>
      </c>
      <c r="AW88" s="64" t="s" ph="1">
        <v>227</v>
      </c>
      <c r="AX88" s="64" t="s" ph="1">
        <v>259</v>
      </c>
      <c r="AY88" s="64" t="s" ph="1">
        <v>216</v>
      </c>
      <c r="AZ88" s="64" t="s" ph="1">
        <v>423</v>
      </c>
    </row>
    <row r="89" spans="34:52" ph="1">
      <c r="AJ89" s="64" t="s" ph="1">
        <v>424</v>
      </c>
      <c r="AK89" s="64" t="s" ph="1">
        <v>225</v>
      </c>
      <c r="AM89" s="64" t="s" ph="1">
        <v>425</v>
      </c>
      <c r="AN89" s="64" t="s" ph="1">
        <v>228</v>
      </c>
      <c r="AO89" s="64" t="s" ph="1">
        <v>259</v>
      </c>
      <c r="AP89" s="64" t="s" ph="1">
        <v>426</v>
      </c>
      <c r="AQ89" s="64" t="s" ph="1">
        <v>237</v>
      </c>
      <c r="AR89" s="64" t="s" ph="1">
        <v>259</v>
      </c>
      <c r="AS89" s="64" t="s" ph="1">
        <v>427</v>
      </c>
      <c r="AT89" s="64" t="s" ph="1">
        <v>272</v>
      </c>
      <c r="AU89" s="64" t="s" ph="1">
        <v>259</v>
      </c>
      <c r="AV89" s="64" t="s" ph="1">
        <v>428</v>
      </c>
      <c r="AW89" s="64" t="s" ph="1">
        <v>254</v>
      </c>
      <c r="AX89" s="64" t="s" ph="1">
        <v>287</v>
      </c>
    </row>
    <row r="90" spans="34:52" ph="1">
      <c r="AJ90" s="64" t="s" ph="1">
        <v>429</v>
      </c>
      <c r="AK90" s="64" t="s" ph="1">
        <v>228</v>
      </c>
      <c r="AM90" s="64" t="s" ph="1">
        <v>430</v>
      </c>
      <c r="AN90" s="64" t="s" ph="1">
        <v>225</v>
      </c>
      <c r="AO90" s="64" t="s" ph="1">
        <v>259</v>
      </c>
      <c r="AP90" s="64" t="s" ph="1">
        <v>431</v>
      </c>
      <c r="AQ90" s="64" t="s" ph="1">
        <v>294</v>
      </c>
      <c r="AR90" s="64" t="s" ph="1">
        <v>259</v>
      </c>
      <c r="AS90" s="64" t="s" ph="1">
        <v>432</v>
      </c>
      <c r="AT90" s="64" t="s" ph="1">
        <v>282</v>
      </c>
      <c r="AU90" s="64" t="s" ph="1">
        <v>259</v>
      </c>
      <c r="AV90" s="64" t="s" ph="1">
        <v>433</v>
      </c>
      <c r="AW90" s="64" t="s" ph="1">
        <v>219</v>
      </c>
      <c r="AX90" s="64" t="s" ph="1">
        <v>259</v>
      </c>
    </row>
    <row r="91" spans="34:52" ph="1">
      <c r="AJ91" s="64" t="s" ph="1">
        <v>434</v>
      </c>
      <c r="AK91" s="64" t="s" ph="1">
        <v>272</v>
      </c>
      <c r="AM91" s="64" t="s" ph="1">
        <v>435</v>
      </c>
      <c r="AN91" s="64" t="s" ph="1">
        <v>239</v>
      </c>
      <c r="AO91" s="64" t="s" ph="1">
        <v>259</v>
      </c>
      <c r="AP91" s="64" t="s" ph="1">
        <v>436</v>
      </c>
      <c r="AQ91" s="64" t="s" ph="1">
        <v>219</v>
      </c>
      <c r="AS91" s="64" t="s" ph="1">
        <v>403</v>
      </c>
      <c r="AT91" s="64" t="s" ph="1">
        <v>399</v>
      </c>
      <c r="AU91" s="64" t="s" ph="1">
        <v>400</v>
      </c>
    </row>
    <row r="92" spans="34:52" ph="1">
      <c r="AH92" s="64" ph="1">
        <v>6</v>
      </c>
      <c r="AI92" s="64" t="s" ph="1">
        <v>437</v>
      </c>
      <c r="AJ92" s="64" t="s" ph="1">
        <v>438</v>
      </c>
      <c r="AK92" s="64" t="s" ph="1">
        <v>367</v>
      </c>
      <c r="AM92" s="64" t="s" ph="1">
        <v>439</v>
      </c>
      <c r="AN92" s="64" t="s" ph="1">
        <v>227</v>
      </c>
      <c r="AO92" s="64" t="s" ph="1">
        <v>259</v>
      </c>
      <c r="AP92" s="64" t="s" ph="1">
        <v>440</v>
      </c>
      <c r="AQ92" s="64" t="s" ph="1">
        <v>299</v>
      </c>
      <c r="AR92" s="64" t="s" ph="1">
        <v>259</v>
      </c>
      <c r="AS92" s="64" t="s" ph="1">
        <v>441</v>
      </c>
      <c r="AT92" s="64" t="s" ph="1">
        <v>272</v>
      </c>
      <c r="AU92" s="64" t="s" ph="1">
        <v>259</v>
      </c>
      <c r="AV92" s="64" t="s" ph="1">
        <v>442</v>
      </c>
      <c r="AW92" s="64" t="s" ph="1">
        <v>228</v>
      </c>
      <c r="AX92" s="64" t="s" ph="1">
        <v>259</v>
      </c>
      <c r="AY92" s="64" t="s" ph="1">
        <v>216</v>
      </c>
      <c r="AZ92" s="64" t="s" ph="1">
        <v>423</v>
      </c>
    </row>
    <row r="93" spans="34:52" ph="1">
      <c r="AJ93" s="64" t="s" ph="1">
        <v>443</v>
      </c>
      <c r="AK93" s="64" t="s" ph="1">
        <v>222</v>
      </c>
      <c r="AM93" s="64" t="s" ph="1">
        <v>444</v>
      </c>
      <c r="AN93" s="64" t="s" ph="1">
        <v>227</v>
      </c>
      <c r="AO93" s="64" t="s" ph="1">
        <v>259</v>
      </c>
      <c r="AP93" s="64" t="s" ph="1">
        <v>445</v>
      </c>
      <c r="AQ93" s="64" t="s" ph="1">
        <v>231</v>
      </c>
      <c r="AR93" s="64" t="s" ph="1">
        <v>259</v>
      </c>
      <c r="AS93" s="64" t="s" ph="1">
        <v>446</v>
      </c>
      <c r="AT93" s="64" t="s" ph="1">
        <v>237</v>
      </c>
      <c r="AU93" s="64" t="s" ph="1">
        <v>259</v>
      </c>
      <c r="AV93" s="64" t="s" ph="1">
        <v>447</v>
      </c>
      <c r="AW93" s="64" t="s" ph="1">
        <v>231</v>
      </c>
      <c r="AX93" s="64" t="s" ph="1">
        <v>259</v>
      </c>
    </row>
    <row r="94" spans="34:52" ph="1">
      <c r="AJ94" s="64" t="s" ph="1">
        <v>448</v>
      </c>
      <c r="AK94" s="64" t="s" ph="1">
        <v>294</v>
      </c>
      <c r="AM94" s="64" t="s" ph="1">
        <v>449</v>
      </c>
      <c r="AN94" s="64" t="s" ph="1">
        <v>231</v>
      </c>
      <c r="AO94" s="64" t="s" ph="1">
        <v>259</v>
      </c>
      <c r="AP94" s="64" t="s" ph="1">
        <v>450</v>
      </c>
      <c r="AQ94" s="64" t="s" ph="1">
        <v>239</v>
      </c>
      <c r="AR94" s="64" t="s" ph="1">
        <v>259</v>
      </c>
      <c r="AS94" s="64" t="s" ph="1">
        <v>451</v>
      </c>
      <c r="AT94" s="64" t="s" ph="1">
        <v>225</v>
      </c>
      <c r="AU94" s="64" t="s" ph="1">
        <v>259</v>
      </c>
      <c r="AV94" s="64" t="s" ph="1">
        <v>452</v>
      </c>
      <c r="AW94" s="64" t="s" ph="1">
        <v>225</v>
      </c>
      <c r="AX94" s="64" t="s" ph="1">
        <v>259</v>
      </c>
    </row>
    <row r="95" spans="34:52" ph="1">
      <c r="AJ95" s="64" t="s" ph="1">
        <v>453</v>
      </c>
      <c r="AK95" s="64" t="s" ph="1">
        <v>299</v>
      </c>
    </row>
    <row r="96" spans="34:52" ph="1">
      <c r="AH96" s="64" ph="1">
        <v>7</v>
      </c>
      <c r="AI96" s="64" t="s" ph="1">
        <v>454</v>
      </c>
      <c r="AJ96" s="64" t="s" ph="1">
        <v>453</v>
      </c>
      <c r="AK96" s="64" t="s" ph="1">
        <v>254</v>
      </c>
      <c r="AM96" s="64" t="s" ph="1">
        <v>455</v>
      </c>
      <c r="AN96" s="64" t="s" ph="1">
        <v>228</v>
      </c>
      <c r="AO96" s="64" t="s" ph="1">
        <v>259</v>
      </c>
      <c r="AP96" s="64" t="s" ph="1">
        <v>456</v>
      </c>
      <c r="AQ96" s="64" t="s" ph="1">
        <v>272</v>
      </c>
      <c r="AR96" s="64" t="s" ph="1">
        <v>287</v>
      </c>
      <c r="AS96" s="64" t="s" ph="1">
        <v>457</v>
      </c>
      <c r="AT96" s="64" t="s" ph="1">
        <v>231</v>
      </c>
      <c r="AU96" s="64" t="s" ph="1">
        <v>287</v>
      </c>
      <c r="AV96" s="64" t="s" ph="1">
        <v>458</v>
      </c>
      <c r="AW96" s="64" t="s" ph="1">
        <v>227</v>
      </c>
      <c r="AX96" s="64" t="s" ph="1">
        <v>287</v>
      </c>
      <c r="AY96" s="64" t="s" ph="1">
        <v>216</v>
      </c>
      <c r="AZ96" s="64" t="s" ph="1">
        <v>459</v>
      </c>
    </row>
    <row r="97" spans="33:52" ph="1">
      <c r="AJ97" s="64" t="s" ph="1">
        <v>460</v>
      </c>
      <c r="AK97" s="64" t="s" ph="1">
        <v>282</v>
      </c>
      <c r="AM97" s="64" t="s" ph="1">
        <v>461</v>
      </c>
      <c r="AN97" s="64" t="s" ph="1">
        <v>225</v>
      </c>
      <c r="AO97" s="64" t="s" ph="1">
        <v>259</v>
      </c>
      <c r="AP97" s="64" t="s" ph="1">
        <v>462</v>
      </c>
      <c r="AQ97" s="64" t="s" ph="1">
        <v>219</v>
      </c>
      <c r="AR97" s="64" t="s" ph="1">
        <v>287</v>
      </c>
      <c r="AS97" s="64" t="s" ph="1">
        <v>463</v>
      </c>
      <c r="AT97" s="64" t="s" ph="1">
        <v>222</v>
      </c>
      <c r="AU97" s="64" t="s" ph="1">
        <v>287</v>
      </c>
      <c r="AV97" s="64" t="s" ph="1">
        <v>464</v>
      </c>
      <c r="AW97" s="64" t="s" ph="1">
        <v>228</v>
      </c>
      <c r="AX97" s="64" t="s" ph="1">
        <v>287</v>
      </c>
    </row>
    <row r="98" spans="33:52" ph="1">
      <c r="AJ98" s="64" t="s" ph="1">
        <v>465</v>
      </c>
      <c r="AK98" s="64" t="s" ph="1">
        <v>231</v>
      </c>
      <c r="AM98" s="64" t="s" ph="1">
        <v>466</v>
      </c>
      <c r="AN98" s="64" t="s" ph="1">
        <v>239</v>
      </c>
      <c r="AO98" s="64" t="s" ph="1">
        <v>259</v>
      </c>
      <c r="AP98" s="64" t="s" ph="1">
        <v>467</v>
      </c>
      <c r="AQ98" s="64" t="s" ph="1">
        <v>219</v>
      </c>
      <c r="AR98" s="64" t="s" ph="1">
        <v>287</v>
      </c>
      <c r="AS98" s="64" t="s" ph="1">
        <v>468</v>
      </c>
      <c r="AT98" s="64" t="s" ph="1">
        <v>299</v>
      </c>
      <c r="AU98" s="64" t="s" ph="1">
        <v>287</v>
      </c>
      <c r="AV98" s="64" t="s" ph="1">
        <v>469</v>
      </c>
      <c r="AW98" s="64" t="s" ph="1">
        <v>222</v>
      </c>
      <c r="AX98" s="64" t="s" ph="1">
        <v>287</v>
      </c>
    </row>
    <row r="99" spans="33:52" ph="1">
      <c r="AH99" s="64" ph="1">
        <v>8</v>
      </c>
      <c r="AI99" s="64" t="s" ph="1">
        <v>470</v>
      </c>
      <c r="AJ99" s="64" t="s" ph="1">
        <v>471</v>
      </c>
      <c r="AK99" s="64" t="s" ph="1">
        <v>367</v>
      </c>
      <c r="AM99" s="64" t="s" ph="1">
        <v>472</v>
      </c>
      <c r="AN99" s="64" t="s" ph="1">
        <v>254</v>
      </c>
      <c r="AO99" s="64" t="s" ph="1">
        <v>259</v>
      </c>
      <c r="AP99" s="64" t="s" ph="1">
        <v>473</v>
      </c>
      <c r="AQ99" s="64" t="s" ph="1">
        <v>224</v>
      </c>
      <c r="AR99" s="64" t="s" ph="1">
        <v>287</v>
      </c>
      <c r="AS99" s="64" t="s" ph="1">
        <v>474</v>
      </c>
      <c r="AT99" s="64" t="s" ph="1">
        <v>239</v>
      </c>
      <c r="AU99" s="64" t="s" ph="1">
        <v>287</v>
      </c>
      <c r="AV99" s="64" t="s" ph="1">
        <v>475</v>
      </c>
      <c r="AW99" s="64" t="s" ph="1">
        <v>224</v>
      </c>
      <c r="AX99" s="64" t="s" ph="1">
        <v>287</v>
      </c>
      <c r="AY99" s="64" t="s" ph="1">
        <v>216</v>
      </c>
      <c r="AZ99" s="64" t="s" ph="1">
        <v>476</v>
      </c>
    </row>
    <row r="100" spans="33:52" ph="1">
      <c r="AJ100" s="64" t="s" ph="1">
        <v>477</v>
      </c>
      <c r="AK100" s="64" t="s" ph="1">
        <v>222</v>
      </c>
      <c r="AM100" s="64" t="s" ph="1">
        <v>478</v>
      </c>
      <c r="AN100" s="64" t="s" ph="1">
        <v>294</v>
      </c>
      <c r="AO100" s="64" t="s" ph="1">
        <v>259</v>
      </c>
      <c r="AP100" s="64" t="s" ph="1">
        <v>479</v>
      </c>
      <c r="AQ100" s="64" t="s" ph="1">
        <v>300</v>
      </c>
      <c r="AR100" s="64" t="s" ph="1">
        <v>287</v>
      </c>
      <c r="AS100" s="64" t="s" ph="1">
        <v>480</v>
      </c>
      <c r="AT100" s="64" t="s" ph="1">
        <v>367</v>
      </c>
      <c r="AU100" s="64" t="s" ph="1">
        <v>259</v>
      </c>
      <c r="AV100" s="64" t="s" ph="1">
        <v>481</v>
      </c>
      <c r="AW100" s="64" t="s" ph="1">
        <v>367</v>
      </c>
      <c r="AX100" s="64" t="s" ph="1">
        <v>259</v>
      </c>
    </row>
    <row r="101" spans="33:52" ph="1">
      <c r="AJ101" s="64" t="s" ph="1">
        <v>482</v>
      </c>
      <c r="AK101" s="64" t="s" ph="1">
        <v>367</v>
      </c>
      <c r="AM101" s="64" t="s" ph="1">
        <v>483</v>
      </c>
      <c r="AN101" s="64" t="s" ph="1">
        <v>225</v>
      </c>
      <c r="AO101" s="64" t="s" ph="1">
        <v>259</v>
      </c>
      <c r="AP101" s="64" t="s" ph="1">
        <v>484</v>
      </c>
      <c r="AQ101" s="64" t="s" ph="1">
        <v>237</v>
      </c>
      <c r="AR101" s="64" t="s" ph="1">
        <v>287</v>
      </c>
      <c r="AS101" s="64" t="s" ph="1">
        <v>485</v>
      </c>
      <c r="AT101" s="64" t="s" ph="1">
        <v>294</v>
      </c>
      <c r="AU101" s="64" t="s" ph="1">
        <v>287</v>
      </c>
      <c r="AV101" s="64" t="s" ph="1">
        <v>486</v>
      </c>
      <c r="AW101" s="64" t="s" ph="1">
        <v>225</v>
      </c>
      <c r="AX101" s="64" t="s" ph="1">
        <v>259</v>
      </c>
    </row>
    <row r="102" spans="33:52" ph="1">
      <c r="AJ102" s="64" t="s" ph="1">
        <v>487</v>
      </c>
      <c r="AK102" s="64" t="s" ph="1">
        <v>222</v>
      </c>
      <c r="AM102" s="64" t="s" ph="1">
        <v>488</v>
      </c>
      <c r="AN102" s="64" t="s" ph="1">
        <v>231</v>
      </c>
      <c r="AO102" s="64" t="s" ph="1">
        <v>259</v>
      </c>
      <c r="AP102" s="64" t="s" ph="1">
        <v>489</v>
      </c>
      <c r="AQ102" s="64" t="s" ph="1">
        <v>237</v>
      </c>
      <c r="AR102" s="64" t="s" ph="1">
        <v>259</v>
      </c>
      <c r="AS102" s="64" t="s" ph="1">
        <v>490</v>
      </c>
      <c r="AT102" s="64" t="s" ph="1">
        <v>254</v>
      </c>
      <c r="AU102" s="64" t="s" ph="1">
        <v>259</v>
      </c>
      <c r="AV102" s="64" t="s" ph="1">
        <v>491</v>
      </c>
      <c r="AW102" s="64" t="s" ph="1">
        <v>272</v>
      </c>
      <c r="AX102" s="64" t="s" ph="1">
        <v>259</v>
      </c>
    </row>
    <row r="103" spans="33:52" ph="1">
      <c r="AH103" s="64" ph="1">
        <v>9</v>
      </c>
      <c r="AI103" s="64" t="s" ph="1">
        <v>492</v>
      </c>
      <c r="AJ103" s="64" t="s" ph="1">
        <v>493</v>
      </c>
      <c r="AK103" s="64" t="s" ph="1">
        <v>367</v>
      </c>
      <c r="AM103" s="64" t="s" ph="1">
        <v>494</v>
      </c>
      <c r="AN103" s="64" t="s" ph="1">
        <v>282</v>
      </c>
      <c r="AO103" s="64" t="s" ph="1">
        <v>259</v>
      </c>
      <c r="AP103" s="64" t="s" ph="1">
        <v>336</v>
      </c>
      <c r="AQ103" s="64" t="s" ph="1">
        <v>225</v>
      </c>
      <c r="AR103" s="64" t="s" ph="1">
        <v>259</v>
      </c>
      <c r="AS103" s="64" t="s" ph="1">
        <v>570</v>
      </c>
      <c r="AT103" s="64" t="s" ph="1">
        <v>367</v>
      </c>
      <c r="AU103" s="64" t="s" ph="1">
        <v>259</v>
      </c>
      <c r="AY103" s="64" t="s" ph="1">
        <v>216</v>
      </c>
      <c r="AZ103" s="64" t="s" ph="1">
        <v>224</v>
      </c>
    </row>
    <row r="104" spans="33:52" ph="1">
      <c r="AZ104" s="64" t="s" ph="1">
        <v>495</v>
      </c>
    </row>
    <row r="105" spans="33:52" ph="1">
      <c r="AG105" s="64" t="s" ph="1">
        <v>295</v>
      </c>
      <c r="AI105" s="64" t="s" ph="1">
        <v>209</v>
      </c>
      <c r="AJ105" s="64" t="s" ph="1">
        <v>210</v>
      </c>
      <c r="AK105" s="64" t="s" ph="1">
        <v>211</v>
      </c>
      <c r="AM105" s="64" t="s" ph="1">
        <v>210</v>
      </c>
      <c r="AN105" s="64" t="s" ph="1">
        <v>211</v>
      </c>
      <c r="AO105" s="64" t="s" ph="1">
        <v>212</v>
      </c>
      <c r="AP105" s="64" t="s" ph="1">
        <v>210</v>
      </c>
      <c r="AQ105" s="64" t="s" ph="1">
        <v>211</v>
      </c>
      <c r="AR105" s="64" t="s" ph="1">
        <v>212</v>
      </c>
      <c r="AS105" s="64" t="s" ph="1">
        <v>210</v>
      </c>
      <c r="AT105" s="64" t="s" ph="1">
        <v>211</v>
      </c>
      <c r="AU105" s="64" t="s" ph="1">
        <v>212</v>
      </c>
      <c r="AV105" s="64" t="s" ph="1">
        <v>210</v>
      </c>
      <c r="AW105" s="64" t="s" ph="1">
        <v>211</v>
      </c>
      <c r="AX105" s="64" t="s" ph="1">
        <v>212</v>
      </c>
      <c r="AZ105" s="64" t="s" ph="1">
        <v>213</v>
      </c>
    </row>
    <row r="106" spans="33:52" ph="1">
      <c r="AH106" s="64" ph="1">
        <v>1</v>
      </c>
      <c r="AI106" s="64" t="s" ph="1">
        <v>496</v>
      </c>
      <c r="AJ106" s="64" t="s" ph="1">
        <v>570</v>
      </c>
      <c r="AK106" s="64" t="s" ph="1">
        <v>231</v>
      </c>
      <c r="AZ106" s="64" t="s" ph="1">
        <v>231</v>
      </c>
    </row>
    <row r="107" spans="33:52" ph="1">
      <c r="AH107" s="64" ph="1">
        <v>2</v>
      </c>
      <c r="AI107" s="64" t="s" ph="1">
        <v>497</v>
      </c>
      <c r="AJ107" s="64" t="s" ph="1">
        <v>498</v>
      </c>
      <c r="AK107" s="64" t="s" ph="1">
        <v>228</v>
      </c>
      <c r="AM107" s="64" t="s" ph="1">
        <v>334</v>
      </c>
      <c r="AN107" s="64" t="s" ph="1">
        <v>499</v>
      </c>
      <c r="AO107" s="64" t="s" ph="1">
        <v>500</v>
      </c>
      <c r="AP107" s="64" t="s" ph="1">
        <v>336</v>
      </c>
      <c r="AQ107" s="64" t="s" ph="1">
        <v>304</v>
      </c>
      <c r="AR107" s="64" t="s" ph="1">
        <v>500</v>
      </c>
      <c r="AS107" s="64" t="s" ph="1">
        <v>570</v>
      </c>
      <c r="AT107" s="64" t="s" ph="1">
        <v>499</v>
      </c>
      <c r="AU107" s="64" t="s" ph="1">
        <v>500</v>
      </c>
      <c r="AY107" s="64" t="s" ph="1">
        <v>216</v>
      </c>
      <c r="AZ107" s="64" t="s" ph="1">
        <v>580</v>
      </c>
    </row>
    <row r="108" spans="33:52" ph="1">
      <c r="AH108" s="64" ph="1">
        <v>3</v>
      </c>
      <c r="AI108" s="64" t="s" ph="1">
        <v>501</v>
      </c>
      <c r="AY108" s="64" t="s" ph="1">
        <v>216</v>
      </c>
      <c r="AZ108" s="64" t="s" ph="1">
        <v>367</v>
      </c>
    </row>
    <row r="109" spans="33:52" ph="1">
      <c r="AH109" s="64" ph="1">
        <v>4</v>
      </c>
      <c r="AI109" s="64" t="s" ph="1">
        <v>502</v>
      </c>
      <c r="AY109" s="64" t="s" ph="1">
        <v>216</v>
      </c>
      <c r="AZ109" s="64" t="s" ph="1">
        <v>367</v>
      </c>
    </row>
    <row r="110" spans="33:52" ph="1">
      <c r="AH110" s="64" ph="1">
        <v>5</v>
      </c>
      <c r="AI110" s="64" t="s" ph="1">
        <v>503</v>
      </c>
      <c r="AY110" s="64" t="s" ph="1">
        <v>216</v>
      </c>
      <c r="AZ110" s="64" t="s" ph="1">
        <v>367</v>
      </c>
    </row>
    <row r="111" spans="33:52" ph="1">
      <c r="AH111" s="64" ph="1">
        <v>6</v>
      </c>
      <c r="AI111" s="64" t="s" ph="1">
        <v>581</v>
      </c>
      <c r="AJ111" s="64" t="s" ph="1">
        <v>486</v>
      </c>
      <c r="AK111" s="64" t="s" ph="1">
        <v>225</v>
      </c>
      <c r="AM111" s="64" t="s" ph="1">
        <v>487</v>
      </c>
      <c r="AN111" s="64" t="s" ph="1">
        <v>219</v>
      </c>
      <c r="AO111" s="64" t="s" ph="1">
        <v>500</v>
      </c>
      <c r="AP111" s="64" t="s" ph="1">
        <v>488</v>
      </c>
      <c r="AQ111" s="64" t="s" ph="1">
        <v>228</v>
      </c>
      <c r="AR111" s="64" t="s" ph="1">
        <v>500</v>
      </c>
      <c r="AS111" s="64" t="s" ph="1">
        <v>489</v>
      </c>
      <c r="AT111" s="64" t="s" ph="1">
        <v>237</v>
      </c>
      <c r="AU111" s="64" t="s" ph="1">
        <v>500</v>
      </c>
      <c r="AV111" s="64" t="s" ph="1">
        <v>490</v>
      </c>
      <c r="AW111" s="64" t="s" ph="1">
        <v>227</v>
      </c>
      <c r="AX111" s="64" t="s" ph="1">
        <v>500</v>
      </c>
      <c r="AY111" s="64" t="s" ph="1">
        <v>216</v>
      </c>
      <c r="AZ111" s="64" t="s" ph="1">
        <v>504</v>
      </c>
    </row>
    <row r="112" spans="33:52" ph="1">
      <c r="AJ112" s="64" t="s" ph="1">
        <v>491</v>
      </c>
      <c r="AK112" s="64" t="s" ph="1">
        <v>272</v>
      </c>
      <c r="AM112" s="64" t="s" ph="1">
        <v>493</v>
      </c>
      <c r="AN112" s="64" t="s" ph="1">
        <v>296</v>
      </c>
      <c r="AO112" s="64" t="s" ph="1">
        <v>500</v>
      </c>
      <c r="AP112" s="64" t="s" ph="1">
        <v>494</v>
      </c>
      <c r="AQ112" s="64" t="s" ph="1">
        <v>505</v>
      </c>
      <c r="AR112" s="64" t="s" ph="1">
        <v>500</v>
      </c>
      <c r="AS112" s="64" t="s" ph="1">
        <v>506</v>
      </c>
      <c r="AT112" s="64" t="s" ph="1">
        <v>248</v>
      </c>
      <c r="AU112" s="64" t="s" ph="1">
        <v>500</v>
      </c>
      <c r="AV112" s="64" t="s" ph="1">
        <v>507</v>
      </c>
      <c r="AW112" s="64" t="s" ph="1">
        <v>294</v>
      </c>
      <c r="AX112" s="64" t="s" ph="1">
        <v>500</v>
      </c>
    </row>
    <row r="113" spans="33:52" ph="1">
      <c r="AH113" s="64" ph="1">
        <v>7</v>
      </c>
      <c r="AI113" s="64" t="s" ph="1">
        <v>508</v>
      </c>
      <c r="AJ113" s="64" t="s" ph="1">
        <v>589</v>
      </c>
      <c r="AK113" s="64" t="s" ph="1">
        <v>594</v>
      </c>
      <c r="AY113" s="64" t="s" ph="1">
        <v>216</v>
      </c>
      <c r="AZ113" s="64" t="s" ph="1">
        <v>594</v>
      </c>
    </row>
    <row r="114" spans="33:52" ph="1">
      <c r="AH114" s="64" ph="1">
        <v>8</v>
      </c>
      <c r="AI114" s="64" t="s" ph="1">
        <v>509</v>
      </c>
      <c r="AJ114" s="64" t="s" ph="1">
        <v>589</v>
      </c>
      <c r="AK114" s="64" t="s" ph="1">
        <v>595</v>
      </c>
      <c r="AY114" s="64" t="s" ph="1">
        <v>216</v>
      </c>
      <c r="AZ114" s="64" t="s" ph="1">
        <v>595</v>
      </c>
    </row>
    <row r="115" spans="33:52" ph="1">
      <c r="AH115" s="64" ph="1">
        <v>9</v>
      </c>
      <c r="AI115" s="64" t="s" ph="1">
        <v>510</v>
      </c>
      <c r="AJ115" s="64" t="s" ph="1">
        <v>589</v>
      </c>
      <c r="AK115" s="64" t="s" ph="1">
        <v>595</v>
      </c>
      <c r="AY115" s="64" t="s" ph="1">
        <v>216</v>
      </c>
      <c r="AZ115" s="64" t="s" ph="1">
        <v>595</v>
      </c>
    </row>
    <row r="116" spans="33:52" ph="1">
      <c r="AH116" s="64" ph="1">
        <v>10</v>
      </c>
      <c r="AI116" s="64" t="s" ph="1">
        <v>511</v>
      </c>
      <c r="AJ116" s="64" t="s" ph="1">
        <v>589</v>
      </c>
      <c r="AK116" s="64" t="s" ph="1">
        <v>595</v>
      </c>
      <c r="AY116" s="64" t="s" ph="1">
        <v>216</v>
      </c>
      <c r="AZ116" s="64" t="s" ph="1">
        <v>595</v>
      </c>
    </row>
    <row r="117" spans="33:52" ph="1">
      <c r="AH117" s="64" ph="1">
        <v>11</v>
      </c>
      <c r="AI117" s="64" t="s" ph="1">
        <v>512</v>
      </c>
      <c r="AJ117" s="64" t="s" ph="1">
        <v>589</v>
      </c>
      <c r="AK117" s="64" t="s" ph="1">
        <v>595</v>
      </c>
      <c r="AY117" s="64" t="s" ph="1">
        <v>216</v>
      </c>
      <c r="AZ117" s="64" t="s" ph="1">
        <v>595</v>
      </c>
    </row>
    <row r="118" spans="33:52" ph="1">
      <c r="AZ118" s="64" t="s" ph="1">
        <v>596</v>
      </c>
    </row>
    <row r="119" spans="33:52" ph="1">
      <c r="AI119" s="64" t="s" ph="1">
        <v>209</v>
      </c>
      <c r="AJ119" s="64" t="s" ph="1">
        <v>210</v>
      </c>
      <c r="AK119" s="64" t="s" ph="1">
        <v>211</v>
      </c>
      <c r="AM119" s="64" t="s" ph="1">
        <v>210</v>
      </c>
      <c r="AN119" s="64" t="s" ph="1">
        <v>211</v>
      </c>
      <c r="AO119" s="64" t="s" ph="1">
        <v>212</v>
      </c>
      <c r="AP119" s="64" t="s" ph="1">
        <v>210</v>
      </c>
      <c r="AQ119" s="64" t="s" ph="1">
        <v>211</v>
      </c>
      <c r="AR119" s="64" t="s" ph="1">
        <v>212</v>
      </c>
      <c r="AS119" s="64" t="s" ph="1">
        <v>210</v>
      </c>
      <c r="AT119" s="64" t="s" ph="1">
        <v>211</v>
      </c>
      <c r="AU119" s="64" t="s" ph="1">
        <v>212</v>
      </c>
      <c r="AV119" s="64" t="s" ph="1">
        <v>210</v>
      </c>
      <c r="AW119" s="64" t="s" ph="1">
        <v>211</v>
      </c>
      <c r="AX119" s="64" t="s" ph="1">
        <v>212</v>
      </c>
      <c r="AY119" s="64" t="s" ph="1">
        <v>211</v>
      </c>
      <c r="AZ119" s="64" t="s" ph="1">
        <v>213</v>
      </c>
    </row>
    <row r="120" spans="33:52" ph="1">
      <c r="AG120" s="64" t="s" ph="1">
        <v>353</v>
      </c>
      <c r="AH120" s="64" ph="1">
        <v>1</v>
      </c>
      <c r="AI120" s="64" t="s" ph="1">
        <v>513</v>
      </c>
      <c r="AJ120" s="64" t="s" ph="1">
        <v>587</v>
      </c>
      <c r="AK120" s="64" t="s" ph="1">
        <v>367</v>
      </c>
      <c r="AY120" s="64" t="s" ph="1">
        <v>216</v>
      </c>
      <c r="AZ120" s="64" t="s" ph="1">
        <v>367</v>
      </c>
    </row>
    <row r="121" spans="33:52" ph="1">
      <c r="AH121" s="64" ph="1">
        <v>2</v>
      </c>
      <c r="AI121" s="64" t="s" ph="1">
        <v>514</v>
      </c>
      <c r="AY121" s="64" t="s" ph="1">
        <v>216</v>
      </c>
      <c r="AZ121" s="64" t="s" ph="1">
        <v>367</v>
      </c>
    </row>
    <row r="122" spans="33:52" ph="1">
      <c r="AH122" s="64" ph="1">
        <v>3</v>
      </c>
      <c r="AI122" s="64" t="s" ph="1">
        <v>515</v>
      </c>
      <c r="AJ122" s="64" t="s" ph="1">
        <v>570</v>
      </c>
      <c r="AK122" s="64" t="s" ph="1">
        <v>582</v>
      </c>
      <c r="AM122" s="64" t="s" ph="1">
        <v>597</v>
      </c>
      <c r="AN122" s="64" t="s" ph="1">
        <v>590</v>
      </c>
      <c r="AO122" s="64" t="s" ph="1">
        <v>91</v>
      </c>
      <c r="AY122" s="64" t="s" ph="1">
        <v>216</v>
      </c>
      <c r="AZ122" s="64" t="s" ph="1">
        <v>579</v>
      </c>
    </row>
    <row r="123" spans="33:52" ph="1">
      <c r="AY123" s="64" t="s" ph="1">
        <v>216</v>
      </c>
      <c r="AZ123" s="64" t="s" ph="1">
        <v>579</v>
      </c>
    </row>
    <row r="124" spans="33:52" ph="1">
      <c r="AG124" s="64" t="s" ph="1">
        <v>356</v>
      </c>
      <c r="AH124" s="64" ph="1">
        <v>4</v>
      </c>
      <c r="AI124" s="64" t="s" ph="1">
        <v>516</v>
      </c>
      <c r="AJ124" s="64" t="s" ph="1">
        <v>517</v>
      </c>
      <c r="AK124" s="64" t="s" ph="1">
        <v>518</v>
      </c>
      <c r="AY124" s="64" t="s" ph="1">
        <v>216</v>
      </c>
      <c r="AZ124" s="64" t="s" ph="1">
        <v>518</v>
      </c>
    </row>
    <row r="125" spans="33:52" ph="1">
      <c r="AH125" s="64" ph="1">
        <v>5</v>
      </c>
      <c r="AI125" s="64" t="s" ph="1">
        <v>519</v>
      </c>
      <c r="AJ125" s="64" t="s" ph="1">
        <v>517</v>
      </c>
      <c r="AK125" s="64" t="s" ph="1">
        <v>518</v>
      </c>
      <c r="AY125" s="64" t="s" ph="1">
        <v>216</v>
      </c>
      <c r="AZ125" s="64" t="s" ph="1">
        <v>518</v>
      </c>
    </row>
    <row r="126" spans="33:52" ph="1">
      <c r="AH126" s="64" ph="1">
        <v>6</v>
      </c>
      <c r="AI126" s="64" t="s" ph="1">
        <v>520</v>
      </c>
      <c r="AJ126" s="64" t="s" ph="1">
        <v>589</v>
      </c>
      <c r="AK126" s="64" t="s" ph="1">
        <v>598</v>
      </c>
      <c r="AY126" s="64" t="s" ph="1">
        <v>216</v>
      </c>
      <c r="AZ126" s="64" t="s" ph="1">
        <v>598</v>
      </c>
    </row>
    <row r="127" spans="33:52" ph="1">
      <c r="AH127" s="64" ph="1">
        <v>7</v>
      </c>
      <c r="AI127" s="64" t="s" ph="1">
        <v>521</v>
      </c>
      <c r="AJ127" s="64" t="s" ph="1">
        <v>589</v>
      </c>
      <c r="AK127" s="64" t="s" ph="1">
        <v>599</v>
      </c>
      <c r="AY127" s="64" t="s" ph="1">
        <v>216</v>
      </c>
      <c r="AZ127" s="64" t="s" ph="1">
        <v>599</v>
      </c>
    </row>
    <row r="128" spans="33:52" ph="1">
      <c r="AH128" s="64" ph="1">
        <v>8</v>
      </c>
      <c r="AI128" s="64" t="s" ph="1">
        <v>522</v>
      </c>
      <c r="AY128" s="64" t="s" ph="1">
        <v>216</v>
      </c>
      <c r="AZ128" s="64" t="s" ph="1">
        <v>367</v>
      </c>
    </row>
    <row r="129" spans="33:52" ph="1">
      <c r="AH129" s="64" ph="1">
        <v>9</v>
      </c>
      <c r="AI129" s="64" t="s" ph="1">
        <v>523</v>
      </c>
      <c r="AY129" s="64" t="s" ph="1">
        <v>216</v>
      </c>
      <c r="AZ129" s="64" t="s" ph="1">
        <v>367</v>
      </c>
    </row>
    <row r="130" spans="33:52" ph="1">
      <c r="AH130" s="64" ph="1">
        <v>10</v>
      </c>
      <c r="AI130" s="64" t="s" ph="1">
        <v>524</v>
      </c>
      <c r="AY130" s="64" t="s" ph="1">
        <v>216</v>
      </c>
      <c r="AZ130" s="64" t="s" ph="1">
        <v>367</v>
      </c>
    </row>
    <row r="131" spans="33:52" ph="1">
      <c r="AH131" s="64" ph="1">
        <v>11</v>
      </c>
      <c r="AI131" s="64" t="s" ph="1">
        <v>525</v>
      </c>
      <c r="AJ131" s="64" t="s" ph="1">
        <v>583</v>
      </c>
      <c r="AK131" s="64" t="s" ph="1">
        <v>579</v>
      </c>
      <c r="AY131" s="64" t="s" ph="1">
        <v>216</v>
      </c>
      <c r="AZ131" s="64" t="s" ph="1">
        <v>579</v>
      </c>
    </row>
    <row r="132" spans="33:52" ph="1">
      <c r="AH132" s="64" ph="1">
        <v>12</v>
      </c>
      <c r="AI132" s="64" t="s" ph="1">
        <v>526</v>
      </c>
      <c r="AJ132" s="64" t="s" ph="1">
        <v>583</v>
      </c>
      <c r="AK132" s="64" t="s" ph="1">
        <v>518</v>
      </c>
      <c r="AY132" s="64" t="s" ph="1">
        <v>216</v>
      </c>
      <c r="AZ132" s="64" t="s" ph="1">
        <v>518</v>
      </c>
    </row>
    <row r="133" spans="33:52" ph="1">
      <c r="AH133" s="64" ph="1">
        <v>13</v>
      </c>
      <c r="AI133" s="64" t="s" ph="1">
        <v>527</v>
      </c>
      <c r="AJ133" s="64" t="s" ph="1">
        <v>583</v>
      </c>
      <c r="AK133" s="64" t="s" ph="1">
        <v>584</v>
      </c>
      <c r="AY133" s="64" t="s" ph="1">
        <v>216</v>
      </c>
      <c r="AZ133" s="64" t="s" ph="1">
        <v>584</v>
      </c>
    </row>
    <row r="134" spans="33:52" ph="1">
      <c r="AH134" s="64" ph="1">
        <v>14</v>
      </c>
      <c r="AI134" s="64" t="s" ph="1">
        <v>528</v>
      </c>
      <c r="AJ134" s="64" t="s" ph="1">
        <v>583</v>
      </c>
      <c r="AK134" s="64" t="s" ph="1">
        <v>585</v>
      </c>
      <c r="AY134" s="64" t="s" ph="1">
        <v>216</v>
      </c>
      <c r="AZ134" s="64" t="s" ph="1">
        <v>585</v>
      </c>
    </row>
    <row r="135" spans="33:52" ph="1">
      <c r="AH135" s="64" ph="1">
        <v>15</v>
      </c>
      <c r="AI135" s="64" t="s" ph="1">
        <v>529</v>
      </c>
      <c r="AJ135" s="64" t="s" ph="1">
        <v>583</v>
      </c>
      <c r="AK135" s="64" t="s" ph="1">
        <v>586</v>
      </c>
      <c r="AY135" s="64" t="s" ph="1">
        <v>216</v>
      </c>
      <c r="AZ135" s="64" t="s" ph="1">
        <v>586</v>
      </c>
    </row>
    <row r="136" spans="33:52" ph="1">
      <c r="AZ136" s="64" t="s" ph="1">
        <v>600</v>
      </c>
    </row>
    <row r="137" spans="33:52" ph="1">
      <c r="AG137" s="64" t="s" ph="1">
        <v>290</v>
      </c>
      <c r="AI137" s="64" t="s" ph="1">
        <v>209</v>
      </c>
      <c r="AJ137" s="64" t="s" ph="1">
        <v>210</v>
      </c>
      <c r="AK137" s="64" t="s" ph="1">
        <v>211</v>
      </c>
      <c r="AM137" s="64" t="s" ph="1">
        <v>210</v>
      </c>
      <c r="AN137" s="64" t="s" ph="1">
        <v>211</v>
      </c>
      <c r="AO137" s="64" t="s" ph="1">
        <v>212</v>
      </c>
      <c r="AP137" s="64" t="s" ph="1">
        <v>210</v>
      </c>
      <c r="AQ137" s="64" t="s" ph="1">
        <v>211</v>
      </c>
      <c r="AR137" s="64" t="s" ph="1">
        <v>212</v>
      </c>
      <c r="AS137" s="64" t="s" ph="1">
        <v>210</v>
      </c>
      <c r="AT137" s="64" t="s" ph="1">
        <v>211</v>
      </c>
      <c r="AU137" s="64" t="s" ph="1">
        <v>212</v>
      </c>
      <c r="AV137" s="64" t="s" ph="1">
        <v>210</v>
      </c>
      <c r="AW137" s="64" t="s" ph="1">
        <v>211</v>
      </c>
      <c r="AX137" s="64" t="s" ph="1">
        <v>212</v>
      </c>
      <c r="AY137" s="64" t="s" ph="1">
        <v>211</v>
      </c>
      <c r="AZ137" s="64" t="s" ph="1">
        <v>213</v>
      </c>
    </row>
    <row r="138" spans="33:52" ph="1">
      <c r="AH138" s="64" ph="1">
        <v>1</v>
      </c>
      <c r="AI138" s="64" t="s" ph="1">
        <v>530</v>
      </c>
      <c r="AJ138" s="64" t="s" ph="1">
        <v>531</v>
      </c>
      <c r="AK138" s="64" t="s" ph="1">
        <v>532</v>
      </c>
      <c r="AY138" s="64" t="s" ph="1">
        <v>216</v>
      </c>
      <c r="AZ138" s="64" t="s" ph="1">
        <v>532</v>
      </c>
    </row>
    <row r="139" spans="33:52" ph="1">
      <c r="AH139" s="64" ph="1">
        <v>2</v>
      </c>
      <c r="AI139" s="64" t="s" ph="1">
        <v>533</v>
      </c>
      <c r="AJ139" s="64" t="s" ph="1">
        <v>589</v>
      </c>
      <c r="AK139" s="64" t="s" ph="1">
        <v>601</v>
      </c>
      <c r="AY139" s="64" t="s" ph="1">
        <v>216</v>
      </c>
      <c r="AZ139" s="64" t="s" ph="1">
        <v>601</v>
      </c>
    </row>
    <row r="140" spans="33:52" ph="1">
      <c r="AH140" s="64" ph="1">
        <v>3</v>
      </c>
      <c r="AI140" s="64" t="s" ph="1">
        <v>534</v>
      </c>
      <c r="AJ140" s="64" t="s" ph="1">
        <v>487</v>
      </c>
      <c r="AK140" s="64" t="s" ph="1">
        <v>299</v>
      </c>
      <c r="AM140" s="64" t="s" ph="1">
        <v>488</v>
      </c>
      <c r="AN140" s="64" t="s" ph="1">
        <v>219</v>
      </c>
      <c r="AO140" s="64" t="s" ph="1">
        <v>535</v>
      </c>
      <c r="AP140" s="64" t="s" ph="1">
        <v>489</v>
      </c>
      <c r="AQ140" s="64" t="s" ph="1">
        <v>236</v>
      </c>
      <c r="AR140" s="64" t="s" ph="1">
        <v>535</v>
      </c>
      <c r="AS140" s="64" t="s" ph="1">
        <v>490</v>
      </c>
      <c r="AT140" s="64" t="s" ph="1">
        <v>229</v>
      </c>
      <c r="AU140" s="64" t="s" ph="1">
        <v>535</v>
      </c>
      <c r="AV140" s="64" t="s" ph="1">
        <v>491</v>
      </c>
      <c r="AW140" s="64" t="s" ph="1">
        <v>222</v>
      </c>
      <c r="AX140" s="64" t="s" ph="1">
        <v>535</v>
      </c>
      <c r="AY140" s="64" t="s" ph="1">
        <v>216</v>
      </c>
      <c r="AZ140" s="64" t="s" ph="1">
        <v>291</v>
      </c>
    </row>
    <row r="141" spans="33:52" ph="1">
      <c r="AJ141" s="64" t="s" ph="1">
        <v>493</v>
      </c>
      <c r="AK141" s="64" t="s" ph="1">
        <v>222</v>
      </c>
      <c r="AM141" s="64" t="s" ph="1">
        <v>494</v>
      </c>
      <c r="AN141" s="64" t="s" ph="1">
        <v>225</v>
      </c>
      <c r="AO141" s="64" t="s" ph="1">
        <v>535</v>
      </c>
      <c r="AP141" s="64" t="s" ph="1">
        <v>506</v>
      </c>
      <c r="AQ141" s="64" t="s" ph="1">
        <v>294</v>
      </c>
      <c r="AR141" s="64" t="s" ph="1">
        <v>535</v>
      </c>
      <c r="AS141" s="64" t="s" ph="1">
        <v>498</v>
      </c>
      <c r="AT141" s="64" t="s" ph="1">
        <v>222</v>
      </c>
      <c r="AU141" s="64" t="s" ph="1">
        <v>535</v>
      </c>
      <c r="AV141" s="64" t="s" ph="1">
        <v>334</v>
      </c>
      <c r="AW141" s="64" t="s" ph="1">
        <v>228</v>
      </c>
      <c r="AX141" s="64" t="s" ph="1">
        <v>535</v>
      </c>
    </row>
    <row r="142" spans="33:52" ph="1">
      <c r="AJ142" s="64" t="s" ph="1">
        <v>536</v>
      </c>
      <c r="AK142" s="64" t="s" ph="1">
        <v>239</v>
      </c>
    </row>
    <row r="143" spans="33:52" ph="1">
      <c r="AH143" s="64" ph="1">
        <v>4</v>
      </c>
      <c r="AI143" s="64" t="s" ph="1">
        <v>537</v>
      </c>
      <c r="AJ143" s="64" t="s" ph="1">
        <v>517</v>
      </c>
      <c r="AK143" s="64" t="s" ph="1">
        <v>538</v>
      </c>
      <c r="AY143" s="64" t="s" ph="1">
        <v>216</v>
      </c>
      <c r="AZ143" s="64" t="s" ph="1">
        <v>538</v>
      </c>
    </row>
    <row r="144" spans="33:52" ph="1">
      <c r="AH144" s="64" ph="1">
        <v>5</v>
      </c>
      <c r="AI144" s="64" t="s" ph="1">
        <v>539</v>
      </c>
      <c r="AY144" s="64" t="s" ph="1">
        <v>216</v>
      </c>
      <c r="AZ144" s="64" t="s" ph="1">
        <v>367</v>
      </c>
    </row>
    <row r="145" spans="33:52" ph="1">
      <c r="AH145" s="64" ph="1">
        <v>6</v>
      </c>
      <c r="AI145" s="64" t="s" ph="1">
        <v>540</v>
      </c>
      <c r="AY145" s="64" t="s" ph="1">
        <v>216</v>
      </c>
      <c r="AZ145" s="64" t="s" ph="1">
        <v>367</v>
      </c>
    </row>
    <row r="146" spans="33:52" ph="1">
      <c r="AH146" s="64" ph="1">
        <v>7</v>
      </c>
      <c r="AI146" s="64" t="s" ph="1">
        <v>541</v>
      </c>
      <c r="AY146" s="64" t="s" ph="1">
        <v>216</v>
      </c>
      <c r="AZ146" s="64" t="s" ph="1">
        <v>367</v>
      </c>
    </row>
    <row r="147" spans="33:52" ph="1">
      <c r="AH147" s="64" ph="1">
        <v>8</v>
      </c>
      <c r="AI147" s="64" t="s" ph="1">
        <v>542</v>
      </c>
      <c r="AY147" s="64" t="s" ph="1">
        <v>216</v>
      </c>
      <c r="AZ147" s="64" t="s" ph="1">
        <v>367</v>
      </c>
    </row>
    <row r="148" spans="33:52" ph="1">
      <c r="AH148" s="64" ph="1">
        <v>9</v>
      </c>
      <c r="AI148" s="64" t="s" ph="1">
        <v>543</v>
      </c>
      <c r="AY148" s="64" t="s" ph="1">
        <v>216</v>
      </c>
      <c r="AZ148" s="64" t="s" ph="1">
        <v>367</v>
      </c>
    </row>
    <row r="149" spans="33:52" ph="1">
      <c r="AH149" s="64" ph="1">
        <v>10</v>
      </c>
      <c r="AI149" s="64" t="s" ph="1">
        <v>544</v>
      </c>
      <c r="AY149" s="64" t="s" ph="1">
        <v>216</v>
      </c>
      <c r="AZ149" s="64" t="s" ph="1">
        <v>367</v>
      </c>
    </row>
    <row r="150" spans="33:52" ph="1">
      <c r="AH150" s="64" ph="1">
        <v>11</v>
      </c>
      <c r="AI150" s="64" t="s" ph="1">
        <v>545</v>
      </c>
      <c r="AY150" s="64" t="s" ph="1">
        <v>216</v>
      </c>
      <c r="AZ150" s="64" t="s" ph="1">
        <v>367</v>
      </c>
    </row>
    <row r="151" spans="33:52" ph="1">
      <c r="AH151" s="64" ph="1">
        <v>12</v>
      </c>
      <c r="AI151" s="64" t="s" ph="1">
        <v>546</v>
      </c>
      <c r="AY151" s="64" t="s" ph="1">
        <v>216</v>
      </c>
      <c r="AZ151" s="64" t="s" ph="1">
        <v>367</v>
      </c>
    </row>
    <row r="152" spans="33:52" ph="1">
      <c r="AH152" s="64" ph="1">
        <v>13</v>
      </c>
      <c r="AI152" s="64" t="s" ph="1">
        <v>547</v>
      </c>
      <c r="AY152" s="64" t="s" ph="1">
        <v>216</v>
      </c>
      <c r="AZ152" s="64" t="s" ph="1">
        <v>367</v>
      </c>
    </row>
    <row r="153" spans="33:52" ph="1">
      <c r="AH153" s="64" ph="1">
        <v>14</v>
      </c>
      <c r="AI153" s="64" t="s" ph="1">
        <v>548</v>
      </c>
      <c r="AY153" s="64" t="s" ph="1">
        <v>216</v>
      </c>
      <c r="AZ153" s="64" t="s" ph="1">
        <v>367</v>
      </c>
    </row>
    <row r="154" spans="33:52" ph="1">
      <c r="AH154" s="64" ph="1">
        <v>15</v>
      </c>
      <c r="AI154" s="64" t="s" ph="1">
        <v>549</v>
      </c>
      <c r="AY154" s="64" t="s" ph="1">
        <v>216</v>
      </c>
      <c r="AZ154" s="64" t="s" ph="1">
        <v>367</v>
      </c>
    </row>
    <row r="155" spans="33:52" ph="1">
      <c r="AH155" s="64" ph="1">
        <v>16</v>
      </c>
      <c r="AI155" s="64" t="s" ph="1">
        <v>550</v>
      </c>
      <c r="AJ155" s="64" t="s" ph="1">
        <v>336</v>
      </c>
      <c r="AK155" s="64" t="s" ph="1">
        <v>231</v>
      </c>
      <c r="AM155" s="64" t="s" ph="1">
        <v>570</v>
      </c>
      <c r="AN155" s="64" t="s" ph="1">
        <v>282</v>
      </c>
      <c r="AO155" s="64" t="s" ph="1">
        <v>535</v>
      </c>
      <c r="AY155" s="64" t="s" ph="1">
        <v>216</v>
      </c>
      <c r="AZ155" s="64" t="s" ph="1">
        <v>223</v>
      </c>
    </row>
    <row r="156" spans="33:52" ph="1">
      <c r="AZ156" s="64" t="s" ph="1">
        <v>602</v>
      </c>
    </row>
    <row r="157" spans="33:52" ph="1">
      <c r="AG157" s="64" t="s" ph="1">
        <v>551</v>
      </c>
      <c r="AI157" s="64" t="s" ph="1">
        <v>209</v>
      </c>
      <c r="AJ157" s="64" t="s" ph="1">
        <v>210</v>
      </c>
      <c r="AK157" s="64" t="s" ph="1">
        <v>211</v>
      </c>
      <c r="AM157" s="64" t="s" ph="1">
        <v>210</v>
      </c>
      <c r="AN157" s="64" t="s" ph="1">
        <v>211</v>
      </c>
      <c r="AO157" s="64" t="s" ph="1">
        <v>212</v>
      </c>
      <c r="AP157" s="64" t="s" ph="1">
        <v>210</v>
      </c>
      <c r="AQ157" s="64" t="s" ph="1">
        <v>211</v>
      </c>
      <c r="AR157" s="64" t="s" ph="1">
        <v>212</v>
      </c>
      <c r="AS157" s="64" t="s" ph="1">
        <v>210</v>
      </c>
      <c r="AT157" s="64" t="s" ph="1">
        <v>211</v>
      </c>
      <c r="AU157" s="64" t="s" ph="1">
        <v>212</v>
      </c>
      <c r="AV157" s="64" t="s" ph="1">
        <v>210</v>
      </c>
      <c r="AW157" s="64" t="s" ph="1">
        <v>211</v>
      </c>
      <c r="AX157" s="64" t="s" ph="1">
        <v>212</v>
      </c>
      <c r="AY157" s="64" t="s" ph="1">
        <v>211</v>
      </c>
      <c r="AZ157" s="64" t="s" ph="1">
        <v>213</v>
      </c>
    </row>
    <row r="158" spans="33:52" ph="1">
      <c r="AH158" s="64" ph="1">
        <v>1</v>
      </c>
      <c r="AI158" s="64" t="s" ph="1">
        <v>552</v>
      </c>
      <c r="AY158" s="64" t="s" ph="1">
        <v>216</v>
      </c>
      <c r="AZ158" s="64" t="s" ph="1">
        <v>367</v>
      </c>
    </row>
    <row r="159" spans="33:52" ph="1">
      <c r="AH159" s="64" ph="1">
        <v>2</v>
      </c>
      <c r="AI159" s="64" t="s" ph="1">
        <v>553</v>
      </c>
      <c r="AY159" s="64" t="s" ph="1">
        <v>216</v>
      </c>
      <c r="AZ159" s="64" t="s" ph="1">
        <v>367</v>
      </c>
    </row>
    <row r="160" spans="33:52" ph="1">
      <c r="AZ160" s="64" t="s" ph="1">
        <v>385</v>
      </c>
    </row>
    <row r="161" spans="33:52" ph="1">
      <c r="AG161" s="64" t="s" ph="1">
        <v>361</v>
      </c>
      <c r="AI161" s="64" t="s" ph="1">
        <v>209</v>
      </c>
      <c r="AJ161" s="64" t="s" ph="1">
        <v>210</v>
      </c>
      <c r="AK161" s="64" t="s" ph="1">
        <v>211</v>
      </c>
      <c r="AM161" s="64" t="s" ph="1">
        <v>210</v>
      </c>
      <c r="AN161" s="64" t="s" ph="1">
        <v>211</v>
      </c>
      <c r="AO161" s="64" t="s" ph="1">
        <v>212</v>
      </c>
      <c r="AP161" s="64" t="s" ph="1">
        <v>210</v>
      </c>
      <c r="AQ161" s="64" t="s" ph="1">
        <v>211</v>
      </c>
      <c r="AR161" s="64" t="s" ph="1">
        <v>212</v>
      </c>
      <c r="AS161" s="64" t="s" ph="1">
        <v>210</v>
      </c>
      <c r="AT161" s="64" t="s" ph="1">
        <v>211</v>
      </c>
      <c r="AU161" s="64" t="s" ph="1">
        <v>212</v>
      </c>
      <c r="AV161" s="64" t="s" ph="1">
        <v>210</v>
      </c>
      <c r="AW161" s="64" t="s" ph="1">
        <v>211</v>
      </c>
      <c r="AX161" s="64" t="s" ph="1">
        <v>212</v>
      </c>
      <c r="AY161" s="64" t="s" ph="1">
        <v>211</v>
      </c>
      <c r="AZ161" s="64" t="s" ph="1">
        <v>213</v>
      </c>
    </row>
    <row r="162" spans="33:52" ph="1">
      <c r="AH162" s="64" ph="1">
        <v>1</v>
      </c>
      <c r="AI162" s="64" t="s" ph="1">
        <v>554</v>
      </c>
      <c r="AJ162" s="64" t="s" ph="1">
        <v>555</v>
      </c>
      <c r="AK162" s="64" t="s" ph="1">
        <v>499</v>
      </c>
      <c r="AM162" s="64" t="s" ph="1">
        <v>556</v>
      </c>
      <c r="AN162" s="64" t="s" ph="1">
        <v>220</v>
      </c>
      <c r="AO162" s="64" t="s" ph="1">
        <v>557</v>
      </c>
      <c r="AY162" s="64" t="s" ph="1">
        <v>216</v>
      </c>
      <c r="AZ162" s="64" t="s" ph="1">
        <v>292</v>
      </c>
    </row>
    <row r="163" spans="33:52" ph="1">
      <c r="AH163" s="64" ph="1">
        <v>2</v>
      </c>
      <c r="AI163" s="64" t="s" ph="1">
        <v>558</v>
      </c>
      <c r="AJ163" s="64" t="s" ph="1">
        <v>555</v>
      </c>
      <c r="AK163" s="64" t="s" ph="1">
        <v>388</v>
      </c>
      <c r="AY163" s="64" t="s" ph="1">
        <v>216</v>
      </c>
      <c r="AZ163" s="64" t="s" ph="1">
        <v>388</v>
      </c>
    </row>
    <row r="164" spans="33:52" ph="1">
      <c r="AH164" s="64" ph="1">
        <v>3</v>
      </c>
      <c r="AI164" s="64" t="s" ph="1">
        <v>559</v>
      </c>
      <c r="AJ164" s="64" t="s" ph="1">
        <v>555</v>
      </c>
      <c r="AK164" s="64" t="s" ph="1">
        <v>292</v>
      </c>
      <c r="AY164" s="64" t="s" ph="1">
        <v>216</v>
      </c>
      <c r="AZ164" s="64" t="s" ph="1">
        <v>292</v>
      </c>
    </row>
    <row r="165" spans="33:52" ph="1">
      <c r="AH165" s="64" ph="1">
        <v>4</v>
      </c>
      <c r="AI165" s="64" t="s" ph="1">
        <v>560</v>
      </c>
      <c r="AY165" s="64" t="s" ph="1">
        <v>216</v>
      </c>
      <c r="AZ165" s="64" t="s" ph="1">
        <v>367</v>
      </c>
    </row>
    <row r="166" spans="33:52" ph="1">
      <c r="AH166" s="64" ph="1">
        <v>5</v>
      </c>
      <c r="AI166" s="64" t="s" ph="1">
        <v>561</v>
      </c>
      <c r="AY166" s="64" t="s" ph="1">
        <v>216</v>
      </c>
      <c r="AZ166" s="64" t="s" ph="1">
        <v>367</v>
      </c>
    </row>
    <row r="167" spans="33:52" ph="1">
      <c r="AZ167" s="64" t="s" ph="1">
        <v>562</v>
      </c>
    </row>
    <row r="168" spans="33:52" ph="1">
      <c r="AG168" s="64" t="s" ph="1">
        <v>305</v>
      </c>
      <c r="AI168" s="64" t="s" ph="1">
        <v>209</v>
      </c>
      <c r="AJ168" s="64" t="s" ph="1">
        <v>210</v>
      </c>
      <c r="AK168" s="64" t="s" ph="1">
        <v>211</v>
      </c>
      <c r="AM168" s="64" t="s" ph="1">
        <v>210</v>
      </c>
      <c r="AN168" s="64" t="s" ph="1">
        <v>211</v>
      </c>
      <c r="AO168" s="64" t="s" ph="1">
        <v>212</v>
      </c>
      <c r="AP168" s="64" t="s" ph="1">
        <v>210</v>
      </c>
      <c r="AQ168" s="64" t="s" ph="1">
        <v>211</v>
      </c>
      <c r="AR168" s="64" t="s" ph="1">
        <v>212</v>
      </c>
      <c r="AS168" s="64" t="s" ph="1">
        <v>210</v>
      </c>
      <c r="AT168" s="64" t="s" ph="1">
        <v>211</v>
      </c>
      <c r="AU168" s="64" t="s" ph="1">
        <v>212</v>
      </c>
      <c r="AV168" s="64" t="s" ph="1">
        <v>210</v>
      </c>
      <c r="AW168" s="64" t="s" ph="1">
        <v>211</v>
      </c>
      <c r="AX168" s="64" t="s" ph="1">
        <v>212</v>
      </c>
      <c r="AY168" s="64" t="s" ph="1">
        <v>211</v>
      </c>
      <c r="AZ168" s="64" t="s" ph="1">
        <v>213</v>
      </c>
    </row>
    <row r="169" spans="33:52" ph="1">
      <c r="AH169" s="64" ph="1">
        <v>1</v>
      </c>
      <c r="AI169" s="64" t="s" ph="1">
        <v>563</v>
      </c>
      <c r="AY169" s="64" t="s" ph="1">
        <v>216</v>
      </c>
      <c r="AZ169" s="64" t="s" ph="1">
        <v>367</v>
      </c>
    </row>
    <row r="170" spans="33:52" ph="1">
      <c r="AH170" s="64" ph="1">
        <v>2</v>
      </c>
      <c r="AI170" s="64" t="s" ph="1">
        <v>564</v>
      </c>
      <c r="AY170" s="64" t="s" ph="1">
        <v>216</v>
      </c>
      <c r="AZ170" s="64" t="s" ph="1">
        <v>367</v>
      </c>
    </row>
    <row r="171" spans="33:52" ph="1">
      <c r="AH171" s="64" ph="1">
        <v>3</v>
      </c>
      <c r="AI171" s="64" t="s" ph="1">
        <v>565</v>
      </c>
      <c r="AY171" s="64" t="s" ph="1">
        <v>216</v>
      </c>
      <c r="AZ171" s="64" t="s" ph="1">
        <v>367</v>
      </c>
    </row>
    <row r="172" spans="33:52" ph="1">
      <c r="AH172" s="64" ph="1">
        <v>4</v>
      </c>
      <c r="AI172" s="64" t="s" ph="1">
        <v>566</v>
      </c>
      <c r="AY172" s="64" t="s" ph="1">
        <v>216</v>
      </c>
      <c r="AZ172" s="64" t="s" ph="1">
        <v>367</v>
      </c>
    </row>
    <row r="173" spans="33:52" ph="1">
      <c r="AH173" s="64" ph="1">
        <v>5</v>
      </c>
      <c r="AI173" s="64" t="s" ph="1">
        <v>567</v>
      </c>
      <c r="AY173" s="64" t="s" ph="1">
        <v>216</v>
      </c>
      <c r="AZ173" s="64" t="s" ph="1">
        <v>367</v>
      </c>
    </row>
    <row r="174" spans="33:52" ph="1">
      <c r="AZ174" s="64" t="s" ph="1">
        <v>385</v>
      </c>
    </row>
    <row r="175" spans="33:52" ph="1">
      <c r="AJ175" s="64" t="s" ph="1">
        <v>306</v>
      </c>
    </row>
    <row r="176" spans="33:52" ph="1">
      <c r="AJ176" s="64" t="s" ph="1">
        <v>307</v>
      </c>
      <c r="AK176" s="64" t="s" ph="1">
        <v>308</v>
      </c>
      <c r="AM176" s="64" t="s" ph="1">
        <v>309</v>
      </c>
      <c r="AO176" s="64" t="s" ph="1">
        <v>310</v>
      </c>
      <c r="AP176" s="64" t="s" ph="1">
        <v>311</v>
      </c>
      <c r="AQ176" s="64" t="s" ph="1">
        <v>301</v>
      </c>
      <c r="AR176" s="64" t="s" ph="1">
        <v>221</v>
      </c>
    </row>
    <row r="177" spans="36:56" ph="1">
      <c r="AJ177" s="64" t="s" ph="1">
        <v>603</v>
      </c>
      <c r="AK177" s="64" t="s" ph="1">
        <v>312</v>
      </c>
      <c r="AO177" s="64" t="s" ph="1">
        <v>312</v>
      </c>
      <c r="AP177" s="64" t="s" ph="1">
        <v>312</v>
      </c>
      <c r="AQ177" s="64" t="s" ph="1">
        <v>313</v>
      </c>
      <c r="AR177" s="64" t="s" ph="1">
        <v>314</v>
      </c>
    </row>
    <row r="179" spans="36:56" ph="1">
      <c r="AJ179" s="64" t="s" ph="1">
        <v>315</v>
      </c>
      <c r="AK179" s="64" t="s" ph="1">
        <v>316</v>
      </c>
      <c r="AM179" s="64" t="s" ph="1">
        <v>317</v>
      </c>
      <c r="AN179" s="64" t="s" ph="1">
        <v>293</v>
      </c>
      <c r="AO179" s="64" t="s" ph="1">
        <v>318</v>
      </c>
      <c r="AP179" s="64" t="s" ph="1">
        <v>297</v>
      </c>
      <c r="AQ179" s="64" t="s" ph="1">
        <v>319</v>
      </c>
      <c r="AR179" s="64" t="s" ph="1">
        <v>320</v>
      </c>
    </row>
    <row r="180" spans="36:56" ph="1">
      <c r="AJ180" s="64" t="s" ph="1">
        <v>312</v>
      </c>
      <c r="AK180" s="64" t="s" ph="1">
        <v>312</v>
      </c>
      <c r="AL180" s="64" ph="1">
        <v>116</v>
      </c>
      <c r="AM180" s="64" t="s" ph="1">
        <v>312</v>
      </c>
      <c r="AN180" s="64" t="s" ph="1">
        <v>321</v>
      </c>
      <c r="AO180" s="64" t="s" ph="1">
        <v>312</v>
      </c>
      <c r="AP180" s="64" t="s" ph="1">
        <v>322</v>
      </c>
      <c r="AQ180" s="64" t="s" ph="1">
        <v>323</v>
      </c>
      <c r="AR180" s="64" t="s" ph="1">
        <v>324</v>
      </c>
    </row>
    <row r="189" spans="36:56" ph="1">
      <c r="BD189" s="64" t="s" ph="1">
        <v>568</v>
      </c>
    </row>
    <row r="223" spans="18:18" ph="1">
      <c r="R223" s="135" ph="1">
        <v>45496</v>
      </c>
    </row>
  </sheetData>
  <mergeCells count="58">
    <mergeCell ref="Z22:AE22"/>
    <mergeCell ref="Z23:AE29"/>
    <mergeCell ref="B24:B26"/>
    <mergeCell ref="B27:B29"/>
    <mergeCell ref="B1:AE1"/>
    <mergeCell ref="B2:AE2"/>
    <mergeCell ref="B3:AE3"/>
    <mergeCell ref="B4:B5"/>
    <mergeCell ref="B6:B8"/>
    <mergeCell ref="B9:B11"/>
    <mergeCell ref="P31:R31"/>
    <mergeCell ref="B13:B14"/>
    <mergeCell ref="B15:B17"/>
    <mergeCell ref="B18:B20"/>
    <mergeCell ref="B22:B23"/>
    <mergeCell ref="B31:C32"/>
    <mergeCell ref="D31:F31"/>
    <mergeCell ref="G31:I31"/>
    <mergeCell ref="J31:L31"/>
    <mergeCell ref="M31:O31"/>
    <mergeCell ref="B33:C34"/>
    <mergeCell ref="D33:D34"/>
    <mergeCell ref="E33:E34"/>
    <mergeCell ref="F33:F34"/>
    <mergeCell ref="G33:G34"/>
    <mergeCell ref="S31:U31"/>
    <mergeCell ref="V31:X31"/>
    <mergeCell ref="Y31:AA31"/>
    <mergeCell ref="AB31:AE31"/>
    <mergeCell ref="AD32:AE32"/>
    <mergeCell ref="S33:S34"/>
    <mergeCell ref="H33:H34"/>
    <mergeCell ref="I33:I34"/>
    <mergeCell ref="J33:J34"/>
    <mergeCell ref="K33:K34"/>
    <mergeCell ref="L33:L34"/>
    <mergeCell ref="M33:M34"/>
    <mergeCell ref="N33:N34"/>
    <mergeCell ref="O33:O34"/>
    <mergeCell ref="P33:P34"/>
    <mergeCell ref="Q33:Q34"/>
    <mergeCell ref="R33:R34"/>
    <mergeCell ref="I36:J36"/>
    <mergeCell ref="R36:S36"/>
    <mergeCell ref="AB36:AC36"/>
    <mergeCell ref="AD36:AE36"/>
    <mergeCell ref="Z33:Z34"/>
    <mergeCell ref="AA33:AA34"/>
    <mergeCell ref="AB33:AB34"/>
    <mergeCell ref="AC33:AC34"/>
    <mergeCell ref="AD33:AE34"/>
    <mergeCell ref="AC35:AE35"/>
    <mergeCell ref="T33:T34"/>
    <mergeCell ref="U33:U34"/>
    <mergeCell ref="V33:V34"/>
    <mergeCell ref="W33:W34"/>
    <mergeCell ref="X33:X34"/>
    <mergeCell ref="Y33:Y34"/>
  </mergeCells>
  <phoneticPr fontId="2" type="noConversion"/>
  <conditionalFormatting sqref="D4:D11">
    <cfRule type="expression" dxfId="797" priority="103">
      <formula>ABS(D$7-D$10)&gt;=1000</formula>
    </cfRule>
  </conditionalFormatting>
  <conditionalFormatting sqref="E4 E6:E11">
    <cfRule type="expression" dxfId="796" priority="102">
      <formula>ABS(E$7-E$10)&gt;=1000</formula>
    </cfRule>
  </conditionalFormatting>
  <conditionalFormatting sqref="F4:F11">
    <cfRule type="expression" dxfId="795" priority="101">
      <formula>ABS(F$7-F$10)&gt;=1000</formula>
    </cfRule>
  </conditionalFormatting>
  <conditionalFormatting sqref="G4:G11">
    <cfRule type="expression" dxfId="794" priority="100">
      <formula>ABS(G$7-G$10)&gt;=1000</formula>
    </cfRule>
  </conditionalFormatting>
  <conditionalFormatting sqref="H4:H11">
    <cfRule type="expression" dxfId="793" priority="99">
      <formula>ABS(H$7-H$10)&gt;=1000</formula>
    </cfRule>
  </conditionalFormatting>
  <conditionalFormatting sqref="I4:I11">
    <cfRule type="expression" dxfId="792" priority="98">
      <formula>ABS(I$7-I$10)&gt;=1000</formula>
    </cfRule>
  </conditionalFormatting>
  <conditionalFormatting sqref="J4:J11">
    <cfRule type="expression" dxfId="791" priority="97">
      <formula>ABS(J$7-J$10)&gt;=1000</formula>
    </cfRule>
  </conditionalFormatting>
  <conditionalFormatting sqref="K4:K11">
    <cfRule type="expression" dxfId="790" priority="96">
      <formula>ABS(K$7-K$10)&gt;=1000</formula>
    </cfRule>
  </conditionalFormatting>
  <conditionalFormatting sqref="L4:L11">
    <cfRule type="expression" dxfId="789" priority="95">
      <formula>ABS(L$7-L$10)&gt;=1000</formula>
    </cfRule>
  </conditionalFormatting>
  <conditionalFormatting sqref="M4 M6:M11">
    <cfRule type="expression" dxfId="788" priority="94">
      <formula>ABS(M$7-M$10)&gt;=1000</formula>
    </cfRule>
  </conditionalFormatting>
  <conditionalFormatting sqref="N4 N6:N11">
    <cfRule type="expression" dxfId="787" priority="93">
      <formula>ABS(N$7-N$10)&gt;=1000</formula>
    </cfRule>
  </conditionalFormatting>
  <conditionalFormatting sqref="O4 O6:O11">
    <cfRule type="expression" dxfId="786" priority="92">
      <formula>ABS(O$7-O$10)&gt;=1000</formula>
    </cfRule>
  </conditionalFormatting>
  <conditionalFormatting sqref="P4 P6:P11">
    <cfRule type="expression" dxfId="785" priority="91">
      <formula>ABS(P$7-P$10)&gt;=1000</formula>
    </cfRule>
  </conditionalFormatting>
  <conditionalFormatting sqref="Q4:Q11">
    <cfRule type="expression" dxfId="784" priority="90">
      <formula>ABS(Q$7-Q$10)&gt;=1000</formula>
    </cfRule>
  </conditionalFormatting>
  <conditionalFormatting sqref="R4:R11">
    <cfRule type="expression" dxfId="783" priority="89">
      <formula>ABS(R$7-R$10)&gt;=1000</formula>
    </cfRule>
  </conditionalFormatting>
  <conditionalFormatting sqref="S4:S11">
    <cfRule type="expression" dxfId="782" priority="88">
      <formula>ABS(S$7-S$10)&gt;=1000</formula>
    </cfRule>
  </conditionalFormatting>
  <conditionalFormatting sqref="T4:T9 T11">
    <cfRule type="expression" dxfId="781" priority="87">
      <formula>ABS(T$7-T$10)&gt;=1000</formula>
    </cfRule>
  </conditionalFormatting>
  <conditionalFormatting sqref="U4:U9 U11">
    <cfRule type="expression" dxfId="780" priority="86">
      <formula>ABS(U$7-U$10)&gt;=1000</formula>
    </cfRule>
  </conditionalFormatting>
  <conditionalFormatting sqref="V4:V9 V11">
    <cfRule type="expression" dxfId="779" priority="85">
      <formula>ABS(V$7-V$10)&gt;=1000</formula>
    </cfRule>
  </conditionalFormatting>
  <conditionalFormatting sqref="W4:W9 W11">
    <cfRule type="expression" dxfId="778" priority="84">
      <formula>ABS(W$7-W$10)&gt;=1000</formula>
    </cfRule>
  </conditionalFormatting>
  <conditionalFormatting sqref="X4:X9 X11">
    <cfRule type="expression" dxfId="777" priority="83">
      <formula>ABS(X$7-X$10)&gt;=1000</formula>
    </cfRule>
  </conditionalFormatting>
  <conditionalFormatting sqref="Y4:Y9 Y11">
    <cfRule type="expression" dxfId="776" priority="82">
      <formula>ABS(Y$7-Y$10)&gt;=1000</formula>
    </cfRule>
  </conditionalFormatting>
  <conditionalFormatting sqref="Z4:Z11">
    <cfRule type="expression" dxfId="775" priority="81">
      <formula>ABS(Z$7-Z$10)&gt;=1000</formula>
    </cfRule>
  </conditionalFormatting>
  <conditionalFormatting sqref="AA4:AA11">
    <cfRule type="expression" dxfId="774" priority="80">
      <formula>ABS(AA$7-AA$10)&gt;=1000</formula>
    </cfRule>
  </conditionalFormatting>
  <conditionalFormatting sqref="AB4:AB11">
    <cfRule type="expression" dxfId="773" priority="79">
      <formula>ABS(AB$7-AB$10)&gt;=1000</formula>
    </cfRule>
  </conditionalFormatting>
  <conditionalFormatting sqref="AC4 AC6:AC11">
    <cfRule type="expression" dxfId="772" priority="78">
      <formula>ABS(AC$7-AC$10)&gt;=1000</formula>
    </cfRule>
  </conditionalFormatting>
  <conditionalFormatting sqref="AD4 AD6:AD11">
    <cfRule type="expression" dxfId="771" priority="77">
      <formula>ABS(AD$7-AD$10)&gt;=1000</formula>
    </cfRule>
  </conditionalFormatting>
  <conditionalFormatting sqref="AE4 AE6:AE11">
    <cfRule type="expression" dxfId="770" priority="76">
      <formula>ABS(AE$7-AE$10)&gt;=1000</formula>
    </cfRule>
  </conditionalFormatting>
  <conditionalFormatting sqref="D13:D20">
    <cfRule type="expression" dxfId="769" priority="75">
      <formula>ABS(D$16-D$19)&gt;=1000</formula>
    </cfRule>
  </conditionalFormatting>
  <conditionalFormatting sqref="E13:E20">
    <cfRule type="expression" dxfId="768" priority="74">
      <formula>ABS(E$16-E$19)&gt;=1000</formula>
    </cfRule>
  </conditionalFormatting>
  <conditionalFormatting sqref="F13 F15:F20">
    <cfRule type="expression" dxfId="767" priority="73">
      <formula>ABS(F$16-F$19)&gt;=1000</formula>
    </cfRule>
  </conditionalFormatting>
  <conditionalFormatting sqref="G13:G20">
    <cfRule type="expression" dxfId="766" priority="72">
      <formula>ABS(G$16-G$19)&gt;=1000</formula>
    </cfRule>
  </conditionalFormatting>
  <conditionalFormatting sqref="H13 H15:H20">
    <cfRule type="expression" dxfId="765" priority="71">
      <formula>ABS(H$16-H$19)&gt;=1000</formula>
    </cfRule>
  </conditionalFormatting>
  <conditionalFormatting sqref="I13:I20">
    <cfRule type="expression" dxfId="764" priority="70">
      <formula>ABS(I$16-I$19)&gt;=1000</formula>
    </cfRule>
  </conditionalFormatting>
  <conditionalFormatting sqref="J13:J20">
    <cfRule type="expression" dxfId="763" priority="69">
      <formula>ABS(J$16-J$19)&gt;=1000</formula>
    </cfRule>
  </conditionalFormatting>
  <conditionalFormatting sqref="L13:L20">
    <cfRule type="expression" dxfId="762" priority="68">
      <formula>ABS(L$16-L$19)&gt;=1000</formula>
    </cfRule>
  </conditionalFormatting>
  <conditionalFormatting sqref="M13 M15 M17:M18 M20">
    <cfRule type="expression" dxfId="761" priority="67">
      <formula>ABS(M$16-M$19)&gt;=1000</formula>
    </cfRule>
  </conditionalFormatting>
  <conditionalFormatting sqref="N13:N20">
    <cfRule type="expression" dxfId="760" priority="66">
      <formula>ABS(N$16-N$19)&gt;=1000</formula>
    </cfRule>
  </conditionalFormatting>
  <conditionalFormatting sqref="O13:O20">
    <cfRule type="expression" dxfId="759" priority="65">
      <formula>ABS(O$16-O$19)&gt;=1000</formula>
    </cfRule>
  </conditionalFormatting>
  <conditionalFormatting sqref="P13:P20">
    <cfRule type="expression" dxfId="758" priority="64">
      <formula>ABS(P$16-P$19)&gt;=1000</formula>
    </cfRule>
  </conditionalFormatting>
  <conditionalFormatting sqref="Q13 Q15:Q20">
    <cfRule type="expression" dxfId="757" priority="63">
      <formula>ABS(Q$16-Q$19)&gt;=1000</formula>
    </cfRule>
  </conditionalFormatting>
  <conditionalFormatting sqref="R13 R15:R20">
    <cfRule type="expression" dxfId="756" priority="62">
      <formula>ABS(R$16-R$19)&gt;=1000</formula>
    </cfRule>
  </conditionalFormatting>
  <conditionalFormatting sqref="S13:S20">
    <cfRule type="expression" dxfId="755" priority="61">
      <formula>ABS(S$16-S$19)&gt;=1000</formula>
    </cfRule>
  </conditionalFormatting>
  <conditionalFormatting sqref="T13:T15 T17:T20">
    <cfRule type="expression" dxfId="754" priority="60">
      <formula>ABS(T$16-T$19)&gt;=1000</formula>
    </cfRule>
  </conditionalFormatting>
  <conditionalFormatting sqref="U13:U20">
    <cfRule type="expression" dxfId="753" priority="59">
      <formula>ABS(U$16-U$19)&gt;=1000</formula>
    </cfRule>
  </conditionalFormatting>
  <conditionalFormatting sqref="V13:V20">
    <cfRule type="expression" dxfId="752" priority="58">
      <formula>ABS(V$16-V$19)&gt;=1000</formula>
    </cfRule>
  </conditionalFormatting>
  <conditionalFormatting sqref="W13 W20 W15:W18">
    <cfRule type="expression" dxfId="751" priority="57">
      <formula>ABS(W$16-W$19)&gt;=1000</formula>
    </cfRule>
  </conditionalFormatting>
  <conditionalFormatting sqref="X13 X15:X20 Y19">
    <cfRule type="expression" dxfId="750" priority="56">
      <formula>ABS(X$16-X$19)&gt;=1000</formula>
    </cfRule>
  </conditionalFormatting>
  <conditionalFormatting sqref="Y13 Y15:Y18 Y20">
    <cfRule type="expression" dxfId="749" priority="55">
      <formula>ABS(Y$16-Y$19)&gt;=1000</formula>
    </cfRule>
  </conditionalFormatting>
  <conditionalFormatting sqref="Z13:Z20">
    <cfRule type="expression" dxfId="748" priority="54">
      <formula>ABS(Z$16-Z$19)&gt;=1000</formula>
    </cfRule>
  </conditionalFormatting>
  <conditionalFormatting sqref="AA13:AA20">
    <cfRule type="expression" dxfId="747" priority="53">
      <formula>ABS(AA$16-AA$19)&gt;=1000</formula>
    </cfRule>
  </conditionalFormatting>
  <conditionalFormatting sqref="AB13 AB15:AB20">
    <cfRule type="expression" dxfId="746" priority="52">
      <formula>ABS(AB$16-AB$19)&gt;=1000</formula>
    </cfRule>
  </conditionalFormatting>
  <conditionalFormatting sqref="AC13 AC15:AC20">
    <cfRule type="expression" dxfId="745" priority="51">
      <formula>ABS(AC$16-AC$19)&gt;=1000</formula>
    </cfRule>
  </conditionalFormatting>
  <conditionalFormatting sqref="AD13:AD20">
    <cfRule type="expression" dxfId="744" priority="50">
      <formula>ABS(AD$16-AD$19)&gt;=1000</formula>
    </cfRule>
  </conditionalFormatting>
  <conditionalFormatting sqref="AE13:AE20">
    <cfRule type="expression" dxfId="743" priority="49">
      <formula>ABS(AE$16-AE$19)&gt;=1000</formula>
    </cfRule>
  </conditionalFormatting>
  <conditionalFormatting sqref="D22:D29">
    <cfRule type="expression" dxfId="742" priority="48">
      <formula>ABS(D$25-D$28)&gt;=1000</formula>
    </cfRule>
  </conditionalFormatting>
  <conditionalFormatting sqref="E22:E29">
    <cfRule type="expression" dxfId="741" priority="47">
      <formula>ABS(E$25-E$28)&gt;=1000</formula>
    </cfRule>
  </conditionalFormatting>
  <conditionalFormatting sqref="F22:F29">
    <cfRule type="expression" dxfId="740" priority="46">
      <formula>ABS(F$25-F$28)&gt;=1000</formula>
    </cfRule>
  </conditionalFormatting>
  <conditionalFormatting sqref="G22:G29">
    <cfRule type="expression" dxfId="739" priority="45">
      <formula>ABS(G$25-G$28)&gt;=1000</formula>
    </cfRule>
  </conditionalFormatting>
  <conditionalFormatting sqref="H22:H29">
    <cfRule type="expression" dxfId="738" priority="44">
      <formula>ABS(H$25-H$28)&gt;=1000</formula>
    </cfRule>
  </conditionalFormatting>
  <conditionalFormatting sqref="I22 I24:I29">
    <cfRule type="expression" dxfId="737" priority="43">
      <formula>ABS(I$25-I$28)&gt;=1000</formula>
    </cfRule>
  </conditionalFormatting>
  <conditionalFormatting sqref="J22:J29 K22">
    <cfRule type="expression" dxfId="736" priority="42">
      <formula>ABS(J$25-J$28)&gt;=1000</formula>
    </cfRule>
  </conditionalFormatting>
  <conditionalFormatting sqref="K23:K29 L25 L28">
    <cfRule type="expression" dxfId="735" priority="41">
      <formula>ABS(K$25-K$28)&gt;=1000</formula>
    </cfRule>
  </conditionalFormatting>
  <conditionalFormatting sqref="L22 L26:L27 L29 L24">
    <cfRule type="expression" dxfId="734" priority="40">
      <formula>ABS(L$25-L$28)&gt;=1000</formula>
    </cfRule>
  </conditionalFormatting>
  <conditionalFormatting sqref="M22:M29">
    <cfRule type="expression" dxfId="733" priority="39">
      <formula>ABS(M$25-M$28)&gt;=1000</formula>
    </cfRule>
  </conditionalFormatting>
  <conditionalFormatting sqref="N22:N29">
    <cfRule type="expression" dxfId="732" priority="38">
      <formula>ABS(N$25-N$28)&gt;=1000</formula>
    </cfRule>
  </conditionalFormatting>
  <conditionalFormatting sqref="O22 O24:O29">
    <cfRule type="expression" dxfId="731" priority="37">
      <formula>ABS(O$25-O$28)&gt;=1000</formula>
    </cfRule>
  </conditionalFormatting>
  <conditionalFormatting sqref="P22:P29">
    <cfRule type="expression" dxfId="730" priority="36">
      <formula>ABS(P$25-P$28)&gt;=1000</formula>
    </cfRule>
  </conditionalFormatting>
  <conditionalFormatting sqref="Q22:Q29">
    <cfRule type="expression" dxfId="729" priority="35">
      <formula>ABS(Q$25-Q$28)&gt;=1000</formula>
    </cfRule>
  </conditionalFormatting>
  <conditionalFormatting sqref="R22:R29">
    <cfRule type="expression" dxfId="728" priority="34">
      <formula>ABS(R$25-R$28)&gt;=1000</formula>
    </cfRule>
  </conditionalFormatting>
  <conditionalFormatting sqref="S22:S29">
    <cfRule type="expression" dxfId="727" priority="33">
      <formula>ABS(S$25-S$28)&gt;=1000</formula>
    </cfRule>
  </conditionalFormatting>
  <conditionalFormatting sqref="T22:T29">
    <cfRule type="expression" dxfId="726" priority="32">
      <formula>ABS(T$25-T$28)&gt;=1000</formula>
    </cfRule>
  </conditionalFormatting>
  <conditionalFormatting sqref="U22:U29">
    <cfRule type="expression" dxfId="725" priority="31">
      <formula>ABS(U$25-U$28)&gt;=1000</formula>
    </cfRule>
  </conditionalFormatting>
  <conditionalFormatting sqref="V22:V29">
    <cfRule type="expression" dxfId="724" priority="30">
      <formula>ABS(V$25-V$28)&gt;=1000</formula>
    </cfRule>
  </conditionalFormatting>
  <conditionalFormatting sqref="W22:W29">
    <cfRule type="expression" dxfId="723" priority="29">
      <formula>ABS(W$25-W$28)&gt;=1000</formula>
    </cfRule>
  </conditionalFormatting>
  <conditionalFormatting sqref="X22:X29">
    <cfRule type="expression" dxfId="722" priority="28">
      <formula>ABS(X$25-X$28)&gt;=1000</formula>
    </cfRule>
  </conditionalFormatting>
  <conditionalFormatting sqref="Y22:Y29">
    <cfRule type="expression" dxfId="721" priority="27">
      <formula>ABS(Y$25-Y$28)&gt;=1000</formula>
    </cfRule>
  </conditionalFormatting>
  <conditionalFormatting sqref="I23">
    <cfRule type="expression" dxfId="720" priority="26">
      <formula>ABS(I$25-I$28)&gt;=1000</formula>
    </cfRule>
  </conditionalFormatting>
  <conditionalFormatting sqref="Q14">
    <cfRule type="expression" dxfId="719" priority="25">
      <formula>ABS(Q$16-Q$19)&gt;=1000</formula>
    </cfRule>
  </conditionalFormatting>
  <conditionalFormatting sqref="W14">
    <cfRule type="expression" dxfId="718" priority="24">
      <formula>ABS(W$16-W$19)&gt;=1000</formula>
    </cfRule>
  </conditionalFormatting>
  <conditionalFormatting sqref="X14">
    <cfRule type="expression" dxfId="717" priority="23">
      <formula>ABS(X$16-X$19)&gt;=1000</formula>
    </cfRule>
  </conditionalFormatting>
  <conditionalFormatting sqref="T10:Y10">
    <cfRule type="expression" dxfId="716" priority="22">
      <formula>ABS(T$7-T$10)&gt;=1000</formula>
    </cfRule>
  </conditionalFormatting>
  <conditionalFormatting sqref="W19">
    <cfRule type="expression" dxfId="715" priority="21">
      <formula>ABS(W$16-W$19)&gt;=1000</formula>
    </cfRule>
  </conditionalFormatting>
  <conditionalFormatting sqref="AC5">
    <cfRule type="expression" dxfId="714" priority="20">
      <formula>ABS(AC$7-AC$10)&gt;=1000</formula>
    </cfRule>
  </conditionalFormatting>
  <conditionalFormatting sqref="M14">
    <cfRule type="expression" dxfId="713" priority="19">
      <formula>ABS(M$16-M$19)&gt;=1000</formula>
    </cfRule>
  </conditionalFormatting>
  <conditionalFormatting sqref="M16">
    <cfRule type="expression" dxfId="712" priority="18">
      <formula>ABS(M$16-M$19)&gt;=1000</formula>
    </cfRule>
  </conditionalFormatting>
  <conditionalFormatting sqref="M19">
    <cfRule type="expression" dxfId="711" priority="17">
      <formula>ABS(M$16-M$19)&gt;=1000</formula>
    </cfRule>
  </conditionalFormatting>
  <conditionalFormatting sqref="K13:K20">
    <cfRule type="expression" dxfId="710" priority="16">
      <formula>ABS(K$16-K$19)&gt;=1000</formula>
    </cfRule>
  </conditionalFormatting>
  <conditionalFormatting sqref="E5">
    <cfRule type="expression" dxfId="709" priority="15">
      <formula>ABS(E$7-E$10)&gt;=1000</formula>
    </cfRule>
  </conditionalFormatting>
  <conditionalFormatting sqref="AB14:AC14">
    <cfRule type="expression" dxfId="708" priority="14">
      <formula>ABS(AB$16-AB$19)&gt;=1000</formula>
    </cfRule>
  </conditionalFormatting>
  <conditionalFormatting sqref="M5">
    <cfRule type="expression" dxfId="707" priority="13">
      <formula>ABS(M$7-M$10)&gt;=1000</formula>
    </cfRule>
  </conditionalFormatting>
  <conditionalFormatting sqref="N5">
    <cfRule type="expression" dxfId="706" priority="12">
      <formula>ABS(N$7-N$10)&gt;=1000</formula>
    </cfRule>
  </conditionalFormatting>
  <conditionalFormatting sqref="O5">
    <cfRule type="expression" dxfId="705" priority="11">
      <formula>ABS(O$7-O$10)&gt;=1000</formula>
    </cfRule>
  </conditionalFormatting>
  <conditionalFormatting sqref="P5">
    <cfRule type="expression" dxfId="704" priority="10">
      <formula>ABS(P$7-P$10)&gt;=1000</formula>
    </cfRule>
  </conditionalFormatting>
  <conditionalFormatting sqref="L23">
    <cfRule type="expression" dxfId="703" priority="9">
      <formula>ABS(L$25-L$28)&gt;=1000</formula>
    </cfRule>
  </conditionalFormatting>
  <conditionalFormatting sqref="Y14">
    <cfRule type="expression" dxfId="702" priority="8">
      <formula>ABS(Y$16-Y$19)&gt;=1000</formula>
    </cfRule>
  </conditionalFormatting>
  <conditionalFormatting sqref="H14">
    <cfRule type="expression" dxfId="701" priority="7">
      <formula>ABS(H$16-H$19)&gt;=1000</formula>
    </cfRule>
  </conditionalFormatting>
  <conditionalFormatting sqref="AD5">
    <cfRule type="expression" dxfId="700" priority="6">
      <formula>ABS(AD$7-AD$10)&gt;=1000</formula>
    </cfRule>
  </conditionalFormatting>
  <conditionalFormatting sqref="AE5">
    <cfRule type="expression" dxfId="699" priority="5">
      <formula>ABS(AE$7-AE$10)&gt;=1000</formula>
    </cfRule>
  </conditionalFormatting>
  <conditionalFormatting sqref="T16">
    <cfRule type="expression" dxfId="698" priority="4">
      <formula>ABS(T$16-T$19)&gt;=1000</formula>
    </cfRule>
  </conditionalFormatting>
  <conditionalFormatting sqref="F14">
    <cfRule type="expression" dxfId="697" priority="3">
      <formula>ABS(F$16-F$19)&gt;=1000</formula>
    </cfRule>
  </conditionalFormatting>
  <conditionalFormatting sqref="R14">
    <cfRule type="expression" dxfId="696" priority="2">
      <formula>ABS(R$16-R$19)&gt;=1000</formula>
    </cfRule>
  </conditionalFormatting>
  <conditionalFormatting sqref="O23">
    <cfRule type="expression" dxfId="695" priority="1">
      <formula>ABS(O$25-O$28)&gt;=1000</formula>
    </cfRule>
  </conditionalFormatting>
  <dataValidations count="1">
    <dataValidation operator="greaterThanOrEqual" allowBlank="1" showErrorMessage="1" sqref="D6"/>
  </dataValidations>
  <printOptions horizontalCentered="1"/>
  <pageMargins left="0.39370078740157483" right="0.39370078740157483" top="0.39370078740157483" bottom="0.39370078740157483" header="0.51181102362204722" footer="0.51181102362204722"/>
  <pageSetup paperSize="9" scale="60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601" r:id="rId4" name="Button 1">
              <controlPr defaultSize="0" print="0" autoFill="0" autoPict="0">
                <anchor moveWithCells="1">
                  <from>
                    <xdr:col>31</xdr:col>
                    <xdr:colOff>0</xdr:colOff>
                    <xdr:row>0</xdr:row>
                    <xdr:rowOff>342900</xdr:rowOff>
                  </from>
                  <to>
                    <xdr:col>32</xdr:col>
                    <xdr:colOff>411480</xdr:colOff>
                    <xdr:row>3</xdr:row>
                    <xdr:rowOff>30480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981">
    <pageSetUpPr fitToPage="1"/>
  </sheetPr>
  <dimension ref="A1:CU223"/>
  <sheetViews>
    <sheetView view="pageBreakPreview" topLeftCell="A7" zoomScale="85" zoomScaleNormal="100" zoomScaleSheetLayoutView="85" workbookViewId="0">
      <selection activeCell="U4" sqref="U4:U8"/>
    </sheetView>
  </sheetViews>
  <sheetFormatPr defaultColWidth="8.109375" defaultRowHeight="25.8"/>
  <cols>
    <col min="1" max="1" width="11.6640625" style="64" customWidth="1" phonetic="1"/>
    <col min="2" max="2" width="7.6640625" style="64" customWidth="1" phonetic="1"/>
    <col min="3" max="3" width="8" style="64" customWidth="1" phonetic="1"/>
    <col min="4" max="8" width="7.6640625" style="64" customWidth="1" phonetic="1"/>
    <col min="9" max="9" width="8" style="64" customWidth="1" phonetic="1"/>
    <col min="10" max="12" width="7.6640625" style="64" customWidth="1" phonetic="1"/>
    <col min="13" max="13" width="7.77734375" style="64" bestFit="1" customWidth="1" phonetic="1"/>
    <col min="14" max="30" width="7.6640625" style="64" customWidth="1" phonetic="1"/>
    <col min="31" max="31" width="7.6640625" style="75" customWidth="1" phonetic="1"/>
    <col min="32" max="32" width="11.6640625" style="64" bestFit="1" customWidth="1" phonetic="1"/>
    <col min="33" max="33" width="22.109375" style="64" customWidth="1" phonetic="1"/>
    <col min="34" max="34" width="5.6640625" style="64" customWidth="1" phonetic="1"/>
    <col min="35" max="35" width="18.21875" style="64" customWidth="1" phonetic="1"/>
    <col min="36" max="36" width="12" style="64" bestFit="1" customWidth="1" phonetic="1"/>
    <col min="37" max="37" width="11.6640625" style="64" bestFit="1" customWidth="1" phonetic="1"/>
    <col min="38" max="38" width="5.6640625" style="64" customWidth="1" phonetic="1"/>
    <col min="39" max="39" width="11.44140625" style="64" bestFit="1" customWidth="1" phonetic="1"/>
    <col min="40" max="40" width="6.21875" style="64" customWidth="1" phonetic="1"/>
    <col min="41" max="41" width="8.6640625" style="64" customWidth="1" phonetic="1"/>
    <col min="42" max="42" width="11.21875" style="64" customWidth="1" phonetic="1"/>
    <col min="43" max="43" width="11.77734375" style="64" customWidth="1" phonetic="1"/>
    <col min="44" max="44" width="11.21875" style="64" customWidth="1" phonetic="1"/>
    <col min="45" max="45" width="11.21875" style="64" bestFit="1" customWidth="1" phonetic="1"/>
    <col min="46" max="46" width="41.77734375" style="64" customWidth="1" phonetic="1"/>
    <col min="47" max="47" width="7.77734375" style="64" customWidth="1" phonetic="1"/>
    <col min="48" max="48" width="17.109375" style="64" customWidth="1" phonetic="1"/>
    <col min="49" max="49" width="6.21875" style="64" customWidth="1" phonetic="1"/>
    <col min="50" max="50" width="10" style="64" customWidth="1" phonetic="1"/>
    <col min="51" max="51" width="6.21875" style="64" customWidth="1" phonetic="1"/>
    <col min="52" max="52" width="6.88671875" style="64" customWidth="1" phonetic="1"/>
    <col min="53" max="53" width="6.44140625" style="64" customWidth="1" phonetic="1"/>
    <col min="54" max="54" width="15.44140625" style="64" customWidth="1" phonetic="1"/>
    <col min="55" max="55" width="6.21875" style="64" customWidth="1" phonetic="1"/>
    <col min="56" max="56" width="22.109375" style="64" bestFit="1" customWidth="1" phonetic="1"/>
    <col min="57" max="57" width="6.44140625" style="64" customWidth="1" phonetic="1"/>
    <col min="58" max="60" width="6.21875" style="64" customWidth="1" phonetic="1"/>
    <col min="61" max="16384" width="8.109375" style="64" phonetic="1"/>
  </cols>
  <sheetData>
    <row r="1" spans="1:99" ht="31.2" ph="1">
      <c r="A1" s="64"/>
      <c r="B1" s="238" t="s" ph="1">
        <v>161</v>
      </c>
      <c r="C1" s="238" ph="1"/>
      <c r="D1" s="238" ph="1"/>
      <c r="E1" s="238" ph="1"/>
      <c r="F1" s="238" ph="1"/>
      <c r="G1" s="238" ph="1"/>
      <c r="H1" s="238" ph="1"/>
      <c r="I1" s="238" ph="1"/>
      <c r="J1" s="238" ph="1"/>
      <c r="K1" s="238" ph="1"/>
      <c r="L1" s="238" ph="1"/>
      <c r="M1" s="238" ph="1"/>
      <c r="N1" s="238" ph="1"/>
      <c r="O1" s="238" ph="1"/>
      <c r="P1" s="238" ph="1"/>
      <c r="Q1" s="238" ph="1"/>
      <c r="R1" s="238" ph="1"/>
      <c r="S1" s="238" ph="1"/>
      <c r="T1" s="238" ph="1"/>
      <c r="U1" s="238" ph="1"/>
      <c r="V1" s="238" ph="1"/>
      <c r="W1" s="238" ph="1"/>
      <c r="X1" s="238" ph="1"/>
      <c r="Y1" s="238" ph="1"/>
      <c r="Z1" s="238" ph="1"/>
      <c r="AA1" s="238" ph="1"/>
      <c r="AB1" s="238" ph="1"/>
      <c r="AC1" s="238" ph="1"/>
      <c r="AD1" s="238" ph="1"/>
      <c r="AE1" s="238" ph="1"/>
    </row>
    <row r="2" spans="1:99" s="66" customFormat="1" ht="24" customHeight="1" ph="1">
      <c r="B2" s="239" t="s" ph="1">
        <v>82</v>
      </c>
      <c r="C2" s="239" ph="1"/>
      <c r="D2" s="239" ph="1"/>
      <c r="E2" s="239" ph="1"/>
      <c r="F2" s="239" ph="1"/>
      <c r="G2" s="239" ph="1"/>
      <c r="H2" s="239" ph="1"/>
      <c r="I2" s="239" ph="1"/>
      <c r="J2" s="239" ph="1"/>
      <c r="K2" s="239" ph="1"/>
      <c r="L2" s="239" ph="1"/>
      <c r="M2" s="239" ph="1"/>
      <c r="N2" s="239" ph="1"/>
      <c r="O2" s="239" ph="1"/>
      <c r="P2" s="239" ph="1"/>
      <c r="Q2" s="239" ph="1"/>
      <c r="R2" s="239" ph="1"/>
      <c r="S2" s="239" ph="1"/>
      <c r="T2" s="239" ph="1"/>
      <c r="U2" s="239" ph="1"/>
      <c r="V2" s="239" ph="1"/>
      <c r="W2" s="239" ph="1"/>
      <c r="X2" s="239" ph="1"/>
      <c r="Y2" s="239" ph="1"/>
      <c r="Z2" s="239" ph="1"/>
      <c r="AA2" s="239" ph="1"/>
      <c r="AB2" s="239" ph="1"/>
      <c r="AC2" s="239" ph="1"/>
      <c r="AD2" s="239" ph="1"/>
      <c r="AE2" s="239" ph="1"/>
    </row>
    <row r="3" spans="1:99" ht="21" customHeight="1" ph="1">
      <c r="B3" s="240" ph="1">
        <v>46287</v>
      </c>
      <c r="C3" s="240"/>
      <c r="D3" s="240"/>
      <c r="E3" s="240"/>
      <c r="F3" s="240"/>
      <c r="G3" s="240"/>
      <c r="H3" s="240"/>
      <c r="I3" s="240"/>
      <c r="J3" s="240"/>
      <c r="K3" s="240"/>
      <c r="L3" s="240"/>
      <c r="M3" s="240"/>
      <c r="N3" s="240"/>
      <c r="O3" s="240"/>
      <c r="P3" s="240"/>
      <c r="Q3" s="240"/>
      <c r="R3" s="240"/>
      <c r="S3" s="240"/>
      <c r="T3" s="240"/>
      <c r="U3" s="240"/>
      <c r="V3" s="240"/>
      <c r="W3" s="240"/>
      <c r="X3" s="240"/>
      <c r="Y3" s="240"/>
      <c r="Z3" s="240"/>
      <c r="AA3" s="240"/>
      <c r="AB3" s="240"/>
      <c r="AC3" s="240"/>
      <c r="AD3" s="240"/>
      <c r="AE3" s="240"/>
    </row>
    <row r="4" spans="1:99" s="69" customFormat="1" ph="1">
      <c r="A4" s="65" ph="1"/>
      <c r="B4" s="219" t="s" ph="1">
        <v>37</v>
      </c>
      <c r="C4" s="67" t="s" ph="1">
        <v>176</v>
      </c>
      <c r="D4" s="68" t="s" ph="1">
        <v>44</v>
      </c>
      <c r="E4" s="68" t="s" ph="1">
        <v>45</v>
      </c>
      <c r="F4" s="68" t="s" ph="1">
        <v>39</v>
      </c>
      <c r="G4" s="68" t="s" ph="1">
        <v>46</v>
      </c>
      <c r="H4" s="68" t="s" ph="1">
        <v>47</v>
      </c>
      <c r="I4" s="68" t="s" ph="1">
        <v>110</v>
      </c>
      <c r="J4" s="68" t="s" ph="1">
        <v>48</v>
      </c>
      <c r="K4" s="68" t="s" ph="1">
        <v>111</v>
      </c>
      <c r="L4" s="68" t="s" ph="1">
        <v>112</v>
      </c>
      <c r="M4" s="68" t="s" ph="1">
        <v>49</v>
      </c>
      <c r="N4" s="68" t="s" ph="1">
        <v>50</v>
      </c>
      <c r="O4" s="68" t="s" ph="1">
        <v>113</v>
      </c>
      <c r="P4" s="68" t="s" ph="1">
        <v>114</v>
      </c>
      <c r="Q4" s="68" t="s" ph="1">
        <v>115</v>
      </c>
      <c r="R4" s="68" t="s" ph="1">
        <v>116</v>
      </c>
      <c r="S4" s="68" t="s" ph="1">
        <v>117</v>
      </c>
      <c r="T4" s="68" t="s" ph="1">
        <v>118</v>
      </c>
      <c r="U4" s="68" t="s" ph="1">
        <v>119</v>
      </c>
      <c r="V4" s="68" t="s" ph="1">
        <v>120</v>
      </c>
      <c r="W4" s="68" t="s" ph="1">
        <v>121</v>
      </c>
      <c r="X4" s="68" t="s" ph="1">
        <v>122</v>
      </c>
      <c r="Y4" s="68" t="s" ph="1">
        <v>123</v>
      </c>
      <c r="Z4" s="68" t="s" ph="1">
        <v>51</v>
      </c>
      <c r="AA4" s="68" t="s" ph="1">
        <v>124</v>
      </c>
      <c r="AB4" s="68" t="s" ph="1">
        <v>125</v>
      </c>
      <c r="AC4" s="68" t="s" ph="1">
        <v>126</v>
      </c>
      <c r="AD4" s="68" t="s" ph="1">
        <v>40</v>
      </c>
      <c r="AE4" s="68" t="s" ph="1">
        <v>127</v>
      </c>
      <c r="AF4" s="65" ph="1"/>
      <c r="AG4" s="65" ph="1"/>
      <c r="AH4" s="65" ph="1"/>
      <c r="AI4" s="65" ph="1"/>
      <c r="AJ4" s="65" ph="1"/>
      <c r="AK4" s="65" ph="1"/>
      <c r="AL4" s="65" ph="1"/>
      <c r="AM4" s="65" ph="1"/>
      <c r="AN4" s="65" ph="1"/>
      <c r="AO4" s="65" ph="1"/>
      <c r="AP4" s="65" ph="1"/>
      <c r="AQ4" s="65" ph="1"/>
      <c r="AR4" s="65" ph="1"/>
      <c r="AS4" s="65" ph="1"/>
      <c r="AT4" s="65" ph="1"/>
      <c r="AU4" s="65" ph="1"/>
      <c r="AV4" s="65" ph="1"/>
      <c r="AW4" s="65" ph="1"/>
      <c r="AX4" s="65" ph="1"/>
      <c r="AY4" s="65" ph="1"/>
      <c r="AZ4" s="65" ph="1"/>
      <c r="BA4" s="65" ph="1"/>
      <c r="BB4" s="65" ph="1"/>
      <c r="BC4" s="65" ph="1"/>
      <c r="BD4" s="65" ph="1"/>
      <c r="BE4" s="65" ph="1"/>
      <c r="BF4" s="65" ph="1"/>
      <c r="BG4" s="65" ph="1"/>
      <c r="BH4" s="65" ph="1"/>
      <c r="BI4" s="65" ph="1"/>
      <c r="BJ4" s="65" ph="1"/>
      <c r="BK4" s="65" ph="1"/>
      <c r="BL4" s="65" ph="1"/>
      <c r="BM4" s="65" ph="1"/>
      <c r="BN4" s="65" ph="1"/>
      <c r="BO4" s="65" ph="1"/>
      <c r="BP4" s="65" ph="1"/>
      <c r="BQ4" s="65" ph="1"/>
      <c r="BR4" s="65" ph="1"/>
      <c r="BS4" s="65" ph="1"/>
      <c r="BT4" s="65" ph="1"/>
      <c r="BU4" s="65" ph="1"/>
      <c r="BV4" s="65" ph="1"/>
      <c r="BW4" s="65" ph="1"/>
      <c r="BX4" s="65" ph="1"/>
      <c r="BY4" s="65" ph="1"/>
      <c r="BZ4" s="65" ph="1"/>
      <c r="CA4" s="65" ph="1"/>
      <c r="CB4" s="65" ph="1"/>
      <c r="CC4" s="65" ph="1"/>
      <c r="CD4" s="65" ph="1"/>
      <c r="CE4" s="65" ph="1"/>
      <c r="CF4" s="65" ph="1"/>
      <c r="CG4" s="65" ph="1"/>
      <c r="CH4" s="65" ph="1"/>
      <c r="CI4" s="65" ph="1"/>
      <c r="CJ4" s="65" ph="1"/>
      <c r="CK4" s="65" ph="1"/>
      <c r="CL4" s="65" ph="1"/>
      <c r="CM4" s="65" ph="1"/>
      <c r="CN4" s="65" ph="1"/>
      <c r="CO4" s="65" ph="1"/>
      <c r="CP4" s="65" ph="1"/>
      <c r="CQ4" s="65" ph="1"/>
      <c r="CR4" s="65" ph="1"/>
      <c r="CS4" s="65" ph="1"/>
      <c r="CT4" s="65" ph="1"/>
      <c r="CU4" s="65" ph="1"/>
    </row>
    <row r="5" spans="1:99" s="69" customFormat="1" ht="29.25" customHeight="1" ph="1">
      <c r="A5" s="65" ph="1"/>
      <c r="B5" s="219" ph="1"/>
      <c r="C5" s="67" t="s" ph="1">
        <v>36</v>
      </c>
      <c r="D5" s="70" t="s" ph="1">
        <v>160</v>
      </c>
      <c r="E5" s="142" t="s" ph="1">
        <v>642</v>
      </c>
      <c r="F5" s="142" t="s" ph="1">
        <v>1</v>
      </c>
      <c r="G5" s="142" t="s" ph="1">
        <v>7</v>
      </c>
      <c r="H5" s="142" t="s" ph="1">
        <v>7</v>
      </c>
      <c r="I5" s="141" t="s" ph="1">
        <v>608</v>
      </c>
      <c r="J5" s="141" t="s" ph="1">
        <v>609</v>
      </c>
      <c r="K5" s="141" t="s" ph="1">
        <v>611</v>
      </c>
      <c r="L5" s="141" t="s" ph="1">
        <v>613</v>
      </c>
      <c r="M5" s="141" t="s" ph="1">
        <v>608</v>
      </c>
      <c r="N5" s="70" t="s" ph="1">
        <v>609</v>
      </c>
      <c r="O5" s="70" t="s" ph="1">
        <v>611</v>
      </c>
      <c r="P5" s="70" t="s" ph="1">
        <v>613</v>
      </c>
      <c r="Q5" s="70" t="s" ph="1">
        <v>607</v>
      </c>
      <c r="R5" s="70" t="s" ph="1">
        <v>607</v>
      </c>
      <c r="S5" s="70" t="s" ph="1">
        <v>607</v>
      </c>
      <c r="T5" s="70" t="s" ph="1">
        <v>607</v>
      </c>
      <c r="U5" s="70" t="s" ph="1">
        <v>607</v>
      </c>
      <c r="V5" s="70" t="s" ph="1">
        <v>607</v>
      </c>
      <c r="W5" s="70" t="s" ph="1">
        <v>607</v>
      </c>
      <c r="X5" s="70" t="s" ph="1">
        <v>607</v>
      </c>
      <c r="Y5" s="70" t="s" ph="1">
        <v>607</v>
      </c>
      <c r="Z5" s="70" t="s" ph="1">
        <v>614</v>
      </c>
      <c r="AA5" s="70" t="s" ph="1">
        <v>54</v>
      </c>
      <c r="AB5" s="70" t="s" ph="1">
        <v>54</v>
      </c>
      <c r="AC5" s="70" t="s" ph="1">
        <v>615</v>
      </c>
      <c r="AD5" s="71" t="s">
        <v>72</v>
      </c>
      <c r="AE5" s="71" t="s">
        <v>635</v>
      </c>
      <c r="AF5" s="65" ph="1"/>
      <c r="AG5" s="65" ph="1"/>
      <c r="AH5" s="65" ph="1"/>
      <c r="AI5" s="65" ph="1"/>
      <c r="AJ5" s="65" ph="1"/>
      <c r="AK5" s="65" ph="1"/>
      <c r="AL5" s="65" ph="1"/>
      <c r="AM5" s="65" ph="1"/>
      <c r="AN5" s="65" ph="1"/>
      <c r="AO5" s="65" ph="1"/>
      <c r="AP5" s="65" ph="1"/>
      <c r="AQ5" s="65" ph="1"/>
      <c r="AR5" s="65" ph="1"/>
      <c r="AS5" s="65" ph="1"/>
      <c r="AT5" s="65" ph="1"/>
      <c r="AU5" s="65" ph="1"/>
      <c r="AV5" s="65" ph="1"/>
      <c r="AW5" s="65" ph="1"/>
      <c r="AX5" s="65" ph="1"/>
      <c r="AY5" s="65" ph="1"/>
      <c r="AZ5" s="65" ph="1"/>
      <c r="BA5" s="65" ph="1"/>
      <c r="BB5" s="65" ph="1"/>
      <c r="BC5" s="65" ph="1"/>
      <c r="BD5" s="65" ph="1"/>
      <c r="BE5" s="65" ph="1"/>
      <c r="BF5" s="65" ph="1"/>
      <c r="BG5" s="65" ph="1"/>
      <c r="BH5" s="65" ph="1"/>
      <c r="BI5" s="65" ph="1"/>
      <c r="BJ5" s="65" ph="1"/>
      <c r="BK5" s="65" ph="1"/>
      <c r="BL5" s="65" ph="1"/>
      <c r="BM5" s="65" ph="1"/>
      <c r="BN5" s="65" ph="1"/>
      <c r="BO5" s="65" ph="1"/>
      <c r="BP5" s="65" ph="1"/>
      <c r="BQ5" s="65" ph="1"/>
      <c r="BR5" s="65" ph="1"/>
      <c r="BS5" s="65" ph="1"/>
      <c r="BT5" s="65" ph="1"/>
      <c r="BU5" s="65" ph="1"/>
      <c r="BV5" s="65" ph="1"/>
      <c r="BW5" s="65" ph="1"/>
      <c r="BX5" s="65" ph="1"/>
      <c r="BY5" s="65" ph="1"/>
      <c r="BZ5" s="65" ph="1"/>
      <c r="CA5" s="65" ph="1"/>
      <c r="CB5" s="65" ph="1"/>
      <c r="CC5" s="65" ph="1"/>
      <c r="CD5" s="65" ph="1"/>
      <c r="CE5" s="65" ph="1"/>
      <c r="CF5" s="65" ph="1"/>
      <c r="CG5" s="65" ph="1"/>
      <c r="CH5" s="65" ph="1"/>
      <c r="CI5" s="65" ph="1"/>
      <c r="CJ5" s="65" ph="1"/>
      <c r="CK5" s="65" ph="1"/>
      <c r="CL5" s="65" ph="1"/>
      <c r="CM5" s="65" ph="1"/>
      <c r="CN5" s="65" ph="1"/>
      <c r="CO5" s="65" ph="1"/>
      <c r="CP5" s="65" ph="1"/>
      <c r="CQ5" s="65" ph="1"/>
      <c r="CR5" s="65" ph="1"/>
      <c r="CS5" s="65" ph="1"/>
      <c r="CT5" s="65" ph="1"/>
      <c r="CU5" s="65" ph="1"/>
    </row>
    <row r="6" spans="1:99" ph="1">
      <c r="B6" s="237" ph="1">
        <v>0.33333333333333331</v>
      </c>
      <c r="C6" s="155" t="s" ph="1">
        <v>177</v>
      </c>
      <c r="D6" s="71">
        <v>2201</v>
      </c>
      <c r="E6" s="71">
        <v>3444</v>
      </c>
      <c r="F6" s="71">
        <v>3185</v>
      </c>
      <c r="G6" s="71">
        <v>893</v>
      </c>
      <c r="H6" s="71">
        <v>5419</v>
      </c>
      <c r="I6" s="71">
        <v>4.5199999999999996</v>
      </c>
      <c r="J6" s="71">
        <v>6.64</v>
      </c>
      <c r="K6" s="71">
        <v>63.61</v>
      </c>
      <c r="L6" s="71">
        <v>16.55</v>
      </c>
      <c r="M6" s="71">
        <v>3232</v>
      </c>
      <c r="N6" s="71">
        <v>1345</v>
      </c>
      <c r="O6" s="71">
        <v>5306</v>
      </c>
      <c r="P6" s="71">
        <v>6894</v>
      </c>
      <c r="Q6" s="71">
        <v>7120</v>
      </c>
      <c r="R6" s="71">
        <v>6079</v>
      </c>
      <c r="S6" s="71">
        <v>5811</v>
      </c>
      <c r="T6" s="71">
        <v>0</v>
      </c>
      <c r="U6" s="71">
        <v>0</v>
      </c>
      <c r="V6" s="71">
        <v>0</v>
      </c>
      <c r="W6" s="71">
        <v>5334</v>
      </c>
      <c r="X6" s="71">
        <v>5517</v>
      </c>
      <c r="Y6" s="71">
        <v>7062</v>
      </c>
      <c r="Z6" s="71">
        <v>2929</v>
      </c>
      <c r="AA6" s="71">
        <v>1216</v>
      </c>
      <c r="AB6" s="71">
        <v>661</v>
      </c>
      <c r="AC6" s="71">
        <v>7541</v>
      </c>
      <c r="AD6" s="71">
        <v>4170</v>
      </c>
      <c r="AE6" s="71">
        <v>5550</v>
      </c>
    </row>
    <row r="7" spans="1:99" s="72" customFormat="1" ht="22.2" ph="1">
      <c r="B7" s="237" ph="1"/>
      <c r="C7" s="68" t="s" ph="1">
        <v>178</v>
      </c>
      <c r="D7" s="73" ph="1">
        <f>D6*33.183*LOOKUP(D8,密度!$A$2:$A$50,密度!$Q$2:$Q$50)</f>
        <v>68940.666647189995</v>
      </c>
      <c r="E7" s="73" ph="1">
        <f>E6*51.53*LOOKUP(E8,密度!$A$2:$A$50,密度!$B$2:$B$50)</f>
        <v>138195.35948399999</v>
      </c>
      <c r="F7" s="73" ph="1">
        <f>F6*33.183*LOOKUP(F8,密度!$A$2:$A$50,密度!$C$2:$C$50)</f>
        <v>117112.71212550001</v>
      </c>
      <c r="G7" s="73" ph="1">
        <f xml:space="preserve"> (G6+2)*51.53*LOOKUP(G8,密度!$A$2:$A$50,密度!$B$2:$B$50)</f>
        <v>35913.137844999997</v>
      </c>
      <c r="H7" s="73" ph="1">
        <f>(H6)*51.53*LOOKUP(H8,密度!$A$2:$A$50,密度!$B$2:$B$50)</f>
        <v>217696.33817199999</v>
      </c>
      <c r="I7" s="73" ph="1">
        <f>I6*290.8*1.0267</f>
        <v>1349.5109071999998</v>
      </c>
      <c r="J7" s="73" ph="1">
        <f>J6*290.8*0.7892</f>
        <v>1523.8757504</v>
      </c>
      <c r="K7" s="73" ph="1">
        <f>K6*290.8*1.1126</f>
        <v>20580.638928800003</v>
      </c>
      <c r="L7" s="73" ph="1">
        <f>L6*290.8*0.777</f>
        <v>3739.4989800000008</v>
      </c>
      <c r="M7" s="73" ph="1">
        <f>M6*33.183*LOOKUP(M8,密度!$A$2:$A$50,密度!$D$2:$D$50)</f>
        <v>109907.1929088</v>
      </c>
      <c r="N7" s="73" ph="1">
        <f>N6*33.183*LOOKUP(N8,密度!$A$2:$A$50,密度!$E$2:$E$50)</f>
        <v>34803.359073000007</v>
      </c>
      <c r="O7" s="73" ph="1">
        <f>O6*20.428*LOOKUP(O8,密度!$A$2:$A$50,密度!$C$2:$C$50)</f>
        <v>119555.23770400001</v>
      </c>
      <c r="P7" s="73" ph="1">
        <f>P6*51.53*LOOKUP(P8,密度!$A$2:$A$50,密度!$B$2:$B$50)</f>
        <v>276631.477434</v>
      </c>
      <c r="Q7" s="73" ph="1">
        <f>Q6*1.5*1.5*3.1416*LOOKUP(W8,密度!$A$2:$A$50,密度!$L$2:$L$50)</f>
        <v>47006.755488000003</v>
      </c>
      <c r="R7" s="73" ph="1">
        <f>R6*1.5*1.5*3.1416*LOOKUP(R8,密度!$A$2:$A$50,密度!$L$2:$L$50)</f>
        <v>39876.178003200002</v>
      </c>
      <c r="S7" s="73" ph="1">
        <f>S6*1.5*1.5*3.1416*LOOKUP(S8,密度!$A$2:$A$50,密度!$L$2:$L$50)</f>
        <v>38528.945254799997</v>
      </c>
      <c r="T7" s="73" ph="1">
        <f>T6*1.5*1.5*3.1416*LOOKUP(T8,密度!$A$2:$A$50,密度!$L$2:$L$50)</f>
        <v>0</v>
      </c>
      <c r="U7" s="73" ph="1">
        <f>U6*1.5*1.5*3.1416*LOOKUP(U8,密度!$A$2:$A$50,密度!$L$2:$L$50)</f>
        <v>0</v>
      </c>
      <c r="V7" s="73" ph="1">
        <f>V6*1.5*1.5*3.1416*LOOKUP(V8,密度!$A$2:$A$50,密度!$L$2:$L$50)</f>
        <v>0</v>
      </c>
      <c r="W7" s="73" ph="1">
        <f>W6*1.5*1.5*3.1416*LOOKUP(W8,密度!$A$2:$A$50,密度!$L$2:$L$50)</f>
        <v>35215.454181600006</v>
      </c>
      <c r="X7" s="73" ph="1">
        <f>X6*1.5*1.5*3.1416*LOOKUP(X8,密度!$A$2:$A$50,密度!$L$2:$L$50)</f>
        <v>36774.610626599999</v>
      </c>
      <c r="Y7" s="73" ph="1">
        <f>Y6*1.5*1.5*3.1416*LOOKUP(Y8,密度!$A$2:$A$50,密度!$L$2:$L$50)</f>
        <v>46673.753742000001</v>
      </c>
      <c r="Z7" s="73" ph="1">
        <f>Z6*33.183*LOOKUP(Z8,密度!$A$2:$A$50,密度!$L$2:$L$50)</f>
        <v>91264.23357299999</v>
      </c>
      <c r="AA7" s="73" ph="1">
        <f>AA6*33.183*LOOKUP(AA8,密度!$A$2:$A$50,密度!$D$2:$D$50)</f>
        <v>41391.571622399999</v>
      </c>
      <c r="AB7" s="73" ph="1">
        <f>AB6*20.428*LOOKUP(AB8,密度!$A$2:$A$50,密度!$D$2:$D$50)</f>
        <v>13914.746694000001</v>
      </c>
      <c r="AC7" s="73" ph="1">
        <f>AC6*51.53*LOOKUP(AC8,密度!$A$2:$A$50,密度!$Q$2:$Q$50)</f>
        <v>367615.65021190001</v>
      </c>
      <c r="AD7" s="73" ph="1">
        <f>AD6*20.428*LOOKUP(AD8,密度!$A$2:$A$50,密度!$V$2:$V$50)</f>
        <v>81845.517408000014</v>
      </c>
      <c r="AE7" s="73" ph="1">
        <f>AE6*20.428</f>
        <v>113375.40000000001</v>
      </c>
    </row>
    <row r="8" spans="1:99" ph="1">
      <c r="B8" s="237" ph="1"/>
      <c r="C8" s="68" t="s" ph="1">
        <v>179</v>
      </c>
      <c r="D8" s="74">
        <v>29</v>
      </c>
      <c r="E8" s="74">
        <v>26</v>
      </c>
      <c r="F8" s="74">
        <v>26</v>
      </c>
      <c r="G8" s="74">
        <v>26</v>
      </c>
      <c r="H8" s="74">
        <v>25</v>
      </c>
      <c r="I8" s="74">
        <v>25</v>
      </c>
      <c r="J8" s="74">
        <v>25</v>
      </c>
      <c r="K8" s="74">
        <v>25</v>
      </c>
      <c r="L8" s="74">
        <v>25</v>
      </c>
      <c r="M8" s="74">
        <v>27</v>
      </c>
      <c r="N8" s="74">
        <v>28</v>
      </c>
      <c r="O8" s="74">
        <v>32</v>
      </c>
      <c r="P8" s="74">
        <v>26</v>
      </c>
      <c r="Q8" s="74">
        <v>31</v>
      </c>
      <c r="R8" s="74">
        <v>34</v>
      </c>
      <c r="S8" s="74">
        <v>24</v>
      </c>
      <c r="T8" s="74">
        <v>21</v>
      </c>
      <c r="U8" s="74">
        <v>26</v>
      </c>
      <c r="V8" s="74">
        <v>28</v>
      </c>
      <c r="W8" s="74">
        <v>28</v>
      </c>
      <c r="X8" s="74">
        <v>19</v>
      </c>
      <c r="Y8" s="74">
        <v>27</v>
      </c>
      <c r="Z8" s="74">
        <v>23</v>
      </c>
      <c r="AA8" s="74">
        <v>26</v>
      </c>
      <c r="AB8" s="74">
        <v>21</v>
      </c>
      <c r="AC8" s="74">
        <v>26</v>
      </c>
      <c r="AD8" s="74">
        <v>25</v>
      </c>
      <c r="AE8" s="74">
        <v>28</v>
      </c>
    </row>
    <row r="9" spans="1:99" ht="26.4" ph="1">
      <c r="B9" s="237" ph="1">
        <v>0.66666666666666663</v>
      </c>
      <c r="C9" s="155" t="s" ph="1">
        <v>180</v>
      </c>
      <c r="D9" s="71">
        <v>1645</v>
      </c>
      <c r="E9" s="71">
        <v>3441</v>
      </c>
      <c r="F9" s="71">
        <v>3187</v>
      </c>
      <c r="G9" s="71">
        <v>895</v>
      </c>
      <c r="H9" s="71">
        <v>5155</v>
      </c>
      <c r="I9" s="71">
        <v>4.4800000000000004</v>
      </c>
      <c r="J9" s="71">
        <v>6.72</v>
      </c>
      <c r="K9" s="71">
        <v>63.96</v>
      </c>
      <c r="L9" s="71">
        <v>6.93</v>
      </c>
      <c r="M9" s="71">
        <v>3232</v>
      </c>
      <c r="N9" s="71">
        <v>1321</v>
      </c>
      <c r="O9" s="71">
        <v>5305</v>
      </c>
      <c r="P9" s="71">
        <v>6971</v>
      </c>
      <c r="Q9" s="71">
        <v>7127</v>
      </c>
      <c r="R9" s="71">
        <v>6307</v>
      </c>
      <c r="S9" s="71">
        <v>7175</v>
      </c>
      <c r="T9" s="71">
        <v>5686</v>
      </c>
      <c r="U9" s="71">
        <v>0</v>
      </c>
      <c r="V9" s="71">
        <v>0</v>
      </c>
      <c r="W9" s="71">
        <v>351</v>
      </c>
      <c r="X9" s="71">
        <v>5521</v>
      </c>
      <c r="Y9" s="71">
        <v>7071</v>
      </c>
      <c r="Z9" s="71">
        <v>635</v>
      </c>
      <c r="AA9" s="71">
        <v>1122</v>
      </c>
      <c r="AB9" s="71">
        <v>658</v>
      </c>
      <c r="AC9" s="71">
        <v>7595</v>
      </c>
      <c r="AD9" s="71">
        <v>4721</v>
      </c>
      <c r="AE9" s="71">
        <v>5500</v>
      </c>
    </row>
    <row r="10" spans="1:99" s="72" customFormat="1" ht="22.2" ph="1">
      <c r="B10" s="237" ph="1"/>
      <c r="C10" s="155" t="s" ph="1">
        <v>178</v>
      </c>
      <c r="D10" s="73" ph="1">
        <f>D9*33.183*LOOKUP(D11,密度!$A$2:$A$50,密度!$Q$2:$Q$50)</f>
        <v>51492.644396549993</v>
      </c>
      <c r="E10" s="73" ph="1">
        <f>E9*51.53*LOOKUP(E11,密度!$A$2:$A$50,密度!$B$2:$B$50)</f>
        <v>137472.11016899999</v>
      </c>
      <c r="F10" s="73" ph="1">
        <f>F9*33.183*LOOKUP(F11,密度!$A$2:$A$50,密度!$C$2:$C$50)</f>
        <v>117112.22433539999</v>
      </c>
      <c r="G10" s="73" ph="1">
        <f xml:space="preserve"> (G9+2)*51.53*LOOKUP(G11,密度!$A$2:$A$50,密度!$B$2:$B$50)</f>
        <v>35716.056207000009</v>
      </c>
      <c r="H10" s="73" ph="1">
        <f>(H9)*51.53*LOOKUP(H11,密度!$A$2:$A$50,密度!$B$2:$B$50)</f>
        <v>205709.40896</v>
      </c>
      <c r="I10" s="73" ph="1">
        <f>I9*290.8*1.0267</f>
        <v>1337.5683328</v>
      </c>
      <c r="J10" s="73" ph="1">
        <f>J9*290.8*0.7892</f>
        <v>1542.2356992</v>
      </c>
      <c r="K10" s="73" ph="1">
        <f>K9*290.8*1.1126</f>
        <v>20693.8793568</v>
      </c>
      <c r="L10" s="73" ph="1">
        <f>L9*290.8*0.777</f>
        <v>1565.8445879999999</v>
      </c>
      <c r="M10" s="73" ph="1">
        <f>M9*33.183*LOOKUP(M11,密度!$A$2:$A$50,密度!$D$2:$D$50)</f>
        <v>109510.3773216</v>
      </c>
      <c r="N10" s="73" ph="1">
        <f>N9*33.183*LOOKUP(N11,密度!$A$2:$A$50,密度!$E$2:$E$50)</f>
        <v>34085.896156800001</v>
      </c>
      <c r="O10" s="73" ph="1">
        <f>O9*20.428*LOOKUP(O11,密度!$A$2:$A$50,密度!$C$2:$C$50)</f>
        <v>119196.75694600002</v>
      </c>
      <c r="P10" s="73" ph="1">
        <f>P9*51.53*LOOKUP(P11,密度!$A$2:$A$50,密度!$B$2:$B$50)</f>
        <v>278499.87793900003</v>
      </c>
      <c r="Q10" s="73" ph="1">
        <f>Q9*1.5*1.5*3.1416*LOOKUP(W11,密度!$A$2:$A$50,密度!$L$2:$L$50)</f>
        <v>46448.435048400002</v>
      </c>
      <c r="R10" s="73" ph="1">
        <f>R9*1.5*1.5*3.1416*LOOKUP(R11,密度!$A$2:$A$50,密度!$L$2:$L$50)</f>
        <v>41327.199005399998</v>
      </c>
      <c r="S10" s="73" ph="1">
        <f>S9*1.5*1.5*3.1416*LOOKUP(S11,密度!$A$2:$A$50,密度!$L$2:$L$50)</f>
        <v>47471.303880000007</v>
      </c>
      <c r="T10" s="73" ph="1">
        <f>T9*1.5*1.5*3.1416*LOOKUP(T11,密度!$A$2:$A$50,密度!$L$2:$L$50)</f>
        <v>37740.343964399995</v>
      </c>
      <c r="U10" s="73" ph="1">
        <f>U9*1.5*1.5*3.1416*LOOKUP(U11,密度!$A$2:$A$50,密度!$L$2:$L$50)</f>
        <v>0</v>
      </c>
      <c r="V10" s="73" ph="1">
        <f>V9*1.5*1.5*3.1416*LOOKUP(V11,密度!$A$2:$A$50,密度!$L$2:$L$50)</f>
        <v>0</v>
      </c>
      <c r="W10" s="73" ph="1">
        <f>W9*1.5*1.5*3.1416*LOOKUP(W11,密度!$A$2:$A$50,密度!$L$2:$L$50)</f>
        <v>2287.5544691999999</v>
      </c>
      <c r="X10" s="73" ph="1">
        <f>X9*1.5*1.5*3.1416*LOOKUP(X11,密度!$A$2:$A$50,密度!$L$2:$L$50)</f>
        <v>36684.196163999994</v>
      </c>
      <c r="Y10" s="73" ph="1">
        <f>Y9*1.5*1.5*3.1416*LOOKUP(Y11,密度!$A$2:$A$50,密度!$L$2:$L$50)</f>
        <v>46633.271869800003</v>
      </c>
      <c r="Z10" s="73" ph="1">
        <f>Z9*33.183*LOOKUP(Z11,密度!$A$2:$A$50,密度!$L$2:$L$50)</f>
        <v>19785.861494999997</v>
      </c>
      <c r="AA10" s="73" ph="1">
        <f>AA9*33.183*LOOKUP(AA11,密度!$A$2:$A$50,密度!$D$2:$D$50)</f>
        <v>38050.415172000001</v>
      </c>
      <c r="AB10" s="73" ph="1">
        <f>AB9*20.428*LOOKUP(AB11,密度!$A$2:$A$50,密度!$D$2:$D$50)</f>
        <v>13737.339728000001</v>
      </c>
      <c r="AC10" s="73" ph="1">
        <f>AC9*51.53*LOOKUP(AC11,密度!$A$2:$A$50,密度!$Q$2:$Q$50)</f>
        <v>369191.39226550004</v>
      </c>
      <c r="AD10" s="73" ph="1">
        <f>AD9*20.428*LOOKUP(AD11,密度!$A$2:$A$50,密度!$V$2:$V$50)</f>
        <v>92351.507068799998</v>
      </c>
      <c r="AE10" s="73" ph="1">
        <f>AE9*20.428</f>
        <v>112354</v>
      </c>
    </row>
    <row r="11" spans="1:99" ph="1">
      <c r="A11" s="64" t="s" ph="1">
        <v>162</v>
      </c>
      <c r="B11" s="237" ph="1"/>
      <c r="C11" s="155" t="s" ph="1">
        <v>179</v>
      </c>
      <c r="D11" s="74">
        <v>30</v>
      </c>
      <c r="E11" s="74">
        <v>30</v>
      </c>
      <c r="F11" s="74">
        <v>27</v>
      </c>
      <c r="G11" s="74">
        <v>33</v>
      </c>
      <c r="H11" s="74">
        <v>31</v>
      </c>
      <c r="I11" s="74">
        <v>25</v>
      </c>
      <c r="J11" s="74">
        <v>25</v>
      </c>
      <c r="K11" s="74">
        <v>25</v>
      </c>
      <c r="L11" s="74">
        <v>25</v>
      </c>
      <c r="M11" s="74">
        <v>31</v>
      </c>
      <c r="N11" s="74">
        <v>30</v>
      </c>
      <c r="O11" s="74">
        <v>35</v>
      </c>
      <c r="P11" s="74">
        <v>30</v>
      </c>
      <c r="Q11" s="74">
        <v>33</v>
      </c>
      <c r="R11" s="74">
        <v>35</v>
      </c>
      <c r="S11" s="74">
        <v>26</v>
      </c>
      <c r="T11" s="74">
        <v>23</v>
      </c>
      <c r="U11" s="74">
        <v>31</v>
      </c>
      <c r="V11" s="74">
        <v>28</v>
      </c>
      <c r="W11" s="74">
        <v>40</v>
      </c>
      <c r="X11" s="74">
        <v>22</v>
      </c>
      <c r="Y11" s="74">
        <v>29</v>
      </c>
      <c r="Z11" s="74">
        <v>23</v>
      </c>
      <c r="AA11" s="74">
        <v>30</v>
      </c>
      <c r="AB11" s="74">
        <v>30</v>
      </c>
      <c r="AC11" s="74">
        <v>30</v>
      </c>
      <c r="AD11" s="74">
        <v>28</v>
      </c>
      <c r="AE11" s="74">
        <v>31</v>
      </c>
    </row>
    <row r="12" spans="1:99" ht="9.9" customHeight="1" ph="1"/>
    <row r="13" spans="1:99" s="72" customFormat="1" ht="29.25" customHeight="1" ph="1">
      <c r="B13" s="214" t="s" ph="1">
        <v>37</v>
      </c>
      <c r="C13" s="155" t="s" ph="1">
        <v>176</v>
      </c>
      <c r="D13" s="76" t="s" ph="1">
        <v>52</v>
      </c>
      <c r="E13" s="76" t="s" ph="1">
        <v>53</v>
      </c>
      <c r="F13" s="76" t="s" ph="1">
        <v>57</v>
      </c>
      <c r="G13" s="76" t="s" ph="1">
        <v>58</v>
      </c>
      <c r="H13" s="76" t="s" ph="1">
        <v>128</v>
      </c>
      <c r="I13" s="76" t="s" ph="1">
        <v>59</v>
      </c>
      <c r="J13" s="76" t="s" ph="1">
        <v>129</v>
      </c>
      <c r="K13" s="76" t="s" ph="1">
        <v>55</v>
      </c>
      <c r="L13" s="76" t="s" ph="1">
        <v>60</v>
      </c>
      <c r="M13" s="76" t="s" ph="1">
        <v>61</v>
      </c>
      <c r="N13" s="76" t="s" ph="1">
        <v>130</v>
      </c>
      <c r="O13" s="76" t="s" ph="1">
        <v>56</v>
      </c>
      <c r="P13" s="76" t="s" ph="1">
        <v>62</v>
      </c>
      <c r="Q13" s="76" t="s" ph="1">
        <v>63</v>
      </c>
      <c r="R13" s="76" t="s" ph="1">
        <v>64</v>
      </c>
      <c r="S13" s="76" t="s" ph="1">
        <v>65</v>
      </c>
      <c r="T13" s="76" t="s" ph="1">
        <v>66</v>
      </c>
      <c r="U13" s="76" t="s" ph="1">
        <v>67</v>
      </c>
      <c r="V13" s="76" t="s" ph="1">
        <v>131</v>
      </c>
      <c r="W13" s="76" t="s" ph="1">
        <v>132</v>
      </c>
      <c r="X13" s="76" t="s" ph="1">
        <v>133</v>
      </c>
      <c r="Y13" s="105" t="s" ph="1">
        <v>68</v>
      </c>
      <c r="Z13" s="76" t="s" ph="1">
        <v>74</v>
      </c>
      <c r="AA13" s="76" t="s" ph="1">
        <v>134</v>
      </c>
      <c r="AB13" s="76" t="s" ph="1">
        <v>135</v>
      </c>
      <c r="AC13" s="76" t="s" ph="1">
        <v>136</v>
      </c>
      <c r="AD13" s="76" t="s" ph="1">
        <v>137</v>
      </c>
      <c r="AE13" s="76" t="s" ph="1">
        <v>138</v>
      </c>
      <c r="AG13" s="72" t="s" ph="1">
        <v>325</v>
      </c>
      <c r="AH13" s="72" t="s" ph="1">
        <v>188</v>
      </c>
      <c r="AI13" s="72" t="s" ph="1">
        <v>189</v>
      </c>
      <c r="AJ13" s="72" t="s" ph="1">
        <v>190</v>
      </c>
      <c r="AK13" s="72" t="s" ph="1">
        <v>191</v>
      </c>
      <c r="AL13" s="72" t="s" ph="1">
        <v>192</v>
      </c>
      <c r="AM13" s="72" t="s" ph="1">
        <v>193</v>
      </c>
      <c r="AN13" s="72" t="s" ph="1">
        <v>194</v>
      </c>
      <c r="AO13" s="72" t="s" ph="1">
        <v>195</v>
      </c>
      <c r="AP13" s="72" t="s" ph="1">
        <v>196</v>
      </c>
      <c r="AQ13" s="72" t="s" ph="1">
        <v>197</v>
      </c>
      <c r="AR13" s="72" t="s" ph="1">
        <v>198</v>
      </c>
      <c r="AS13" s="72" t="s" ph="1">
        <v>199</v>
      </c>
      <c r="AT13" s="72" t="s" ph="1">
        <v>200</v>
      </c>
      <c r="AU13" s="72" t="s" ph="1">
        <v>201</v>
      </c>
      <c r="AV13" s="72" t="s" ph="1">
        <v>202</v>
      </c>
      <c r="AW13" s="72" t="s" ph="1">
        <v>203</v>
      </c>
      <c r="AX13" s="72" t="s" ph="1">
        <v>204</v>
      </c>
      <c r="AY13" s="72" t="s" ph="1">
        <v>326</v>
      </c>
      <c r="AZ13" s="72" t="s" ph="1">
        <v>205</v>
      </c>
      <c r="BA13" s="72" t="s" ph="1">
        <v>206</v>
      </c>
      <c r="BB13" s="72" t="s" ph="1">
        <v>591</v>
      </c>
      <c r="BC13" s="72" t="s" ph="1">
        <v>207</v>
      </c>
      <c r="BD13" s="72" t="s" ph="1">
        <v>327</v>
      </c>
      <c r="BE13" s="72" t="s" ph="1">
        <v>328</v>
      </c>
      <c r="BF13" s="72" t="s" ph="1">
        <v>329</v>
      </c>
      <c r="BG13" s="72" t="s" ph="1">
        <v>330</v>
      </c>
      <c r="BH13" s="72" t="s" ph="1">
        <v>331</v>
      </c>
    </row>
    <row r="14" spans="1:99" s="72" customFormat="1" ht="24" ph="1">
      <c r="B14" s="215" ph="1"/>
      <c r="C14" s="67" t="s" ph="1">
        <v>36</v>
      </c>
      <c r="D14" s="77" t="s" ph="1">
        <v>616</v>
      </c>
      <c r="E14" s="77" t="s" ph="1">
        <v>616</v>
      </c>
      <c r="F14" s="77" t="s" ph="1">
        <v>639</v>
      </c>
      <c r="G14" s="77" t="s" ph="1">
        <v>617</v>
      </c>
      <c r="H14" s="77" t="s" ph="1">
        <v>636</v>
      </c>
      <c r="I14" s="138" t="s" ph="1">
        <v>618</v>
      </c>
      <c r="J14" s="77" t="s" ph="1">
        <v>619</v>
      </c>
      <c r="K14" s="77" t="s" ph="1">
        <v>186</v>
      </c>
      <c r="L14" s="77" t="s" ph="1">
        <v>41</v>
      </c>
      <c r="M14" s="104" t="s" ph="1">
        <v>620</v>
      </c>
      <c r="N14" s="104" t="s" ph="1">
        <v>621</v>
      </c>
      <c r="O14" s="104" t="s" ph="1">
        <v>637</v>
      </c>
      <c r="P14" s="77" t="s" ph="1">
        <v>622</v>
      </c>
      <c r="Q14" s="77" t="s" ph="1">
        <v>622</v>
      </c>
      <c r="R14" s="77" t="s" ph="1">
        <v>622</v>
      </c>
      <c r="S14" s="77" t="s" ph="1">
        <v>622</v>
      </c>
      <c r="T14" s="77" t="s" ph="1">
        <v>624</v>
      </c>
      <c r="U14" s="77" t="s" ph="1">
        <v>605</v>
      </c>
      <c r="V14" s="77" t="s" ph="1">
        <v>633</v>
      </c>
      <c r="W14" s="77" t="s" ph="1">
        <v>622</v>
      </c>
      <c r="X14" s="77" t="s" ph="1">
        <v>625</v>
      </c>
      <c r="Y14" s="143" t="s" ph="1">
        <v>0</v>
      </c>
      <c r="Z14" s="77" t="s" ph="1">
        <v>54</v>
      </c>
      <c r="AA14" s="77" t="s" ph="1">
        <v>613</v>
      </c>
      <c r="AB14" s="77" t="s" ph="1">
        <v>632</v>
      </c>
      <c r="AC14" s="77" t="s" ph="1">
        <v>632</v>
      </c>
      <c r="AD14" s="77" t="s" ph="1">
        <v>612</v>
      </c>
      <c r="AE14" s="77" t="s" ph="1">
        <v>612</v>
      </c>
      <c r="AG14" s="72" t="s" ph="1">
        <v>208</v>
      </c>
      <c r="AI14" s="72" t="s" ph="1">
        <v>209</v>
      </c>
      <c r="AJ14" s="72" t="s" ph="1">
        <v>332</v>
      </c>
      <c r="AK14" s="72" t="s" ph="1">
        <v>210</v>
      </c>
      <c r="AM14" s="72" t="s" ph="1">
        <v>212</v>
      </c>
      <c r="AN14" s="72" t="s" ph="1">
        <v>210</v>
      </c>
      <c r="AO14" s="72" t="s" ph="1">
        <v>211</v>
      </c>
      <c r="AP14" s="72" t="s" ph="1">
        <v>212</v>
      </c>
      <c r="AQ14" s="72" t="s" ph="1">
        <v>210</v>
      </c>
      <c r="AR14" s="72" t="s" ph="1">
        <v>211</v>
      </c>
      <c r="AS14" s="72" t="s" ph="1">
        <v>212</v>
      </c>
      <c r="AT14" s="72" t="s" ph="1">
        <v>210</v>
      </c>
      <c r="AU14" s="72" t="s" ph="1">
        <v>211</v>
      </c>
      <c r="AV14" s="72" t="s" ph="1">
        <v>212</v>
      </c>
      <c r="AW14" s="72" t="s" ph="1">
        <v>210</v>
      </c>
      <c r="AX14" s="72" t="s" ph="1">
        <v>211</v>
      </c>
      <c r="AY14" s="72" t="s" ph="1">
        <v>212</v>
      </c>
      <c r="AZ14" s="72" t="s" ph="1">
        <v>211</v>
      </c>
    </row>
    <row r="15" spans="1:99" ph="1">
      <c r="B15" s="216" ph="1">
        <v>0.33333333333333331</v>
      </c>
      <c r="C15" s="155" t="s" ph="1">
        <v>177</v>
      </c>
      <c r="D15" s="78">
        <v>1750</v>
      </c>
      <c r="E15" s="78">
        <v>4615</v>
      </c>
      <c r="F15" s="78">
        <v>4184</v>
      </c>
      <c r="G15" s="78">
        <v>4041</v>
      </c>
      <c r="H15" s="78">
        <v>3465</v>
      </c>
      <c r="I15" s="78">
        <v>5185</v>
      </c>
      <c r="J15" s="78">
        <v>4473</v>
      </c>
      <c r="K15" s="78">
        <v>671</v>
      </c>
      <c r="L15" s="78">
        <v>4344</v>
      </c>
      <c r="M15" s="78">
        <v>4944</v>
      </c>
      <c r="N15" s="78">
        <v>418</v>
      </c>
      <c r="O15" s="78">
        <v>386</v>
      </c>
      <c r="P15" s="78">
        <v>3818</v>
      </c>
      <c r="Q15" s="78">
        <v>4425</v>
      </c>
      <c r="R15" s="78">
        <v>0</v>
      </c>
      <c r="S15" s="78">
        <v>1337</v>
      </c>
      <c r="T15" s="78">
        <v>2324</v>
      </c>
      <c r="U15" s="78">
        <v>5493</v>
      </c>
      <c r="V15" s="78">
        <v>1117</v>
      </c>
      <c r="W15" s="71">
        <v>1483</v>
      </c>
      <c r="X15" s="78">
        <v>818</v>
      </c>
      <c r="Y15" s="106">
        <v>-2366</v>
      </c>
      <c r="Z15" s="78">
        <v>0</v>
      </c>
      <c r="AA15" s="78">
        <v>2455</v>
      </c>
      <c r="AB15" s="78" ph="1">
        <v>0</v>
      </c>
      <c r="AC15" s="78" ph="1">
        <v>0</v>
      </c>
      <c r="AD15" s="78">
        <v>5.86</v>
      </c>
      <c r="AE15" s="78">
        <v>42.91</v>
      </c>
      <c r="AG15" s="64" t="s" ph="1">
        <v>214</v>
      </c>
      <c r="AH15" s="64" ph="1">
        <v>1</v>
      </c>
      <c r="AI15" s="64" t="s" ph="1">
        <v>333</v>
      </c>
      <c r="AK15" s="64" t="s" ph="1">
        <v>587</v>
      </c>
      <c r="AM15" s="64" t="s" ph="1">
        <v>335</v>
      </c>
      <c r="AZ15" s="64" t="s" ph="1">
        <v>216</v>
      </c>
      <c r="BA15" s="64" ph="1">
        <v>0</v>
      </c>
    </row>
    <row r="16" spans="1:99" s="72" customFormat="1" ht="22.2" ph="1">
      <c r="B16" s="217" ph="1"/>
      <c r="C16" s="155" t="s" ph="1">
        <v>178</v>
      </c>
      <c r="D16" s="73" ph="1">
        <f>D15*7.0686*LOOKUP(D17,密度!$A$2:$A$50,密度!$L$2:$L$50)</f>
        <v>11553.626700000001</v>
      </c>
      <c r="E16" s="73" ph="1">
        <f>E15*7.0686*LOOKUP(E17,密度!$A$2:$A$50,密度!$L$2:$L$50)</f>
        <v>30468.564126000001</v>
      </c>
      <c r="F16" s="73" ph="1">
        <f>F15*9.0746*LOOKUP(F17,密度!$A$2:$A$50,密度!$L$2:$L$50)</f>
        <v>35462.230057600005</v>
      </c>
      <c r="G16" s="73" ph="1">
        <f>G15*9.0746*LOOKUP(G17,密度!$A$2:$A$50,密度!$B$2:$B$50)</f>
        <v>28555.286111819998</v>
      </c>
      <c r="H16" s="73" ph="1">
        <f>H15*9.0746*LOOKUP(H17,密度!$A$2:$A$50,密度!$L$2:$L$50)</f>
        <v>29399.662215000004</v>
      </c>
      <c r="I16" s="73" ph="1">
        <f>I15*9.0746*LOOKUP(I17,密度!$A$2:$A$50,密度!$U$2:$U$50)</f>
        <v>48086.940622000002</v>
      </c>
      <c r="J16" s="73" ph="1">
        <f>J15*9.0746*LOOKUP(J17,密度!$A$2:$A$50,密度!$L$2:$L$50)</f>
        <v>37830.519165600002</v>
      </c>
      <c r="K16" s="73" ph="1">
        <f>K15*9.0746*LOOKUP(K17,密度!$A$2:$A$50,密度!$C$2:$C$50)</f>
        <v>6743.0212788399995</v>
      </c>
      <c r="L16" s="73" ph="1">
        <f>L15*9.0746*LOOKUP(L17,密度!$A$2:$A$50,密度!$E$2:$E$50)</f>
        <v>30787.068734400003</v>
      </c>
      <c r="M16" s="73" ph="1">
        <f>M15*9.0746*LOOKUP(M17,密度!$A$2:$A$50,密度!$M$2:$M$50)</f>
        <v>39077.260310400001</v>
      </c>
      <c r="N16" s="73" ph="1">
        <f>N15*9.0746*LOOKUP(N17,密度!$A$2:$A$50,密度!$M$2:$M$50)</f>
        <v>3315.6210854800001</v>
      </c>
      <c r="O16" s="73" ph="1">
        <f>O15*9.0746*LOOKUP(O17,密度!$A$2:$A$50,密度!$G$2:$G$50)</f>
        <v>3355.6781847999996</v>
      </c>
      <c r="P16" s="73" ph="1">
        <f ca="1">P15*9.0746*LOOKUP(P17,密度!$A$2:$A$51,密度!$Q$2:$Q$50)</f>
        <v>32728.081753336002</v>
      </c>
      <c r="Q16" s="73" ph="1">
        <f>Q15*9.0746*LOOKUP(Q17,密度!$A$2:$A$50,密度!$Q$2:$Q$50)</f>
        <v>37931.315285100005</v>
      </c>
      <c r="R16" s="73" ph="1">
        <f>MAX(R15*9.0746*LOOKUP(R17,密度!$A$2:$A$50,密度!$Q$2:$Q$50),0)</f>
        <v>0</v>
      </c>
      <c r="S16" s="73" ph="1">
        <f>S15*9.0746*LOOKUP(S17,密度!$A$2:$A$50,密度!$Q$2:$Q$50)</f>
        <v>11452.457456986001</v>
      </c>
      <c r="T16" s="73" ph="1">
        <f>T15*9.0746*LOOKUP(T17,密度!$A$2:$A$50,密度!$O$2:$O$50)</f>
        <v>19528.756990400001</v>
      </c>
      <c r="U16" s="73" ph="1">
        <f>U15*9.0746*LOOKUP(U17,密度!$A$2:$A$50,密度!$H$2:$H$50)</f>
        <v>45594.847653659999</v>
      </c>
      <c r="V16" s="73" ph="1">
        <f>MAX(5600*LOOKUP(V17,密度!$A$2:$A$50,密度!$Q$2:$Q$50)+V15*9.0476*LOOKUP(V17,密度!$A$2:$A$50,密度!$Q$2:$Q$50),0)</f>
        <v>14847.355868144001</v>
      </c>
      <c r="W16" s="73" ph="1">
        <f>MAX(5600*LOOKUP(W17,密度!$A$2:$A$50,密度!$Q$2:$Q$50)+W15*9.0476*LOOKUP(W17,密度!$A$2:$A$50,密度!$Q$2:$Q$50),0)</f>
        <v>17964.396621495998</v>
      </c>
      <c r="X16" s="73" ph="1">
        <f>MAX(5600*LOOKUP(X17,密度!$A$2:$A$50,密度!$I$2:$I$50)+X15*9.0476*LOOKUP(X17,密度!$A$2:$A$50,密度!$I$2:$I$50),0)</f>
        <v>13507.973335199998</v>
      </c>
      <c r="Y16" s="107" ph="1">
        <v>0</v>
      </c>
      <c r="Z16" s="73" ph="1">
        <f>Z15*9.0746*LOOKUP(Z17,密度!$A$2:$A$50,密度!$D$2:$D$50)</f>
        <v>0</v>
      </c>
      <c r="AA16" s="73" ph="1">
        <f>AA15*9.0746*LOOKUP(AA17,密度!$A$2:$A$50,密度!$B$2:$B$50)</f>
        <v>17368.040282800001</v>
      </c>
      <c r="AB16" s="73" ph="1">
        <f>AB15*9.0746*LOOKUP(AB17,密度!$A$2:$A$50,密度!$L$2:$L$50)</f>
        <v>0</v>
      </c>
      <c r="AC16" s="73" ph="1">
        <f>AC15*9.0746*LOOKUP(AC17,密度!$A$2:$A$50,密度!$L$2:$L$50)</f>
        <v>0</v>
      </c>
      <c r="AD16" s="73" ph="1">
        <f>AD15*268.68*LOOKUP(AD17,密度!$A$2:$A$50,密度!B2:B50)+IF(AD15&lt;=0,0,1566*LOOKUP(AD17,密度!$A$2:$A$50,密度!B2:B50))</f>
        <v>2448.3063580799999</v>
      </c>
      <c r="AE16" s="73" ph="1">
        <f>AE15*268.68*LOOKUP(AE17,密度!$A$2:$A$50,密度!B2:B50)+IF(AE15&lt;=0,0,1566*LOOKUP(AE17,密度!$A$2:$A$50,密度!B2:B50))</f>
        <v>10208.907840479998</v>
      </c>
      <c r="AH16" s="72" ph="1">
        <v>2</v>
      </c>
      <c r="AI16" s="72" t="s" ph="1">
        <v>337</v>
      </c>
      <c r="AZ16" s="72" t="s" ph="1">
        <v>216</v>
      </c>
      <c r="BA16" s="72" ph="1">
        <v>0</v>
      </c>
    </row>
    <row r="17" spans="1:57" ph="1">
      <c r="A17" s="64" t="s" ph="1">
        <v>73</v>
      </c>
      <c r="B17" s="218" ph="1"/>
      <c r="C17" s="79" t="s" ph="1">
        <v>179</v>
      </c>
      <c r="D17" s="74">
        <v>28</v>
      </c>
      <c r="E17" s="74">
        <v>28</v>
      </c>
      <c r="F17" s="74">
        <v>28</v>
      </c>
      <c r="G17" s="74">
        <v>26</v>
      </c>
      <c r="H17" s="74">
        <v>27</v>
      </c>
      <c r="I17" s="74">
        <v>28</v>
      </c>
      <c r="J17" s="74">
        <v>30</v>
      </c>
      <c r="K17" s="74">
        <v>27</v>
      </c>
      <c r="L17" s="74">
        <v>27</v>
      </c>
      <c r="M17" s="74">
        <v>29</v>
      </c>
      <c r="N17" s="74">
        <v>26</v>
      </c>
      <c r="O17" s="74">
        <v>27</v>
      </c>
      <c r="P17" s="74">
        <v>28</v>
      </c>
      <c r="Q17" s="74">
        <v>28</v>
      </c>
      <c r="R17" s="74">
        <v>27</v>
      </c>
      <c r="S17" s="74">
        <v>29</v>
      </c>
      <c r="T17" s="74">
        <v>27</v>
      </c>
      <c r="U17" s="74">
        <v>25</v>
      </c>
      <c r="V17" s="74">
        <v>27</v>
      </c>
      <c r="W17" s="74">
        <v>28</v>
      </c>
      <c r="X17" s="74">
        <v>28</v>
      </c>
      <c r="Y17" s="108">
        <v>28</v>
      </c>
      <c r="Z17" s="74">
        <v>26</v>
      </c>
      <c r="AA17" s="74">
        <v>25</v>
      </c>
      <c r="AB17" s="74">
        <v>25</v>
      </c>
      <c r="AC17" s="74">
        <v>24</v>
      </c>
      <c r="AD17" s="74">
        <v>25</v>
      </c>
      <c r="AE17" s="74">
        <v>25</v>
      </c>
      <c r="AH17" s="64" ph="1">
        <v>3</v>
      </c>
      <c r="AI17" s="64" t="s" ph="1">
        <v>338</v>
      </c>
      <c r="AK17" s="64" t="s" ph="1">
        <v>570</v>
      </c>
      <c r="AL17" s="64" ph="1">
        <v>80</v>
      </c>
      <c r="AM17" s="64" t="s" ph="1">
        <v>335</v>
      </c>
      <c r="AZ17" s="64" t="s" ph="1">
        <v>216</v>
      </c>
      <c r="BA17" s="64" ph="1">
        <v>80</v>
      </c>
      <c r="BD17" s="64" t="s" ph="1">
        <v>214</v>
      </c>
      <c r="BE17" s="64" ph="1">
        <v>2270</v>
      </c>
    </row>
    <row r="18" spans="1:57" ht="26.4" ph="1">
      <c r="B18" s="216" ph="1">
        <v>0.66666666666666663</v>
      </c>
      <c r="C18" s="79" t="s" ph="1">
        <v>180</v>
      </c>
      <c r="D18" s="71">
        <v>2789</v>
      </c>
      <c r="E18" s="71">
        <v>2620</v>
      </c>
      <c r="F18" s="71">
        <v>4181</v>
      </c>
      <c r="G18" s="71">
        <v>4200</v>
      </c>
      <c r="H18" s="71">
        <v>3465</v>
      </c>
      <c r="I18" s="71">
        <v>5189</v>
      </c>
      <c r="J18" s="71">
        <v>5236</v>
      </c>
      <c r="K18" s="71">
        <v>670</v>
      </c>
      <c r="L18" s="71">
        <v>4353</v>
      </c>
      <c r="M18" s="71">
        <v>2882</v>
      </c>
      <c r="N18" s="71">
        <v>1489</v>
      </c>
      <c r="O18" s="71">
        <v>385</v>
      </c>
      <c r="P18" s="71">
        <v>3822</v>
      </c>
      <c r="Q18" s="71">
        <v>5483</v>
      </c>
      <c r="R18" s="71">
        <v>0</v>
      </c>
      <c r="S18" s="71">
        <v>1370</v>
      </c>
      <c r="T18" s="71">
        <v>2324</v>
      </c>
      <c r="U18" s="71">
        <v>5496</v>
      </c>
      <c r="V18" s="71">
        <v>-36</v>
      </c>
      <c r="W18" s="71">
        <v>2002</v>
      </c>
      <c r="X18" s="71">
        <v>816</v>
      </c>
      <c r="Y18" s="109">
        <v>-9907</v>
      </c>
      <c r="Z18" s="71">
        <v>0</v>
      </c>
      <c r="AA18" s="71">
        <v>2456</v>
      </c>
      <c r="AB18" s="71">
        <v>0</v>
      </c>
      <c r="AC18" s="71">
        <v>0</v>
      </c>
      <c r="AD18" s="71">
        <v>11.47</v>
      </c>
      <c r="AE18" s="71">
        <v>84.5</v>
      </c>
      <c r="AH18" s="64" ph="1">
        <v>4</v>
      </c>
      <c r="AI18" s="64" t="s" ph="1">
        <v>340</v>
      </c>
      <c r="AJ18" s="64" t="s" ph="1">
        <v>588</v>
      </c>
      <c r="AK18" s="64" t="s" ph="1">
        <v>587</v>
      </c>
      <c r="AL18" s="64" ph="1">
        <v>740</v>
      </c>
      <c r="AM18" s="64" t="s" ph="1">
        <v>339</v>
      </c>
      <c r="AZ18" s="64" t="s" ph="1">
        <v>216</v>
      </c>
      <c r="BA18" s="64" ph="1">
        <v>740</v>
      </c>
    </row>
    <row r="19" spans="1:57" s="72" customFormat="1" ht="22.2" ph="1">
      <c r="B19" s="217" ph="1"/>
      <c r="C19" s="155" t="s" ph="1">
        <v>178</v>
      </c>
      <c r="D19" s="73" ph="1">
        <f>D18*7.0686*LOOKUP(D20,密度!$A$2:$A$50,密度!$L$2:$L$50)</f>
        <v>18354.036947400004</v>
      </c>
      <c r="E19" s="73" ph="1">
        <f>E18*7.0686*LOOKUP(E20,密度!$A$2:$A$50,密度!$L$2:$L$50)</f>
        <v>17241.870492000002</v>
      </c>
      <c r="F19" s="73" ph="1">
        <f>F18*9.0746*LOOKUP(F20,密度!$A$2:$A$50,密度!$L$2:$L$50)</f>
        <v>35209.157612800002</v>
      </c>
      <c r="G19" s="73" ph="1">
        <f>G18*9.0746*LOOKUP(G20,密度!$A$2:$A$50,密度!$B$2:$B$50)</f>
        <v>29583.558983999999</v>
      </c>
      <c r="H19" s="73" ph="1">
        <f>H18*9.0746*LOOKUP(H20,密度!$A$2:$A$50,密度!$L$2:$L$50)</f>
        <v>29399.662215000004</v>
      </c>
      <c r="I19" s="73" ph="1">
        <f>I18*9.0746*LOOKUP(I20,密度!$A$2:$A$50,密度!$U$2:$U$50)</f>
        <v>47982.773288599994</v>
      </c>
      <c r="J19" s="73" ph="1">
        <f>J18*9.0746*LOOKUP(J20,密度!$A$2:$A$50,密度!$L$2:$L$50)</f>
        <v>44141.068602400002</v>
      </c>
      <c r="K19" s="73" ph="1">
        <f>K18*9.0746*LOOKUP(K20,密度!$A$2:$A$50,密度!$C$2:$C$50)</f>
        <v>6718.9881082000002</v>
      </c>
      <c r="L19" s="73" ph="1">
        <f>L18*9.0746*LOOKUP(L20,密度!$A$2:$A$50,密度!$E$2:$E$50)</f>
        <v>30716.54820288</v>
      </c>
      <c r="M19" s="73" ph="1">
        <f>M18*9.0746*LOOKUP(M20,密度!$A$2:$A$50,密度!$M$2:$M$50)</f>
        <v>22668.633383044002</v>
      </c>
      <c r="N19" s="73" ph="1">
        <f>N18*9.0746*LOOKUP(N20,密度!$A$2:$A$50,密度!$M$2:$M$50)</f>
        <v>11782.5332368</v>
      </c>
      <c r="O19" s="73" ph="1">
        <f>O18*9.0746*LOOKUP(O20,密度!$A$2:$A$50,密度!$G$2:$G$50)</f>
        <v>3335.4554386999998</v>
      </c>
      <c r="P19" s="73" ph="1">
        <f ca="1">P18*9.0746*LOOKUP(P20,密度!$A$2:$A$51,密度!$Q$2:$Q$50)</f>
        <v>32691.616380695999</v>
      </c>
      <c r="Q19" s="73" ph="1">
        <f>Q18*9.0746*LOOKUP(Q20,密度!$A$2:$A$50,密度!$Q$2:$Q$50)</f>
        <v>46899.040454043999</v>
      </c>
      <c r="R19" s="73" ph="1">
        <f>MAX(R18*9.0746*LOOKUP(R20,密度!$A$2:$A$50,密度!$Q$2:$Q$50),0)</f>
        <v>0</v>
      </c>
      <c r="S19" s="73" ph="1">
        <f>S18*9.0746*LOOKUP(S20,密度!$A$2:$A$50,密度!$Q$2:$Q$50)</f>
        <v>11727.669112660002</v>
      </c>
      <c r="T19" s="73" ph="1">
        <f>T18*9.0746*LOOKUP(T20,密度!$A$2:$A$50,密度!$O$2:$O$50)</f>
        <v>19444.399508800001</v>
      </c>
      <c r="U19" s="73" ph="1">
        <f>U18*9.0746*LOOKUP(U20,密度!$A$2:$A$50,密度!$H$2:$H$50)</f>
        <v>45529.976060640009</v>
      </c>
      <c r="V19" s="73" ph="1">
        <f>MAX(5600*LOOKUP(V20,密度!$A$2:$A$50,密度!$Q$2:$Q$50)+V18*9.0476*LOOKUP(V20,密度!$A$2:$A$50,密度!$Q$2:$Q$50),0)</f>
        <v>4975.3925897119998</v>
      </c>
      <c r="W19" s="73" ph="1">
        <f>MAX(5600*LOOKUP(W20,密度!$A$2:$A$50,密度!$Q$2:$Q$50)+W18*9.0476*LOOKUP(W20,密度!$A$2:$A$50,密度!$Q$2:$Q$50),0)</f>
        <v>22351.677789615998</v>
      </c>
      <c r="X19" s="73" ph="1">
        <f>MAX(5600*LOOKUP(X20,密度!$A$2:$A$50,密度!$I$2:$I$50)+X18*9.0476*LOOKUP(X20,密度!$A$2:$A$50,密度!$I$2:$I$50),0)</f>
        <v>13459.311886719999</v>
      </c>
      <c r="Y19" s="73" ph="1">
        <f>MAX(5600*LOOKUP(Y20,密度!$A$2:$A$50,密度!$I$2:$I$50)+Y18*9.0476*LOOKUP(Y20,密度!$A$2:$A$50,密度!$I$2:$I$50),0)</f>
        <v>0</v>
      </c>
      <c r="Z19" s="73" ph="1">
        <f>Z18*9.0746*LOOKUP(Z20,密度!$A$2:$A$50,密度!$D$2:$D$50)</f>
        <v>0</v>
      </c>
      <c r="AA19" s="73" ph="1">
        <f>AA18*9.0746*LOOKUP(AA20,密度!$A$2:$A$50,密度!$B$2:$B$50)</f>
        <v>17337.226571040002</v>
      </c>
      <c r="AB19" s="73" ph="1">
        <f>AB18*9.0746*LOOKUP(AB20,密度!$A$2:$A$50,密度!$L$2:$L$50)</f>
        <v>0</v>
      </c>
      <c r="AC19" s="73" ph="1">
        <f>AC18*9.0746*LOOKUP(AC20,密度!$A$2:$A$50,密度!$L$2:$L$50)</f>
        <v>0</v>
      </c>
      <c r="AD19" s="73" ph="1">
        <f>AD18*268.68*LOOKUP(AD20,密度!$A$2:$A$50,密度!B5:B53)+IF(AD18&lt;=0,0,1566*LOOKUP(AD20,密度!$A$2:$A$50,密度!B5:B53))</f>
        <v>3611.3092092000006</v>
      </c>
      <c r="AE19" s="73" ph="1">
        <f>AE18*268.68*LOOKUP(AE20,密度!$A$2:$A$50,密度!B5:B53)+IF(AE18&lt;=0,0,1566*LOOKUP(AE20,密度!$A$2:$A$50,密度!B5:B53))</f>
        <v>18857.370419999999</v>
      </c>
      <c r="AH19" s="72" ph="1">
        <v>5</v>
      </c>
      <c r="AI19" s="72" t="s" ph="1">
        <v>341</v>
      </c>
      <c r="AZ19" s="72" t="s" ph="1">
        <v>216</v>
      </c>
      <c r="BA19" s="72" ph="1">
        <v>0</v>
      </c>
      <c r="BD19" s="72" t="s" ph="1">
        <v>342</v>
      </c>
      <c r="BE19" s="72" ph="1">
        <v>1440</v>
      </c>
    </row>
    <row r="20" spans="1:57" ph="1">
      <c r="A20" s="72" ph="1"/>
      <c r="B20" s="217" ph="1"/>
      <c r="C20" s="80" t="s" ph="1">
        <v>179</v>
      </c>
      <c r="D20" s="81">
        <v>31</v>
      </c>
      <c r="E20" s="81">
        <v>31</v>
      </c>
      <c r="F20" s="81">
        <v>34</v>
      </c>
      <c r="G20" s="81">
        <v>29</v>
      </c>
      <c r="H20" s="81">
        <v>27</v>
      </c>
      <c r="I20" s="81">
        <v>31</v>
      </c>
      <c r="J20" s="81">
        <v>33</v>
      </c>
      <c r="K20" s="81">
        <v>30</v>
      </c>
      <c r="L20" s="81">
        <v>30</v>
      </c>
      <c r="M20" s="81">
        <v>33</v>
      </c>
      <c r="N20" s="81">
        <v>28</v>
      </c>
      <c r="O20" s="81">
        <v>30</v>
      </c>
      <c r="P20" s="81">
        <v>31</v>
      </c>
      <c r="Q20" s="81">
        <v>31</v>
      </c>
      <c r="R20" s="81">
        <v>40</v>
      </c>
      <c r="S20" s="81">
        <v>30</v>
      </c>
      <c r="T20" s="81">
        <v>32</v>
      </c>
      <c r="U20" s="81">
        <v>27</v>
      </c>
      <c r="V20" s="81">
        <v>30</v>
      </c>
      <c r="W20" s="81">
        <v>31</v>
      </c>
      <c r="X20" s="81">
        <v>30</v>
      </c>
      <c r="Y20" s="110">
        <v>30</v>
      </c>
      <c r="Z20" s="81">
        <v>37</v>
      </c>
      <c r="AA20" s="81">
        <v>27</v>
      </c>
      <c r="AB20" s="81">
        <v>36</v>
      </c>
      <c r="AC20" s="81">
        <v>30</v>
      </c>
      <c r="AD20" s="81">
        <v>25</v>
      </c>
      <c r="AE20" s="81">
        <v>25</v>
      </c>
      <c r="AF20" s="64" t="s" ph="1">
        <v>35</v>
      </c>
      <c r="AH20" s="64" ph="1">
        <v>6</v>
      </c>
      <c r="AI20" s="64" t="s" ph="1">
        <v>343</v>
      </c>
      <c r="AZ20" s="64" t="s" ph="1">
        <v>216</v>
      </c>
      <c r="BA20" s="64" ph="1">
        <v>0</v>
      </c>
    </row>
    <row r="21" spans="1:57" ph="1">
      <c r="A21" s="72" ph="1"/>
      <c r="B21" s="82" ph="1"/>
      <c r="C21" s="83" ph="1"/>
      <c r="D21" s="84"/>
      <c r="E21" s="84"/>
      <c r="F21" s="84"/>
      <c r="G21" s="84"/>
      <c r="H21" s="84"/>
      <c r="I21" s="84"/>
      <c r="J21" s="84"/>
      <c r="K21" s="84"/>
      <c r="L21" s="84"/>
      <c r="M21" s="84"/>
      <c r="N21" s="84"/>
      <c r="O21" s="84"/>
      <c r="P21" s="84"/>
      <c r="Q21" s="84"/>
      <c r="R21" s="84"/>
      <c r="S21" s="84"/>
      <c r="T21" s="84"/>
      <c r="U21" s="84"/>
      <c r="V21" s="84"/>
      <c r="W21" s="84"/>
      <c r="X21" s="84"/>
      <c r="Y21" s="84"/>
      <c r="Z21" s="84"/>
      <c r="AA21" s="84"/>
      <c r="AB21" s="84"/>
      <c r="AC21" s="84"/>
      <c r="AD21" s="84"/>
      <c r="AE21" s="84"/>
      <c r="AH21" s="64" ph="1">
        <v>7</v>
      </c>
      <c r="AI21" s="64" t="s" ph="1">
        <v>344</v>
      </c>
      <c r="AZ21" s="64" t="s" ph="1">
        <v>216</v>
      </c>
      <c r="BA21" s="64" ph="1">
        <v>0</v>
      </c>
      <c r="BD21" s="64" t="s" ph="1">
        <v>232</v>
      </c>
      <c r="BE21" s="64" ph="1">
        <v>730</v>
      </c>
    </row>
    <row r="22" spans="1:57" ph="1">
      <c r="A22" s="72" ph="1"/>
      <c r="B22" s="215" t="s" ph="1">
        <v>37</v>
      </c>
      <c r="C22" s="85" t="s" ph="1">
        <v>176</v>
      </c>
      <c r="D22" s="86" t="s" ph="1">
        <v>86</v>
      </c>
      <c r="E22" s="86" t="s" ph="1">
        <v>87</v>
      </c>
      <c r="F22" s="86" t="s" ph="1">
        <v>88</v>
      </c>
      <c r="G22" s="86" t="s" ph="1">
        <v>89</v>
      </c>
      <c r="H22" s="86" t="s" ph="1">
        <v>90</v>
      </c>
      <c r="I22" s="86" t="s" ph="1">
        <v>91</v>
      </c>
      <c r="J22" s="86" t="s" ph="1">
        <v>92</v>
      </c>
      <c r="K22" s="86" t="s" ph="1">
        <v>93</v>
      </c>
      <c r="L22" s="86" t="s" ph="1">
        <v>94</v>
      </c>
      <c r="M22" s="86" t="s" ph="1">
        <v>95</v>
      </c>
      <c r="N22" s="86" t="s" ph="1">
        <v>96</v>
      </c>
      <c r="O22" s="86" t="s" ph="1">
        <v>97</v>
      </c>
      <c r="P22" s="86" t="s" ph="1">
        <v>98</v>
      </c>
      <c r="Q22" s="87" t="s" ph="1">
        <v>99</v>
      </c>
      <c r="R22" s="86" t="s" ph="1">
        <v>100</v>
      </c>
      <c r="S22" s="86" t="s" ph="1">
        <v>101</v>
      </c>
      <c r="T22" s="86" t="s" ph="1">
        <v>102</v>
      </c>
      <c r="U22" s="86" t="s" ph="1">
        <v>103</v>
      </c>
      <c r="V22" s="86" t="s" ph="1">
        <v>104</v>
      </c>
      <c r="W22" s="86" t="s" ph="1">
        <v>105</v>
      </c>
      <c r="X22" s="86" t="s" ph="1">
        <v>106</v>
      </c>
      <c r="Y22" s="86" t="s" ph="1">
        <v>108</v>
      </c>
      <c r="Z22" s="225" t="s" ph="1">
        <v>69</v>
      </c>
      <c r="AA22" s="226"/>
      <c r="AB22" s="226"/>
      <c r="AC22" s="226"/>
      <c r="AD22" s="226"/>
      <c r="AE22" s="227"/>
      <c r="AH22" s="64" ph="1">
        <v>8</v>
      </c>
      <c r="AI22" s="64" t="s" ph="1">
        <v>345</v>
      </c>
      <c r="AZ22" s="64" t="s" ph="1">
        <v>216</v>
      </c>
      <c r="BA22" s="64" ph="1">
        <v>0</v>
      </c>
    </row>
    <row r="23" spans="1:57" ph="1">
      <c r="A23" s="72" ph="1"/>
      <c r="B23" s="219" ph="1"/>
      <c r="C23" s="67" t="s" ph="1">
        <v>36</v>
      </c>
      <c r="D23" s="88" t="s" ph="1">
        <v>109</v>
      </c>
      <c r="E23" s="88" t="s" ph="1">
        <v>107</v>
      </c>
      <c r="F23" s="88" t="s" ph="1">
        <v>109</v>
      </c>
      <c r="G23" s="88" t="s" ph="1">
        <v>626</v>
      </c>
      <c r="H23" s="88" t="s" ph="1">
        <v>626</v>
      </c>
      <c r="I23" s="88" t="s" ph="1">
        <v>627</v>
      </c>
      <c r="J23" s="88" t="s" ph="1">
        <v>628</v>
      </c>
      <c r="K23" s="88" t="s" ph="1">
        <v>628</v>
      </c>
      <c r="L23" s="88" t="s" ph="1">
        <v>628</v>
      </c>
      <c r="M23" s="88" t="s" ph="1">
        <v>623</v>
      </c>
      <c r="N23" s="88" t="s" ph="1">
        <v>623</v>
      </c>
      <c r="O23" s="88" t="s" ph="1">
        <v>645</v>
      </c>
      <c r="P23" s="88" t="s" ph="1">
        <v>629</v>
      </c>
      <c r="Q23" s="89" t="s" ph="1">
        <v>643</v>
      </c>
      <c r="R23" s="88" t="s" ph="1">
        <v>610</v>
      </c>
      <c r="S23" s="88" t="s" ph="1">
        <v>629</v>
      </c>
      <c r="T23" s="88" t="s" ph="1">
        <v>604</v>
      </c>
      <c r="U23" s="104" t="s" ph="1">
        <v>606</v>
      </c>
      <c r="V23" s="88" t="s" ph="1">
        <v>629</v>
      </c>
      <c r="W23" s="88" t="s" ph="1">
        <v>629</v>
      </c>
      <c r="X23" s="88" t="s" ph="1">
        <v>187</v>
      </c>
      <c r="Y23" s="88" t="s" ph="1">
        <v>630</v>
      </c>
      <c r="Z23" s="228" t="s" ph="1">
        <v>646</v>
      </c>
      <c r="AA23" s="229"/>
      <c r="AB23" s="229"/>
      <c r="AC23" s="229"/>
      <c r="AD23" s="229"/>
      <c r="AE23" s="230"/>
      <c r="AH23" s="64" ph="1">
        <v>9</v>
      </c>
      <c r="AI23" s="64" t="s" ph="1">
        <v>346</v>
      </c>
      <c r="AZ23" s="64" t="s" ph="1">
        <v>216</v>
      </c>
      <c r="BA23" s="64" ph="1">
        <v>0</v>
      </c>
      <c r="BD23" s="64" t="s" ph="1">
        <v>238</v>
      </c>
      <c r="BE23" s="64" ph="1">
        <v>890</v>
      </c>
    </row>
    <row r="24" spans="1:57" ph="1">
      <c r="A24" s="72" ph="1"/>
      <c r="B24" s="237" ph="1">
        <v>0.33333333333333331</v>
      </c>
      <c r="C24" s="155" t="s" ph="1">
        <v>177</v>
      </c>
      <c r="D24" s="71">
        <v>3.04</v>
      </c>
      <c r="E24" s="71">
        <v>0</v>
      </c>
      <c r="F24" s="71">
        <v>494</v>
      </c>
      <c r="G24" s="71">
        <v>3366</v>
      </c>
      <c r="H24" s="71">
        <v>2732</v>
      </c>
      <c r="I24" s="71">
        <v>111</v>
      </c>
      <c r="J24" s="71">
        <v>2706</v>
      </c>
      <c r="K24" s="71">
        <v>4768</v>
      </c>
      <c r="L24" s="71">
        <v>301</v>
      </c>
      <c r="M24" s="71">
        <v>4866</v>
      </c>
      <c r="N24" s="71">
        <v>324</v>
      </c>
      <c r="O24" s="71">
        <v>1096</v>
      </c>
      <c r="P24" s="71">
        <v>367</v>
      </c>
      <c r="Q24" s="90">
        <v>1561</v>
      </c>
      <c r="R24" s="71">
        <v>5953</v>
      </c>
      <c r="S24" s="71">
        <v>4107</v>
      </c>
      <c r="T24" s="71">
        <v>114</v>
      </c>
      <c r="U24" s="71">
        <v>5484</v>
      </c>
      <c r="V24" s="71">
        <v>737</v>
      </c>
      <c r="W24" s="71">
        <v>435</v>
      </c>
      <c r="X24" s="71">
        <v>4932</v>
      </c>
      <c r="Y24" s="71">
        <v>820</v>
      </c>
      <c r="Z24" s="231"/>
      <c r="AA24" s="232"/>
      <c r="AB24" s="232"/>
      <c r="AC24" s="232"/>
      <c r="AD24" s="232"/>
      <c r="AE24" s="233"/>
      <c r="AH24" s="64" ph="1">
        <v>10</v>
      </c>
      <c r="AI24" s="64" t="s" ph="1">
        <v>347</v>
      </c>
      <c r="AZ24" s="64" t="s" ph="1">
        <v>216</v>
      </c>
      <c r="BA24" s="64" ph="1">
        <v>0</v>
      </c>
    </row>
    <row r="25" spans="1:57" ph="1">
      <c r="A25" s="72" ph="1"/>
      <c r="B25" s="237" ph="1"/>
      <c r="C25" s="68" t="s" ph="1">
        <v>178</v>
      </c>
      <c r="D25" s="91" ph="1">
        <f>D24*268.68*LOOKUP(D26,密度!$A$2:$A$50,密度!$Q$2:$Q$50)+IF(D24&lt;=0,0,1566*LOOKUP(D26,密度!$A$2:$A$50,密度!$Q$2:$Q$50))</f>
        <v>2255.8799537280001</v>
      </c>
      <c r="E25" s="91" ph="1">
        <f>E24*268.68*LOOKUP(E26,密度!$A$2:$A$50,密度!$C$2:$C$50)+IF(E24&lt;=0,0,1566*LOOKUP(E26,密度!$A$2:$A$50,密度!$C$2:$C$50))</f>
        <v>0</v>
      </c>
      <c r="F25" s="91" ph="1">
        <f>F24*11.702*LOOKUP(F26,密度!$A$2:$A$50,密度!$Q$2:$Q$50)</f>
        <v>5464.6945121600002</v>
      </c>
      <c r="G25" s="91" ph="1">
        <f>G24*18.322*LOOKUP(G26,密度!$A$2:$A$50,密度!$B$2:$B$50)</f>
        <v>48023.871152399995</v>
      </c>
      <c r="H25" s="91" ph="1">
        <f>H24*18.322*LOOKUP(H26,密度!$A$2:$A$50,密度!$B$2:$B$50)</f>
        <v>39068.476971999997</v>
      </c>
      <c r="I25" s="91" ph="1">
        <f>I24*18.322*LOOKUP(I26,密度!$A$2:$A$50,密度!$Q$2:$Q$50)</f>
        <v>1922.5369874400001</v>
      </c>
      <c r="J25" s="91" ph="1">
        <f>J24*18.322*LOOKUP(J26,密度!$A$2:$A$50,密度!$Q$2:$Q$50)</f>
        <v>46903.535451960001</v>
      </c>
      <c r="K25" s="91" ph="1">
        <f>K24*18.322*LOOKUP(K26,密度!$A$2:$A$50,密度!$Q$2:$Q$50)</f>
        <v>82706.539895039998</v>
      </c>
      <c r="L25" s="91" ph="1">
        <f>L24*18.322*LOOKUP(L26,密度!$A$2:$A$50,密度!$Q$2:$Q$50)</f>
        <v>5221.1972542799995</v>
      </c>
      <c r="M25" s="91" ph="1">
        <f>M24*18.322*LOOKUP(M26,密度!$A$2:$A$50,密度!$Q$2:$Q$50)</f>
        <v>84279.864692640011</v>
      </c>
      <c r="N25" s="91" ph="1">
        <f>N24*18.322*LOOKUP(N26,密度!$A$2:$A$50,密度!$Q$2:$Q$50)</f>
        <v>5620.1591707199996</v>
      </c>
      <c r="O25" s="91" ph="1">
        <f>O24*18.322*LOOKUP(O26,密度!$A$2:$A$50,密度!$C$2:$C$50)</f>
        <v>22251.658587200003</v>
      </c>
      <c r="P25" s="91" ph="1">
        <f>P24*11.702*LOOKUP(P26,密度!$A$2:$A$50,密度!$B$2:$B$50)</f>
        <v>3340.7957886000004</v>
      </c>
      <c r="Q25" s="92" ph="1">
        <f>Q24*18.322*LOOKUP(Q26,密度!$A$2:$A$50,密度!$B$2:$B$50)</f>
        <v>22271.319925399999</v>
      </c>
      <c r="R25" s="91" ph="1">
        <f>R24*35.891*LOOKUP(R26,密度!$A$2:$A$50,密度!$C$2:$C$50)</f>
        <v>236755.67419630001</v>
      </c>
      <c r="S25" s="91" ph="1">
        <f>S24*35.891*LOOKUP(S26,密度!$A$2:$A$50,密度!$B$2:$B$50)</f>
        <v>114533.169849</v>
      </c>
      <c r="T25" s="91" ph="1">
        <f>T24*35.891*LOOKUP(T26,密度!$A$2:$A$50,密度!$Q$2:$Q$50)</f>
        <v>3867.8467336799999</v>
      </c>
      <c r="U25" s="91" ph="1">
        <f>U24*35.891</f>
        <v>196826.24399999998</v>
      </c>
      <c r="V25" s="91" ph="1">
        <f>V24*47.051*LOOKUP(V26,密度!$A$2:$A$50,密度!$B$2:$B$50)</f>
        <v>27002.658296899997</v>
      </c>
      <c r="W25" s="91" ph="1">
        <f>W24*47.051*LOOKUP(W26,密度!$A$2:$A$50,密度!$B$2:$B$50)</f>
        <v>15921.423211500001</v>
      </c>
      <c r="X25" s="91" ph="1">
        <f>X24*47.051*LOOKUP(X26,密度!$A$2:$A$61,密度!$I$2:$I$61)</f>
        <v>240827.23110960002</v>
      </c>
      <c r="Y25" s="91" ph="1">
        <f>Y24*47.051*LOOKUP(Y26,密度!$A$2:$A$50,密度!$L$2:$L$50)</f>
        <v>36074.001700000001</v>
      </c>
      <c r="Z25" s="231"/>
      <c r="AA25" s="232"/>
      <c r="AB25" s="232"/>
      <c r="AC25" s="232"/>
      <c r="AD25" s="232"/>
      <c r="AE25" s="233"/>
      <c r="AH25" s="64" ph="1">
        <v>11</v>
      </c>
      <c r="AI25" s="64" t="s" ph="1">
        <v>348</v>
      </c>
      <c r="AZ25" s="64" t="s" ph="1">
        <v>216</v>
      </c>
      <c r="BA25" s="64" ph="1">
        <v>0</v>
      </c>
      <c r="BD25" s="64" t="s" ph="1">
        <v>241</v>
      </c>
      <c r="BE25" s="64" ph="1">
        <v>8920</v>
      </c>
    </row>
    <row r="26" spans="1:57" ph="1">
      <c r="A26" s="72" ph="1"/>
      <c r="B26" s="237" ph="1"/>
      <c r="C26" s="68" t="s" ph="1">
        <v>179</v>
      </c>
      <c r="D26" s="74">
        <v>25</v>
      </c>
      <c r="E26" s="74">
        <v>25</v>
      </c>
      <c r="F26" s="74">
        <v>27</v>
      </c>
      <c r="G26" s="74">
        <v>26</v>
      </c>
      <c r="H26" s="74">
        <v>24</v>
      </c>
      <c r="I26" s="74">
        <v>27</v>
      </c>
      <c r="J26" s="74">
        <v>26</v>
      </c>
      <c r="K26" s="74">
        <v>25</v>
      </c>
      <c r="L26" s="74">
        <v>25</v>
      </c>
      <c r="M26" s="74">
        <v>27</v>
      </c>
      <c r="N26" s="74">
        <v>25</v>
      </c>
      <c r="O26" s="74">
        <v>26</v>
      </c>
      <c r="P26" s="74">
        <v>27</v>
      </c>
      <c r="Q26" s="93">
        <v>26</v>
      </c>
      <c r="R26" s="74">
        <v>26</v>
      </c>
      <c r="S26" s="74">
        <v>28</v>
      </c>
      <c r="T26" s="74">
        <v>27</v>
      </c>
      <c r="U26" s="74">
        <v>27</v>
      </c>
      <c r="V26" s="74">
        <v>26</v>
      </c>
      <c r="W26" s="74">
        <v>27</v>
      </c>
      <c r="X26" s="74">
        <v>29</v>
      </c>
      <c r="Y26" s="74">
        <v>27</v>
      </c>
      <c r="Z26" s="231"/>
      <c r="AA26" s="232"/>
      <c r="AB26" s="232"/>
      <c r="AC26" s="232"/>
      <c r="AD26" s="232"/>
      <c r="AE26" s="233"/>
      <c r="AH26" s="64" ph="1">
        <v>12</v>
      </c>
      <c r="AI26" s="64" t="s" ph="1">
        <v>349</v>
      </c>
      <c r="AZ26" s="64" t="s" ph="1">
        <v>216</v>
      </c>
      <c r="BA26" s="64" ph="1">
        <v>0</v>
      </c>
    </row>
    <row r="27" spans="1:57" ht="26.4" ph="1">
      <c r="A27" s="72" ph="1"/>
      <c r="B27" s="237" ph="1">
        <v>0.66666666666666663</v>
      </c>
      <c r="C27" s="155" t="s" ph="1">
        <v>180</v>
      </c>
      <c r="D27" s="71">
        <v>3.04</v>
      </c>
      <c r="E27" s="71">
        <v>53.22</v>
      </c>
      <c r="F27" s="71">
        <v>491</v>
      </c>
      <c r="G27" s="71">
        <v>3210</v>
      </c>
      <c r="H27" s="71">
        <v>2233</v>
      </c>
      <c r="I27" s="71">
        <v>544</v>
      </c>
      <c r="J27" s="71">
        <v>2706</v>
      </c>
      <c r="K27" s="71">
        <v>4768</v>
      </c>
      <c r="L27" s="71">
        <v>295</v>
      </c>
      <c r="M27" s="71">
        <v>4865</v>
      </c>
      <c r="N27" s="71">
        <v>319</v>
      </c>
      <c r="O27" s="71">
        <v>1091</v>
      </c>
      <c r="P27" s="71">
        <v>362</v>
      </c>
      <c r="Q27" s="90">
        <v>1771</v>
      </c>
      <c r="R27" s="71">
        <v>5349</v>
      </c>
      <c r="S27" s="71">
        <v>4104</v>
      </c>
      <c r="T27" s="71">
        <v>111</v>
      </c>
      <c r="U27" s="71">
        <v>5521</v>
      </c>
      <c r="V27" s="71">
        <v>731</v>
      </c>
      <c r="W27" s="71">
        <v>429</v>
      </c>
      <c r="X27" s="71">
        <v>4562</v>
      </c>
      <c r="Y27" s="71">
        <v>1540</v>
      </c>
      <c r="Z27" s="231"/>
      <c r="AA27" s="232"/>
      <c r="AB27" s="232"/>
      <c r="AC27" s="232"/>
      <c r="AD27" s="232"/>
      <c r="AE27" s="233"/>
      <c r="AH27" s="64" ph="1">
        <v>13</v>
      </c>
      <c r="AI27" s="64" t="s" ph="1">
        <v>350</v>
      </c>
      <c r="AZ27" s="64" t="s" ph="1">
        <v>216</v>
      </c>
      <c r="BA27" s="64" ph="1">
        <v>0</v>
      </c>
      <c r="BD27" s="64" t="s" ph="1">
        <v>295</v>
      </c>
      <c r="BE27" s="64" ph="1">
        <v>7100</v>
      </c>
    </row>
    <row r="28" spans="1:57" ph="1">
      <c r="A28" s="72" ph="1"/>
      <c r="B28" s="237" ph="1"/>
      <c r="C28" s="155" t="s" ph="1">
        <v>178</v>
      </c>
      <c r="D28" s="91" ph="1">
        <f>D27*268.68*LOOKUP(D29,密度!$A$2:$A$50,密度!$Q$2:$Q$50)+IF(D27&lt;=0,0,1566*LOOKUP(D29,密度!$A$2:$A$50,密度!$Q$2:$Q$50))</f>
        <v>2255.8799537280001</v>
      </c>
      <c r="E28" s="91" ph="1">
        <f>E27*268.68*LOOKUP(E29,密度!$A$2:$A$50,密度!$C$2:$C$50)+IF(E27&lt;=0,0,1566*LOOKUP(E29,密度!$A$2:$A$50,密度!$C$2:$C$50))</f>
        <v>17592.864391440002</v>
      </c>
      <c r="F28" s="91" ph="1">
        <f>F27*11.702*LOOKUP(F29,密度!$A$2:$A$50,密度!$Q$2:$Q$50)</f>
        <v>5420.0742010599997</v>
      </c>
      <c r="G28" s="91" ph="1">
        <f>G27*18.322*LOOKUP(G29,密度!$A$2:$A$50,密度!$B$2:$B$50)</f>
        <v>45545.267327999994</v>
      </c>
      <c r="H28" s="91" ph="1">
        <f>H27*18.322*LOOKUP(H29,密度!$A$2:$A$50,密度!$B$2:$B$50)</f>
        <v>31719.869057799999</v>
      </c>
      <c r="I28" s="91" ph="1">
        <f>I27*18.322*LOOKUP(I29,密度!$A$2:$A$50,密度!$Q$2:$Q$50)</f>
        <v>9402.3285894399996</v>
      </c>
      <c r="J28" s="91" ph="1">
        <f>J27*18.322*LOOKUP(J29,密度!$A$2:$A$50,密度!$Q$2:$Q$50)</f>
        <v>46698.772810799994</v>
      </c>
      <c r="K28" s="91" ph="1">
        <f>K27*18.322*LOOKUP(K29,密度!$A$2:$A$50,密度!$Q$2:$Q$50)</f>
        <v>82343.125223680006</v>
      </c>
      <c r="L28" s="91" ph="1">
        <f>L27*18.322*LOOKUP(L29,密度!$A$2:$A$50,密度!$Q$2:$Q$50)</f>
        <v>5094.6354741999994</v>
      </c>
      <c r="M28" s="91" ph="1">
        <f>M27*18.322*LOOKUP(M29,密度!$A$2:$A$50,密度!$Q$2:$Q$50)</f>
        <v>84085.162844899998</v>
      </c>
      <c r="N28" s="91" ph="1">
        <f>N27*18.322*LOOKUP(N29,密度!$A$2:$A$50,密度!$Q$2:$Q$50)</f>
        <v>5513.4978309400003</v>
      </c>
      <c r="O28" s="91" ph="1">
        <f>O27*18.322*LOOKUP(O29,密度!$A$2:$A$50,密度!$C$2:$C$50)</f>
        <v>22070.188338200001</v>
      </c>
      <c r="P28" s="91" ph="1">
        <f>P27*11.702*LOOKUP(P29,密度!$A$2:$A$50,密度!$B$2:$B$50)</f>
        <v>3280.4544255999999</v>
      </c>
      <c r="Q28" s="92" ph="1">
        <f>Q27*18.322*LOOKUP(Q29,密度!$A$2:$A$50,密度!$B$2:$B$50)</f>
        <v>25127.934092799998</v>
      </c>
      <c r="R28" s="91" ph="1">
        <f>R27*35.891*LOOKUP(R29,密度!$A$2:$A$50,密度!$C$2:$C$50)</f>
        <v>212158.1577909</v>
      </c>
      <c r="S28" s="91" ph="1">
        <f>S27*35.891*LOOKUP(S29,密度!$A$2:$A$50,密度!$B$2:$B$50)</f>
        <v>114199.1035992</v>
      </c>
      <c r="T28" s="91" ph="1">
        <f>T27*35.891*LOOKUP(T29,密度!$A$2:$A$50,密度!$Q$2:$Q$50)</f>
        <v>3755.1454045799996</v>
      </c>
      <c r="U28" s="91" ph="1">
        <f>U27*35.891</f>
        <v>198154.21099999998</v>
      </c>
      <c r="V28" s="91" ph="1">
        <f>V27*47.051*LOOKUP(V29,密度!$A$2:$A$50,密度!$B$2:$B$50)</f>
        <v>26634.931206400001</v>
      </c>
      <c r="W28" s="91" ph="1">
        <f>W27*47.051*LOOKUP(W29,密度!$A$2:$A$50,密度!$B$2:$B$50)</f>
        <v>15613.0039065</v>
      </c>
      <c r="X28" s="91" ph="1">
        <f>X27*47.051*LOOKUP(X29,密度!$A$2:$A$61,密度!$I$2:$I$61)</f>
        <v>221322.17318819999</v>
      </c>
      <c r="Y28" s="91" ph="1">
        <f>Y27*47.051*LOOKUP(Y29,密度!$A$2:$A$50,密度!$L$2:$L$50)</f>
        <v>67458.900740000012</v>
      </c>
      <c r="Z28" s="231"/>
      <c r="AA28" s="232"/>
      <c r="AB28" s="232"/>
      <c r="AC28" s="232"/>
      <c r="AD28" s="232"/>
      <c r="AE28" s="233"/>
      <c r="AH28" s="64" ph="1">
        <v>14</v>
      </c>
      <c r="AI28" s="64" t="s" ph="1">
        <v>351</v>
      </c>
      <c r="AZ28" s="64" t="s" ph="1">
        <v>216</v>
      </c>
      <c r="BA28" s="64" ph="1">
        <v>0</v>
      </c>
    </row>
    <row r="29" spans="1:57" ph="1">
      <c r="A29" s="72" ph="1"/>
      <c r="B29" s="237" ph="1"/>
      <c r="C29" s="155" t="s" ph="1">
        <v>179</v>
      </c>
      <c r="D29" s="74">
        <v>25</v>
      </c>
      <c r="E29" s="74">
        <v>25</v>
      </c>
      <c r="F29" s="74">
        <v>30</v>
      </c>
      <c r="G29" s="74">
        <v>31</v>
      </c>
      <c r="H29" s="74">
        <v>30</v>
      </c>
      <c r="I29" s="74">
        <v>30</v>
      </c>
      <c r="J29" s="74">
        <v>32</v>
      </c>
      <c r="K29" s="74">
        <v>31</v>
      </c>
      <c r="L29" s="74">
        <v>31</v>
      </c>
      <c r="M29" s="74">
        <v>30</v>
      </c>
      <c r="N29" s="74">
        <v>30</v>
      </c>
      <c r="O29" s="74">
        <v>31</v>
      </c>
      <c r="P29" s="74">
        <v>31</v>
      </c>
      <c r="Q29" s="93">
        <v>31</v>
      </c>
      <c r="R29" s="74">
        <v>30</v>
      </c>
      <c r="S29" s="74">
        <v>30</v>
      </c>
      <c r="T29" s="74">
        <v>31</v>
      </c>
      <c r="U29" s="74">
        <v>31</v>
      </c>
      <c r="V29" s="74">
        <v>31</v>
      </c>
      <c r="W29" s="74">
        <v>32</v>
      </c>
      <c r="X29" s="74">
        <v>35</v>
      </c>
      <c r="Y29" s="74">
        <v>31</v>
      </c>
      <c r="Z29" s="234"/>
      <c r="AA29" s="235"/>
      <c r="AB29" s="235"/>
      <c r="AC29" s="235"/>
      <c r="AD29" s="235"/>
      <c r="AE29" s="236"/>
      <c r="AH29" s="64" ph="1">
        <v>15</v>
      </c>
      <c r="AI29" s="64" t="s" ph="1">
        <v>352</v>
      </c>
      <c r="AZ29" s="64" t="s" ph="1">
        <v>216</v>
      </c>
      <c r="BA29" s="64" ph="1">
        <v>0</v>
      </c>
      <c r="BD29" s="64" t="s" ph="1">
        <v>353</v>
      </c>
      <c r="BE29" s="64" ph="1">
        <v>890</v>
      </c>
    </row>
    <row r="30" spans="1:57" ph="1">
      <c r="D30" s="94" ph="1"/>
      <c r="Z30" s="64" t="s" ph="1">
        <v>35</v>
      </c>
      <c r="AE30" s="95" ph="1"/>
      <c r="AH30" s="64" ph="1">
        <v>16</v>
      </c>
      <c r="AI30" s="64" t="s" ph="1">
        <v>354</v>
      </c>
      <c r="AZ30" s="64" t="s" ph="1">
        <v>216</v>
      </c>
      <c r="BA30" s="64" ph="1">
        <v>0</v>
      </c>
    </row>
    <row r="31" spans="1:57" ht="28.2" ph="1">
      <c r="A31" s="64"/>
      <c r="B31" s="220" t="s" ph="1">
        <v>35</v>
      </c>
      <c r="C31" s="221" ph="1"/>
      <c r="D31" s="224" t="s" ph="1">
        <v>9</v>
      </c>
      <c r="E31" s="199" ph="1"/>
      <c r="F31" s="200" ph="1"/>
      <c r="G31" s="224" t="s" ph="1">
        <v>18</v>
      </c>
      <c r="H31" s="199" ph="1"/>
      <c r="I31" s="200" ph="1"/>
      <c r="J31" s="198" t="s" ph="1">
        <v>1</v>
      </c>
      <c r="K31" s="199" ph="1"/>
      <c r="L31" s="200" ph="1"/>
      <c r="M31" s="198" t="s" ph="1">
        <v>7</v>
      </c>
      <c r="N31" s="199" ph="1"/>
      <c r="O31" s="200" ph="1"/>
      <c r="P31" s="198" t="s" ph="1">
        <v>41</v>
      </c>
      <c r="Q31" s="199"/>
      <c r="R31" s="200"/>
      <c r="S31" s="198" t="s" ph="1">
        <v>2</v>
      </c>
      <c r="T31" s="199"/>
      <c r="U31" s="200"/>
      <c r="V31" s="198" t="s" ph="1">
        <v>71</v>
      </c>
      <c r="W31" s="199" ph="1"/>
      <c r="X31" s="200" ph="1"/>
      <c r="Y31" s="198" t="s" ph="1">
        <v>3</v>
      </c>
      <c r="Z31" s="199" ph="1"/>
      <c r="AA31" s="200" ph="1"/>
      <c r="AB31" s="201" t="s">
        <v>42</v>
      </c>
      <c r="AC31" s="202"/>
      <c r="AD31" s="202"/>
      <c r="AE31" s="203"/>
      <c r="AH31" s="64" ph="1">
        <v>17</v>
      </c>
      <c r="AI31" s="64" t="s" ph="1">
        <v>355</v>
      </c>
      <c r="AZ31" s="64" t="s" ph="1">
        <v>216</v>
      </c>
      <c r="BA31" s="64" ph="1">
        <v>0</v>
      </c>
      <c r="BD31" s="64" t="s" ph="1">
        <v>356</v>
      </c>
      <c r="BE31" s="64" ph="1">
        <v>9310</v>
      </c>
    </row>
    <row r="32" spans="1:57" ph="1">
      <c r="A32" s="64"/>
      <c r="B32" s="222" ph="1"/>
      <c r="C32" s="223" ph="1"/>
      <c r="D32" s="96" t="s" ph="1">
        <v>4</v>
      </c>
      <c r="E32" s="155" t="s" ph="1">
        <v>5</v>
      </c>
      <c r="F32" s="154" t="s" ph="1">
        <v>43</v>
      </c>
      <c r="G32" s="97" t="s" ph="1">
        <v>4</v>
      </c>
      <c r="H32" s="155" t="s" ph="1">
        <v>5</v>
      </c>
      <c r="I32" s="154" t="s" ph="1">
        <v>43</v>
      </c>
      <c r="J32" s="97" t="s" ph="1">
        <v>4</v>
      </c>
      <c r="K32" s="155" t="s" ph="1">
        <v>5</v>
      </c>
      <c r="L32" s="154" t="s" ph="1">
        <v>43</v>
      </c>
      <c r="M32" s="97" t="s" ph="1">
        <v>4</v>
      </c>
      <c r="N32" s="155" t="s" ph="1">
        <v>5</v>
      </c>
      <c r="O32" s="154" t="s" ph="1">
        <v>43</v>
      </c>
      <c r="P32" s="97" t="s" ph="1">
        <v>4</v>
      </c>
      <c r="Q32" s="98" t="s" ph="1">
        <v>5</v>
      </c>
      <c r="R32" s="99" t="s" ph="1">
        <v>43</v>
      </c>
      <c r="S32" s="97" t="s" ph="1">
        <v>4</v>
      </c>
      <c r="T32" s="155" t="s" ph="1">
        <v>5</v>
      </c>
      <c r="U32" s="99" t="s" ph="1">
        <v>43</v>
      </c>
      <c r="V32" s="97" t="s" ph="1">
        <v>4</v>
      </c>
      <c r="W32" s="155" t="s" ph="1">
        <v>5</v>
      </c>
      <c r="X32" s="99" t="s" ph="1">
        <v>43</v>
      </c>
      <c r="Y32" s="100" t="s" ph="1">
        <v>4</v>
      </c>
      <c r="Z32" s="155" t="s" ph="1">
        <v>5</v>
      </c>
      <c r="AA32" s="154" t="s" ph="1">
        <v>43</v>
      </c>
      <c r="AB32" s="97" t="s" ph="1">
        <v>85</v>
      </c>
      <c r="AC32" s="155" t="s" ph="1">
        <v>84</v>
      </c>
      <c r="AD32" s="204" t="s" ph="1">
        <v>83</v>
      </c>
      <c r="AE32" s="205"/>
      <c r="AH32" s="64" ph="1">
        <v>18</v>
      </c>
      <c r="AI32" s="64" t="s" ph="1">
        <v>357</v>
      </c>
      <c r="AZ32" s="64" t="s" ph="1">
        <v>216</v>
      </c>
      <c r="BA32" s="64" ph="1">
        <v>0</v>
      </c>
    </row>
    <row r="33" spans="1:57" ph="1">
      <c r="A33" s="64"/>
      <c r="B33" s="206" t="s" ph="1">
        <v>181</v>
      </c>
      <c r="C33" s="207" ph="1"/>
      <c r="D33" s="186" ph="1">
        <f>AA10+AB10+Z19</f>
        <v>51787.7549</v>
      </c>
      <c r="E33" s="186" ph="1">
        <f>M10+I10</f>
        <v>110847.9456544</v>
      </c>
      <c r="F33" s="210" ph="1">
        <f>表格_取樣回收每月庫存表_0620更新1522252632456786910111213141516171819202123456789101112131415161718192022232424356789101112131415161718192021222345678910111213141516171819202345678910111213149101516171819222123234567891012131415161711181920212224252345678910111213118[[#This Row],[F25]]</f>
        <v>3880</v>
      </c>
      <c r="G33" s="212" ph="1">
        <f>N19</f>
        <v>11782.5332368</v>
      </c>
      <c r="H33" s="186" ph="1">
        <f>M19</f>
        <v>22668.633383044002</v>
      </c>
      <c r="I33" s="190" ph="1">
        <v>0</v>
      </c>
      <c r="J33" s="194" ph="1">
        <f>F10+O28</f>
        <v>139182.41267359999</v>
      </c>
      <c r="K33" s="186" ph="1">
        <f>O10+K10+E28+R28</f>
        <v>369641.65848514007</v>
      </c>
      <c r="L33" s="196" ph="1">
        <f>K19</f>
        <v>6718.9881082000002</v>
      </c>
      <c r="M33" s="194" ph="1">
        <f>G10+H10+W28+S28+V28+E10+R19+P28+Q28</f>
        <v>563753.0025665001</v>
      </c>
      <c r="N33" s="186" ph="1">
        <f>L10+P10++G28+H28+AD19+AE19</f>
        <v>379799.53854199994</v>
      </c>
      <c r="O33" s="190" ph="1">
        <f>G19</f>
        <v>29583.558983999999</v>
      </c>
      <c r="P33" s="194" ph="1">
        <f>L19</f>
        <v>30716.54820288</v>
      </c>
      <c r="Q33" s="186" ph="1">
        <f>J10+N10</f>
        <v>35628.131856</v>
      </c>
      <c r="R33" s="190" ph="1">
        <f>BE23</f>
        <v>890</v>
      </c>
      <c r="S33" s="194" ph="1">
        <f>X28</f>
        <v>221322.17318819999</v>
      </c>
      <c r="T33" s="186" ph="1">
        <f>X19</f>
        <v>13459.311886719999</v>
      </c>
      <c r="U33" s="175" ph="1">
        <f>BE21</f>
        <v>730</v>
      </c>
      <c r="V33" s="188" ph="1">
        <f ca="1">P19+Q19+S19+M28+N28+J28+D10+AC10+D19+E19+H19+J19+O19+V19+W19+K28+L28</f>
        <v>875536.72086879821</v>
      </c>
      <c r="W33" s="188" ph="1">
        <f>D28+F28+T28+I28</f>
        <v>20833.428148808001</v>
      </c>
      <c r="X33" s="190" ph="1">
        <f>BE29+BE31</f>
        <v>10200</v>
      </c>
      <c r="Y33" s="192" ph="1">
        <f>+Q10+R10+S10+T10+U10+V10+W10+X10+Y10</f>
        <v>258592.30440119997</v>
      </c>
      <c r="Z33" s="173" ph="1">
        <f>T19+U19+Y28+Z10</f>
        <v>152219.13780444002</v>
      </c>
      <c r="AA33" s="175" ph="1">
        <f>BE19</f>
        <v>1440</v>
      </c>
      <c r="AB33" s="177" ph="1">
        <f>I19</f>
        <v>47982.773288599994</v>
      </c>
      <c r="AC33" s="179" ph="1">
        <f>AD10+AB19</f>
        <v>92351.507068799998</v>
      </c>
      <c r="AD33" s="181" ph="1">
        <v>0</v>
      </c>
      <c r="AE33" s="182"/>
      <c r="AH33" s="64" ph="1">
        <v>19</v>
      </c>
      <c r="AI33" s="64" t="s" ph="1">
        <v>358</v>
      </c>
      <c r="AJ33" s="64" t="s" ph="1">
        <v>592</v>
      </c>
      <c r="AK33" s="64" t="s" ph="1">
        <v>589</v>
      </c>
      <c r="AL33" s="64" ph="1">
        <v>730</v>
      </c>
      <c r="AM33" s="64" t="s" ph="1">
        <v>339</v>
      </c>
      <c r="AZ33" s="64" t="s" ph="1">
        <v>216</v>
      </c>
      <c r="BA33" s="64" ph="1">
        <v>730</v>
      </c>
      <c r="BD33" s="64" t="s" ph="1">
        <v>290</v>
      </c>
      <c r="BE33" s="64" ph="1">
        <v>3880</v>
      </c>
    </row>
    <row r="34" spans="1:57" ph="1">
      <c r="A34" s="64"/>
      <c r="B34" s="208" ph="1"/>
      <c r="C34" s="209" ph="1"/>
      <c r="D34" s="187" ph="1"/>
      <c r="E34" s="187" ph="1"/>
      <c r="F34" s="211" ph="1"/>
      <c r="G34" s="213" ph="1"/>
      <c r="H34" s="187" ph="1"/>
      <c r="I34" s="191" ph="1"/>
      <c r="J34" s="195" ph="1"/>
      <c r="K34" s="187" ph="1"/>
      <c r="L34" s="197" ph="1"/>
      <c r="M34" s="195" ph="1"/>
      <c r="N34" s="187" ph="1"/>
      <c r="O34" s="191" ph="1"/>
      <c r="P34" s="195" ph="1"/>
      <c r="Q34" s="187" ph="1"/>
      <c r="R34" s="191" ph="1"/>
      <c r="S34" s="195" ph="1"/>
      <c r="T34" s="187"/>
      <c r="U34" s="176"/>
      <c r="V34" s="189" ph="1"/>
      <c r="W34" s="189" ph="1"/>
      <c r="X34" s="191" ph="1"/>
      <c r="Y34" s="193" ph="1"/>
      <c r="Z34" s="174" ph="1"/>
      <c r="AA34" s="176" ph="1"/>
      <c r="AB34" s="178"/>
      <c r="AC34" s="180"/>
      <c r="AD34" s="183"/>
      <c r="AE34" s="184"/>
      <c r="AH34" s="64" ph="1">
        <v>20</v>
      </c>
      <c r="AI34" s="64" t="s" ph="1">
        <v>359</v>
      </c>
      <c r="AJ34" s="64" t="s" ph="1">
        <v>593</v>
      </c>
      <c r="AK34" s="64" t="s" ph="1">
        <v>589</v>
      </c>
      <c r="AL34" s="64" ph="1">
        <v>720</v>
      </c>
      <c r="AM34" s="64" t="s" ph="1">
        <v>339</v>
      </c>
      <c r="AZ34" s="64" t="s" ph="1">
        <v>216</v>
      </c>
      <c r="BA34" s="64" ph="1">
        <v>720</v>
      </c>
    </row>
    <row r="35" spans="1:57" ph="1">
      <c r="A35" s="64"/>
      <c r="AC35" s="185" t="s" ph="1">
        <v>631</v>
      </c>
      <c r="AD35" s="185"/>
      <c r="AE35" s="185"/>
      <c r="AH35" s="64" ph="1">
        <v>21</v>
      </c>
      <c r="AI35" s="64" t="s" ph="1">
        <v>360</v>
      </c>
      <c r="AZ35" s="64" t="s" ph="1">
        <v>216</v>
      </c>
      <c r="BA35" s="64" ph="1">
        <v>0</v>
      </c>
      <c r="BD35" s="64" t="s" ph="1">
        <v>361</v>
      </c>
      <c r="BE35" s="64" ph="1">
        <v>2030</v>
      </c>
    </row>
    <row r="36" spans="1:57" ht="28.2" ph="1">
      <c r="A36" s="64"/>
      <c r="B36" s="103" t="s" ph="1">
        <v>182</v>
      </c>
      <c r="I36" s="171" t="s" ph="1">
        <v>183</v>
      </c>
      <c r="J36" s="171" ph="1"/>
      <c r="K36" s="101" ph="1"/>
      <c r="P36" s="101" ph="1"/>
      <c r="R36" s="171" t="s" ph="1">
        <v>184</v>
      </c>
      <c r="S36" s="171" ph="1"/>
      <c r="Y36" s="102" ph="1"/>
      <c r="Z36" s="153" t="s" ph="1">
        <v>185</v>
      </c>
      <c r="AA36" s="153" ph="1"/>
      <c r="AB36" s="172" t="s" ph="1">
        <v>640</v>
      </c>
      <c r="AC36" s="172" ph="1"/>
      <c r="AD36" s="172" ph="1"/>
      <c r="AE36" s="172" ph="1"/>
      <c r="BA36" s="64" ph="1">
        <v>2270</v>
      </c>
    </row>
    <row r="37" spans="1:57" s="153" customFormat="1" ph="1">
      <c r="A37" s="64" ph="1"/>
      <c r="B37" s="64" ph="1"/>
      <c r="C37" s="64" ph="1"/>
      <c r="D37" s="64" ph="1"/>
      <c r="E37" s="64" ph="1"/>
      <c r="F37" s="64" ph="1"/>
      <c r="G37" s="64" ph="1"/>
      <c r="H37" s="64" ph="1"/>
      <c r="I37" s="64" ph="1"/>
      <c r="J37" s="64" ph="1"/>
      <c r="K37" s="64" ph="1"/>
      <c r="L37" s="64" ph="1"/>
      <c r="M37" s="64" ph="1"/>
      <c r="N37" s="64" ph="1"/>
      <c r="O37" s="64" ph="1"/>
      <c r="P37" s="64" ph="1"/>
      <c r="Q37" s="64" ph="1"/>
      <c r="R37" s="64" ph="1"/>
      <c r="S37" s="64" ph="1"/>
      <c r="T37" s="64" ph="1"/>
      <c r="U37" s="64" ph="1"/>
      <c r="V37" s="64" ph="1"/>
      <c r="W37" s="64" ph="1"/>
      <c r="X37" s="64" ph="1"/>
      <c r="Y37" s="64" ph="1"/>
      <c r="Z37" s="64" ph="1"/>
      <c r="AA37" s="64" ph="1"/>
      <c r="AB37" s="64" ph="1"/>
      <c r="AC37" s="64" ph="1"/>
      <c r="AD37" s="64" ph="1"/>
      <c r="AE37" s="64" ph="1"/>
      <c r="AG37" s="153" t="s" ph="1">
        <v>342</v>
      </c>
      <c r="AI37" s="153" t="s" ph="1">
        <v>209</v>
      </c>
      <c r="AJ37" s="153" t="s" ph="1">
        <v>210</v>
      </c>
      <c r="AK37" s="153" t="s" ph="1">
        <v>211</v>
      </c>
      <c r="AM37" s="153" t="s" ph="1">
        <v>210</v>
      </c>
      <c r="AN37" s="153" t="s" ph="1">
        <v>211</v>
      </c>
      <c r="AO37" s="153" t="s" ph="1">
        <v>212</v>
      </c>
      <c r="AP37" s="153" t="s" ph="1">
        <v>210</v>
      </c>
      <c r="AQ37" s="153" t="s" ph="1">
        <v>211</v>
      </c>
      <c r="AR37" s="153" t="s" ph="1">
        <v>212</v>
      </c>
      <c r="AS37" s="153" t="s" ph="1">
        <v>210</v>
      </c>
      <c r="AT37" s="153" t="s" ph="1">
        <v>211</v>
      </c>
      <c r="AU37" s="153" t="s" ph="1">
        <v>212</v>
      </c>
      <c r="AV37" s="153" t="s" ph="1">
        <v>210</v>
      </c>
      <c r="AW37" s="153" t="s" ph="1">
        <v>211</v>
      </c>
      <c r="AX37" s="153" t="s" ph="1">
        <v>212</v>
      </c>
      <c r="AY37" s="153" t="s" ph="1">
        <v>211</v>
      </c>
      <c r="AZ37" s="153" t="s" ph="1">
        <v>213</v>
      </c>
      <c r="BD37" s="153" t="s" ph="1">
        <v>305</v>
      </c>
      <c r="BE37" s="153" ph="1">
        <v>0</v>
      </c>
    </row>
    <row r="38" spans="1:57" ph="1">
      <c r="AE38" s="64" ph="1"/>
      <c r="AH38" s="64" ph="1">
        <v>1</v>
      </c>
      <c r="AI38" s="64" t="s" ph="1">
        <v>362</v>
      </c>
      <c r="AY38" s="64" t="s" ph="1">
        <v>216</v>
      </c>
      <c r="AZ38" s="64" t="s" ph="1">
        <v>367</v>
      </c>
    </row>
    <row r="39" spans="1:57" ph="1">
      <c r="AH39" s="64" ph="1">
        <v>2</v>
      </c>
      <c r="AI39" s="64" t="s" ph="1">
        <v>364</v>
      </c>
      <c r="AJ39" s="64" t="s" ph="1">
        <v>336</v>
      </c>
      <c r="AK39" s="64" t="s" ph="1">
        <v>365</v>
      </c>
      <c r="AM39" s="64" t="s" ph="1">
        <v>570</v>
      </c>
      <c r="AN39" s="64" t="s" ph="1">
        <v>228</v>
      </c>
      <c r="AO39" s="64" t="s" ph="1">
        <v>363</v>
      </c>
      <c r="AY39" s="64" t="s" ph="1">
        <v>216</v>
      </c>
      <c r="AZ39" s="64" t="s" ph="1">
        <v>499</v>
      </c>
    </row>
    <row r="40" spans="1:57" ph="1">
      <c r="AH40" s="64" ph="1">
        <v>3</v>
      </c>
      <c r="AI40" s="64" t="s" ph="1">
        <v>366</v>
      </c>
      <c r="AJ40" s="64" t="s" ph="1">
        <v>570</v>
      </c>
      <c r="AK40" s="64" t="s" ph="1">
        <v>571</v>
      </c>
      <c r="AY40" s="64" t="s" ph="1">
        <v>216</v>
      </c>
      <c r="AZ40" s="64" t="s" ph="1">
        <v>571</v>
      </c>
    </row>
    <row r="41" spans="1:57" ph="1">
      <c r="AH41" s="64" ph="1">
        <v>4</v>
      </c>
      <c r="AI41" s="64" t="s" ph="1">
        <v>368</v>
      </c>
      <c r="AJ41" s="64" t="s" ph="1">
        <v>572</v>
      </c>
      <c r="AK41" s="64" t="s" ph="1">
        <v>573</v>
      </c>
      <c r="AM41" s="64" t="s" ph="1">
        <v>574</v>
      </c>
      <c r="AY41" s="64" t="s" ph="1">
        <v>216</v>
      </c>
      <c r="AZ41" s="64" t="s" ph="1">
        <v>573</v>
      </c>
    </row>
    <row r="42" spans="1:57" ph="1">
      <c r="P42" s="64"/>
      <c r="Q42" s="64"/>
      <c r="R42" s="64"/>
      <c r="S42" s="64"/>
      <c r="T42" s="64"/>
      <c r="U42" s="64"/>
      <c r="V42" s="64"/>
      <c r="W42" s="64"/>
      <c r="X42" s="64"/>
      <c r="Y42" s="64"/>
      <c r="Z42" s="64"/>
      <c r="AA42" s="64"/>
      <c r="AB42" s="64"/>
      <c r="AC42" s="64"/>
      <c r="AD42" s="64"/>
      <c r="AE42" s="75"/>
      <c r="AH42" s="64" ph="1">
        <v>5</v>
      </c>
      <c r="AI42" s="64" t="s" ph="1">
        <v>369</v>
      </c>
      <c r="AY42" s="64" t="s" ph="1">
        <v>216</v>
      </c>
      <c r="AZ42" s="64" t="s" ph="1">
        <v>367</v>
      </c>
    </row>
    <row r="43" spans="1:57" ph="1">
      <c r="C43" s="64"/>
      <c r="D43" s="64"/>
      <c r="E43" s="64"/>
      <c r="F43" s="64"/>
      <c r="G43" s="64"/>
      <c r="H43" s="64"/>
      <c r="I43" s="64"/>
      <c r="J43" s="64"/>
      <c r="K43" s="64"/>
      <c r="L43" s="64"/>
      <c r="M43" s="64"/>
      <c r="N43" s="64"/>
      <c r="O43" s="64"/>
      <c r="P43" s="64"/>
      <c r="R43" s="64"/>
      <c r="S43" s="64"/>
      <c r="T43" s="64"/>
      <c r="U43" s="64"/>
      <c r="V43" s="64"/>
      <c r="W43" s="64"/>
      <c r="X43" s="64"/>
      <c r="Y43" s="64"/>
      <c r="Z43" s="64"/>
      <c r="AA43" s="64"/>
      <c r="AB43" s="64"/>
      <c r="AC43" s="64"/>
      <c r="AD43" s="64"/>
      <c r="AE43" s="75"/>
      <c r="AH43" s="64" ph="1">
        <v>6</v>
      </c>
      <c r="AI43" s="64" t="s" ph="1">
        <v>370</v>
      </c>
      <c r="AY43" s="64" t="s" ph="1">
        <v>216</v>
      </c>
      <c r="AZ43" s="64" t="s" ph="1">
        <v>367</v>
      </c>
    </row>
    <row r="44" spans="1:57" ph="1">
      <c r="R44" s="64"/>
      <c r="S44" s="64"/>
      <c r="T44" s="64"/>
      <c r="U44" s="64"/>
      <c r="V44" s="64"/>
      <c r="W44" s="64"/>
      <c r="X44" s="64"/>
      <c r="Y44" s="64"/>
      <c r="Z44" s="64"/>
      <c r="AA44" s="64"/>
      <c r="AB44" s="64"/>
      <c r="AC44" s="64"/>
      <c r="AD44" s="64"/>
      <c r="AE44" s="75"/>
      <c r="AH44" s="64" ph="1">
        <v>7</v>
      </c>
      <c r="AI44" s="64" t="s" ph="1">
        <v>371</v>
      </c>
      <c r="AV44" s="64" t="s" ph="1">
        <v>217</v>
      </c>
      <c r="AY44" s="64" t="s" ph="1">
        <v>216</v>
      </c>
      <c r="AZ44" s="64" t="s" ph="1">
        <v>367</v>
      </c>
    </row>
    <row r="45" spans="1:57" ph="1">
      <c r="R45" s="64"/>
      <c r="S45" s="64"/>
      <c r="T45" s="64"/>
      <c r="U45" s="64"/>
      <c r="V45" s="64"/>
      <c r="W45" s="64"/>
      <c r="X45" s="64"/>
      <c r="Y45" s="64"/>
      <c r="Z45" s="64"/>
      <c r="AA45" s="64"/>
      <c r="AB45" s="64"/>
      <c r="AC45" s="64"/>
      <c r="AD45" s="64"/>
      <c r="AE45" s="75"/>
      <c r="AH45" s="64" ph="1">
        <v>8</v>
      </c>
      <c r="AI45" s="64" t="s" ph="1">
        <v>372</v>
      </c>
      <c r="AV45" s="64" t="s" ph="1">
        <v>217</v>
      </c>
      <c r="AY45" s="64" t="s" ph="1">
        <v>216</v>
      </c>
      <c r="AZ45" s="64" t="s" ph="1">
        <v>367</v>
      </c>
    </row>
    <row r="46" spans="1:57" ph="1">
      <c r="R46" s="64"/>
      <c r="S46" s="64"/>
      <c r="T46" s="64"/>
      <c r="U46" s="64"/>
      <c r="V46" s="64"/>
      <c r="W46" s="64"/>
      <c r="X46" s="64"/>
      <c r="Y46" s="64"/>
      <c r="Z46" s="64"/>
      <c r="AA46" s="64"/>
      <c r="AB46" s="64"/>
      <c r="AC46" s="64"/>
      <c r="AD46" s="64"/>
      <c r="AE46" s="75"/>
      <c r="AH46" s="64" ph="1">
        <v>9</v>
      </c>
      <c r="AI46" s="64" t="s" ph="1">
        <v>373</v>
      </c>
      <c r="AV46" s="64" t="s" ph="1">
        <v>217</v>
      </c>
      <c r="AY46" s="64" t="s" ph="1">
        <v>216</v>
      </c>
      <c r="AZ46" s="64" t="s" ph="1">
        <v>367</v>
      </c>
    </row>
    <row r="47" spans="1:57" ph="1">
      <c r="R47" s="64"/>
      <c r="S47" s="64"/>
      <c r="T47" s="64"/>
      <c r="U47" s="64"/>
      <c r="V47" s="64"/>
      <c r="W47" s="64"/>
      <c r="X47" s="64"/>
      <c r="Y47" s="64"/>
      <c r="Z47" s="64"/>
      <c r="AA47" s="64"/>
      <c r="AB47" s="64"/>
      <c r="AC47" s="64"/>
      <c r="AD47" s="64"/>
      <c r="AE47" s="75"/>
      <c r="AH47" s="64" ph="1">
        <v>10</v>
      </c>
      <c r="AI47" s="64" t="s" ph="1">
        <v>374</v>
      </c>
      <c r="AV47" s="64" t="s" ph="1">
        <v>217</v>
      </c>
      <c r="AY47" s="64" t="s" ph="1">
        <v>216</v>
      </c>
      <c r="AZ47" s="64" t="s" ph="1">
        <v>367</v>
      </c>
    </row>
    <row r="48" spans="1:57" ph="1">
      <c r="R48" s="64"/>
      <c r="S48" s="64"/>
      <c r="T48" s="64"/>
      <c r="U48" s="64"/>
      <c r="V48" s="64"/>
      <c r="W48" s="64"/>
      <c r="X48" s="64"/>
      <c r="Y48" s="64"/>
      <c r="Z48" s="64"/>
      <c r="AA48" s="64"/>
      <c r="AB48" s="64"/>
      <c r="AC48" s="64"/>
      <c r="AD48" s="64"/>
      <c r="AE48" s="75"/>
      <c r="AZ48" s="64" t="s" ph="1">
        <v>575</v>
      </c>
    </row>
    <row r="49" spans="16:52" ph="1">
      <c r="R49" s="64"/>
      <c r="S49" s="64"/>
      <c r="T49" s="64"/>
      <c r="U49" s="64"/>
      <c r="V49" s="64"/>
      <c r="W49" s="64"/>
      <c r="X49" s="64"/>
      <c r="Y49" s="64"/>
      <c r="Z49" s="64"/>
      <c r="AA49" s="64"/>
      <c r="AB49" s="64"/>
      <c r="AC49" s="64"/>
      <c r="AD49" s="64"/>
      <c r="AE49" s="75"/>
      <c r="AG49" s="64" t="s" ph="1">
        <v>232</v>
      </c>
      <c r="AI49" s="64" t="s" ph="1">
        <v>209</v>
      </c>
      <c r="AJ49" s="64" t="s" ph="1">
        <v>210</v>
      </c>
      <c r="AK49" s="64" t="s" ph="1">
        <v>211</v>
      </c>
      <c r="AM49" s="64" t="s" ph="1">
        <v>210</v>
      </c>
      <c r="AN49" s="64" t="s" ph="1">
        <v>211</v>
      </c>
      <c r="AO49" s="64" t="s" ph="1">
        <v>212</v>
      </c>
      <c r="AP49" s="64" t="s" ph="1">
        <v>210</v>
      </c>
      <c r="AQ49" s="64" t="s" ph="1">
        <v>211</v>
      </c>
      <c r="AR49" s="64" t="s" ph="1">
        <v>212</v>
      </c>
      <c r="AS49" s="64" t="s" ph="1">
        <v>210</v>
      </c>
      <c r="AT49" s="64" t="s" ph="1">
        <v>211</v>
      </c>
      <c r="AU49" s="64" t="s" ph="1">
        <v>212</v>
      </c>
      <c r="AV49" s="64" t="s" ph="1">
        <v>210</v>
      </c>
      <c r="AW49" s="64" t="s" ph="1">
        <v>211</v>
      </c>
      <c r="AX49" s="64" t="s" ph="1">
        <v>212</v>
      </c>
      <c r="AY49" s="64" t="s" ph="1">
        <v>211</v>
      </c>
      <c r="AZ49" s="64" t="s" ph="1">
        <v>213</v>
      </c>
    </row>
    <row r="50" spans="16:52" ph="1">
      <c r="R50" s="64"/>
      <c r="S50" s="64"/>
      <c r="T50" s="64"/>
      <c r="U50" s="64"/>
      <c r="V50" s="64"/>
      <c r="W50" s="64"/>
      <c r="X50" s="64"/>
      <c r="Y50" s="64"/>
      <c r="Z50" s="64"/>
      <c r="AA50" s="64"/>
      <c r="AB50" s="64"/>
      <c r="AC50" s="64"/>
      <c r="AD50" s="64"/>
      <c r="AE50" s="75"/>
      <c r="AH50" s="64" ph="1">
        <v>1</v>
      </c>
      <c r="AI50" s="64" t="s" ph="1">
        <v>375</v>
      </c>
      <c r="AY50" s="64" t="s" ph="1">
        <v>216</v>
      </c>
      <c r="AZ50" s="64" t="s" ph="1">
        <v>367</v>
      </c>
    </row>
    <row r="51" spans="16:52" ph="1">
      <c r="R51" s="64"/>
      <c r="S51" s="64"/>
      <c r="T51" s="64"/>
      <c r="U51" s="64"/>
      <c r="V51" s="64"/>
      <c r="W51" s="64"/>
      <c r="X51" s="64"/>
      <c r="Y51" s="64"/>
      <c r="Z51" s="64"/>
      <c r="AA51" s="64"/>
      <c r="AB51" s="64"/>
      <c r="AC51" s="64"/>
      <c r="AD51" s="64"/>
      <c r="AE51" s="75"/>
      <c r="AH51" s="64" ph="1">
        <v>2</v>
      </c>
      <c r="AI51" s="64" t="s" ph="1">
        <v>376</v>
      </c>
      <c r="AY51" s="64" t="s" ph="1">
        <v>216</v>
      </c>
      <c r="AZ51" s="64" t="s" ph="1">
        <v>367</v>
      </c>
    </row>
    <row r="52" spans="16:52" ph="1">
      <c r="R52" s="64"/>
      <c r="S52" s="64"/>
      <c r="T52" s="64"/>
      <c r="U52" s="64"/>
      <c r="V52" s="64"/>
      <c r="W52" s="64"/>
      <c r="X52" s="64"/>
      <c r="Y52" s="64"/>
      <c r="Z52" s="64"/>
      <c r="AA52" s="64"/>
      <c r="AB52" s="64"/>
      <c r="AC52" s="64"/>
      <c r="AD52" s="64"/>
      <c r="AE52" s="75"/>
      <c r="AH52" s="64" ph="1">
        <v>3</v>
      </c>
      <c r="AI52" s="64" t="s" ph="1">
        <v>377</v>
      </c>
      <c r="AJ52" s="64" t="s" ph="1">
        <v>334</v>
      </c>
      <c r="AK52" s="64" t="s" ph="1">
        <v>228</v>
      </c>
      <c r="AM52" s="64" t="s" ph="1">
        <v>336</v>
      </c>
      <c r="AN52" s="64" t="s" ph="1">
        <v>300</v>
      </c>
      <c r="AO52" s="64" t="s" ph="1">
        <v>233</v>
      </c>
      <c r="AP52" s="64" t="s" ph="1">
        <v>570</v>
      </c>
      <c r="AQ52" s="64" t="s" ph="1">
        <v>282</v>
      </c>
      <c r="AR52" s="64" t="s" ph="1">
        <v>233</v>
      </c>
      <c r="AY52" s="64" t="s" ph="1">
        <v>216</v>
      </c>
      <c r="AZ52" s="64" t="s" ph="1">
        <v>576</v>
      </c>
    </row>
    <row r="53" spans="16:52" ph="1">
      <c r="R53" s="64"/>
      <c r="S53" s="64"/>
      <c r="T53" s="64"/>
      <c r="U53" s="64"/>
      <c r="W53" s="64"/>
      <c r="X53" s="64"/>
      <c r="Y53" s="64"/>
      <c r="Z53" s="64"/>
      <c r="AA53" s="64"/>
      <c r="AB53" s="64"/>
      <c r="AC53" s="64"/>
      <c r="AD53" s="64"/>
      <c r="AH53" s="64" ph="1">
        <v>4</v>
      </c>
      <c r="AI53" s="64" t="s" ph="1">
        <v>378</v>
      </c>
      <c r="AY53" s="64" t="s" ph="1">
        <v>216</v>
      </c>
      <c r="AZ53" s="64" t="s" ph="1">
        <v>367</v>
      </c>
    </row>
    <row r="54" spans="16:52" ph="1">
      <c r="R54" s="64"/>
      <c r="S54" s="64"/>
      <c r="T54" s="64"/>
      <c r="U54" s="64"/>
      <c r="W54" s="64"/>
      <c r="X54" s="64"/>
      <c r="Y54" s="64"/>
      <c r="Z54" s="64"/>
      <c r="AA54" s="64"/>
      <c r="AC54" s="64"/>
      <c r="AD54" s="64"/>
      <c r="AH54" s="64" ph="1">
        <v>5</v>
      </c>
      <c r="AI54" s="64" t="s" ph="1">
        <v>379</v>
      </c>
      <c r="AJ54" s="64" t="s" ph="1">
        <v>334</v>
      </c>
      <c r="AK54" s="64" t="s" ph="1">
        <v>219</v>
      </c>
      <c r="AM54" s="64" t="s" ph="1">
        <v>336</v>
      </c>
      <c r="AN54" s="64" t="s" ph="1">
        <v>224</v>
      </c>
      <c r="AO54" s="64" t="s" ph="1">
        <v>233</v>
      </c>
      <c r="AP54" s="64" t="s" ph="1">
        <v>570</v>
      </c>
      <c r="AQ54" s="64" t="s" ph="1">
        <v>240</v>
      </c>
      <c r="AR54" s="64" t="s" ph="1">
        <v>233</v>
      </c>
      <c r="AY54" s="64" t="s" ph="1">
        <v>216</v>
      </c>
      <c r="AZ54" s="64" t="s" ph="1">
        <v>234</v>
      </c>
    </row>
    <row r="55" spans="16:52" ph="1">
      <c r="R55" s="64"/>
      <c r="S55" s="64"/>
      <c r="T55" s="64"/>
      <c r="U55" s="64"/>
      <c r="V55" s="64"/>
      <c r="W55" s="64"/>
      <c r="X55" s="64"/>
      <c r="Z55" s="64"/>
      <c r="AC55" s="64"/>
      <c r="AD55" s="64"/>
      <c r="AE55" s="75"/>
      <c r="AH55" s="64" ph="1">
        <v>6</v>
      </c>
      <c r="AI55" s="64" t="s" ph="1">
        <v>380</v>
      </c>
      <c r="AY55" s="64" t="s" ph="1">
        <v>216</v>
      </c>
      <c r="AZ55" s="64" t="s" ph="1">
        <v>367</v>
      </c>
    </row>
    <row r="56" spans="16:52" ph="1">
      <c r="P56" s="64" ph="1">
        <v>20260804</v>
      </c>
      <c r="R56" s="64"/>
      <c r="S56" s="64"/>
      <c r="T56" s="64"/>
      <c r="U56" s="64"/>
      <c r="V56" s="64"/>
      <c r="W56" s="64"/>
      <c r="X56" s="64"/>
      <c r="Z56" s="64"/>
      <c r="AA56" s="64"/>
      <c r="AB56" s="64"/>
      <c r="AC56" s="64"/>
      <c r="AD56" s="64"/>
      <c r="AE56" s="75"/>
      <c r="AH56" s="64" ph="1">
        <v>7</v>
      </c>
      <c r="AI56" s="64" t="s" ph="1">
        <v>381</v>
      </c>
      <c r="AY56" s="64" t="s" ph="1">
        <v>216</v>
      </c>
      <c r="AZ56" s="64" t="s" ph="1">
        <v>367</v>
      </c>
    </row>
    <row r="57" spans="16:52" ph="1">
      <c r="R57" s="64"/>
      <c r="S57" s="64"/>
      <c r="T57" s="64"/>
      <c r="U57" s="64"/>
      <c r="V57" s="64"/>
      <c r="W57" s="64"/>
      <c r="AA57" s="64"/>
      <c r="AB57" s="64"/>
      <c r="AC57" s="64"/>
      <c r="AD57" s="64"/>
      <c r="AE57" s="75"/>
      <c r="AH57" s="64" ph="1">
        <v>8</v>
      </c>
      <c r="AI57" s="64" t="s" ph="1">
        <v>382</v>
      </c>
      <c r="AY57" s="64" t="s" ph="1">
        <v>216</v>
      </c>
      <c r="AZ57" s="64" t="s" ph="1">
        <v>367</v>
      </c>
    </row>
    <row r="58" spans="16:52" ph="1">
      <c r="P58" s="64"/>
      <c r="AN58" s="64" t="s" ph="1">
        <v>217</v>
      </c>
      <c r="AZ58" s="64" t="s" ph="1">
        <v>577</v>
      </c>
    </row>
    <row r="59" spans="16:52" ph="1">
      <c r="V59" s="64"/>
      <c r="AG59" s="64" t="s" ph="1">
        <v>235</v>
      </c>
      <c r="AI59" s="64" t="s" ph="1">
        <v>209</v>
      </c>
      <c r="AJ59" s="64" t="s" ph="1">
        <v>210</v>
      </c>
      <c r="AK59" s="64" t="s" ph="1">
        <v>211</v>
      </c>
      <c r="AM59" s="64" t="s" ph="1">
        <v>210</v>
      </c>
      <c r="AN59" s="64" t="s" ph="1">
        <v>211</v>
      </c>
      <c r="AO59" s="64" t="s" ph="1">
        <v>212</v>
      </c>
      <c r="AP59" s="64" t="s" ph="1">
        <v>210</v>
      </c>
      <c r="AQ59" s="64" t="s" ph="1">
        <v>211</v>
      </c>
      <c r="AR59" s="64" t="s" ph="1">
        <v>212</v>
      </c>
      <c r="AS59" s="64" t="s" ph="1">
        <v>210</v>
      </c>
      <c r="AT59" s="64" t="s" ph="1">
        <v>211</v>
      </c>
      <c r="AU59" s="64" t="s" ph="1">
        <v>212</v>
      </c>
      <c r="AV59" s="64" t="s" ph="1">
        <v>210</v>
      </c>
      <c r="AW59" s="64" t="s" ph="1">
        <v>211</v>
      </c>
      <c r="AX59" s="64" t="s" ph="1">
        <v>212</v>
      </c>
      <c r="AY59" s="64" t="s" ph="1">
        <v>211</v>
      </c>
      <c r="AZ59" s="64" t="s" ph="1">
        <v>213</v>
      </c>
    </row>
    <row r="60" spans="16:52" ph="1">
      <c r="R60" s="64"/>
      <c r="S60" s="64"/>
      <c r="T60" s="64"/>
      <c r="AH60" s="64" ph="1">
        <v>1</v>
      </c>
      <c r="AI60" s="64" t="s" ph="1">
        <v>383</v>
      </c>
      <c r="AY60" s="64" t="s" ph="1">
        <v>216</v>
      </c>
      <c r="AZ60" s="64" t="s" ph="1">
        <v>367</v>
      </c>
    </row>
    <row r="61" spans="16:52" ph="1">
      <c r="AH61" s="64" ph="1">
        <v>2</v>
      </c>
      <c r="AI61" s="64" t="s" ph="1">
        <v>384</v>
      </c>
      <c r="AS61" s="64" t="s" ph="1">
        <v>217</v>
      </c>
      <c r="AY61" s="64" t="s" ph="1">
        <v>216</v>
      </c>
      <c r="AZ61" s="64" t="s" ph="1">
        <v>367</v>
      </c>
    </row>
    <row r="62" spans="16:52" ph="1">
      <c r="AZ62" s="64" t="s" ph="1">
        <v>385</v>
      </c>
    </row>
    <row r="63" spans="16:52" ph="1">
      <c r="AG63" s="64" t="s" ph="1">
        <v>238</v>
      </c>
      <c r="AI63" s="64" t="s" ph="1">
        <v>209</v>
      </c>
      <c r="AJ63" s="64" t="s" ph="1">
        <v>210</v>
      </c>
      <c r="AK63" s="64" t="s" ph="1">
        <v>211</v>
      </c>
      <c r="AM63" s="64" t="s" ph="1">
        <v>210</v>
      </c>
      <c r="AN63" s="64" t="s" ph="1">
        <v>211</v>
      </c>
      <c r="AO63" s="64" t="s" ph="1">
        <v>212</v>
      </c>
      <c r="AP63" s="64" t="s" ph="1">
        <v>210</v>
      </c>
      <c r="AQ63" s="64" t="s" ph="1">
        <v>211</v>
      </c>
      <c r="AR63" s="64" t="s" ph="1">
        <v>212</v>
      </c>
      <c r="AS63" s="64" t="s" ph="1">
        <v>210</v>
      </c>
      <c r="AT63" s="64" t="s" ph="1">
        <v>211</v>
      </c>
      <c r="AU63" s="64" t="s" ph="1">
        <v>212</v>
      </c>
      <c r="AV63" s="64" t="s" ph="1">
        <v>210</v>
      </c>
      <c r="AW63" s="64" t="s" ph="1">
        <v>211</v>
      </c>
      <c r="AX63" s="64" t="s" ph="1">
        <v>212</v>
      </c>
      <c r="AY63" s="64" t="s" ph="1">
        <v>211</v>
      </c>
      <c r="AZ63" s="64" t="s" ph="1">
        <v>213</v>
      </c>
    </row>
    <row r="64" spans="16:52" ph="1">
      <c r="AH64" s="64" ph="1">
        <v>1</v>
      </c>
      <c r="AI64" s="64" t="s" ph="1">
        <v>386</v>
      </c>
      <c r="AJ64" s="64" t="s" ph="1">
        <v>387</v>
      </c>
      <c r="AK64" s="64" t="s" ph="1">
        <v>388</v>
      </c>
      <c r="AY64" s="64" t="s" ph="1">
        <v>216</v>
      </c>
      <c r="AZ64" s="64" t="s" ph="1">
        <v>388</v>
      </c>
    </row>
    <row r="65" spans="33:52" ph="1">
      <c r="AH65" s="64" ph="1">
        <v>2</v>
      </c>
      <c r="AI65" s="64" t="s" ph="1">
        <v>389</v>
      </c>
      <c r="AY65" s="64" t="s" ph="1">
        <v>216</v>
      </c>
      <c r="AZ65" s="64" t="s" ph="1">
        <v>367</v>
      </c>
    </row>
    <row r="66" spans="33:52" ph="1">
      <c r="AH66" s="64" ph="1">
        <v>3</v>
      </c>
      <c r="AI66" s="64" t="s" ph="1">
        <v>390</v>
      </c>
      <c r="AY66" s="64" t="s" ph="1">
        <v>216</v>
      </c>
      <c r="AZ66" s="64" t="s" ph="1">
        <v>367</v>
      </c>
    </row>
    <row r="67" spans="33:52" ph="1">
      <c r="AH67" s="64" ph="1">
        <v>4</v>
      </c>
      <c r="AI67" s="64" t="s" ph="1">
        <v>391</v>
      </c>
      <c r="AY67" s="64" t="s" ph="1">
        <v>216</v>
      </c>
      <c r="AZ67" s="64" t="s" ph="1">
        <v>367</v>
      </c>
    </row>
    <row r="68" spans="33:52" ph="1">
      <c r="AH68" s="64" ph="1">
        <v>5</v>
      </c>
      <c r="AI68" s="64" t="s" ph="1">
        <v>392</v>
      </c>
      <c r="AY68" s="64" t="s" ph="1">
        <v>216</v>
      </c>
      <c r="AZ68" s="64" t="s" ph="1">
        <v>367</v>
      </c>
    </row>
    <row r="69" spans="33:52" ph="1">
      <c r="AH69" s="64" ph="1">
        <v>6</v>
      </c>
      <c r="AI69" s="64" t="s" ph="1">
        <v>393</v>
      </c>
      <c r="AY69" s="64" t="s" ph="1">
        <v>216</v>
      </c>
      <c r="AZ69" s="64" t="s" ph="1">
        <v>367</v>
      </c>
    </row>
    <row r="70" spans="33:52" ph="1">
      <c r="AI70" s="64" t="s" ph="1">
        <v>394</v>
      </c>
      <c r="AY70" s="64" t="s" ph="1">
        <v>216</v>
      </c>
      <c r="AZ70" s="64" t="s" ph="1">
        <v>367</v>
      </c>
    </row>
    <row r="71" spans="33:52" ph="1">
      <c r="AH71" s="64" ph="1">
        <v>7</v>
      </c>
      <c r="AI71" s="64" t="s" ph="1">
        <v>395</v>
      </c>
      <c r="AJ71" s="64" t="s" ph="1">
        <v>334</v>
      </c>
      <c r="AK71" s="64" t="s" ph="1">
        <v>228</v>
      </c>
      <c r="AM71" s="64" t="s" ph="1">
        <v>336</v>
      </c>
      <c r="AN71" s="64" t="s" ph="1">
        <v>228</v>
      </c>
      <c r="AO71" s="64" t="s" ph="1">
        <v>396</v>
      </c>
      <c r="AP71" s="64" t="s" ph="1">
        <v>570</v>
      </c>
      <c r="AQ71" s="64" t="s" ph="1">
        <v>219</v>
      </c>
      <c r="AR71" s="64" t="s" ph="1">
        <v>396</v>
      </c>
      <c r="AY71" s="64" t="s" ph="1">
        <v>216</v>
      </c>
      <c r="AZ71" s="64" t="s" ph="1">
        <v>578</v>
      </c>
    </row>
    <row r="72" spans="33:52" ph="1">
      <c r="AZ72" s="64" t="s" ph="1">
        <v>579</v>
      </c>
    </row>
    <row r="73" spans="33:52" ph="1">
      <c r="AG73" s="64" t="s" ph="1">
        <v>241</v>
      </c>
      <c r="AI73" s="64" t="s" ph="1">
        <v>209</v>
      </c>
      <c r="AJ73" s="64" t="s" ph="1">
        <v>210</v>
      </c>
      <c r="AK73" s="64" t="s" ph="1">
        <v>211</v>
      </c>
      <c r="AM73" s="64" t="s" ph="1">
        <v>210</v>
      </c>
      <c r="AN73" s="64" t="s" ph="1">
        <v>211</v>
      </c>
      <c r="AO73" s="64" t="s" ph="1">
        <v>212</v>
      </c>
      <c r="AP73" s="64" t="s" ph="1">
        <v>210</v>
      </c>
      <c r="AQ73" s="64" t="s" ph="1">
        <v>211</v>
      </c>
      <c r="AR73" s="64" t="s" ph="1">
        <v>212</v>
      </c>
      <c r="AS73" s="64" t="s" ph="1">
        <v>210</v>
      </c>
      <c r="AT73" s="64" t="s" ph="1">
        <v>211</v>
      </c>
      <c r="AU73" s="64" t="s" ph="1">
        <v>212</v>
      </c>
      <c r="AV73" s="64" t="s" ph="1">
        <v>210</v>
      </c>
      <c r="AW73" s="64" t="s" ph="1">
        <v>211</v>
      </c>
      <c r="AX73" s="64" t="s" ph="1">
        <v>212</v>
      </c>
      <c r="AY73" s="64" t="s" ph="1">
        <v>211</v>
      </c>
      <c r="AZ73" s="64" t="s" ph="1">
        <v>213</v>
      </c>
    </row>
    <row r="74" spans="33:52" ph="1">
      <c r="AH74" s="64" ph="1">
        <v>1</v>
      </c>
      <c r="AI74" s="64" t="s" ph="1">
        <v>397</v>
      </c>
      <c r="AJ74" s="64" t="s" ph="1">
        <v>242</v>
      </c>
      <c r="AK74" s="64" t="s" ph="1">
        <v>224</v>
      </c>
      <c r="AM74" s="64" t="s" ph="1">
        <v>244</v>
      </c>
      <c r="AN74" s="64" t="s" ph="1">
        <v>254</v>
      </c>
      <c r="AO74" s="64" t="s" ph="1">
        <v>243</v>
      </c>
      <c r="AP74" s="64" t="s" ph="1">
        <v>245</v>
      </c>
      <c r="AQ74" s="64" t="s" ph="1">
        <v>222</v>
      </c>
      <c r="AR74" s="64" t="s" ph="1">
        <v>243</v>
      </c>
      <c r="AS74" s="64" t="s" ph="1">
        <v>215</v>
      </c>
      <c r="AT74" s="64" t="s" ph="1">
        <v>217</v>
      </c>
      <c r="AV74" s="64" t="s" ph="1">
        <v>398</v>
      </c>
      <c r="AW74" s="64" t="s" ph="1">
        <v>399</v>
      </c>
      <c r="AX74" s="64" t="s" ph="1">
        <v>400</v>
      </c>
      <c r="AY74" s="64" t="s" ph="1">
        <v>216</v>
      </c>
      <c r="AZ74" s="64" t="s" ph="1">
        <v>401</v>
      </c>
    </row>
    <row r="75" spans="33:52" ph="1">
      <c r="AJ75" s="64" t="s" ph="1">
        <v>247</v>
      </c>
      <c r="AK75" s="64" t="s" ph="1">
        <v>300</v>
      </c>
      <c r="AM75" s="64" t="s" ph="1">
        <v>245</v>
      </c>
      <c r="AN75" s="64" t="s" ph="1">
        <v>225</v>
      </c>
      <c r="AO75" s="64" t="s" ph="1">
        <v>243</v>
      </c>
      <c r="AS75" s="64" t="s" ph="1">
        <v>215</v>
      </c>
      <c r="AT75" s="64" t="s" ph="1">
        <v>246</v>
      </c>
    </row>
    <row r="76" spans="33:52" ph="1">
      <c r="AJ76" s="64" t="s" ph="1">
        <v>247</v>
      </c>
      <c r="AK76" s="64" t="s" ph="1">
        <v>240</v>
      </c>
      <c r="AM76" s="64" t="s" ph="1">
        <v>245</v>
      </c>
      <c r="AN76" s="64" t="s" ph="1">
        <v>228</v>
      </c>
      <c r="AO76" s="64" t="s" ph="1">
        <v>243</v>
      </c>
      <c r="AS76" s="64" t="s" ph="1">
        <v>215</v>
      </c>
      <c r="AT76" s="64" t="s" ph="1">
        <v>246</v>
      </c>
    </row>
    <row r="77" spans="33:52" ph="1">
      <c r="AJ77" s="64" t="s" ph="1">
        <v>283</v>
      </c>
      <c r="AK77" s="64" t="s" ph="1">
        <v>240</v>
      </c>
      <c r="AM77" s="64" t="s" ph="1">
        <v>284</v>
      </c>
      <c r="AN77" s="64" t="s" ph="1">
        <v>223</v>
      </c>
      <c r="AO77" s="64" t="s" ph="1">
        <v>243</v>
      </c>
      <c r="AS77" s="64" t="s" ph="1">
        <v>215</v>
      </c>
      <c r="AT77" s="64" t="s" ph="1">
        <v>285</v>
      </c>
    </row>
    <row r="78" spans="33:52" ph="1">
      <c r="AH78" s="64" ph="1">
        <v>2</v>
      </c>
      <c r="AI78" s="64" t="s" ph="1">
        <v>249</v>
      </c>
      <c r="AJ78" s="64" t="s" ph="1">
        <v>250</v>
      </c>
      <c r="AK78" s="64" t="s" ph="1">
        <v>219</v>
      </c>
      <c r="AM78" s="64" t="s" ph="1">
        <v>251</v>
      </c>
      <c r="AN78" s="64" t="s" ph="1">
        <v>254</v>
      </c>
      <c r="AO78" s="64" t="s" ph="1">
        <v>243</v>
      </c>
      <c r="AP78" s="64" t="s" ph="1">
        <v>252</v>
      </c>
      <c r="AQ78" s="64" t="s" ph="1">
        <v>298</v>
      </c>
      <c r="AR78" s="64" t="s" ph="1">
        <v>243</v>
      </c>
      <c r="AS78" s="64" t="s" ph="1">
        <v>253</v>
      </c>
      <c r="AT78" s="64" t="s" ph="1">
        <v>254</v>
      </c>
      <c r="AU78" s="64" t="s" ph="1">
        <v>243</v>
      </c>
      <c r="AV78" s="64" t="s" ph="1">
        <v>255</v>
      </c>
      <c r="AW78" s="64" t="s" ph="1">
        <v>243</v>
      </c>
      <c r="AY78" s="64" t="s" ph="1">
        <v>216</v>
      </c>
      <c r="AZ78" s="64" t="s" ph="1">
        <v>402</v>
      </c>
    </row>
    <row r="79" spans="33:52" ph="1">
      <c r="AJ79" s="64" t="s" ph="1">
        <v>245</v>
      </c>
      <c r="AK79" s="64" t="s" ph="1">
        <v>256</v>
      </c>
      <c r="AM79" s="64" t="s" ph="1">
        <v>257</v>
      </c>
      <c r="AN79" s="64" t="s" ph="1">
        <v>225</v>
      </c>
      <c r="AO79" s="64" t="s" ph="1">
        <v>243</v>
      </c>
      <c r="AP79" s="64" t="s" ph="1">
        <v>258</v>
      </c>
      <c r="AQ79" s="64" t="s" ph="1">
        <v>223</v>
      </c>
      <c r="AR79" s="64" t="s" ph="1">
        <v>259</v>
      </c>
      <c r="AS79" s="64" t="s" ph="1">
        <v>215</v>
      </c>
      <c r="AT79" s="64" t="s" ph="1">
        <v>260</v>
      </c>
      <c r="AV79" s="64" t="s" ph="1">
        <v>403</v>
      </c>
      <c r="AW79" s="64" t="s" ph="1">
        <v>302</v>
      </c>
      <c r="AX79" s="64" t="s" ph="1">
        <v>400</v>
      </c>
    </row>
    <row r="80" spans="33:52" ph="1">
      <c r="AH80" s="64" ph="1">
        <v>3</v>
      </c>
      <c r="AI80" s="64" t="s" ph="1">
        <v>261</v>
      </c>
      <c r="AJ80" s="64" t="s" ph="1">
        <v>262</v>
      </c>
      <c r="AK80" s="64" t="s" ph="1">
        <v>263</v>
      </c>
      <c r="AM80" s="64" t="s" ph="1">
        <v>264</v>
      </c>
      <c r="AN80" s="64" t="s" ph="1">
        <v>254</v>
      </c>
      <c r="AO80" s="64" t="s" ph="1">
        <v>243</v>
      </c>
      <c r="AP80" s="64" t="s" ph="1">
        <v>265</v>
      </c>
      <c r="AQ80" s="64" t="s" ph="1">
        <v>228</v>
      </c>
      <c r="AR80" s="64" t="s" ph="1">
        <v>243</v>
      </c>
      <c r="AS80" s="64" t="s" ph="1">
        <v>266</v>
      </c>
      <c r="AT80" s="64" t="s" ph="1">
        <v>227</v>
      </c>
      <c r="AU80" s="64" t="s" ph="1">
        <v>243</v>
      </c>
      <c r="AV80" s="64" t="s" ph="1">
        <v>267</v>
      </c>
      <c r="AW80" s="64" t="s" ph="1">
        <v>243</v>
      </c>
      <c r="AY80" s="64" t="s" ph="1">
        <v>216</v>
      </c>
      <c r="AZ80" s="64" t="s" ph="1">
        <v>404</v>
      </c>
    </row>
    <row r="81" spans="34:52" ph="1">
      <c r="AJ81" s="64" t="s" ph="1">
        <v>268</v>
      </c>
      <c r="AK81" s="64" t="s" ph="1">
        <v>222</v>
      </c>
      <c r="AM81" s="64" t="s" ph="1">
        <v>269</v>
      </c>
      <c r="AN81" s="64" t="s" ph="1">
        <v>225</v>
      </c>
      <c r="AO81" s="64" t="s" ph="1">
        <v>243</v>
      </c>
      <c r="AP81" s="64" t="s" ph="1">
        <v>270</v>
      </c>
      <c r="AQ81" s="64" t="s" ph="1">
        <v>254</v>
      </c>
      <c r="AR81" s="64" t="s" ph="1">
        <v>243</v>
      </c>
      <c r="AS81" s="64" t="s" ph="1">
        <v>271</v>
      </c>
      <c r="AT81" s="64" t="s" ph="1">
        <v>272</v>
      </c>
      <c r="AU81" s="64" t="s" ph="1">
        <v>243</v>
      </c>
      <c r="AV81" s="64" t="s" ph="1">
        <v>273</v>
      </c>
    </row>
    <row r="82" spans="34:52" ph="1">
      <c r="AJ82" s="64" t="s" ph="1">
        <v>274</v>
      </c>
      <c r="AK82" s="64" t="s" ph="1">
        <v>222</v>
      </c>
      <c r="AM82" s="64" t="s" ph="1">
        <v>275</v>
      </c>
      <c r="AN82" s="64" t="s" ph="1">
        <v>272</v>
      </c>
      <c r="AO82" s="64" t="s" ph="1">
        <v>276</v>
      </c>
      <c r="AP82" s="64" t="s" ph="1">
        <v>277</v>
      </c>
      <c r="AQ82" s="64" t="s" ph="1">
        <v>254</v>
      </c>
      <c r="AR82" s="64" t="s" ph="1">
        <v>243</v>
      </c>
      <c r="AS82" s="64" t="s" ph="1">
        <v>278</v>
      </c>
      <c r="AT82" s="64" t="s" ph="1">
        <v>229</v>
      </c>
      <c r="AU82" s="64" t="s" ph="1">
        <v>243</v>
      </c>
      <c r="AV82" s="64" t="s" ph="1">
        <v>403</v>
      </c>
      <c r="AW82" s="64" t="s" ph="1">
        <v>303</v>
      </c>
      <c r="AX82" s="64" t="s" ph="1">
        <v>400</v>
      </c>
    </row>
    <row r="83" spans="34:52" ph="1">
      <c r="AJ83" s="64" t="s" ph="1">
        <v>279</v>
      </c>
      <c r="AK83" s="64" t="s" ph="1">
        <v>296</v>
      </c>
      <c r="AM83" s="64" t="s" ph="1">
        <v>280</v>
      </c>
      <c r="AN83" s="64" t="s" ph="1">
        <v>228</v>
      </c>
      <c r="AO83" s="64" t="s" ph="1">
        <v>259</v>
      </c>
      <c r="AP83" s="64" t="s" ph="1">
        <v>281</v>
      </c>
      <c r="AQ83" s="64" t="s" ph="1">
        <v>282</v>
      </c>
      <c r="AR83" s="64" t="s" ph="1">
        <v>259</v>
      </c>
      <c r="AS83" s="64" t="s" ph="1">
        <v>405</v>
      </c>
      <c r="AT83" s="64" t="s" ph="1">
        <v>254</v>
      </c>
      <c r="AU83" s="64" t="s" ph="1">
        <v>259</v>
      </c>
      <c r="AV83" s="64" t="s" ph="1">
        <v>406</v>
      </c>
      <c r="AW83" s="64" t="s" ph="1">
        <v>303</v>
      </c>
      <c r="AX83" s="64" t="s" ph="1">
        <v>407</v>
      </c>
    </row>
    <row r="84" spans="34:52" ph="1">
      <c r="AH84" s="64" ph="1">
        <v>4</v>
      </c>
      <c r="AI84" s="64" t="s" ph="1">
        <v>286</v>
      </c>
      <c r="AJ84" s="64" t="s" ph="1">
        <v>226</v>
      </c>
      <c r="AK84" s="64" t="s" ph="1">
        <v>229</v>
      </c>
      <c r="AM84" s="64" t="s" ph="1">
        <v>230</v>
      </c>
      <c r="AN84" s="64" t="s" ph="1">
        <v>223</v>
      </c>
      <c r="AO84" s="64" t="s" ph="1">
        <v>259</v>
      </c>
      <c r="AP84" s="64" t="s" ph="1">
        <v>288</v>
      </c>
      <c r="AQ84" s="64" t="s" ph="1">
        <v>222</v>
      </c>
      <c r="AR84" s="64" t="s" ph="1">
        <v>259</v>
      </c>
      <c r="AS84" s="64" t="s" ph="1">
        <v>288</v>
      </c>
      <c r="AT84" s="64" t="s" ph="1">
        <v>224</v>
      </c>
      <c r="AU84" s="64" t="s" ph="1">
        <v>259</v>
      </c>
      <c r="AY84" s="64" t="s" ph="1">
        <v>216</v>
      </c>
      <c r="AZ84" s="64" t="s" ph="1">
        <v>408</v>
      </c>
    </row>
    <row r="85" spans="34:52" ph="1">
      <c r="AJ85" s="64" t="s" ph="1">
        <v>218</v>
      </c>
      <c r="AK85" s="64" t="s" ph="1">
        <v>222</v>
      </c>
      <c r="AM85" s="64" t="s" ph="1">
        <v>409</v>
      </c>
      <c r="AN85" s="64" t="s" ph="1">
        <v>229</v>
      </c>
      <c r="AO85" s="64" t="s" ph="1">
        <v>259</v>
      </c>
      <c r="AP85" s="64" t="s" ph="1">
        <v>410</v>
      </c>
      <c r="AQ85" s="64" t="s" ph="1">
        <v>225</v>
      </c>
      <c r="AR85" s="64" t="s" ph="1">
        <v>259</v>
      </c>
      <c r="AS85" s="64" t="s" ph="1">
        <v>411</v>
      </c>
      <c r="AT85" s="64" t="s" ph="1">
        <v>225</v>
      </c>
      <c r="AU85" s="64" t="s" ph="1">
        <v>259</v>
      </c>
    </row>
    <row r="86" spans="34:52" ph="1">
      <c r="AJ86" s="64" t="s" ph="1">
        <v>412</v>
      </c>
      <c r="AK86" s="64" t="s" ph="1">
        <v>231</v>
      </c>
      <c r="AM86" s="64" t="s" ph="1">
        <v>413</v>
      </c>
      <c r="AN86" s="64" t="s" ph="1">
        <v>272</v>
      </c>
      <c r="AO86" s="64" t="s" ph="1">
        <v>259</v>
      </c>
      <c r="AP86" s="64" t="s" ph="1">
        <v>414</v>
      </c>
      <c r="AQ86" s="64" t="s" ph="1">
        <v>219</v>
      </c>
      <c r="AR86" s="64" t="s" ph="1">
        <v>259</v>
      </c>
      <c r="AS86" s="64" t="s" ph="1">
        <v>415</v>
      </c>
      <c r="AT86" s="64" t="s" ph="1">
        <v>237</v>
      </c>
      <c r="AU86" s="64" t="s" ph="1">
        <v>259</v>
      </c>
    </row>
    <row r="87" spans="34:52" ph="1">
      <c r="AJ87" s="64" t="s" ph="1">
        <v>416</v>
      </c>
      <c r="AK87" s="64" t="s" ph="1">
        <v>272</v>
      </c>
      <c r="AM87" s="64" t="s" ph="1">
        <v>403</v>
      </c>
      <c r="AN87" s="64" t="s" ph="1">
        <v>417</v>
      </c>
      <c r="AO87" s="64" t="s" ph="1">
        <v>400</v>
      </c>
    </row>
    <row r="88" spans="34:52" ph="1">
      <c r="AH88" s="64" ph="1">
        <v>5</v>
      </c>
      <c r="AI88" s="64" t="s" ph="1">
        <v>289</v>
      </c>
      <c r="AJ88" s="64" t="s" ph="1">
        <v>418</v>
      </c>
      <c r="AK88" s="64" t="s" ph="1">
        <v>272</v>
      </c>
      <c r="AM88" s="64" t="s" ph="1">
        <v>419</v>
      </c>
      <c r="AN88" s="64" t="s" ph="1">
        <v>272</v>
      </c>
      <c r="AO88" s="64" t="s" ph="1">
        <v>259</v>
      </c>
      <c r="AP88" s="64" t="s" ph="1">
        <v>420</v>
      </c>
      <c r="AQ88" s="64" t="s" ph="1">
        <v>222</v>
      </c>
      <c r="AR88" s="64" t="s" ph="1">
        <v>259</v>
      </c>
      <c r="AS88" s="64" t="s" ph="1">
        <v>421</v>
      </c>
      <c r="AT88" s="64" t="s" ph="1">
        <v>272</v>
      </c>
      <c r="AU88" s="64" t="s" ph="1">
        <v>259</v>
      </c>
      <c r="AV88" s="64" t="s" ph="1">
        <v>422</v>
      </c>
      <c r="AW88" s="64" t="s" ph="1">
        <v>227</v>
      </c>
      <c r="AX88" s="64" t="s" ph="1">
        <v>259</v>
      </c>
      <c r="AY88" s="64" t="s" ph="1">
        <v>216</v>
      </c>
      <c r="AZ88" s="64" t="s" ph="1">
        <v>423</v>
      </c>
    </row>
    <row r="89" spans="34:52" ph="1">
      <c r="AJ89" s="64" t="s" ph="1">
        <v>424</v>
      </c>
      <c r="AK89" s="64" t="s" ph="1">
        <v>225</v>
      </c>
      <c r="AM89" s="64" t="s" ph="1">
        <v>425</v>
      </c>
      <c r="AN89" s="64" t="s" ph="1">
        <v>228</v>
      </c>
      <c r="AO89" s="64" t="s" ph="1">
        <v>259</v>
      </c>
      <c r="AP89" s="64" t="s" ph="1">
        <v>426</v>
      </c>
      <c r="AQ89" s="64" t="s" ph="1">
        <v>237</v>
      </c>
      <c r="AR89" s="64" t="s" ph="1">
        <v>259</v>
      </c>
      <c r="AS89" s="64" t="s" ph="1">
        <v>427</v>
      </c>
      <c r="AT89" s="64" t="s" ph="1">
        <v>272</v>
      </c>
      <c r="AU89" s="64" t="s" ph="1">
        <v>259</v>
      </c>
      <c r="AV89" s="64" t="s" ph="1">
        <v>428</v>
      </c>
      <c r="AW89" s="64" t="s" ph="1">
        <v>254</v>
      </c>
      <c r="AX89" s="64" t="s" ph="1">
        <v>287</v>
      </c>
    </row>
    <row r="90" spans="34:52" ph="1">
      <c r="AJ90" s="64" t="s" ph="1">
        <v>429</v>
      </c>
      <c r="AK90" s="64" t="s" ph="1">
        <v>228</v>
      </c>
      <c r="AM90" s="64" t="s" ph="1">
        <v>430</v>
      </c>
      <c r="AN90" s="64" t="s" ph="1">
        <v>225</v>
      </c>
      <c r="AO90" s="64" t="s" ph="1">
        <v>259</v>
      </c>
      <c r="AP90" s="64" t="s" ph="1">
        <v>431</v>
      </c>
      <c r="AQ90" s="64" t="s" ph="1">
        <v>294</v>
      </c>
      <c r="AR90" s="64" t="s" ph="1">
        <v>259</v>
      </c>
      <c r="AS90" s="64" t="s" ph="1">
        <v>432</v>
      </c>
      <c r="AT90" s="64" t="s" ph="1">
        <v>282</v>
      </c>
      <c r="AU90" s="64" t="s" ph="1">
        <v>259</v>
      </c>
      <c r="AV90" s="64" t="s" ph="1">
        <v>433</v>
      </c>
      <c r="AW90" s="64" t="s" ph="1">
        <v>219</v>
      </c>
      <c r="AX90" s="64" t="s" ph="1">
        <v>259</v>
      </c>
    </row>
    <row r="91" spans="34:52" ph="1">
      <c r="AJ91" s="64" t="s" ph="1">
        <v>434</v>
      </c>
      <c r="AK91" s="64" t="s" ph="1">
        <v>272</v>
      </c>
      <c r="AM91" s="64" t="s" ph="1">
        <v>435</v>
      </c>
      <c r="AN91" s="64" t="s" ph="1">
        <v>239</v>
      </c>
      <c r="AO91" s="64" t="s" ph="1">
        <v>259</v>
      </c>
      <c r="AP91" s="64" t="s" ph="1">
        <v>436</v>
      </c>
      <c r="AQ91" s="64" t="s" ph="1">
        <v>219</v>
      </c>
      <c r="AS91" s="64" t="s" ph="1">
        <v>403</v>
      </c>
      <c r="AT91" s="64" t="s" ph="1">
        <v>399</v>
      </c>
      <c r="AU91" s="64" t="s" ph="1">
        <v>400</v>
      </c>
    </row>
    <row r="92" spans="34:52" ph="1">
      <c r="AH92" s="64" ph="1">
        <v>6</v>
      </c>
      <c r="AI92" s="64" t="s" ph="1">
        <v>437</v>
      </c>
      <c r="AJ92" s="64" t="s" ph="1">
        <v>438</v>
      </c>
      <c r="AK92" s="64" t="s" ph="1">
        <v>367</v>
      </c>
      <c r="AM92" s="64" t="s" ph="1">
        <v>439</v>
      </c>
      <c r="AN92" s="64" t="s" ph="1">
        <v>227</v>
      </c>
      <c r="AO92" s="64" t="s" ph="1">
        <v>259</v>
      </c>
      <c r="AP92" s="64" t="s" ph="1">
        <v>440</v>
      </c>
      <c r="AQ92" s="64" t="s" ph="1">
        <v>299</v>
      </c>
      <c r="AR92" s="64" t="s" ph="1">
        <v>259</v>
      </c>
      <c r="AS92" s="64" t="s" ph="1">
        <v>441</v>
      </c>
      <c r="AT92" s="64" t="s" ph="1">
        <v>272</v>
      </c>
      <c r="AU92" s="64" t="s" ph="1">
        <v>259</v>
      </c>
      <c r="AV92" s="64" t="s" ph="1">
        <v>442</v>
      </c>
      <c r="AW92" s="64" t="s" ph="1">
        <v>228</v>
      </c>
      <c r="AX92" s="64" t="s" ph="1">
        <v>259</v>
      </c>
      <c r="AY92" s="64" t="s" ph="1">
        <v>216</v>
      </c>
      <c r="AZ92" s="64" t="s" ph="1">
        <v>423</v>
      </c>
    </row>
    <row r="93" spans="34:52" ph="1">
      <c r="AJ93" s="64" t="s" ph="1">
        <v>443</v>
      </c>
      <c r="AK93" s="64" t="s" ph="1">
        <v>222</v>
      </c>
      <c r="AM93" s="64" t="s" ph="1">
        <v>444</v>
      </c>
      <c r="AN93" s="64" t="s" ph="1">
        <v>227</v>
      </c>
      <c r="AO93" s="64" t="s" ph="1">
        <v>259</v>
      </c>
      <c r="AP93" s="64" t="s" ph="1">
        <v>445</v>
      </c>
      <c r="AQ93" s="64" t="s" ph="1">
        <v>231</v>
      </c>
      <c r="AR93" s="64" t="s" ph="1">
        <v>259</v>
      </c>
      <c r="AS93" s="64" t="s" ph="1">
        <v>446</v>
      </c>
      <c r="AT93" s="64" t="s" ph="1">
        <v>237</v>
      </c>
      <c r="AU93" s="64" t="s" ph="1">
        <v>259</v>
      </c>
      <c r="AV93" s="64" t="s" ph="1">
        <v>447</v>
      </c>
      <c r="AW93" s="64" t="s" ph="1">
        <v>231</v>
      </c>
      <c r="AX93" s="64" t="s" ph="1">
        <v>259</v>
      </c>
    </row>
    <row r="94" spans="34:52" ph="1">
      <c r="AJ94" s="64" t="s" ph="1">
        <v>448</v>
      </c>
      <c r="AK94" s="64" t="s" ph="1">
        <v>294</v>
      </c>
      <c r="AM94" s="64" t="s" ph="1">
        <v>449</v>
      </c>
      <c r="AN94" s="64" t="s" ph="1">
        <v>231</v>
      </c>
      <c r="AO94" s="64" t="s" ph="1">
        <v>259</v>
      </c>
      <c r="AP94" s="64" t="s" ph="1">
        <v>450</v>
      </c>
      <c r="AQ94" s="64" t="s" ph="1">
        <v>239</v>
      </c>
      <c r="AR94" s="64" t="s" ph="1">
        <v>259</v>
      </c>
      <c r="AS94" s="64" t="s" ph="1">
        <v>451</v>
      </c>
      <c r="AT94" s="64" t="s" ph="1">
        <v>225</v>
      </c>
      <c r="AU94" s="64" t="s" ph="1">
        <v>259</v>
      </c>
      <c r="AV94" s="64" t="s" ph="1">
        <v>452</v>
      </c>
      <c r="AW94" s="64" t="s" ph="1">
        <v>225</v>
      </c>
      <c r="AX94" s="64" t="s" ph="1">
        <v>259</v>
      </c>
    </row>
    <row r="95" spans="34:52" ph="1">
      <c r="AJ95" s="64" t="s" ph="1">
        <v>453</v>
      </c>
      <c r="AK95" s="64" t="s" ph="1">
        <v>299</v>
      </c>
    </row>
    <row r="96" spans="34:52" ph="1">
      <c r="AH96" s="64" ph="1">
        <v>7</v>
      </c>
      <c r="AI96" s="64" t="s" ph="1">
        <v>454</v>
      </c>
      <c r="AJ96" s="64" t="s" ph="1">
        <v>453</v>
      </c>
      <c r="AK96" s="64" t="s" ph="1">
        <v>254</v>
      </c>
      <c r="AM96" s="64" t="s" ph="1">
        <v>455</v>
      </c>
      <c r="AN96" s="64" t="s" ph="1">
        <v>228</v>
      </c>
      <c r="AO96" s="64" t="s" ph="1">
        <v>259</v>
      </c>
      <c r="AP96" s="64" t="s" ph="1">
        <v>456</v>
      </c>
      <c r="AQ96" s="64" t="s" ph="1">
        <v>272</v>
      </c>
      <c r="AR96" s="64" t="s" ph="1">
        <v>287</v>
      </c>
      <c r="AS96" s="64" t="s" ph="1">
        <v>457</v>
      </c>
      <c r="AT96" s="64" t="s" ph="1">
        <v>231</v>
      </c>
      <c r="AU96" s="64" t="s" ph="1">
        <v>287</v>
      </c>
      <c r="AV96" s="64" t="s" ph="1">
        <v>458</v>
      </c>
      <c r="AW96" s="64" t="s" ph="1">
        <v>227</v>
      </c>
      <c r="AX96" s="64" t="s" ph="1">
        <v>287</v>
      </c>
      <c r="AY96" s="64" t="s" ph="1">
        <v>216</v>
      </c>
      <c r="AZ96" s="64" t="s" ph="1">
        <v>459</v>
      </c>
    </row>
    <row r="97" spans="33:52" ph="1">
      <c r="AJ97" s="64" t="s" ph="1">
        <v>460</v>
      </c>
      <c r="AK97" s="64" t="s" ph="1">
        <v>282</v>
      </c>
      <c r="AM97" s="64" t="s" ph="1">
        <v>461</v>
      </c>
      <c r="AN97" s="64" t="s" ph="1">
        <v>225</v>
      </c>
      <c r="AO97" s="64" t="s" ph="1">
        <v>259</v>
      </c>
      <c r="AP97" s="64" t="s" ph="1">
        <v>462</v>
      </c>
      <c r="AQ97" s="64" t="s" ph="1">
        <v>219</v>
      </c>
      <c r="AR97" s="64" t="s" ph="1">
        <v>287</v>
      </c>
      <c r="AS97" s="64" t="s" ph="1">
        <v>463</v>
      </c>
      <c r="AT97" s="64" t="s" ph="1">
        <v>222</v>
      </c>
      <c r="AU97" s="64" t="s" ph="1">
        <v>287</v>
      </c>
      <c r="AV97" s="64" t="s" ph="1">
        <v>464</v>
      </c>
      <c r="AW97" s="64" t="s" ph="1">
        <v>228</v>
      </c>
      <c r="AX97" s="64" t="s" ph="1">
        <v>287</v>
      </c>
    </row>
    <row r="98" spans="33:52" ph="1">
      <c r="AJ98" s="64" t="s" ph="1">
        <v>465</v>
      </c>
      <c r="AK98" s="64" t="s" ph="1">
        <v>231</v>
      </c>
      <c r="AM98" s="64" t="s" ph="1">
        <v>466</v>
      </c>
      <c r="AN98" s="64" t="s" ph="1">
        <v>239</v>
      </c>
      <c r="AO98" s="64" t="s" ph="1">
        <v>259</v>
      </c>
      <c r="AP98" s="64" t="s" ph="1">
        <v>467</v>
      </c>
      <c r="AQ98" s="64" t="s" ph="1">
        <v>219</v>
      </c>
      <c r="AR98" s="64" t="s" ph="1">
        <v>287</v>
      </c>
      <c r="AS98" s="64" t="s" ph="1">
        <v>468</v>
      </c>
      <c r="AT98" s="64" t="s" ph="1">
        <v>299</v>
      </c>
      <c r="AU98" s="64" t="s" ph="1">
        <v>287</v>
      </c>
      <c r="AV98" s="64" t="s" ph="1">
        <v>469</v>
      </c>
      <c r="AW98" s="64" t="s" ph="1">
        <v>222</v>
      </c>
      <c r="AX98" s="64" t="s" ph="1">
        <v>287</v>
      </c>
    </row>
    <row r="99" spans="33:52" ph="1">
      <c r="AH99" s="64" ph="1">
        <v>8</v>
      </c>
      <c r="AI99" s="64" t="s" ph="1">
        <v>470</v>
      </c>
      <c r="AJ99" s="64" t="s" ph="1">
        <v>471</v>
      </c>
      <c r="AK99" s="64" t="s" ph="1">
        <v>367</v>
      </c>
      <c r="AM99" s="64" t="s" ph="1">
        <v>472</v>
      </c>
      <c r="AN99" s="64" t="s" ph="1">
        <v>254</v>
      </c>
      <c r="AO99" s="64" t="s" ph="1">
        <v>259</v>
      </c>
      <c r="AP99" s="64" t="s" ph="1">
        <v>473</v>
      </c>
      <c r="AQ99" s="64" t="s" ph="1">
        <v>224</v>
      </c>
      <c r="AR99" s="64" t="s" ph="1">
        <v>287</v>
      </c>
      <c r="AS99" s="64" t="s" ph="1">
        <v>474</v>
      </c>
      <c r="AT99" s="64" t="s" ph="1">
        <v>239</v>
      </c>
      <c r="AU99" s="64" t="s" ph="1">
        <v>287</v>
      </c>
      <c r="AV99" s="64" t="s" ph="1">
        <v>475</v>
      </c>
      <c r="AW99" s="64" t="s" ph="1">
        <v>224</v>
      </c>
      <c r="AX99" s="64" t="s" ph="1">
        <v>287</v>
      </c>
      <c r="AY99" s="64" t="s" ph="1">
        <v>216</v>
      </c>
      <c r="AZ99" s="64" t="s" ph="1">
        <v>476</v>
      </c>
    </row>
    <row r="100" spans="33:52" ph="1">
      <c r="AJ100" s="64" t="s" ph="1">
        <v>477</v>
      </c>
      <c r="AK100" s="64" t="s" ph="1">
        <v>222</v>
      </c>
      <c r="AM100" s="64" t="s" ph="1">
        <v>478</v>
      </c>
      <c r="AN100" s="64" t="s" ph="1">
        <v>294</v>
      </c>
      <c r="AO100" s="64" t="s" ph="1">
        <v>259</v>
      </c>
      <c r="AP100" s="64" t="s" ph="1">
        <v>479</v>
      </c>
      <c r="AQ100" s="64" t="s" ph="1">
        <v>300</v>
      </c>
      <c r="AR100" s="64" t="s" ph="1">
        <v>287</v>
      </c>
      <c r="AS100" s="64" t="s" ph="1">
        <v>480</v>
      </c>
      <c r="AT100" s="64" t="s" ph="1">
        <v>367</v>
      </c>
      <c r="AU100" s="64" t="s" ph="1">
        <v>259</v>
      </c>
      <c r="AV100" s="64" t="s" ph="1">
        <v>481</v>
      </c>
      <c r="AW100" s="64" t="s" ph="1">
        <v>367</v>
      </c>
      <c r="AX100" s="64" t="s" ph="1">
        <v>259</v>
      </c>
    </row>
    <row r="101" spans="33:52" ph="1">
      <c r="AJ101" s="64" t="s" ph="1">
        <v>482</v>
      </c>
      <c r="AK101" s="64" t="s" ph="1">
        <v>367</v>
      </c>
      <c r="AM101" s="64" t="s" ph="1">
        <v>483</v>
      </c>
      <c r="AN101" s="64" t="s" ph="1">
        <v>225</v>
      </c>
      <c r="AO101" s="64" t="s" ph="1">
        <v>259</v>
      </c>
      <c r="AP101" s="64" t="s" ph="1">
        <v>484</v>
      </c>
      <c r="AQ101" s="64" t="s" ph="1">
        <v>237</v>
      </c>
      <c r="AR101" s="64" t="s" ph="1">
        <v>287</v>
      </c>
      <c r="AS101" s="64" t="s" ph="1">
        <v>485</v>
      </c>
      <c r="AT101" s="64" t="s" ph="1">
        <v>294</v>
      </c>
      <c r="AU101" s="64" t="s" ph="1">
        <v>287</v>
      </c>
      <c r="AV101" s="64" t="s" ph="1">
        <v>486</v>
      </c>
      <c r="AW101" s="64" t="s" ph="1">
        <v>225</v>
      </c>
      <c r="AX101" s="64" t="s" ph="1">
        <v>259</v>
      </c>
    </row>
    <row r="102" spans="33:52" ph="1">
      <c r="AJ102" s="64" t="s" ph="1">
        <v>487</v>
      </c>
      <c r="AK102" s="64" t="s" ph="1">
        <v>222</v>
      </c>
      <c r="AM102" s="64" t="s" ph="1">
        <v>488</v>
      </c>
      <c r="AN102" s="64" t="s" ph="1">
        <v>231</v>
      </c>
      <c r="AO102" s="64" t="s" ph="1">
        <v>259</v>
      </c>
      <c r="AP102" s="64" t="s" ph="1">
        <v>489</v>
      </c>
      <c r="AQ102" s="64" t="s" ph="1">
        <v>237</v>
      </c>
      <c r="AR102" s="64" t="s" ph="1">
        <v>259</v>
      </c>
      <c r="AS102" s="64" t="s" ph="1">
        <v>490</v>
      </c>
      <c r="AT102" s="64" t="s" ph="1">
        <v>254</v>
      </c>
      <c r="AU102" s="64" t="s" ph="1">
        <v>259</v>
      </c>
      <c r="AV102" s="64" t="s" ph="1">
        <v>491</v>
      </c>
      <c r="AW102" s="64" t="s" ph="1">
        <v>272</v>
      </c>
      <c r="AX102" s="64" t="s" ph="1">
        <v>259</v>
      </c>
    </row>
    <row r="103" spans="33:52" ph="1">
      <c r="AH103" s="64" ph="1">
        <v>9</v>
      </c>
      <c r="AI103" s="64" t="s" ph="1">
        <v>492</v>
      </c>
      <c r="AJ103" s="64" t="s" ph="1">
        <v>493</v>
      </c>
      <c r="AK103" s="64" t="s" ph="1">
        <v>367</v>
      </c>
      <c r="AM103" s="64" t="s" ph="1">
        <v>494</v>
      </c>
      <c r="AN103" s="64" t="s" ph="1">
        <v>282</v>
      </c>
      <c r="AO103" s="64" t="s" ph="1">
        <v>259</v>
      </c>
      <c r="AP103" s="64" t="s" ph="1">
        <v>336</v>
      </c>
      <c r="AQ103" s="64" t="s" ph="1">
        <v>225</v>
      </c>
      <c r="AR103" s="64" t="s" ph="1">
        <v>259</v>
      </c>
      <c r="AS103" s="64" t="s" ph="1">
        <v>570</v>
      </c>
      <c r="AT103" s="64" t="s" ph="1">
        <v>367</v>
      </c>
      <c r="AU103" s="64" t="s" ph="1">
        <v>259</v>
      </c>
      <c r="AY103" s="64" t="s" ph="1">
        <v>216</v>
      </c>
      <c r="AZ103" s="64" t="s" ph="1">
        <v>224</v>
      </c>
    </row>
    <row r="104" spans="33:52" ph="1">
      <c r="AZ104" s="64" t="s" ph="1">
        <v>495</v>
      </c>
    </row>
    <row r="105" spans="33:52" ph="1">
      <c r="AG105" s="64" t="s" ph="1">
        <v>295</v>
      </c>
      <c r="AI105" s="64" t="s" ph="1">
        <v>209</v>
      </c>
      <c r="AJ105" s="64" t="s" ph="1">
        <v>210</v>
      </c>
      <c r="AK105" s="64" t="s" ph="1">
        <v>211</v>
      </c>
      <c r="AM105" s="64" t="s" ph="1">
        <v>210</v>
      </c>
      <c r="AN105" s="64" t="s" ph="1">
        <v>211</v>
      </c>
      <c r="AO105" s="64" t="s" ph="1">
        <v>212</v>
      </c>
      <c r="AP105" s="64" t="s" ph="1">
        <v>210</v>
      </c>
      <c r="AQ105" s="64" t="s" ph="1">
        <v>211</v>
      </c>
      <c r="AR105" s="64" t="s" ph="1">
        <v>212</v>
      </c>
      <c r="AS105" s="64" t="s" ph="1">
        <v>210</v>
      </c>
      <c r="AT105" s="64" t="s" ph="1">
        <v>211</v>
      </c>
      <c r="AU105" s="64" t="s" ph="1">
        <v>212</v>
      </c>
      <c r="AV105" s="64" t="s" ph="1">
        <v>210</v>
      </c>
      <c r="AW105" s="64" t="s" ph="1">
        <v>211</v>
      </c>
      <c r="AX105" s="64" t="s" ph="1">
        <v>212</v>
      </c>
      <c r="AZ105" s="64" t="s" ph="1">
        <v>213</v>
      </c>
    </row>
    <row r="106" spans="33:52" ph="1">
      <c r="AH106" s="64" ph="1">
        <v>1</v>
      </c>
      <c r="AI106" s="64" t="s" ph="1">
        <v>496</v>
      </c>
      <c r="AJ106" s="64" t="s" ph="1">
        <v>570</v>
      </c>
      <c r="AK106" s="64" t="s" ph="1">
        <v>231</v>
      </c>
      <c r="AZ106" s="64" t="s" ph="1">
        <v>231</v>
      </c>
    </row>
    <row r="107" spans="33:52" ph="1">
      <c r="AH107" s="64" ph="1">
        <v>2</v>
      </c>
      <c r="AI107" s="64" t="s" ph="1">
        <v>497</v>
      </c>
      <c r="AJ107" s="64" t="s" ph="1">
        <v>498</v>
      </c>
      <c r="AK107" s="64" t="s" ph="1">
        <v>228</v>
      </c>
      <c r="AM107" s="64" t="s" ph="1">
        <v>334</v>
      </c>
      <c r="AN107" s="64" t="s" ph="1">
        <v>499</v>
      </c>
      <c r="AO107" s="64" t="s" ph="1">
        <v>500</v>
      </c>
      <c r="AP107" s="64" t="s" ph="1">
        <v>336</v>
      </c>
      <c r="AQ107" s="64" t="s" ph="1">
        <v>304</v>
      </c>
      <c r="AR107" s="64" t="s" ph="1">
        <v>500</v>
      </c>
      <c r="AS107" s="64" t="s" ph="1">
        <v>570</v>
      </c>
      <c r="AT107" s="64" t="s" ph="1">
        <v>499</v>
      </c>
      <c r="AU107" s="64" t="s" ph="1">
        <v>500</v>
      </c>
      <c r="AY107" s="64" t="s" ph="1">
        <v>216</v>
      </c>
      <c r="AZ107" s="64" t="s" ph="1">
        <v>580</v>
      </c>
    </row>
    <row r="108" spans="33:52" ph="1">
      <c r="AH108" s="64" ph="1">
        <v>3</v>
      </c>
      <c r="AI108" s="64" t="s" ph="1">
        <v>501</v>
      </c>
      <c r="AY108" s="64" t="s" ph="1">
        <v>216</v>
      </c>
      <c r="AZ108" s="64" t="s" ph="1">
        <v>367</v>
      </c>
    </row>
    <row r="109" spans="33:52" ph="1">
      <c r="AH109" s="64" ph="1">
        <v>4</v>
      </c>
      <c r="AI109" s="64" t="s" ph="1">
        <v>502</v>
      </c>
      <c r="AY109" s="64" t="s" ph="1">
        <v>216</v>
      </c>
      <c r="AZ109" s="64" t="s" ph="1">
        <v>367</v>
      </c>
    </row>
    <row r="110" spans="33:52" ph="1">
      <c r="AH110" s="64" ph="1">
        <v>5</v>
      </c>
      <c r="AI110" s="64" t="s" ph="1">
        <v>503</v>
      </c>
      <c r="AY110" s="64" t="s" ph="1">
        <v>216</v>
      </c>
      <c r="AZ110" s="64" t="s" ph="1">
        <v>367</v>
      </c>
    </row>
    <row r="111" spans="33:52" ph="1">
      <c r="AH111" s="64" ph="1">
        <v>6</v>
      </c>
      <c r="AI111" s="64" t="s" ph="1">
        <v>581</v>
      </c>
      <c r="AJ111" s="64" t="s" ph="1">
        <v>486</v>
      </c>
      <c r="AK111" s="64" t="s" ph="1">
        <v>225</v>
      </c>
      <c r="AM111" s="64" t="s" ph="1">
        <v>487</v>
      </c>
      <c r="AN111" s="64" t="s" ph="1">
        <v>219</v>
      </c>
      <c r="AO111" s="64" t="s" ph="1">
        <v>500</v>
      </c>
      <c r="AP111" s="64" t="s" ph="1">
        <v>488</v>
      </c>
      <c r="AQ111" s="64" t="s" ph="1">
        <v>228</v>
      </c>
      <c r="AR111" s="64" t="s" ph="1">
        <v>500</v>
      </c>
      <c r="AS111" s="64" t="s" ph="1">
        <v>489</v>
      </c>
      <c r="AT111" s="64" t="s" ph="1">
        <v>237</v>
      </c>
      <c r="AU111" s="64" t="s" ph="1">
        <v>500</v>
      </c>
      <c r="AV111" s="64" t="s" ph="1">
        <v>490</v>
      </c>
      <c r="AW111" s="64" t="s" ph="1">
        <v>227</v>
      </c>
      <c r="AX111" s="64" t="s" ph="1">
        <v>500</v>
      </c>
      <c r="AY111" s="64" t="s" ph="1">
        <v>216</v>
      </c>
      <c r="AZ111" s="64" t="s" ph="1">
        <v>504</v>
      </c>
    </row>
    <row r="112" spans="33:52" ph="1">
      <c r="AJ112" s="64" t="s" ph="1">
        <v>491</v>
      </c>
      <c r="AK112" s="64" t="s" ph="1">
        <v>272</v>
      </c>
      <c r="AM112" s="64" t="s" ph="1">
        <v>493</v>
      </c>
      <c r="AN112" s="64" t="s" ph="1">
        <v>296</v>
      </c>
      <c r="AO112" s="64" t="s" ph="1">
        <v>500</v>
      </c>
      <c r="AP112" s="64" t="s" ph="1">
        <v>494</v>
      </c>
      <c r="AQ112" s="64" t="s" ph="1">
        <v>505</v>
      </c>
      <c r="AR112" s="64" t="s" ph="1">
        <v>500</v>
      </c>
      <c r="AS112" s="64" t="s" ph="1">
        <v>506</v>
      </c>
      <c r="AT112" s="64" t="s" ph="1">
        <v>248</v>
      </c>
      <c r="AU112" s="64" t="s" ph="1">
        <v>500</v>
      </c>
      <c r="AV112" s="64" t="s" ph="1">
        <v>507</v>
      </c>
      <c r="AW112" s="64" t="s" ph="1">
        <v>294</v>
      </c>
      <c r="AX112" s="64" t="s" ph="1">
        <v>500</v>
      </c>
    </row>
    <row r="113" spans="33:52" ph="1">
      <c r="AH113" s="64" ph="1">
        <v>7</v>
      </c>
      <c r="AI113" s="64" t="s" ph="1">
        <v>508</v>
      </c>
      <c r="AJ113" s="64" t="s" ph="1">
        <v>589</v>
      </c>
      <c r="AK113" s="64" t="s" ph="1">
        <v>594</v>
      </c>
      <c r="AY113" s="64" t="s" ph="1">
        <v>216</v>
      </c>
      <c r="AZ113" s="64" t="s" ph="1">
        <v>594</v>
      </c>
    </row>
    <row r="114" spans="33:52" ph="1">
      <c r="AH114" s="64" ph="1">
        <v>8</v>
      </c>
      <c r="AI114" s="64" t="s" ph="1">
        <v>509</v>
      </c>
      <c r="AJ114" s="64" t="s" ph="1">
        <v>589</v>
      </c>
      <c r="AK114" s="64" t="s" ph="1">
        <v>595</v>
      </c>
      <c r="AY114" s="64" t="s" ph="1">
        <v>216</v>
      </c>
      <c r="AZ114" s="64" t="s" ph="1">
        <v>595</v>
      </c>
    </row>
    <row r="115" spans="33:52" ph="1">
      <c r="AH115" s="64" ph="1">
        <v>9</v>
      </c>
      <c r="AI115" s="64" t="s" ph="1">
        <v>510</v>
      </c>
      <c r="AJ115" s="64" t="s" ph="1">
        <v>589</v>
      </c>
      <c r="AK115" s="64" t="s" ph="1">
        <v>595</v>
      </c>
      <c r="AY115" s="64" t="s" ph="1">
        <v>216</v>
      </c>
      <c r="AZ115" s="64" t="s" ph="1">
        <v>595</v>
      </c>
    </row>
    <row r="116" spans="33:52" ph="1">
      <c r="AH116" s="64" ph="1">
        <v>10</v>
      </c>
      <c r="AI116" s="64" t="s" ph="1">
        <v>511</v>
      </c>
      <c r="AJ116" s="64" t="s" ph="1">
        <v>589</v>
      </c>
      <c r="AK116" s="64" t="s" ph="1">
        <v>595</v>
      </c>
      <c r="AY116" s="64" t="s" ph="1">
        <v>216</v>
      </c>
      <c r="AZ116" s="64" t="s" ph="1">
        <v>595</v>
      </c>
    </row>
    <row r="117" spans="33:52" ph="1">
      <c r="AH117" s="64" ph="1">
        <v>11</v>
      </c>
      <c r="AI117" s="64" t="s" ph="1">
        <v>512</v>
      </c>
      <c r="AJ117" s="64" t="s" ph="1">
        <v>589</v>
      </c>
      <c r="AK117" s="64" t="s" ph="1">
        <v>595</v>
      </c>
      <c r="AY117" s="64" t="s" ph="1">
        <v>216</v>
      </c>
      <c r="AZ117" s="64" t="s" ph="1">
        <v>595</v>
      </c>
    </row>
    <row r="118" spans="33:52" ph="1">
      <c r="AZ118" s="64" t="s" ph="1">
        <v>596</v>
      </c>
    </row>
    <row r="119" spans="33:52" ph="1">
      <c r="AI119" s="64" t="s" ph="1">
        <v>209</v>
      </c>
      <c r="AJ119" s="64" t="s" ph="1">
        <v>210</v>
      </c>
      <c r="AK119" s="64" t="s" ph="1">
        <v>211</v>
      </c>
      <c r="AM119" s="64" t="s" ph="1">
        <v>210</v>
      </c>
      <c r="AN119" s="64" t="s" ph="1">
        <v>211</v>
      </c>
      <c r="AO119" s="64" t="s" ph="1">
        <v>212</v>
      </c>
      <c r="AP119" s="64" t="s" ph="1">
        <v>210</v>
      </c>
      <c r="AQ119" s="64" t="s" ph="1">
        <v>211</v>
      </c>
      <c r="AR119" s="64" t="s" ph="1">
        <v>212</v>
      </c>
      <c r="AS119" s="64" t="s" ph="1">
        <v>210</v>
      </c>
      <c r="AT119" s="64" t="s" ph="1">
        <v>211</v>
      </c>
      <c r="AU119" s="64" t="s" ph="1">
        <v>212</v>
      </c>
      <c r="AV119" s="64" t="s" ph="1">
        <v>210</v>
      </c>
      <c r="AW119" s="64" t="s" ph="1">
        <v>211</v>
      </c>
      <c r="AX119" s="64" t="s" ph="1">
        <v>212</v>
      </c>
      <c r="AY119" s="64" t="s" ph="1">
        <v>211</v>
      </c>
      <c r="AZ119" s="64" t="s" ph="1">
        <v>213</v>
      </c>
    </row>
    <row r="120" spans="33:52" ph="1">
      <c r="AG120" s="64" t="s" ph="1">
        <v>353</v>
      </c>
      <c r="AH120" s="64" ph="1">
        <v>1</v>
      </c>
      <c r="AI120" s="64" t="s" ph="1">
        <v>513</v>
      </c>
      <c r="AJ120" s="64" t="s" ph="1">
        <v>587</v>
      </c>
      <c r="AK120" s="64" t="s" ph="1">
        <v>367</v>
      </c>
      <c r="AY120" s="64" t="s" ph="1">
        <v>216</v>
      </c>
      <c r="AZ120" s="64" t="s" ph="1">
        <v>367</v>
      </c>
    </row>
    <row r="121" spans="33:52" ph="1">
      <c r="AH121" s="64" ph="1">
        <v>2</v>
      </c>
      <c r="AI121" s="64" t="s" ph="1">
        <v>514</v>
      </c>
      <c r="AY121" s="64" t="s" ph="1">
        <v>216</v>
      </c>
      <c r="AZ121" s="64" t="s" ph="1">
        <v>367</v>
      </c>
    </row>
    <row r="122" spans="33:52" ph="1">
      <c r="AH122" s="64" ph="1">
        <v>3</v>
      </c>
      <c r="AI122" s="64" t="s" ph="1">
        <v>515</v>
      </c>
      <c r="AJ122" s="64" t="s" ph="1">
        <v>570</v>
      </c>
      <c r="AK122" s="64" t="s" ph="1">
        <v>582</v>
      </c>
      <c r="AM122" s="64" t="s" ph="1">
        <v>597</v>
      </c>
      <c r="AN122" s="64" t="s" ph="1">
        <v>590</v>
      </c>
      <c r="AO122" s="64" t="s" ph="1">
        <v>91</v>
      </c>
      <c r="AY122" s="64" t="s" ph="1">
        <v>216</v>
      </c>
      <c r="AZ122" s="64" t="s" ph="1">
        <v>579</v>
      </c>
    </row>
    <row r="123" spans="33:52" ph="1">
      <c r="AY123" s="64" t="s" ph="1">
        <v>216</v>
      </c>
      <c r="AZ123" s="64" t="s" ph="1">
        <v>579</v>
      </c>
    </row>
    <row r="124" spans="33:52" ph="1">
      <c r="AG124" s="64" t="s" ph="1">
        <v>356</v>
      </c>
      <c r="AH124" s="64" ph="1">
        <v>4</v>
      </c>
      <c r="AI124" s="64" t="s" ph="1">
        <v>516</v>
      </c>
      <c r="AJ124" s="64" t="s" ph="1">
        <v>517</v>
      </c>
      <c r="AK124" s="64" t="s" ph="1">
        <v>518</v>
      </c>
      <c r="AY124" s="64" t="s" ph="1">
        <v>216</v>
      </c>
      <c r="AZ124" s="64" t="s" ph="1">
        <v>518</v>
      </c>
    </row>
    <row r="125" spans="33:52" ph="1">
      <c r="AH125" s="64" ph="1">
        <v>5</v>
      </c>
      <c r="AI125" s="64" t="s" ph="1">
        <v>519</v>
      </c>
      <c r="AJ125" s="64" t="s" ph="1">
        <v>517</v>
      </c>
      <c r="AK125" s="64" t="s" ph="1">
        <v>518</v>
      </c>
      <c r="AY125" s="64" t="s" ph="1">
        <v>216</v>
      </c>
      <c r="AZ125" s="64" t="s" ph="1">
        <v>518</v>
      </c>
    </row>
    <row r="126" spans="33:52" ph="1">
      <c r="AH126" s="64" ph="1">
        <v>6</v>
      </c>
      <c r="AI126" s="64" t="s" ph="1">
        <v>520</v>
      </c>
      <c r="AJ126" s="64" t="s" ph="1">
        <v>589</v>
      </c>
      <c r="AK126" s="64" t="s" ph="1">
        <v>598</v>
      </c>
      <c r="AY126" s="64" t="s" ph="1">
        <v>216</v>
      </c>
      <c r="AZ126" s="64" t="s" ph="1">
        <v>598</v>
      </c>
    </row>
    <row r="127" spans="33:52" ph="1">
      <c r="AH127" s="64" ph="1">
        <v>7</v>
      </c>
      <c r="AI127" s="64" t="s" ph="1">
        <v>521</v>
      </c>
      <c r="AJ127" s="64" t="s" ph="1">
        <v>589</v>
      </c>
      <c r="AK127" s="64" t="s" ph="1">
        <v>599</v>
      </c>
      <c r="AY127" s="64" t="s" ph="1">
        <v>216</v>
      </c>
      <c r="AZ127" s="64" t="s" ph="1">
        <v>599</v>
      </c>
    </row>
    <row r="128" spans="33:52" ph="1">
      <c r="AH128" s="64" ph="1">
        <v>8</v>
      </c>
      <c r="AI128" s="64" t="s" ph="1">
        <v>522</v>
      </c>
      <c r="AY128" s="64" t="s" ph="1">
        <v>216</v>
      </c>
      <c r="AZ128" s="64" t="s" ph="1">
        <v>367</v>
      </c>
    </row>
    <row r="129" spans="33:52" ph="1">
      <c r="AH129" s="64" ph="1">
        <v>9</v>
      </c>
      <c r="AI129" s="64" t="s" ph="1">
        <v>523</v>
      </c>
      <c r="AY129" s="64" t="s" ph="1">
        <v>216</v>
      </c>
      <c r="AZ129" s="64" t="s" ph="1">
        <v>367</v>
      </c>
    </row>
    <row r="130" spans="33:52" ph="1">
      <c r="AH130" s="64" ph="1">
        <v>10</v>
      </c>
      <c r="AI130" s="64" t="s" ph="1">
        <v>524</v>
      </c>
      <c r="AY130" s="64" t="s" ph="1">
        <v>216</v>
      </c>
      <c r="AZ130" s="64" t="s" ph="1">
        <v>367</v>
      </c>
    </row>
    <row r="131" spans="33:52" ph="1">
      <c r="AH131" s="64" ph="1">
        <v>11</v>
      </c>
      <c r="AI131" s="64" t="s" ph="1">
        <v>525</v>
      </c>
      <c r="AJ131" s="64" t="s" ph="1">
        <v>583</v>
      </c>
      <c r="AK131" s="64" t="s" ph="1">
        <v>579</v>
      </c>
      <c r="AY131" s="64" t="s" ph="1">
        <v>216</v>
      </c>
      <c r="AZ131" s="64" t="s" ph="1">
        <v>579</v>
      </c>
    </row>
    <row r="132" spans="33:52" ph="1">
      <c r="AH132" s="64" ph="1">
        <v>12</v>
      </c>
      <c r="AI132" s="64" t="s" ph="1">
        <v>526</v>
      </c>
      <c r="AJ132" s="64" t="s" ph="1">
        <v>583</v>
      </c>
      <c r="AK132" s="64" t="s" ph="1">
        <v>518</v>
      </c>
      <c r="AY132" s="64" t="s" ph="1">
        <v>216</v>
      </c>
      <c r="AZ132" s="64" t="s" ph="1">
        <v>518</v>
      </c>
    </row>
    <row r="133" spans="33:52" ph="1">
      <c r="AH133" s="64" ph="1">
        <v>13</v>
      </c>
      <c r="AI133" s="64" t="s" ph="1">
        <v>527</v>
      </c>
      <c r="AJ133" s="64" t="s" ph="1">
        <v>583</v>
      </c>
      <c r="AK133" s="64" t="s" ph="1">
        <v>584</v>
      </c>
      <c r="AY133" s="64" t="s" ph="1">
        <v>216</v>
      </c>
      <c r="AZ133" s="64" t="s" ph="1">
        <v>584</v>
      </c>
    </row>
    <row r="134" spans="33:52" ph="1">
      <c r="AH134" s="64" ph="1">
        <v>14</v>
      </c>
      <c r="AI134" s="64" t="s" ph="1">
        <v>528</v>
      </c>
      <c r="AJ134" s="64" t="s" ph="1">
        <v>583</v>
      </c>
      <c r="AK134" s="64" t="s" ph="1">
        <v>585</v>
      </c>
      <c r="AY134" s="64" t="s" ph="1">
        <v>216</v>
      </c>
      <c r="AZ134" s="64" t="s" ph="1">
        <v>585</v>
      </c>
    </row>
    <row r="135" spans="33:52" ph="1">
      <c r="AH135" s="64" ph="1">
        <v>15</v>
      </c>
      <c r="AI135" s="64" t="s" ph="1">
        <v>529</v>
      </c>
      <c r="AJ135" s="64" t="s" ph="1">
        <v>583</v>
      </c>
      <c r="AK135" s="64" t="s" ph="1">
        <v>586</v>
      </c>
      <c r="AY135" s="64" t="s" ph="1">
        <v>216</v>
      </c>
      <c r="AZ135" s="64" t="s" ph="1">
        <v>586</v>
      </c>
    </row>
    <row r="136" spans="33:52" ph="1">
      <c r="AZ136" s="64" t="s" ph="1">
        <v>600</v>
      </c>
    </row>
    <row r="137" spans="33:52" ph="1">
      <c r="AG137" s="64" t="s" ph="1">
        <v>290</v>
      </c>
      <c r="AI137" s="64" t="s" ph="1">
        <v>209</v>
      </c>
      <c r="AJ137" s="64" t="s" ph="1">
        <v>210</v>
      </c>
      <c r="AK137" s="64" t="s" ph="1">
        <v>211</v>
      </c>
      <c r="AM137" s="64" t="s" ph="1">
        <v>210</v>
      </c>
      <c r="AN137" s="64" t="s" ph="1">
        <v>211</v>
      </c>
      <c r="AO137" s="64" t="s" ph="1">
        <v>212</v>
      </c>
      <c r="AP137" s="64" t="s" ph="1">
        <v>210</v>
      </c>
      <c r="AQ137" s="64" t="s" ph="1">
        <v>211</v>
      </c>
      <c r="AR137" s="64" t="s" ph="1">
        <v>212</v>
      </c>
      <c r="AS137" s="64" t="s" ph="1">
        <v>210</v>
      </c>
      <c r="AT137" s="64" t="s" ph="1">
        <v>211</v>
      </c>
      <c r="AU137" s="64" t="s" ph="1">
        <v>212</v>
      </c>
      <c r="AV137" s="64" t="s" ph="1">
        <v>210</v>
      </c>
      <c r="AW137" s="64" t="s" ph="1">
        <v>211</v>
      </c>
      <c r="AX137" s="64" t="s" ph="1">
        <v>212</v>
      </c>
      <c r="AY137" s="64" t="s" ph="1">
        <v>211</v>
      </c>
      <c r="AZ137" s="64" t="s" ph="1">
        <v>213</v>
      </c>
    </row>
    <row r="138" spans="33:52" ph="1">
      <c r="AH138" s="64" ph="1">
        <v>1</v>
      </c>
      <c r="AI138" s="64" t="s" ph="1">
        <v>530</v>
      </c>
      <c r="AJ138" s="64" t="s" ph="1">
        <v>531</v>
      </c>
      <c r="AK138" s="64" t="s" ph="1">
        <v>532</v>
      </c>
      <c r="AY138" s="64" t="s" ph="1">
        <v>216</v>
      </c>
      <c r="AZ138" s="64" t="s" ph="1">
        <v>532</v>
      </c>
    </row>
    <row r="139" spans="33:52" ph="1">
      <c r="AH139" s="64" ph="1">
        <v>2</v>
      </c>
      <c r="AI139" s="64" t="s" ph="1">
        <v>533</v>
      </c>
      <c r="AJ139" s="64" t="s" ph="1">
        <v>589</v>
      </c>
      <c r="AK139" s="64" t="s" ph="1">
        <v>601</v>
      </c>
      <c r="AY139" s="64" t="s" ph="1">
        <v>216</v>
      </c>
      <c r="AZ139" s="64" t="s" ph="1">
        <v>601</v>
      </c>
    </row>
    <row r="140" spans="33:52" ph="1">
      <c r="AH140" s="64" ph="1">
        <v>3</v>
      </c>
      <c r="AI140" s="64" t="s" ph="1">
        <v>534</v>
      </c>
      <c r="AJ140" s="64" t="s" ph="1">
        <v>487</v>
      </c>
      <c r="AK140" s="64" t="s" ph="1">
        <v>299</v>
      </c>
      <c r="AM140" s="64" t="s" ph="1">
        <v>488</v>
      </c>
      <c r="AN140" s="64" t="s" ph="1">
        <v>219</v>
      </c>
      <c r="AO140" s="64" t="s" ph="1">
        <v>535</v>
      </c>
      <c r="AP140" s="64" t="s" ph="1">
        <v>489</v>
      </c>
      <c r="AQ140" s="64" t="s" ph="1">
        <v>236</v>
      </c>
      <c r="AR140" s="64" t="s" ph="1">
        <v>535</v>
      </c>
      <c r="AS140" s="64" t="s" ph="1">
        <v>490</v>
      </c>
      <c r="AT140" s="64" t="s" ph="1">
        <v>229</v>
      </c>
      <c r="AU140" s="64" t="s" ph="1">
        <v>535</v>
      </c>
      <c r="AV140" s="64" t="s" ph="1">
        <v>491</v>
      </c>
      <c r="AW140" s="64" t="s" ph="1">
        <v>222</v>
      </c>
      <c r="AX140" s="64" t="s" ph="1">
        <v>535</v>
      </c>
      <c r="AY140" s="64" t="s" ph="1">
        <v>216</v>
      </c>
      <c r="AZ140" s="64" t="s" ph="1">
        <v>291</v>
      </c>
    </row>
    <row r="141" spans="33:52" ph="1">
      <c r="AJ141" s="64" t="s" ph="1">
        <v>493</v>
      </c>
      <c r="AK141" s="64" t="s" ph="1">
        <v>222</v>
      </c>
      <c r="AM141" s="64" t="s" ph="1">
        <v>494</v>
      </c>
      <c r="AN141" s="64" t="s" ph="1">
        <v>225</v>
      </c>
      <c r="AO141" s="64" t="s" ph="1">
        <v>535</v>
      </c>
      <c r="AP141" s="64" t="s" ph="1">
        <v>506</v>
      </c>
      <c r="AQ141" s="64" t="s" ph="1">
        <v>294</v>
      </c>
      <c r="AR141" s="64" t="s" ph="1">
        <v>535</v>
      </c>
      <c r="AS141" s="64" t="s" ph="1">
        <v>498</v>
      </c>
      <c r="AT141" s="64" t="s" ph="1">
        <v>222</v>
      </c>
      <c r="AU141" s="64" t="s" ph="1">
        <v>535</v>
      </c>
      <c r="AV141" s="64" t="s" ph="1">
        <v>334</v>
      </c>
      <c r="AW141" s="64" t="s" ph="1">
        <v>228</v>
      </c>
      <c r="AX141" s="64" t="s" ph="1">
        <v>535</v>
      </c>
    </row>
    <row r="142" spans="33:52" ph="1">
      <c r="AJ142" s="64" t="s" ph="1">
        <v>536</v>
      </c>
      <c r="AK142" s="64" t="s" ph="1">
        <v>239</v>
      </c>
    </row>
    <row r="143" spans="33:52" ph="1">
      <c r="AH143" s="64" ph="1">
        <v>4</v>
      </c>
      <c r="AI143" s="64" t="s" ph="1">
        <v>537</v>
      </c>
      <c r="AJ143" s="64" t="s" ph="1">
        <v>517</v>
      </c>
      <c r="AK143" s="64" t="s" ph="1">
        <v>538</v>
      </c>
      <c r="AY143" s="64" t="s" ph="1">
        <v>216</v>
      </c>
      <c r="AZ143" s="64" t="s" ph="1">
        <v>538</v>
      </c>
    </row>
    <row r="144" spans="33:52" ph="1">
      <c r="AH144" s="64" ph="1">
        <v>5</v>
      </c>
      <c r="AI144" s="64" t="s" ph="1">
        <v>539</v>
      </c>
      <c r="AY144" s="64" t="s" ph="1">
        <v>216</v>
      </c>
      <c r="AZ144" s="64" t="s" ph="1">
        <v>367</v>
      </c>
    </row>
    <row r="145" spans="33:52" ph="1">
      <c r="AH145" s="64" ph="1">
        <v>6</v>
      </c>
      <c r="AI145" s="64" t="s" ph="1">
        <v>540</v>
      </c>
      <c r="AY145" s="64" t="s" ph="1">
        <v>216</v>
      </c>
      <c r="AZ145" s="64" t="s" ph="1">
        <v>367</v>
      </c>
    </row>
    <row r="146" spans="33:52" ph="1">
      <c r="AH146" s="64" ph="1">
        <v>7</v>
      </c>
      <c r="AI146" s="64" t="s" ph="1">
        <v>541</v>
      </c>
      <c r="AY146" s="64" t="s" ph="1">
        <v>216</v>
      </c>
      <c r="AZ146" s="64" t="s" ph="1">
        <v>367</v>
      </c>
    </row>
    <row r="147" spans="33:52" ph="1">
      <c r="AH147" s="64" ph="1">
        <v>8</v>
      </c>
      <c r="AI147" s="64" t="s" ph="1">
        <v>542</v>
      </c>
      <c r="AY147" s="64" t="s" ph="1">
        <v>216</v>
      </c>
      <c r="AZ147" s="64" t="s" ph="1">
        <v>367</v>
      </c>
    </row>
    <row r="148" spans="33:52" ph="1">
      <c r="AH148" s="64" ph="1">
        <v>9</v>
      </c>
      <c r="AI148" s="64" t="s" ph="1">
        <v>543</v>
      </c>
      <c r="AY148" s="64" t="s" ph="1">
        <v>216</v>
      </c>
      <c r="AZ148" s="64" t="s" ph="1">
        <v>367</v>
      </c>
    </row>
    <row r="149" spans="33:52" ph="1">
      <c r="AH149" s="64" ph="1">
        <v>10</v>
      </c>
      <c r="AI149" s="64" t="s" ph="1">
        <v>544</v>
      </c>
      <c r="AY149" s="64" t="s" ph="1">
        <v>216</v>
      </c>
      <c r="AZ149" s="64" t="s" ph="1">
        <v>367</v>
      </c>
    </row>
    <row r="150" spans="33:52" ph="1">
      <c r="AH150" s="64" ph="1">
        <v>11</v>
      </c>
      <c r="AI150" s="64" t="s" ph="1">
        <v>545</v>
      </c>
      <c r="AY150" s="64" t="s" ph="1">
        <v>216</v>
      </c>
      <c r="AZ150" s="64" t="s" ph="1">
        <v>367</v>
      </c>
    </row>
    <row r="151" spans="33:52" ph="1">
      <c r="AH151" s="64" ph="1">
        <v>12</v>
      </c>
      <c r="AI151" s="64" t="s" ph="1">
        <v>546</v>
      </c>
      <c r="AY151" s="64" t="s" ph="1">
        <v>216</v>
      </c>
      <c r="AZ151" s="64" t="s" ph="1">
        <v>367</v>
      </c>
    </row>
    <row r="152" spans="33:52" ph="1">
      <c r="AH152" s="64" ph="1">
        <v>13</v>
      </c>
      <c r="AI152" s="64" t="s" ph="1">
        <v>547</v>
      </c>
      <c r="AY152" s="64" t="s" ph="1">
        <v>216</v>
      </c>
      <c r="AZ152" s="64" t="s" ph="1">
        <v>367</v>
      </c>
    </row>
    <row r="153" spans="33:52" ph="1">
      <c r="AH153" s="64" ph="1">
        <v>14</v>
      </c>
      <c r="AI153" s="64" t="s" ph="1">
        <v>548</v>
      </c>
      <c r="AY153" s="64" t="s" ph="1">
        <v>216</v>
      </c>
      <c r="AZ153" s="64" t="s" ph="1">
        <v>367</v>
      </c>
    </row>
    <row r="154" spans="33:52" ph="1">
      <c r="AH154" s="64" ph="1">
        <v>15</v>
      </c>
      <c r="AI154" s="64" t="s" ph="1">
        <v>549</v>
      </c>
      <c r="AY154" s="64" t="s" ph="1">
        <v>216</v>
      </c>
      <c r="AZ154" s="64" t="s" ph="1">
        <v>367</v>
      </c>
    </row>
    <row r="155" spans="33:52" ph="1">
      <c r="AH155" s="64" ph="1">
        <v>16</v>
      </c>
      <c r="AI155" s="64" t="s" ph="1">
        <v>550</v>
      </c>
      <c r="AJ155" s="64" t="s" ph="1">
        <v>336</v>
      </c>
      <c r="AK155" s="64" t="s" ph="1">
        <v>231</v>
      </c>
      <c r="AM155" s="64" t="s" ph="1">
        <v>570</v>
      </c>
      <c r="AN155" s="64" t="s" ph="1">
        <v>282</v>
      </c>
      <c r="AO155" s="64" t="s" ph="1">
        <v>535</v>
      </c>
      <c r="AY155" s="64" t="s" ph="1">
        <v>216</v>
      </c>
      <c r="AZ155" s="64" t="s" ph="1">
        <v>223</v>
      </c>
    </row>
    <row r="156" spans="33:52" ph="1">
      <c r="AZ156" s="64" t="s" ph="1">
        <v>602</v>
      </c>
    </row>
    <row r="157" spans="33:52" ph="1">
      <c r="AG157" s="64" t="s" ph="1">
        <v>551</v>
      </c>
      <c r="AI157" s="64" t="s" ph="1">
        <v>209</v>
      </c>
      <c r="AJ157" s="64" t="s" ph="1">
        <v>210</v>
      </c>
      <c r="AK157" s="64" t="s" ph="1">
        <v>211</v>
      </c>
      <c r="AM157" s="64" t="s" ph="1">
        <v>210</v>
      </c>
      <c r="AN157" s="64" t="s" ph="1">
        <v>211</v>
      </c>
      <c r="AO157" s="64" t="s" ph="1">
        <v>212</v>
      </c>
      <c r="AP157" s="64" t="s" ph="1">
        <v>210</v>
      </c>
      <c r="AQ157" s="64" t="s" ph="1">
        <v>211</v>
      </c>
      <c r="AR157" s="64" t="s" ph="1">
        <v>212</v>
      </c>
      <c r="AS157" s="64" t="s" ph="1">
        <v>210</v>
      </c>
      <c r="AT157" s="64" t="s" ph="1">
        <v>211</v>
      </c>
      <c r="AU157" s="64" t="s" ph="1">
        <v>212</v>
      </c>
      <c r="AV157" s="64" t="s" ph="1">
        <v>210</v>
      </c>
      <c r="AW157" s="64" t="s" ph="1">
        <v>211</v>
      </c>
      <c r="AX157" s="64" t="s" ph="1">
        <v>212</v>
      </c>
      <c r="AY157" s="64" t="s" ph="1">
        <v>211</v>
      </c>
      <c r="AZ157" s="64" t="s" ph="1">
        <v>213</v>
      </c>
    </row>
    <row r="158" spans="33:52" ph="1">
      <c r="AH158" s="64" ph="1">
        <v>1</v>
      </c>
      <c r="AI158" s="64" t="s" ph="1">
        <v>552</v>
      </c>
      <c r="AY158" s="64" t="s" ph="1">
        <v>216</v>
      </c>
      <c r="AZ158" s="64" t="s" ph="1">
        <v>367</v>
      </c>
    </row>
    <row r="159" spans="33:52" ph="1">
      <c r="AH159" s="64" ph="1">
        <v>2</v>
      </c>
      <c r="AI159" s="64" t="s" ph="1">
        <v>553</v>
      </c>
      <c r="AY159" s="64" t="s" ph="1">
        <v>216</v>
      </c>
      <c r="AZ159" s="64" t="s" ph="1">
        <v>367</v>
      </c>
    </row>
    <row r="160" spans="33:52" ph="1">
      <c r="AZ160" s="64" t="s" ph="1">
        <v>385</v>
      </c>
    </row>
    <row r="161" spans="33:52" ph="1">
      <c r="AG161" s="64" t="s" ph="1">
        <v>361</v>
      </c>
      <c r="AI161" s="64" t="s" ph="1">
        <v>209</v>
      </c>
      <c r="AJ161" s="64" t="s" ph="1">
        <v>210</v>
      </c>
      <c r="AK161" s="64" t="s" ph="1">
        <v>211</v>
      </c>
      <c r="AM161" s="64" t="s" ph="1">
        <v>210</v>
      </c>
      <c r="AN161" s="64" t="s" ph="1">
        <v>211</v>
      </c>
      <c r="AO161" s="64" t="s" ph="1">
        <v>212</v>
      </c>
      <c r="AP161" s="64" t="s" ph="1">
        <v>210</v>
      </c>
      <c r="AQ161" s="64" t="s" ph="1">
        <v>211</v>
      </c>
      <c r="AR161" s="64" t="s" ph="1">
        <v>212</v>
      </c>
      <c r="AS161" s="64" t="s" ph="1">
        <v>210</v>
      </c>
      <c r="AT161" s="64" t="s" ph="1">
        <v>211</v>
      </c>
      <c r="AU161" s="64" t="s" ph="1">
        <v>212</v>
      </c>
      <c r="AV161" s="64" t="s" ph="1">
        <v>210</v>
      </c>
      <c r="AW161" s="64" t="s" ph="1">
        <v>211</v>
      </c>
      <c r="AX161" s="64" t="s" ph="1">
        <v>212</v>
      </c>
      <c r="AY161" s="64" t="s" ph="1">
        <v>211</v>
      </c>
      <c r="AZ161" s="64" t="s" ph="1">
        <v>213</v>
      </c>
    </row>
    <row r="162" spans="33:52" ph="1">
      <c r="AH162" s="64" ph="1">
        <v>1</v>
      </c>
      <c r="AI162" s="64" t="s" ph="1">
        <v>554</v>
      </c>
      <c r="AJ162" s="64" t="s" ph="1">
        <v>555</v>
      </c>
      <c r="AK162" s="64" t="s" ph="1">
        <v>499</v>
      </c>
      <c r="AM162" s="64" t="s" ph="1">
        <v>556</v>
      </c>
      <c r="AN162" s="64" t="s" ph="1">
        <v>220</v>
      </c>
      <c r="AO162" s="64" t="s" ph="1">
        <v>557</v>
      </c>
      <c r="AY162" s="64" t="s" ph="1">
        <v>216</v>
      </c>
      <c r="AZ162" s="64" t="s" ph="1">
        <v>292</v>
      </c>
    </row>
    <row r="163" spans="33:52" ph="1">
      <c r="AH163" s="64" ph="1">
        <v>2</v>
      </c>
      <c r="AI163" s="64" t="s" ph="1">
        <v>558</v>
      </c>
      <c r="AJ163" s="64" t="s" ph="1">
        <v>555</v>
      </c>
      <c r="AK163" s="64" t="s" ph="1">
        <v>388</v>
      </c>
      <c r="AY163" s="64" t="s" ph="1">
        <v>216</v>
      </c>
      <c r="AZ163" s="64" t="s" ph="1">
        <v>388</v>
      </c>
    </row>
    <row r="164" spans="33:52" ph="1">
      <c r="AH164" s="64" ph="1">
        <v>3</v>
      </c>
      <c r="AI164" s="64" t="s" ph="1">
        <v>559</v>
      </c>
      <c r="AJ164" s="64" t="s" ph="1">
        <v>555</v>
      </c>
      <c r="AK164" s="64" t="s" ph="1">
        <v>292</v>
      </c>
      <c r="AY164" s="64" t="s" ph="1">
        <v>216</v>
      </c>
      <c r="AZ164" s="64" t="s" ph="1">
        <v>292</v>
      </c>
    </row>
    <row r="165" spans="33:52" ph="1">
      <c r="AH165" s="64" ph="1">
        <v>4</v>
      </c>
      <c r="AI165" s="64" t="s" ph="1">
        <v>560</v>
      </c>
      <c r="AY165" s="64" t="s" ph="1">
        <v>216</v>
      </c>
      <c r="AZ165" s="64" t="s" ph="1">
        <v>367</v>
      </c>
    </row>
    <row r="166" spans="33:52" ph="1">
      <c r="AH166" s="64" ph="1">
        <v>5</v>
      </c>
      <c r="AI166" s="64" t="s" ph="1">
        <v>561</v>
      </c>
      <c r="AY166" s="64" t="s" ph="1">
        <v>216</v>
      </c>
      <c r="AZ166" s="64" t="s" ph="1">
        <v>367</v>
      </c>
    </row>
    <row r="167" spans="33:52" ph="1">
      <c r="AZ167" s="64" t="s" ph="1">
        <v>562</v>
      </c>
    </row>
    <row r="168" spans="33:52" ph="1">
      <c r="AG168" s="64" t="s" ph="1">
        <v>305</v>
      </c>
      <c r="AI168" s="64" t="s" ph="1">
        <v>209</v>
      </c>
      <c r="AJ168" s="64" t="s" ph="1">
        <v>210</v>
      </c>
      <c r="AK168" s="64" t="s" ph="1">
        <v>211</v>
      </c>
      <c r="AM168" s="64" t="s" ph="1">
        <v>210</v>
      </c>
      <c r="AN168" s="64" t="s" ph="1">
        <v>211</v>
      </c>
      <c r="AO168" s="64" t="s" ph="1">
        <v>212</v>
      </c>
      <c r="AP168" s="64" t="s" ph="1">
        <v>210</v>
      </c>
      <c r="AQ168" s="64" t="s" ph="1">
        <v>211</v>
      </c>
      <c r="AR168" s="64" t="s" ph="1">
        <v>212</v>
      </c>
      <c r="AS168" s="64" t="s" ph="1">
        <v>210</v>
      </c>
      <c r="AT168" s="64" t="s" ph="1">
        <v>211</v>
      </c>
      <c r="AU168" s="64" t="s" ph="1">
        <v>212</v>
      </c>
      <c r="AV168" s="64" t="s" ph="1">
        <v>210</v>
      </c>
      <c r="AW168" s="64" t="s" ph="1">
        <v>211</v>
      </c>
      <c r="AX168" s="64" t="s" ph="1">
        <v>212</v>
      </c>
      <c r="AY168" s="64" t="s" ph="1">
        <v>211</v>
      </c>
      <c r="AZ168" s="64" t="s" ph="1">
        <v>213</v>
      </c>
    </row>
    <row r="169" spans="33:52" ph="1">
      <c r="AH169" s="64" ph="1">
        <v>1</v>
      </c>
      <c r="AI169" s="64" t="s" ph="1">
        <v>563</v>
      </c>
      <c r="AY169" s="64" t="s" ph="1">
        <v>216</v>
      </c>
      <c r="AZ169" s="64" t="s" ph="1">
        <v>367</v>
      </c>
    </row>
    <row r="170" spans="33:52" ph="1">
      <c r="AH170" s="64" ph="1">
        <v>2</v>
      </c>
      <c r="AI170" s="64" t="s" ph="1">
        <v>564</v>
      </c>
      <c r="AY170" s="64" t="s" ph="1">
        <v>216</v>
      </c>
      <c r="AZ170" s="64" t="s" ph="1">
        <v>367</v>
      </c>
    </row>
    <row r="171" spans="33:52" ph="1">
      <c r="AH171" s="64" ph="1">
        <v>3</v>
      </c>
      <c r="AI171" s="64" t="s" ph="1">
        <v>565</v>
      </c>
      <c r="AY171" s="64" t="s" ph="1">
        <v>216</v>
      </c>
      <c r="AZ171" s="64" t="s" ph="1">
        <v>367</v>
      </c>
    </row>
    <row r="172" spans="33:52" ph="1">
      <c r="AH172" s="64" ph="1">
        <v>4</v>
      </c>
      <c r="AI172" s="64" t="s" ph="1">
        <v>566</v>
      </c>
      <c r="AY172" s="64" t="s" ph="1">
        <v>216</v>
      </c>
      <c r="AZ172" s="64" t="s" ph="1">
        <v>367</v>
      </c>
    </row>
    <row r="173" spans="33:52" ph="1">
      <c r="AH173" s="64" ph="1">
        <v>5</v>
      </c>
      <c r="AI173" s="64" t="s" ph="1">
        <v>567</v>
      </c>
      <c r="AY173" s="64" t="s" ph="1">
        <v>216</v>
      </c>
      <c r="AZ173" s="64" t="s" ph="1">
        <v>367</v>
      </c>
    </row>
    <row r="174" spans="33:52" ph="1">
      <c r="AZ174" s="64" t="s" ph="1">
        <v>385</v>
      </c>
    </row>
    <row r="175" spans="33:52" ph="1">
      <c r="AJ175" s="64" t="s" ph="1">
        <v>306</v>
      </c>
    </row>
    <row r="176" spans="33:52" ph="1">
      <c r="AJ176" s="64" t="s" ph="1">
        <v>307</v>
      </c>
      <c r="AK176" s="64" t="s" ph="1">
        <v>308</v>
      </c>
      <c r="AM176" s="64" t="s" ph="1">
        <v>309</v>
      </c>
      <c r="AO176" s="64" t="s" ph="1">
        <v>310</v>
      </c>
      <c r="AP176" s="64" t="s" ph="1">
        <v>311</v>
      </c>
      <c r="AQ176" s="64" t="s" ph="1">
        <v>301</v>
      </c>
      <c r="AR176" s="64" t="s" ph="1">
        <v>221</v>
      </c>
    </row>
    <row r="177" spans="36:56" ph="1">
      <c r="AJ177" s="64" t="s" ph="1">
        <v>603</v>
      </c>
      <c r="AK177" s="64" t="s" ph="1">
        <v>312</v>
      </c>
      <c r="AO177" s="64" t="s" ph="1">
        <v>312</v>
      </c>
      <c r="AP177" s="64" t="s" ph="1">
        <v>312</v>
      </c>
      <c r="AQ177" s="64" t="s" ph="1">
        <v>313</v>
      </c>
      <c r="AR177" s="64" t="s" ph="1">
        <v>314</v>
      </c>
    </row>
    <row r="179" spans="36:56" ph="1">
      <c r="AJ179" s="64" t="s" ph="1">
        <v>315</v>
      </c>
      <c r="AK179" s="64" t="s" ph="1">
        <v>316</v>
      </c>
      <c r="AM179" s="64" t="s" ph="1">
        <v>317</v>
      </c>
      <c r="AN179" s="64" t="s" ph="1">
        <v>293</v>
      </c>
      <c r="AO179" s="64" t="s" ph="1">
        <v>318</v>
      </c>
      <c r="AP179" s="64" t="s" ph="1">
        <v>297</v>
      </c>
      <c r="AQ179" s="64" t="s" ph="1">
        <v>319</v>
      </c>
      <c r="AR179" s="64" t="s" ph="1">
        <v>320</v>
      </c>
    </row>
    <row r="180" spans="36:56" ph="1">
      <c r="AJ180" s="64" t="s" ph="1">
        <v>312</v>
      </c>
      <c r="AK180" s="64" t="s" ph="1">
        <v>312</v>
      </c>
      <c r="AL180" s="64" ph="1">
        <v>116</v>
      </c>
      <c r="AM180" s="64" t="s" ph="1">
        <v>312</v>
      </c>
      <c r="AN180" s="64" t="s" ph="1">
        <v>321</v>
      </c>
      <c r="AO180" s="64" t="s" ph="1">
        <v>312</v>
      </c>
      <c r="AP180" s="64" t="s" ph="1">
        <v>322</v>
      </c>
      <c r="AQ180" s="64" t="s" ph="1">
        <v>323</v>
      </c>
      <c r="AR180" s="64" t="s" ph="1">
        <v>324</v>
      </c>
    </row>
    <row r="189" spans="36:56" ph="1">
      <c r="BD189" s="64" t="s" ph="1">
        <v>568</v>
      </c>
    </row>
    <row r="223" spans="18:18" ph="1">
      <c r="R223" s="135" ph="1">
        <v>45496</v>
      </c>
    </row>
  </sheetData>
  <mergeCells count="58">
    <mergeCell ref="Z22:AE22"/>
    <mergeCell ref="Z23:AE29"/>
    <mergeCell ref="B24:B26"/>
    <mergeCell ref="B27:B29"/>
    <mergeCell ref="B1:AE1"/>
    <mergeCell ref="B2:AE2"/>
    <mergeCell ref="B3:AE3"/>
    <mergeCell ref="B4:B5"/>
    <mergeCell ref="B6:B8"/>
    <mergeCell ref="B9:B11"/>
    <mergeCell ref="P31:R31"/>
    <mergeCell ref="B13:B14"/>
    <mergeCell ref="B15:B17"/>
    <mergeCell ref="B18:B20"/>
    <mergeCell ref="B22:B23"/>
    <mergeCell ref="B31:C32"/>
    <mergeCell ref="D31:F31"/>
    <mergeCell ref="G31:I31"/>
    <mergeCell ref="J31:L31"/>
    <mergeCell ref="M31:O31"/>
    <mergeCell ref="B33:C34"/>
    <mergeCell ref="D33:D34"/>
    <mergeCell ref="E33:E34"/>
    <mergeCell ref="F33:F34"/>
    <mergeCell ref="G33:G34"/>
    <mergeCell ref="S31:U31"/>
    <mergeCell ref="V31:X31"/>
    <mergeCell ref="Y31:AA31"/>
    <mergeCell ref="AB31:AE31"/>
    <mergeCell ref="AD32:AE32"/>
    <mergeCell ref="S33:S34"/>
    <mergeCell ref="H33:H34"/>
    <mergeCell ref="I33:I34"/>
    <mergeCell ref="J33:J34"/>
    <mergeCell ref="K33:K34"/>
    <mergeCell ref="L33:L34"/>
    <mergeCell ref="M33:M34"/>
    <mergeCell ref="N33:N34"/>
    <mergeCell ref="O33:O34"/>
    <mergeCell ref="P33:P34"/>
    <mergeCell ref="Q33:Q34"/>
    <mergeCell ref="R33:R34"/>
    <mergeCell ref="I36:J36"/>
    <mergeCell ref="R36:S36"/>
    <mergeCell ref="AB36:AC36"/>
    <mergeCell ref="AD36:AE36"/>
    <mergeCell ref="Z33:Z34"/>
    <mergeCell ref="AA33:AA34"/>
    <mergeCell ref="AB33:AB34"/>
    <mergeCell ref="AC33:AC34"/>
    <mergeCell ref="AD33:AE34"/>
    <mergeCell ref="AC35:AE35"/>
    <mergeCell ref="T33:T34"/>
    <mergeCell ref="U33:U34"/>
    <mergeCell ref="V33:V34"/>
    <mergeCell ref="W33:W34"/>
    <mergeCell ref="X33:X34"/>
    <mergeCell ref="Y33:Y34"/>
  </mergeCells>
  <phoneticPr fontId="2" type="noConversion"/>
  <conditionalFormatting sqref="D4:D11">
    <cfRule type="expression" dxfId="664" priority="103">
      <formula>ABS(D$7-D$10)&gt;=1000</formula>
    </cfRule>
  </conditionalFormatting>
  <conditionalFormatting sqref="E4 E6:E11">
    <cfRule type="expression" dxfId="663" priority="102">
      <formula>ABS(E$7-E$10)&gt;=1000</formula>
    </cfRule>
  </conditionalFormatting>
  <conditionalFormatting sqref="F4:F11">
    <cfRule type="expression" dxfId="662" priority="101">
      <formula>ABS(F$7-F$10)&gt;=1000</formula>
    </cfRule>
  </conditionalFormatting>
  <conditionalFormatting sqref="G4:G11">
    <cfRule type="expression" dxfId="661" priority="100">
      <formula>ABS(G$7-G$10)&gt;=1000</formula>
    </cfRule>
  </conditionalFormatting>
  <conditionalFormatting sqref="H4:H11">
    <cfRule type="expression" dxfId="660" priority="99">
      <formula>ABS(H$7-H$10)&gt;=1000</formula>
    </cfRule>
  </conditionalFormatting>
  <conditionalFormatting sqref="I4:I11">
    <cfRule type="expression" dxfId="659" priority="98">
      <formula>ABS(I$7-I$10)&gt;=1000</formula>
    </cfRule>
  </conditionalFormatting>
  <conditionalFormatting sqref="J4:J11">
    <cfRule type="expression" dxfId="658" priority="97">
      <formula>ABS(J$7-J$10)&gt;=1000</formula>
    </cfRule>
  </conditionalFormatting>
  <conditionalFormatting sqref="K4:K11">
    <cfRule type="expression" dxfId="657" priority="96">
      <formula>ABS(K$7-K$10)&gt;=1000</formula>
    </cfRule>
  </conditionalFormatting>
  <conditionalFormatting sqref="L4:L11">
    <cfRule type="expression" dxfId="656" priority="95">
      <formula>ABS(L$7-L$10)&gt;=1000</formula>
    </cfRule>
  </conditionalFormatting>
  <conditionalFormatting sqref="M4 M6:M11">
    <cfRule type="expression" dxfId="655" priority="94">
      <formula>ABS(M$7-M$10)&gt;=1000</formula>
    </cfRule>
  </conditionalFormatting>
  <conditionalFormatting sqref="N4 N6:N11">
    <cfRule type="expression" dxfId="654" priority="93">
      <formula>ABS(N$7-N$10)&gt;=1000</formula>
    </cfRule>
  </conditionalFormatting>
  <conditionalFormatting sqref="O4 O6:O11">
    <cfRule type="expression" dxfId="653" priority="92">
      <formula>ABS(O$7-O$10)&gt;=1000</formula>
    </cfRule>
  </conditionalFormatting>
  <conditionalFormatting sqref="P4 P6:P11">
    <cfRule type="expression" dxfId="652" priority="91">
      <formula>ABS(P$7-P$10)&gt;=1000</formula>
    </cfRule>
  </conditionalFormatting>
  <conditionalFormatting sqref="Q4:Q11">
    <cfRule type="expression" dxfId="651" priority="90">
      <formula>ABS(Q$7-Q$10)&gt;=1000</formula>
    </cfRule>
  </conditionalFormatting>
  <conditionalFormatting sqref="R4:R11">
    <cfRule type="expression" dxfId="650" priority="89">
      <formula>ABS(R$7-R$10)&gt;=1000</formula>
    </cfRule>
  </conditionalFormatting>
  <conditionalFormatting sqref="S4:S11">
    <cfRule type="expression" dxfId="649" priority="88">
      <formula>ABS(S$7-S$10)&gt;=1000</formula>
    </cfRule>
  </conditionalFormatting>
  <conditionalFormatting sqref="T4:T9 T11">
    <cfRule type="expression" dxfId="648" priority="87">
      <formula>ABS(T$7-T$10)&gt;=1000</formula>
    </cfRule>
  </conditionalFormatting>
  <conditionalFormatting sqref="U4:U9 U11">
    <cfRule type="expression" dxfId="647" priority="86">
      <formula>ABS(U$7-U$10)&gt;=1000</formula>
    </cfRule>
  </conditionalFormatting>
  <conditionalFormatting sqref="V4:V9 V11">
    <cfRule type="expression" dxfId="646" priority="85">
      <formula>ABS(V$7-V$10)&gt;=1000</formula>
    </cfRule>
  </conditionalFormatting>
  <conditionalFormatting sqref="W4:W9 W11">
    <cfRule type="expression" dxfId="645" priority="84">
      <formula>ABS(W$7-W$10)&gt;=1000</formula>
    </cfRule>
  </conditionalFormatting>
  <conditionalFormatting sqref="X4:X9 X11">
    <cfRule type="expression" dxfId="644" priority="83">
      <formula>ABS(X$7-X$10)&gt;=1000</formula>
    </cfRule>
  </conditionalFormatting>
  <conditionalFormatting sqref="Y4:Y9 Y11">
    <cfRule type="expression" dxfId="643" priority="82">
      <formula>ABS(Y$7-Y$10)&gt;=1000</formula>
    </cfRule>
  </conditionalFormatting>
  <conditionalFormatting sqref="Z4:Z11">
    <cfRule type="expression" dxfId="642" priority="81">
      <formula>ABS(Z$7-Z$10)&gt;=1000</formula>
    </cfRule>
  </conditionalFormatting>
  <conditionalFormatting sqref="AA4:AA11">
    <cfRule type="expression" dxfId="641" priority="80">
      <formula>ABS(AA$7-AA$10)&gt;=1000</formula>
    </cfRule>
  </conditionalFormatting>
  <conditionalFormatting sqref="AB4:AB11">
    <cfRule type="expression" dxfId="640" priority="79">
      <formula>ABS(AB$7-AB$10)&gt;=1000</formula>
    </cfRule>
  </conditionalFormatting>
  <conditionalFormatting sqref="AC4 AC6:AC11">
    <cfRule type="expression" dxfId="639" priority="78">
      <formula>ABS(AC$7-AC$10)&gt;=1000</formula>
    </cfRule>
  </conditionalFormatting>
  <conditionalFormatting sqref="AD4 AD6:AD11">
    <cfRule type="expression" dxfId="638" priority="77">
      <formula>ABS(AD$7-AD$10)&gt;=1000</formula>
    </cfRule>
  </conditionalFormatting>
  <conditionalFormatting sqref="AE4 AE6:AE11">
    <cfRule type="expression" dxfId="637" priority="76">
      <formula>ABS(AE$7-AE$10)&gt;=1000</formula>
    </cfRule>
  </conditionalFormatting>
  <conditionalFormatting sqref="D13:D20">
    <cfRule type="expression" dxfId="636" priority="75">
      <formula>ABS(D$16-D$19)&gt;=1000</formula>
    </cfRule>
  </conditionalFormatting>
  <conditionalFormatting sqref="E13:E20">
    <cfRule type="expression" dxfId="635" priority="74">
      <formula>ABS(E$16-E$19)&gt;=1000</formula>
    </cfRule>
  </conditionalFormatting>
  <conditionalFormatting sqref="F13 F15:F20">
    <cfRule type="expression" dxfId="634" priority="73">
      <formula>ABS(F$16-F$19)&gt;=1000</formula>
    </cfRule>
  </conditionalFormatting>
  <conditionalFormatting sqref="G13:G20">
    <cfRule type="expression" dxfId="633" priority="72">
      <formula>ABS(G$16-G$19)&gt;=1000</formula>
    </cfRule>
  </conditionalFormatting>
  <conditionalFormatting sqref="H13 H15:H20">
    <cfRule type="expression" dxfId="632" priority="71">
      <formula>ABS(H$16-H$19)&gt;=1000</formula>
    </cfRule>
  </conditionalFormatting>
  <conditionalFormatting sqref="I13:I20">
    <cfRule type="expression" dxfId="631" priority="70">
      <formula>ABS(I$16-I$19)&gt;=1000</formula>
    </cfRule>
  </conditionalFormatting>
  <conditionalFormatting sqref="J13:J20">
    <cfRule type="expression" dxfId="630" priority="69">
      <formula>ABS(J$16-J$19)&gt;=1000</formula>
    </cfRule>
  </conditionalFormatting>
  <conditionalFormatting sqref="L13:L20">
    <cfRule type="expression" dxfId="629" priority="68">
      <formula>ABS(L$16-L$19)&gt;=1000</formula>
    </cfRule>
  </conditionalFormatting>
  <conditionalFormatting sqref="M13 M15 M17:M18 M20">
    <cfRule type="expression" dxfId="628" priority="67">
      <formula>ABS(M$16-M$19)&gt;=1000</formula>
    </cfRule>
  </conditionalFormatting>
  <conditionalFormatting sqref="N13:N20">
    <cfRule type="expression" dxfId="627" priority="66">
      <formula>ABS(N$16-N$19)&gt;=1000</formula>
    </cfRule>
  </conditionalFormatting>
  <conditionalFormatting sqref="O13:O20">
    <cfRule type="expression" dxfId="626" priority="65">
      <formula>ABS(O$16-O$19)&gt;=1000</formula>
    </cfRule>
  </conditionalFormatting>
  <conditionalFormatting sqref="P13:P20">
    <cfRule type="expression" dxfId="625" priority="64">
      <formula>ABS(P$16-P$19)&gt;=1000</formula>
    </cfRule>
  </conditionalFormatting>
  <conditionalFormatting sqref="Q13 Q15:Q20">
    <cfRule type="expression" dxfId="624" priority="63">
      <formula>ABS(Q$16-Q$19)&gt;=1000</formula>
    </cfRule>
  </conditionalFormatting>
  <conditionalFormatting sqref="R13 R15:R20">
    <cfRule type="expression" dxfId="623" priority="62">
      <formula>ABS(R$16-R$19)&gt;=1000</formula>
    </cfRule>
  </conditionalFormatting>
  <conditionalFormatting sqref="S13:S20">
    <cfRule type="expression" dxfId="622" priority="61">
      <formula>ABS(S$16-S$19)&gt;=1000</formula>
    </cfRule>
  </conditionalFormatting>
  <conditionalFormatting sqref="T13:T15 T17:T20">
    <cfRule type="expression" dxfId="621" priority="60">
      <formula>ABS(T$16-T$19)&gt;=1000</formula>
    </cfRule>
  </conditionalFormatting>
  <conditionalFormatting sqref="U13:U20">
    <cfRule type="expression" dxfId="620" priority="59">
      <formula>ABS(U$16-U$19)&gt;=1000</formula>
    </cfRule>
  </conditionalFormatting>
  <conditionalFormatting sqref="V13:V20">
    <cfRule type="expression" dxfId="619" priority="58">
      <formula>ABS(V$16-V$19)&gt;=1000</formula>
    </cfRule>
  </conditionalFormatting>
  <conditionalFormatting sqref="W13 W20 W15:W18">
    <cfRule type="expression" dxfId="618" priority="57">
      <formula>ABS(W$16-W$19)&gt;=1000</formula>
    </cfRule>
  </conditionalFormatting>
  <conditionalFormatting sqref="X13 X15:X20 Y19">
    <cfRule type="expression" dxfId="617" priority="56">
      <formula>ABS(X$16-X$19)&gt;=1000</formula>
    </cfRule>
  </conditionalFormatting>
  <conditionalFormatting sqref="Y13 Y15:Y18 Y20">
    <cfRule type="expression" dxfId="616" priority="55">
      <formula>ABS(Y$16-Y$19)&gt;=1000</formula>
    </cfRule>
  </conditionalFormatting>
  <conditionalFormatting sqref="Z13:Z20">
    <cfRule type="expression" dxfId="615" priority="54">
      <formula>ABS(Z$16-Z$19)&gt;=1000</formula>
    </cfRule>
  </conditionalFormatting>
  <conditionalFormatting sqref="AA13:AA20">
    <cfRule type="expression" dxfId="614" priority="53">
      <formula>ABS(AA$16-AA$19)&gt;=1000</formula>
    </cfRule>
  </conditionalFormatting>
  <conditionalFormatting sqref="AB13 AB15:AB20">
    <cfRule type="expression" dxfId="613" priority="52">
      <formula>ABS(AB$16-AB$19)&gt;=1000</formula>
    </cfRule>
  </conditionalFormatting>
  <conditionalFormatting sqref="AC13 AC15:AC20">
    <cfRule type="expression" dxfId="612" priority="51">
      <formula>ABS(AC$16-AC$19)&gt;=1000</formula>
    </cfRule>
  </conditionalFormatting>
  <conditionalFormatting sqref="AD13:AD20">
    <cfRule type="expression" dxfId="611" priority="50">
      <formula>ABS(AD$16-AD$19)&gt;=1000</formula>
    </cfRule>
  </conditionalFormatting>
  <conditionalFormatting sqref="AE13:AE20">
    <cfRule type="expression" dxfId="610" priority="49">
      <formula>ABS(AE$16-AE$19)&gt;=1000</formula>
    </cfRule>
  </conditionalFormatting>
  <conditionalFormatting sqref="D22:D29">
    <cfRule type="expression" dxfId="609" priority="48">
      <formula>ABS(D$25-D$28)&gt;=1000</formula>
    </cfRule>
  </conditionalFormatting>
  <conditionalFormatting sqref="E22:E29">
    <cfRule type="expression" dxfId="608" priority="47">
      <formula>ABS(E$25-E$28)&gt;=1000</formula>
    </cfRule>
  </conditionalFormatting>
  <conditionalFormatting sqref="F22:F29">
    <cfRule type="expression" dxfId="607" priority="46">
      <formula>ABS(F$25-F$28)&gt;=1000</formula>
    </cfRule>
  </conditionalFormatting>
  <conditionalFormatting sqref="G22:G29">
    <cfRule type="expression" dxfId="606" priority="45">
      <formula>ABS(G$25-G$28)&gt;=1000</formula>
    </cfRule>
  </conditionalFormatting>
  <conditionalFormatting sqref="H22:H29">
    <cfRule type="expression" dxfId="605" priority="44">
      <formula>ABS(H$25-H$28)&gt;=1000</formula>
    </cfRule>
  </conditionalFormatting>
  <conditionalFormatting sqref="I22 I24:I29">
    <cfRule type="expression" dxfId="604" priority="43">
      <formula>ABS(I$25-I$28)&gt;=1000</formula>
    </cfRule>
  </conditionalFormatting>
  <conditionalFormatting sqref="J22:J29 K22">
    <cfRule type="expression" dxfId="603" priority="42">
      <formula>ABS(J$25-J$28)&gt;=1000</formula>
    </cfRule>
  </conditionalFormatting>
  <conditionalFormatting sqref="K23:K29 L25 L28">
    <cfRule type="expression" dxfId="602" priority="41">
      <formula>ABS(K$25-K$28)&gt;=1000</formula>
    </cfRule>
  </conditionalFormatting>
  <conditionalFormatting sqref="L22 L26:L27 L29 L24">
    <cfRule type="expression" dxfId="601" priority="40">
      <formula>ABS(L$25-L$28)&gt;=1000</formula>
    </cfRule>
  </conditionalFormatting>
  <conditionalFormatting sqref="M22:M29">
    <cfRule type="expression" dxfId="600" priority="39">
      <formula>ABS(M$25-M$28)&gt;=1000</formula>
    </cfRule>
  </conditionalFormatting>
  <conditionalFormatting sqref="N22:N29">
    <cfRule type="expression" dxfId="599" priority="38">
      <formula>ABS(N$25-N$28)&gt;=1000</formula>
    </cfRule>
  </conditionalFormatting>
  <conditionalFormatting sqref="O22 O24:O29">
    <cfRule type="expression" dxfId="598" priority="37">
      <formula>ABS(O$25-O$28)&gt;=1000</formula>
    </cfRule>
  </conditionalFormatting>
  <conditionalFormatting sqref="P22:P29">
    <cfRule type="expression" dxfId="597" priority="36">
      <formula>ABS(P$25-P$28)&gt;=1000</formula>
    </cfRule>
  </conditionalFormatting>
  <conditionalFormatting sqref="Q22:Q29">
    <cfRule type="expression" dxfId="596" priority="35">
      <formula>ABS(Q$25-Q$28)&gt;=1000</formula>
    </cfRule>
  </conditionalFormatting>
  <conditionalFormatting sqref="R22:R29">
    <cfRule type="expression" dxfId="595" priority="34">
      <formula>ABS(R$25-R$28)&gt;=1000</formula>
    </cfRule>
  </conditionalFormatting>
  <conditionalFormatting sqref="S22:S29">
    <cfRule type="expression" dxfId="594" priority="33">
      <formula>ABS(S$25-S$28)&gt;=1000</formula>
    </cfRule>
  </conditionalFormatting>
  <conditionalFormatting sqref="T22:T29">
    <cfRule type="expression" dxfId="593" priority="32">
      <formula>ABS(T$25-T$28)&gt;=1000</formula>
    </cfRule>
  </conditionalFormatting>
  <conditionalFormatting sqref="U22:U29">
    <cfRule type="expression" dxfId="592" priority="31">
      <formula>ABS(U$25-U$28)&gt;=1000</formula>
    </cfRule>
  </conditionalFormatting>
  <conditionalFormatting sqref="V22:V29">
    <cfRule type="expression" dxfId="591" priority="30">
      <formula>ABS(V$25-V$28)&gt;=1000</formula>
    </cfRule>
  </conditionalFormatting>
  <conditionalFormatting sqref="W22:W29">
    <cfRule type="expression" dxfId="590" priority="29">
      <formula>ABS(W$25-W$28)&gt;=1000</formula>
    </cfRule>
  </conditionalFormatting>
  <conditionalFormatting sqref="X22:X29">
    <cfRule type="expression" dxfId="589" priority="28">
      <formula>ABS(X$25-X$28)&gt;=1000</formula>
    </cfRule>
  </conditionalFormatting>
  <conditionalFormatting sqref="Y22:Y29">
    <cfRule type="expression" dxfId="588" priority="27">
      <formula>ABS(Y$25-Y$28)&gt;=1000</formula>
    </cfRule>
  </conditionalFormatting>
  <conditionalFormatting sqref="I23">
    <cfRule type="expression" dxfId="587" priority="26">
      <formula>ABS(I$25-I$28)&gt;=1000</formula>
    </cfRule>
  </conditionalFormatting>
  <conditionalFormatting sqref="Q14">
    <cfRule type="expression" dxfId="586" priority="25">
      <formula>ABS(Q$16-Q$19)&gt;=1000</formula>
    </cfRule>
  </conditionalFormatting>
  <conditionalFormatting sqref="W14">
    <cfRule type="expression" dxfId="585" priority="24">
      <formula>ABS(W$16-W$19)&gt;=1000</formula>
    </cfRule>
  </conditionalFormatting>
  <conditionalFormatting sqref="X14">
    <cfRule type="expression" dxfId="584" priority="23">
      <formula>ABS(X$16-X$19)&gt;=1000</formula>
    </cfRule>
  </conditionalFormatting>
  <conditionalFormatting sqref="T10:Y10">
    <cfRule type="expression" dxfId="583" priority="22">
      <formula>ABS(T$7-T$10)&gt;=1000</formula>
    </cfRule>
  </conditionalFormatting>
  <conditionalFormatting sqref="W19">
    <cfRule type="expression" dxfId="582" priority="21">
      <formula>ABS(W$16-W$19)&gt;=1000</formula>
    </cfRule>
  </conditionalFormatting>
  <conditionalFormatting sqref="AC5">
    <cfRule type="expression" dxfId="581" priority="20">
      <formula>ABS(AC$7-AC$10)&gt;=1000</formula>
    </cfRule>
  </conditionalFormatting>
  <conditionalFormatting sqref="M14">
    <cfRule type="expression" dxfId="580" priority="19">
      <formula>ABS(M$16-M$19)&gt;=1000</formula>
    </cfRule>
  </conditionalFormatting>
  <conditionalFormatting sqref="M16">
    <cfRule type="expression" dxfId="579" priority="18">
      <formula>ABS(M$16-M$19)&gt;=1000</formula>
    </cfRule>
  </conditionalFormatting>
  <conditionalFormatting sqref="M19">
    <cfRule type="expression" dxfId="578" priority="17">
      <formula>ABS(M$16-M$19)&gt;=1000</formula>
    </cfRule>
  </conditionalFormatting>
  <conditionalFormatting sqref="K13:K20">
    <cfRule type="expression" dxfId="577" priority="16">
      <formula>ABS(K$16-K$19)&gt;=1000</formula>
    </cfRule>
  </conditionalFormatting>
  <conditionalFormatting sqref="E5">
    <cfRule type="expression" dxfId="576" priority="15">
      <formula>ABS(E$7-E$10)&gt;=1000</formula>
    </cfRule>
  </conditionalFormatting>
  <conditionalFormatting sqref="AB14:AC14">
    <cfRule type="expression" dxfId="575" priority="14">
      <formula>ABS(AB$16-AB$19)&gt;=1000</formula>
    </cfRule>
  </conditionalFormatting>
  <conditionalFormatting sqref="M5">
    <cfRule type="expression" dxfId="574" priority="13">
      <formula>ABS(M$7-M$10)&gt;=1000</formula>
    </cfRule>
  </conditionalFormatting>
  <conditionalFormatting sqref="N5">
    <cfRule type="expression" dxfId="573" priority="12">
      <formula>ABS(N$7-N$10)&gt;=1000</formula>
    </cfRule>
  </conditionalFormatting>
  <conditionalFormatting sqref="O5">
    <cfRule type="expression" dxfId="572" priority="11">
      <formula>ABS(O$7-O$10)&gt;=1000</formula>
    </cfRule>
  </conditionalFormatting>
  <conditionalFormatting sqref="P5">
    <cfRule type="expression" dxfId="571" priority="10">
      <formula>ABS(P$7-P$10)&gt;=1000</formula>
    </cfRule>
  </conditionalFormatting>
  <conditionalFormatting sqref="L23">
    <cfRule type="expression" dxfId="570" priority="9">
      <formula>ABS(L$25-L$28)&gt;=1000</formula>
    </cfRule>
  </conditionalFormatting>
  <conditionalFormatting sqref="Y14">
    <cfRule type="expression" dxfId="569" priority="8">
      <formula>ABS(Y$16-Y$19)&gt;=1000</formula>
    </cfRule>
  </conditionalFormatting>
  <conditionalFormatting sqref="H14">
    <cfRule type="expression" dxfId="568" priority="7">
      <formula>ABS(H$16-H$19)&gt;=1000</formula>
    </cfRule>
  </conditionalFormatting>
  <conditionalFormatting sqref="AD5">
    <cfRule type="expression" dxfId="567" priority="6">
      <formula>ABS(AD$7-AD$10)&gt;=1000</formula>
    </cfRule>
  </conditionalFormatting>
  <conditionalFormatting sqref="AE5">
    <cfRule type="expression" dxfId="566" priority="5">
      <formula>ABS(AE$7-AE$10)&gt;=1000</formula>
    </cfRule>
  </conditionalFormatting>
  <conditionalFormatting sqref="T16">
    <cfRule type="expression" dxfId="565" priority="4">
      <formula>ABS(T$16-T$19)&gt;=1000</formula>
    </cfRule>
  </conditionalFormatting>
  <conditionalFormatting sqref="F14">
    <cfRule type="expression" dxfId="564" priority="3">
      <formula>ABS(F$16-F$19)&gt;=1000</formula>
    </cfRule>
  </conditionalFormatting>
  <conditionalFormatting sqref="R14">
    <cfRule type="expression" dxfId="563" priority="2">
      <formula>ABS(R$16-R$19)&gt;=1000</formula>
    </cfRule>
  </conditionalFormatting>
  <conditionalFormatting sqref="O23">
    <cfRule type="expression" dxfId="562" priority="1">
      <formula>ABS(O$25-O$28)&gt;=1000</formula>
    </cfRule>
  </conditionalFormatting>
  <dataValidations count="1">
    <dataValidation operator="greaterThanOrEqual" allowBlank="1" showErrorMessage="1" sqref="D6"/>
  </dataValidations>
  <printOptions horizontalCentered="1"/>
  <pageMargins left="0.39370078740157483" right="0.39370078740157483" top="0.39370078740157483" bottom="0.39370078740157483" header="0.51181102362204722" footer="0.51181102362204722"/>
  <pageSetup paperSize="9" scale="60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70625" r:id="rId4" name="Button 1">
              <controlPr defaultSize="0" print="0" autoFill="0" autoPict="0">
                <anchor moveWithCells="1">
                  <from>
                    <xdr:col>31</xdr:col>
                    <xdr:colOff>0</xdr:colOff>
                    <xdr:row>0</xdr:row>
                    <xdr:rowOff>342900</xdr:rowOff>
                  </from>
                  <to>
                    <xdr:col>32</xdr:col>
                    <xdr:colOff>411480</xdr:colOff>
                    <xdr:row>3</xdr:row>
                    <xdr:rowOff>30480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982">
    <pageSetUpPr fitToPage="1"/>
  </sheetPr>
  <dimension ref="A1:CU223"/>
  <sheetViews>
    <sheetView view="pageBreakPreview" topLeftCell="A3" zoomScale="85" zoomScaleNormal="100" zoomScaleSheetLayoutView="85" workbookViewId="0">
      <selection activeCell="G21" sqref="G21"/>
    </sheetView>
  </sheetViews>
  <sheetFormatPr defaultColWidth="8.109375" defaultRowHeight="25.8"/>
  <cols>
    <col min="1" max="1" width="11.6640625" style="64" customWidth="1" phonetic="1"/>
    <col min="2" max="2" width="7.6640625" style="64" customWidth="1" phonetic="1"/>
    <col min="3" max="3" width="8" style="64" customWidth="1" phonetic="1"/>
    <col min="4" max="8" width="7.6640625" style="64" customWidth="1" phonetic="1"/>
    <col min="9" max="9" width="8" style="64" customWidth="1" phonetic="1"/>
    <col min="10" max="12" width="7.6640625" style="64" customWidth="1" phonetic="1"/>
    <col min="13" max="13" width="7.77734375" style="64" bestFit="1" customWidth="1" phonetic="1"/>
    <col min="14" max="30" width="7.6640625" style="64" customWidth="1" phonetic="1"/>
    <col min="31" max="31" width="7.6640625" style="75" customWidth="1" phonetic="1"/>
    <col min="32" max="32" width="11.6640625" style="64" bestFit="1" customWidth="1" phonetic="1"/>
    <col min="33" max="33" width="22.109375" style="64" customWidth="1" phonetic="1"/>
    <col min="34" max="34" width="5.6640625" style="64" customWidth="1" phonetic="1"/>
    <col min="35" max="35" width="18.21875" style="64" customWidth="1" phonetic="1"/>
    <col min="36" max="36" width="12" style="64" bestFit="1" customWidth="1" phonetic="1"/>
    <col min="37" max="37" width="11.6640625" style="64" bestFit="1" customWidth="1" phonetic="1"/>
    <col min="38" max="38" width="5.6640625" style="64" customWidth="1" phonetic="1"/>
    <col min="39" max="39" width="11.44140625" style="64" bestFit="1" customWidth="1" phonetic="1"/>
    <col min="40" max="40" width="6.21875" style="64" customWidth="1" phonetic="1"/>
    <col min="41" max="41" width="8.6640625" style="64" customWidth="1" phonetic="1"/>
    <col min="42" max="42" width="11.21875" style="64" customWidth="1" phonetic="1"/>
    <col min="43" max="43" width="11.77734375" style="64" customWidth="1" phonetic="1"/>
    <col min="44" max="44" width="11.21875" style="64" customWidth="1" phonetic="1"/>
    <col min="45" max="45" width="11.21875" style="64" bestFit="1" customWidth="1" phonetic="1"/>
    <col min="46" max="46" width="41.77734375" style="64" customWidth="1" phonetic="1"/>
    <col min="47" max="47" width="7.77734375" style="64" customWidth="1" phonetic="1"/>
    <col min="48" max="48" width="17.109375" style="64" customWidth="1" phonetic="1"/>
    <col min="49" max="49" width="6.21875" style="64" customWidth="1" phonetic="1"/>
    <col min="50" max="50" width="10" style="64" customWidth="1" phonetic="1"/>
    <col min="51" max="51" width="6.21875" style="64" customWidth="1" phonetic="1"/>
    <col min="52" max="52" width="6.88671875" style="64" customWidth="1" phonetic="1"/>
    <col min="53" max="53" width="6.44140625" style="64" customWidth="1" phonetic="1"/>
    <col min="54" max="54" width="15.44140625" style="64" customWidth="1" phonetic="1"/>
    <col min="55" max="55" width="6.21875" style="64" customWidth="1" phonetic="1"/>
    <col min="56" max="56" width="22.109375" style="64" bestFit="1" customWidth="1" phonetic="1"/>
    <col min="57" max="57" width="6.44140625" style="64" customWidth="1" phonetic="1"/>
    <col min="58" max="60" width="6.21875" style="64" customWidth="1" phonetic="1"/>
    <col min="61" max="16384" width="8.109375" style="64" phonetic="1"/>
  </cols>
  <sheetData>
    <row r="1" spans="1:99" ht="31.2" ph="1">
      <c r="A1" s="64"/>
      <c r="B1" s="238" t="s" ph="1">
        <v>161</v>
      </c>
      <c r="C1" s="238" ph="1"/>
      <c r="D1" s="238" ph="1"/>
      <c r="E1" s="238" ph="1"/>
      <c r="F1" s="238" ph="1"/>
      <c r="G1" s="238" ph="1"/>
      <c r="H1" s="238" ph="1"/>
      <c r="I1" s="238" ph="1"/>
      <c r="J1" s="238" ph="1"/>
      <c r="K1" s="238" ph="1"/>
      <c r="L1" s="238" ph="1"/>
      <c r="M1" s="238" ph="1"/>
      <c r="N1" s="238" ph="1"/>
      <c r="O1" s="238" ph="1"/>
      <c r="P1" s="238" ph="1"/>
      <c r="Q1" s="238" ph="1"/>
      <c r="R1" s="238" ph="1"/>
      <c r="S1" s="238" ph="1"/>
      <c r="T1" s="238" ph="1"/>
      <c r="U1" s="238" ph="1"/>
      <c r="V1" s="238" ph="1"/>
      <c r="W1" s="238" ph="1"/>
      <c r="X1" s="238" ph="1"/>
      <c r="Y1" s="238" ph="1"/>
      <c r="Z1" s="238" ph="1"/>
      <c r="AA1" s="238" ph="1"/>
      <c r="AB1" s="238" ph="1"/>
      <c r="AC1" s="238" ph="1"/>
      <c r="AD1" s="238" ph="1"/>
      <c r="AE1" s="238" ph="1"/>
    </row>
    <row r="2" spans="1:99" s="66" customFormat="1" ht="24" customHeight="1" ph="1">
      <c r="B2" s="239" t="s" ph="1">
        <v>82</v>
      </c>
      <c r="C2" s="239" ph="1"/>
      <c r="D2" s="239" ph="1"/>
      <c r="E2" s="239" ph="1"/>
      <c r="F2" s="239" ph="1"/>
      <c r="G2" s="239" ph="1"/>
      <c r="H2" s="239" ph="1"/>
      <c r="I2" s="239" ph="1"/>
      <c r="J2" s="239" ph="1"/>
      <c r="K2" s="239" ph="1"/>
      <c r="L2" s="239" ph="1"/>
      <c r="M2" s="239" ph="1"/>
      <c r="N2" s="239" ph="1"/>
      <c r="O2" s="239" ph="1"/>
      <c r="P2" s="239" ph="1"/>
      <c r="Q2" s="239" ph="1"/>
      <c r="R2" s="239" ph="1"/>
      <c r="S2" s="239" ph="1"/>
      <c r="T2" s="239" ph="1"/>
      <c r="U2" s="239" ph="1"/>
      <c r="V2" s="239" ph="1"/>
      <c r="W2" s="239" ph="1"/>
      <c r="X2" s="239" ph="1"/>
      <c r="Y2" s="239" ph="1"/>
      <c r="Z2" s="239" ph="1"/>
      <c r="AA2" s="239" ph="1"/>
      <c r="AB2" s="239" ph="1"/>
      <c r="AC2" s="239" ph="1"/>
      <c r="AD2" s="239" ph="1"/>
      <c r="AE2" s="239" ph="1"/>
    </row>
    <row r="3" spans="1:99" ht="21" customHeight="1" ph="1">
      <c r="B3" s="240" ph="1">
        <v>46288</v>
      </c>
      <c r="C3" s="240"/>
      <c r="D3" s="240"/>
      <c r="E3" s="240"/>
      <c r="F3" s="240"/>
      <c r="G3" s="240"/>
      <c r="H3" s="240"/>
      <c r="I3" s="240"/>
      <c r="J3" s="240"/>
      <c r="K3" s="240"/>
      <c r="L3" s="240"/>
      <c r="M3" s="240"/>
      <c r="N3" s="240"/>
      <c r="O3" s="240"/>
      <c r="P3" s="240"/>
      <c r="Q3" s="240"/>
      <c r="R3" s="240"/>
      <c r="S3" s="240"/>
      <c r="T3" s="240"/>
      <c r="U3" s="240"/>
      <c r="V3" s="240"/>
      <c r="W3" s="240"/>
      <c r="X3" s="240"/>
      <c r="Y3" s="240"/>
      <c r="Z3" s="240"/>
      <c r="AA3" s="240"/>
      <c r="AB3" s="240"/>
      <c r="AC3" s="240"/>
      <c r="AD3" s="240"/>
      <c r="AE3" s="240"/>
    </row>
    <row r="4" spans="1:99" s="69" customFormat="1" ph="1">
      <c r="A4" s="65" ph="1"/>
      <c r="B4" s="219" t="s" ph="1">
        <v>37</v>
      </c>
      <c r="C4" s="67" t="s" ph="1">
        <v>176</v>
      </c>
      <c r="D4" s="68" t="s" ph="1">
        <v>44</v>
      </c>
      <c r="E4" s="68" t="s" ph="1">
        <v>45</v>
      </c>
      <c r="F4" s="68" t="s" ph="1">
        <v>39</v>
      </c>
      <c r="G4" s="68" t="s" ph="1">
        <v>46</v>
      </c>
      <c r="H4" s="68" t="s" ph="1">
        <v>47</v>
      </c>
      <c r="I4" s="68" t="s" ph="1">
        <v>110</v>
      </c>
      <c r="J4" s="68" t="s" ph="1">
        <v>48</v>
      </c>
      <c r="K4" s="68" t="s" ph="1">
        <v>111</v>
      </c>
      <c r="L4" s="68" t="s" ph="1">
        <v>112</v>
      </c>
      <c r="M4" s="68" t="s" ph="1">
        <v>49</v>
      </c>
      <c r="N4" s="68" t="s" ph="1">
        <v>50</v>
      </c>
      <c r="O4" s="68" t="s" ph="1">
        <v>113</v>
      </c>
      <c r="P4" s="68" t="s" ph="1">
        <v>114</v>
      </c>
      <c r="Q4" s="68" t="s" ph="1">
        <v>115</v>
      </c>
      <c r="R4" s="68" t="s" ph="1">
        <v>116</v>
      </c>
      <c r="S4" s="68" t="s" ph="1">
        <v>117</v>
      </c>
      <c r="T4" s="68" t="s" ph="1">
        <v>118</v>
      </c>
      <c r="U4" s="68" t="s" ph="1">
        <v>119</v>
      </c>
      <c r="V4" s="68" t="s" ph="1">
        <v>120</v>
      </c>
      <c r="W4" s="68" t="s" ph="1">
        <v>121</v>
      </c>
      <c r="X4" s="68" t="s" ph="1">
        <v>122</v>
      </c>
      <c r="Y4" s="68" t="s" ph="1">
        <v>123</v>
      </c>
      <c r="Z4" s="68" t="s" ph="1">
        <v>51</v>
      </c>
      <c r="AA4" s="68" t="s" ph="1">
        <v>124</v>
      </c>
      <c r="AB4" s="68" t="s" ph="1">
        <v>125</v>
      </c>
      <c r="AC4" s="68" t="s" ph="1">
        <v>126</v>
      </c>
      <c r="AD4" s="68" t="s" ph="1">
        <v>40</v>
      </c>
      <c r="AE4" s="68" t="s" ph="1">
        <v>127</v>
      </c>
      <c r="AF4" s="65" ph="1"/>
      <c r="AG4" s="65" ph="1"/>
      <c r="AH4" s="65" ph="1"/>
      <c r="AI4" s="65" ph="1"/>
      <c r="AJ4" s="65" ph="1"/>
      <c r="AK4" s="65" ph="1"/>
      <c r="AL4" s="65" ph="1"/>
      <c r="AM4" s="65" ph="1"/>
      <c r="AN4" s="65" ph="1"/>
      <c r="AO4" s="65" ph="1"/>
      <c r="AP4" s="65" ph="1"/>
      <c r="AQ4" s="65" ph="1"/>
      <c r="AR4" s="65" ph="1"/>
      <c r="AS4" s="65" ph="1"/>
      <c r="AT4" s="65" ph="1"/>
      <c r="AU4" s="65" ph="1"/>
      <c r="AV4" s="65" ph="1"/>
      <c r="AW4" s="65" ph="1"/>
      <c r="AX4" s="65" ph="1"/>
      <c r="AY4" s="65" ph="1"/>
      <c r="AZ4" s="65" ph="1"/>
      <c r="BA4" s="65" ph="1"/>
      <c r="BB4" s="65" ph="1"/>
      <c r="BC4" s="65" ph="1"/>
      <c r="BD4" s="65" ph="1"/>
      <c r="BE4" s="65" ph="1"/>
      <c r="BF4" s="65" ph="1"/>
      <c r="BG4" s="65" ph="1"/>
      <c r="BH4" s="65" ph="1"/>
      <c r="BI4" s="65" ph="1"/>
      <c r="BJ4" s="65" ph="1"/>
      <c r="BK4" s="65" ph="1"/>
      <c r="BL4" s="65" ph="1"/>
      <c r="BM4" s="65" ph="1"/>
      <c r="BN4" s="65" ph="1"/>
      <c r="BO4" s="65" ph="1"/>
      <c r="BP4" s="65" ph="1"/>
      <c r="BQ4" s="65" ph="1"/>
      <c r="BR4" s="65" ph="1"/>
      <c r="BS4" s="65" ph="1"/>
      <c r="BT4" s="65" ph="1"/>
      <c r="BU4" s="65" ph="1"/>
      <c r="BV4" s="65" ph="1"/>
      <c r="BW4" s="65" ph="1"/>
      <c r="BX4" s="65" ph="1"/>
      <c r="BY4" s="65" ph="1"/>
      <c r="BZ4" s="65" ph="1"/>
      <c r="CA4" s="65" ph="1"/>
      <c r="CB4" s="65" ph="1"/>
      <c r="CC4" s="65" ph="1"/>
      <c r="CD4" s="65" ph="1"/>
      <c r="CE4" s="65" ph="1"/>
      <c r="CF4" s="65" ph="1"/>
      <c r="CG4" s="65" ph="1"/>
      <c r="CH4" s="65" ph="1"/>
      <c r="CI4" s="65" ph="1"/>
      <c r="CJ4" s="65" ph="1"/>
      <c r="CK4" s="65" ph="1"/>
      <c r="CL4" s="65" ph="1"/>
      <c r="CM4" s="65" ph="1"/>
      <c r="CN4" s="65" ph="1"/>
      <c r="CO4" s="65" ph="1"/>
      <c r="CP4" s="65" ph="1"/>
      <c r="CQ4" s="65" ph="1"/>
      <c r="CR4" s="65" ph="1"/>
      <c r="CS4" s="65" ph="1"/>
      <c r="CT4" s="65" ph="1"/>
      <c r="CU4" s="65" ph="1"/>
    </row>
    <row r="5" spans="1:99" s="69" customFormat="1" ht="29.25" customHeight="1" ph="1">
      <c r="A5" s="65" ph="1"/>
      <c r="B5" s="219" ph="1"/>
      <c r="C5" s="67" t="s" ph="1">
        <v>36</v>
      </c>
      <c r="D5" s="70" t="s" ph="1">
        <v>160</v>
      </c>
      <c r="E5" s="142" t="s" ph="1">
        <v>642</v>
      </c>
      <c r="F5" s="142" t="s" ph="1">
        <v>1</v>
      </c>
      <c r="G5" s="142" t="s" ph="1">
        <v>7</v>
      </c>
      <c r="H5" s="142" t="s" ph="1">
        <v>7</v>
      </c>
      <c r="I5" s="141" t="s" ph="1">
        <v>608</v>
      </c>
      <c r="J5" s="141" t="s" ph="1">
        <v>609</v>
      </c>
      <c r="K5" s="141" t="s" ph="1">
        <v>611</v>
      </c>
      <c r="L5" s="141" t="s" ph="1">
        <v>613</v>
      </c>
      <c r="M5" s="141" t="s" ph="1">
        <v>608</v>
      </c>
      <c r="N5" s="70" t="s" ph="1">
        <v>609</v>
      </c>
      <c r="O5" s="70" t="s" ph="1">
        <v>611</v>
      </c>
      <c r="P5" s="70" t="s" ph="1">
        <v>613</v>
      </c>
      <c r="Q5" s="70" t="s" ph="1">
        <v>607</v>
      </c>
      <c r="R5" s="70" t="s" ph="1">
        <v>607</v>
      </c>
      <c r="S5" s="70" t="s" ph="1">
        <v>607</v>
      </c>
      <c r="T5" s="70" t="s" ph="1">
        <v>607</v>
      </c>
      <c r="U5" s="70" t="s" ph="1">
        <v>607</v>
      </c>
      <c r="V5" s="70" t="s" ph="1">
        <v>607</v>
      </c>
      <c r="W5" s="70" t="s" ph="1">
        <v>607</v>
      </c>
      <c r="X5" s="70" t="s" ph="1">
        <v>607</v>
      </c>
      <c r="Y5" s="70" t="s" ph="1">
        <v>607</v>
      </c>
      <c r="Z5" s="70" t="s" ph="1">
        <v>614</v>
      </c>
      <c r="AA5" s="70" t="s" ph="1">
        <v>54</v>
      </c>
      <c r="AB5" s="70" t="s" ph="1">
        <v>54</v>
      </c>
      <c r="AC5" s="70" t="s" ph="1">
        <v>615</v>
      </c>
      <c r="AD5" s="71" t="s">
        <v>72</v>
      </c>
      <c r="AE5" s="71" t="s">
        <v>635</v>
      </c>
      <c r="AF5" s="65" ph="1"/>
      <c r="AG5" s="65" ph="1"/>
      <c r="AH5" s="65" ph="1"/>
      <c r="AI5" s="65" ph="1"/>
      <c r="AJ5" s="65" ph="1"/>
      <c r="AK5" s="65" ph="1"/>
      <c r="AL5" s="65" ph="1"/>
      <c r="AM5" s="65" ph="1"/>
      <c r="AN5" s="65" ph="1"/>
      <c r="AO5" s="65" ph="1"/>
      <c r="AP5" s="65" ph="1"/>
      <c r="AQ5" s="65" ph="1"/>
      <c r="AR5" s="65" ph="1"/>
      <c r="AS5" s="65" ph="1"/>
      <c r="AT5" s="65" ph="1"/>
      <c r="AU5" s="65" ph="1"/>
      <c r="AV5" s="65" ph="1"/>
      <c r="AW5" s="65" ph="1"/>
      <c r="AX5" s="65" ph="1"/>
      <c r="AY5" s="65" ph="1"/>
      <c r="AZ5" s="65" ph="1"/>
      <c r="BA5" s="65" ph="1"/>
      <c r="BB5" s="65" ph="1"/>
      <c r="BC5" s="65" ph="1"/>
      <c r="BD5" s="65" ph="1"/>
      <c r="BE5" s="65" ph="1"/>
      <c r="BF5" s="65" ph="1"/>
      <c r="BG5" s="65" ph="1"/>
      <c r="BH5" s="65" ph="1"/>
      <c r="BI5" s="65" ph="1"/>
      <c r="BJ5" s="65" ph="1"/>
      <c r="BK5" s="65" ph="1"/>
      <c r="BL5" s="65" ph="1"/>
      <c r="BM5" s="65" ph="1"/>
      <c r="BN5" s="65" ph="1"/>
      <c r="BO5" s="65" ph="1"/>
      <c r="BP5" s="65" ph="1"/>
      <c r="BQ5" s="65" ph="1"/>
      <c r="BR5" s="65" ph="1"/>
      <c r="BS5" s="65" ph="1"/>
      <c r="BT5" s="65" ph="1"/>
      <c r="BU5" s="65" ph="1"/>
      <c r="BV5" s="65" ph="1"/>
      <c r="BW5" s="65" ph="1"/>
      <c r="BX5" s="65" ph="1"/>
      <c r="BY5" s="65" ph="1"/>
      <c r="BZ5" s="65" ph="1"/>
      <c r="CA5" s="65" ph="1"/>
      <c r="CB5" s="65" ph="1"/>
      <c r="CC5" s="65" ph="1"/>
      <c r="CD5" s="65" ph="1"/>
      <c r="CE5" s="65" ph="1"/>
      <c r="CF5" s="65" ph="1"/>
      <c r="CG5" s="65" ph="1"/>
      <c r="CH5" s="65" ph="1"/>
      <c r="CI5" s="65" ph="1"/>
      <c r="CJ5" s="65" ph="1"/>
      <c r="CK5" s="65" ph="1"/>
      <c r="CL5" s="65" ph="1"/>
      <c r="CM5" s="65" ph="1"/>
      <c r="CN5" s="65" ph="1"/>
      <c r="CO5" s="65" ph="1"/>
      <c r="CP5" s="65" ph="1"/>
      <c r="CQ5" s="65" ph="1"/>
      <c r="CR5" s="65" ph="1"/>
      <c r="CS5" s="65" ph="1"/>
      <c r="CT5" s="65" ph="1"/>
      <c r="CU5" s="65" ph="1"/>
    </row>
    <row r="6" spans="1:99" ph="1">
      <c r="B6" s="237" ph="1">
        <v>0.33333333333333331</v>
      </c>
      <c r="C6" s="158" t="s" ph="1">
        <v>177</v>
      </c>
      <c r="D6" s="71">
        <v>481</v>
      </c>
      <c r="E6" s="71">
        <v>3444</v>
      </c>
      <c r="F6" s="71">
        <v>3184</v>
      </c>
      <c r="G6" s="71">
        <v>899</v>
      </c>
      <c r="H6" s="71">
        <v>4579</v>
      </c>
      <c r="I6" s="71">
        <v>4.5</v>
      </c>
      <c r="J6" s="71">
        <v>6.65</v>
      </c>
      <c r="K6" s="71">
        <v>63.58</v>
      </c>
      <c r="L6" s="71">
        <v>6.93</v>
      </c>
      <c r="M6" s="71">
        <v>3233</v>
      </c>
      <c r="N6" s="71">
        <v>1321</v>
      </c>
      <c r="O6" s="71">
        <v>5305</v>
      </c>
      <c r="P6" s="71">
        <v>6972</v>
      </c>
      <c r="Q6" s="71">
        <v>7123</v>
      </c>
      <c r="R6" s="71">
        <v>6303</v>
      </c>
      <c r="S6" s="71">
        <v>7171</v>
      </c>
      <c r="T6" s="71">
        <v>5688</v>
      </c>
      <c r="U6" s="71">
        <v>0</v>
      </c>
      <c r="V6" s="71">
        <v>0</v>
      </c>
      <c r="W6" s="71">
        <v>0</v>
      </c>
      <c r="X6" s="71">
        <v>0</v>
      </c>
      <c r="Y6" s="71">
        <v>4853</v>
      </c>
      <c r="Z6" s="71">
        <v>1090</v>
      </c>
      <c r="AA6" s="71">
        <v>1120</v>
      </c>
      <c r="AB6" s="71">
        <v>661</v>
      </c>
      <c r="AC6" s="71">
        <v>7846</v>
      </c>
      <c r="AD6" s="71">
        <v>4719</v>
      </c>
      <c r="AE6" s="71">
        <v>5501</v>
      </c>
    </row>
    <row r="7" spans="1:99" s="72" customFormat="1" ht="22.2" ph="1">
      <c r="B7" s="237" ph="1"/>
      <c r="C7" s="68" t="s" ph="1">
        <v>178</v>
      </c>
      <c r="D7" s="73" ph="1">
        <f>D6*33.183*LOOKUP(D8,密度!$A$2:$A$50,密度!$Q$2:$Q$50)</f>
        <v>15099.60658869</v>
      </c>
      <c r="E7" s="73" ph="1">
        <f>E6*51.53*LOOKUP(E8,密度!$A$2:$A$50,密度!$B$2:$B$50)</f>
        <v>138195.35948399999</v>
      </c>
      <c r="F7" s="73" ph="1">
        <f>F6*33.183*LOOKUP(F8,密度!$A$2:$A$50,密度!$C$2:$C$50)</f>
        <v>117160.4657808</v>
      </c>
      <c r="G7" s="73" ph="1">
        <f xml:space="preserve"> (G6+2)*51.53*LOOKUP(G8,密度!$A$2:$A$50,密度!$B$2:$B$50)</f>
        <v>36195.681987999997</v>
      </c>
      <c r="H7" s="73" ph="1">
        <f>(H6)*51.53*LOOKUP(H8,密度!$A$2:$A$50,密度!$B$2:$B$50)</f>
        <v>183951.19625199999</v>
      </c>
      <c r="I7" s="73" ph="1">
        <f>I6*290.8*1.0267</f>
        <v>1343.53962</v>
      </c>
      <c r="J7" s="73" ph="1">
        <f>J6*290.8*0.7892</f>
        <v>1526.1707440000002</v>
      </c>
      <c r="K7" s="73" ph="1">
        <f>K6*290.8*1.1126</f>
        <v>20570.932606399998</v>
      </c>
      <c r="L7" s="73" ph="1">
        <f>L6*290.8*0.777</f>
        <v>1565.8445879999999</v>
      </c>
      <c r="M7" s="73" ph="1">
        <f>M6*33.183*LOOKUP(M8,密度!$A$2:$A$50,密度!$D$2:$D$50)</f>
        <v>110048.4794862</v>
      </c>
      <c r="N7" s="73" ph="1">
        <f>N6*33.183*LOOKUP(N8,密度!$A$2:$A$50,密度!$E$2:$E$50)</f>
        <v>34234.934283000002</v>
      </c>
      <c r="O7" s="73" ph="1">
        <f>O6*20.428*LOOKUP(O8,密度!$A$2:$A$50,密度!$C$2:$C$50)</f>
        <v>119532.70562000001</v>
      </c>
      <c r="P7" s="73" ph="1">
        <f>P6*51.53*LOOKUP(P8,密度!$A$2:$A$50,密度!$B$2:$B$50)</f>
        <v>280084.67793599999</v>
      </c>
      <c r="Q7" s="73" ph="1">
        <f>Q6*1.5*1.5*3.1416*LOOKUP(W8,密度!$A$2:$A$50,密度!$L$2:$L$50)</f>
        <v>47127.260980799998</v>
      </c>
      <c r="R7" s="73" ph="1">
        <f>R6*1.5*1.5*3.1416*LOOKUP(R8,密度!$A$2:$A$50,密度!$L$2:$L$50)</f>
        <v>41345.542022399997</v>
      </c>
      <c r="S7" s="73" ph="1">
        <f>S6*1.5*1.5*3.1416*LOOKUP(S8,密度!$A$2:$A$50,密度!$L$2:$L$50)</f>
        <v>47546.216902799999</v>
      </c>
      <c r="T7" s="73" ph="1">
        <f>T6*1.5*1.5*3.1416*LOOKUP(T8,密度!$A$2:$A$50,密度!$L$2:$L$50)</f>
        <v>37834.031188799992</v>
      </c>
      <c r="U7" s="73" ph="1">
        <f>U6*1.5*1.5*3.1416*LOOKUP(U8,密度!$A$2:$A$50,密度!$L$2:$L$50)</f>
        <v>0</v>
      </c>
      <c r="V7" s="73" ph="1">
        <f>V6*1.5*1.5*3.1416*LOOKUP(V8,密度!$A$2:$A$50,密度!$L$2:$L$50)</f>
        <v>0</v>
      </c>
      <c r="W7" s="73" ph="1">
        <f>W6*1.5*1.5*3.1416*LOOKUP(W8,密度!$A$2:$A$50,密度!$L$2:$L$50)</f>
        <v>0</v>
      </c>
      <c r="X7" s="73" ph="1">
        <f>X6*1.5*1.5*3.1416*LOOKUP(X8,密度!$A$2:$A$50,密度!$L$2:$L$50)</f>
        <v>0</v>
      </c>
      <c r="Y7" s="73" ph="1">
        <f>Y6*1.5*1.5*3.1416*LOOKUP(Y8,密度!$A$2:$A$50,密度!$L$2:$L$50)</f>
        <v>32074.161273000005</v>
      </c>
      <c r="Z7" s="73" ph="1">
        <f>Z6*33.183*LOOKUP(Z8,密度!$A$2:$A$50,密度!$L$2:$L$50)</f>
        <v>33999.301800000001</v>
      </c>
      <c r="AA7" s="73" ph="1">
        <f>AA6*33.183*LOOKUP(AA8,密度!$A$2:$A$50,密度!$D$2:$D$50)</f>
        <v>38123.815968000003</v>
      </c>
      <c r="AB7" s="73" ph="1">
        <f>AB6*20.428*LOOKUP(AB8,密度!$A$2:$A$50,密度!$D$2:$D$50)</f>
        <v>13914.746694000001</v>
      </c>
      <c r="AC7" s="73" ph="1">
        <f>AC6*51.53*LOOKUP(AC8,密度!$A$2:$A$50,密度!$Q$2:$Q$50)</f>
        <v>382197.01650160004</v>
      </c>
      <c r="AD7" s="73" ph="1">
        <f>AD6*20.428*LOOKUP(AD8,密度!$A$2:$A$50,密度!$V$2:$V$50)</f>
        <v>92312.383363200002</v>
      </c>
      <c r="AE7" s="73" ph="1">
        <f>AE6*20.428</f>
        <v>112374.428</v>
      </c>
    </row>
    <row r="8" spans="1:99" ph="1">
      <c r="B8" s="237" ph="1"/>
      <c r="C8" s="68" t="s" ph="1">
        <v>179</v>
      </c>
      <c r="D8" s="74">
        <v>26</v>
      </c>
      <c r="E8" s="74">
        <v>26</v>
      </c>
      <c r="F8" s="74">
        <v>25</v>
      </c>
      <c r="G8" s="74">
        <v>25</v>
      </c>
      <c r="H8" s="74">
        <v>25</v>
      </c>
      <c r="I8" s="74">
        <v>25</v>
      </c>
      <c r="J8" s="74">
        <v>25</v>
      </c>
      <c r="K8" s="74">
        <v>25</v>
      </c>
      <c r="L8" s="74">
        <v>25</v>
      </c>
      <c r="M8" s="74">
        <v>26</v>
      </c>
      <c r="N8" s="74">
        <v>27</v>
      </c>
      <c r="O8" s="74">
        <v>32</v>
      </c>
      <c r="P8" s="74">
        <v>25</v>
      </c>
      <c r="Q8" s="74">
        <v>31</v>
      </c>
      <c r="R8" s="74">
        <v>34</v>
      </c>
      <c r="S8" s="74">
        <v>24</v>
      </c>
      <c r="T8" s="74">
        <v>21</v>
      </c>
      <c r="U8" s="74">
        <v>26</v>
      </c>
      <c r="V8" s="74">
        <v>27</v>
      </c>
      <c r="W8" s="74">
        <v>26</v>
      </c>
      <c r="X8" s="74">
        <v>16</v>
      </c>
      <c r="Y8" s="74">
        <v>27</v>
      </c>
      <c r="Z8" s="74">
        <v>22</v>
      </c>
      <c r="AA8" s="74">
        <v>26</v>
      </c>
      <c r="AB8" s="74">
        <v>21</v>
      </c>
      <c r="AC8" s="74">
        <v>27</v>
      </c>
      <c r="AD8" s="74">
        <v>26</v>
      </c>
      <c r="AE8" s="74">
        <v>27</v>
      </c>
    </row>
    <row r="9" spans="1:99" ht="26.4" ph="1">
      <c r="B9" s="237" ph="1">
        <v>0.66666666666666663</v>
      </c>
      <c r="C9" s="158" t="s" ph="1">
        <v>180</v>
      </c>
      <c r="D9" s="71">
        <v>52</v>
      </c>
      <c r="E9" s="71">
        <v>3441</v>
      </c>
      <c r="F9" s="71">
        <v>3187</v>
      </c>
      <c r="G9" s="71">
        <v>899</v>
      </c>
      <c r="H9" s="71">
        <v>4314</v>
      </c>
      <c r="I9" s="71">
        <v>4.5</v>
      </c>
      <c r="J9" s="71">
        <v>6.69</v>
      </c>
      <c r="K9" s="71">
        <v>63.76</v>
      </c>
      <c r="L9" s="71">
        <v>21.95</v>
      </c>
      <c r="M9" s="71">
        <v>3231</v>
      </c>
      <c r="N9" s="71">
        <v>1322</v>
      </c>
      <c r="O9" s="71">
        <v>5305</v>
      </c>
      <c r="P9" s="71">
        <v>7357</v>
      </c>
      <c r="Q9" s="71">
        <v>7129</v>
      </c>
      <c r="R9" s="71">
        <v>6307</v>
      </c>
      <c r="S9" s="71">
        <v>7180</v>
      </c>
      <c r="T9" s="71">
        <v>7130</v>
      </c>
      <c r="U9" s="71">
        <v>4439</v>
      </c>
      <c r="V9" s="71">
        <v>2450</v>
      </c>
      <c r="W9" s="71">
        <v>0</v>
      </c>
      <c r="X9" s="71">
        <v>0</v>
      </c>
      <c r="Y9" s="71">
        <v>202</v>
      </c>
      <c r="Z9" s="71">
        <v>2102</v>
      </c>
      <c r="AA9" s="71">
        <v>1122</v>
      </c>
      <c r="AB9" s="71">
        <v>658</v>
      </c>
      <c r="AC9" s="71">
        <v>8187</v>
      </c>
      <c r="AD9" s="71">
        <v>4720</v>
      </c>
      <c r="AE9" s="71">
        <v>5450</v>
      </c>
    </row>
    <row r="10" spans="1:99" s="72" customFormat="1" ht="22.2" ph="1">
      <c r="B10" s="237" ph="1"/>
      <c r="C10" s="158" t="s" ph="1">
        <v>178</v>
      </c>
      <c r="D10" s="73" ph="1">
        <f>D9*33.183*LOOKUP(D11,密度!$A$2:$A$50,密度!$Q$2:$Q$50)</f>
        <v>1627.73100828</v>
      </c>
      <c r="E10" s="73" ph="1">
        <f>E9*51.53*LOOKUP(E11,密度!$A$2:$A$50,密度!$B$2:$B$50)</f>
        <v>137472.11016899999</v>
      </c>
      <c r="F10" s="73" ph="1">
        <f>F9*33.183*LOOKUP(F11,密度!$A$2:$A$50,密度!$C$2:$C$50)</f>
        <v>117112.22433539999</v>
      </c>
      <c r="G10" s="73" ph="1">
        <f xml:space="preserve"> (G9+2)*51.53*LOOKUP(G11,密度!$A$2:$A$50,密度!$B$2:$B$50)</f>
        <v>35912.467955</v>
      </c>
      <c r="H10" s="73" ph="1">
        <f>(H9)*51.53*LOOKUP(H11,密度!$A$2:$A$50,密度!$B$2:$B$50)</f>
        <v>172349.51562600001</v>
      </c>
      <c r="I10" s="73" ph="1">
        <f>I9*290.8*1.0267</f>
        <v>1343.53962</v>
      </c>
      <c r="J10" s="73" ph="1">
        <f>J9*290.8*0.7892</f>
        <v>1535.3507184000002</v>
      </c>
      <c r="K10" s="73" ph="1">
        <f>K9*290.8*1.1126</f>
        <v>20629.170540800002</v>
      </c>
      <c r="L10" s="73" ph="1">
        <f>L9*290.8*0.777</f>
        <v>4959.6376200000004</v>
      </c>
      <c r="M10" s="73" ph="1">
        <f>M9*33.183*LOOKUP(M11,密度!$A$2:$A$50,密度!$D$2:$D$50)</f>
        <v>109572.98700600001</v>
      </c>
      <c r="N10" s="73" ph="1">
        <f>N9*33.183*LOOKUP(N11,密度!$A$2:$A$50,密度!$E$2:$E$50)</f>
        <v>34111.699257599998</v>
      </c>
      <c r="O10" s="73" ph="1">
        <f>O9*20.428*LOOKUP(O11,密度!$A$2:$A$50,密度!$C$2:$C$50)</f>
        <v>119196.75694600002</v>
      </c>
      <c r="P10" s="73" ph="1">
        <f>P9*51.53*LOOKUP(P11,密度!$A$2:$A$50,密度!$B$2:$B$50)</f>
        <v>293921.04461300001</v>
      </c>
      <c r="Q10" s="73" ph="1">
        <f>Q9*1.5*1.5*3.1416*LOOKUP(W11,密度!$A$2:$A$50,密度!$L$2:$L$50)</f>
        <v>46461.469546799999</v>
      </c>
      <c r="R10" s="73" ph="1">
        <f>R9*1.5*1.5*3.1416*LOOKUP(R11,密度!$A$2:$A$50,密度!$L$2:$L$50)</f>
        <v>41327.199005399998</v>
      </c>
      <c r="S10" s="73" ph="1">
        <f>S9*1.5*1.5*3.1416*LOOKUP(S11,密度!$A$2:$A$50,密度!$L$2:$L$50)</f>
        <v>47504.384928000007</v>
      </c>
      <c r="T10" s="73" ph="1">
        <f>T9*1.5*1.5*3.1416*LOOKUP(T11,密度!$A$2:$A$50,密度!$L$2:$L$50)</f>
        <v>47274.372684000002</v>
      </c>
      <c r="U10" s="73" ph="1">
        <f>U9*1.5*1.5*3.1416*LOOKUP(U11,密度!$A$2:$A$50,密度!$L$2:$L$50)</f>
        <v>29400.7319298</v>
      </c>
      <c r="V10" s="73" ph="1">
        <f>V9*1.5*1.5*3.1416*LOOKUP(V11,密度!$A$2:$A$50,密度!$L$2:$L$50)</f>
        <v>16192.39545</v>
      </c>
      <c r="W10" s="73" ph="1">
        <f>W9*1.5*1.5*3.1416*LOOKUP(W11,密度!$A$2:$A$50,密度!$L$2:$L$50)</f>
        <v>0</v>
      </c>
      <c r="X10" s="73" ph="1">
        <f>X9*1.5*1.5*3.1416*LOOKUP(X11,密度!$A$2:$A$50,密度!$L$2:$L$50)</f>
        <v>0</v>
      </c>
      <c r="Y10" s="73" ph="1">
        <f>Y9*1.5*1.5*3.1416*LOOKUP(Y11,密度!$A$2:$A$50,密度!$L$2:$L$50)</f>
        <v>1332.1907676000001</v>
      </c>
      <c r="Z10" s="73" ph="1">
        <f>Z9*33.183*LOOKUP(Z11,密度!$A$2:$A$50,密度!$L$2:$L$50)</f>
        <v>65216.872710000003</v>
      </c>
      <c r="AA10" s="73" ph="1">
        <f>AA9*33.183*LOOKUP(AA11,密度!$A$2:$A$50,密度!$D$2:$D$50)</f>
        <v>38121.154691399999</v>
      </c>
      <c r="AB10" s="73" ph="1">
        <f>AB9*20.428*LOOKUP(AB11,密度!$A$2:$A$50,密度!$D$2:$D$50)</f>
        <v>13737.339728000001</v>
      </c>
      <c r="AC10" s="73" ph="1">
        <f>AC9*51.53*LOOKUP(AC11,密度!$A$2:$A$50,密度!$Q$2:$Q$50)</f>
        <v>398221.5165123</v>
      </c>
      <c r="AD10" s="73" ph="1">
        <f>AD9*20.428*LOOKUP(AD11,密度!$A$2:$A$50,密度!$V$2:$V$50)</f>
        <v>92331.945216000007</v>
      </c>
      <c r="AE10" s="73" ph="1">
        <f>AE9*20.428</f>
        <v>111332.6</v>
      </c>
    </row>
    <row r="11" spans="1:99" ph="1">
      <c r="A11" s="64" t="s" ph="1">
        <v>162</v>
      </c>
      <c r="B11" s="237" ph="1"/>
      <c r="C11" s="158" t="s" ph="1">
        <v>179</v>
      </c>
      <c r="D11" s="74">
        <v>30</v>
      </c>
      <c r="E11" s="74">
        <v>30</v>
      </c>
      <c r="F11" s="74">
        <v>27</v>
      </c>
      <c r="G11" s="74">
        <v>32</v>
      </c>
      <c r="H11" s="74">
        <v>30</v>
      </c>
      <c r="I11" s="74">
        <v>25</v>
      </c>
      <c r="J11" s="74">
        <v>25</v>
      </c>
      <c r="K11" s="74">
        <v>25</v>
      </c>
      <c r="L11" s="74">
        <v>25</v>
      </c>
      <c r="M11" s="74">
        <v>30</v>
      </c>
      <c r="N11" s="74">
        <v>30</v>
      </c>
      <c r="O11" s="74">
        <v>35</v>
      </c>
      <c r="P11" s="74">
        <v>30</v>
      </c>
      <c r="Q11" s="74">
        <v>33</v>
      </c>
      <c r="R11" s="74">
        <v>35</v>
      </c>
      <c r="S11" s="74">
        <v>26</v>
      </c>
      <c r="T11" s="74">
        <v>24</v>
      </c>
      <c r="U11" s="74">
        <v>25</v>
      </c>
      <c r="V11" s="74">
        <v>27</v>
      </c>
      <c r="W11" s="74">
        <v>40</v>
      </c>
      <c r="X11" s="74">
        <v>18</v>
      </c>
      <c r="Y11" s="74">
        <v>29</v>
      </c>
      <c r="Z11" s="74">
        <v>27</v>
      </c>
      <c r="AA11" s="74">
        <v>28</v>
      </c>
      <c r="AB11" s="74">
        <v>30</v>
      </c>
      <c r="AC11" s="74">
        <v>29</v>
      </c>
      <c r="AD11" s="74">
        <v>27</v>
      </c>
      <c r="AE11" s="74">
        <v>30</v>
      </c>
    </row>
    <row r="12" spans="1:99" ht="9.9" customHeight="1" ph="1"/>
    <row r="13" spans="1:99" s="72" customFormat="1" ht="29.25" customHeight="1" ph="1">
      <c r="B13" s="214" t="s" ph="1">
        <v>37</v>
      </c>
      <c r="C13" s="158" t="s" ph="1">
        <v>176</v>
      </c>
      <c r="D13" s="76" t="s" ph="1">
        <v>52</v>
      </c>
      <c r="E13" s="76" t="s" ph="1">
        <v>53</v>
      </c>
      <c r="F13" s="76" t="s" ph="1">
        <v>57</v>
      </c>
      <c r="G13" s="76" t="s" ph="1">
        <v>58</v>
      </c>
      <c r="H13" s="76" t="s" ph="1">
        <v>128</v>
      </c>
      <c r="I13" s="76" t="s" ph="1">
        <v>59</v>
      </c>
      <c r="J13" s="76" t="s" ph="1">
        <v>129</v>
      </c>
      <c r="K13" s="76" t="s" ph="1">
        <v>55</v>
      </c>
      <c r="L13" s="76" t="s" ph="1">
        <v>60</v>
      </c>
      <c r="M13" s="76" t="s" ph="1">
        <v>61</v>
      </c>
      <c r="N13" s="76" t="s" ph="1">
        <v>130</v>
      </c>
      <c r="O13" s="76" t="s" ph="1">
        <v>56</v>
      </c>
      <c r="P13" s="76" t="s" ph="1">
        <v>62</v>
      </c>
      <c r="Q13" s="76" t="s" ph="1">
        <v>63</v>
      </c>
      <c r="R13" s="76" t="s" ph="1">
        <v>64</v>
      </c>
      <c r="S13" s="76" t="s" ph="1">
        <v>65</v>
      </c>
      <c r="T13" s="76" t="s" ph="1">
        <v>66</v>
      </c>
      <c r="U13" s="76" t="s" ph="1">
        <v>67</v>
      </c>
      <c r="V13" s="76" t="s" ph="1">
        <v>131</v>
      </c>
      <c r="W13" s="76" t="s" ph="1">
        <v>132</v>
      </c>
      <c r="X13" s="76" t="s" ph="1">
        <v>133</v>
      </c>
      <c r="Y13" s="105" t="s" ph="1">
        <v>68</v>
      </c>
      <c r="Z13" s="76" t="s" ph="1">
        <v>74</v>
      </c>
      <c r="AA13" s="76" t="s" ph="1">
        <v>134</v>
      </c>
      <c r="AB13" s="76" t="s" ph="1">
        <v>135</v>
      </c>
      <c r="AC13" s="76" t="s" ph="1">
        <v>136</v>
      </c>
      <c r="AD13" s="76" t="s" ph="1">
        <v>137</v>
      </c>
      <c r="AE13" s="76" t="s" ph="1">
        <v>138</v>
      </c>
      <c r="AG13" s="72" t="s" ph="1">
        <v>325</v>
      </c>
      <c r="AH13" s="72" t="s" ph="1">
        <v>188</v>
      </c>
      <c r="AI13" s="72" t="s" ph="1">
        <v>189</v>
      </c>
      <c r="AJ13" s="72" t="s" ph="1">
        <v>190</v>
      </c>
      <c r="AK13" s="72" t="s" ph="1">
        <v>191</v>
      </c>
      <c r="AL13" s="72" t="s" ph="1">
        <v>192</v>
      </c>
      <c r="AM13" s="72" t="s" ph="1">
        <v>193</v>
      </c>
      <c r="AN13" s="72" t="s" ph="1">
        <v>194</v>
      </c>
      <c r="AO13" s="72" t="s" ph="1">
        <v>195</v>
      </c>
      <c r="AP13" s="72" t="s" ph="1">
        <v>196</v>
      </c>
      <c r="AQ13" s="72" t="s" ph="1">
        <v>197</v>
      </c>
      <c r="AR13" s="72" t="s" ph="1">
        <v>198</v>
      </c>
      <c r="AS13" s="72" t="s" ph="1">
        <v>199</v>
      </c>
      <c r="AT13" s="72" t="s" ph="1">
        <v>200</v>
      </c>
      <c r="AU13" s="72" t="s" ph="1">
        <v>201</v>
      </c>
      <c r="AV13" s="72" t="s" ph="1">
        <v>202</v>
      </c>
      <c r="AW13" s="72" t="s" ph="1">
        <v>203</v>
      </c>
      <c r="AX13" s="72" t="s" ph="1">
        <v>204</v>
      </c>
      <c r="AY13" s="72" t="s" ph="1">
        <v>326</v>
      </c>
      <c r="AZ13" s="72" t="s" ph="1">
        <v>205</v>
      </c>
      <c r="BA13" s="72" t="s" ph="1">
        <v>206</v>
      </c>
      <c r="BB13" s="72" t="s" ph="1">
        <v>591</v>
      </c>
      <c r="BC13" s="72" t="s" ph="1">
        <v>207</v>
      </c>
      <c r="BD13" s="72" t="s" ph="1">
        <v>327</v>
      </c>
      <c r="BE13" s="72" t="s" ph="1">
        <v>328</v>
      </c>
      <c r="BF13" s="72" t="s" ph="1">
        <v>329</v>
      </c>
      <c r="BG13" s="72" t="s" ph="1">
        <v>330</v>
      </c>
      <c r="BH13" s="72" t="s" ph="1">
        <v>331</v>
      </c>
    </row>
    <row r="14" spans="1:99" s="72" customFormat="1" ht="24" ph="1">
      <c r="B14" s="215" ph="1"/>
      <c r="C14" s="67" t="s" ph="1">
        <v>36</v>
      </c>
      <c r="D14" s="77" t="s" ph="1">
        <v>616</v>
      </c>
      <c r="E14" s="77" t="s" ph="1">
        <v>616</v>
      </c>
      <c r="F14" s="77" t="s" ph="1">
        <v>639</v>
      </c>
      <c r="G14" s="77" t="s" ph="1">
        <v>617</v>
      </c>
      <c r="H14" s="77" t="s" ph="1">
        <v>636</v>
      </c>
      <c r="I14" s="138" t="s" ph="1">
        <v>618</v>
      </c>
      <c r="J14" s="77" t="s" ph="1">
        <v>619</v>
      </c>
      <c r="K14" s="77" t="s" ph="1">
        <v>186</v>
      </c>
      <c r="L14" s="77" t="s" ph="1">
        <v>41</v>
      </c>
      <c r="M14" s="104" t="s" ph="1">
        <v>620</v>
      </c>
      <c r="N14" s="104" t="s" ph="1">
        <v>621</v>
      </c>
      <c r="O14" s="104" t="s" ph="1">
        <v>637</v>
      </c>
      <c r="P14" s="77" t="s" ph="1">
        <v>622</v>
      </c>
      <c r="Q14" s="77" t="s" ph="1">
        <v>622</v>
      </c>
      <c r="R14" s="77" t="s" ph="1">
        <v>622</v>
      </c>
      <c r="S14" s="77" t="s" ph="1">
        <v>622</v>
      </c>
      <c r="T14" s="77" t="s" ph="1">
        <v>624</v>
      </c>
      <c r="U14" s="77" t="s" ph="1">
        <v>605</v>
      </c>
      <c r="V14" s="77" t="s" ph="1">
        <v>633</v>
      </c>
      <c r="W14" s="77" t="s" ph="1">
        <v>622</v>
      </c>
      <c r="X14" s="77" t="s" ph="1">
        <v>625</v>
      </c>
      <c r="Y14" s="143" t="s" ph="1">
        <v>0</v>
      </c>
      <c r="Z14" s="77" t="s" ph="1">
        <v>54</v>
      </c>
      <c r="AA14" s="77" t="s" ph="1">
        <v>613</v>
      </c>
      <c r="AB14" s="77" t="s" ph="1">
        <v>632</v>
      </c>
      <c r="AC14" s="77" t="s" ph="1">
        <v>632</v>
      </c>
      <c r="AD14" s="77" t="s" ph="1">
        <v>612</v>
      </c>
      <c r="AE14" s="77" t="s" ph="1">
        <v>612</v>
      </c>
      <c r="AG14" s="72" t="s" ph="1">
        <v>208</v>
      </c>
      <c r="AI14" s="72" t="s" ph="1">
        <v>209</v>
      </c>
      <c r="AJ14" s="72" t="s" ph="1">
        <v>332</v>
      </c>
      <c r="AK14" s="72" t="s" ph="1">
        <v>210</v>
      </c>
      <c r="AM14" s="72" t="s" ph="1">
        <v>212</v>
      </c>
      <c r="AN14" s="72" t="s" ph="1">
        <v>210</v>
      </c>
      <c r="AO14" s="72" t="s" ph="1">
        <v>211</v>
      </c>
      <c r="AP14" s="72" t="s" ph="1">
        <v>212</v>
      </c>
      <c r="AQ14" s="72" t="s" ph="1">
        <v>210</v>
      </c>
      <c r="AR14" s="72" t="s" ph="1">
        <v>211</v>
      </c>
      <c r="AS14" s="72" t="s" ph="1">
        <v>212</v>
      </c>
      <c r="AT14" s="72" t="s" ph="1">
        <v>210</v>
      </c>
      <c r="AU14" s="72" t="s" ph="1">
        <v>211</v>
      </c>
      <c r="AV14" s="72" t="s" ph="1">
        <v>212</v>
      </c>
      <c r="AW14" s="72" t="s" ph="1">
        <v>210</v>
      </c>
      <c r="AX14" s="72" t="s" ph="1">
        <v>211</v>
      </c>
      <c r="AY14" s="72" t="s" ph="1">
        <v>212</v>
      </c>
      <c r="AZ14" s="72" t="s" ph="1">
        <v>211</v>
      </c>
    </row>
    <row r="15" spans="1:99" ph="1">
      <c r="B15" s="216" ph="1">
        <v>0.33333333333333331</v>
      </c>
      <c r="C15" s="158" t="s" ph="1">
        <v>177</v>
      </c>
      <c r="D15" s="78">
        <v>2068</v>
      </c>
      <c r="E15" s="78">
        <v>1736</v>
      </c>
      <c r="F15" s="78">
        <v>4169</v>
      </c>
      <c r="G15" s="78">
        <v>4498</v>
      </c>
      <c r="H15" s="78">
        <v>3461</v>
      </c>
      <c r="I15" s="78">
        <v>5185</v>
      </c>
      <c r="J15" s="78">
        <v>5252</v>
      </c>
      <c r="K15" s="78">
        <v>670</v>
      </c>
      <c r="L15" s="78">
        <v>4342</v>
      </c>
      <c r="M15" s="78">
        <v>3826</v>
      </c>
      <c r="N15" s="78">
        <v>431</v>
      </c>
      <c r="O15" s="78">
        <v>385</v>
      </c>
      <c r="P15" s="78">
        <v>3816</v>
      </c>
      <c r="Q15" s="78">
        <v>4350</v>
      </c>
      <c r="R15" s="78">
        <v>0</v>
      </c>
      <c r="S15" s="78">
        <v>3090</v>
      </c>
      <c r="T15" s="78">
        <v>2322</v>
      </c>
      <c r="U15" s="78">
        <v>5492</v>
      </c>
      <c r="V15" s="78">
        <v>-817</v>
      </c>
      <c r="W15" s="71">
        <v>4660</v>
      </c>
      <c r="X15" s="78">
        <v>817</v>
      </c>
      <c r="Y15" s="106">
        <v>-2366</v>
      </c>
      <c r="Z15" s="78">
        <v>0</v>
      </c>
      <c r="AA15" s="78">
        <v>2454</v>
      </c>
      <c r="AB15" s="78" ph="1">
        <v>0</v>
      </c>
      <c r="AC15" s="78" ph="1">
        <v>0</v>
      </c>
      <c r="AD15" s="78">
        <v>5.72</v>
      </c>
      <c r="AE15" s="78">
        <v>45.51</v>
      </c>
      <c r="AG15" s="64" t="s" ph="1">
        <v>214</v>
      </c>
      <c r="AH15" s="64" ph="1">
        <v>1</v>
      </c>
      <c r="AI15" s="64" t="s" ph="1">
        <v>333</v>
      </c>
      <c r="AK15" s="64" t="s" ph="1">
        <v>587</v>
      </c>
      <c r="AM15" s="64" t="s" ph="1">
        <v>335</v>
      </c>
      <c r="AZ15" s="64" t="s" ph="1">
        <v>216</v>
      </c>
      <c r="BA15" s="64" ph="1">
        <v>0</v>
      </c>
    </row>
    <row r="16" spans="1:99" s="72" customFormat="1" ht="22.2" ph="1">
      <c r="B16" s="217" ph="1"/>
      <c r="C16" s="158" t="s" ph="1">
        <v>178</v>
      </c>
      <c r="D16" s="73" ph="1">
        <f>D15*7.0686*LOOKUP(D17,密度!$A$2:$A$50,密度!$L$2:$L$50)</f>
        <v>13653.0857232</v>
      </c>
      <c r="E16" s="73" ph="1">
        <f>E15*7.0686*LOOKUP(E17,密度!$A$2:$A$50,密度!$L$2:$L$50)</f>
        <v>11461.197686400001</v>
      </c>
      <c r="F16" s="73" ph="1">
        <f>F15*9.0746*LOOKUP(F17,密度!$A$2:$A$50,密度!$L$2:$L$50)</f>
        <v>35221.598889400004</v>
      </c>
      <c r="G16" s="73" ph="1">
        <f>G15*9.0746*LOOKUP(G17,密度!$A$2:$A$50,密度!$B$2:$B$50)</f>
        <v>31784.626807960001</v>
      </c>
      <c r="H16" s="73" ph="1">
        <f>H15*9.0746*LOOKUP(H17,密度!$A$2:$A$50,密度!$L$2:$L$50)</f>
        <v>29397.130401600003</v>
      </c>
      <c r="I16" s="73" ph="1">
        <f>I15*9.0746*LOOKUP(I17,密度!$A$2:$A$50,密度!$U$2:$U$50)</f>
        <v>48181.044223999997</v>
      </c>
      <c r="J16" s="73" ph="1">
        <f>J15*9.0746*LOOKUP(J17,密度!$A$2:$A$50,密度!$L$2:$L$50)</f>
        <v>44418.932854400002</v>
      </c>
      <c r="K16" s="73" ph="1">
        <f>K15*9.0746*LOOKUP(K17,密度!$A$2:$A$50,密度!$C$2:$C$50)</f>
        <v>6732.9720668</v>
      </c>
      <c r="L16" s="73" ph="1">
        <f>L15*9.0746*LOOKUP(L17,密度!$A$2:$A$50,密度!$E$2:$E$50)</f>
        <v>30772.894209200003</v>
      </c>
      <c r="M16" s="73" ph="1">
        <f>M15*9.0746*LOOKUP(M17,密度!$A$2:$A$50,密度!$M$2:$M$50)</f>
        <v>30240.614471600002</v>
      </c>
      <c r="N16" s="73" ph="1">
        <f>N15*9.0746*LOOKUP(N17,密度!$A$2:$A$50,密度!$M$2:$M$50)</f>
        <v>3422.6496402600001</v>
      </c>
      <c r="O16" s="73" ph="1">
        <f>O15*9.0746*LOOKUP(O17,密度!$A$2:$A$50,密度!$G$2:$G$50)</f>
        <v>3350.478439</v>
      </c>
      <c r="P16" s="73" ph="1">
        <f ca="1">P15*9.0746*LOOKUP(P17,密度!$A$2:$A$51,密度!$Q$2:$Q$50)</f>
        <v>32735.177727552003</v>
      </c>
      <c r="Q16" s="73" ph="1">
        <f>Q15*9.0746*LOOKUP(Q17,密度!$A$2:$A$50,密度!$Q$2:$Q$50)</f>
        <v>37288.411636200006</v>
      </c>
      <c r="R16" s="73" ph="1">
        <f>MAX(R15*9.0746*LOOKUP(R17,密度!$A$2:$A$50,密度!$Q$2:$Q$50),0)</f>
        <v>0</v>
      </c>
      <c r="S16" s="73" ph="1">
        <f>S15*9.0746*LOOKUP(S17,密度!$A$2:$A$50,密度!$Q$2:$Q$50)</f>
        <v>26356.400729159999</v>
      </c>
      <c r="T16" s="73" ph="1">
        <f>T15*9.0746*LOOKUP(T17,密度!$A$2:$A$50,密度!$O$2:$O$50)</f>
        <v>19511.9508312</v>
      </c>
      <c r="U16" s="73" ph="1">
        <f>U15*9.0746*LOOKUP(U17,密度!$A$2:$A$50,密度!$H$2:$H$50)</f>
        <v>45496.839251280006</v>
      </c>
      <c r="V16" s="73" ph="1">
        <f>MAX(5600*LOOKUP(V17,密度!$A$2:$A$50,密度!$Q$2:$Q$50)+V15*9.0476*LOOKUP(V17,密度!$A$2:$A$50,密度!$Q$2:$Q$50),0)</f>
        <v>0</v>
      </c>
      <c r="W16" s="73" ph="1">
        <f>MAX(5600*LOOKUP(W17,密度!$A$2:$A$50,密度!$Q$2:$Q$50)+W15*9.0476*LOOKUP(W17,密度!$A$2:$A$50,密度!$Q$2:$Q$50),0)</f>
        <v>45083.810976880006</v>
      </c>
      <c r="X16" s="73" ph="1">
        <f>MAX(5600*LOOKUP(X17,密度!$A$2:$A$50,密度!$I$2:$I$50)+X15*9.0476*LOOKUP(X17,密度!$A$2:$A$50,密度!$I$2:$I$50),0)</f>
        <v>13482.982611760001</v>
      </c>
      <c r="Y16" s="107" ph="1">
        <v>0</v>
      </c>
      <c r="Z16" s="73" ph="1">
        <f>Z15*9.0746*LOOKUP(Z17,密度!$A$2:$A$50,密度!$D$2:$D$50)</f>
        <v>0</v>
      </c>
      <c r="AA16" s="73" ph="1">
        <f>AA15*9.0746*LOOKUP(AA17,密度!$A$2:$A$50,密度!$B$2:$B$50)</f>
        <v>17340.923563079999</v>
      </c>
      <c r="AB16" s="73" ph="1">
        <f>AB15*9.0746*LOOKUP(AB17,密度!$A$2:$A$50,密度!$L$2:$L$50)</f>
        <v>0</v>
      </c>
      <c r="AC16" s="73" ph="1">
        <f>AC15*9.0746*LOOKUP(AC17,密度!$A$2:$A$50,密度!$L$2:$L$50)</f>
        <v>0</v>
      </c>
      <c r="AD16" s="73" ph="1">
        <f>AD15*268.68*LOOKUP(AD17,密度!$A$2:$A$50,密度!B2:B50)+IF(AD15&lt;=0,0,1566*LOOKUP(AD17,密度!$A$2:$A$50,密度!B2:B50))</f>
        <v>2418.9815481599999</v>
      </c>
      <c r="AE16" s="73" ph="1">
        <f>AE15*268.68*LOOKUP(AE17,密度!$A$2:$A$50,密度!B2:B50)+IF(AE15&lt;=0,0,1566*LOOKUP(AE17,密度!$A$2:$A$50,密度!B2:B50))</f>
        <v>10753.51145328</v>
      </c>
      <c r="AH16" s="72" ph="1">
        <v>2</v>
      </c>
      <c r="AI16" s="72" t="s" ph="1">
        <v>337</v>
      </c>
      <c r="AZ16" s="72" t="s" ph="1">
        <v>216</v>
      </c>
      <c r="BA16" s="72" ph="1">
        <v>0</v>
      </c>
    </row>
    <row r="17" spans="1:57" ph="1">
      <c r="A17" s="64" t="s" ph="1">
        <v>73</v>
      </c>
      <c r="B17" s="218" ph="1"/>
      <c r="C17" s="79" t="s" ph="1">
        <v>179</v>
      </c>
      <c r="D17" s="74">
        <v>28</v>
      </c>
      <c r="E17" s="74">
        <v>28</v>
      </c>
      <c r="F17" s="74">
        <v>31</v>
      </c>
      <c r="G17" s="74">
        <v>26</v>
      </c>
      <c r="H17" s="74">
        <v>26</v>
      </c>
      <c r="I17" s="74">
        <v>26</v>
      </c>
      <c r="J17" s="74">
        <v>30</v>
      </c>
      <c r="K17" s="74">
        <v>27</v>
      </c>
      <c r="L17" s="74">
        <v>27</v>
      </c>
      <c r="M17" s="74">
        <v>29</v>
      </c>
      <c r="N17" s="74">
        <v>25</v>
      </c>
      <c r="O17" s="74">
        <v>26</v>
      </c>
      <c r="P17" s="74">
        <v>27</v>
      </c>
      <c r="Q17" s="74">
        <v>28</v>
      </c>
      <c r="R17" s="74">
        <v>27</v>
      </c>
      <c r="S17" s="74">
        <v>35</v>
      </c>
      <c r="T17" s="74">
        <v>27</v>
      </c>
      <c r="U17" s="74">
        <v>27</v>
      </c>
      <c r="V17" s="74">
        <v>27</v>
      </c>
      <c r="W17" s="74">
        <v>29</v>
      </c>
      <c r="X17" s="74">
        <v>29</v>
      </c>
      <c r="Y17" s="108">
        <v>29</v>
      </c>
      <c r="Z17" s="74">
        <v>26</v>
      </c>
      <c r="AA17" s="74">
        <v>26</v>
      </c>
      <c r="AB17" s="74">
        <v>26</v>
      </c>
      <c r="AC17" s="74">
        <v>23</v>
      </c>
      <c r="AD17" s="74">
        <v>25</v>
      </c>
      <c r="AE17" s="74">
        <v>25</v>
      </c>
      <c r="AH17" s="64" ph="1">
        <v>3</v>
      </c>
      <c r="AI17" s="64" t="s" ph="1">
        <v>338</v>
      </c>
      <c r="AK17" s="64" t="s" ph="1">
        <v>570</v>
      </c>
      <c r="AL17" s="64" ph="1">
        <v>80</v>
      </c>
      <c r="AM17" s="64" t="s" ph="1">
        <v>335</v>
      </c>
      <c r="AZ17" s="64" t="s" ph="1">
        <v>216</v>
      </c>
      <c r="BA17" s="64" ph="1">
        <v>80</v>
      </c>
      <c r="BD17" s="64" t="s" ph="1">
        <v>214</v>
      </c>
      <c r="BE17" s="64" ph="1">
        <v>2270</v>
      </c>
    </row>
    <row r="18" spans="1:57" ht="26.4" ph="1">
      <c r="B18" s="216" ph="1">
        <v>0.66666666666666663</v>
      </c>
      <c r="C18" s="79" t="s" ph="1">
        <v>180</v>
      </c>
      <c r="D18" s="71">
        <v>4230</v>
      </c>
      <c r="E18" s="71">
        <v>104</v>
      </c>
      <c r="F18" s="71">
        <v>4698</v>
      </c>
      <c r="G18" s="71">
        <v>1284</v>
      </c>
      <c r="H18" s="71">
        <v>3462</v>
      </c>
      <c r="I18" s="71">
        <v>5189</v>
      </c>
      <c r="J18" s="71">
        <v>5266</v>
      </c>
      <c r="K18" s="71">
        <v>670</v>
      </c>
      <c r="L18" s="71">
        <v>4351</v>
      </c>
      <c r="M18" s="71">
        <v>3835</v>
      </c>
      <c r="N18" s="71">
        <v>1275</v>
      </c>
      <c r="O18" s="71">
        <v>385</v>
      </c>
      <c r="P18" s="71">
        <v>2156</v>
      </c>
      <c r="Q18" s="71">
        <v>3466</v>
      </c>
      <c r="R18" s="71">
        <v>0</v>
      </c>
      <c r="S18" s="71">
        <v>3834</v>
      </c>
      <c r="T18" s="71">
        <v>1898</v>
      </c>
      <c r="U18" s="71">
        <v>5491</v>
      </c>
      <c r="V18" s="71">
        <v>349</v>
      </c>
      <c r="W18" s="71">
        <v>4978</v>
      </c>
      <c r="X18" s="71">
        <v>816</v>
      </c>
      <c r="Y18" s="109">
        <v>-9907</v>
      </c>
      <c r="Z18" s="71">
        <v>0</v>
      </c>
      <c r="AA18" s="71">
        <v>2455</v>
      </c>
      <c r="AB18" s="71">
        <v>0</v>
      </c>
      <c r="AC18" s="71">
        <v>0</v>
      </c>
      <c r="AD18" s="71">
        <v>9.18</v>
      </c>
      <c r="AE18" s="71">
        <v>88.96</v>
      </c>
      <c r="AH18" s="64" ph="1">
        <v>4</v>
      </c>
      <c r="AI18" s="64" t="s" ph="1">
        <v>340</v>
      </c>
      <c r="AJ18" s="64" t="s" ph="1">
        <v>588</v>
      </c>
      <c r="AK18" s="64" t="s" ph="1">
        <v>587</v>
      </c>
      <c r="AL18" s="64" ph="1">
        <v>740</v>
      </c>
      <c r="AM18" s="64" t="s" ph="1">
        <v>339</v>
      </c>
      <c r="AZ18" s="64" t="s" ph="1">
        <v>216</v>
      </c>
      <c r="BA18" s="64" ph="1">
        <v>740</v>
      </c>
    </row>
    <row r="19" spans="1:57" s="72" customFormat="1" ht="22.2" ph="1">
      <c r="B19" s="217" ph="1"/>
      <c r="C19" s="158" t="s" ph="1">
        <v>178</v>
      </c>
      <c r="D19" s="73" ph="1">
        <f>D18*7.0686*LOOKUP(D20,密度!$A$2:$A$50,密度!$L$2:$L$50)</f>
        <v>27866.965896000002</v>
      </c>
      <c r="E19" s="73" ph="1">
        <f>E18*7.0686*LOOKUP(E20,密度!$A$2:$A$50,密度!$L$2:$L$50)</f>
        <v>685.14526080000007</v>
      </c>
      <c r="F19" s="73" ph="1">
        <f>F18*9.0746*LOOKUP(F20,密度!$A$2:$A$50,密度!$L$2:$L$50)</f>
        <v>39648.197844000002</v>
      </c>
      <c r="G19" s="73" ph="1">
        <f>G18*9.0746*LOOKUP(G20,密度!$A$2:$A$50,密度!$B$2:$B$50)</f>
        <v>9044.1166036800005</v>
      </c>
      <c r="H19" s="73" ph="1">
        <f>H18*9.0746*LOOKUP(H20,密度!$A$2:$A$50,密度!$L$2:$L$50)</f>
        <v>29437.040492400003</v>
      </c>
      <c r="I19" s="73" ph="1">
        <f>I18*9.0746*LOOKUP(I20,密度!$A$2:$A$50,密度!$U$2:$U$50)</f>
        <v>48029.861387999998</v>
      </c>
      <c r="J19" s="73" ph="1">
        <f>J18*9.0746*LOOKUP(J20,密度!$A$2:$A$50,密度!$L$2:$L$50)</f>
        <v>44537.338235200004</v>
      </c>
      <c r="K19" s="73" ph="1">
        <f>K18*9.0746*LOOKUP(K20,密度!$A$2:$A$50,密度!$C$2:$C$50)</f>
        <v>6718.9881082000002</v>
      </c>
      <c r="L19" s="73" ph="1">
        <f>L18*9.0746*LOOKUP(L20,密度!$A$2:$A$50,密度!$E$2:$E$50)</f>
        <v>30702.435384960001</v>
      </c>
      <c r="M19" s="73" ph="1">
        <f>M18*9.0746*LOOKUP(M20,密度!$A$2:$A$50,密度!$M$2:$M$50)</f>
        <v>30237.623937170003</v>
      </c>
      <c r="N19" s="73" ph="1">
        <f>N18*9.0746*LOOKUP(N20,密度!$A$2:$A$50,密度!$M$2:$M$50)</f>
        <v>10077.570164999999</v>
      </c>
      <c r="O19" s="73" ph="1">
        <f>O18*9.0746*LOOKUP(O20,密度!$A$2:$A$50,密度!$G$2:$G$50)</f>
        <v>3335.4554386999998</v>
      </c>
      <c r="P19" s="73" ph="1">
        <f ca="1">P18*9.0746*LOOKUP(P20,密度!$A$2:$A$51,密度!$Q$2:$Q$50)</f>
        <v>18456.098253207998</v>
      </c>
      <c r="Q19" s="73" ph="1">
        <f>Q18*9.0746*LOOKUP(Q20,密度!$A$2:$A$50,密度!$Q$2:$Q$50)</f>
        <v>29670.146820788003</v>
      </c>
      <c r="R19" s="73" ph="1">
        <f>MAX(R18*9.0746*LOOKUP(R20,密度!$A$2:$A$50,密度!$Q$2:$Q$50),0)</f>
        <v>0</v>
      </c>
      <c r="S19" s="73" ph="1">
        <f>S18*9.0746*LOOKUP(S20,密度!$A$2:$A$50,密度!$Q$2:$Q$50)</f>
        <v>32680.141004520003</v>
      </c>
      <c r="T19" s="73" ph="1">
        <f>T18*9.0746*LOOKUP(T20,密度!$A$2:$A$50,密度!$O$2:$O$50)</f>
        <v>15852.592972320002</v>
      </c>
      <c r="U19" s="73" ph="1">
        <f>U18*9.0746*LOOKUP(U20,密度!$A$2:$A$50,密度!$H$2:$H$50)</f>
        <v>45393.880654600005</v>
      </c>
      <c r="V19" s="73" ph="1">
        <f>MAX(5600*LOOKUP(V20,密度!$A$2:$A$50,密度!$Q$2:$Q$50)+V18*9.0476*LOOKUP(V20,密度!$A$2:$A$50,密度!$Q$2:$Q$50),0)</f>
        <v>8261.3185052919998</v>
      </c>
      <c r="W19" s="73" ph="1">
        <f>MAX(5600*LOOKUP(W20,密度!$A$2:$A$50,密度!$Q$2:$Q$50)+W18*9.0476*LOOKUP(W20,密度!$A$2:$A$50,密度!$Q$2:$Q$50),0)</f>
        <v>47769.243344823997</v>
      </c>
      <c r="X19" s="73" ph="1">
        <f>MAX(5600*LOOKUP(X20,密度!$A$2:$A$50,密度!$I$2:$I$50)+X18*9.0476*LOOKUP(X20,密度!$A$2:$A$50,密度!$I$2:$I$50),0)</f>
        <v>13459.311886719999</v>
      </c>
      <c r="Y19" s="73" ph="1">
        <f>MAX(5600*LOOKUP(Y20,密度!$A$2:$A$50,密度!$I$2:$I$50)+Y18*9.0476*LOOKUP(Y20,密度!$A$2:$A$50,密度!$I$2:$I$50),0)</f>
        <v>0</v>
      </c>
      <c r="Z19" s="73" ph="1">
        <f>Z18*9.0746*LOOKUP(Z20,密度!$A$2:$A$50,密度!$D$2:$D$50)</f>
        <v>0</v>
      </c>
      <c r="AA19" s="73" ph="1">
        <f>AA18*9.0746*LOOKUP(AA20,密度!$A$2:$A$50,密度!$B$2:$B$50)</f>
        <v>17330.167439700002</v>
      </c>
      <c r="AB19" s="73" ph="1">
        <f>AB18*9.0746*LOOKUP(AB20,密度!$A$2:$A$50,密度!$L$2:$L$50)</f>
        <v>0</v>
      </c>
      <c r="AC19" s="73" ph="1">
        <f>AC18*9.0746*LOOKUP(AC20,密度!$A$2:$A$50,密度!$L$2:$L$50)</f>
        <v>0</v>
      </c>
      <c r="AD19" s="73" ph="1">
        <f>AD18*268.68*LOOKUP(AD20,密度!$A$2:$A$50,密度!B5:B53)+IF(AD18&lt;=0,0,1566*LOOKUP(AD20,密度!$A$2:$A$50,密度!B5:B53))</f>
        <v>3133.2388247999997</v>
      </c>
      <c r="AE19" s="73" ph="1">
        <f>AE18*268.68*LOOKUP(AE20,密度!$A$2:$A$50,密度!B5:B53)+IF(AE18&lt;=0,0,1566*LOOKUP(AE20,密度!$A$2:$A$50,密度!B5:B53))</f>
        <v>19788.459465599997</v>
      </c>
      <c r="AH19" s="72" ph="1">
        <v>5</v>
      </c>
      <c r="AI19" s="72" t="s" ph="1">
        <v>341</v>
      </c>
      <c r="AZ19" s="72" t="s" ph="1">
        <v>216</v>
      </c>
      <c r="BA19" s="72" ph="1">
        <v>0</v>
      </c>
      <c r="BD19" s="72" t="s" ph="1">
        <v>342</v>
      </c>
      <c r="BE19" s="72" ph="1">
        <v>1440</v>
      </c>
    </row>
    <row r="20" spans="1:57" ph="1">
      <c r="A20" s="72" ph="1"/>
      <c r="B20" s="217" ph="1"/>
      <c r="C20" s="80" t="s" ph="1">
        <v>179</v>
      </c>
      <c r="D20" s="81">
        <v>30</v>
      </c>
      <c r="E20" s="81">
        <v>30</v>
      </c>
      <c r="F20" s="81">
        <v>32</v>
      </c>
      <c r="G20" s="81">
        <v>29</v>
      </c>
      <c r="H20" s="81">
        <v>25</v>
      </c>
      <c r="I20" s="81">
        <v>30</v>
      </c>
      <c r="J20" s="81">
        <v>30</v>
      </c>
      <c r="K20" s="81">
        <v>30</v>
      </c>
      <c r="L20" s="81">
        <v>30</v>
      </c>
      <c r="M20" s="81">
        <v>31</v>
      </c>
      <c r="N20" s="81">
        <v>29</v>
      </c>
      <c r="O20" s="81">
        <v>30</v>
      </c>
      <c r="P20" s="81">
        <v>30</v>
      </c>
      <c r="Q20" s="81">
        <v>30</v>
      </c>
      <c r="R20" s="81">
        <v>40</v>
      </c>
      <c r="S20" s="81">
        <v>36</v>
      </c>
      <c r="T20" s="81">
        <v>34</v>
      </c>
      <c r="U20" s="81">
        <v>29</v>
      </c>
      <c r="V20" s="81">
        <v>30</v>
      </c>
      <c r="W20" s="81">
        <v>30</v>
      </c>
      <c r="X20" s="81">
        <v>30</v>
      </c>
      <c r="Y20" s="110">
        <v>30</v>
      </c>
      <c r="Z20" s="81">
        <v>36</v>
      </c>
      <c r="AA20" s="81">
        <v>27</v>
      </c>
      <c r="AB20" s="81">
        <v>35</v>
      </c>
      <c r="AC20" s="81">
        <v>30</v>
      </c>
      <c r="AD20" s="81">
        <v>25</v>
      </c>
      <c r="AE20" s="81">
        <v>25</v>
      </c>
      <c r="AF20" s="64" t="s" ph="1">
        <v>35</v>
      </c>
      <c r="AH20" s="64" ph="1">
        <v>6</v>
      </c>
      <c r="AI20" s="64" t="s" ph="1">
        <v>343</v>
      </c>
      <c r="AZ20" s="64" t="s" ph="1">
        <v>216</v>
      </c>
      <c r="BA20" s="64" ph="1">
        <v>0</v>
      </c>
    </row>
    <row r="21" spans="1:57" ph="1">
      <c r="A21" s="72" ph="1"/>
      <c r="B21" s="82" ph="1"/>
      <c r="C21" s="83" ph="1"/>
      <c r="D21" s="84"/>
      <c r="E21" s="84"/>
      <c r="F21" s="84"/>
      <c r="G21" s="84"/>
      <c r="H21" s="84"/>
      <c r="I21" s="84"/>
      <c r="J21" s="84"/>
      <c r="K21" s="84"/>
      <c r="L21" s="84"/>
      <c r="M21" s="84"/>
      <c r="N21" s="84"/>
      <c r="O21" s="84"/>
      <c r="P21" s="84"/>
      <c r="Q21" s="84"/>
      <c r="R21" s="84"/>
      <c r="S21" s="84"/>
      <c r="T21" s="84"/>
      <c r="U21" s="84"/>
      <c r="V21" s="84"/>
      <c r="W21" s="84"/>
      <c r="X21" s="84"/>
      <c r="Y21" s="84"/>
      <c r="Z21" s="84"/>
      <c r="AA21" s="84"/>
      <c r="AB21" s="84"/>
      <c r="AC21" s="84"/>
      <c r="AD21" s="84"/>
      <c r="AE21" s="84"/>
      <c r="AH21" s="64" ph="1">
        <v>7</v>
      </c>
      <c r="AI21" s="64" t="s" ph="1">
        <v>344</v>
      </c>
      <c r="AZ21" s="64" t="s" ph="1">
        <v>216</v>
      </c>
      <c r="BA21" s="64" ph="1">
        <v>0</v>
      </c>
      <c r="BD21" s="64" t="s" ph="1">
        <v>232</v>
      </c>
      <c r="BE21" s="64" ph="1">
        <v>730</v>
      </c>
    </row>
    <row r="22" spans="1:57" ph="1">
      <c r="A22" s="72" ph="1"/>
      <c r="B22" s="215" t="s" ph="1">
        <v>37</v>
      </c>
      <c r="C22" s="85" t="s" ph="1">
        <v>176</v>
      </c>
      <c r="D22" s="86" t="s" ph="1">
        <v>86</v>
      </c>
      <c r="E22" s="86" t="s" ph="1">
        <v>87</v>
      </c>
      <c r="F22" s="86" t="s" ph="1">
        <v>88</v>
      </c>
      <c r="G22" s="86" t="s" ph="1">
        <v>89</v>
      </c>
      <c r="H22" s="86" t="s" ph="1">
        <v>90</v>
      </c>
      <c r="I22" s="86" t="s" ph="1">
        <v>91</v>
      </c>
      <c r="J22" s="86" t="s" ph="1">
        <v>92</v>
      </c>
      <c r="K22" s="86" t="s" ph="1">
        <v>93</v>
      </c>
      <c r="L22" s="86" t="s" ph="1">
        <v>94</v>
      </c>
      <c r="M22" s="86" t="s" ph="1">
        <v>95</v>
      </c>
      <c r="N22" s="86" t="s" ph="1">
        <v>96</v>
      </c>
      <c r="O22" s="86" t="s" ph="1">
        <v>97</v>
      </c>
      <c r="P22" s="86" t="s" ph="1">
        <v>98</v>
      </c>
      <c r="Q22" s="87" t="s" ph="1">
        <v>99</v>
      </c>
      <c r="R22" s="86" t="s" ph="1">
        <v>100</v>
      </c>
      <c r="S22" s="86" t="s" ph="1">
        <v>101</v>
      </c>
      <c r="T22" s="86" t="s" ph="1">
        <v>102</v>
      </c>
      <c r="U22" s="86" t="s" ph="1">
        <v>103</v>
      </c>
      <c r="V22" s="86" t="s" ph="1">
        <v>104</v>
      </c>
      <c r="W22" s="86" t="s" ph="1">
        <v>105</v>
      </c>
      <c r="X22" s="86" t="s" ph="1">
        <v>106</v>
      </c>
      <c r="Y22" s="86" t="s" ph="1">
        <v>108</v>
      </c>
      <c r="Z22" s="225" t="s" ph="1">
        <v>69</v>
      </c>
      <c r="AA22" s="226"/>
      <c r="AB22" s="226"/>
      <c r="AC22" s="226"/>
      <c r="AD22" s="226"/>
      <c r="AE22" s="227"/>
      <c r="AH22" s="64" ph="1">
        <v>8</v>
      </c>
      <c r="AI22" s="64" t="s" ph="1">
        <v>345</v>
      </c>
      <c r="AZ22" s="64" t="s" ph="1">
        <v>216</v>
      </c>
      <c r="BA22" s="64" ph="1">
        <v>0</v>
      </c>
    </row>
    <row r="23" spans="1:57" ph="1">
      <c r="A23" s="72" ph="1"/>
      <c r="B23" s="219" ph="1"/>
      <c r="C23" s="67" t="s" ph="1">
        <v>36</v>
      </c>
      <c r="D23" s="88" t="s" ph="1">
        <v>109</v>
      </c>
      <c r="E23" s="88" t="s" ph="1">
        <v>107</v>
      </c>
      <c r="F23" s="88" t="s" ph="1">
        <v>109</v>
      </c>
      <c r="G23" s="88" t="s" ph="1">
        <v>626</v>
      </c>
      <c r="H23" s="88" t="s" ph="1">
        <v>626</v>
      </c>
      <c r="I23" s="88" t="s" ph="1">
        <v>627</v>
      </c>
      <c r="J23" s="88" t="s" ph="1">
        <v>628</v>
      </c>
      <c r="K23" s="88" t="s" ph="1">
        <v>628</v>
      </c>
      <c r="L23" s="88" t="s" ph="1">
        <v>628</v>
      </c>
      <c r="M23" s="88" t="s" ph="1">
        <v>623</v>
      </c>
      <c r="N23" s="88" t="s" ph="1">
        <v>623</v>
      </c>
      <c r="O23" s="88" t="s" ph="1">
        <v>645</v>
      </c>
      <c r="P23" s="88" t="s" ph="1">
        <v>629</v>
      </c>
      <c r="Q23" s="89" t="s" ph="1">
        <v>643</v>
      </c>
      <c r="R23" s="88" t="s" ph="1">
        <v>610</v>
      </c>
      <c r="S23" s="88" t="s" ph="1">
        <v>629</v>
      </c>
      <c r="T23" s="88" t="s" ph="1">
        <v>604</v>
      </c>
      <c r="U23" s="104" t="s" ph="1">
        <v>606</v>
      </c>
      <c r="V23" s="88" t="s" ph="1">
        <v>629</v>
      </c>
      <c r="W23" s="88" t="s" ph="1">
        <v>629</v>
      </c>
      <c r="X23" s="88" t="s" ph="1">
        <v>187</v>
      </c>
      <c r="Y23" s="88" t="s" ph="1">
        <v>630</v>
      </c>
      <c r="Z23" s="228" t="s" ph="1">
        <v>646</v>
      </c>
      <c r="AA23" s="229"/>
      <c r="AB23" s="229"/>
      <c r="AC23" s="229"/>
      <c r="AD23" s="229"/>
      <c r="AE23" s="230"/>
      <c r="AH23" s="64" ph="1">
        <v>9</v>
      </c>
      <c r="AI23" s="64" t="s" ph="1">
        <v>346</v>
      </c>
      <c r="AZ23" s="64" t="s" ph="1">
        <v>216</v>
      </c>
      <c r="BA23" s="64" ph="1">
        <v>0</v>
      </c>
      <c r="BD23" s="64" t="s" ph="1">
        <v>238</v>
      </c>
      <c r="BE23" s="64" ph="1">
        <v>890</v>
      </c>
    </row>
    <row r="24" spans="1:57" ph="1">
      <c r="A24" s="72" ph="1"/>
      <c r="B24" s="237" ph="1">
        <v>0.33333333333333331</v>
      </c>
      <c r="C24" s="158" t="s" ph="1">
        <v>177</v>
      </c>
      <c r="D24" s="71">
        <v>3.03</v>
      </c>
      <c r="E24" s="71">
        <v>5.49</v>
      </c>
      <c r="F24" s="71">
        <v>493</v>
      </c>
      <c r="G24" s="71">
        <v>3570</v>
      </c>
      <c r="H24" s="71">
        <v>2795</v>
      </c>
      <c r="I24" s="71">
        <v>582</v>
      </c>
      <c r="J24" s="71">
        <v>2707</v>
      </c>
      <c r="K24" s="71">
        <v>4767</v>
      </c>
      <c r="L24" s="71">
        <v>302</v>
      </c>
      <c r="M24" s="71">
        <v>4866</v>
      </c>
      <c r="N24" s="71">
        <v>324</v>
      </c>
      <c r="O24" s="71">
        <v>1772</v>
      </c>
      <c r="P24" s="71">
        <v>367</v>
      </c>
      <c r="Q24" s="90">
        <v>1840</v>
      </c>
      <c r="R24" s="71">
        <v>5801</v>
      </c>
      <c r="S24" s="71">
        <v>4107</v>
      </c>
      <c r="T24" s="71">
        <v>114</v>
      </c>
      <c r="U24" s="71">
        <v>5666</v>
      </c>
      <c r="V24" s="71">
        <v>736</v>
      </c>
      <c r="W24" s="71">
        <v>435</v>
      </c>
      <c r="X24" s="71">
        <v>4561</v>
      </c>
      <c r="Y24" s="71">
        <v>2471</v>
      </c>
      <c r="Z24" s="231"/>
      <c r="AA24" s="232"/>
      <c r="AB24" s="232"/>
      <c r="AC24" s="232"/>
      <c r="AD24" s="232"/>
      <c r="AE24" s="233"/>
      <c r="AH24" s="64" ph="1">
        <v>10</v>
      </c>
      <c r="AI24" s="64" t="s" ph="1">
        <v>347</v>
      </c>
      <c r="AZ24" s="64" t="s" ph="1">
        <v>216</v>
      </c>
      <c r="BA24" s="64" ph="1">
        <v>0</v>
      </c>
    </row>
    <row r="25" spans="1:57" ph="1">
      <c r="A25" s="72" ph="1"/>
      <c r="B25" s="237" ph="1"/>
      <c r="C25" s="68" t="s" ph="1">
        <v>178</v>
      </c>
      <c r="D25" s="91" ph="1">
        <f>D24*268.68*LOOKUP(D26,密度!$A$2:$A$50,密度!$Q$2:$Q$50)+IF(D24&lt;=0,0,1566*LOOKUP(D26,密度!$A$2:$A$50,密度!$Q$2:$Q$50))</f>
        <v>2253.336252696</v>
      </c>
      <c r="E25" s="91" ph="1">
        <f>E24*268.68*LOOKUP(E26,密度!$A$2:$A$50,密度!$C$2:$C$50)+IF(E24&lt;=0,0,1566*LOOKUP(E26,密度!$A$2:$A$50,密度!$C$2:$C$50))</f>
        <v>3372.2238934799998</v>
      </c>
      <c r="F25" s="91" ph="1">
        <f>F24*11.702*LOOKUP(F26,密度!$A$2:$A$50,密度!$Q$2:$Q$50)</f>
        <v>5457.7284285800006</v>
      </c>
      <c r="G25" s="91" ph="1">
        <f>G24*18.322*LOOKUP(G26,密度!$A$2:$A$50,密度!$B$2:$B$50)</f>
        <v>50993.277383999994</v>
      </c>
      <c r="H25" s="91" ph="1">
        <f>H24*18.322*LOOKUP(H26,密度!$A$2:$A$50,密度!$B$2:$B$50)</f>
        <v>39923.308203999994</v>
      </c>
      <c r="I25" s="91" ph="1">
        <f>I24*18.322*LOOKUP(I26,密度!$A$2:$A$50,密度!$Q$2:$Q$50)</f>
        <v>10103.255387879999</v>
      </c>
      <c r="J25" s="91" ph="1">
        <f>J24*18.322*LOOKUP(J26,密度!$A$2:$A$50,密度!$Q$2:$Q$50)</f>
        <v>46920.868613619998</v>
      </c>
      <c r="K25" s="91" ph="1">
        <f>K24*18.322*LOOKUP(K26,密度!$A$2:$A$50,密度!$Q$2:$Q$50)</f>
        <v>82752.952635780006</v>
      </c>
      <c r="L25" s="91" ph="1">
        <f>L24*18.322*LOOKUP(L26,密度!$A$2:$A$50,密度!$Q$2:$Q$50)</f>
        <v>5242.58269268</v>
      </c>
      <c r="M25" s="91" ph="1">
        <f>M24*18.322*LOOKUP(M26,密度!$A$2:$A$50,密度!$Q$2:$Q$50)</f>
        <v>84406.464582479995</v>
      </c>
      <c r="N25" s="91" ph="1">
        <f>N24*18.322*LOOKUP(N26,密度!$A$2:$A$50,密度!$Q$2:$Q$50)</f>
        <v>5615.94437784</v>
      </c>
      <c r="O25" s="91" ph="1">
        <f>O24*18.322*LOOKUP(O26,密度!$A$2:$A$50,密度!$C$2:$C$50)</f>
        <v>36024.921606399999</v>
      </c>
      <c r="P25" s="91" ph="1">
        <f>P24*11.702*LOOKUP(P26,密度!$A$2:$A$50,密度!$B$2:$B$50)</f>
        <v>3348.0966663999998</v>
      </c>
      <c r="Q25" s="92" ph="1">
        <f>Q24*18.322*LOOKUP(Q26,密度!$A$2:$A$50,密度!$B$2:$B$50)</f>
        <v>26282.249407999996</v>
      </c>
      <c r="R25" s="91" ph="1">
        <f>R24*35.891*LOOKUP(R26,密度!$A$2:$A$50,密度!$C$2:$C$50)</f>
        <v>230710.50999710002</v>
      </c>
      <c r="S25" s="91" ph="1">
        <f>S24*35.891*LOOKUP(S26,密度!$A$2:$A$50,密度!$B$2:$B$50)</f>
        <v>115049.08502849999</v>
      </c>
      <c r="T25" s="91" ph="1">
        <f>T24*35.891*LOOKUP(T26,密度!$A$2:$A$50,密度!$Q$2:$Q$50)</f>
        <v>3870.7517512199997</v>
      </c>
      <c r="U25" s="91" ph="1">
        <f>U24*35.891</f>
        <v>203358.40599999999</v>
      </c>
      <c r="V25" s="91" ph="1">
        <f>V24*47.051*LOOKUP(V26,密度!$A$2:$A$50,密度!$B$2:$B$50)</f>
        <v>26997.186265599998</v>
      </c>
      <c r="W25" s="91" ph="1">
        <f>W24*47.051*LOOKUP(W26,密度!$A$2:$A$50,密度!$B$2:$B$50)</f>
        <v>15974.637892500001</v>
      </c>
      <c r="X25" s="91" ph="1">
        <f>X24*47.051*LOOKUP(X26,密度!$A$2:$A$61,密度!$I$2:$I$61)</f>
        <v>223205.05540110002</v>
      </c>
      <c r="Y25" s="91" ph="1">
        <f>Y24*47.051*LOOKUP(Y26,密度!$A$2:$A$50,密度!$L$2:$L$50)</f>
        <v>108822.18765600001</v>
      </c>
      <c r="Z25" s="231"/>
      <c r="AA25" s="232"/>
      <c r="AB25" s="232"/>
      <c r="AC25" s="232"/>
      <c r="AD25" s="232"/>
      <c r="AE25" s="233"/>
      <c r="AH25" s="64" ph="1">
        <v>11</v>
      </c>
      <c r="AI25" s="64" t="s" ph="1">
        <v>348</v>
      </c>
      <c r="AZ25" s="64" t="s" ph="1">
        <v>216</v>
      </c>
      <c r="BA25" s="64" ph="1">
        <v>0</v>
      </c>
      <c r="BD25" s="64" t="s" ph="1">
        <v>241</v>
      </c>
      <c r="BE25" s="64" ph="1">
        <v>8920</v>
      </c>
    </row>
    <row r="26" spans="1:57" ph="1">
      <c r="A26" s="72" ph="1"/>
      <c r="B26" s="237" ph="1"/>
      <c r="C26" s="68" t="s" ph="1">
        <v>179</v>
      </c>
      <c r="D26" s="74">
        <v>25</v>
      </c>
      <c r="E26" s="74">
        <v>25</v>
      </c>
      <c r="F26" s="74">
        <v>26</v>
      </c>
      <c r="G26" s="74">
        <v>25</v>
      </c>
      <c r="H26" s="74">
        <v>25</v>
      </c>
      <c r="I26" s="74">
        <v>24</v>
      </c>
      <c r="J26" s="74">
        <v>26</v>
      </c>
      <c r="K26" s="74">
        <v>24</v>
      </c>
      <c r="L26" s="74">
        <v>24</v>
      </c>
      <c r="M26" s="74">
        <v>25</v>
      </c>
      <c r="N26" s="74">
        <v>26</v>
      </c>
      <c r="O26" s="74">
        <v>24</v>
      </c>
      <c r="P26" s="74">
        <v>25</v>
      </c>
      <c r="Q26" s="93">
        <v>25</v>
      </c>
      <c r="R26" s="74">
        <v>26</v>
      </c>
      <c r="S26" s="74">
        <v>24</v>
      </c>
      <c r="T26" s="74">
        <v>26</v>
      </c>
      <c r="U26" s="74">
        <v>26</v>
      </c>
      <c r="V26" s="74">
        <v>25</v>
      </c>
      <c r="W26" s="74">
        <v>24</v>
      </c>
      <c r="X26" s="74">
        <v>27</v>
      </c>
      <c r="Y26" s="74">
        <v>26</v>
      </c>
      <c r="Z26" s="231"/>
      <c r="AA26" s="232"/>
      <c r="AB26" s="232"/>
      <c r="AC26" s="232"/>
      <c r="AD26" s="232"/>
      <c r="AE26" s="233"/>
      <c r="AH26" s="64" ph="1">
        <v>12</v>
      </c>
      <c r="AI26" s="64" t="s" ph="1">
        <v>349</v>
      </c>
      <c r="AZ26" s="64" t="s" ph="1">
        <v>216</v>
      </c>
      <c r="BA26" s="64" ph="1">
        <v>0</v>
      </c>
    </row>
    <row r="27" spans="1:57" ht="26.4" ph="1">
      <c r="A27" s="72" ph="1"/>
      <c r="B27" s="237" ph="1">
        <v>0.66666666666666663</v>
      </c>
      <c r="C27" s="158" t="s" ph="1">
        <v>180</v>
      </c>
      <c r="D27" s="71">
        <v>3</v>
      </c>
      <c r="E27" s="71">
        <v>68.45</v>
      </c>
      <c r="F27" s="71">
        <v>492</v>
      </c>
      <c r="G27" s="71">
        <v>3127</v>
      </c>
      <c r="H27" s="71">
        <v>2366</v>
      </c>
      <c r="I27" s="71">
        <v>173</v>
      </c>
      <c r="J27" s="71">
        <v>2705</v>
      </c>
      <c r="K27" s="71">
        <v>4767</v>
      </c>
      <c r="L27" s="71">
        <v>295</v>
      </c>
      <c r="M27" s="71">
        <v>4865</v>
      </c>
      <c r="N27" s="71">
        <v>319</v>
      </c>
      <c r="O27" s="71">
        <v>2660</v>
      </c>
      <c r="P27" s="71">
        <v>362</v>
      </c>
      <c r="Q27" s="90">
        <v>2106</v>
      </c>
      <c r="R27" s="71">
        <v>5352</v>
      </c>
      <c r="S27" s="71">
        <v>4104</v>
      </c>
      <c r="T27" s="71">
        <v>112</v>
      </c>
      <c r="U27" s="71">
        <v>5742</v>
      </c>
      <c r="V27" s="71">
        <v>731</v>
      </c>
      <c r="W27" s="71">
        <v>429</v>
      </c>
      <c r="X27" s="71">
        <v>4100</v>
      </c>
      <c r="Y27" s="71">
        <v>844</v>
      </c>
      <c r="Z27" s="231"/>
      <c r="AA27" s="232"/>
      <c r="AB27" s="232"/>
      <c r="AC27" s="232"/>
      <c r="AD27" s="232"/>
      <c r="AE27" s="233"/>
      <c r="AH27" s="64" ph="1">
        <v>13</v>
      </c>
      <c r="AI27" s="64" t="s" ph="1">
        <v>350</v>
      </c>
      <c r="AZ27" s="64" t="s" ph="1">
        <v>216</v>
      </c>
      <c r="BA27" s="64" ph="1">
        <v>0</v>
      </c>
      <c r="BD27" s="64" t="s" ph="1">
        <v>295</v>
      </c>
      <c r="BE27" s="64" ph="1">
        <v>7100</v>
      </c>
    </row>
    <row r="28" spans="1:57" ph="1">
      <c r="A28" s="72" ph="1"/>
      <c r="B28" s="237" ph="1"/>
      <c r="C28" s="158" t="s" ph="1">
        <v>178</v>
      </c>
      <c r="D28" s="91" ph="1">
        <f>D27*268.68*LOOKUP(D29,密度!$A$2:$A$50,密度!$Q$2:$Q$50)+IF(D27&lt;=0,0,1566*LOOKUP(D29,密度!$A$2:$A$50,密度!$Q$2:$Q$50))</f>
        <v>2245.7051495999999</v>
      </c>
      <c r="E28" s="91" ph="1">
        <f>E27*268.68*LOOKUP(E29,密度!$A$2:$A$50,密度!$C$2:$C$50)+IF(E27&lt;=0,0,1566*LOOKUP(E29,密度!$A$2:$A$50,密度!$C$2:$C$50))</f>
        <v>22130.479199400001</v>
      </c>
      <c r="F28" s="91" ph="1">
        <f>F27*11.702*LOOKUP(F29,密度!$A$2:$A$50,密度!$Q$2:$Q$50)</f>
        <v>5431.1130487199998</v>
      </c>
      <c r="G28" s="91" ph="1">
        <f>G27*18.322*LOOKUP(G29,密度!$A$2:$A$50,密度!$B$2:$B$50)</f>
        <v>44419.180718199998</v>
      </c>
      <c r="H28" s="91" ph="1">
        <f>H27*18.322*LOOKUP(H29,密度!$A$2:$A$50,密度!$B$2:$B$50)</f>
        <v>33648.1551224</v>
      </c>
      <c r="I28" s="91" ph="1">
        <f>I27*18.322*LOOKUP(I29,密度!$A$2:$A$50,密度!$Q$2:$Q$50)</f>
        <v>2991.9805845799997</v>
      </c>
      <c r="J28" s="91" ph="1">
        <f>J27*18.322*LOOKUP(J29,密度!$A$2:$A$50,密度!$Q$2:$Q$50)</f>
        <v>46715.216805799995</v>
      </c>
      <c r="K28" s="91" ph="1">
        <f>K27*18.322*LOOKUP(K29,密度!$A$2:$A$50,密度!$Q$2:$Q$50)</f>
        <v>82325.855272920002</v>
      </c>
      <c r="L28" s="91" ph="1">
        <f>L27*18.322*LOOKUP(L29,密度!$A$2:$A$50,密度!$Q$2:$Q$50)</f>
        <v>5101.9322106999998</v>
      </c>
      <c r="M28" s="91" ph="1">
        <f>M27*18.322*LOOKUP(M29,密度!$A$2:$A$50,密度!$Q$2:$Q$50)</f>
        <v>84085.162844899998</v>
      </c>
      <c r="N28" s="91" ph="1">
        <f>N27*18.322*LOOKUP(N29,密度!$A$2:$A$50,密度!$Q$2:$Q$50)</f>
        <v>5517.0046617400003</v>
      </c>
      <c r="O28" s="91" ph="1">
        <f>O27*18.322*LOOKUP(O29,密度!$A$2:$A$50,密度!$C$2:$C$50)</f>
        <v>53931.833031999995</v>
      </c>
      <c r="P28" s="91" ph="1">
        <f>P27*11.702*LOOKUP(P29,密度!$A$2:$A$50,密度!$B$2:$B$50)</f>
        <v>3276.6419139999998</v>
      </c>
      <c r="Q28" s="92" ph="1">
        <f>Q27*18.322*LOOKUP(Q29,密度!$A$2:$A$50,密度!$B$2:$B$50)</f>
        <v>29881.100620799996</v>
      </c>
      <c r="R28" s="91" ph="1">
        <f>R27*35.891*LOOKUP(R29,密度!$A$2:$A$50,密度!$C$2:$C$50)</f>
        <v>212277.14722319998</v>
      </c>
      <c r="S28" s="91" ph="1">
        <f>S27*35.891*LOOKUP(S29,密度!$A$2:$A$50,密度!$B$2:$B$50)</f>
        <v>114199.1035992</v>
      </c>
      <c r="T28" s="91" ph="1">
        <f>T27*35.891*LOOKUP(T29,密度!$A$2:$A$50,密度!$Q$2:$Q$50)</f>
        <v>3788.9755433599998</v>
      </c>
      <c r="U28" s="91" ph="1">
        <f>U27*35.891</f>
        <v>206086.122</v>
      </c>
      <c r="V28" s="91" ph="1">
        <f>V27*47.051*LOOKUP(V29,密度!$A$2:$A$50,密度!$B$2:$B$50)</f>
        <v>26603.976353500002</v>
      </c>
      <c r="W28" s="91" ph="1">
        <f>W27*47.051*LOOKUP(W29,密度!$A$2:$A$50,密度!$B$2:$B$50)</f>
        <v>15613.0039065</v>
      </c>
      <c r="X28" s="91" ph="1">
        <f>X27*47.051*LOOKUP(X29,密度!$A$2:$A$61,密度!$I$2:$I$61)</f>
        <v>199120.77301999999</v>
      </c>
      <c r="Y28" s="91" ph="1">
        <f>Y27*47.051*LOOKUP(Y29,密度!$A$2:$A$50,密度!$L$2:$L$50)</f>
        <v>36970.981964000006</v>
      </c>
      <c r="Z28" s="231"/>
      <c r="AA28" s="232"/>
      <c r="AB28" s="232"/>
      <c r="AC28" s="232"/>
      <c r="AD28" s="232"/>
      <c r="AE28" s="233"/>
      <c r="AH28" s="64" ph="1">
        <v>14</v>
      </c>
      <c r="AI28" s="64" t="s" ph="1">
        <v>351</v>
      </c>
      <c r="AZ28" s="64" t="s" ph="1">
        <v>216</v>
      </c>
      <c r="BA28" s="64" ph="1">
        <v>0</v>
      </c>
    </row>
    <row r="29" spans="1:57" ph="1">
      <c r="A29" s="72" ph="1"/>
      <c r="B29" s="237" ph="1"/>
      <c r="C29" s="158" t="s" ph="1">
        <v>179</v>
      </c>
      <c r="D29" s="74">
        <v>25</v>
      </c>
      <c r="E29" s="74">
        <v>25</v>
      </c>
      <c r="F29" s="74">
        <v>30</v>
      </c>
      <c r="G29" s="74">
        <v>30</v>
      </c>
      <c r="H29" s="74">
        <v>29</v>
      </c>
      <c r="I29" s="74">
        <v>29</v>
      </c>
      <c r="J29" s="74">
        <v>31</v>
      </c>
      <c r="K29" s="74">
        <v>31</v>
      </c>
      <c r="L29" s="74">
        <v>29</v>
      </c>
      <c r="M29" s="74">
        <v>30</v>
      </c>
      <c r="N29" s="74">
        <v>29</v>
      </c>
      <c r="O29" s="74">
        <v>28</v>
      </c>
      <c r="P29" s="74">
        <v>32</v>
      </c>
      <c r="Q29" s="93">
        <v>31</v>
      </c>
      <c r="R29" s="74">
        <v>30</v>
      </c>
      <c r="S29" s="74">
        <v>30</v>
      </c>
      <c r="T29" s="74">
        <v>31</v>
      </c>
      <c r="U29" s="74">
        <v>31</v>
      </c>
      <c r="V29" s="74">
        <v>32</v>
      </c>
      <c r="W29" s="74">
        <v>32</v>
      </c>
      <c r="X29" s="74">
        <v>34</v>
      </c>
      <c r="Y29" s="74">
        <v>31</v>
      </c>
      <c r="Z29" s="234"/>
      <c r="AA29" s="235"/>
      <c r="AB29" s="235"/>
      <c r="AC29" s="235"/>
      <c r="AD29" s="235"/>
      <c r="AE29" s="236"/>
      <c r="AH29" s="64" ph="1">
        <v>15</v>
      </c>
      <c r="AI29" s="64" t="s" ph="1">
        <v>352</v>
      </c>
      <c r="AZ29" s="64" t="s" ph="1">
        <v>216</v>
      </c>
      <c r="BA29" s="64" ph="1">
        <v>0</v>
      </c>
      <c r="BD29" s="64" t="s" ph="1">
        <v>353</v>
      </c>
      <c r="BE29" s="64" ph="1">
        <v>890</v>
      </c>
    </row>
    <row r="30" spans="1:57" ph="1">
      <c r="D30" s="94" ph="1"/>
      <c r="Z30" s="64" t="s" ph="1">
        <v>35</v>
      </c>
      <c r="AE30" s="95" ph="1"/>
      <c r="AH30" s="64" ph="1">
        <v>16</v>
      </c>
      <c r="AI30" s="64" t="s" ph="1">
        <v>354</v>
      </c>
      <c r="AZ30" s="64" t="s" ph="1">
        <v>216</v>
      </c>
      <c r="BA30" s="64" ph="1">
        <v>0</v>
      </c>
    </row>
    <row r="31" spans="1:57" ht="28.2" ph="1">
      <c r="A31" s="64"/>
      <c r="B31" s="220" t="s" ph="1">
        <v>35</v>
      </c>
      <c r="C31" s="221" ph="1"/>
      <c r="D31" s="224" t="s" ph="1">
        <v>9</v>
      </c>
      <c r="E31" s="199" ph="1"/>
      <c r="F31" s="200" ph="1"/>
      <c r="G31" s="224" t="s" ph="1">
        <v>18</v>
      </c>
      <c r="H31" s="199" ph="1"/>
      <c r="I31" s="200" ph="1"/>
      <c r="J31" s="198" t="s" ph="1">
        <v>1</v>
      </c>
      <c r="K31" s="199" ph="1"/>
      <c r="L31" s="200" ph="1"/>
      <c r="M31" s="198" t="s" ph="1">
        <v>7</v>
      </c>
      <c r="N31" s="199" ph="1"/>
      <c r="O31" s="200" ph="1"/>
      <c r="P31" s="198" t="s" ph="1">
        <v>41</v>
      </c>
      <c r="Q31" s="199"/>
      <c r="R31" s="200"/>
      <c r="S31" s="198" t="s" ph="1">
        <v>2</v>
      </c>
      <c r="T31" s="199"/>
      <c r="U31" s="200"/>
      <c r="V31" s="198" t="s" ph="1">
        <v>71</v>
      </c>
      <c r="W31" s="199" ph="1"/>
      <c r="X31" s="200" ph="1"/>
      <c r="Y31" s="198" t="s" ph="1">
        <v>3</v>
      </c>
      <c r="Z31" s="199" ph="1"/>
      <c r="AA31" s="200" ph="1"/>
      <c r="AB31" s="201" t="s">
        <v>42</v>
      </c>
      <c r="AC31" s="202"/>
      <c r="AD31" s="202"/>
      <c r="AE31" s="203"/>
      <c r="AH31" s="64" ph="1">
        <v>17</v>
      </c>
      <c r="AI31" s="64" t="s" ph="1">
        <v>355</v>
      </c>
      <c r="AZ31" s="64" t="s" ph="1">
        <v>216</v>
      </c>
      <c r="BA31" s="64" ph="1">
        <v>0</v>
      </c>
      <c r="BD31" s="64" t="s" ph="1">
        <v>356</v>
      </c>
      <c r="BE31" s="64" ph="1">
        <v>9310</v>
      </c>
    </row>
    <row r="32" spans="1:57" ph="1">
      <c r="A32" s="64"/>
      <c r="B32" s="222" ph="1"/>
      <c r="C32" s="223" ph="1"/>
      <c r="D32" s="96" t="s" ph="1">
        <v>4</v>
      </c>
      <c r="E32" s="158" t="s" ph="1">
        <v>5</v>
      </c>
      <c r="F32" s="157" t="s" ph="1">
        <v>43</v>
      </c>
      <c r="G32" s="97" t="s" ph="1">
        <v>4</v>
      </c>
      <c r="H32" s="158" t="s" ph="1">
        <v>5</v>
      </c>
      <c r="I32" s="157" t="s" ph="1">
        <v>43</v>
      </c>
      <c r="J32" s="97" t="s" ph="1">
        <v>4</v>
      </c>
      <c r="K32" s="158" t="s" ph="1">
        <v>5</v>
      </c>
      <c r="L32" s="157" t="s" ph="1">
        <v>43</v>
      </c>
      <c r="M32" s="97" t="s" ph="1">
        <v>4</v>
      </c>
      <c r="N32" s="158" t="s" ph="1">
        <v>5</v>
      </c>
      <c r="O32" s="157" t="s" ph="1">
        <v>43</v>
      </c>
      <c r="P32" s="97" t="s" ph="1">
        <v>4</v>
      </c>
      <c r="Q32" s="98" t="s" ph="1">
        <v>5</v>
      </c>
      <c r="R32" s="99" t="s" ph="1">
        <v>43</v>
      </c>
      <c r="S32" s="97" t="s" ph="1">
        <v>4</v>
      </c>
      <c r="T32" s="158" t="s" ph="1">
        <v>5</v>
      </c>
      <c r="U32" s="99" t="s" ph="1">
        <v>43</v>
      </c>
      <c r="V32" s="97" t="s" ph="1">
        <v>4</v>
      </c>
      <c r="W32" s="158" t="s" ph="1">
        <v>5</v>
      </c>
      <c r="X32" s="99" t="s" ph="1">
        <v>43</v>
      </c>
      <c r="Y32" s="100" t="s" ph="1">
        <v>4</v>
      </c>
      <c r="Z32" s="158" t="s" ph="1">
        <v>5</v>
      </c>
      <c r="AA32" s="157" t="s" ph="1">
        <v>43</v>
      </c>
      <c r="AB32" s="97" t="s" ph="1">
        <v>85</v>
      </c>
      <c r="AC32" s="158" t="s" ph="1">
        <v>84</v>
      </c>
      <c r="AD32" s="204" t="s" ph="1">
        <v>83</v>
      </c>
      <c r="AE32" s="205"/>
      <c r="AH32" s="64" ph="1">
        <v>18</v>
      </c>
      <c r="AI32" s="64" t="s" ph="1">
        <v>357</v>
      </c>
      <c r="AZ32" s="64" t="s" ph="1">
        <v>216</v>
      </c>
      <c r="BA32" s="64" ph="1">
        <v>0</v>
      </c>
    </row>
    <row r="33" spans="1:57" ph="1">
      <c r="A33" s="64"/>
      <c r="B33" s="206" t="s" ph="1">
        <v>181</v>
      </c>
      <c r="C33" s="207" ph="1"/>
      <c r="D33" s="186" ph="1">
        <f>AA10+AB10+Z19</f>
        <v>51858.494419399998</v>
      </c>
      <c r="E33" s="186" ph="1">
        <f>M10+I10</f>
        <v>110916.52662600001</v>
      </c>
      <c r="F33" s="210" ph="1">
        <f>表格_取樣回收每月庫存表_0620更新1522252632456786910111213141516171819202123456789101112131415161718192022232424356789101112131415161718192021222345678910111213141516171819202345678910111213149101516171819222123234567891012131415161711181920212224252345678910111213119[[#This Row],[F25]]</f>
        <v>3880</v>
      </c>
      <c r="G33" s="212" ph="1">
        <f>N19</f>
        <v>10077.570164999999</v>
      </c>
      <c r="H33" s="186" ph="1">
        <f>M19</f>
        <v>30237.623937170003</v>
      </c>
      <c r="I33" s="190" ph="1">
        <v>0</v>
      </c>
      <c r="J33" s="194" ph="1">
        <f>F10+O28</f>
        <v>171044.05736739998</v>
      </c>
      <c r="K33" s="186" ph="1">
        <f>O10+K10+E28+R28</f>
        <v>374233.55390940001</v>
      </c>
      <c r="L33" s="196" ph="1">
        <f>K19</f>
        <v>6718.9881082000002</v>
      </c>
      <c r="M33" s="194" ph="1">
        <f>G10+H10+W28+S28+V28+E10+R19+P28+Q28</f>
        <v>535307.92014399997</v>
      </c>
      <c r="N33" s="186" ph="1">
        <f>L10+P10++G28+H28+AD19+AE19</f>
        <v>399869.71636399999</v>
      </c>
      <c r="O33" s="190" ph="1">
        <f>G19</f>
        <v>9044.1166036800005</v>
      </c>
      <c r="P33" s="194" ph="1">
        <f>L19</f>
        <v>30702.435384960001</v>
      </c>
      <c r="Q33" s="186" ph="1">
        <f>J10+N10</f>
        <v>35647.049975999995</v>
      </c>
      <c r="R33" s="190" ph="1">
        <f>BE23</f>
        <v>890</v>
      </c>
      <c r="S33" s="194" ph="1">
        <f>X28</f>
        <v>199120.77301999999</v>
      </c>
      <c r="T33" s="186" ph="1">
        <f>X19</f>
        <v>13459.311886719999</v>
      </c>
      <c r="U33" s="175" ph="1">
        <f>BE21</f>
        <v>730</v>
      </c>
      <c r="V33" s="188" ph="1">
        <f ca="1">P19+Q19+S19+M28+N28+J28+D10+AC10+D19+E19+H19+J19+O19+V19+W19+K28+L28</f>
        <v>866293.312568372</v>
      </c>
      <c r="W33" s="188" ph="1">
        <f>D28+F28+T28+I28</f>
        <v>14457.77432626</v>
      </c>
      <c r="X33" s="190" ph="1">
        <f>BE29+BE31</f>
        <v>10200</v>
      </c>
      <c r="Y33" s="192" ph="1">
        <f>+Q10+R10+S10+T10+U10+V10+W10+X10+Y10</f>
        <v>229492.74431160002</v>
      </c>
      <c r="Z33" s="173" ph="1">
        <f>T19+U19+Y28+Z10</f>
        <v>163434.32830092002</v>
      </c>
      <c r="AA33" s="175" ph="1">
        <f>BE19</f>
        <v>1440</v>
      </c>
      <c r="AB33" s="177" ph="1">
        <f>I19</f>
        <v>48029.861387999998</v>
      </c>
      <c r="AC33" s="179" ph="1">
        <f>AD10+AB19</f>
        <v>92331.945216000007</v>
      </c>
      <c r="AD33" s="181" ph="1">
        <v>0</v>
      </c>
      <c r="AE33" s="182"/>
      <c r="AH33" s="64" ph="1">
        <v>19</v>
      </c>
      <c r="AI33" s="64" t="s" ph="1">
        <v>358</v>
      </c>
      <c r="AJ33" s="64" t="s" ph="1">
        <v>592</v>
      </c>
      <c r="AK33" s="64" t="s" ph="1">
        <v>589</v>
      </c>
      <c r="AL33" s="64" ph="1">
        <v>730</v>
      </c>
      <c r="AM33" s="64" t="s" ph="1">
        <v>339</v>
      </c>
      <c r="AZ33" s="64" t="s" ph="1">
        <v>216</v>
      </c>
      <c r="BA33" s="64" ph="1">
        <v>730</v>
      </c>
      <c r="BD33" s="64" t="s" ph="1">
        <v>290</v>
      </c>
      <c r="BE33" s="64" ph="1">
        <v>3880</v>
      </c>
    </row>
    <row r="34" spans="1:57" ph="1">
      <c r="A34" s="64"/>
      <c r="B34" s="208" ph="1"/>
      <c r="C34" s="209" ph="1"/>
      <c r="D34" s="187" ph="1"/>
      <c r="E34" s="187" ph="1"/>
      <c r="F34" s="211" ph="1"/>
      <c r="G34" s="213" ph="1"/>
      <c r="H34" s="187" ph="1"/>
      <c r="I34" s="191" ph="1"/>
      <c r="J34" s="195" ph="1"/>
      <c r="K34" s="187" ph="1"/>
      <c r="L34" s="197" ph="1"/>
      <c r="M34" s="195" ph="1"/>
      <c r="N34" s="187" ph="1"/>
      <c r="O34" s="191" ph="1"/>
      <c r="P34" s="195" ph="1"/>
      <c r="Q34" s="187" ph="1"/>
      <c r="R34" s="191" ph="1"/>
      <c r="S34" s="195" ph="1"/>
      <c r="T34" s="187"/>
      <c r="U34" s="176"/>
      <c r="V34" s="189" ph="1"/>
      <c r="W34" s="189" ph="1"/>
      <c r="X34" s="191" ph="1"/>
      <c r="Y34" s="193" ph="1"/>
      <c r="Z34" s="174" ph="1"/>
      <c r="AA34" s="176" ph="1"/>
      <c r="AB34" s="178"/>
      <c r="AC34" s="180"/>
      <c r="AD34" s="183"/>
      <c r="AE34" s="184"/>
      <c r="AH34" s="64" ph="1">
        <v>20</v>
      </c>
      <c r="AI34" s="64" t="s" ph="1">
        <v>359</v>
      </c>
      <c r="AJ34" s="64" t="s" ph="1">
        <v>593</v>
      </c>
      <c r="AK34" s="64" t="s" ph="1">
        <v>589</v>
      </c>
      <c r="AL34" s="64" ph="1">
        <v>720</v>
      </c>
      <c r="AM34" s="64" t="s" ph="1">
        <v>339</v>
      </c>
      <c r="AZ34" s="64" t="s" ph="1">
        <v>216</v>
      </c>
      <c r="BA34" s="64" ph="1">
        <v>720</v>
      </c>
    </row>
    <row r="35" spans="1:57" ph="1">
      <c r="A35" s="64"/>
      <c r="AC35" s="185" t="s" ph="1">
        <v>631</v>
      </c>
      <c r="AD35" s="185"/>
      <c r="AE35" s="185"/>
      <c r="AH35" s="64" ph="1">
        <v>21</v>
      </c>
      <c r="AI35" s="64" t="s" ph="1">
        <v>360</v>
      </c>
      <c r="AZ35" s="64" t="s" ph="1">
        <v>216</v>
      </c>
      <c r="BA35" s="64" ph="1">
        <v>0</v>
      </c>
      <c r="BD35" s="64" t="s" ph="1">
        <v>361</v>
      </c>
      <c r="BE35" s="64" ph="1">
        <v>2030</v>
      </c>
    </row>
    <row r="36" spans="1:57" ht="28.2" ph="1">
      <c r="A36" s="64"/>
      <c r="B36" s="103" t="s" ph="1">
        <v>182</v>
      </c>
      <c r="I36" s="171" t="s" ph="1">
        <v>183</v>
      </c>
      <c r="J36" s="171" ph="1"/>
      <c r="K36" s="101" ph="1"/>
      <c r="P36" s="101" ph="1"/>
      <c r="R36" s="171" t="s" ph="1">
        <v>184</v>
      </c>
      <c r="S36" s="171" ph="1"/>
      <c r="Y36" s="102" ph="1"/>
      <c r="Z36" s="156" t="s" ph="1">
        <v>185</v>
      </c>
      <c r="AA36" s="156" ph="1"/>
      <c r="AB36" s="172" t="s" ph="1">
        <v>640</v>
      </c>
      <c r="AC36" s="172" ph="1"/>
      <c r="AD36" s="172" ph="1"/>
      <c r="AE36" s="172" ph="1"/>
      <c r="BA36" s="64" ph="1">
        <v>2270</v>
      </c>
    </row>
    <row r="37" spans="1:57" s="156" customFormat="1" ph="1">
      <c r="A37" s="64" ph="1"/>
      <c r="B37" s="64" ph="1"/>
      <c r="C37" s="64" ph="1"/>
      <c r="D37" s="64" ph="1"/>
      <c r="E37" s="64" ph="1"/>
      <c r="F37" s="64" ph="1"/>
      <c r="G37" s="64" ph="1"/>
      <c r="H37" s="64" ph="1"/>
      <c r="I37" s="64" ph="1"/>
      <c r="J37" s="64" ph="1"/>
      <c r="K37" s="64" ph="1"/>
      <c r="L37" s="64" ph="1"/>
      <c r="M37" s="64" ph="1"/>
      <c r="N37" s="64" ph="1"/>
      <c r="O37" s="64" ph="1"/>
      <c r="P37" s="64" ph="1"/>
      <c r="Q37" s="64" ph="1"/>
      <c r="R37" s="64" ph="1"/>
      <c r="S37" s="64" ph="1"/>
      <c r="T37" s="64" ph="1"/>
      <c r="U37" s="64" ph="1"/>
      <c r="V37" s="64" ph="1"/>
      <c r="W37" s="64" ph="1"/>
      <c r="X37" s="64" ph="1"/>
      <c r="Y37" s="64" ph="1"/>
      <c r="Z37" s="64" ph="1"/>
      <c r="AA37" s="64" ph="1"/>
      <c r="AB37" s="64" ph="1"/>
      <c r="AC37" s="64" ph="1"/>
      <c r="AD37" s="64" ph="1"/>
      <c r="AE37" s="64" ph="1"/>
      <c r="AG37" s="156" t="s" ph="1">
        <v>342</v>
      </c>
      <c r="AI37" s="156" t="s" ph="1">
        <v>209</v>
      </c>
      <c r="AJ37" s="156" t="s" ph="1">
        <v>210</v>
      </c>
      <c r="AK37" s="156" t="s" ph="1">
        <v>211</v>
      </c>
      <c r="AM37" s="156" t="s" ph="1">
        <v>210</v>
      </c>
      <c r="AN37" s="156" t="s" ph="1">
        <v>211</v>
      </c>
      <c r="AO37" s="156" t="s" ph="1">
        <v>212</v>
      </c>
      <c r="AP37" s="156" t="s" ph="1">
        <v>210</v>
      </c>
      <c r="AQ37" s="156" t="s" ph="1">
        <v>211</v>
      </c>
      <c r="AR37" s="156" t="s" ph="1">
        <v>212</v>
      </c>
      <c r="AS37" s="156" t="s" ph="1">
        <v>210</v>
      </c>
      <c r="AT37" s="156" t="s" ph="1">
        <v>211</v>
      </c>
      <c r="AU37" s="156" t="s" ph="1">
        <v>212</v>
      </c>
      <c r="AV37" s="156" t="s" ph="1">
        <v>210</v>
      </c>
      <c r="AW37" s="156" t="s" ph="1">
        <v>211</v>
      </c>
      <c r="AX37" s="156" t="s" ph="1">
        <v>212</v>
      </c>
      <c r="AY37" s="156" t="s" ph="1">
        <v>211</v>
      </c>
      <c r="AZ37" s="156" t="s" ph="1">
        <v>213</v>
      </c>
      <c r="BD37" s="156" t="s" ph="1">
        <v>305</v>
      </c>
      <c r="BE37" s="156" ph="1">
        <v>0</v>
      </c>
    </row>
    <row r="38" spans="1:57" ph="1">
      <c r="AE38" s="64" ph="1"/>
      <c r="AH38" s="64" ph="1">
        <v>1</v>
      </c>
      <c r="AI38" s="64" t="s" ph="1">
        <v>362</v>
      </c>
      <c r="AY38" s="64" t="s" ph="1">
        <v>216</v>
      </c>
      <c r="AZ38" s="64" t="s" ph="1">
        <v>367</v>
      </c>
    </row>
    <row r="39" spans="1:57" ph="1">
      <c r="AH39" s="64" ph="1">
        <v>2</v>
      </c>
      <c r="AI39" s="64" t="s" ph="1">
        <v>364</v>
      </c>
      <c r="AJ39" s="64" t="s" ph="1">
        <v>336</v>
      </c>
      <c r="AK39" s="64" t="s" ph="1">
        <v>365</v>
      </c>
      <c r="AM39" s="64" t="s" ph="1">
        <v>570</v>
      </c>
      <c r="AN39" s="64" t="s" ph="1">
        <v>228</v>
      </c>
      <c r="AO39" s="64" t="s" ph="1">
        <v>363</v>
      </c>
      <c r="AY39" s="64" t="s" ph="1">
        <v>216</v>
      </c>
      <c r="AZ39" s="64" t="s" ph="1">
        <v>499</v>
      </c>
    </row>
    <row r="40" spans="1:57" ph="1">
      <c r="AH40" s="64" ph="1">
        <v>3</v>
      </c>
      <c r="AI40" s="64" t="s" ph="1">
        <v>366</v>
      </c>
      <c r="AJ40" s="64" t="s" ph="1">
        <v>570</v>
      </c>
      <c r="AK40" s="64" t="s" ph="1">
        <v>571</v>
      </c>
      <c r="AY40" s="64" t="s" ph="1">
        <v>216</v>
      </c>
      <c r="AZ40" s="64" t="s" ph="1">
        <v>571</v>
      </c>
    </row>
    <row r="41" spans="1:57" ph="1">
      <c r="AH41" s="64" ph="1">
        <v>4</v>
      </c>
      <c r="AI41" s="64" t="s" ph="1">
        <v>368</v>
      </c>
      <c r="AJ41" s="64" t="s" ph="1">
        <v>572</v>
      </c>
      <c r="AK41" s="64" t="s" ph="1">
        <v>573</v>
      </c>
      <c r="AM41" s="64" t="s" ph="1">
        <v>574</v>
      </c>
      <c r="AY41" s="64" t="s" ph="1">
        <v>216</v>
      </c>
      <c r="AZ41" s="64" t="s" ph="1">
        <v>573</v>
      </c>
    </row>
    <row r="42" spans="1:57" ph="1">
      <c r="P42" s="64"/>
      <c r="Q42" s="64"/>
      <c r="R42" s="64"/>
      <c r="S42" s="64"/>
      <c r="T42" s="64"/>
      <c r="U42" s="64"/>
      <c r="V42" s="64"/>
      <c r="W42" s="64"/>
      <c r="X42" s="64"/>
      <c r="Y42" s="64"/>
      <c r="Z42" s="64"/>
      <c r="AA42" s="64"/>
      <c r="AB42" s="64"/>
      <c r="AC42" s="64"/>
      <c r="AD42" s="64"/>
      <c r="AE42" s="75"/>
      <c r="AH42" s="64" ph="1">
        <v>5</v>
      </c>
      <c r="AI42" s="64" t="s" ph="1">
        <v>369</v>
      </c>
      <c r="AY42" s="64" t="s" ph="1">
        <v>216</v>
      </c>
      <c r="AZ42" s="64" t="s" ph="1">
        <v>367</v>
      </c>
    </row>
    <row r="43" spans="1:57" ph="1">
      <c r="C43" s="64"/>
      <c r="D43" s="64"/>
      <c r="E43" s="64"/>
      <c r="F43" s="64"/>
      <c r="G43" s="64"/>
      <c r="H43" s="64"/>
      <c r="I43" s="64"/>
      <c r="J43" s="64"/>
      <c r="K43" s="64"/>
      <c r="L43" s="64"/>
      <c r="M43" s="64"/>
      <c r="N43" s="64"/>
      <c r="O43" s="64"/>
      <c r="P43" s="64"/>
      <c r="R43" s="64"/>
      <c r="S43" s="64"/>
      <c r="T43" s="64"/>
      <c r="U43" s="64"/>
      <c r="V43" s="64"/>
      <c r="W43" s="64"/>
      <c r="X43" s="64"/>
      <c r="Y43" s="64"/>
      <c r="Z43" s="64"/>
      <c r="AA43" s="64"/>
      <c r="AB43" s="64"/>
      <c r="AC43" s="64"/>
      <c r="AD43" s="64"/>
      <c r="AE43" s="75"/>
      <c r="AH43" s="64" ph="1">
        <v>6</v>
      </c>
      <c r="AI43" s="64" t="s" ph="1">
        <v>370</v>
      </c>
      <c r="AY43" s="64" t="s" ph="1">
        <v>216</v>
      </c>
      <c r="AZ43" s="64" t="s" ph="1">
        <v>367</v>
      </c>
    </row>
    <row r="44" spans="1:57" ph="1">
      <c r="R44" s="64"/>
      <c r="S44" s="64"/>
      <c r="T44" s="64"/>
      <c r="U44" s="64"/>
      <c r="V44" s="64"/>
      <c r="W44" s="64"/>
      <c r="X44" s="64"/>
      <c r="Y44" s="64"/>
      <c r="Z44" s="64"/>
      <c r="AA44" s="64"/>
      <c r="AB44" s="64"/>
      <c r="AC44" s="64"/>
      <c r="AD44" s="64"/>
      <c r="AE44" s="75"/>
      <c r="AH44" s="64" ph="1">
        <v>7</v>
      </c>
      <c r="AI44" s="64" t="s" ph="1">
        <v>371</v>
      </c>
      <c r="AV44" s="64" t="s" ph="1">
        <v>217</v>
      </c>
      <c r="AY44" s="64" t="s" ph="1">
        <v>216</v>
      </c>
      <c r="AZ44" s="64" t="s" ph="1">
        <v>367</v>
      </c>
    </row>
    <row r="45" spans="1:57" ph="1">
      <c r="R45" s="64"/>
      <c r="S45" s="64"/>
      <c r="T45" s="64"/>
      <c r="U45" s="64"/>
      <c r="V45" s="64"/>
      <c r="W45" s="64"/>
      <c r="X45" s="64"/>
      <c r="Y45" s="64"/>
      <c r="Z45" s="64"/>
      <c r="AA45" s="64"/>
      <c r="AB45" s="64"/>
      <c r="AC45" s="64"/>
      <c r="AD45" s="64"/>
      <c r="AE45" s="75"/>
      <c r="AH45" s="64" ph="1">
        <v>8</v>
      </c>
      <c r="AI45" s="64" t="s" ph="1">
        <v>372</v>
      </c>
      <c r="AV45" s="64" t="s" ph="1">
        <v>217</v>
      </c>
      <c r="AY45" s="64" t="s" ph="1">
        <v>216</v>
      </c>
      <c r="AZ45" s="64" t="s" ph="1">
        <v>367</v>
      </c>
    </row>
    <row r="46" spans="1:57" ph="1">
      <c r="R46" s="64"/>
      <c r="S46" s="64"/>
      <c r="T46" s="64"/>
      <c r="U46" s="64"/>
      <c r="V46" s="64"/>
      <c r="W46" s="64"/>
      <c r="X46" s="64"/>
      <c r="Y46" s="64"/>
      <c r="Z46" s="64"/>
      <c r="AA46" s="64"/>
      <c r="AB46" s="64"/>
      <c r="AC46" s="64"/>
      <c r="AD46" s="64"/>
      <c r="AE46" s="75"/>
      <c r="AH46" s="64" ph="1">
        <v>9</v>
      </c>
      <c r="AI46" s="64" t="s" ph="1">
        <v>373</v>
      </c>
      <c r="AV46" s="64" t="s" ph="1">
        <v>217</v>
      </c>
      <c r="AY46" s="64" t="s" ph="1">
        <v>216</v>
      </c>
      <c r="AZ46" s="64" t="s" ph="1">
        <v>367</v>
      </c>
    </row>
    <row r="47" spans="1:57" ph="1">
      <c r="R47" s="64"/>
      <c r="S47" s="64"/>
      <c r="T47" s="64"/>
      <c r="U47" s="64"/>
      <c r="V47" s="64"/>
      <c r="W47" s="64"/>
      <c r="X47" s="64"/>
      <c r="Y47" s="64"/>
      <c r="Z47" s="64"/>
      <c r="AA47" s="64"/>
      <c r="AB47" s="64"/>
      <c r="AC47" s="64"/>
      <c r="AD47" s="64"/>
      <c r="AE47" s="75"/>
      <c r="AH47" s="64" ph="1">
        <v>10</v>
      </c>
      <c r="AI47" s="64" t="s" ph="1">
        <v>374</v>
      </c>
      <c r="AV47" s="64" t="s" ph="1">
        <v>217</v>
      </c>
      <c r="AY47" s="64" t="s" ph="1">
        <v>216</v>
      </c>
      <c r="AZ47" s="64" t="s" ph="1">
        <v>367</v>
      </c>
    </row>
    <row r="48" spans="1:57" ph="1">
      <c r="R48" s="64"/>
      <c r="S48" s="64"/>
      <c r="T48" s="64"/>
      <c r="U48" s="64"/>
      <c r="V48" s="64"/>
      <c r="W48" s="64"/>
      <c r="X48" s="64"/>
      <c r="Y48" s="64"/>
      <c r="Z48" s="64"/>
      <c r="AA48" s="64"/>
      <c r="AB48" s="64"/>
      <c r="AC48" s="64"/>
      <c r="AD48" s="64"/>
      <c r="AE48" s="75"/>
      <c r="AZ48" s="64" t="s" ph="1">
        <v>575</v>
      </c>
    </row>
    <row r="49" spans="16:52" ph="1">
      <c r="R49" s="64"/>
      <c r="S49" s="64"/>
      <c r="T49" s="64"/>
      <c r="U49" s="64"/>
      <c r="V49" s="64"/>
      <c r="W49" s="64"/>
      <c r="X49" s="64"/>
      <c r="Y49" s="64"/>
      <c r="Z49" s="64"/>
      <c r="AA49" s="64"/>
      <c r="AB49" s="64"/>
      <c r="AC49" s="64"/>
      <c r="AD49" s="64"/>
      <c r="AE49" s="75"/>
      <c r="AG49" s="64" t="s" ph="1">
        <v>232</v>
      </c>
      <c r="AI49" s="64" t="s" ph="1">
        <v>209</v>
      </c>
      <c r="AJ49" s="64" t="s" ph="1">
        <v>210</v>
      </c>
      <c r="AK49" s="64" t="s" ph="1">
        <v>211</v>
      </c>
      <c r="AM49" s="64" t="s" ph="1">
        <v>210</v>
      </c>
      <c r="AN49" s="64" t="s" ph="1">
        <v>211</v>
      </c>
      <c r="AO49" s="64" t="s" ph="1">
        <v>212</v>
      </c>
      <c r="AP49" s="64" t="s" ph="1">
        <v>210</v>
      </c>
      <c r="AQ49" s="64" t="s" ph="1">
        <v>211</v>
      </c>
      <c r="AR49" s="64" t="s" ph="1">
        <v>212</v>
      </c>
      <c r="AS49" s="64" t="s" ph="1">
        <v>210</v>
      </c>
      <c r="AT49" s="64" t="s" ph="1">
        <v>211</v>
      </c>
      <c r="AU49" s="64" t="s" ph="1">
        <v>212</v>
      </c>
      <c r="AV49" s="64" t="s" ph="1">
        <v>210</v>
      </c>
      <c r="AW49" s="64" t="s" ph="1">
        <v>211</v>
      </c>
      <c r="AX49" s="64" t="s" ph="1">
        <v>212</v>
      </c>
      <c r="AY49" s="64" t="s" ph="1">
        <v>211</v>
      </c>
      <c r="AZ49" s="64" t="s" ph="1">
        <v>213</v>
      </c>
    </row>
    <row r="50" spans="16:52" ph="1">
      <c r="R50" s="64"/>
      <c r="S50" s="64"/>
      <c r="T50" s="64"/>
      <c r="U50" s="64"/>
      <c r="V50" s="64"/>
      <c r="W50" s="64"/>
      <c r="X50" s="64"/>
      <c r="Y50" s="64"/>
      <c r="Z50" s="64"/>
      <c r="AA50" s="64"/>
      <c r="AB50" s="64"/>
      <c r="AC50" s="64"/>
      <c r="AD50" s="64"/>
      <c r="AE50" s="75"/>
      <c r="AH50" s="64" ph="1">
        <v>1</v>
      </c>
      <c r="AI50" s="64" t="s" ph="1">
        <v>375</v>
      </c>
      <c r="AY50" s="64" t="s" ph="1">
        <v>216</v>
      </c>
      <c r="AZ50" s="64" t="s" ph="1">
        <v>367</v>
      </c>
    </row>
    <row r="51" spans="16:52" ph="1">
      <c r="R51" s="64"/>
      <c r="S51" s="64"/>
      <c r="T51" s="64"/>
      <c r="U51" s="64"/>
      <c r="V51" s="64"/>
      <c r="W51" s="64"/>
      <c r="X51" s="64"/>
      <c r="Y51" s="64"/>
      <c r="Z51" s="64"/>
      <c r="AA51" s="64"/>
      <c r="AB51" s="64"/>
      <c r="AC51" s="64"/>
      <c r="AD51" s="64"/>
      <c r="AE51" s="75"/>
      <c r="AH51" s="64" ph="1">
        <v>2</v>
      </c>
      <c r="AI51" s="64" t="s" ph="1">
        <v>376</v>
      </c>
      <c r="AY51" s="64" t="s" ph="1">
        <v>216</v>
      </c>
      <c r="AZ51" s="64" t="s" ph="1">
        <v>367</v>
      </c>
    </row>
    <row r="52" spans="16:52" ph="1">
      <c r="R52" s="64"/>
      <c r="S52" s="64"/>
      <c r="T52" s="64"/>
      <c r="U52" s="64"/>
      <c r="V52" s="64"/>
      <c r="W52" s="64"/>
      <c r="X52" s="64"/>
      <c r="Y52" s="64"/>
      <c r="Z52" s="64"/>
      <c r="AA52" s="64"/>
      <c r="AB52" s="64"/>
      <c r="AC52" s="64"/>
      <c r="AD52" s="64"/>
      <c r="AE52" s="75"/>
      <c r="AH52" s="64" ph="1">
        <v>3</v>
      </c>
      <c r="AI52" s="64" t="s" ph="1">
        <v>377</v>
      </c>
      <c r="AJ52" s="64" t="s" ph="1">
        <v>334</v>
      </c>
      <c r="AK52" s="64" t="s" ph="1">
        <v>228</v>
      </c>
      <c r="AM52" s="64" t="s" ph="1">
        <v>336</v>
      </c>
      <c r="AN52" s="64" t="s" ph="1">
        <v>300</v>
      </c>
      <c r="AO52" s="64" t="s" ph="1">
        <v>233</v>
      </c>
      <c r="AP52" s="64" t="s" ph="1">
        <v>570</v>
      </c>
      <c r="AQ52" s="64" t="s" ph="1">
        <v>282</v>
      </c>
      <c r="AR52" s="64" t="s" ph="1">
        <v>233</v>
      </c>
      <c r="AY52" s="64" t="s" ph="1">
        <v>216</v>
      </c>
      <c r="AZ52" s="64" t="s" ph="1">
        <v>576</v>
      </c>
    </row>
    <row r="53" spans="16:52" ph="1">
      <c r="R53" s="64"/>
      <c r="S53" s="64"/>
      <c r="T53" s="64"/>
      <c r="U53" s="64"/>
      <c r="W53" s="64"/>
      <c r="X53" s="64"/>
      <c r="Y53" s="64"/>
      <c r="Z53" s="64"/>
      <c r="AA53" s="64"/>
      <c r="AB53" s="64"/>
      <c r="AC53" s="64"/>
      <c r="AD53" s="64"/>
      <c r="AH53" s="64" ph="1">
        <v>4</v>
      </c>
      <c r="AI53" s="64" t="s" ph="1">
        <v>378</v>
      </c>
      <c r="AY53" s="64" t="s" ph="1">
        <v>216</v>
      </c>
      <c r="AZ53" s="64" t="s" ph="1">
        <v>367</v>
      </c>
    </row>
    <row r="54" spans="16:52" ph="1">
      <c r="R54" s="64"/>
      <c r="S54" s="64"/>
      <c r="T54" s="64"/>
      <c r="U54" s="64"/>
      <c r="W54" s="64"/>
      <c r="X54" s="64"/>
      <c r="Y54" s="64"/>
      <c r="Z54" s="64"/>
      <c r="AA54" s="64"/>
      <c r="AC54" s="64"/>
      <c r="AD54" s="64"/>
      <c r="AH54" s="64" ph="1">
        <v>5</v>
      </c>
      <c r="AI54" s="64" t="s" ph="1">
        <v>379</v>
      </c>
      <c r="AJ54" s="64" t="s" ph="1">
        <v>334</v>
      </c>
      <c r="AK54" s="64" t="s" ph="1">
        <v>219</v>
      </c>
      <c r="AM54" s="64" t="s" ph="1">
        <v>336</v>
      </c>
      <c r="AN54" s="64" t="s" ph="1">
        <v>224</v>
      </c>
      <c r="AO54" s="64" t="s" ph="1">
        <v>233</v>
      </c>
      <c r="AP54" s="64" t="s" ph="1">
        <v>570</v>
      </c>
      <c r="AQ54" s="64" t="s" ph="1">
        <v>240</v>
      </c>
      <c r="AR54" s="64" t="s" ph="1">
        <v>233</v>
      </c>
      <c r="AY54" s="64" t="s" ph="1">
        <v>216</v>
      </c>
      <c r="AZ54" s="64" t="s" ph="1">
        <v>234</v>
      </c>
    </row>
    <row r="55" spans="16:52" ph="1">
      <c r="R55" s="64"/>
      <c r="S55" s="64"/>
      <c r="T55" s="64"/>
      <c r="U55" s="64"/>
      <c r="V55" s="64"/>
      <c r="W55" s="64"/>
      <c r="X55" s="64"/>
      <c r="Z55" s="64"/>
      <c r="AC55" s="64"/>
      <c r="AD55" s="64"/>
      <c r="AE55" s="75"/>
      <c r="AH55" s="64" ph="1">
        <v>6</v>
      </c>
      <c r="AI55" s="64" t="s" ph="1">
        <v>380</v>
      </c>
      <c r="AY55" s="64" t="s" ph="1">
        <v>216</v>
      </c>
      <c r="AZ55" s="64" t="s" ph="1">
        <v>367</v>
      </c>
    </row>
    <row r="56" spans="16:52" ph="1">
      <c r="P56" s="64" ph="1">
        <v>20260804</v>
      </c>
      <c r="R56" s="64"/>
      <c r="S56" s="64"/>
      <c r="T56" s="64"/>
      <c r="U56" s="64"/>
      <c r="V56" s="64"/>
      <c r="W56" s="64"/>
      <c r="X56" s="64"/>
      <c r="Z56" s="64"/>
      <c r="AA56" s="64"/>
      <c r="AB56" s="64"/>
      <c r="AC56" s="64"/>
      <c r="AD56" s="64"/>
      <c r="AE56" s="75"/>
      <c r="AH56" s="64" ph="1">
        <v>7</v>
      </c>
      <c r="AI56" s="64" t="s" ph="1">
        <v>381</v>
      </c>
      <c r="AY56" s="64" t="s" ph="1">
        <v>216</v>
      </c>
      <c r="AZ56" s="64" t="s" ph="1">
        <v>367</v>
      </c>
    </row>
    <row r="57" spans="16:52" ph="1">
      <c r="R57" s="64"/>
      <c r="S57" s="64"/>
      <c r="T57" s="64"/>
      <c r="U57" s="64"/>
      <c r="V57" s="64"/>
      <c r="W57" s="64"/>
      <c r="AA57" s="64"/>
      <c r="AB57" s="64"/>
      <c r="AC57" s="64"/>
      <c r="AD57" s="64"/>
      <c r="AE57" s="75"/>
      <c r="AH57" s="64" ph="1">
        <v>8</v>
      </c>
      <c r="AI57" s="64" t="s" ph="1">
        <v>382</v>
      </c>
      <c r="AY57" s="64" t="s" ph="1">
        <v>216</v>
      </c>
      <c r="AZ57" s="64" t="s" ph="1">
        <v>367</v>
      </c>
    </row>
    <row r="58" spans="16:52" ph="1">
      <c r="P58" s="64"/>
      <c r="AN58" s="64" t="s" ph="1">
        <v>217</v>
      </c>
      <c r="AZ58" s="64" t="s" ph="1">
        <v>577</v>
      </c>
    </row>
    <row r="59" spans="16:52" ph="1">
      <c r="V59" s="64"/>
      <c r="AG59" s="64" t="s" ph="1">
        <v>235</v>
      </c>
      <c r="AI59" s="64" t="s" ph="1">
        <v>209</v>
      </c>
      <c r="AJ59" s="64" t="s" ph="1">
        <v>210</v>
      </c>
      <c r="AK59" s="64" t="s" ph="1">
        <v>211</v>
      </c>
      <c r="AM59" s="64" t="s" ph="1">
        <v>210</v>
      </c>
      <c r="AN59" s="64" t="s" ph="1">
        <v>211</v>
      </c>
      <c r="AO59" s="64" t="s" ph="1">
        <v>212</v>
      </c>
      <c r="AP59" s="64" t="s" ph="1">
        <v>210</v>
      </c>
      <c r="AQ59" s="64" t="s" ph="1">
        <v>211</v>
      </c>
      <c r="AR59" s="64" t="s" ph="1">
        <v>212</v>
      </c>
      <c r="AS59" s="64" t="s" ph="1">
        <v>210</v>
      </c>
      <c r="AT59" s="64" t="s" ph="1">
        <v>211</v>
      </c>
      <c r="AU59" s="64" t="s" ph="1">
        <v>212</v>
      </c>
      <c r="AV59" s="64" t="s" ph="1">
        <v>210</v>
      </c>
      <c r="AW59" s="64" t="s" ph="1">
        <v>211</v>
      </c>
      <c r="AX59" s="64" t="s" ph="1">
        <v>212</v>
      </c>
      <c r="AY59" s="64" t="s" ph="1">
        <v>211</v>
      </c>
      <c r="AZ59" s="64" t="s" ph="1">
        <v>213</v>
      </c>
    </row>
    <row r="60" spans="16:52" ph="1">
      <c r="R60" s="64"/>
      <c r="S60" s="64"/>
      <c r="T60" s="64"/>
      <c r="AH60" s="64" ph="1">
        <v>1</v>
      </c>
      <c r="AI60" s="64" t="s" ph="1">
        <v>383</v>
      </c>
      <c r="AY60" s="64" t="s" ph="1">
        <v>216</v>
      </c>
      <c r="AZ60" s="64" t="s" ph="1">
        <v>367</v>
      </c>
    </row>
    <row r="61" spans="16:52" ph="1">
      <c r="AH61" s="64" ph="1">
        <v>2</v>
      </c>
      <c r="AI61" s="64" t="s" ph="1">
        <v>384</v>
      </c>
      <c r="AS61" s="64" t="s" ph="1">
        <v>217</v>
      </c>
      <c r="AY61" s="64" t="s" ph="1">
        <v>216</v>
      </c>
      <c r="AZ61" s="64" t="s" ph="1">
        <v>367</v>
      </c>
    </row>
    <row r="62" spans="16:52" ph="1">
      <c r="AZ62" s="64" t="s" ph="1">
        <v>385</v>
      </c>
    </row>
    <row r="63" spans="16:52" ph="1">
      <c r="AG63" s="64" t="s" ph="1">
        <v>238</v>
      </c>
      <c r="AI63" s="64" t="s" ph="1">
        <v>209</v>
      </c>
      <c r="AJ63" s="64" t="s" ph="1">
        <v>210</v>
      </c>
      <c r="AK63" s="64" t="s" ph="1">
        <v>211</v>
      </c>
      <c r="AM63" s="64" t="s" ph="1">
        <v>210</v>
      </c>
      <c r="AN63" s="64" t="s" ph="1">
        <v>211</v>
      </c>
      <c r="AO63" s="64" t="s" ph="1">
        <v>212</v>
      </c>
      <c r="AP63" s="64" t="s" ph="1">
        <v>210</v>
      </c>
      <c r="AQ63" s="64" t="s" ph="1">
        <v>211</v>
      </c>
      <c r="AR63" s="64" t="s" ph="1">
        <v>212</v>
      </c>
      <c r="AS63" s="64" t="s" ph="1">
        <v>210</v>
      </c>
      <c r="AT63" s="64" t="s" ph="1">
        <v>211</v>
      </c>
      <c r="AU63" s="64" t="s" ph="1">
        <v>212</v>
      </c>
      <c r="AV63" s="64" t="s" ph="1">
        <v>210</v>
      </c>
      <c r="AW63" s="64" t="s" ph="1">
        <v>211</v>
      </c>
      <c r="AX63" s="64" t="s" ph="1">
        <v>212</v>
      </c>
      <c r="AY63" s="64" t="s" ph="1">
        <v>211</v>
      </c>
      <c r="AZ63" s="64" t="s" ph="1">
        <v>213</v>
      </c>
    </row>
    <row r="64" spans="16:52" ph="1">
      <c r="AH64" s="64" ph="1">
        <v>1</v>
      </c>
      <c r="AI64" s="64" t="s" ph="1">
        <v>386</v>
      </c>
      <c r="AJ64" s="64" t="s" ph="1">
        <v>387</v>
      </c>
      <c r="AK64" s="64" t="s" ph="1">
        <v>388</v>
      </c>
      <c r="AY64" s="64" t="s" ph="1">
        <v>216</v>
      </c>
      <c r="AZ64" s="64" t="s" ph="1">
        <v>388</v>
      </c>
    </row>
    <row r="65" spans="33:52" ph="1">
      <c r="AH65" s="64" ph="1">
        <v>2</v>
      </c>
      <c r="AI65" s="64" t="s" ph="1">
        <v>389</v>
      </c>
      <c r="AY65" s="64" t="s" ph="1">
        <v>216</v>
      </c>
      <c r="AZ65" s="64" t="s" ph="1">
        <v>367</v>
      </c>
    </row>
    <row r="66" spans="33:52" ph="1">
      <c r="AH66" s="64" ph="1">
        <v>3</v>
      </c>
      <c r="AI66" s="64" t="s" ph="1">
        <v>390</v>
      </c>
      <c r="AY66" s="64" t="s" ph="1">
        <v>216</v>
      </c>
      <c r="AZ66" s="64" t="s" ph="1">
        <v>367</v>
      </c>
    </row>
    <row r="67" spans="33:52" ph="1">
      <c r="AH67" s="64" ph="1">
        <v>4</v>
      </c>
      <c r="AI67" s="64" t="s" ph="1">
        <v>391</v>
      </c>
      <c r="AY67" s="64" t="s" ph="1">
        <v>216</v>
      </c>
      <c r="AZ67" s="64" t="s" ph="1">
        <v>367</v>
      </c>
    </row>
    <row r="68" spans="33:52" ph="1">
      <c r="AH68" s="64" ph="1">
        <v>5</v>
      </c>
      <c r="AI68" s="64" t="s" ph="1">
        <v>392</v>
      </c>
      <c r="AY68" s="64" t="s" ph="1">
        <v>216</v>
      </c>
      <c r="AZ68" s="64" t="s" ph="1">
        <v>367</v>
      </c>
    </row>
    <row r="69" spans="33:52" ph="1">
      <c r="AH69" s="64" ph="1">
        <v>6</v>
      </c>
      <c r="AI69" s="64" t="s" ph="1">
        <v>393</v>
      </c>
      <c r="AY69" s="64" t="s" ph="1">
        <v>216</v>
      </c>
      <c r="AZ69" s="64" t="s" ph="1">
        <v>367</v>
      </c>
    </row>
    <row r="70" spans="33:52" ph="1">
      <c r="AI70" s="64" t="s" ph="1">
        <v>394</v>
      </c>
      <c r="AY70" s="64" t="s" ph="1">
        <v>216</v>
      </c>
      <c r="AZ70" s="64" t="s" ph="1">
        <v>367</v>
      </c>
    </row>
    <row r="71" spans="33:52" ph="1">
      <c r="AH71" s="64" ph="1">
        <v>7</v>
      </c>
      <c r="AI71" s="64" t="s" ph="1">
        <v>395</v>
      </c>
      <c r="AJ71" s="64" t="s" ph="1">
        <v>334</v>
      </c>
      <c r="AK71" s="64" t="s" ph="1">
        <v>228</v>
      </c>
      <c r="AM71" s="64" t="s" ph="1">
        <v>336</v>
      </c>
      <c r="AN71" s="64" t="s" ph="1">
        <v>228</v>
      </c>
      <c r="AO71" s="64" t="s" ph="1">
        <v>396</v>
      </c>
      <c r="AP71" s="64" t="s" ph="1">
        <v>570</v>
      </c>
      <c r="AQ71" s="64" t="s" ph="1">
        <v>219</v>
      </c>
      <c r="AR71" s="64" t="s" ph="1">
        <v>396</v>
      </c>
      <c r="AY71" s="64" t="s" ph="1">
        <v>216</v>
      </c>
      <c r="AZ71" s="64" t="s" ph="1">
        <v>578</v>
      </c>
    </row>
    <row r="72" spans="33:52" ph="1">
      <c r="AZ72" s="64" t="s" ph="1">
        <v>579</v>
      </c>
    </row>
    <row r="73" spans="33:52" ph="1">
      <c r="AG73" s="64" t="s" ph="1">
        <v>241</v>
      </c>
      <c r="AI73" s="64" t="s" ph="1">
        <v>209</v>
      </c>
      <c r="AJ73" s="64" t="s" ph="1">
        <v>210</v>
      </c>
      <c r="AK73" s="64" t="s" ph="1">
        <v>211</v>
      </c>
      <c r="AM73" s="64" t="s" ph="1">
        <v>210</v>
      </c>
      <c r="AN73" s="64" t="s" ph="1">
        <v>211</v>
      </c>
      <c r="AO73" s="64" t="s" ph="1">
        <v>212</v>
      </c>
      <c r="AP73" s="64" t="s" ph="1">
        <v>210</v>
      </c>
      <c r="AQ73" s="64" t="s" ph="1">
        <v>211</v>
      </c>
      <c r="AR73" s="64" t="s" ph="1">
        <v>212</v>
      </c>
      <c r="AS73" s="64" t="s" ph="1">
        <v>210</v>
      </c>
      <c r="AT73" s="64" t="s" ph="1">
        <v>211</v>
      </c>
      <c r="AU73" s="64" t="s" ph="1">
        <v>212</v>
      </c>
      <c r="AV73" s="64" t="s" ph="1">
        <v>210</v>
      </c>
      <c r="AW73" s="64" t="s" ph="1">
        <v>211</v>
      </c>
      <c r="AX73" s="64" t="s" ph="1">
        <v>212</v>
      </c>
      <c r="AY73" s="64" t="s" ph="1">
        <v>211</v>
      </c>
      <c r="AZ73" s="64" t="s" ph="1">
        <v>213</v>
      </c>
    </row>
    <row r="74" spans="33:52" ph="1">
      <c r="AH74" s="64" ph="1">
        <v>1</v>
      </c>
      <c r="AI74" s="64" t="s" ph="1">
        <v>397</v>
      </c>
      <c r="AJ74" s="64" t="s" ph="1">
        <v>242</v>
      </c>
      <c r="AK74" s="64" t="s" ph="1">
        <v>224</v>
      </c>
      <c r="AM74" s="64" t="s" ph="1">
        <v>244</v>
      </c>
      <c r="AN74" s="64" t="s" ph="1">
        <v>254</v>
      </c>
      <c r="AO74" s="64" t="s" ph="1">
        <v>243</v>
      </c>
      <c r="AP74" s="64" t="s" ph="1">
        <v>245</v>
      </c>
      <c r="AQ74" s="64" t="s" ph="1">
        <v>222</v>
      </c>
      <c r="AR74" s="64" t="s" ph="1">
        <v>243</v>
      </c>
      <c r="AS74" s="64" t="s" ph="1">
        <v>215</v>
      </c>
      <c r="AT74" s="64" t="s" ph="1">
        <v>217</v>
      </c>
      <c r="AV74" s="64" t="s" ph="1">
        <v>398</v>
      </c>
      <c r="AW74" s="64" t="s" ph="1">
        <v>399</v>
      </c>
      <c r="AX74" s="64" t="s" ph="1">
        <v>400</v>
      </c>
      <c r="AY74" s="64" t="s" ph="1">
        <v>216</v>
      </c>
      <c r="AZ74" s="64" t="s" ph="1">
        <v>401</v>
      </c>
    </row>
    <row r="75" spans="33:52" ph="1">
      <c r="AJ75" s="64" t="s" ph="1">
        <v>247</v>
      </c>
      <c r="AK75" s="64" t="s" ph="1">
        <v>300</v>
      </c>
      <c r="AM75" s="64" t="s" ph="1">
        <v>245</v>
      </c>
      <c r="AN75" s="64" t="s" ph="1">
        <v>225</v>
      </c>
      <c r="AO75" s="64" t="s" ph="1">
        <v>243</v>
      </c>
      <c r="AS75" s="64" t="s" ph="1">
        <v>215</v>
      </c>
      <c r="AT75" s="64" t="s" ph="1">
        <v>246</v>
      </c>
    </row>
    <row r="76" spans="33:52" ph="1">
      <c r="AJ76" s="64" t="s" ph="1">
        <v>247</v>
      </c>
      <c r="AK76" s="64" t="s" ph="1">
        <v>240</v>
      </c>
      <c r="AM76" s="64" t="s" ph="1">
        <v>245</v>
      </c>
      <c r="AN76" s="64" t="s" ph="1">
        <v>228</v>
      </c>
      <c r="AO76" s="64" t="s" ph="1">
        <v>243</v>
      </c>
      <c r="AS76" s="64" t="s" ph="1">
        <v>215</v>
      </c>
      <c r="AT76" s="64" t="s" ph="1">
        <v>246</v>
      </c>
    </row>
    <row r="77" spans="33:52" ph="1">
      <c r="AJ77" s="64" t="s" ph="1">
        <v>283</v>
      </c>
      <c r="AK77" s="64" t="s" ph="1">
        <v>240</v>
      </c>
      <c r="AM77" s="64" t="s" ph="1">
        <v>284</v>
      </c>
      <c r="AN77" s="64" t="s" ph="1">
        <v>223</v>
      </c>
      <c r="AO77" s="64" t="s" ph="1">
        <v>243</v>
      </c>
      <c r="AS77" s="64" t="s" ph="1">
        <v>215</v>
      </c>
      <c r="AT77" s="64" t="s" ph="1">
        <v>285</v>
      </c>
    </row>
    <row r="78" spans="33:52" ph="1">
      <c r="AH78" s="64" ph="1">
        <v>2</v>
      </c>
      <c r="AI78" s="64" t="s" ph="1">
        <v>249</v>
      </c>
      <c r="AJ78" s="64" t="s" ph="1">
        <v>250</v>
      </c>
      <c r="AK78" s="64" t="s" ph="1">
        <v>219</v>
      </c>
      <c r="AM78" s="64" t="s" ph="1">
        <v>251</v>
      </c>
      <c r="AN78" s="64" t="s" ph="1">
        <v>254</v>
      </c>
      <c r="AO78" s="64" t="s" ph="1">
        <v>243</v>
      </c>
      <c r="AP78" s="64" t="s" ph="1">
        <v>252</v>
      </c>
      <c r="AQ78" s="64" t="s" ph="1">
        <v>298</v>
      </c>
      <c r="AR78" s="64" t="s" ph="1">
        <v>243</v>
      </c>
      <c r="AS78" s="64" t="s" ph="1">
        <v>253</v>
      </c>
      <c r="AT78" s="64" t="s" ph="1">
        <v>254</v>
      </c>
      <c r="AU78" s="64" t="s" ph="1">
        <v>243</v>
      </c>
      <c r="AV78" s="64" t="s" ph="1">
        <v>255</v>
      </c>
      <c r="AW78" s="64" t="s" ph="1">
        <v>243</v>
      </c>
      <c r="AY78" s="64" t="s" ph="1">
        <v>216</v>
      </c>
      <c r="AZ78" s="64" t="s" ph="1">
        <v>402</v>
      </c>
    </row>
    <row r="79" spans="33:52" ph="1">
      <c r="AJ79" s="64" t="s" ph="1">
        <v>245</v>
      </c>
      <c r="AK79" s="64" t="s" ph="1">
        <v>256</v>
      </c>
      <c r="AM79" s="64" t="s" ph="1">
        <v>257</v>
      </c>
      <c r="AN79" s="64" t="s" ph="1">
        <v>225</v>
      </c>
      <c r="AO79" s="64" t="s" ph="1">
        <v>243</v>
      </c>
      <c r="AP79" s="64" t="s" ph="1">
        <v>258</v>
      </c>
      <c r="AQ79" s="64" t="s" ph="1">
        <v>223</v>
      </c>
      <c r="AR79" s="64" t="s" ph="1">
        <v>259</v>
      </c>
      <c r="AS79" s="64" t="s" ph="1">
        <v>215</v>
      </c>
      <c r="AT79" s="64" t="s" ph="1">
        <v>260</v>
      </c>
      <c r="AV79" s="64" t="s" ph="1">
        <v>403</v>
      </c>
      <c r="AW79" s="64" t="s" ph="1">
        <v>302</v>
      </c>
      <c r="AX79" s="64" t="s" ph="1">
        <v>400</v>
      </c>
    </row>
    <row r="80" spans="33:52" ph="1">
      <c r="AH80" s="64" ph="1">
        <v>3</v>
      </c>
      <c r="AI80" s="64" t="s" ph="1">
        <v>261</v>
      </c>
      <c r="AJ80" s="64" t="s" ph="1">
        <v>262</v>
      </c>
      <c r="AK80" s="64" t="s" ph="1">
        <v>263</v>
      </c>
      <c r="AM80" s="64" t="s" ph="1">
        <v>264</v>
      </c>
      <c r="AN80" s="64" t="s" ph="1">
        <v>254</v>
      </c>
      <c r="AO80" s="64" t="s" ph="1">
        <v>243</v>
      </c>
      <c r="AP80" s="64" t="s" ph="1">
        <v>265</v>
      </c>
      <c r="AQ80" s="64" t="s" ph="1">
        <v>228</v>
      </c>
      <c r="AR80" s="64" t="s" ph="1">
        <v>243</v>
      </c>
      <c r="AS80" s="64" t="s" ph="1">
        <v>266</v>
      </c>
      <c r="AT80" s="64" t="s" ph="1">
        <v>227</v>
      </c>
      <c r="AU80" s="64" t="s" ph="1">
        <v>243</v>
      </c>
      <c r="AV80" s="64" t="s" ph="1">
        <v>267</v>
      </c>
      <c r="AW80" s="64" t="s" ph="1">
        <v>243</v>
      </c>
      <c r="AY80" s="64" t="s" ph="1">
        <v>216</v>
      </c>
      <c r="AZ80" s="64" t="s" ph="1">
        <v>404</v>
      </c>
    </row>
    <row r="81" spans="34:52" ph="1">
      <c r="AJ81" s="64" t="s" ph="1">
        <v>268</v>
      </c>
      <c r="AK81" s="64" t="s" ph="1">
        <v>222</v>
      </c>
      <c r="AM81" s="64" t="s" ph="1">
        <v>269</v>
      </c>
      <c r="AN81" s="64" t="s" ph="1">
        <v>225</v>
      </c>
      <c r="AO81" s="64" t="s" ph="1">
        <v>243</v>
      </c>
      <c r="AP81" s="64" t="s" ph="1">
        <v>270</v>
      </c>
      <c r="AQ81" s="64" t="s" ph="1">
        <v>254</v>
      </c>
      <c r="AR81" s="64" t="s" ph="1">
        <v>243</v>
      </c>
      <c r="AS81" s="64" t="s" ph="1">
        <v>271</v>
      </c>
      <c r="AT81" s="64" t="s" ph="1">
        <v>272</v>
      </c>
      <c r="AU81" s="64" t="s" ph="1">
        <v>243</v>
      </c>
      <c r="AV81" s="64" t="s" ph="1">
        <v>273</v>
      </c>
    </row>
    <row r="82" spans="34:52" ph="1">
      <c r="AJ82" s="64" t="s" ph="1">
        <v>274</v>
      </c>
      <c r="AK82" s="64" t="s" ph="1">
        <v>222</v>
      </c>
      <c r="AM82" s="64" t="s" ph="1">
        <v>275</v>
      </c>
      <c r="AN82" s="64" t="s" ph="1">
        <v>272</v>
      </c>
      <c r="AO82" s="64" t="s" ph="1">
        <v>276</v>
      </c>
      <c r="AP82" s="64" t="s" ph="1">
        <v>277</v>
      </c>
      <c r="AQ82" s="64" t="s" ph="1">
        <v>254</v>
      </c>
      <c r="AR82" s="64" t="s" ph="1">
        <v>243</v>
      </c>
      <c r="AS82" s="64" t="s" ph="1">
        <v>278</v>
      </c>
      <c r="AT82" s="64" t="s" ph="1">
        <v>229</v>
      </c>
      <c r="AU82" s="64" t="s" ph="1">
        <v>243</v>
      </c>
      <c r="AV82" s="64" t="s" ph="1">
        <v>403</v>
      </c>
      <c r="AW82" s="64" t="s" ph="1">
        <v>303</v>
      </c>
      <c r="AX82" s="64" t="s" ph="1">
        <v>400</v>
      </c>
    </row>
    <row r="83" spans="34:52" ph="1">
      <c r="AJ83" s="64" t="s" ph="1">
        <v>279</v>
      </c>
      <c r="AK83" s="64" t="s" ph="1">
        <v>296</v>
      </c>
      <c r="AM83" s="64" t="s" ph="1">
        <v>280</v>
      </c>
      <c r="AN83" s="64" t="s" ph="1">
        <v>228</v>
      </c>
      <c r="AO83" s="64" t="s" ph="1">
        <v>259</v>
      </c>
      <c r="AP83" s="64" t="s" ph="1">
        <v>281</v>
      </c>
      <c r="AQ83" s="64" t="s" ph="1">
        <v>282</v>
      </c>
      <c r="AR83" s="64" t="s" ph="1">
        <v>259</v>
      </c>
      <c r="AS83" s="64" t="s" ph="1">
        <v>405</v>
      </c>
      <c r="AT83" s="64" t="s" ph="1">
        <v>254</v>
      </c>
      <c r="AU83" s="64" t="s" ph="1">
        <v>259</v>
      </c>
      <c r="AV83" s="64" t="s" ph="1">
        <v>406</v>
      </c>
      <c r="AW83" s="64" t="s" ph="1">
        <v>303</v>
      </c>
      <c r="AX83" s="64" t="s" ph="1">
        <v>407</v>
      </c>
    </row>
    <row r="84" spans="34:52" ph="1">
      <c r="AH84" s="64" ph="1">
        <v>4</v>
      </c>
      <c r="AI84" s="64" t="s" ph="1">
        <v>286</v>
      </c>
      <c r="AJ84" s="64" t="s" ph="1">
        <v>226</v>
      </c>
      <c r="AK84" s="64" t="s" ph="1">
        <v>229</v>
      </c>
      <c r="AM84" s="64" t="s" ph="1">
        <v>230</v>
      </c>
      <c r="AN84" s="64" t="s" ph="1">
        <v>223</v>
      </c>
      <c r="AO84" s="64" t="s" ph="1">
        <v>259</v>
      </c>
      <c r="AP84" s="64" t="s" ph="1">
        <v>288</v>
      </c>
      <c r="AQ84" s="64" t="s" ph="1">
        <v>222</v>
      </c>
      <c r="AR84" s="64" t="s" ph="1">
        <v>259</v>
      </c>
      <c r="AS84" s="64" t="s" ph="1">
        <v>288</v>
      </c>
      <c r="AT84" s="64" t="s" ph="1">
        <v>224</v>
      </c>
      <c r="AU84" s="64" t="s" ph="1">
        <v>259</v>
      </c>
      <c r="AY84" s="64" t="s" ph="1">
        <v>216</v>
      </c>
      <c r="AZ84" s="64" t="s" ph="1">
        <v>408</v>
      </c>
    </row>
    <row r="85" spans="34:52" ph="1">
      <c r="AJ85" s="64" t="s" ph="1">
        <v>218</v>
      </c>
      <c r="AK85" s="64" t="s" ph="1">
        <v>222</v>
      </c>
      <c r="AM85" s="64" t="s" ph="1">
        <v>409</v>
      </c>
      <c r="AN85" s="64" t="s" ph="1">
        <v>229</v>
      </c>
      <c r="AO85" s="64" t="s" ph="1">
        <v>259</v>
      </c>
      <c r="AP85" s="64" t="s" ph="1">
        <v>410</v>
      </c>
      <c r="AQ85" s="64" t="s" ph="1">
        <v>225</v>
      </c>
      <c r="AR85" s="64" t="s" ph="1">
        <v>259</v>
      </c>
      <c r="AS85" s="64" t="s" ph="1">
        <v>411</v>
      </c>
      <c r="AT85" s="64" t="s" ph="1">
        <v>225</v>
      </c>
      <c r="AU85" s="64" t="s" ph="1">
        <v>259</v>
      </c>
    </row>
    <row r="86" spans="34:52" ph="1">
      <c r="AJ86" s="64" t="s" ph="1">
        <v>412</v>
      </c>
      <c r="AK86" s="64" t="s" ph="1">
        <v>231</v>
      </c>
      <c r="AM86" s="64" t="s" ph="1">
        <v>413</v>
      </c>
      <c r="AN86" s="64" t="s" ph="1">
        <v>272</v>
      </c>
      <c r="AO86" s="64" t="s" ph="1">
        <v>259</v>
      </c>
      <c r="AP86" s="64" t="s" ph="1">
        <v>414</v>
      </c>
      <c r="AQ86" s="64" t="s" ph="1">
        <v>219</v>
      </c>
      <c r="AR86" s="64" t="s" ph="1">
        <v>259</v>
      </c>
      <c r="AS86" s="64" t="s" ph="1">
        <v>415</v>
      </c>
      <c r="AT86" s="64" t="s" ph="1">
        <v>237</v>
      </c>
      <c r="AU86" s="64" t="s" ph="1">
        <v>259</v>
      </c>
    </row>
    <row r="87" spans="34:52" ph="1">
      <c r="AJ87" s="64" t="s" ph="1">
        <v>416</v>
      </c>
      <c r="AK87" s="64" t="s" ph="1">
        <v>272</v>
      </c>
      <c r="AM87" s="64" t="s" ph="1">
        <v>403</v>
      </c>
      <c r="AN87" s="64" t="s" ph="1">
        <v>417</v>
      </c>
      <c r="AO87" s="64" t="s" ph="1">
        <v>400</v>
      </c>
    </row>
    <row r="88" spans="34:52" ph="1">
      <c r="AH88" s="64" ph="1">
        <v>5</v>
      </c>
      <c r="AI88" s="64" t="s" ph="1">
        <v>289</v>
      </c>
      <c r="AJ88" s="64" t="s" ph="1">
        <v>418</v>
      </c>
      <c r="AK88" s="64" t="s" ph="1">
        <v>272</v>
      </c>
      <c r="AM88" s="64" t="s" ph="1">
        <v>419</v>
      </c>
      <c r="AN88" s="64" t="s" ph="1">
        <v>272</v>
      </c>
      <c r="AO88" s="64" t="s" ph="1">
        <v>259</v>
      </c>
      <c r="AP88" s="64" t="s" ph="1">
        <v>420</v>
      </c>
      <c r="AQ88" s="64" t="s" ph="1">
        <v>222</v>
      </c>
      <c r="AR88" s="64" t="s" ph="1">
        <v>259</v>
      </c>
      <c r="AS88" s="64" t="s" ph="1">
        <v>421</v>
      </c>
      <c r="AT88" s="64" t="s" ph="1">
        <v>272</v>
      </c>
      <c r="AU88" s="64" t="s" ph="1">
        <v>259</v>
      </c>
      <c r="AV88" s="64" t="s" ph="1">
        <v>422</v>
      </c>
      <c r="AW88" s="64" t="s" ph="1">
        <v>227</v>
      </c>
      <c r="AX88" s="64" t="s" ph="1">
        <v>259</v>
      </c>
      <c r="AY88" s="64" t="s" ph="1">
        <v>216</v>
      </c>
      <c r="AZ88" s="64" t="s" ph="1">
        <v>423</v>
      </c>
    </row>
    <row r="89" spans="34:52" ph="1">
      <c r="AJ89" s="64" t="s" ph="1">
        <v>424</v>
      </c>
      <c r="AK89" s="64" t="s" ph="1">
        <v>225</v>
      </c>
      <c r="AM89" s="64" t="s" ph="1">
        <v>425</v>
      </c>
      <c r="AN89" s="64" t="s" ph="1">
        <v>228</v>
      </c>
      <c r="AO89" s="64" t="s" ph="1">
        <v>259</v>
      </c>
      <c r="AP89" s="64" t="s" ph="1">
        <v>426</v>
      </c>
      <c r="AQ89" s="64" t="s" ph="1">
        <v>237</v>
      </c>
      <c r="AR89" s="64" t="s" ph="1">
        <v>259</v>
      </c>
      <c r="AS89" s="64" t="s" ph="1">
        <v>427</v>
      </c>
      <c r="AT89" s="64" t="s" ph="1">
        <v>272</v>
      </c>
      <c r="AU89" s="64" t="s" ph="1">
        <v>259</v>
      </c>
      <c r="AV89" s="64" t="s" ph="1">
        <v>428</v>
      </c>
      <c r="AW89" s="64" t="s" ph="1">
        <v>254</v>
      </c>
      <c r="AX89" s="64" t="s" ph="1">
        <v>287</v>
      </c>
    </row>
    <row r="90" spans="34:52" ph="1">
      <c r="AJ90" s="64" t="s" ph="1">
        <v>429</v>
      </c>
      <c r="AK90" s="64" t="s" ph="1">
        <v>228</v>
      </c>
      <c r="AM90" s="64" t="s" ph="1">
        <v>430</v>
      </c>
      <c r="AN90" s="64" t="s" ph="1">
        <v>225</v>
      </c>
      <c r="AO90" s="64" t="s" ph="1">
        <v>259</v>
      </c>
      <c r="AP90" s="64" t="s" ph="1">
        <v>431</v>
      </c>
      <c r="AQ90" s="64" t="s" ph="1">
        <v>294</v>
      </c>
      <c r="AR90" s="64" t="s" ph="1">
        <v>259</v>
      </c>
      <c r="AS90" s="64" t="s" ph="1">
        <v>432</v>
      </c>
      <c r="AT90" s="64" t="s" ph="1">
        <v>282</v>
      </c>
      <c r="AU90" s="64" t="s" ph="1">
        <v>259</v>
      </c>
      <c r="AV90" s="64" t="s" ph="1">
        <v>433</v>
      </c>
      <c r="AW90" s="64" t="s" ph="1">
        <v>219</v>
      </c>
      <c r="AX90" s="64" t="s" ph="1">
        <v>259</v>
      </c>
    </row>
    <row r="91" spans="34:52" ph="1">
      <c r="AJ91" s="64" t="s" ph="1">
        <v>434</v>
      </c>
      <c r="AK91" s="64" t="s" ph="1">
        <v>272</v>
      </c>
      <c r="AM91" s="64" t="s" ph="1">
        <v>435</v>
      </c>
      <c r="AN91" s="64" t="s" ph="1">
        <v>239</v>
      </c>
      <c r="AO91" s="64" t="s" ph="1">
        <v>259</v>
      </c>
      <c r="AP91" s="64" t="s" ph="1">
        <v>436</v>
      </c>
      <c r="AQ91" s="64" t="s" ph="1">
        <v>219</v>
      </c>
      <c r="AS91" s="64" t="s" ph="1">
        <v>403</v>
      </c>
      <c r="AT91" s="64" t="s" ph="1">
        <v>399</v>
      </c>
      <c r="AU91" s="64" t="s" ph="1">
        <v>400</v>
      </c>
    </row>
    <row r="92" spans="34:52" ph="1">
      <c r="AH92" s="64" ph="1">
        <v>6</v>
      </c>
      <c r="AI92" s="64" t="s" ph="1">
        <v>437</v>
      </c>
      <c r="AJ92" s="64" t="s" ph="1">
        <v>438</v>
      </c>
      <c r="AK92" s="64" t="s" ph="1">
        <v>367</v>
      </c>
      <c r="AM92" s="64" t="s" ph="1">
        <v>439</v>
      </c>
      <c r="AN92" s="64" t="s" ph="1">
        <v>227</v>
      </c>
      <c r="AO92" s="64" t="s" ph="1">
        <v>259</v>
      </c>
      <c r="AP92" s="64" t="s" ph="1">
        <v>440</v>
      </c>
      <c r="AQ92" s="64" t="s" ph="1">
        <v>299</v>
      </c>
      <c r="AR92" s="64" t="s" ph="1">
        <v>259</v>
      </c>
      <c r="AS92" s="64" t="s" ph="1">
        <v>441</v>
      </c>
      <c r="AT92" s="64" t="s" ph="1">
        <v>272</v>
      </c>
      <c r="AU92" s="64" t="s" ph="1">
        <v>259</v>
      </c>
      <c r="AV92" s="64" t="s" ph="1">
        <v>442</v>
      </c>
      <c r="AW92" s="64" t="s" ph="1">
        <v>228</v>
      </c>
      <c r="AX92" s="64" t="s" ph="1">
        <v>259</v>
      </c>
      <c r="AY92" s="64" t="s" ph="1">
        <v>216</v>
      </c>
      <c r="AZ92" s="64" t="s" ph="1">
        <v>423</v>
      </c>
    </row>
    <row r="93" spans="34:52" ph="1">
      <c r="AJ93" s="64" t="s" ph="1">
        <v>443</v>
      </c>
      <c r="AK93" s="64" t="s" ph="1">
        <v>222</v>
      </c>
      <c r="AM93" s="64" t="s" ph="1">
        <v>444</v>
      </c>
      <c r="AN93" s="64" t="s" ph="1">
        <v>227</v>
      </c>
      <c r="AO93" s="64" t="s" ph="1">
        <v>259</v>
      </c>
      <c r="AP93" s="64" t="s" ph="1">
        <v>445</v>
      </c>
      <c r="AQ93" s="64" t="s" ph="1">
        <v>231</v>
      </c>
      <c r="AR93" s="64" t="s" ph="1">
        <v>259</v>
      </c>
      <c r="AS93" s="64" t="s" ph="1">
        <v>446</v>
      </c>
      <c r="AT93" s="64" t="s" ph="1">
        <v>237</v>
      </c>
      <c r="AU93" s="64" t="s" ph="1">
        <v>259</v>
      </c>
      <c r="AV93" s="64" t="s" ph="1">
        <v>447</v>
      </c>
      <c r="AW93" s="64" t="s" ph="1">
        <v>231</v>
      </c>
      <c r="AX93" s="64" t="s" ph="1">
        <v>259</v>
      </c>
    </row>
    <row r="94" spans="34:52" ph="1">
      <c r="AJ94" s="64" t="s" ph="1">
        <v>448</v>
      </c>
      <c r="AK94" s="64" t="s" ph="1">
        <v>294</v>
      </c>
      <c r="AM94" s="64" t="s" ph="1">
        <v>449</v>
      </c>
      <c r="AN94" s="64" t="s" ph="1">
        <v>231</v>
      </c>
      <c r="AO94" s="64" t="s" ph="1">
        <v>259</v>
      </c>
      <c r="AP94" s="64" t="s" ph="1">
        <v>450</v>
      </c>
      <c r="AQ94" s="64" t="s" ph="1">
        <v>239</v>
      </c>
      <c r="AR94" s="64" t="s" ph="1">
        <v>259</v>
      </c>
      <c r="AS94" s="64" t="s" ph="1">
        <v>451</v>
      </c>
      <c r="AT94" s="64" t="s" ph="1">
        <v>225</v>
      </c>
      <c r="AU94" s="64" t="s" ph="1">
        <v>259</v>
      </c>
      <c r="AV94" s="64" t="s" ph="1">
        <v>452</v>
      </c>
      <c r="AW94" s="64" t="s" ph="1">
        <v>225</v>
      </c>
      <c r="AX94" s="64" t="s" ph="1">
        <v>259</v>
      </c>
    </row>
    <row r="95" spans="34:52" ph="1">
      <c r="AJ95" s="64" t="s" ph="1">
        <v>453</v>
      </c>
      <c r="AK95" s="64" t="s" ph="1">
        <v>299</v>
      </c>
    </row>
    <row r="96" spans="34:52" ph="1">
      <c r="AH96" s="64" ph="1">
        <v>7</v>
      </c>
      <c r="AI96" s="64" t="s" ph="1">
        <v>454</v>
      </c>
      <c r="AJ96" s="64" t="s" ph="1">
        <v>453</v>
      </c>
      <c r="AK96" s="64" t="s" ph="1">
        <v>254</v>
      </c>
      <c r="AM96" s="64" t="s" ph="1">
        <v>455</v>
      </c>
      <c r="AN96" s="64" t="s" ph="1">
        <v>228</v>
      </c>
      <c r="AO96" s="64" t="s" ph="1">
        <v>259</v>
      </c>
      <c r="AP96" s="64" t="s" ph="1">
        <v>456</v>
      </c>
      <c r="AQ96" s="64" t="s" ph="1">
        <v>272</v>
      </c>
      <c r="AR96" s="64" t="s" ph="1">
        <v>287</v>
      </c>
      <c r="AS96" s="64" t="s" ph="1">
        <v>457</v>
      </c>
      <c r="AT96" s="64" t="s" ph="1">
        <v>231</v>
      </c>
      <c r="AU96" s="64" t="s" ph="1">
        <v>287</v>
      </c>
      <c r="AV96" s="64" t="s" ph="1">
        <v>458</v>
      </c>
      <c r="AW96" s="64" t="s" ph="1">
        <v>227</v>
      </c>
      <c r="AX96" s="64" t="s" ph="1">
        <v>287</v>
      </c>
      <c r="AY96" s="64" t="s" ph="1">
        <v>216</v>
      </c>
      <c r="AZ96" s="64" t="s" ph="1">
        <v>459</v>
      </c>
    </row>
    <row r="97" spans="33:52" ph="1">
      <c r="AJ97" s="64" t="s" ph="1">
        <v>460</v>
      </c>
      <c r="AK97" s="64" t="s" ph="1">
        <v>282</v>
      </c>
      <c r="AM97" s="64" t="s" ph="1">
        <v>461</v>
      </c>
      <c r="AN97" s="64" t="s" ph="1">
        <v>225</v>
      </c>
      <c r="AO97" s="64" t="s" ph="1">
        <v>259</v>
      </c>
      <c r="AP97" s="64" t="s" ph="1">
        <v>462</v>
      </c>
      <c r="AQ97" s="64" t="s" ph="1">
        <v>219</v>
      </c>
      <c r="AR97" s="64" t="s" ph="1">
        <v>287</v>
      </c>
      <c r="AS97" s="64" t="s" ph="1">
        <v>463</v>
      </c>
      <c r="AT97" s="64" t="s" ph="1">
        <v>222</v>
      </c>
      <c r="AU97" s="64" t="s" ph="1">
        <v>287</v>
      </c>
      <c r="AV97" s="64" t="s" ph="1">
        <v>464</v>
      </c>
      <c r="AW97" s="64" t="s" ph="1">
        <v>228</v>
      </c>
      <c r="AX97" s="64" t="s" ph="1">
        <v>287</v>
      </c>
    </row>
    <row r="98" spans="33:52" ph="1">
      <c r="AJ98" s="64" t="s" ph="1">
        <v>465</v>
      </c>
      <c r="AK98" s="64" t="s" ph="1">
        <v>231</v>
      </c>
      <c r="AM98" s="64" t="s" ph="1">
        <v>466</v>
      </c>
      <c r="AN98" s="64" t="s" ph="1">
        <v>239</v>
      </c>
      <c r="AO98" s="64" t="s" ph="1">
        <v>259</v>
      </c>
      <c r="AP98" s="64" t="s" ph="1">
        <v>467</v>
      </c>
      <c r="AQ98" s="64" t="s" ph="1">
        <v>219</v>
      </c>
      <c r="AR98" s="64" t="s" ph="1">
        <v>287</v>
      </c>
      <c r="AS98" s="64" t="s" ph="1">
        <v>468</v>
      </c>
      <c r="AT98" s="64" t="s" ph="1">
        <v>299</v>
      </c>
      <c r="AU98" s="64" t="s" ph="1">
        <v>287</v>
      </c>
      <c r="AV98" s="64" t="s" ph="1">
        <v>469</v>
      </c>
      <c r="AW98" s="64" t="s" ph="1">
        <v>222</v>
      </c>
      <c r="AX98" s="64" t="s" ph="1">
        <v>287</v>
      </c>
    </row>
    <row r="99" spans="33:52" ph="1">
      <c r="AH99" s="64" ph="1">
        <v>8</v>
      </c>
      <c r="AI99" s="64" t="s" ph="1">
        <v>470</v>
      </c>
      <c r="AJ99" s="64" t="s" ph="1">
        <v>471</v>
      </c>
      <c r="AK99" s="64" t="s" ph="1">
        <v>367</v>
      </c>
      <c r="AM99" s="64" t="s" ph="1">
        <v>472</v>
      </c>
      <c r="AN99" s="64" t="s" ph="1">
        <v>254</v>
      </c>
      <c r="AO99" s="64" t="s" ph="1">
        <v>259</v>
      </c>
      <c r="AP99" s="64" t="s" ph="1">
        <v>473</v>
      </c>
      <c r="AQ99" s="64" t="s" ph="1">
        <v>224</v>
      </c>
      <c r="AR99" s="64" t="s" ph="1">
        <v>287</v>
      </c>
      <c r="AS99" s="64" t="s" ph="1">
        <v>474</v>
      </c>
      <c r="AT99" s="64" t="s" ph="1">
        <v>239</v>
      </c>
      <c r="AU99" s="64" t="s" ph="1">
        <v>287</v>
      </c>
      <c r="AV99" s="64" t="s" ph="1">
        <v>475</v>
      </c>
      <c r="AW99" s="64" t="s" ph="1">
        <v>224</v>
      </c>
      <c r="AX99" s="64" t="s" ph="1">
        <v>287</v>
      </c>
      <c r="AY99" s="64" t="s" ph="1">
        <v>216</v>
      </c>
      <c r="AZ99" s="64" t="s" ph="1">
        <v>476</v>
      </c>
    </row>
    <row r="100" spans="33:52" ph="1">
      <c r="AJ100" s="64" t="s" ph="1">
        <v>477</v>
      </c>
      <c r="AK100" s="64" t="s" ph="1">
        <v>222</v>
      </c>
      <c r="AM100" s="64" t="s" ph="1">
        <v>478</v>
      </c>
      <c r="AN100" s="64" t="s" ph="1">
        <v>294</v>
      </c>
      <c r="AO100" s="64" t="s" ph="1">
        <v>259</v>
      </c>
      <c r="AP100" s="64" t="s" ph="1">
        <v>479</v>
      </c>
      <c r="AQ100" s="64" t="s" ph="1">
        <v>300</v>
      </c>
      <c r="AR100" s="64" t="s" ph="1">
        <v>287</v>
      </c>
      <c r="AS100" s="64" t="s" ph="1">
        <v>480</v>
      </c>
      <c r="AT100" s="64" t="s" ph="1">
        <v>367</v>
      </c>
      <c r="AU100" s="64" t="s" ph="1">
        <v>259</v>
      </c>
      <c r="AV100" s="64" t="s" ph="1">
        <v>481</v>
      </c>
      <c r="AW100" s="64" t="s" ph="1">
        <v>367</v>
      </c>
      <c r="AX100" s="64" t="s" ph="1">
        <v>259</v>
      </c>
    </row>
    <row r="101" spans="33:52" ph="1">
      <c r="AJ101" s="64" t="s" ph="1">
        <v>482</v>
      </c>
      <c r="AK101" s="64" t="s" ph="1">
        <v>367</v>
      </c>
      <c r="AM101" s="64" t="s" ph="1">
        <v>483</v>
      </c>
      <c r="AN101" s="64" t="s" ph="1">
        <v>225</v>
      </c>
      <c r="AO101" s="64" t="s" ph="1">
        <v>259</v>
      </c>
      <c r="AP101" s="64" t="s" ph="1">
        <v>484</v>
      </c>
      <c r="AQ101" s="64" t="s" ph="1">
        <v>237</v>
      </c>
      <c r="AR101" s="64" t="s" ph="1">
        <v>287</v>
      </c>
      <c r="AS101" s="64" t="s" ph="1">
        <v>485</v>
      </c>
      <c r="AT101" s="64" t="s" ph="1">
        <v>294</v>
      </c>
      <c r="AU101" s="64" t="s" ph="1">
        <v>287</v>
      </c>
      <c r="AV101" s="64" t="s" ph="1">
        <v>486</v>
      </c>
      <c r="AW101" s="64" t="s" ph="1">
        <v>225</v>
      </c>
      <c r="AX101" s="64" t="s" ph="1">
        <v>259</v>
      </c>
    </row>
    <row r="102" spans="33:52" ph="1">
      <c r="AJ102" s="64" t="s" ph="1">
        <v>487</v>
      </c>
      <c r="AK102" s="64" t="s" ph="1">
        <v>222</v>
      </c>
      <c r="AM102" s="64" t="s" ph="1">
        <v>488</v>
      </c>
      <c r="AN102" s="64" t="s" ph="1">
        <v>231</v>
      </c>
      <c r="AO102" s="64" t="s" ph="1">
        <v>259</v>
      </c>
      <c r="AP102" s="64" t="s" ph="1">
        <v>489</v>
      </c>
      <c r="AQ102" s="64" t="s" ph="1">
        <v>237</v>
      </c>
      <c r="AR102" s="64" t="s" ph="1">
        <v>259</v>
      </c>
      <c r="AS102" s="64" t="s" ph="1">
        <v>490</v>
      </c>
      <c r="AT102" s="64" t="s" ph="1">
        <v>254</v>
      </c>
      <c r="AU102" s="64" t="s" ph="1">
        <v>259</v>
      </c>
      <c r="AV102" s="64" t="s" ph="1">
        <v>491</v>
      </c>
      <c r="AW102" s="64" t="s" ph="1">
        <v>272</v>
      </c>
      <c r="AX102" s="64" t="s" ph="1">
        <v>259</v>
      </c>
    </row>
    <row r="103" spans="33:52" ph="1">
      <c r="AH103" s="64" ph="1">
        <v>9</v>
      </c>
      <c r="AI103" s="64" t="s" ph="1">
        <v>492</v>
      </c>
      <c r="AJ103" s="64" t="s" ph="1">
        <v>493</v>
      </c>
      <c r="AK103" s="64" t="s" ph="1">
        <v>367</v>
      </c>
      <c r="AM103" s="64" t="s" ph="1">
        <v>494</v>
      </c>
      <c r="AN103" s="64" t="s" ph="1">
        <v>282</v>
      </c>
      <c r="AO103" s="64" t="s" ph="1">
        <v>259</v>
      </c>
      <c r="AP103" s="64" t="s" ph="1">
        <v>336</v>
      </c>
      <c r="AQ103" s="64" t="s" ph="1">
        <v>225</v>
      </c>
      <c r="AR103" s="64" t="s" ph="1">
        <v>259</v>
      </c>
      <c r="AS103" s="64" t="s" ph="1">
        <v>570</v>
      </c>
      <c r="AT103" s="64" t="s" ph="1">
        <v>367</v>
      </c>
      <c r="AU103" s="64" t="s" ph="1">
        <v>259</v>
      </c>
      <c r="AY103" s="64" t="s" ph="1">
        <v>216</v>
      </c>
      <c r="AZ103" s="64" t="s" ph="1">
        <v>224</v>
      </c>
    </row>
    <row r="104" spans="33:52" ph="1">
      <c r="AZ104" s="64" t="s" ph="1">
        <v>495</v>
      </c>
    </row>
    <row r="105" spans="33:52" ph="1">
      <c r="AG105" s="64" t="s" ph="1">
        <v>295</v>
      </c>
      <c r="AI105" s="64" t="s" ph="1">
        <v>209</v>
      </c>
      <c r="AJ105" s="64" t="s" ph="1">
        <v>210</v>
      </c>
      <c r="AK105" s="64" t="s" ph="1">
        <v>211</v>
      </c>
      <c r="AM105" s="64" t="s" ph="1">
        <v>210</v>
      </c>
      <c r="AN105" s="64" t="s" ph="1">
        <v>211</v>
      </c>
      <c r="AO105" s="64" t="s" ph="1">
        <v>212</v>
      </c>
      <c r="AP105" s="64" t="s" ph="1">
        <v>210</v>
      </c>
      <c r="AQ105" s="64" t="s" ph="1">
        <v>211</v>
      </c>
      <c r="AR105" s="64" t="s" ph="1">
        <v>212</v>
      </c>
      <c r="AS105" s="64" t="s" ph="1">
        <v>210</v>
      </c>
      <c r="AT105" s="64" t="s" ph="1">
        <v>211</v>
      </c>
      <c r="AU105" s="64" t="s" ph="1">
        <v>212</v>
      </c>
      <c r="AV105" s="64" t="s" ph="1">
        <v>210</v>
      </c>
      <c r="AW105" s="64" t="s" ph="1">
        <v>211</v>
      </c>
      <c r="AX105" s="64" t="s" ph="1">
        <v>212</v>
      </c>
      <c r="AZ105" s="64" t="s" ph="1">
        <v>213</v>
      </c>
    </row>
    <row r="106" spans="33:52" ph="1">
      <c r="AH106" s="64" ph="1">
        <v>1</v>
      </c>
      <c r="AI106" s="64" t="s" ph="1">
        <v>496</v>
      </c>
      <c r="AJ106" s="64" t="s" ph="1">
        <v>570</v>
      </c>
      <c r="AK106" s="64" t="s" ph="1">
        <v>231</v>
      </c>
      <c r="AZ106" s="64" t="s" ph="1">
        <v>231</v>
      </c>
    </row>
    <row r="107" spans="33:52" ph="1">
      <c r="AH107" s="64" ph="1">
        <v>2</v>
      </c>
      <c r="AI107" s="64" t="s" ph="1">
        <v>497</v>
      </c>
      <c r="AJ107" s="64" t="s" ph="1">
        <v>498</v>
      </c>
      <c r="AK107" s="64" t="s" ph="1">
        <v>228</v>
      </c>
      <c r="AM107" s="64" t="s" ph="1">
        <v>334</v>
      </c>
      <c r="AN107" s="64" t="s" ph="1">
        <v>499</v>
      </c>
      <c r="AO107" s="64" t="s" ph="1">
        <v>500</v>
      </c>
      <c r="AP107" s="64" t="s" ph="1">
        <v>336</v>
      </c>
      <c r="AQ107" s="64" t="s" ph="1">
        <v>304</v>
      </c>
      <c r="AR107" s="64" t="s" ph="1">
        <v>500</v>
      </c>
      <c r="AS107" s="64" t="s" ph="1">
        <v>570</v>
      </c>
      <c r="AT107" s="64" t="s" ph="1">
        <v>499</v>
      </c>
      <c r="AU107" s="64" t="s" ph="1">
        <v>500</v>
      </c>
      <c r="AY107" s="64" t="s" ph="1">
        <v>216</v>
      </c>
      <c r="AZ107" s="64" t="s" ph="1">
        <v>580</v>
      </c>
    </row>
    <row r="108" spans="33:52" ph="1">
      <c r="AH108" s="64" ph="1">
        <v>3</v>
      </c>
      <c r="AI108" s="64" t="s" ph="1">
        <v>501</v>
      </c>
      <c r="AY108" s="64" t="s" ph="1">
        <v>216</v>
      </c>
      <c r="AZ108" s="64" t="s" ph="1">
        <v>367</v>
      </c>
    </row>
    <row r="109" spans="33:52" ph="1">
      <c r="AH109" s="64" ph="1">
        <v>4</v>
      </c>
      <c r="AI109" s="64" t="s" ph="1">
        <v>502</v>
      </c>
      <c r="AY109" s="64" t="s" ph="1">
        <v>216</v>
      </c>
      <c r="AZ109" s="64" t="s" ph="1">
        <v>367</v>
      </c>
    </row>
    <row r="110" spans="33:52" ph="1">
      <c r="AH110" s="64" ph="1">
        <v>5</v>
      </c>
      <c r="AI110" s="64" t="s" ph="1">
        <v>503</v>
      </c>
      <c r="AY110" s="64" t="s" ph="1">
        <v>216</v>
      </c>
      <c r="AZ110" s="64" t="s" ph="1">
        <v>367</v>
      </c>
    </row>
    <row r="111" spans="33:52" ph="1">
      <c r="AH111" s="64" ph="1">
        <v>6</v>
      </c>
      <c r="AI111" s="64" t="s" ph="1">
        <v>581</v>
      </c>
      <c r="AJ111" s="64" t="s" ph="1">
        <v>486</v>
      </c>
      <c r="AK111" s="64" t="s" ph="1">
        <v>225</v>
      </c>
      <c r="AM111" s="64" t="s" ph="1">
        <v>487</v>
      </c>
      <c r="AN111" s="64" t="s" ph="1">
        <v>219</v>
      </c>
      <c r="AO111" s="64" t="s" ph="1">
        <v>500</v>
      </c>
      <c r="AP111" s="64" t="s" ph="1">
        <v>488</v>
      </c>
      <c r="AQ111" s="64" t="s" ph="1">
        <v>228</v>
      </c>
      <c r="AR111" s="64" t="s" ph="1">
        <v>500</v>
      </c>
      <c r="AS111" s="64" t="s" ph="1">
        <v>489</v>
      </c>
      <c r="AT111" s="64" t="s" ph="1">
        <v>237</v>
      </c>
      <c r="AU111" s="64" t="s" ph="1">
        <v>500</v>
      </c>
      <c r="AV111" s="64" t="s" ph="1">
        <v>490</v>
      </c>
      <c r="AW111" s="64" t="s" ph="1">
        <v>227</v>
      </c>
      <c r="AX111" s="64" t="s" ph="1">
        <v>500</v>
      </c>
      <c r="AY111" s="64" t="s" ph="1">
        <v>216</v>
      </c>
      <c r="AZ111" s="64" t="s" ph="1">
        <v>504</v>
      </c>
    </row>
    <row r="112" spans="33:52" ph="1">
      <c r="AJ112" s="64" t="s" ph="1">
        <v>491</v>
      </c>
      <c r="AK112" s="64" t="s" ph="1">
        <v>272</v>
      </c>
      <c r="AM112" s="64" t="s" ph="1">
        <v>493</v>
      </c>
      <c r="AN112" s="64" t="s" ph="1">
        <v>296</v>
      </c>
      <c r="AO112" s="64" t="s" ph="1">
        <v>500</v>
      </c>
      <c r="AP112" s="64" t="s" ph="1">
        <v>494</v>
      </c>
      <c r="AQ112" s="64" t="s" ph="1">
        <v>505</v>
      </c>
      <c r="AR112" s="64" t="s" ph="1">
        <v>500</v>
      </c>
      <c r="AS112" s="64" t="s" ph="1">
        <v>506</v>
      </c>
      <c r="AT112" s="64" t="s" ph="1">
        <v>248</v>
      </c>
      <c r="AU112" s="64" t="s" ph="1">
        <v>500</v>
      </c>
      <c r="AV112" s="64" t="s" ph="1">
        <v>507</v>
      </c>
      <c r="AW112" s="64" t="s" ph="1">
        <v>294</v>
      </c>
      <c r="AX112" s="64" t="s" ph="1">
        <v>500</v>
      </c>
    </row>
    <row r="113" spans="33:52" ph="1">
      <c r="AH113" s="64" ph="1">
        <v>7</v>
      </c>
      <c r="AI113" s="64" t="s" ph="1">
        <v>508</v>
      </c>
      <c r="AJ113" s="64" t="s" ph="1">
        <v>589</v>
      </c>
      <c r="AK113" s="64" t="s" ph="1">
        <v>594</v>
      </c>
      <c r="AY113" s="64" t="s" ph="1">
        <v>216</v>
      </c>
      <c r="AZ113" s="64" t="s" ph="1">
        <v>594</v>
      </c>
    </row>
    <row r="114" spans="33:52" ph="1">
      <c r="AH114" s="64" ph="1">
        <v>8</v>
      </c>
      <c r="AI114" s="64" t="s" ph="1">
        <v>509</v>
      </c>
      <c r="AJ114" s="64" t="s" ph="1">
        <v>589</v>
      </c>
      <c r="AK114" s="64" t="s" ph="1">
        <v>595</v>
      </c>
      <c r="AY114" s="64" t="s" ph="1">
        <v>216</v>
      </c>
      <c r="AZ114" s="64" t="s" ph="1">
        <v>595</v>
      </c>
    </row>
    <row r="115" spans="33:52" ph="1">
      <c r="AH115" s="64" ph="1">
        <v>9</v>
      </c>
      <c r="AI115" s="64" t="s" ph="1">
        <v>510</v>
      </c>
      <c r="AJ115" s="64" t="s" ph="1">
        <v>589</v>
      </c>
      <c r="AK115" s="64" t="s" ph="1">
        <v>595</v>
      </c>
      <c r="AY115" s="64" t="s" ph="1">
        <v>216</v>
      </c>
      <c r="AZ115" s="64" t="s" ph="1">
        <v>595</v>
      </c>
    </row>
    <row r="116" spans="33:52" ph="1">
      <c r="AH116" s="64" ph="1">
        <v>10</v>
      </c>
      <c r="AI116" s="64" t="s" ph="1">
        <v>511</v>
      </c>
      <c r="AJ116" s="64" t="s" ph="1">
        <v>589</v>
      </c>
      <c r="AK116" s="64" t="s" ph="1">
        <v>595</v>
      </c>
      <c r="AY116" s="64" t="s" ph="1">
        <v>216</v>
      </c>
      <c r="AZ116" s="64" t="s" ph="1">
        <v>595</v>
      </c>
    </row>
    <row r="117" spans="33:52" ph="1">
      <c r="AH117" s="64" ph="1">
        <v>11</v>
      </c>
      <c r="AI117" s="64" t="s" ph="1">
        <v>512</v>
      </c>
      <c r="AJ117" s="64" t="s" ph="1">
        <v>589</v>
      </c>
      <c r="AK117" s="64" t="s" ph="1">
        <v>595</v>
      </c>
      <c r="AY117" s="64" t="s" ph="1">
        <v>216</v>
      </c>
      <c r="AZ117" s="64" t="s" ph="1">
        <v>595</v>
      </c>
    </row>
    <row r="118" spans="33:52" ph="1">
      <c r="AZ118" s="64" t="s" ph="1">
        <v>596</v>
      </c>
    </row>
    <row r="119" spans="33:52" ph="1">
      <c r="AI119" s="64" t="s" ph="1">
        <v>209</v>
      </c>
      <c r="AJ119" s="64" t="s" ph="1">
        <v>210</v>
      </c>
      <c r="AK119" s="64" t="s" ph="1">
        <v>211</v>
      </c>
      <c r="AM119" s="64" t="s" ph="1">
        <v>210</v>
      </c>
      <c r="AN119" s="64" t="s" ph="1">
        <v>211</v>
      </c>
      <c r="AO119" s="64" t="s" ph="1">
        <v>212</v>
      </c>
      <c r="AP119" s="64" t="s" ph="1">
        <v>210</v>
      </c>
      <c r="AQ119" s="64" t="s" ph="1">
        <v>211</v>
      </c>
      <c r="AR119" s="64" t="s" ph="1">
        <v>212</v>
      </c>
      <c r="AS119" s="64" t="s" ph="1">
        <v>210</v>
      </c>
      <c r="AT119" s="64" t="s" ph="1">
        <v>211</v>
      </c>
      <c r="AU119" s="64" t="s" ph="1">
        <v>212</v>
      </c>
      <c r="AV119" s="64" t="s" ph="1">
        <v>210</v>
      </c>
      <c r="AW119" s="64" t="s" ph="1">
        <v>211</v>
      </c>
      <c r="AX119" s="64" t="s" ph="1">
        <v>212</v>
      </c>
      <c r="AY119" s="64" t="s" ph="1">
        <v>211</v>
      </c>
      <c r="AZ119" s="64" t="s" ph="1">
        <v>213</v>
      </c>
    </row>
    <row r="120" spans="33:52" ph="1">
      <c r="AG120" s="64" t="s" ph="1">
        <v>353</v>
      </c>
      <c r="AH120" s="64" ph="1">
        <v>1</v>
      </c>
      <c r="AI120" s="64" t="s" ph="1">
        <v>513</v>
      </c>
      <c r="AJ120" s="64" t="s" ph="1">
        <v>587</v>
      </c>
      <c r="AK120" s="64" t="s" ph="1">
        <v>367</v>
      </c>
      <c r="AY120" s="64" t="s" ph="1">
        <v>216</v>
      </c>
      <c r="AZ120" s="64" t="s" ph="1">
        <v>367</v>
      </c>
    </row>
    <row r="121" spans="33:52" ph="1">
      <c r="AH121" s="64" ph="1">
        <v>2</v>
      </c>
      <c r="AI121" s="64" t="s" ph="1">
        <v>514</v>
      </c>
      <c r="AY121" s="64" t="s" ph="1">
        <v>216</v>
      </c>
      <c r="AZ121" s="64" t="s" ph="1">
        <v>367</v>
      </c>
    </row>
    <row r="122" spans="33:52" ph="1">
      <c r="AH122" s="64" ph="1">
        <v>3</v>
      </c>
      <c r="AI122" s="64" t="s" ph="1">
        <v>515</v>
      </c>
      <c r="AJ122" s="64" t="s" ph="1">
        <v>570</v>
      </c>
      <c r="AK122" s="64" t="s" ph="1">
        <v>582</v>
      </c>
      <c r="AM122" s="64" t="s" ph="1">
        <v>597</v>
      </c>
      <c r="AN122" s="64" t="s" ph="1">
        <v>590</v>
      </c>
      <c r="AO122" s="64" t="s" ph="1">
        <v>91</v>
      </c>
      <c r="AY122" s="64" t="s" ph="1">
        <v>216</v>
      </c>
      <c r="AZ122" s="64" t="s" ph="1">
        <v>579</v>
      </c>
    </row>
    <row r="123" spans="33:52" ph="1">
      <c r="AY123" s="64" t="s" ph="1">
        <v>216</v>
      </c>
      <c r="AZ123" s="64" t="s" ph="1">
        <v>579</v>
      </c>
    </row>
    <row r="124" spans="33:52" ph="1">
      <c r="AG124" s="64" t="s" ph="1">
        <v>356</v>
      </c>
      <c r="AH124" s="64" ph="1">
        <v>4</v>
      </c>
      <c r="AI124" s="64" t="s" ph="1">
        <v>516</v>
      </c>
      <c r="AJ124" s="64" t="s" ph="1">
        <v>517</v>
      </c>
      <c r="AK124" s="64" t="s" ph="1">
        <v>518</v>
      </c>
      <c r="AY124" s="64" t="s" ph="1">
        <v>216</v>
      </c>
      <c r="AZ124" s="64" t="s" ph="1">
        <v>518</v>
      </c>
    </row>
    <row r="125" spans="33:52" ph="1">
      <c r="AH125" s="64" ph="1">
        <v>5</v>
      </c>
      <c r="AI125" s="64" t="s" ph="1">
        <v>519</v>
      </c>
      <c r="AJ125" s="64" t="s" ph="1">
        <v>517</v>
      </c>
      <c r="AK125" s="64" t="s" ph="1">
        <v>518</v>
      </c>
      <c r="AY125" s="64" t="s" ph="1">
        <v>216</v>
      </c>
      <c r="AZ125" s="64" t="s" ph="1">
        <v>518</v>
      </c>
    </row>
    <row r="126" spans="33:52" ph="1">
      <c r="AH126" s="64" ph="1">
        <v>6</v>
      </c>
      <c r="AI126" s="64" t="s" ph="1">
        <v>520</v>
      </c>
      <c r="AJ126" s="64" t="s" ph="1">
        <v>589</v>
      </c>
      <c r="AK126" s="64" t="s" ph="1">
        <v>598</v>
      </c>
      <c r="AY126" s="64" t="s" ph="1">
        <v>216</v>
      </c>
      <c r="AZ126" s="64" t="s" ph="1">
        <v>598</v>
      </c>
    </row>
    <row r="127" spans="33:52" ph="1">
      <c r="AH127" s="64" ph="1">
        <v>7</v>
      </c>
      <c r="AI127" s="64" t="s" ph="1">
        <v>521</v>
      </c>
      <c r="AJ127" s="64" t="s" ph="1">
        <v>589</v>
      </c>
      <c r="AK127" s="64" t="s" ph="1">
        <v>599</v>
      </c>
      <c r="AY127" s="64" t="s" ph="1">
        <v>216</v>
      </c>
      <c r="AZ127" s="64" t="s" ph="1">
        <v>599</v>
      </c>
    </row>
    <row r="128" spans="33:52" ph="1">
      <c r="AH128" s="64" ph="1">
        <v>8</v>
      </c>
      <c r="AI128" s="64" t="s" ph="1">
        <v>522</v>
      </c>
      <c r="AY128" s="64" t="s" ph="1">
        <v>216</v>
      </c>
      <c r="AZ128" s="64" t="s" ph="1">
        <v>367</v>
      </c>
    </row>
    <row r="129" spans="33:52" ph="1">
      <c r="AH129" s="64" ph="1">
        <v>9</v>
      </c>
      <c r="AI129" s="64" t="s" ph="1">
        <v>523</v>
      </c>
      <c r="AY129" s="64" t="s" ph="1">
        <v>216</v>
      </c>
      <c r="AZ129" s="64" t="s" ph="1">
        <v>367</v>
      </c>
    </row>
    <row r="130" spans="33:52" ph="1">
      <c r="AH130" s="64" ph="1">
        <v>10</v>
      </c>
      <c r="AI130" s="64" t="s" ph="1">
        <v>524</v>
      </c>
      <c r="AY130" s="64" t="s" ph="1">
        <v>216</v>
      </c>
      <c r="AZ130" s="64" t="s" ph="1">
        <v>367</v>
      </c>
    </row>
    <row r="131" spans="33:52" ph="1">
      <c r="AH131" s="64" ph="1">
        <v>11</v>
      </c>
      <c r="AI131" s="64" t="s" ph="1">
        <v>525</v>
      </c>
      <c r="AJ131" s="64" t="s" ph="1">
        <v>583</v>
      </c>
      <c r="AK131" s="64" t="s" ph="1">
        <v>579</v>
      </c>
      <c r="AY131" s="64" t="s" ph="1">
        <v>216</v>
      </c>
      <c r="AZ131" s="64" t="s" ph="1">
        <v>579</v>
      </c>
    </row>
    <row r="132" spans="33:52" ph="1">
      <c r="AH132" s="64" ph="1">
        <v>12</v>
      </c>
      <c r="AI132" s="64" t="s" ph="1">
        <v>526</v>
      </c>
      <c r="AJ132" s="64" t="s" ph="1">
        <v>583</v>
      </c>
      <c r="AK132" s="64" t="s" ph="1">
        <v>518</v>
      </c>
      <c r="AY132" s="64" t="s" ph="1">
        <v>216</v>
      </c>
      <c r="AZ132" s="64" t="s" ph="1">
        <v>518</v>
      </c>
    </row>
    <row r="133" spans="33:52" ph="1">
      <c r="AH133" s="64" ph="1">
        <v>13</v>
      </c>
      <c r="AI133" s="64" t="s" ph="1">
        <v>527</v>
      </c>
      <c r="AJ133" s="64" t="s" ph="1">
        <v>583</v>
      </c>
      <c r="AK133" s="64" t="s" ph="1">
        <v>584</v>
      </c>
      <c r="AY133" s="64" t="s" ph="1">
        <v>216</v>
      </c>
      <c r="AZ133" s="64" t="s" ph="1">
        <v>584</v>
      </c>
    </row>
    <row r="134" spans="33:52" ph="1">
      <c r="AH134" s="64" ph="1">
        <v>14</v>
      </c>
      <c r="AI134" s="64" t="s" ph="1">
        <v>528</v>
      </c>
      <c r="AJ134" s="64" t="s" ph="1">
        <v>583</v>
      </c>
      <c r="AK134" s="64" t="s" ph="1">
        <v>585</v>
      </c>
      <c r="AY134" s="64" t="s" ph="1">
        <v>216</v>
      </c>
      <c r="AZ134" s="64" t="s" ph="1">
        <v>585</v>
      </c>
    </row>
    <row r="135" spans="33:52" ph="1">
      <c r="AH135" s="64" ph="1">
        <v>15</v>
      </c>
      <c r="AI135" s="64" t="s" ph="1">
        <v>529</v>
      </c>
      <c r="AJ135" s="64" t="s" ph="1">
        <v>583</v>
      </c>
      <c r="AK135" s="64" t="s" ph="1">
        <v>586</v>
      </c>
      <c r="AY135" s="64" t="s" ph="1">
        <v>216</v>
      </c>
      <c r="AZ135" s="64" t="s" ph="1">
        <v>586</v>
      </c>
    </row>
    <row r="136" spans="33:52" ph="1">
      <c r="AZ136" s="64" t="s" ph="1">
        <v>600</v>
      </c>
    </row>
    <row r="137" spans="33:52" ph="1">
      <c r="AG137" s="64" t="s" ph="1">
        <v>290</v>
      </c>
      <c r="AI137" s="64" t="s" ph="1">
        <v>209</v>
      </c>
      <c r="AJ137" s="64" t="s" ph="1">
        <v>210</v>
      </c>
      <c r="AK137" s="64" t="s" ph="1">
        <v>211</v>
      </c>
      <c r="AM137" s="64" t="s" ph="1">
        <v>210</v>
      </c>
      <c r="AN137" s="64" t="s" ph="1">
        <v>211</v>
      </c>
      <c r="AO137" s="64" t="s" ph="1">
        <v>212</v>
      </c>
      <c r="AP137" s="64" t="s" ph="1">
        <v>210</v>
      </c>
      <c r="AQ137" s="64" t="s" ph="1">
        <v>211</v>
      </c>
      <c r="AR137" s="64" t="s" ph="1">
        <v>212</v>
      </c>
      <c r="AS137" s="64" t="s" ph="1">
        <v>210</v>
      </c>
      <c r="AT137" s="64" t="s" ph="1">
        <v>211</v>
      </c>
      <c r="AU137" s="64" t="s" ph="1">
        <v>212</v>
      </c>
      <c r="AV137" s="64" t="s" ph="1">
        <v>210</v>
      </c>
      <c r="AW137" s="64" t="s" ph="1">
        <v>211</v>
      </c>
      <c r="AX137" s="64" t="s" ph="1">
        <v>212</v>
      </c>
      <c r="AY137" s="64" t="s" ph="1">
        <v>211</v>
      </c>
      <c r="AZ137" s="64" t="s" ph="1">
        <v>213</v>
      </c>
    </row>
    <row r="138" spans="33:52" ph="1">
      <c r="AH138" s="64" ph="1">
        <v>1</v>
      </c>
      <c r="AI138" s="64" t="s" ph="1">
        <v>530</v>
      </c>
      <c r="AJ138" s="64" t="s" ph="1">
        <v>531</v>
      </c>
      <c r="AK138" s="64" t="s" ph="1">
        <v>532</v>
      </c>
      <c r="AY138" s="64" t="s" ph="1">
        <v>216</v>
      </c>
      <c r="AZ138" s="64" t="s" ph="1">
        <v>532</v>
      </c>
    </row>
    <row r="139" spans="33:52" ph="1">
      <c r="AH139" s="64" ph="1">
        <v>2</v>
      </c>
      <c r="AI139" s="64" t="s" ph="1">
        <v>533</v>
      </c>
      <c r="AJ139" s="64" t="s" ph="1">
        <v>589</v>
      </c>
      <c r="AK139" s="64" t="s" ph="1">
        <v>601</v>
      </c>
      <c r="AY139" s="64" t="s" ph="1">
        <v>216</v>
      </c>
      <c r="AZ139" s="64" t="s" ph="1">
        <v>601</v>
      </c>
    </row>
    <row r="140" spans="33:52" ph="1">
      <c r="AH140" s="64" ph="1">
        <v>3</v>
      </c>
      <c r="AI140" s="64" t="s" ph="1">
        <v>534</v>
      </c>
      <c r="AJ140" s="64" t="s" ph="1">
        <v>487</v>
      </c>
      <c r="AK140" s="64" t="s" ph="1">
        <v>299</v>
      </c>
      <c r="AM140" s="64" t="s" ph="1">
        <v>488</v>
      </c>
      <c r="AN140" s="64" t="s" ph="1">
        <v>219</v>
      </c>
      <c r="AO140" s="64" t="s" ph="1">
        <v>535</v>
      </c>
      <c r="AP140" s="64" t="s" ph="1">
        <v>489</v>
      </c>
      <c r="AQ140" s="64" t="s" ph="1">
        <v>236</v>
      </c>
      <c r="AR140" s="64" t="s" ph="1">
        <v>535</v>
      </c>
      <c r="AS140" s="64" t="s" ph="1">
        <v>490</v>
      </c>
      <c r="AT140" s="64" t="s" ph="1">
        <v>229</v>
      </c>
      <c r="AU140" s="64" t="s" ph="1">
        <v>535</v>
      </c>
      <c r="AV140" s="64" t="s" ph="1">
        <v>491</v>
      </c>
      <c r="AW140" s="64" t="s" ph="1">
        <v>222</v>
      </c>
      <c r="AX140" s="64" t="s" ph="1">
        <v>535</v>
      </c>
      <c r="AY140" s="64" t="s" ph="1">
        <v>216</v>
      </c>
      <c r="AZ140" s="64" t="s" ph="1">
        <v>291</v>
      </c>
    </row>
    <row r="141" spans="33:52" ph="1">
      <c r="AJ141" s="64" t="s" ph="1">
        <v>493</v>
      </c>
      <c r="AK141" s="64" t="s" ph="1">
        <v>222</v>
      </c>
      <c r="AM141" s="64" t="s" ph="1">
        <v>494</v>
      </c>
      <c r="AN141" s="64" t="s" ph="1">
        <v>225</v>
      </c>
      <c r="AO141" s="64" t="s" ph="1">
        <v>535</v>
      </c>
      <c r="AP141" s="64" t="s" ph="1">
        <v>506</v>
      </c>
      <c r="AQ141" s="64" t="s" ph="1">
        <v>294</v>
      </c>
      <c r="AR141" s="64" t="s" ph="1">
        <v>535</v>
      </c>
      <c r="AS141" s="64" t="s" ph="1">
        <v>498</v>
      </c>
      <c r="AT141" s="64" t="s" ph="1">
        <v>222</v>
      </c>
      <c r="AU141" s="64" t="s" ph="1">
        <v>535</v>
      </c>
      <c r="AV141" s="64" t="s" ph="1">
        <v>334</v>
      </c>
      <c r="AW141" s="64" t="s" ph="1">
        <v>228</v>
      </c>
      <c r="AX141" s="64" t="s" ph="1">
        <v>535</v>
      </c>
    </row>
    <row r="142" spans="33:52" ph="1">
      <c r="AJ142" s="64" t="s" ph="1">
        <v>536</v>
      </c>
      <c r="AK142" s="64" t="s" ph="1">
        <v>239</v>
      </c>
    </row>
    <row r="143" spans="33:52" ph="1">
      <c r="AH143" s="64" ph="1">
        <v>4</v>
      </c>
      <c r="AI143" s="64" t="s" ph="1">
        <v>537</v>
      </c>
      <c r="AJ143" s="64" t="s" ph="1">
        <v>517</v>
      </c>
      <c r="AK143" s="64" t="s" ph="1">
        <v>538</v>
      </c>
      <c r="AY143" s="64" t="s" ph="1">
        <v>216</v>
      </c>
      <c r="AZ143" s="64" t="s" ph="1">
        <v>538</v>
      </c>
    </row>
    <row r="144" spans="33:52" ph="1">
      <c r="AH144" s="64" ph="1">
        <v>5</v>
      </c>
      <c r="AI144" s="64" t="s" ph="1">
        <v>539</v>
      </c>
      <c r="AY144" s="64" t="s" ph="1">
        <v>216</v>
      </c>
      <c r="AZ144" s="64" t="s" ph="1">
        <v>367</v>
      </c>
    </row>
    <row r="145" spans="33:52" ph="1">
      <c r="AH145" s="64" ph="1">
        <v>6</v>
      </c>
      <c r="AI145" s="64" t="s" ph="1">
        <v>540</v>
      </c>
      <c r="AY145" s="64" t="s" ph="1">
        <v>216</v>
      </c>
      <c r="AZ145" s="64" t="s" ph="1">
        <v>367</v>
      </c>
    </row>
    <row r="146" spans="33:52" ph="1">
      <c r="AH146" s="64" ph="1">
        <v>7</v>
      </c>
      <c r="AI146" s="64" t="s" ph="1">
        <v>541</v>
      </c>
      <c r="AY146" s="64" t="s" ph="1">
        <v>216</v>
      </c>
      <c r="AZ146" s="64" t="s" ph="1">
        <v>367</v>
      </c>
    </row>
    <row r="147" spans="33:52" ph="1">
      <c r="AH147" s="64" ph="1">
        <v>8</v>
      </c>
      <c r="AI147" s="64" t="s" ph="1">
        <v>542</v>
      </c>
      <c r="AY147" s="64" t="s" ph="1">
        <v>216</v>
      </c>
      <c r="AZ147" s="64" t="s" ph="1">
        <v>367</v>
      </c>
    </row>
    <row r="148" spans="33:52" ph="1">
      <c r="AH148" s="64" ph="1">
        <v>9</v>
      </c>
      <c r="AI148" s="64" t="s" ph="1">
        <v>543</v>
      </c>
      <c r="AY148" s="64" t="s" ph="1">
        <v>216</v>
      </c>
      <c r="AZ148" s="64" t="s" ph="1">
        <v>367</v>
      </c>
    </row>
    <row r="149" spans="33:52" ph="1">
      <c r="AH149" s="64" ph="1">
        <v>10</v>
      </c>
      <c r="AI149" s="64" t="s" ph="1">
        <v>544</v>
      </c>
      <c r="AY149" s="64" t="s" ph="1">
        <v>216</v>
      </c>
      <c r="AZ149" s="64" t="s" ph="1">
        <v>367</v>
      </c>
    </row>
    <row r="150" spans="33:52" ph="1">
      <c r="AH150" s="64" ph="1">
        <v>11</v>
      </c>
      <c r="AI150" s="64" t="s" ph="1">
        <v>545</v>
      </c>
      <c r="AY150" s="64" t="s" ph="1">
        <v>216</v>
      </c>
      <c r="AZ150" s="64" t="s" ph="1">
        <v>367</v>
      </c>
    </row>
    <row r="151" spans="33:52" ph="1">
      <c r="AH151" s="64" ph="1">
        <v>12</v>
      </c>
      <c r="AI151" s="64" t="s" ph="1">
        <v>546</v>
      </c>
      <c r="AY151" s="64" t="s" ph="1">
        <v>216</v>
      </c>
      <c r="AZ151" s="64" t="s" ph="1">
        <v>367</v>
      </c>
    </row>
    <row r="152" spans="33:52" ph="1">
      <c r="AH152" s="64" ph="1">
        <v>13</v>
      </c>
      <c r="AI152" s="64" t="s" ph="1">
        <v>547</v>
      </c>
      <c r="AY152" s="64" t="s" ph="1">
        <v>216</v>
      </c>
      <c r="AZ152" s="64" t="s" ph="1">
        <v>367</v>
      </c>
    </row>
    <row r="153" spans="33:52" ph="1">
      <c r="AH153" s="64" ph="1">
        <v>14</v>
      </c>
      <c r="AI153" s="64" t="s" ph="1">
        <v>548</v>
      </c>
      <c r="AY153" s="64" t="s" ph="1">
        <v>216</v>
      </c>
      <c r="AZ153" s="64" t="s" ph="1">
        <v>367</v>
      </c>
    </row>
    <row r="154" spans="33:52" ph="1">
      <c r="AH154" s="64" ph="1">
        <v>15</v>
      </c>
      <c r="AI154" s="64" t="s" ph="1">
        <v>549</v>
      </c>
      <c r="AY154" s="64" t="s" ph="1">
        <v>216</v>
      </c>
      <c r="AZ154" s="64" t="s" ph="1">
        <v>367</v>
      </c>
    </row>
    <row r="155" spans="33:52" ph="1">
      <c r="AH155" s="64" ph="1">
        <v>16</v>
      </c>
      <c r="AI155" s="64" t="s" ph="1">
        <v>550</v>
      </c>
      <c r="AJ155" s="64" t="s" ph="1">
        <v>336</v>
      </c>
      <c r="AK155" s="64" t="s" ph="1">
        <v>231</v>
      </c>
      <c r="AM155" s="64" t="s" ph="1">
        <v>570</v>
      </c>
      <c r="AN155" s="64" t="s" ph="1">
        <v>282</v>
      </c>
      <c r="AO155" s="64" t="s" ph="1">
        <v>535</v>
      </c>
      <c r="AY155" s="64" t="s" ph="1">
        <v>216</v>
      </c>
      <c r="AZ155" s="64" t="s" ph="1">
        <v>223</v>
      </c>
    </row>
    <row r="156" spans="33:52" ph="1">
      <c r="AZ156" s="64" t="s" ph="1">
        <v>602</v>
      </c>
    </row>
    <row r="157" spans="33:52" ph="1">
      <c r="AG157" s="64" t="s" ph="1">
        <v>551</v>
      </c>
      <c r="AI157" s="64" t="s" ph="1">
        <v>209</v>
      </c>
      <c r="AJ157" s="64" t="s" ph="1">
        <v>210</v>
      </c>
      <c r="AK157" s="64" t="s" ph="1">
        <v>211</v>
      </c>
      <c r="AM157" s="64" t="s" ph="1">
        <v>210</v>
      </c>
      <c r="AN157" s="64" t="s" ph="1">
        <v>211</v>
      </c>
      <c r="AO157" s="64" t="s" ph="1">
        <v>212</v>
      </c>
      <c r="AP157" s="64" t="s" ph="1">
        <v>210</v>
      </c>
      <c r="AQ157" s="64" t="s" ph="1">
        <v>211</v>
      </c>
      <c r="AR157" s="64" t="s" ph="1">
        <v>212</v>
      </c>
      <c r="AS157" s="64" t="s" ph="1">
        <v>210</v>
      </c>
      <c r="AT157" s="64" t="s" ph="1">
        <v>211</v>
      </c>
      <c r="AU157" s="64" t="s" ph="1">
        <v>212</v>
      </c>
      <c r="AV157" s="64" t="s" ph="1">
        <v>210</v>
      </c>
      <c r="AW157" s="64" t="s" ph="1">
        <v>211</v>
      </c>
      <c r="AX157" s="64" t="s" ph="1">
        <v>212</v>
      </c>
      <c r="AY157" s="64" t="s" ph="1">
        <v>211</v>
      </c>
      <c r="AZ157" s="64" t="s" ph="1">
        <v>213</v>
      </c>
    </row>
    <row r="158" spans="33:52" ph="1">
      <c r="AH158" s="64" ph="1">
        <v>1</v>
      </c>
      <c r="AI158" s="64" t="s" ph="1">
        <v>552</v>
      </c>
      <c r="AY158" s="64" t="s" ph="1">
        <v>216</v>
      </c>
      <c r="AZ158" s="64" t="s" ph="1">
        <v>367</v>
      </c>
    </row>
    <row r="159" spans="33:52" ph="1">
      <c r="AH159" s="64" ph="1">
        <v>2</v>
      </c>
      <c r="AI159" s="64" t="s" ph="1">
        <v>553</v>
      </c>
      <c r="AY159" s="64" t="s" ph="1">
        <v>216</v>
      </c>
      <c r="AZ159" s="64" t="s" ph="1">
        <v>367</v>
      </c>
    </row>
    <row r="160" spans="33:52" ph="1">
      <c r="AZ160" s="64" t="s" ph="1">
        <v>385</v>
      </c>
    </row>
    <row r="161" spans="33:52" ph="1">
      <c r="AG161" s="64" t="s" ph="1">
        <v>361</v>
      </c>
      <c r="AI161" s="64" t="s" ph="1">
        <v>209</v>
      </c>
      <c r="AJ161" s="64" t="s" ph="1">
        <v>210</v>
      </c>
      <c r="AK161" s="64" t="s" ph="1">
        <v>211</v>
      </c>
      <c r="AM161" s="64" t="s" ph="1">
        <v>210</v>
      </c>
      <c r="AN161" s="64" t="s" ph="1">
        <v>211</v>
      </c>
      <c r="AO161" s="64" t="s" ph="1">
        <v>212</v>
      </c>
      <c r="AP161" s="64" t="s" ph="1">
        <v>210</v>
      </c>
      <c r="AQ161" s="64" t="s" ph="1">
        <v>211</v>
      </c>
      <c r="AR161" s="64" t="s" ph="1">
        <v>212</v>
      </c>
      <c r="AS161" s="64" t="s" ph="1">
        <v>210</v>
      </c>
      <c r="AT161" s="64" t="s" ph="1">
        <v>211</v>
      </c>
      <c r="AU161" s="64" t="s" ph="1">
        <v>212</v>
      </c>
      <c r="AV161" s="64" t="s" ph="1">
        <v>210</v>
      </c>
      <c r="AW161" s="64" t="s" ph="1">
        <v>211</v>
      </c>
      <c r="AX161" s="64" t="s" ph="1">
        <v>212</v>
      </c>
      <c r="AY161" s="64" t="s" ph="1">
        <v>211</v>
      </c>
      <c r="AZ161" s="64" t="s" ph="1">
        <v>213</v>
      </c>
    </row>
    <row r="162" spans="33:52" ph="1">
      <c r="AH162" s="64" ph="1">
        <v>1</v>
      </c>
      <c r="AI162" s="64" t="s" ph="1">
        <v>554</v>
      </c>
      <c r="AJ162" s="64" t="s" ph="1">
        <v>555</v>
      </c>
      <c r="AK162" s="64" t="s" ph="1">
        <v>499</v>
      </c>
      <c r="AM162" s="64" t="s" ph="1">
        <v>556</v>
      </c>
      <c r="AN162" s="64" t="s" ph="1">
        <v>220</v>
      </c>
      <c r="AO162" s="64" t="s" ph="1">
        <v>557</v>
      </c>
      <c r="AY162" s="64" t="s" ph="1">
        <v>216</v>
      </c>
      <c r="AZ162" s="64" t="s" ph="1">
        <v>292</v>
      </c>
    </row>
    <row r="163" spans="33:52" ph="1">
      <c r="AH163" s="64" ph="1">
        <v>2</v>
      </c>
      <c r="AI163" s="64" t="s" ph="1">
        <v>558</v>
      </c>
      <c r="AJ163" s="64" t="s" ph="1">
        <v>555</v>
      </c>
      <c r="AK163" s="64" t="s" ph="1">
        <v>388</v>
      </c>
      <c r="AY163" s="64" t="s" ph="1">
        <v>216</v>
      </c>
      <c r="AZ163" s="64" t="s" ph="1">
        <v>388</v>
      </c>
    </row>
    <row r="164" spans="33:52" ph="1">
      <c r="AH164" s="64" ph="1">
        <v>3</v>
      </c>
      <c r="AI164" s="64" t="s" ph="1">
        <v>559</v>
      </c>
      <c r="AJ164" s="64" t="s" ph="1">
        <v>555</v>
      </c>
      <c r="AK164" s="64" t="s" ph="1">
        <v>292</v>
      </c>
      <c r="AY164" s="64" t="s" ph="1">
        <v>216</v>
      </c>
      <c r="AZ164" s="64" t="s" ph="1">
        <v>292</v>
      </c>
    </row>
    <row r="165" spans="33:52" ph="1">
      <c r="AH165" s="64" ph="1">
        <v>4</v>
      </c>
      <c r="AI165" s="64" t="s" ph="1">
        <v>560</v>
      </c>
      <c r="AY165" s="64" t="s" ph="1">
        <v>216</v>
      </c>
      <c r="AZ165" s="64" t="s" ph="1">
        <v>367</v>
      </c>
    </row>
    <row r="166" spans="33:52" ph="1">
      <c r="AH166" s="64" ph="1">
        <v>5</v>
      </c>
      <c r="AI166" s="64" t="s" ph="1">
        <v>561</v>
      </c>
      <c r="AY166" s="64" t="s" ph="1">
        <v>216</v>
      </c>
      <c r="AZ166" s="64" t="s" ph="1">
        <v>367</v>
      </c>
    </row>
    <row r="167" spans="33:52" ph="1">
      <c r="AZ167" s="64" t="s" ph="1">
        <v>562</v>
      </c>
    </row>
    <row r="168" spans="33:52" ph="1">
      <c r="AG168" s="64" t="s" ph="1">
        <v>305</v>
      </c>
      <c r="AI168" s="64" t="s" ph="1">
        <v>209</v>
      </c>
      <c r="AJ168" s="64" t="s" ph="1">
        <v>210</v>
      </c>
      <c r="AK168" s="64" t="s" ph="1">
        <v>211</v>
      </c>
      <c r="AM168" s="64" t="s" ph="1">
        <v>210</v>
      </c>
      <c r="AN168" s="64" t="s" ph="1">
        <v>211</v>
      </c>
      <c r="AO168" s="64" t="s" ph="1">
        <v>212</v>
      </c>
      <c r="AP168" s="64" t="s" ph="1">
        <v>210</v>
      </c>
      <c r="AQ168" s="64" t="s" ph="1">
        <v>211</v>
      </c>
      <c r="AR168" s="64" t="s" ph="1">
        <v>212</v>
      </c>
      <c r="AS168" s="64" t="s" ph="1">
        <v>210</v>
      </c>
      <c r="AT168" s="64" t="s" ph="1">
        <v>211</v>
      </c>
      <c r="AU168" s="64" t="s" ph="1">
        <v>212</v>
      </c>
      <c r="AV168" s="64" t="s" ph="1">
        <v>210</v>
      </c>
      <c r="AW168" s="64" t="s" ph="1">
        <v>211</v>
      </c>
      <c r="AX168" s="64" t="s" ph="1">
        <v>212</v>
      </c>
      <c r="AY168" s="64" t="s" ph="1">
        <v>211</v>
      </c>
      <c r="AZ168" s="64" t="s" ph="1">
        <v>213</v>
      </c>
    </row>
    <row r="169" spans="33:52" ph="1">
      <c r="AH169" s="64" ph="1">
        <v>1</v>
      </c>
      <c r="AI169" s="64" t="s" ph="1">
        <v>563</v>
      </c>
      <c r="AY169" s="64" t="s" ph="1">
        <v>216</v>
      </c>
      <c r="AZ169" s="64" t="s" ph="1">
        <v>367</v>
      </c>
    </row>
    <row r="170" spans="33:52" ph="1">
      <c r="AH170" s="64" ph="1">
        <v>2</v>
      </c>
      <c r="AI170" s="64" t="s" ph="1">
        <v>564</v>
      </c>
      <c r="AY170" s="64" t="s" ph="1">
        <v>216</v>
      </c>
      <c r="AZ170" s="64" t="s" ph="1">
        <v>367</v>
      </c>
    </row>
    <row r="171" spans="33:52" ph="1">
      <c r="AH171" s="64" ph="1">
        <v>3</v>
      </c>
      <c r="AI171" s="64" t="s" ph="1">
        <v>565</v>
      </c>
      <c r="AY171" s="64" t="s" ph="1">
        <v>216</v>
      </c>
      <c r="AZ171" s="64" t="s" ph="1">
        <v>367</v>
      </c>
    </row>
    <row r="172" spans="33:52" ph="1">
      <c r="AH172" s="64" ph="1">
        <v>4</v>
      </c>
      <c r="AI172" s="64" t="s" ph="1">
        <v>566</v>
      </c>
      <c r="AY172" s="64" t="s" ph="1">
        <v>216</v>
      </c>
      <c r="AZ172" s="64" t="s" ph="1">
        <v>367</v>
      </c>
    </row>
    <row r="173" spans="33:52" ph="1">
      <c r="AH173" s="64" ph="1">
        <v>5</v>
      </c>
      <c r="AI173" s="64" t="s" ph="1">
        <v>567</v>
      </c>
      <c r="AY173" s="64" t="s" ph="1">
        <v>216</v>
      </c>
      <c r="AZ173" s="64" t="s" ph="1">
        <v>367</v>
      </c>
    </row>
    <row r="174" spans="33:52" ph="1">
      <c r="AZ174" s="64" t="s" ph="1">
        <v>385</v>
      </c>
    </row>
    <row r="175" spans="33:52" ph="1">
      <c r="AJ175" s="64" t="s" ph="1">
        <v>306</v>
      </c>
    </row>
    <row r="176" spans="33:52" ph="1">
      <c r="AJ176" s="64" t="s" ph="1">
        <v>307</v>
      </c>
      <c r="AK176" s="64" t="s" ph="1">
        <v>308</v>
      </c>
      <c r="AM176" s="64" t="s" ph="1">
        <v>309</v>
      </c>
      <c r="AO176" s="64" t="s" ph="1">
        <v>310</v>
      </c>
      <c r="AP176" s="64" t="s" ph="1">
        <v>311</v>
      </c>
      <c r="AQ176" s="64" t="s" ph="1">
        <v>301</v>
      </c>
      <c r="AR176" s="64" t="s" ph="1">
        <v>221</v>
      </c>
    </row>
    <row r="177" spans="36:56" ph="1">
      <c r="AJ177" s="64" t="s" ph="1">
        <v>603</v>
      </c>
      <c r="AK177" s="64" t="s" ph="1">
        <v>312</v>
      </c>
      <c r="AO177" s="64" t="s" ph="1">
        <v>312</v>
      </c>
      <c r="AP177" s="64" t="s" ph="1">
        <v>312</v>
      </c>
      <c r="AQ177" s="64" t="s" ph="1">
        <v>313</v>
      </c>
      <c r="AR177" s="64" t="s" ph="1">
        <v>314</v>
      </c>
    </row>
    <row r="179" spans="36:56" ph="1">
      <c r="AJ179" s="64" t="s" ph="1">
        <v>315</v>
      </c>
      <c r="AK179" s="64" t="s" ph="1">
        <v>316</v>
      </c>
      <c r="AM179" s="64" t="s" ph="1">
        <v>317</v>
      </c>
      <c r="AN179" s="64" t="s" ph="1">
        <v>293</v>
      </c>
      <c r="AO179" s="64" t="s" ph="1">
        <v>318</v>
      </c>
      <c r="AP179" s="64" t="s" ph="1">
        <v>297</v>
      </c>
      <c r="AQ179" s="64" t="s" ph="1">
        <v>319</v>
      </c>
      <c r="AR179" s="64" t="s" ph="1">
        <v>320</v>
      </c>
    </row>
    <row r="180" spans="36:56" ph="1">
      <c r="AJ180" s="64" t="s" ph="1">
        <v>312</v>
      </c>
      <c r="AK180" s="64" t="s" ph="1">
        <v>312</v>
      </c>
      <c r="AL180" s="64" ph="1">
        <v>116</v>
      </c>
      <c r="AM180" s="64" t="s" ph="1">
        <v>312</v>
      </c>
      <c r="AN180" s="64" t="s" ph="1">
        <v>321</v>
      </c>
      <c r="AO180" s="64" t="s" ph="1">
        <v>312</v>
      </c>
      <c r="AP180" s="64" t="s" ph="1">
        <v>322</v>
      </c>
      <c r="AQ180" s="64" t="s" ph="1">
        <v>323</v>
      </c>
      <c r="AR180" s="64" t="s" ph="1">
        <v>324</v>
      </c>
    </row>
    <row r="189" spans="36:56" ph="1">
      <c r="BD189" s="64" t="s" ph="1">
        <v>568</v>
      </c>
    </row>
    <row r="223" spans="18:18" ph="1">
      <c r="R223" s="135" ph="1">
        <v>45496</v>
      </c>
    </row>
  </sheetData>
  <mergeCells count="58">
    <mergeCell ref="Z22:AE22"/>
    <mergeCell ref="Z23:AE29"/>
    <mergeCell ref="B24:B26"/>
    <mergeCell ref="B27:B29"/>
    <mergeCell ref="B1:AE1"/>
    <mergeCell ref="B2:AE2"/>
    <mergeCell ref="B3:AE3"/>
    <mergeCell ref="B4:B5"/>
    <mergeCell ref="B6:B8"/>
    <mergeCell ref="B9:B11"/>
    <mergeCell ref="P31:R31"/>
    <mergeCell ref="B13:B14"/>
    <mergeCell ref="B15:B17"/>
    <mergeCell ref="B18:B20"/>
    <mergeCell ref="B22:B23"/>
    <mergeCell ref="B31:C32"/>
    <mergeCell ref="D31:F31"/>
    <mergeCell ref="G31:I31"/>
    <mergeCell ref="J31:L31"/>
    <mergeCell ref="M31:O31"/>
    <mergeCell ref="B33:C34"/>
    <mergeCell ref="D33:D34"/>
    <mergeCell ref="E33:E34"/>
    <mergeCell ref="F33:F34"/>
    <mergeCell ref="G33:G34"/>
    <mergeCell ref="S31:U31"/>
    <mergeCell ref="V31:X31"/>
    <mergeCell ref="Y31:AA31"/>
    <mergeCell ref="AB31:AE31"/>
    <mergeCell ref="AD32:AE32"/>
    <mergeCell ref="S33:S34"/>
    <mergeCell ref="H33:H34"/>
    <mergeCell ref="I33:I34"/>
    <mergeCell ref="J33:J34"/>
    <mergeCell ref="K33:K34"/>
    <mergeCell ref="L33:L34"/>
    <mergeCell ref="M33:M34"/>
    <mergeCell ref="N33:N34"/>
    <mergeCell ref="O33:O34"/>
    <mergeCell ref="P33:P34"/>
    <mergeCell ref="Q33:Q34"/>
    <mergeCell ref="R33:R34"/>
    <mergeCell ref="I36:J36"/>
    <mergeCell ref="R36:S36"/>
    <mergeCell ref="AB36:AC36"/>
    <mergeCell ref="AD36:AE36"/>
    <mergeCell ref="Z33:Z34"/>
    <mergeCell ref="AA33:AA34"/>
    <mergeCell ref="AB33:AB34"/>
    <mergeCell ref="AC33:AC34"/>
    <mergeCell ref="AD33:AE34"/>
    <mergeCell ref="AC35:AE35"/>
    <mergeCell ref="T33:T34"/>
    <mergeCell ref="U33:U34"/>
    <mergeCell ref="V33:V34"/>
    <mergeCell ref="W33:W34"/>
    <mergeCell ref="X33:X34"/>
    <mergeCell ref="Y33:Y34"/>
  </mergeCells>
  <phoneticPr fontId="2" type="noConversion"/>
  <conditionalFormatting sqref="D4:D11">
    <cfRule type="expression" dxfId="531" priority="103">
      <formula>ABS(D$7-D$10)&gt;=1000</formula>
    </cfRule>
  </conditionalFormatting>
  <conditionalFormatting sqref="E4 E6:E11">
    <cfRule type="expression" dxfId="530" priority="102">
      <formula>ABS(E$7-E$10)&gt;=1000</formula>
    </cfRule>
  </conditionalFormatting>
  <conditionalFormatting sqref="F4:F11">
    <cfRule type="expression" dxfId="529" priority="101">
      <formula>ABS(F$7-F$10)&gt;=1000</formula>
    </cfRule>
  </conditionalFormatting>
  <conditionalFormatting sqref="G4:G11">
    <cfRule type="expression" dxfId="528" priority="100">
      <formula>ABS(G$7-G$10)&gt;=1000</formula>
    </cfRule>
  </conditionalFormatting>
  <conditionalFormatting sqref="H4:H11">
    <cfRule type="expression" dxfId="527" priority="99">
      <formula>ABS(H$7-H$10)&gt;=1000</formula>
    </cfRule>
  </conditionalFormatting>
  <conditionalFormatting sqref="I4:I11">
    <cfRule type="expression" dxfId="526" priority="98">
      <formula>ABS(I$7-I$10)&gt;=1000</formula>
    </cfRule>
  </conditionalFormatting>
  <conditionalFormatting sqref="J4:J11">
    <cfRule type="expression" dxfId="525" priority="97">
      <formula>ABS(J$7-J$10)&gt;=1000</formula>
    </cfRule>
  </conditionalFormatting>
  <conditionalFormatting sqref="K4:K11">
    <cfRule type="expression" dxfId="524" priority="96">
      <formula>ABS(K$7-K$10)&gt;=1000</formula>
    </cfRule>
  </conditionalFormatting>
  <conditionalFormatting sqref="L4:L11">
    <cfRule type="expression" dxfId="523" priority="95">
      <formula>ABS(L$7-L$10)&gt;=1000</formula>
    </cfRule>
  </conditionalFormatting>
  <conditionalFormatting sqref="M4 M6:M11">
    <cfRule type="expression" dxfId="522" priority="94">
      <formula>ABS(M$7-M$10)&gt;=1000</formula>
    </cfRule>
  </conditionalFormatting>
  <conditionalFormatting sqref="N4 N6:N11">
    <cfRule type="expression" dxfId="521" priority="93">
      <formula>ABS(N$7-N$10)&gt;=1000</formula>
    </cfRule>
  </conditionalFormatting>
  <conditionalFormatting sqref="O4 O6:O11">
    <cfRule type="expression" dxfId="520" priority="92">
      <formula>ABS(O$7-O$10)&gt;=1000</formula>
    </cfRule>
  </conditionalFormatting>
  <conditionalFormatting sqref="P4 P6:P11">
    <cfRule type="expression" dxfId="519" priority="91">
      <formula>ABS(P$7-P$10)&gt;=1000</formula>
    </cfRule>
  </conditionalFormatting>
  <conditionalFormatting sqref="Q4:Q11">
    <cfRule type="expression" dxfId="518" priority="90">
      <formula>ABS(Q$7-Q$10)&gt;=1000</formula>
    </cfRule>
  </conditionalFormatting>
  <conditionalFormatting sqref="R4:R11">
    <cfRule type="expression" dxfId="517" priority="89">
      <formula>ABS(R$7-R$10)&gt;=1000</formula>
    </cfRule>
  </conditionalFormatting>
  <conditionalFormatting sqref="S4:S11">
    <cfRule type="expression" dxfId="516" priority="88">
      <formula>ABS(S$7-S$10)&gt;=1000</formula>
    </cfRule>
  </conditionalFormatting>
  <conditionalFormatting sqref="T4:T9 T11">
    <cfRule type="expression" dxfId="515" priority="87">
      <formula>ABS(T$7-T$10)&gt;=1000</formula>
    </cfRule>
  </conditionalFormatting>
  <conditionalFormatting sqref="U4:U9 U11">
    <cfRule type="expression" dxfId="514" priority="86">
      <formula>ABS(U$7-U$10)&gt;=1000</formula>
    </cfRule>
  </conditionalFormatting>
  <conditionalFormatting sqref="V4:V9 V11">
    <cfRule type="expression" dxfId="513" priority="85">
      <formula>ABS(V$7-V$10)&gt;=1000</formula>
    </cfRule>
  </conditionalFormatting>
  <conditionalFormatting sqref="W4:W9 W11">
    <cfRule type="expression" dxfId="512" priority="84">
      <formula>ABS(W$7-W$10)&gt;=1000</formula>
    </cfRule>
  </conditionalFormatting>
  <conditionalFormatting sqref="X4:X9 X11">
    <cfRule type="expression" dxfId="511" priority="83">
      <formula>ABS(X$7-X$10)&gt;=1000</formula>
    </cfRule>
  </conditionalFormatting>
  <conditionalFormatting sqref="Y4:Y9 Y11">
    <cfRule type="expression" dxfId="510" priority="82">
      <formula>ABS(Y$7-Y$10)&gt;=1000</formula>
    </cfRule>
  </conditionalFormatting>
  <conditionalFormatting sqref="Z4:Z11">
    <cfRule type="expression" dxfId="509" priority="81">
      <formula>ABS(Z$7-Z$10)&gt;=1000</formula>
    </cfRule>
  </conditionalFormatting>
  <conditionalFormatting sqref="AA4:AA11">
    <cfRule type="expression" dxfId="508" priority="80">
      <formula>ABS(AA$7-AA$10)&gt;=1000</formula>
    </cfRule>
  </conditionalFormatting>
  <conditionalFormatting sqref="AB4:AB11">
    <cfRule type="expression" dxfId="507" priority="79">
      <formula>ABS(AB$7-AB$10)&gt;=1000</formula>
    </cfRule>
  </conditionalFormatting>
  <conditionalFormatting sqref="AC4 AC6:AC11">
    <cfRule type="expression" dxfId="506" priority="78">
      <formula>ABS(AC$7-AC$10)&gt;=1000</formula>
    </cfRule>
  </conditionalFormatting>
  <conditionalFormatting sqref="AD4 AD6:AD11">
    <cfRule type="expression" dxfId="505" priority="77">
      <formula>ABS(AD$7-AD$10)&gt;=1000</formula>
    </cfRule>
  </conditionalFormatting>
  <conditionalFormatting sqref="AE4 AE6:AE11">
    <cfRule type="expression" dxfId="504" priority="76">
      <formula>ABS(AE$7-AE$10)&gt;=1000</formula>
    </cfRule>
  </conditionalFormatting>
  <conditionalFormatting sqref="D13:D20">
    <cfRule type="expression" dxfId="503" priority="75">
      <formula>ABS(D$16-D$19)&gt;=1000</formula>
    </cfRule>
  </conditionalFormatting>
  <conditionalFormatting sqref="E13:E20">
    <cfRule type="expression" dxfId="502" priority="74">
      <formula>ABS(E$16-E$19)&gt;=1000</formula>
    </cfRule>
  </conditionalFormatting>
  <conditionalFormatting sqref="F13 F15:F20">
    <cfRule type="expression" dxfId="501" priority="73">
      <formula>ABS(F$16-F$19)&gt;=1000</formula>
    </cfRule>
  </conditionalFormatting>
  <conditionalFormatting sqref="G13:G20">
    <cfRule type="expression" dxfId="500" priority="72">
      <formula>ABS(G$16-G$19)&gt;=1000</formula>
    </cfRule>
  </conditionalFormatting>
  <conditionalFormatting sqref="H13 H15:H20">
    <cfRule type="expression" dxfId="499" priority="71">
      <formula>ABS(H$16-H$19)&gt;=1000</formula>
    </cfRule>
  </conditionalFormatting>
  <conditionalFormatting sqref="I13:I20">
    <cfRule type="expression" dxfId="498" priority="70">
      <formula>ABS(I$16-I$19)&gt;=1000</formula>
    </cfRule>
  </conditionalFormatting>
  <conditionalFormatting sqref="J13:J20">
    <cfRule type="expression" dxfId="497" priority="69">
      <formula>ABS(J$16-J$19)&gt;=1000</formula>
    </cfRule>
  </conditionalFormatting>
  <conditionalFormatting sqref="L13:L20">
    <cfRule type="expression" dxfId="496" priority="68">
      <formula>ABS(L$16-L$19)&gt;=1000</formula>
    </cfRule>
  </conditionalFormatting>
  <conditionalFormatting sqref="M13 M15 M17:M18 M20">
    <cfRule type="expression" dxfId="495" priority="67">
      <formula>ABS(M$16-M$19)&gt;=1000</formula>
    </cfRule>
  </conditionalFormatting>
  <conditionalFormatting sqref="N13:N20">
    <cfRule type="expression" dxfId="494" priority="66">
      <formula>ABS(N$16-N$19)&gt;=1000</formula>
    </cfRule>
  </conditionalFormatting>
  <conditionalFormatting sqref="O13:O20">
    <cfRule type="expression" dxfId="493" priority="65">
      <formula>ABS(O$16-O$19)&gt;=1000</formula>
    </cfRule>
  </conditionalFormatting>
  <conditionalFormatting sqref="P13:P20">
    <cfRule type="expression" dxfId="492" priority="64">
      <formula>ABS(P$16-P$19)&gt;=1000</formula>
    </cfRule>
  </conditionalFormatting>
  <conditionalFormatting sqref="Q13 Q15:Q20">
    <cfRule type="expression" dxfId="491" priority="63">
      <formula>ABS(Q$16-Q$19)&gt;=1000</formula>
    </cfRule>
  </conditionalFormatting>
  <conditionalFormatting sqref="R13 R15:R20">
    <cfRule type="expression" dxfId="490" priority="62">
      <formula>ABS(R$16-R$19)&gt;=1000</formula>
    </cfRule>
  </conditionalFormatting>
  <conditionalFormatting sqref="S13:S20">
    <cfRule type="expression" dxfId="489" priority="61">
      <formula>ABS(S$16-S$19)&gt;=1000</formula>
    </cfRule>
  </conditionalFormatting>
  <conditionalFormatting sqref="T13:T15 T17:T20">
    <cfRule type="expression" dxfId="488" priority="60">
      <formula>ABS(T$16-T$19)&gt;=1000</formula>
    </cfRule>
  </conditionalFormatting>
  <conditionalFormatting sqref="U13:U20">
    <cfRule type="expression" dxfId="487" priority="59">
      <formula>ABS(U$16-U$19)&gt;=1000</formula>
    </cfRule>
  </conditionalFormatting>
  <conditionalFormatting sqref="V13:V20">
    <cfRule type="expression" dxfId="486" priority="58">
      <formula>ABS(V$16-V$19)&gt;=1000</formula>
    </cfRule>
  </conditionalFormatting>
  <conditionalFormatting sqref="W13 W20 W15:W18">
    <cfRule type="expression" dxfId="485" priority="57">
      <formula>ABS(W$16-W$19)&gt;=1000</formula>
    </cfRule>
  </conditionalFormatting>
  <conditionalFormatting sqref="X13 X15:X20 Y19">
    <cfRule type="expression" dxfId="484" priority="56">
      <formula>ABS(X$16-X$19)&gt;=1000</formula>
    </cfRule>
  </conditionalFormatting>
  <conditionalFormatting sqref="Y13 Y15:Y18 Y20">
    <cfRule type="expression" dxfId="483" priority="55">
      <formula>ABS(Y$16-Y$19)&gt;=1000</formula>
    </cfRule>
  </conditionalFormatting>
  <conditionalFormatting sqref="Z13:Z20">
    <cfRule type="expression" dxfId="482" priority="54">
      <formula>ABS(Z$16-Z$19)&gt;=1000</formula>
    </cfRule>
  </conditionalFormatting>
  <conditionalFormatting sqref="AA13:AA20">
    <cfRule type="expression" dxfId="481" priority="53">
      <formula>ABS(AA$16-AA$19)&gt;=1000</formula>
    </cfRule>
  </conditionalFormatting>
  <conditionalFormatting sqref="AB13 AB15:AB20">
    <cfRule type="expression" dxfId="480" priority="52">
      <formula>ABS(AB$16-AB$19)&gt;=1000</formula>
    </cfRule>
  </conditionalFormatting>
  <conditionalFormatting sqref="AC13 AC15:AC20">
    <cfRule type="expression" dxfId="479" priority="51">
      <formula>ABS(AC$16-AC$19)&gt;=1000</formula>
    </cfRule>
  </conditionalFormatting>
  <conditionalFormatting sqref="AD13:AD20">
    <cfRule type="expression" dxfId="478" priority="50">
      <formula>ABS(AD$16-AD$19)&gt;=1000</formula>
    </cfRule>
  </conditionalFormatting>
  <conditionalFormatting sqref="AE13:AE20">
    <cfRule type="expression" dxfId="477" priority="49">
      <formula>ABS(AE$16-AE$19)&gt;=1000</formula>
    </cfRule>
  </conditionalFormatting>
  <conditionalFormatting sqref="D22:D29">
    <cfRule type="expression" dxfId="476" priority="48">
      <formula>ABS(D$25-D$28)&gt;=1000</formula>
    </cfRule>
  </conditionalFormatting>
  <conditionalFormatting sqref="E22:E29">
    <cfRule type="expression" dxfId="475" priority="47">
      <formula>ABS(E$25-E$28)&gt;=1000</formula>
    </cfRule>
  </conditionalFormatting>
  <conditionalFormatting sqref="F22:F29">
    <cfRule type="expression" dxfId="474" priority="46">
      <formula>ABS(F$25-F$28)&gt;=1000</formula>
    </cfRule>
  </conditionalFormatting>
  <conditionalFormatting sqref="G22:G29">
    <cfRule type="expression" dxfId="473" priority="45">
      <formula>ABS(G$25-G$28)&gt;=1000</formula>
    </cfRule>
  </conditionalFormatting>
  <conditionalFormatting sqref="H22:H29">
    <cfRule type="expression" dxfId="472" priority="44">
      <formula>ABS(H$25-H$28)&gt;=1000</formula>
    </cfRule>
  </conditionalFormatting>
  <conditionalFormatting sqref="I22 I24:I29">
    <cfRule type="expression" dxfId="471" priority="43">
      <formula>ABS(I$25-I$28)&gt;=1000</formula>
    </cfRule>
  </conditionalFormatting>
  <conditionalFormatting sqref="J22:J29 K22">
    <cfRule type="expression" dxfId="470" priority="42">
      <formula>ABS(J$25-J$28)&gt;=1000</formula>
    </cfRule>
  </conditionalFormatting>
  <conditionalFormatting sqref="K23:K29 L25 L28">
    <cfRule type="expression" dxfId="469" priority="41">
      <formula>ABS(K$25-K$28)&gt;=1000</formula>
    </cfRule>
  </conditionalFormatting>
  <conditionalFormatting sqref="L22 L26:L27 L29 L24">
    <cfRule type="expression" dxfId="468" priority="40">
      <formula>ABS(L$25-L$28)&gt;=1000</formula>
    </cfRule>
  </conditionalFormatting>
  <conditionalFormatting sqref="M22:M29">
    <cfRule type="expression" dxfId="467" priority="39">
      <formula>ABS(M$25-M$28)&gt;=1000</formula>
    </cfRule>
  </conditionalFormatting>
  <conditionalFormatting sqref="N22:N29">
    <cfRule type="expression" dxfId="466" priority="38">
      <formula>ABS(N$25-N$28)&gt;=1000</formula>
    </cfRule>
  </conditionalFormatting>
  <conditionalFormatting sqref="O22 O24:O29">
    <cfRule type="expression" dxfId="465" priority="37">
      <formula>ABS(O$25-O$28)&gt;=1000</formula>
    </cfRule>
  </conditionalFormatting>
  <conditionalFormatting sqref="P22:P29">
    <cfRule type="expression" dxfId="464" priority="36">
      <formula>ABS(P$25-P$28)&gt;=1000</formula>
    </cfRule>
  </conditionalFormatting>
  <conditionalFormatting sqref="Q22:Q29">
    <cfRule type="expression" dxfId="463" priority="35">
      <formula>ABS(Q$25-Q$28)&gt;=1000</formula>
    </cfRule>
  </conditionalFormatting>
  <conditionalFormatting sqref="R22:R29">
    <cfRule type="expression" dxfId="462" priority="34">
      <formula>ABS(R$25-R$28)&gt;=1000</formula>
    </cfRule>
  </conditionalFormatting>
  <conditionalFormatting sqref="S22:S29">
    <cfRule type="expression" dxfId="461" priority="33">
      <formula>ABS(S$25-S$28)&gt;=1000</formula>
    </cfRule>
  </conditionalFormatting>
  <conditionalFormatting sqref="T22:T29">
    <cfRule type="expression" dxfId="460" priority="32">
      <formula>ABS(T$25-T$28)&gt;=1000</formula>
    </cfRule>
  </conditionalFormatting>
  <conditionalFormatting sqref="U22:U29">
    <cfRule type="expression" dxfId="459" priority="31">
      <formula>ABS(U$25-U$28)&gt;=1000</formula>
    </cfRule>
  </conditionalFormatting>
  <conditionalFormatting sqref="V22:V29">
    <cfRule type="expression" dxfId="458" priority="30">
      <formula>ABS(V$25-V$28)&gt;=1000</formula>
    </cfRule>
  </conditionalFormatting>
  <conditionalFormatting sqref="W22:W29">
    <cfRule type="expression" dxfId="457" priority="29">
      <formula>ABS(W$25-W$28)&gt;=1000</formula>
    </cfRule>
  </conditionalFormatting>
  <conditionalFormatting sqref="X22:X29">
    <cfRule type="expression" dxfId="456" priority="28">
      <formula>ABS(X$25-X$28)&gt;=1000</formula>
    </cfRule>
  </conditionalFormatting>
  <conditionalFormatting sqref="Y22:Y29">
    <cfRule type="expression" dxfId="455" priority="27">
      <formula>ABS(Y$25-Y$28)&gt;=1000</formula>
    </cfRule>
  </conditionalFormatting>
  <conditionalFormatting sqref="I23">
    <cfRule type="expression" dxfId="454" priority="26">
      <formula>ABS(I$25-I$28)&gt;=1000</formula>
    </cfRule>
  </conditionalFormatting>
  <conditionalFormatting sqref="Q14">
    <cfRule type="expression" dxfId="453" priority="25">
      <formula>ABS(Q$16-Q$19)&gt;=1000</formula>
    </cfRule>
  </conditionalFormatting>
  <conditionalFormatting sqref="W14">
    <cfRule type="expression" dxfId="452" priority="24">
      <formula>ABS(W$16-W$19)&gt;=1000</formula>
    </cfRule>
  </conditionalFormatting>
  <conditionalFormatting sqref="X14">
    <cfRule type="expression" dxfId="451" priority="23">
      <formula>ABS(X$16-X$19)&gt;=1000</formula>
    </cfRule>
  </conditionalFormatting>
  <conditionalFormatting sqref="T10:Y10">
    <cfRule type="expression" dxfId="450" priority="22">
      <formula>ABS(T$7-T$10)&gt;=1000</formula>
    </cfRule>
  </conditionalFormatting>
  <conditionalFormatting sqref="W19">
    <cfRule type="expression" dxfId="449" priority="21">
      <formula>ABS(W$16-W$19)&gt;=1000</formula>
    </cfRule>
  </conditionalFormatting>
  <conditionalFormatting sqref="AC5">
    <cfRule type="expression" dxfId="448" priority="20">
      <formula>ABS(AC$7-AC$10)&gt;=1000</formula>
    </cfRule>
  </conditionalFormatting>
  <conditionalFormatting sqref="M14">
    <cfRule type="expression" dxfId="447" priority="19">
      <formula>ABS(M$16-M$19)&gt;=1000</formula>
    </cfRule>
  </conditionalFormatting>
  <conditionalFormatting sqref="M16">
    <cfRule type="expression" dxfId="446" priority="18">
      <formula>ABS(M$16-M$19)&gt;=1000</formula>
    </cfRule>
  </conditionalFormatting>
  <conditionalFormatting sqref="M19">
    <cfRule type="expression" dxfId="445" priority="17">
      <formula>ABS(M$16-M$19)&gt;=1000</formula>
    </cfRule>
  </conditionalFormatting>
  <conditionalFormatting sqref="K13:K20">
    <cfRule type="expression" dxfId="444" priority="16">
      <formula>ABS(K$16-K$19)&gt;=1000</formula>
    </cfRule>
  </conditionalFormatting>
  <conditionalFormatting sqref="E5">
    <cfRule type="expression" dxfId="443" priority="15">
      <formula>ABS(E$7-E$10)&gt;=1000</formula>
    </cfRule>
  </conditionalFormatting>
  <conditionalFormatting sqref="AB14:AC14">
    <cfRule type="expression" dxfId="442" priority="14">
      <formula>ABS(AB$16-AB$19)&gt;=1000</formula>
    </cfRule>
  </conditionalFormatting>
  <conditionalFormatting sqref="M5">
    <cfRule type="expression" dxfId="441" priority="13">
      <formula>ABS(M$7-M$10)&gt;=1000</formula>
    </cfRule>
  </conditionalFormatting>
  <conditionalFormatting sqref="N5">
    <cfRule type="expression" dxfId="440" priority="12">
      <formula>ABS(N$7-N$10)&gt;=1000</formula>
    </cfRule>
  </conditionalFormatting>
  <conditionalFormatting sqref="O5">
    <cfRule type="expression" dxfId="439" priority="11">
      <formula>ABS(O$7-O$10)&gt;=1000</formula>
    </cfRule>
  </conditionalFormatting>
  <conditionalFormatting sqref="P5">
    <cfRule type="expression" dxfId="438" priority="10">
      <formula>ABS(P$7-P$10)&gt;=1000</formula>
    </cfRule>
  </conditionalFormatting>
  <conditionalFormatting sqref="L23">
    <cfRule type="expression" dxfId="437" priority="9">
      <formula>ABS(L$25-L$28)&gt;=1000</formula>
    </cfRule>
  </conditionalFormatting>
  <conditionalFormatting sqref="Y14">
    <cfRule type="expression" dxfId="436" priority="8">
      <formula>ABS(Y$16-Y$19)&gt;=1000</formula>
    </cfRule>
  </conditionalFormatting>
  <conditionalFormatting sqref="H14">
    <cfRule type="expression" dxfId="435" priority="7">
      <formula>ABS(H$16-H$19)&gt;=1000</formula>
    </cfRule>
  </conditionalFormatting>
  <conditionalFormatting sqref="AD5">
    <cfRule type="expression" dxfId="434" priority="6">
      <formula>ABS(AD$7-AD$10)&gt;=1000</formula>
    </cfRule>
  </conditionalFormatting>
  <conditionalFormatting sqref="AE5">
    <cfRule type="expression" dxfId="433" priority="5">
      <formula>ABS(AE$7-AE$10)&gt;=1000</formula>
    </cfRule>
  </conditionalFormatting>
  <conditionalFormatting sqref="T16">
    <cfRule type="expression" dxfId="432" priority="4">
      <formula>ABS(T$16-T$19)&gt;=1000</formula>
    </cfRule>
  </conditionalFormatting>
  <conditionalFormatting sqref="F14">
    <cfRule type="expression" dxfId="431" priority="3">
      <formula>ABS(F$16-F$19)&gt;=1000</formula>
    </cfRule>
  </conditionalFormatting>
  <conditionalFormatting sqref="R14">
    <cfRule type="expression" dxfId="430" priority="2">
      <formula>ABS(R$16-R$19)&gt;=1000</formula>
    </cfRule>
  </conditionalFormatting>
  <conditionalFormatting sqref="O23">
    <cfRule type="expression" dxfId="429" priority="1">
      <formula>ABS(O$25-O$28)&gt;=1000</formula>
    </cfRule>
  </conditionalFormatting>
  <dataValidations count="1">
    <dataValidation operator="greaterThanOrEqual" allowBlank="1" showErrorMessage="1" sqref="D6"/>
  </dataValidations>
  <printOptions horizontalCentered="1"/>
  <pageMargins left="0.39370078740157483" right="0.39370078740157483" top="0.39370078740157483" bottom="0.39370078740157483" header="0.51181102362204722" footer="0.51181102362204722"/>
  <pageSetup paperSize="9" scale="60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72673" r:id="rId4" name="Button 1">
              <controlPr defaultSize="0" print="0" autoFill="0" autoPict="0">
                <anchor moveWithCells="1">
                  <from>
                    <xdr:col>31</xdr:col>
                    <xdr:colOff>0</xdr:colOff>
                    <xdr:row>0</xdr:row>
                    <xdr:rowOff>342900</xdr:rowOff>
                  </from>
                  <to>
                    <xdr:col>32</xdr:col>
                    <xdr:colOff>411480</xdr:colOff>
                    <xdr:row>3</xdr:row>
                    <xdr:rowOff>30480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983">
    <pageSetUpPr fitToPage="1"/>
  </sheetPr>
  <dimension ref="A1:CU223"/>
  <sheetViews>
    <sheetView view="pageBreakPreview" topLeftCell="A12" zoomScale="85" zoomScaleNormal="100" zoomScaleSheetLayoutView="85" workbookViewId="0">
      <selection activeCell="G21" sqref="G21"/>
    </sheetView>
  </sheetViews>
  <sheetFormatPr defaultColWidth="8.109375" defaultRowHeight="25.8"/>
  <cols>
    <col min="1" max="1" width="11.6640625" style="64" customWidth="1" phonetic="1"/>
    <col min="2" max="2" width="7.6640625" style="64" customWidth="1" phonetic="1"/>
    <col min="3" max="3" width="8" style="64" customWidth="1" phonetic="1"/>
    <col min="4" max="8" width="7.6640625" style="64" customWidth="1" phonetic="1"/>
    <col min="9" max="9" width="8" style="64" customWidth="1" phonetic="1"/>
    <col min="10" max="12" width="7.6640625" style="64" customWidth="1" phonetic="1"/>
    <col min="13" max="13" width="7.77734375" style="64" bestFit="1" customWidth="1" phonetic="1"/>
    <col min="14" max="30" width="7.6640625" style="64" customWidth="1" phonetic="1"/>
    <col min="31" max="31" width="7.6640625" style="75" customWidth="1" phonetic="1"/>
    <col min="32" max="32" width="11.6640625" style="64" bestFit="1" customWidth="1" phonetic="1"/>
    <col min="33" max="33" width="22.109375" style="64" customWidth="1" phonetic="1"/>
    <col min="34" max="34" width="5.6640625" style="64" customWidth="1" phonetic="1"/>
    <col min="35" max="35" width="18.21875" style="64" customWidth="1" phonetic="1"/>
    <col min="36" max="36" width="12" style="64" bestFit="1" customWidth="1" phonetic="1"/>
    <col min="37" max="37" width="11.6640625" style="64" bestFit="1" customWidth="1" phonetic="1"/>
    <col min="38" max="38" width="5.6640625" style="64" customWidth="1" phonetic="1"/>
    <col min="39" max="39" width="11.44140625" style="64" bestFit="1" customWidth="1" phonetic="1"/>
    <col min="40" max="40" width="6.21875" style="64" customWidth="1" phonetic="1"/>
    <col min="41" max="41" width="8.6640625" style="64" customWidth="1" phonetic="1"/>
    <col min="42" max="42" width="11.21875" style="64" customWidth="1" phonetic="1"/>
    <col min="43" max="43" width="11.77734375" style="64" customWidth="1" phonetic="1"/>
    <col min="44" max="44" width="11.21875" style="64" customWidth="1" phonetic="1"/>
    <col min="45" max="45" width="11.21875" style="64" bestFit="1" customWidth="1" phonetic="1"/>
    <col min="46" max="46" width="41.77734375" style="64" customWidth="1" phonetic="1"/>
    <col min="47" max="47" width="7.77734375" style="64" customWidth="1" phonetic="1"/>
    <col min="48" max="48" width="17.109375" style="64" customWidth="1" phonetic="1"/>
    <col min="49" max="49" width="6.21875" style="64" customWidth="1" phonetic="1"/>
    <col min="50" max="50" width="10" style="64" customWidth="1" phonetic="1"/>
    <col min="51" max="51" width="6.21875" style="64" customWidth="1" phonetic="1"/>
    <col min="52" max="52" width="6.88671875" style="64" customWidth="1" phonetic="1"/>
    <col min="53" max="53" width="6.44140625" style="64" customWidth="1" phonetic="1"/>
    <col min="54" max="54" width="15.44140625" style="64" customWidth="1" phonetic="1"/>
    <col min="55" max="55" width="6.21875" style="64" customWidth="1" phonetic="1"/>
    <col min="56" max="56" width="22.109375" style="64" bestFit="1" customWidth="1" phonetic="1"/>
    <col min="57" max="57" width="6.44140625" style="64" customWidth="1" phonetic="1"/>
    <col min="58" max="60" width="6.21875" style="64" customWidth="1" phonetic="1"/>
    <col min="61" max="16384" width="8.109375" style="64" phonetic="1"/>
  </cols>
  <sheetData>
    <row r="1" spans="1:99" ht="31.2" ph="1">
      <c r="A1" s="64"/>
      <c r="B1" s="238" t="s" ph="1">
        <v>161</v>
      </c>
      <c r="C1" s="238" ph="1"/>
      <c r="D1" s="238" ph="1"/>
      <c r="E1" s="238" ph="1"/>
      <c r="F1" s="238" ph="1"/>
      <c r="G1" s="238" ph="1"/>
      <c r="H1" s="238" ph="1"/>
      <c r="I1" s="238" ph="1"/>
      <c r="J1" s="238" ph="1"/>
      <c r="K1" s="238" ph="1"/>
      <c r="L1" s="238" ph="1"/>
      <c r="M1" s="238" ph="1"/>
      <c r="N1" s="238" ph="1"/>
      <c r="O1" s="238" ph="1"/>
      <c r="P1" s="238" ph="1"/>
      <c r="Q1" s="238" ph="1"/>
      <c r="R1" s="238" ph="1"/>
      <c r="S1" s="238" ph="1"/>
      <c r="T1" s="238" ph="1"/>
      <c r="U1" s="238" ph="1"/>
      <c r="V1" s="238" ph="1"/>
      <c r="W1" s="238" ph="1"/>
      <c r="X1" s="238" ph="1"/>
      <c r="Y1" s="238" ph="1"/>
      <c r="Z1" s="238" ph="1"/>
      <c r="AA1" s="238" ph="1"/>
      <c r="AB1" s="238" ph="1"/>
      <c r="AC1" s="238" ph="1"/>
      <c r="AD1" s="238" ph="1"/>
      <c r="AE1" s="238" ph="1"/>
    </row>
    <row r="2" spans="1:99" s="66" customFormat="1" ht="24" customHeight="1" ph="1">
      <c r="B2" s="239" t="s" ph="1">
        <v>82</v>
      </c>
      <c r="C2" s="239" ph="1"/>
      <c r="D2" s="239" ph="1"/>
      <c r="E2" s="239" ph="1"/>
      <c r="F2" s="239" ph="1"/>
      <c r="G2" s="239" ph="1"/>
      <c r="H2" s="239" ph="1"/>
      <c r="I2" s="239" ph="1"/>
      <c r="J2" s="239" ph="1"/>
      <c r="K2" s="239" ph="1"/>
      <c r="L2" s="239" ph="1"/>
      <c r="M2" s="239" ph="1"/>
      <c r="N2" s="239" ph="1"/>
      <c r="O2" s="239" ph="1"/>
      <c r="P2" s="239" ph="1"/>
      <c r="Q2" s="239" ph="1"/>
      <c r="R2" s="239" ph="1"/>
      <c r="S2" s="239" ph="1"/>
      <c r="T2" s="239" ph="1"/>
      <c r="U2" s="239" ph="1"/>
      <c r="V2" s="239" ph="1"/>
      <c r="W2" s="239" ph="1"/>
      <c r="X2" s="239" ph="1"/>
      <c r="Y2" s="239" ph="1"/>
      <c r="Z2" s="239" ph="1"/>
      <c r="AA2" s="239" ph="1"/>
      <c r="AB2" s="239" ph="1"/>
      <c r="AC2" s="239" ph="1"/>
      <c r="AD2" s="239" ph="1"/>
      <c r="AE2" s="239" ph="1"/>
    </row>
    <row r="3" spans="1:99" ht="21" customHeight="1" ph="1">
      <c r="B3" s="240" ph="1">
        <v>46289</v>
      </c>
      <c r="C3" s="240"/>
      <c r="D3" s="240"/>
      <c r="E3" s="240"/>
      <c r="F3" s="240"/>
      <c r="G3" s="240"/>
      <c r="H3" s="240"/>
      <c r="I3" s="240"/>
      <c r="J3" s="240"/>
      <c r="K3" s="240"/>
      <c r="L3" s="240"/>
      <c r="M3" s="240"/>
      <c r="N3" s="240"/>
      <c r="O3" s="240"/>
      <c r="P3" s="240"/>
      <c r="Q3" s="240"/>
      <c r="R3" s="240"/>
      <c r="S3" s="240"/>
      <c r="T3" s="240"/>
      <c r="U3" s="240"/>
      <c r="V3" s="240"/>
      <c r="W3" s="240"/>
      <c r="X3" s="240"/>
      <c r="Y3" s="240"/>
      <c r="Z3" s="240"/>
      <c r="AA3" s="240"/>
      <c r="AB3" s="240"/>
      <c r="AC3" s="240"/>
      <c r="AD3" s="240"/>
      <c r="AE3" s="240"/>
    </row>
    <row r="4" spans="1:99" s="69" customFormat="1" ph="1">
      <c r="A4" s="65" ph="1"/>
      <c r="B4" s="219" t="s" ph="1">
        <v>37</v>
      </c>
      <c r="C4" s="67" t="s" ph="1">
        <v>176</v>
      </c>
      <c r="D4" s="68" t="s" ph="1">
        <v>44</v>
      </c>
      <c r="E4" s="68" t="s" ph="1">
        <v>45</v>
      </c>
      <c r="F4" s="68" t="s" ph="1">
        <v>39</v>
      </c>
      <c r="G4" s="68" t="s" ph="1">
        <v>46</v>
      </c>
      <c r="H4" s="68" t="s" ph="1">
        <v>47</v>
      </c>
      <c r="I4" s="68" t="s" ph="1">
        <v>110</v>
      </c>
      <c r="J4" s="68" t="s" ph="1">
        <v>48</v>
      </c>
      <c r="K4" s="68" t="s" ph="1">
        <v>111</v>
      </c>
      <c r="L4" s="68" t="s" ph="1">
        <v>112</v>
      </c>
      <c r="M4" s="68" t="s" ph="1">
        <v>49</v>
      </c>
      <c r="N4" s="68" t="s" ph="1">
        <v>50</v>
      </c>
      <c r="O4" s="68" t="s" ph="1">
        <v>113</v>
      </c>
      <c r="P4" s="68" t="s" ph="1">
        <v>114</v>
      </c>
      <c r="Q4" s="68" t="s" ph="1">
        <v>115</v>
      </c>
      <c r="R4" s="68" t="s" ph="1">
        <v>116</v>
      </c>
      <c r="S4" s="68" t="s" ph="1">
        <v>117</v>
      </c>
      <c r="T4" s="68" t="s" ph="1">
        <v>118</v>
      </c>
      <c r="U4" s="68" t="s" ph="1">
        <v>119</v>
      </c>
      <c r="V4" s="68" t="s" ph="1">
        <v>120</v>
      </c>
      <c r="W4" s="68" t="s" ph="1">
        <v>121</v>
      </c>
      <c r="X4" s="68" t="s" ph="1">
        <v>122</v>
      </c>
      <c r="Y4" s="68" t="s" ph="1">
        <v>123</v>
      </c>
      <c r="Z4" s="68" t="s" ph="1">
        <v>51</v>
      </c>
      <c r="AA4" s="68" t="s" ph="1">
        <v>124</v>
      </c>
      <c r="AB4" s="68" t="s" ph="1">
        <v>125</v>
      </c>
      <c r="AC4" s="68" t="s" ph="1">
        <v>126</v>
      </c>
      <c r="AD4" s="68" t="s" ph="1">
        <v>40</v>
      </c>
      <c r="AE4" s="68" t="s" ph="1">
        <v>127</v>
      </c>
      <c r="AF4" s="65" ph="1"/>
      <c r="AG4" s="65" ph="1"/>
      <c r="AH4" s="65" ph="1"/>
      <c r="AI4" s="65" ph="1"/>
      <c r="AJ4" s="65" ph="1"/>
      <c r="AK4" s="65" ph="1"/>
      <c r="AL4" s="65" ph="1"/>
      <c r="AM4" s="65" ph="1"/>
      <c r="AN4" s="65" ph="1"/>
      <c r="AO4" s="65" ph="1"/>
      <c r="AP4" s="65" ph="1"/>
      <c r="AQ4" s="65" ph="1"/>
      <c r="AR4" s="65" ph="1"/>
      <c r="AS4" s="65" ph="1"/>
      <c r="AT4" s="65" ph="1"/>
      <c r="AU4" s="65" ph="1"/>
      <c r="AV4" s="65" ph="1"/>
      <c r="AW4" s="65" ph="1"/>
      <c r="AX4" s="65" ph="1"/>
      <c r="AY4" s="65" ph="1"/>
      <c r="AZ4" s="65" ph="1"/>
      <c r="BA4" s="65" ph="1"/>
      <c r="BB4" s="65" ph="1"/>
      <c r="BC4" s="65" ph="1"/>
      <c r="BD4" s="65" ph="1"/>
      <c r="BE4" s="65" ph="1"/>
      <c r="BF4" s="65" ph="1"/>
      <c r="BG4" s="65" ph="1"/>
      <c r="BH4" s="65" ph="1"/>
      <c r="BI4" s="65" ph="1"/>
      <c r="BJ4" s="65" ph="1"/>
      <c r="BK4" s="65" ph="1"/>
      <c r="BL4" s="65" ph="1"/>
      <c r="BM4" s="65" ph="1"/>
      <c r="BN4" s="65" ph="1"/>
      <c r="BO4" s="65" ph="1"/>
      <c r="BP4" s="65" ph="1"/>
      <c r="BQ4" s="65" ph="1"/>
      <c r="BR4" s="65" ph="1"/>
      <c r="BS4" s="65" ph="1"/>
      <c r="BT4" s="65" ph="1"/>
      <c r="BU4" s="65" ph="1"/>
      <c r="BV4" s="65" ph="1"/>
      <c r="BW4" s="65" ph="1"/>
      <c r="BX4" s="65" ph="1"/>
      <c r="BY4" s="65" ph="1"/>
      <c r="BZ4" s="65" ph="1"/>
      <c r="CA4" s="65" ph="1"/>
      <c r="CB4" s="65" ph="1"/>
      <c r="CC4" s="65" ph="1"/>
      <c r="CD4" s="65" ph="1"/>
      <c r="CE4" s="65" ph="1"/>
      <c r="CF4" s="65" ph="1"/>
      <c r="CG4" s="65" ph="1"/>
      <c r="CH4" s="65" ph="1"/>
      <c r="CI4" s="65" ph="1"/>
      <c r="CJ4" s="65" ph="1"/>
      <c r="CK4" s="65" ph="1"/>
      <c r="CL4" s="65" ph="1"/>
      <c r="CM4" s="65" ph="1"/>
      <c r="CN4" s="65" ph="1"/>
      <c r="CO4" s="65" ph="1"/>
      <c r="CP4" s="65" ph="1"/>
      <c r="CQ4" s="65" ph="1"/>
      <c r="CR4" s="65" ph="1"/>
      <c r="CS4" s="65" ph="1"/>
      <c r="CT4" s="65" ph="1"/>
      <c r="CU4" s="65" ph="1"/>
    </row>
    <row r="5" spans="1:99" s="69" customFormat="1" ht="29.25" customHeight="1" ph="1">
      <c r="A5" s="65" ph="1"/>
      <c r="B5" s="219" ph="1"/>
      <c r="C5" s="67" t="s" ph="1">
        <v>36</v>
      </c>
      <c r="D5" s="70" t="s" ph="1">
        <v>160</v>
      </c>
      <c r="E5" s="142" t="s" ph="1">
        <v>642</v>
      </c>
      <c r="F5" s="142" t="s" ph="1">
        <v>1</v>
      </c>
      <c r="G5" s="142" t="s" ph="1">
        <v>7</v>
      </c>
      <c r="H5" s="142" t="s" ph="1">
        <v>7</v>
      </c>
      <c r="I5" s="141" t="s" ph="1">
        <v>608</v>
      </c>
      <c r="J5" s="141" t="s" ph="1">
        <v>609</v>
      </c>
      <c r="K5" s="141" t="s" ph="1">
        <v>611</v>
      </c>
      <c r="L5" s="141" t="s" ph="1">
        <v>613</v>
      </c>
      <c r="M5" s="141" t="s" ph="1">
        <v>608</v>
      </c>
      <c r="N5" s="70" t="s" ph="1">
        <v>609</v>
      </c>
      <c r="O5" s="70" t="s" ph="1">
        <v>611</v>
      </c>
      <c r="P5" s="70" t="s" ph="1">
        <v>613</v>
      </c>
      <c r="Q5" s="70" t="s" ph="1">
        <v>607</v>
      </c>
      <c r="R5" s="70" t="s" ph="1">
        <v>607</v>
      </c>
      <c r="S5" s="70" t="s" ph="1">
        <v>607</v>
      </c>
      <c r="T5" s="70" t="s" ph="1">
        <v>607</v>
      </c>
      <c r="U5" s="70" t="s" ph="1">
        <v>607</v>
      </c>
      <c r="V5" s="70" t="s" ph="1">
        <v>607</v>
      </c>
      <c r="W5" s="70" t="s" ph="1">
        <v>607</v>
      </c>
      <c r="X5" s="70" t="s" ph="1">
        <v>607</v>
      </c>
      <c r="Y5" s="70" t="s" ph="1">
        <v>607</v>
      </c>
      <c r="Z5" s="70" t="s" ph="1">
        <v>614</v>
      </c>
      <c r="AA5" s="70" t="s" ph="1">
        <v>54</v>
      </c>
      <c r="AB5" s="70" t="s" ph="1">
        <v>54</v>
      </c>
      <c r="AC5" s="70" t="s" ph="1">
        <v>615</v>
      </c>
      <c r="AD5" s="71" t="s">
        <v>72</v>
      </c>
      <c r="AE5" s="71" t="s">
        <v>635</v>
      </c>
      <c r="AF5" s="65" ph="1"/>
      <c r="AG5" s="65" ph="1"/>
      <c r="AH5" s="65" ph="1"/>
      <c r="AI5" s="65" ph="1"/>
      <c r="AJ5" s="65" ph="1"/>
      <c r="AK5" s="65" ph="1"/>
      <c r="AL5" s="65" ph="1"/>
      <c r="AM5" s="65" ph="1"/>
      <c r="AN5" s="65" ph="1"/>
      <c r="AO5" s="65" ph="1"/>
      <c r="AP5" s="65" ph="1"/>
      <c r="AQ5" s="65" ph="1"/>
      <c r="AR5" s="65" ph="1"/>
      <c r="AS5" s="65" ph="1"/>
      <c r="AT5" s="65" ph="1"/>
      <c r="AU5" s="65" ph="1"/>
      <c r="AV5" s="65" ph="1"/>
      <c r="AW5" s="65" ph="1"/>
      <c r="AX5" s="65" ph="1"/>
      <c r="AY5" s="65" ph="1"/>
      <c r="AZ5" s="65" ph="1"/>
      <c r="BA5" s="65" ph="1"/>
      <c r="BB5" s="65" ph="1"/>
      <c r="BC5" s="65" ph="1"/>
      <c r="BD5" s="65" ph="1"/>
      <c r="BE5" s="65" ph="1"/>
      <c r="BF5" s="65" ph="1"/>
      <c r="BG5" s="65" ph="1"/>
      <c r="BH5" s="65" ph="1"/>
      <c r="BI5" s="65" ph="1"/>
      <c r="BJ5" s="65" ph="1"/>
      <c r="BK5" s="65" ph="1"/>
      <c r="BL5" s="65" ph="1"/>
      <c r="BM5" s="65" ph="1"/>
      <c r="BN5" s="65" ph="1"/>
      <c r="BO5" s="65" ph="1"/>
      <c r="BP5" s="65" ph="1"/>
      <c r="BQ5" s="65" ph="1"/>
      <c r="BR5" s="65" ph="1"/>
      <c r="BS5" s="65" ph="1"/>
      <c r="BT5" s="65" ph="1"/>
      <c r="BU5" s="65" ph="1"/>
      <c r="BV5" s="65" ph="1"/>
      <c r="BW5" s="65" ph="1"/>
      <c r="BX5" s="65" ph="1"/>
      <c r="BY5" s="65" ph="1"/>
      <c r="BZ5" s="65" ph="1"/>
      <c r="CA5" s="65" ph="1"/>
      <c r="CB5" s="65" ph="1"/>
      <c r="CC5" s="65" ph="1"/>
      <c r="CD5" s="65" ph="1"/>
      <c r="CE5" s="65" ph="1"/>
      <c r="CF5" s="65" ph="1"/>
      <c r="CG5" s="65" ph="1"/>
      <c r="CH5" s="65" ph="1"/>
      <c r="CI5" s="65" ph="1"/>
      <c r="CJ5" s="65" ph="1"/>
      <c r="CK5" s="65" ph="1"/>
      <c r="CL5" s="65" ph="1"/>
      <c r="CM5" s="65" ph="1"/>
      <c r="CN5" s="65" ph="1"/>
      <c r="CO5" s="65" ph="1"/>
      <c r="CP5" s="65" ph="1"/>
      <c r="CQ5" s="65" ph="1"/>
      <c r="CR5" s="65" ph="1"/>
      <c r="CS5" s="65" ph="1"/>
      <c r="CT5" s="65" ph="1"/>
      <c r="CU5" s="65" ph="1"/>
    </row>
    <row r="6" spans="1:99" ph="1">
      <c r="B6" s="237" ph="1">
        <v>0.33333333333333331</v>
      </c>
      <c r="C6" s="158" t="s" ph="1">
        <v>177</v>
      </c>
      <c r="D6" s="71">
        <v>53</v>
      </c>
      <c r="E6" s="71">
        <v>3442</v>
      </c>
      <c r="F6" s="71">
        <v>3184</v>
      </c>
      <c r="G6" s="71">
        <v>902</v>
      </c>
      <c r="H6" s="71">
        <v>4032</v>
      </c>
      <c r="I6" s="71">
        <v>4.5</v>
      </c>
      <c r="J6" s="71">
        <v>6.65</v>
      </c>
      <c r="K6" s="71">
        <v>63.62</v>
      </c>
      <c r="L6" s="71">
        <v>6.46</v>
      </c>
      <c r="M6" s="71">
        <v>3232</v>
      </c>
      <c r="N6" s="71">
        <v>1046</v>
      </c>
      <c r="O6" s="71">
        <v>5304</v>
      </c>
      <c r="P6" s="71">
        <v>7894</v>
      </c>
      <c r="Q6" s="71">
        <v>36</v>
      </c>
      <c r="R6" s="71">
        <v>6303</v>
      </c>
      <c r="S6" s="71">
        <v>7175</v>
      </c>
      <c r="T6" s="71">
        <v>7130</v>
      </c>
      <c r="U6" s="71">
        <v>4439</v>
      </c>
      <c r="V6" s="71">
        <v>2451</v>
      </c>
      <c r="W6" s="71">
        <v>0</v>
      </c>
      <c r="X6" s="71">
        <v>0</v>
      </c>
      <c r="Y6" s="71">
        <v>0</v>
      </c>
      <c r="Z6" s="71">
        <v>3490</v>
      </c>
      <c r="AA6" s="71">
        <v>1120</v>
      </c>
      <c r="AB6" s="71">
        <v>661</v>
      </c>
      <c r="AC6" s="71">
        <v>8179</v>
      </c>
      <c r="AD6" s="71">
        <v>4718</v>
      </c>
      <c r="AE6" s="71">
        <v>5446</v>
      </c>
    </row>
    <row r="7" spans="1:99" s="72" customFormat="1" ht="22.2" ph="1">
      <c r="B7" s="237" ph="1"/>
      <c r="C7" s="68" t="s" ph="1">
        <v>178</v>
      </c>
      <c r="D7" s="73" ph="1">
        <f>D6*33.183*LOOKUP(D8,密度!$A$2:$A$50,密度!$Q$2:$Q$50)</f>
        <v>1663.7820149700001</v>
      </c>
      <c r="E7" s="73" ph="1">
        <f>E6*51.53*LOOKUP(E8,密度!$A$2:$A$50,密度!$B$2:$B$50)</f>
        <v>138274.73629599999</v>
      </c>
      <c r="F7" s="73" ph="1">
        <f>F6*33.183*LOOKUP(F8,密度!$A$2:$A$50,密度!$C$2:$C$50)</f>
        <v>117075.94204320002</v>
      </c>
      <c r="G7" s="73" ph="1">
        <f xml:space="preserve"> (G6+2)*51.53*LOOKUP(G8,密度!$A$2:$A$50,密度!$B$2:$B$50)</f>
        <v>36274.275543999996</v>
      </c>
      <c r="H7" s="73" ph="1">
        <f>(H6)*51.53*LOOKUP(H8,密度!$A$2:$A$50,密度!$B$2:$B$50)</f>
        <v>161623.47398400001</v>
      </c>
      <c r="I7" s="73" ph="1">
        <f>I6*290.8*1.0267</f>
        <v>1343.53962</v>
      </c>
      <c r="J7" s="73" ph="1">
        <f>J6*290.8*0.7892</f>
        <v>1526.1707440000002</v>
      </c>
      <c r="K7" s="73" ph="1">
        <f>K6*290.8*1.1126</f>
        <v>20583.874369600002</v>
      </c>
      <c r="L7" s="73" ph="1">
        <f>L6*290.8*0.777</f>
        <v>1459.647336</v>
      </c>
      <c r="M7" s="73" ph="1">
        <f>M6*33.183*LOOKUP(M8,密度!$A$2:$A$50,密度!$D$2:$D$50)</f>
        <v>109907.1929088</v>
      </c>
      <c r="N7" s="73" ph="1">
        <f>N6*33.183*LOOKUP(N8,密度!$A$2:$A$50,密度!$E$2:$E$50)</f>
        <v>27146.235817799999</v>
      </c>
      <c r="O7" s="73" ph="1">
        <f>O6*20.428*LOOKUP(O8,密度!$A$2:$A$50,密度!$C$2:$C$50)</f>
        <v>119629.35865920002</v>
      </c>
      <c r="P7" s="73" ph="1">
        <f>P6*51.53*LOOKUP(P8,密度!$A$2:$A$50,密度!$B$2:$B$50)</f>
        <v>317123.988472</v>
      </c>
      <c r="Q7" s="73" ph="1">
        <f>Q6*1.5*1.5*3.1416*LOOKUP(W8,密度!$A$2:$A$50,密度!$L$2:$L$50)</f>
        <v>238.4380152</v>
      </c>
      <c r="R7" s="73" ph="1">
        <f>R6*1.5*1.5*3.1416*LOOKUP(R8,密度!$A$2:$A$50,密度!$L$2:$L$50)</f>
        <v>41390.095408199995</v>
      </c>
      <c r="S7" s="73" ph="1">
        <f>S6*1.5*1.5*3.1416*LOOKUP(S8,密度!$A$2:$A$50,密度!$L$2:$L$50)</f>
        <v>47572.738290000001</v>
      </c>
      <c r="T7" s="73" ph="1">
        <f>T6*1.5*1.5*3.1416*LOOKUP(T8,密度!$A$2:$A$50,密度!$L$2:$L$50)</f>
        <v>47425.570037999998</v>
      </c>
      <c r="U7" s="73" ph="1">
        <f>U6*1.5*1.5*3.1416*LOOKUP(U8,密度!$A$2:$A$50,密度!$L$2:$L$50)</f>
        <v>29400.7319298</v>
      </c>
      <c r="V7" s="73" ph="1">
        <f>V6*1.5*1.5*3.1416*LOOKUP(V8,密度!$A$2:$A$50,密度!$L$2:$L$50)</f>
        <v>16199.004590999999</v>
      </c>
      <c r="W7" s="73" ph="1">
        <f>W6*1.5*1.5*3.1416*LOOKUP(W8,密度!$A$2:$A$50,密度!$L$2:$L$50)</f>
        <v>0</v>
      </c>
      <c r="X7" s="73" ph="1">
        <f>X6*1.5*1.5*3.1416*LOOKUP(X8,密度!$A$2:$A$50,密度!$L$2:$L$50)</f>
        <v>0</v>
      </c>
      <c r="Y7" s="73" ph="1">
        <f>Y6*1.5*1.5*3.1416*LOOKUP(Y8,密度!$A$2:$A$50,密度!$L$2:$L$50)</f>
        <v>0</v>
      </c>
      <c r="Z7" s="73" ph="1">
        <f>Z6*33.183*LOOKUP(Z8,密度!$A$2:$A$50,密度!$L$2:$L$50)</f>
        <v>108396.91512000001</v>
      </c>
      <c r="AA7" s="73" ph="1">
        <f>AA6*33.183*LOOKUP(AA8,密度!$A$2:$A$50,密度!$D$2:$D$50)</f>
        <v>38157.264431999996</v>
      </c>
      <c r="AB7" s="73" ph="1">
        <f>AB6*20.428*LOOKUP(AB8,密度!$A$2:$A$50,密度!$D$2:$D$50)</f>
        <v>13914.746694000001</v>
      </c>
      <c r="AC7" s="73" ph="1">
        <f>AC6*51.53*LOOKUP(AC8,密度!$A$2:$A$50,密度!$Q$2:$Q$50)</f>
        <v>398717.4649361</v>
      </c>
      <c r="AD7" s="73" ph="1">
        <f>AD6*20.428*LOOKUP(AD8,密度!$A$2:$A$50,密度!$V$2:$V$50)</f>
        <v>92601.235283200003</v>
      </c>
      <c r="AE7" s="73" ph="1">
        <f>AE6*20.428</f>
        <v>111250.88800000001</v>
      </c>
    </row>
    <row r="8" spans="1:99" ph="1">
      <c r="B8" s="237" ph="1"/>
      <c r="C8" s="68" t="s" ph="1">
        <v>179</v>
      </c>
      <c r="D8" s="74">
        <v>26</v>
      </c>
      <c r="E8" s="74">
        <v>25</v>
      </c>
      <c r="F8" s="74">
        <v>26</v>
      </c>
      <c r="G8" s="74">
        <v>26</v>
      </c>
      <c r="H8" s="74">
        <v>27</v>
      </c>
      <c r="I8" s="74">
        <v>25</v>
      </c>
      <c r="J8" s="74">
        <v>25</v>
      </c>
      <c r="K8" s="74">
        <v>25</v>
      </c>
      <c r="L8" s="74">
        <v>25</v>
      </c>
      <c r="M8" s="74">
        <v>27</v>
      </c>
      <c r="N8" s="74">
        <v>26</v>
      </c>
      <c r="O8" s="74">
        <v>31</v>
      </c>
      <c r="P8" s="74">
        <v>25</v>
      </c>
      <c r="Q8" s="74">
        <v>30</v>
      </c>
      <c r="R8" s="74">
        <v>33</v>
      </c>
      <c r="S8" s="74">
        <v>24</v>
      </c>
      <c r="T8" s="74">
        <v>21</v>
      </c>
      <c r="U8" s="74">
        <v>25</v>
      </c>
      <c r="V8" s="74">
        <v>27</v>
      </c>
      <c r="W8" s="74">
        <v>25</v>
      </c>
      <c r="X8" s="74">
        <v>16</v>
      </c>
      <c r="Y8" s="74">
        <v>26</v>
      </c>
      <c r="Z8" s="74">
        <v>26</v>
      </c>
      <c r="AA8" s="74">
        <v>25</v>
      </c>
      <c r="AB8" s="74">
        <v>21</v>
      </c>
      <c r="AC8" s="74">
        <v>26</v>
      </c>
      <c r="AD8" s="74">
        <v>21</v>
      </c>
      <c r="AE8" s="74">
        <v>27</v>
      </c>
    </row>
    <row r="9" spans="1:99" ht="26.4" ph="1">
      <c r="B9" s="237" ph="1">
        <v>0.66666666666666663</v>
      </c>
      <c r="C9" s="158" t="s" ph="1">
        <v>180</v>
      </c>
      <c r="D9" s="71">
        <v>50</v>
      </c>
      <c r="E9" s="71">
        <v>3441</v>
      </c>
      <c r="F9" s="71">
        <v>3187</v>
      </c>
      <c r="G9" s="71">
        <v>1336</v>
      </c>
      <c r="H9" s="71">
        <v>4024</v>
      </c>
      <c r="I9" s="71">
        <v>4.47</v>
      </c>
      <c r="J9" s="71">
        <v>6.71</v>
      </c>
      <c r="K9" s="71">
        <v>63.85</v>
      </c>
      <c r="L9" s="71">
        <v>63.1</v>
      </c>
      <c r="M9" s="71">
        <v>3232</v>
      </c>
      <c r="N9" s="71">
        <v>1046</v>
      </c>
      <c r="O9" s="71">
        <v>5305</v>
      </c>
      <c r="P9" s="71">
        <v>7514</v>
      </c>
      <c r="Q9" s="71">
        <v>0</v>
      </c>
      <c r="R9" s="71">
        <v>1771</v>
      </c>
      <c r="S9" s="71">
        <v>7183</v>
      </c>
      <c r="T9" s="71">
        <v>7137</v>
      </c>
      <c r="U9" s="71">
        <v>7121</v>
      </c>
      <c r="V9" s="71">
        <v>5548</v>
      </c>
      <c r="W9" s="71">
        <v>2835</v>
      </c>
      <c r="X9" s="71">
        <v>780</v>
      </c>
      <c r="Y9" s="71">
        <v>0</v>
      </c>
      <c r="Z9" s="71">
        <v>2215</v>
      </c>
      <c r="AA9" s="71">
        <v>1120</v>
      </c>
      <c r="AB9" s="71">
        <v>660</v>
      </c>
      <c r="AC9" s="71">
        <v>8528</v>
      </c>
      <c r="AD9" s="71">
        <v>4720</v>
      </c>
      <c r="AE9" s="71">
        <v>5449</v>
      </c>
    </row>
    <row r="10" spans="1:99" s="72" customFormat="1" ht="22.2" ph="1">
      <c r="B10" s="237" ph="1"/>
      <c r="C10" s="158" t="s" ph="1">
        <v>178</v>
      </c>
      <c r="D10" s="73" ph="1">
        <f>D9*33.183*LOOKUP(D11,密度!$A$2:$A$50,密度!$Q$2:$Q$50)</f>
        <v>1565.1259695000001</v>
      </c>
      <c r="E10" s="73" ph="1">
        <f>E9*51.53*LOOKUP(E11,密度!$A$2:$A$50,密度!$B$2:$B$50)</f>
        <v>137472.11016899999</v>
      </c>
      <c r="F10" s="73" ph="1">
        <f>F9*33.183*LOOKUP(F11,密度!$A$2:$A$50,密度!$C$2:$C$50)</f>
        <v>117186.25229010002</v>
      </c>
      <c r="G10" s="73" ph="1">
        <f xml:space="preserve"> (G9+2)*51.53*LOOKUP(G11,密度!$A$2:$A$50,密度!$B$2:$B$50)</f>
        <v>53454.717641999996</v>
      </c>
      <c r="H10" s="73" ph="1">
        <f>(H9)*51.53*LOOKUP(H11,密度!$A$2:$A$50,密度!$B$2:$B$50)</f>
        <v>160763.66501599998</v>
      </c>
      <c r="I10" s="73" ph="1">
        <f>I9*290.8*1.0267</f>
        <v>1334.5826892</v>
      </c>
      <c r="J10" s="73" ph="1">
        <f>J9*290.8*0.7892</f>
        <v>1539.9407056</v>
      </c>
      <c r="K10" s="73" ph="1">
        <f>K9*290.8*1.1126</f>
        <v>20658.289508000002</v>
      </c>
      <c r="L10" s="73" ph="1">
        <f>L9*290.8*0.777</f>
        <v>14257.545959999999</v>
      </c>
      <c r="M10" s="73" ph="1">
        <f>M9*33.183*LOOKUP(M11,密度!$A$2:$A$50,密度!$D$2:$D$50)</f>
        <v>110014.44036480002</v>
      </c>
      <c r="N10" s="73" ph="1">
        <f>N9*33.183*LOOKUP(N11,密度!$A$2:$A$50,密度!$E$2:$E$50)</f>
        <v>26990.043436799995</v>
      </c>
      <c r="O10" s="73" ph="1">
        <f>O9*20.428*LOOKUP(O11,密度!$A$2:$A$50,密度!$C$2:$C$50)</f>
        <v>119196.75694600002</v>
      </c>
      <c r="P10" s="73" ph="1">
        <f>P9*51.53*LOOKUP(P11,密度!$A$2:$A$50,密度!$B$2:$B$50)</f>
        <v>300193.384426</v>
      </c>
      <c r="Q10" s="73" ph="1">
        <f>Q9*1.5*1.5*3.1416*LOOKUP(W11,密度!$A$2:$A$50,密度!$L$2:$L$50)</f>
        <v>0</v>
      </c>
      <c r="R10" s="73" ph="1">
        <f>R9*1.5*1.5*3.1416*LOOKUP(R11,密度!$A$2:$A$50,密度!$L$2:$L$50)</f>
        <v>11592.1222956</v>
      </c>
      <c r="S10" s="73" ph="1">
        <f>S9*1.5*1.5*3.1416*LOOKUP(S11,密度!$A$2:$A$50,密度!$L$2:$L$50)</f>
        <v>47524.233556799998</v>
      </c>
      <c r="T10" s="73" ph="1">
        <f>T9*1.5*1.5*3.1416*LOOKUP(T11,密度!$A$2:$A$50,密度!$L$2:$L$50)</f>
        <v>47320.785111599995</v>
      </c>
      <c r="U10" s="73" ph="1">
        <f>U9*1.5*1.5*3.1416*LOOKUP(U11,密度!$A$2:$A$50,密度!$L$2:$L$50)</f>
        <v>47114.028561600004</v>
      </c>
      <c r="V10" s="73" ph="1">
        <f>V9*1.5*1.5*3.1416*LOOKUP(V11,密度!$A$2:$A$50,密度!$L$2:$L$50)</f>
        <v>36549.864489600004</v>
      </c>
      <c r="W10" s="73" ph="1">
        <f>W9*1.5*1.5*3.1416*LOOKUP(W11,密度!$A$2:$A$50,密度!$L$2:$L$50)</f>
        <v>18736.914735000002</v>
      </c>
      <c r="X10" s="73" ph="1">
        <f>X9*1.5*1.5*3.1416*LOOKUP(X11,密度!$A$2:$A$50,密度!$L$2:$L$50)</f>
        <v>5160.6434879999997</v>
      </c>
      <c r="Y10" s="73" ph="1">
        <f>Y9*1.5*1.5*3.1416*LOOKUP(Y11,密度!$A$2:$A$50,密度!$L$2:$L$50)</f>
        <v>0</v>
      </c>
      <c r="Z10" s="73" ph="1">
        <f>Z9*33.183*LOOKUP(Z11,密度!$A$2:$A$50,密度!$L$2:$L$50)</f>
        <v>68796.322920000006</v>
      </c>
      <c r="AA10" s="73" ph="1">
        <f>AA9*33.183*LOOKUP(AA11,密度!$A$2:$A$50,密度!$D$2:$D$50)</f>
        <v>37949.140655999996</v>
      </c>
      <c r="AB10" s="73" ph="1">
        <f>AB9*20.428*LOOKUP(AB11,密度!$A$2:$A$50,密度!$D$2:$D$50)</f>
        <v>13779.094560000001</v>
      </c>
      <c r="AC10" s="73" ph="1">
        <f>AC9*51.53*LOOKUP(AC11,密度!$A$2:$A$50,密度!$Q$2:$Q$50)</f>
        <v>414807.99961120007</v>
      </c>
      <c r="AD10" s="73" ph="1">
        <f>AD9*20.428*LOOKUP(AD11,密度!$A$2:$A$50,密度!$V$2:$V$50)</f>
        <v>92331.945216000007</v>
      </c>
      <c r="AE10" s="73" ph="1">
        <f>AE9*20.428</f>
        <v>111312.17200000001</v>
      </c>
    </row>
    <row r="11" spans="1:99" ph="1">
      <c r="A11" s="64" t="s" ph="1">
        <v>162</v>
      </c>
      <c r="B11" s="237" ph="1"/>
      <c r="C11" s="158" t="s" ph="1">
        <v>179</v>
      </c>
      <c r="D11" s="74">
        <v>30</v>
      </c>
      <c r="E11" s="74">
        <v>30</v>
      </c>
      <c r="F11" s="74">
        <v>26</v>
      </c>
      <c r="G11" s="74">
        <v>30</v>
      </c>
      <c r="H11" s="74">
        <v>30</v>
      </c>
      <c r="I11" s="74">
        <v>25</v>
      </c>
      <c r="J11" s="74">
        <v>25</v>
      </c>
      <c r="K11" s="74">
        <v>25</v>
      </c>
      <c r="L11" s="74">
        <v>25</v>
      </c>
      <c r="M11" s="74">
        <v>26</v>
      </c>
      <c r="N11" s="74">
        <v>30</v>
      </c>
      <c r="O11" s="74">
        <v>35</v>
      </c>
      <c r="P11" s="74">
        <v>30</v>
      </c>
      <c r="Q11" s="74">
        <v>42</v>
      </c>
      <c r="R11" s="74">
        <v>36</v>
      </c>
      <c r="S11" s="74">
        <v>26</v>
      </c>
      <c r="T11" s="74">
        <v>24</v>
      </c>
      <c r="U11" s="74">
        <v>26</v>
      </c>
      <c r="V11" s="74">
        <v>30</v>
      </c>
      <c r="W11" s="74">
        <v>27</v>
      </c>
      <c r="X11" s="74">
        <v>26</v>
      </c>
      <c r="Y11" s="74">
        <v>30</v>
      </c>
      <c r="Z11" s="74">
        <v>26</v>
      </c>
      <c r="AA11" s="74">
        <v>31</v>
      </c>
      <c r="AB11" s="74">
        <v>30</v>
      </c>
      <c r="AC11" s="74">
        <v>29</v>
      </c>
      <c r="AD11" s="74">
        <v>29</v>
      </c>
      <c r="AE11" s="74">
        <v>31</v>
      </c>
    </row>
    <row r="12" spans="1:99" ht="9.9" customHeight="1" ph="1"/>
    <row r="13" spans="1:99" s="72" customFormat="1" ht="29.25" customHeight="1" ph="1">
      <c r="B13" s="214" t="s" ph="1">
        <v>37</v>
      </c>
      <c r="C13" s="158" t="s" ph="1">
        <v>176</v>
      </c>
      <c r="D13" s="76" t="s" ph="1">
        <v>52</v>
      </c>
      <c r="E13" s="76" t="s" ph="1">
        <v>53</v>
      </c>
      <c r="F13" s="76" t="s" ph="1">
        <v>57</v>
      </c>
      <c r="G13" s="76" t="s" ph="1">
        <v>58</v>
      </c>
      <c r="H13" s="76" t="s" ph="1">
        <v>128</v>
      </c>
      <c r="I13" s="76" t="s" ph="1">
        <v>59</v>
      </c>
      <c r="J13" s="76" t="s" ph="1">
        <v>129</v>
      </c>
      <c r="K13" s="76" t="s" ph="1">
        <v>55</v>
      </c>
      <c r="L13" s="76" t="s" ph="1">
        <v>60</v>
      </c>
      <c r="M13" s="76" t="s" ph="1">
        <v>61</v>
      </c>
      <c r="N13" s="76" t="s" ph="1">
        <v>130</v>
      </c>
      <c r="O13" s="76" t="s" ph="1">
        <v>56</v>
      </c>
      <c r="P13" s="76" t="s" ph="1">
        <v>62</v>
      </c>
      <c r="Q13" s="76" t="s" ph="1">
        <v>63</v>
      </c>
      <c r="R13" s="76" t="s" ph="1">
        <v>64</v>
      </c>
      <c r="S13" s="76" t="s" ph="1">
        <v>65</v>
      </c>
      <c r="T13" s="76" t="s" ph="1">
        <v>66</v>
      </c>
      <c r="U13" s="76" t="s" ph="1">
        <v>67</v>
      </c>
      <c r="V13" s="76" t="s" ph="1">
        <v>131</v>
      </c>
      <c r="W13" s="76" t="s" ph="1">
        <v>132</v>
      </c>
      <c r="X13" s="76" t="s" ph="1">
        <v>133</v>
      </c>
      <c r="Y13" s="105" t="s" ph="1">
        <v>68</v>
      </c>
      <c r="Z13" s="76" t="s" ph="1">
        <v>74</v>
      </c>
      <c r="AA13" s="76" t="s" ph="1">
        <v>134</v>
      </c>
      <c r="AB13" s="76" t="s" ph="1">
        <v>135</v>
      </c>
      <c r="AC13" s="76" t="s" ph="1">
        <v>136</v>
      </c>
      <c r="AD13" s="76" t="s" ph="1">
        <v>137</v>
      </c>
      <c r="AE13" s="76" t="s" ph="1">
        <v>138</v>
      </c>
      <c r="AG13" s="72" t="s" ph="1">
        <v>325</v>
      </c>
      <c r="AH13" s="72" t="s" ph="1">
        <v>188</v>
      </c>
      <c r="AI13" s="72" t="s" ph="1">
        <v>189</v>
      </c>
      <c r="AJ13" s="72" t="s" ph="1">
        <v>190</v>
      </c>
      <c r="AK13" s="72" t="s" ph="1">
        <v>191</v>
      </c>
      <c r="AL13" s="72" t="s" ph="1">
        <v>192</v>
      </c>
      <c r="AM13" s="72" t="s" ph="1">
        <v>193</v>
      </c>
      <c r="AN13" s="72" t="s" ph="1">
        <v>194</v>
      </c>
      <c r="AO13" s="72" t="s" ph="1">
        <v>195</v>
      </c>
      <c r="AP13" s="72" t="s" ph="1">
        <v>196</v>
      </c>
      <c r="AQ13" s="72" t="s" ph="1">
        <v>197</v>
      </c>
      <c r="AR13" s="72" t="s" ph="1">
        <v>198</v>
      </c>
      <c r="AS13" s="72" t="s" ph="1">
        <v>199</v>
      </c>
      <c r="AT13" s="72" t="s" ph="1">
        <v>200</v>
      </c>
      <c r="AU13" s="72" t="s" ph="1">
        <v>201</v>
      </c>
      <c r="AV13" s="72" t="s" ph="1">
        <v>202</v>
      </c>
      <c r="AW13" s="72" t="s" ph="1">
        <v>203</v>
      </c>
      <c r="AX13" s="72" t="s" ph="1">
        <v>204</v>
      </c>
      <c r="AY13" s="72" t="s" ph="1">
        <v>326</v>
      </c>
      <c r="AZ13" s="72" t="s" ph="1">
        <v>205</v>
      </c>
      <c r="BA13" s="72" t="s" ph="1">
        <v>206</v>
      </c>
      <c r="BB13" s="72" t="s" ph="1">
        <v>591</v>
      </c>
      <c r="BC13" s="72" t="s" ph="1">
        <v>207</v>
      </c>
      <c r="BD13" s="72" t="s" ph="1">
        <v>327</v>
      </c>
      <c r="BE13" s="72" t="s" ph="1">
        <v>328</v>
      </c>
      <c r="BF13" s="72" t="s" ph="1">
        <v>329</v>
      </c>
      <c r="BG13" s="72" t="s" ph="1">
        <v>330</v>
      </c>
      <c r="BH13" s="72" t="s" ph="1">
        <v>331</v>
      </c>
    </row>
    <row r="14" spans="1:99" s="72" customFormat="1" ht="24" ph="1">
      <c r="B14" s="215" ph="1"/>
      <c r="C14" s="67" t="s" ph="1">
        <v>36</v>
      </c>
      <c r="D14" s="77" t="s" ph="1">
        <v>616</v>
      </c>
      <c r="E14" s="77" t="s" ph="1">
        <v>616</v>
      </c>
      <c r="F14" s="77" t="s" ph="1">
        <v>639</v>
      </c>
      <c r="G14" s="77" t="s" ph="1">
        <v>617</v>
      </c>
      <c r="H14" s="77" t="s" ph="1">
        <v>636</v>
      </c>
      <c r="I14" s="138" t="s" ph="1">
        <v>618</v>
      </c>
      <c r="J14" s="77" t="s" ph="1">
        <v>619</v>
      </c>
      <c r="K14" s="77" t="s" ph="1">
        <v>186</v>
      </c>
      <c r="L14" s="77" t="s" ph="1">
        <v>41</v>
      </c>
      <c r="M14" s="104" t="s" ph="1">
        <v>620</v>
      </c>
      <c r="N14" s="104" t="s" ph="1">
        <v>621</v>
      </c>
      <c r="O14" s="104" t="s" ph="1">
        <v>637</v>
      </c>
      <c r="P14" s="77" t="s" ph="1">
        <v>622</v>
      </c>
      <c r="Q14" s="77" t="s" ph="1">
        <v>622</v>
      </c>
      <c r="R14" s="77" t="s" ph="1">
        <v>622</v>
      </c>
      <c r="S14" s="77" t="s" ph="1">
        <v>622</v>
      </c>
      <c r="T14" s="77" t="s" ph="1">
        <v>624</v>
      </c>
      <c r="U14" s="77" t="s" ph="1">
        <v>605</v>
      </c>
      <c r="V14" s="77" t="s" ph="1">
        <v>633</v>
      </c>
      <c r="W14" s="77" t="s" ph="1">
        <v>622</v>
      </c>
      <c r="X14" s="77" t="s" ph="1">
        <v>625</v>
      </c>
      <c r="Y14" s="143" t="s" ph="1">
        <v>0</v>
      </c>
      <c r="Z14" s="77" t="s" ph="1">
        <v>54</v>
      </c>
      <c r="AA14" s="77" t="s" ph="1">
        <v>613</v>
      </c>
      <c r="AB14" s="77" t="s" ph="1">
        <v>632</v>
      </c>
      <c r="AC14" s="77" t="s" ph="1">
        <v>632</v>
      </c>
      <c r="AD14" s="77" t="s" ph="1">
        <v>612</v>
      </c>
      <c r="AE14" s="77" t="s" ph="1">
        <v>612</v>
      </c>
      <c r="AG14" s="72" t="s" ph="1">
        <v>208</v>
      </c>
      <c r="AI14" s="72" t="s" ph="1">
        <v>209</v>
      </c>
      <c r="AJ14" s="72" t="s" ph="1">
        <v>332</v>
      </c>
      <c r="AK14" s="72" t="s" ph="1">
        <v>210</v>
      </c>
      <c r="AM14" s="72" t="s" ph="1">
        <v>212</v>
      </c>
      <c r="AN14" s="72" t="s" ph="1">
        <v>210</v>
      </c>
      <c r="AO14" s="72" t="s" ph="1">
        <v>211</v>
      </c>
      <c r="AP14" s="72" t="s" ph="1">
        <v>212</v>
      </c>
      <c r="AQ14" s="72" t="s" ph="1">
        <v>210</v>
      </c>
      <c r="AR14" s="72" t="s" ph="1">
        <v>211</v>
      </c>
      <c r="AS14" s="72" t="s" ph="1">
        <v>212</v>
      </c>
      <c r="AT14" s="72" t="s" ph="1">
        <v>210</v>
      </c>
      <c r="AU14" s="72" t="s" ph="1">
        <v>211</v>
      </c>
      <c r="AV14" s="72" t="s" ph="1">
        <v>212</v>
      </c>
      <c r="AW14" s="72" t="s" ph="1">
        <v>210</v>
      </c>
      <c r="AX14" s="72" t="s" ph="1">
        <v>211</v>
      </c>
      <c r="AY14" s="72" t="s" ph="1">
        <v>212</v>
      </c>
      <c r="AZ14" s="72" t="s" ph="1">
        <v>211</v>
      </c>
    </row>
    <row r="15" spans="1:99" ph="1">
      <c r="B15" s="216" ph="1">
        <v>0.33333333333333331</v>
      </c>
      <c r="C15" s="158" t="s" ph="1">
        <v>177</v>
      </c>
      <c r="D15" s="78">
        <v>3183</v>
      </c>
      <c r="E15" s="78">
        <v>105</v>
      </c>
      <c r="F15" s="78">
        <v>4687</v>
      </c>
      <c r="G15" s="78">
        <v>1579</v>
      </c>
      <c r="H15" s="78">
        <v>3458</v>
      </c>
      <c r="I15" s="78">
        <v>5184</v>
      </c>
      <c r="J15" s="78">
        <v>5252</v>
      </c>
      <c r="K15" s="78">
        <v>670</v>
      </c>
      <c r="L15" s="78">
        <v>4341</v>
      </c>
      <c r="M15" s="78">
        <v>3828</v>
      </c>
      <c r="N15" s="78">
        <v>1276</v>
      </c>
      <c r="O15" s="78">
        <v>385</v>
      </c>
      <c r="P15" s="78">
        <v>2156</v>
      </c>
      <c r="Q15" s="78">
        <v>2580</v>
      </c>
      <c r="R15" s="78">
        <v>0</v>
      </c>
      <c r="S15" s="78">
        <v>4668</v>
      </c>
      <c r="T15" s="78">
        <v>1897</v>
      </c>
      <c r="U15" s="78">
        <v>5488</v>
      </c>
      <c r="V15" s="78">
        <v>349</v>
      </c>
      <c r="W15" s="71">
        <v>3791</v>
      </c>
      <c r="X15" s="78">
        <v>816</v>
      </c>
      <c r="Y15" s="106">
        <v>-2366</v>
      </c>
      <c r="Z15" s="78">
        <v>0</v>
      </c>
      <c r="AA15" s="78">
        <v>2452</v>
      </c>
      <c r="AB15" s="78" ph="1">
        <v>0</v>
      </c>
      <c r="AC15" s="78" ph="1">
        <v>0</v>
      </c>
      <c r="AD15" s="78">
        <v>5.54</v>
      </c>
      <c r="AE15" s="78">
        <v>29.57</v>
      </c>
      <c r="AG15" s="64" t="s" ph="1">
        <v>214</v>
      </c>
      <c r="AH15" s="64" ph="1">
        <v>1</v>
      </c>
      <c r="AI15" s="64" t="s" ph="1">
        <v>333</v>
      </c>
      <c r="AK15" s="64" t="s" ph="1">
        <v>587</v>
      </c>
      <c r="AM15" s="64" t="s" ph="1">
        <v>335</v>
      </c>
      <c r="AZ15" s="64" t="s" ph="1">
        <v>216</v>
      </c>
      <c r="BA15" s="64" ph="1">
        <v>0</v>
      </c>
    </row>
    <row r="16" spans="1:99" s="72" customFormat="1" ht="22.2" ph="1">
      <c r="B16" s="217" ph="1"/>
      <c r="C16" s="158" t="s" ph="1">
        <v>178</v>
      </c>
      <c r="D16" s="73" ph="1">
        <f>D15*7.0686*LOOKUP(D17,密度!$A$2:$A$50,密度!$L$2:$L$50)</f>
        <v>20991.897095400003</v>
      </c>
      <c r="E16" s="73" ph="1">
        <f>E15*7.0686*LOOKUP(E17,密度!$A$2:$A$50,密度!$L$2:$L$50)</f>
        <v>692.47539900000004</v>
      </c>
      <c r="F16" s="73" ph="1">
        <f>F15*9.0746*LOOKUP(F17,密度!$A$2:$A$50,密度!$L$2:$L$50)</f>
        <v>39768.027937000006</v>
      </c>
      <c r="G16" s="73" ph="1">
        <f>G15*9.0746*LOOKUP(G17,密度!$A$2:$A$50,密度!$B$2:$B$50)</f>
        <v>11157.83142058</v>
      </c>
      <c r="H16" s="73" ph="1">
        <f>H15*9.0746*LOOKUP(H17,密度!$A$2:$A$50,密度!$L$2:$L$50)</f>
        <v>29340.268958000004</v>
      </c>
      <c r="I16" s="73" ph="1">
        <f>I15*9.0746*LOOKUP(I17,密度!$A$2:$A$50,密度!$U$2:$U$50)</f>
        <v>48124.709107199997</v>
      </c>
      <c r="J16" s="73" ph="1">
        <f>J15*9.0746*LOOKUP(J17,密度!$A$2:$A$50,密度!$L$2:$L$50)</f>
        <v>44514.252452800007</v>
      </c>
      <c r="K16" s="73" ph="1">
        <f>K15*9.0746*LOOKUP(K17,密度!$A$2:$A$50,密度!$C$2:$C$50)</f>
        <v>6732.9720668</v>
      </c>
      <c r="L16" s="73" ph="1">
        <f>L15*9.0746*LOOKUP(L17,密度!$A$2:$A$50,密度!$E$2:$E$50)</f>
        <v>30631.871295360001</v>
      </c>
      <c r="M16" s="73" ph="1">
        <f>M15*9.0746*LOOKUP(M17,密度!$A$2:$A$50,密度!$M$2:$M$50)</f>
        <v>30218.211099120002</v>
      </c>
      <c r="N16" s="73" ph="1">
        <f>N15*9.0746*LOOKUP(N17,密度!$A$2:$A$50,密度!$M$2:$M$50)</f>
        <v>10121.369629359999</v>
      </c>
      <c r="O16" s="73" ph="1">
        <f>O15*9.0746*LOOKUP(O17,密度!$A$2:$A$50,密度!$G$2:$G$50)</f>
        <v>3343.4909969999999</v>
      </c>
      <c r="P16" s="73" ph="1">
        <f ca="1">P15*9.0746*LOOKUP(P17,密度!$A$2:$A$51,密度!$Q$2:$Q$50)</f>
        <v>18495.032280031999</v>
      </c>
      <c r="Q16" s="73" ph="1">
        <f>Q15*9.0746*LOOKUP(Q17,密度!$A$2:$A$50,密度!$Q$2:$Q$50)</f>
        <v>22099.730919240003</v>
      </c>
      <c r="R16" s="73" ph="1">
        <f>MAX(R15*9.0746*LOOKUP(R17,密度!$A$2:$A$50,密度!$Q$2:$Q$50),0)</f>
        <v>0</v>
      </c>
      <c r="S16" s="73" ph="1">
        <f>S15*9.0746*LOOKUP(S17,密度!$A$2:$A$50,密度!$Q$2:$Q$50)</f>
        <v>39959.678407223997</v>
      </c>
      <c r="T16" s="73" ph="1">
        <f>T15*9.0746*LOOKUP(T17,密度!$A$2:$A$50,密度!$O$2:$O$50)</f>
        <v>15940.642001200002</v>
      </c>
      <c r="U16" s="73" ph="1">
        <f>U15*9.0746*LOOKUP(U17,密度!$A$2:$A$50,密度!$H$2:$H$50)</f>
        <v>45463.702441920002</v>
      </c>
      <c r="V16" s="73" ph="1">
        <f>MAX(5600*LOOKUP(V17,密度!$A$2:$A$50,密度!$Q$2:$Q$50)+V15*9.0476*LOOKUP(V17,密度!$A$2:$A$50,密度!$Q$2:$Q$50),0)</f>
        <v>8278.7461539680007</v>
      </c>
      <c r="W16" s="73" ph="1">
        <f>MAX(5600*LOOKUP(W17,密度!$A$2:$A$50,密度!$Q$2:$Q$50)+W15*9.0476*LOOKUP(W17,密度!$A$2:$A$50,密度!$Q$2:$Q$50),0)</f>
        <v>37638.349677828002</v>
      </c>
      <c r="X16" s="73" ph="1">
        <f>MAX(5600*LOOKUP(X17,密度!$A$2:$A$50,密度!$I$2:$I$50)+X15*9.0476*LOOKUP(X17,密度!$A$2:$A$50,密度!$I$2:$I$50),0)</f>
        <v>13459.311886719999</v>
      </c>
      <c r="Y16" s="107" ph="1">
        <v>0</v>
      </c>
      <c r="Z16" s="73" ph="1">
        <f>Z15*9.0746*LOOKUP(Z17,密度!$A$2:$A$50,密度!$D$2:$D$50)</f>
        <v>0</v>
      </c>
      <c r="AA16" s="73" ph="1">
        <f>AA15*9.0746*LOOKUP(AA17,密度!$A$2:$A$50,密度!$B$2:$B$50)</f>
        <v>17326.790781039999</v>
      </c>
      <c r="AB16" s="73" ph="1">
        <f>AB15*9.0746*LOOKUP(AB17,密度!$A$2:$A$50,密度!$L$2:$L$50)</f>
        <v>0</v>
      </c>
      <c r="AC16" s="73" ph="1">
        <f>AC15*9.0746*LOOKUP(AC17,密度!$A$2:$A$50,密度!$L$2:$L$50)</f>
        <v>0</v>
      </c>
      <c r="AD16" s="73" ph="1">
        <f>AD15*268.68*LOOKUP(AD17,密度!$A$2:$A$50,密度!B2:B50)+IF(AD15&lt;=0,0,1566*LOOKUP(AD17,密度!$A$2:$A$50,密度!B2:B50))</f>
        <v>2381.2782211200001</v>
      </c>
      <c r="AE16" s="73" ph="1">
        <f>AE15*268.68*LOOKUP(AE17,密度!$A$2:$A$50,密度!B2:B50)+IF(AE15&lt;=0,0,1566*LOOKUP(AE17,密度!$A$2:$A$50,密度!B2:B50))</f>
        <v>7414.6723809600007</v>
      </c>
      <c r="AH16" s="72" ph="1">
        <v>2</v>
      </c>
      <c r="AI16" s="72" t="s" ph="1">
        <v>337</v>
      </c>
      <c r="AZ16" s="72" t="s" ph="1">
        <v>216</v>
      </c>
      <c r="BA16" s="72" ph="1">
        <v>0</v>
      </c>
    </row>
    <row r="17" spans="1:57" ph="1">
      <c r="A17" s="64" t="s" ph="1">
        <v>73</v>
      </c>
      <c r="B17" s="218" ph="1"/>
      <c r="C17" s="79" t="s" ph="1">
        <v>179</v>
      </c>
      <c r="D17" s="74">
        <v>29</v>
      </c>
      <c r="E17" s="74">
        <v>29</v>
      </c>
      <c r="F17" s="74">
        <v>27</v>
      </c>
      <c r="G17" s="74">
        <v>26</v>
      </c>
      <c r="H17" s="74">
        <v>27</v>
      </c>
      <c r="I17" s="74">
        <v>27</v>
      </c>
      <c r="J17" s="74">
        <v>28</v>
      </c>
      <c r="K17" s="74">
        <v>27</v>
      </c>
      <c r="L17" s="74">
        <v>30</v>
      </c>
      <c r="M17" s="74">
        <v>30</v>
      </c>
      <c r="N17" s="74">
        <v>26</v>
      </c>
      <c r="O17" s="74">
        <v>28</v>
      </c>
      <c r="P17" s="74">
        <v>27</v>
      </c>
      <c r="Q17" s="74">
        <v>29</v>
      </c>
      <c r="R17" s="74">
        <v>27</v>
      </c>
      <c r="S17" s="74">
        <v>30</v>
      </c>
      <c r="T17" s="74">
        <v>28</v>
      </c>
      <c r="U17" s="74">
        <v>27</v>
      </c>
      <c r="V17" s="74">
        <v>27</v>
      </c>
      <c r="W17" s="74">
        <v>30</v>
      </c>
      <c r="X17" s="74">
        <v>30</v>
      </c>
      <c r="Y17" s="108">
        <v>31</v>
      </c>
      <c r="Z17" s="74">
        <v>25</v>
      </c>
      <c r="AA17" s="74">
        <v>26</v>
      </c>
      <c r="AB17" s="74">
        <v>25</v>
      </c>
      <c r="AC17" s="74">
        <v>23</v>
      </c>
      <c r="AD17" s="74">
        <v>25</v>
      </c>
      <c r="AE17" s="74">
        <v>25</v>
      </c>
      <c r="AH17" s="64" ph="1">
        <v>3</v>
      </c>
      <c r="AI17" s="64" t="s" ph="1">
        <v>338</v>
      </c>
      <c r="AK17" s="64" t="s" ph="1">
        <v>570</v>
      </c>
      <c r="AL17" s="64" ph="1">
        <v>80</v>
      </c>
      <c r="AM17" s="64" t="s" ph="1">
        <v>335</v>
      </c>
      <c r="AZ17" s="64" t="s" ph="1">
        <v>216</v>
      </c>
      <c r="BA17" s="64" ph="1">
        <v>80</v>
      </c>
      <c r="BD17" s="64" t="s" ph="1">
        <v>214</v>
      </c>
      <c r="BE17" s="64" ph="1">
        <v>2270</v>
      </c>
    </row>
    <row r="18" spans="1:57" ht="26.4" ph="1">
      <c r="B18" s="216" ph="1">
        <v>0.66666666666666663</v>
      </c>
      <c r="C18" s="79" t="s" ph="1">
        <v>180</v>
      </c>
      <c r="D18" s="71">
        <v>974</v>
      </c>
      <c r="E18" s="71">
        <v>1360</v>
      </c>
      <c r="F18" s="71">
        <v>2469</v>
      </c>
      <c r="G18" s="71">
        <v>1743</v>
      </c>
      <c r="H18" s="71">
        <v>3460</v>
      </c>
      <c r="I18" s="71">
        <v>5188</v>
      </c>
      <c r="J18" s="71">
        <v>5270</v>
      </c>
      <c r="K18" s="71">
        <v>670</v>
      </c>
      <c r="L18" s="71">
        <v>4350</v>
      </c>
      <c r="M18" s="71">
        <v>3149</v>
      </c>
      <c r="N18" s="71">
        <v>2714</v>
      </c>
      <c r="O18" s="71">
        <v>386</v>
      </c>
      <c r="P18" s="71">
        <v>2157</v>
      </c>
      <c r="Q18" s="71">
        <v>2579</v>
      </c>
      <c r="R18" s="71">
        <v>0</v>
      </c>
      <c r="S18" s="71">
        <v>4829</v>
      </c>
      <c r="T18" s="71">
        <v>1679</v>
      </c>
      <c r="U18" s="71">
        <v>5491</v>
      </c>
      <c r="V18" s="71">
        <v>347</v>
      </c>
      <c r="W18" s="71">
        <v>2492</v>
      </c>
      <c r="X18" s="71">
        <v>816</v>
      </c>
      <c r="Y18" s="109">
        <v>-9908</v>
      </c>
      <c r="Z18" s="71">
        <v>0</v>
      </c>
      <c r="AA18" s="71">
        <v>2454</v>
      </c>
      <c r="AB18" s="71">
        <v>0</v>
      </c>
      <c r="AC18" s="71">
        <v>0</v>
      </c>
      <c r="AD18" s="71">
        <v>5.47</v>
      </c>
      <c r="AE18" s="71">
        <v>78.12</v>
      </c>
      <c r="AH18" s="64" ph="1">
        <v>4</v>
      </c>
      <c r="AI18" s="64" t="s" ph="1">
        <v>340</v>
      </c>
      <c r="AJ18" s="64" t="s" ph="1">
        <v>588</v>
      </c>
      <c r="AK18" s="64" t="s" ph="1">
        <v>587</v>
      </c>
      <c r="AL18" s="64" ph="1">
        <v>740</v>
      </c>
      <c r="AM18" s="64" t="s" ph="1">
        <v>339</v>
      </c>
      <c r="AZ18" s="64" t="s" ph="1">
        <v>216</v>
      </c>
      <c r="BA18" s="64" ph="1">
        <v>740</v>
      </c>
    </row>
    <row r="19" spans="1:57" s="72" customFormat="1" ht="22.2" ph="1">
      <c r="B19" s="217" ph="1"/>
      <c r="C19" s="158" t="s" ph="1">
        <v>178</v>
      </c>
      <c r="D19" s="73" ph="1">
        <f>D18*7.0686*LOOKUP(D20,密度!$A$2:$A$50,密度!$L$2:$L$50)</f>
        <v>6416.6488847999999</v>
      </c>
      <c r="E19" s="73" ph="1">
        <f>E18*7.0686*LOOKUP(E20,密度!$A$2:$A$50,密度!$L$2:$L$50)</f>
        <v>8959.5918720000009</v>
      </c>
      <c r="F19" s="73" ph="1">
        <f>F18*9.0746*LOOKUP(F20,密度!$A$2:$A$50,密度!$L$2:$L$50)</f>
        <v>20814.419094600002</v>
      </c>
      <c r="G19" s="73" ph="1">
        <f>G18*9.0746*LOOKUP(G20,密度!$A$2:$A$50,密度!$B$2:$B$50)</f>
        <v>12277.176978359999</v>
      </c>
      <c r="H19" s="73" ph="1">
        <f>H18*9.0746*LOOKUP(H20,密度!$A$2:$A$50,密度!$L$2:$L$50)</f>
        <v>29357.238460000004</v>
      </c>
      <c r="I19" s="73" ph="1">
        <f>I18*9.0746*LOOKUP(I20,密度!$A$2:$A$50,密度!$U$2:$U$50)</f>
        <v>47973.526271199997</v>
      </c>
      <c r="J19" s="73" ph="1">
        <f>J18*9.0746*LOOKUP(J20,密度!$A$2:$A$50,密度!$L$2:$L$50)</f>
        <v>44571.168344000005</v>
      </c>
      <c r="K19" s="73" ph="1">
        <f>K18*9.0746*LOOKUP(K20,密度!$A$2:$A$50,密度!$C$2:$C$50)</f>
        <v>6718.9881082000002</v>
      </c>
      <c r="L19" s="73" ph="1">
        <f>L18*9.0746*LOOKUP(L20,密度!$A$2:$A$50,密度!$E$2:$E$50)</f>
        <v>30695.378976</v>
      </c>
      <c r="M19" s="73" ph="1">
        <f>M18*9.0746*LOOKUP(M20,密度!$A$2:$A$50,密度!$M$2:$M$50)</f>
        <v>24738.741480088003</v>
      </c>
      <c r="N19" s="73" ph="1">
        <f>N18*9.0746*LOOKUP(N20,密度!$A$2:$A$50,密度!$M$2:$M$50)</f>
        <v>21503.112267640001</v>
      </c>
      <c r="O19" s="73" ph="1">
        <f>O18*9.0746*LOOKUP(O20,密度!$A$2:$A$50,密度!$G$2:$G$50)</f>
        <v>3344.1189593199997</v>
      </c>
      <c r="P19" s="73" ph="1">
        <f ca="1">P18*9.0746*LOOKUP(P20,密度!$A$2:$A$51,密度!$Q$2:$Q$50)</f>
        <v>18464.658595625999</v>
      </c>
      <c r="Q19" s="73" ph="1">
        <f>Q18*9.0746*LOOKUP(Q20,密度!$A$2:$A$50,密度!$Q$2:$Q$50)</f>
        <v>22077.123096022002</v>
      </c>
      <c r="R19" s="73" ph="1">
        <f>MAX(R18*9.0746*LOOKUP(R20,密度!$A$2:$A$50,密度!$Q$2:$Q$50),0)</f>
        <v>0</v>
      </c>
      <c r="S19" s="73" ph="1">
        <f>S18*9.0746*LOOKUP(S20,密度!$A$2:$A$50,密度!$Q$2:$Q$50)</f>
        <v>41305.027603971997</v>
      </c>
      <c r="T19" s="73" ph="1">
        <f>T18*9.0746*LOOKUP(T20,密度!$A$2:$A$50,密度!$O$2:$O$50)</f>
        <v>14035.636632080001</v>
      </c>
      <c r="U19" s="73" ph="1">
        <f>U18*9.0746*LOOKUP(U20,密度!$A$2:$A$50,密度!$H$2:$H$50)</f>
        <v>45393.880654600005</v>
      </c>
      <c r="V19" s="73" ph="1">
        <f>MAX(5600*LOOKUP(V20,密度!$A$2:$A$50,密度!$Q$2:$Q$50)+V18*9.0476*LOOKUP(V20,密度!$A$2:$A$50,密度!$Q$2:$Q$50),0)</f>
        <v>8244.2487602759993</v>
      </c>
      <c r="W19" s="73" ph="1">
        <f>MAX(5600*LOOKUP(W20,密度!$A$2:$A$50,密度!$Q$2:$Q$50)+W18*9.0476*LOOKUP(W20,密度!$A$2:$A$50,密度!$Q$2:$Q$50),0)</f>
        <v>26530.440325535998</v>
      </c>
      <c r="X19" s="73" ph="1">
        <f>MAX(5600*LOOKUP(X20,密度!$A$2:$A$50,密度!$I$2:$I$50)+X18*9.0476*LOOKUP(X20,密度!$A$2:$A$50,密度!$I$2:$I$50),0)</f>
        <v>13459.311886719999</v>
      </c>
      <c r="Y19" s="73" ph="1">
        <f>MAX(5600*LOOKUP(Y20,密度!$A$2:$A$50,密度!$I$2:$I$50)+Y18*9.0476*LOOKUP(Y20,密度!$A$2:$A$50,密度!$I$2:$I$50),0)</f>
        <v>0</v>
      </c>
      <c r="Z19" s="73" ph="1">
        <f>Z18*9.0746*LOOKUP(Z20,密度!$A$2:$A$50,密度!$D$2:$D$50)</f>
        <v>0</v>
      </c>
      <c r="AA19" s="73" ph="1">
        <f>AA18*9.0746*LOOKUP(AA20,密度!$A$2:$A$50,密度!$B$2:$B$50)</f>
        <v>17340.923563079999</v>
      </c>
      <c r="AB19" s="73" ph="1">
        <f>AB18*9.0746*LOOKUP(AB20,密度!$A$2:$A$50,密度!$L$2:$L$50)</f>
        <v>0</v>
      </c>
      <c r="AC19" s="73" ph="1">
        <f>AC18*9.0746*LOOKUP(AC20,密度!$A$2:$A$50,密度!$L$2:$L$50)</f>
        <v>0</v>
      </c>
      <c r="AD19" s="73" ph="1">
        <f>AD18*268.68*LOOKUP(AD20,密度!$A$2:$A$50,密度!B5:B53)+IF(AD18&lt;=0,0,1566*LOOKUP(AD20,密度!$A$2:$A$50,密度!B5:B53))</f>
        <v>2358.7230491999999</v>
      </c>
      <c r="AE19" s="73" ph="1">
        <f>AE18*268.68*LOOKUP(AE20,密度!$A$2:$A$50,密度!B5:B53)+IF(AE18&lt;=0,0,1566*LOOKUP(AE20,密度!$A$2:$A$50,密度!B5:B53))</f>
        <v>17525.453803200002</v>
      </c>
      <c r="AH19" s="72" ph="1">
        <v>5</v>
      </c>
      <c r="AI19" s="72" t="s" ph="1">
        <v>341</v>
      </c>
      <c r="AZ19" s="72" t="s" ph="1">
        <v>216</v>
      </c>
      <c r="BA19" s="72" ph="1">
        <v>0</v>
      </c>
      <c r="BD19" s="72" t="s" ph="1">
        <v>342</v>
      </c>
      <c r="BE19" s="72" ph="1">
        <v>1440</v>
      </c>
    </row>
    <row r="20" spans="1:57" ph="1">
      <c r="A20" s="72" ph="1"/>
      <c r="B20" s="217" ph="1"/>
      <c r="C20" s="80" t="s" ph="1">
        <v>179</v>
      </c>
      <c r="D20" s="81">
        <v>30</v>
      </c>
      <c r="E20" s="81">
        <v>30</v>
      </c>
      <c r="F20" s="81">
        <v>33</v>
      </c>
      <c r="G20" s="81">
        <v>29</v>
      </c>
      <c r="H20" s="81">
        <v>27</v>
      </c>
      <c r="I20" s="81">
        <v>31</v>
      </c>
      <c r="J20" s="81">
        <v>30</v>
      </c>
      <c r="K20" s="81">
        <v>30</v>
      </c>
      <c r="L20" s="81">
        <v>30</v>
      </c>
      <c r="M20" s="81">
        <v>34</v>
      </c>
      <c r="N20" s="81">
        <v>27</v>
      </c>
      <c r="O20" s="81">
        <v>30</v>
      </c>
      <c r="P20" s="81">
        <v>30</v>
      </c>
      <c r="Q20" s="81">
        <v>30</v>
      </c>
      <c r="R20" s="81">
        <v>40</v>
      </c>
      <c r="S20" s="81">
        <v>31</v>
      </c>
      <c r="T20" s="81">
        <v>33</v>
      </c>
      <c r="U20" s="81">
        <v>29</v>
      </c>
      <c r="V20" s="81">
        <v>30</v>
      </c>
      <c r="W20" s="81">
        <v>31</v>
      </c>
      <c r="X20" s="81">
        <v>30</v>
      </c>
      <c r="Y20" s="110">
        <v>30</v>
      </c>
      <c r="Z20" s="81">
        <v>36</v>
      </c>
      <c r="AA20" s="81">
        <v>26</v>
      </c>
      <c r="AB20" s="81">
        <v>36</v>
      </c>
      <c r="AC20" s="81">
        <v>30</v>
      </c>
      <c r="AD20" s="81">
        <v>25</v>
      </c>
      <c r="AE20" s="81">
        <v>25</v>
      </c>
      <c r="AF20" s="64" t="s" ph="1">
        <v>35</v>
      </c>
      <c r="AH20" s="64" ph="1">
        <v>6</v>
      </c>
      <c r="AI20" s="64" t="s" ph="1">
        <v>343</v>
      </c>
      <c r="AZ20" s="64" t="s" ph="1">
        <v>216</v>
      </c>
      <c r="BA20" s="64" ph="1">
        <v>0</v>
      </c>
    </row>
    <row r="21" spans="1:57" ph="1">
      <c r="A21" s="72" ph="1"/>
      <c r="B21" s="82" ph="1"/>
      <c r="C21" s="83" ph="1"/>
      <c r="D21" s="84"/>
      <c r="E21" s="84"/>
      <c r="F21" s="84"/>
      <c r="G21" s="84"/>
      <c r="H21" s="84"/>
      <c r="I21" s="84"/>
      <c r="J21" s="84"/>
      <c r="K21" s="84"/>
      <c r="L21" s="84"/>
      <c r="M21" s="84"/>
      <c r="N21" s="84"/>
      <c r="O21" s="84"/>
      <c r="P21" s="84"/>
      <c r="Q21" s="84"/>
      <c r="R21" s="84"/>
      <c r="S21" s="84"/>
      <c r="T21" s="84"/>
      <c r="U21" s="84"/>
      <c r="V21" s="84"/>
      <c r="W21" s="84"/>
      <c r="X21" s="84"/>
      <c r="Y21" s="84"/>
      <c r="Z21" s="84"/>
      <c r="AA21" s="84"/>
      <c r="AB21" s="84"/>
      <c r="AC21" s="84"/>
      <c r="AD21" s="84"/>
      <c r="AE21" s="84"/>
      <c r="AH21" s="64" ph="1">
        <v>7</v>
      </c>
      <c r="AI21" s="64" t="s" ph="1">
        <v>344</v>
      </c>
      <c r="AZ21" s="64" t="s" ph="1">
        <v>216</v>
      </c>
      <c r="BA21" s="64" ph="1">
        <v>0</v>
      </c>
      <c r="BD21" s="64" t="s" ph="1">
        <v>232</v>
      </c>
      <c r="BE21" s="64" ph="1">
        <v>730</v>
      </c>
    </row>
    <row r="22" spans="1:57" ph="1">
      <c r="A22" s="72" ph="1"/>
      <c r="B22" s="215" t="s" ph="1">
        <v>37</v>
      </c>
      <c r="C22" s="85" t="s" ph="1">
        <v>176</v>
      </c>
      <c r="D22" s="86" t="s" ph="1">
        <v>86</v>
      </c>
      <c r="E22" s="86" t="s" ph="1">
        <v>87</v>
      </c>
      <c r="F22" s="86" t="s" ph="1">
        <v>88</v>
      </c>
      <c r="G22" s="86" t="s" ph="1">
        <v>89</v>
      </c>
      <c r="H22" s="86" t="s" ph="1">
        <v>90</v>
      </c>
      <c r="I22" s="86" t="s" ph="1">
        <v>91</v>
      </c>
      <c r="J22" s="86" t="s" ph="1">
        <v>92</v>
      </c>
      <c r="K22" s="86" t="s" ph="1">
        <v>93</v>
      </c>
      <c r="L22" s="86" t="s" ph="1">
        <v>94</v>
      </c>
      <c r="M22" s="86" t="s" ph="1">
        <v>95</v>
      </c>
      <c r="N22" s="86" t="s" ph="1">
        <v>96</v>
      </c>
      <c r="O22" s="86" t="s" ph="1">
        <v>97</v>
      </c>
      <c r="P22" s="86" t="s" ph="1">
        <v>98</v>
      </c>
      <c r="Q22" s="87" t="s" ph="1">
        <v>99</v>
      </c>
      <c r="R22" s="86" t="s" ph="1">
        <v>100</v>
      </c>
      <c r="S22" s="86" t="s" ph="1">
        <v>101</v>
      </c>
      <c r="T22" s="86" t="s" ph="1">
        <v>102</v>
      </c>
      <c r="U22" s="86" t="s" ph="1">
        <v>103</v>
      </c>
      <c r="V22" s="86" t="s" ph="1">
        <v>104</v>
      </c>
      <c r="W22" s="86" t="s" ph="1">
        <v>105</v>
      </c>
      <c r="X22" s="86" t="s" ph="1">
        <v>106</v>
      </c>
      <c r="Y22" s="86" t="s" ph="1">
        <v>108</v>
      </c>
      <c r="Z22" s="225" t="s" ph="1">
        <v>69</v>
      </c>
      <c r="AA22" s="226"/>
      <c r="AB22" s="226"/>
      <c r="AC22" s="226"/>
      <c r="AD22" s="226"/>
      <c r="AE22" s="227"/>
      <c r="AH22" s="64" ph="1">
        <v>8</v>
      </c>
      <c r="AI22" s="64" t="s" ph="1">
        <v>345</v>
      </c>
      <c r="AZ22" s="64" t="s" ph="1">
        <v>216</v>
      </c>
      <c r="BA22" s="64" ph="1">
        <v>0</v>
      </c>
    </row>
    <row r="23" spans="1:57" ph="1">
      <c r="A23" s="72" ph="1"/>
      <c r="B23" s="219" ph="1"/>
      <c r="C23" s="67" t="s" ph="1">
        <v>36</v>
      </c>
      <c r="D23" s="88" t="s" ph="1">
        <v>109</v>
      </c>
      <c r="E23" s="88" t="s" ph="1">
        <v>107</v>
      </c>
      <c r="F23" s="88" t="s" ph="1">
        <v>109</v>
      </c>
      <c r="G23" s="88" t="s" ph="1">
        <v>626</v>
      </c>
      <c r="H23" s="88" t="s" ph="1">
        <v>626</v>
      </c>
      <c r="I23" s="88" t="s" ph="1">
        <v>627</v>
      </c>
      <c r="J23" s="88" t="s" ph="1">
        <v>628</v>
      </c>
      <c r="K23" s="88" t="s" ph="1">
        <v>628</v>
      </c>
      <c r="L23" s="88" t="s" ph="1">
        <v>628</v>
      </c>
      <c r="M23" s="88" t="s" ph="1">
        <v>623</v>
      </c>
      <c r="N23" s="88" t="s" ph="1">
        <v>623</v>
      </c>
      <c r="O23" s="88" t="s" ph="1">
        <v>645</v>
      </c>
      <c r="P23" s="88" t="s" ph="1">
        <v>629</v>
      </c>
      <c r="Q23" s="89" t="s" ph="1">
        <v>643</v>
      </c>
      <c r="R23" s="88" t="s" ph="1">
        <v>610</v>
      </c>
      <c r="S23" s="88" t="s" ph="1">
        <v>629</v>
      </c>
      <c r="T23" s="88" t="s" ph="1">
        <v>604</v>
      </c>
      <c r="U23" s="104" t="s" ph="1">
        <v>606</v>
      </c>
      <c r="V23" s="88" t="s" ph="1">
        <v>629</v>
      </c>
      <c r="W23" s="88" t="s" ph="1">
        <v>629</v>
      </c>
      <c r="X23" s="88" t="s" ph="1">
        <v>187</v>
      </c>
      <c r="Y23" s="88" t="s" ph="1">
        <v>630</v>
      </c>
      <c r="Z23" s="228" t="s" ph="1">
        <v>646</v>
      </c>
      <c r="AA23" s="229"/>
      <c r="AB23" s="229"/>
      <c r="AC23" s="229"/>
      <c r="AD23" s="229"/>
      <c r="AE23" s="230"/>
      <c r="AH23" s="64" ph="1">
        <v>9</v>
      </c>
      <c r="AI23" s="64" t="s" ph="1">
        <v>346</v>
      </c>
      <c r="AZ23" s="64" t="s" ph="1">
        <v>216</v>
      </c>
      <c r="BA23" s="64" ph="1">
        <v>0</v>
      </c>
      <c r="BD23" s="64" t="s" ph="1">
        <v>238</v>
      </c>
      <c r="BE23" s="64" ph="1">
        <v>890</v>
      </c>
    </row>
    <row r="24" spans="1:57" ph="1">
      <c r="A24" s="72" ph="1"/>
      <c r="B24" s="237" ph="1">
        <v>0.33333333333333331</v>
      </c>
      <c r="C24" s="158" t="s" ph="1">
        <v>177</v>
      </c>
      <c r="D24" s="71">
        <v>3</v>
      </c>
      <c r="E24" s="71">
        <v>5.39</v>
      </c>
      <c r="F24" s="71">
        <v>493</v>
      </c>
      <c r="G24" s="71">
        <v>3379</v>
      </c>
      <c r="H24" s="71">
        <v>3163</v>
      </c>
      <c r="I24" s="71">
        <v>933</v>
      </c>
      <c r="J24" s="71">
        <v>2360</v>
      </c>
      <c r="K24" s="71">
        <v>4766</v>
      </c>
      <c r="L24" s="71">
        <v>301</v>
      </c>
      <c r="M24" s="71">
        <v>4865</v>
      </c>
      <c r="N24" s="71">
        <v>325</v>
      </c>
      <c r="O24" s="71">
        <v>3569</v>
      </c>
      <c r="P24" s="71">
        <v>364</v>
      </c>
      <c r="Q24" s="90">
        <v>1394</v>
      </c>
      <c r="R24" s="71">
        <v>5823</v>
      </c>
      <c r="S24" s="71">
        <v>4104</v>
      </c>
      <c r="T24" s="71">
        <v>116</v>
      </c>
      <c r="U24" s="71">
        <v>5688</v>
      </c>
      <c r="V24" s="71">
        <v>737</v>
      </c>
      <c r="W24" s="71">
        <v>434</v>
      </c>
      <c r="X24" s="71">
        <v>4100</v>
      </c>
      <c r="Y24" s="71">
        <v>847</v>
      </c>
      <c r="Z24" s="231"/>
      <c r="AA24" s="232"/>
      <c r="AB24" s="232"/>
      <c r="AC24" s="232"/>
      <c r="AD24" s="232"/>
      <c r="AE24" s="233"/>
      <c r="AH24" s="64" ph="1">
        <v>10</v>
      </c>
      <c r="AI24" s="64" t="s" ph="1">
        <v>347</v>
      </c>
      <c r="AZ24" s="64" t="s" ph="1">
        <v>216</v>
      </c>
      <c r="BA24" s="64" ph="1">
        <v>0</v>
      </c>
    </row>
    <row r="25" spans="1:57" ph="1">
      <c r="A25" s="72" ph="1"/>
      <c r="B25" s="237" ph="1"/>
      <c r="C25" s="68" t="s" ph="1">
        <v>178</v>
      </c>
      <c r="D25" s="91" ph="1">
        <f>D24*268.68*LOOKUP(D26,密度!$A$2:$A$50,密度!$Q$2:$Q$50)+IF(D24&lt;=0,0,1566*LOOKUP(D26,密度!$A$2:$A$50,密度!$Q$2:$Q$50))</f>
        <v>2245.7051495999999</v>
      </c>
      <c r="E25" s="91" ph="1">
        <f>E24*268.68*LOOKUP(E26,密度!$A$2:$A$50,密度!$C$2:$C$50)+IF(E24&lt;=0,0,1566*LOOKUP(E26,密度!$A$2:$A$50,密度!$C$2:$C$50))</f>
        <v>3342.4299682800001</v>
      </c>
      <c r="F25" s="91" ph="1">
        <f>F24*11.702*LOOKUP(F26,密度!$A$2:$A$50,密度!$Q$2:$Q$50)</f>
        <v>5449.5940173200006</v>
      </c>
      <c r="G25" s="91" ph="1">
        <f>G24*18.322*LOOKUP(G26,密度!$A$2:$A$50,密度!$B$2:$B$50)</f>
        <v>48159.818560200001</v>
      </c>
      <c r="H25" s="91" ph="1">
        <f>H24*18.322*LOOKUP(H26,密度!$A$2:$A$50,密度!$B$2:$B$50)</f>
        <v>45081.2388594</v>
      </c>
      <c r="I25" s="91" ph="1">
        <f>I24*18.322*LOOKUP(I26,密度!$A$2:$A$50,密度!$Q$2:$Q$50)</f>
        <v>16171.839828780001</v>
      </c>
      <c r="J25" s="91" ph="1">
        <f>J24*18.322*LOOKUP(J26,密度!$A$2:$A$50,密度!$Q$2:$Q$50)</f>
        <v>40936.961860800002</v>
      </c>
      <c r="K25" s="91" ph="1">
        <f>K24*18.322*LOOKUP(K26,密度!$A$2:$A$50,密度!$Q$2:$Q$50)</f>
        <v>82609.848471560006</v>
      </c>
      <c r="L25" s="91" ph="1">
        <f>L24*18.322*LOOKUP(L26,密度!$A$2:$A$50,密度!$Q$2:$Q$50)</f>
        <v>5217.2816596599996</v>
      </c>
      <c r="M25" s="91" ph="1">
        <f>M24*18.322*LOOKUP(M26,密度!$A$2:$A$50,密度!$Q$2:$Q$50)</f>
        <v>84262.5445396</v>
      </c>
      <c r="N25" s="91" ph="1">
        <f>N24*18.322*LOOKUP(N26,密度!$A$2:$A$50,密度!$Q$2:$Q$50)</f>
        <v>5629.0497379999997</v>
      </c>
      <c r="O25" s="91" ph="1">
        <f>O24*18.322*LOOKUP(O26,密度!$A$2:$A$50,密度!$C$2:$C$50)</f>
        <v>72414.23481319999</v>
      </c>
      <c r="P25" s="91" ph="1">
        <f>P24*11.702*LOOKUP(P26,密度!$A$2:$A$50,密度!$B$2:$B$50)</f>
        <v>3316.8944535999999</v>
      </c>
      <c r="Q25" s="92" ph="1">
        <f>Q24*18.322*LOOKUP(Q26,密度!$A$2:$A$50,密度!$B$2:$B$50)</f>
        <v>19845.254435999999</v>
      </c>
      <c r="R25" s="91" ph="1">
        <f>R24*35.891*LOOKUP(R26,密度!$A$2:$A$50,密度!$C$2:$C$50)</f>
        <v>231271.97803379997</v>
      </c>
      <c r="S25" s="91" ph="1">
        <f>S24*35.891*LOOKUP(S26,密度!$A$2:$A$50,密度!$B$2:$B$50)</f>
        <v>114582.0749256</v>
      </c>
      <c r="T25" s="91" ph="1">
        <f>T24*35.891*LOOKUP(T26,密度!$A$2:$A$50,密度!$Q$2:$Q$50)</f>
        <v>3935.7036939200002</v>
      </c>
      <c r="U25" s="91" ph="1">
        <f>U24*35.891</f>
        <v>204148.008</v>
      </c>
      <c r="V25" s="91" ph="1">
        <f>V24*47.051*LOOKUP(V26,密度!$A$2:$A$50,密度!$B$2:$B$50)</f>
        <v>26943.708098999999</v>
      </c>
      <c r="W25" s="91" ph="1">
        <f>W24*47.051*LOOKUP(W26,密度!$A$2:$A$50,密度!$B$2:$B$50)</f>
        <v>15884.822238600002</v>
      </c>
      <c r="X25" s="91" ph="1">
        <f>X24*47.051*LOOKUP(X26,密度!$A$2:$A$61,密度!$I$2:$I$61)</f>
        <v>200201.06398000001</v>
      </c>
      <c r="Y25" s="91" ph="1">
        <f>Y24*47.051*LOOKUP(Y26,密度!$A$2:$A$50,密度!$L$2:$L$50)</f>
        <v>37221.951998000004</v>
      </c>
      <c r="Z25" s="231"/>
      <c r="AA25" s="232"/>
      <c r="AB25" s="232"/>
      <c r="AC25" s="232"/>
      <c r="AD25" s="232"/>
      <c r="AE25" s="233"/>
      <c r="AH25" s="64" ph="1">
        <v>11</v>
      </c>
      <c r="AI25" s="64" t="s" ph="1">
        <v>348</v>
      </c>
      <c r="AZ25" s="64" t="s" ph="1">
        <v>216</v>
      </c>
      <c r="BA25" s="64" ph="1">
        <v>0</v>
      </c>
      <c r="BD25" s="64" t="s" ph="1">
        <v>241</v>
      </c>
      <c r="BE25" s="64" ph="1">
        <v>8920</v>
      </c>
    </row>
    <row r="26" spans="1:57" ph="1">
      <c r="A26" s="72" ph="1"/>
      <c r="B26" s="237" ph="1"/>
      <c r="C26" s="68" t="s" ph="1">
        <v>179</v>
      </c>
      <c r="D26" s="74">
        <v>25</v>
      </c>
      <c r="E26" s="74">
        <v>25</v>
      </c>
      <c r="F26" s="74">
        <v>28</v>
      </c>
      <c r="G26" s="74">
        <v>27</v>
      </c>
      <c r="H26" s="74">
        <v>27</v>
      </c>
      <c r="I26" s="74">
        <v>26</v>
      </c>
      <c r="J26" s="74">
        <v>25</v>
      </c>
      <c r="K26" s="74">
        <v>26</v>
      </c>
      <c r="L26" s="74">
        <v>26</v>
      </c>
      <c r="M26" s="74">
        <v>27</v>
      </c>
      <c r="N26" s="74">
        <v>27</v>
      </c>
      <c r="O26" s="74">
        <v>27</v>
      </c>
      <c r="P26" s="74">
        <v>26</v>
      </c>
      <c r="Q26" s="93">
        <v>28</v>
      </c>
      <c r="R26" s="74">
        <v>28</v>
      </c>
      <c r="S26" s="74">
        <v>27</v>
      </c>
      <c r="T26" s="74">
        <v>27</v>
      </c>
      <c r="U26" s="74">
        <v>28</v>
      </c>
      <c r="V26" s="74">
        <v>28</v>
      </c>
      <c r="W26" s="74">
        <v>27</v>
      </c>
      <c r="X26" s="74">
        <v>29</v>
      </c>
      <c r="Y26" s="74">
        <v>28</v>
      </c>
      <c r="Z26" s="231"/>
      <c r="AA26" s="232"/>
      <c r="AB26" s="232"/>
      <c r="AC26" s="232"/>
      <c r="AD26" s="232"/>
      <c r="AE26" s="233"/>
      <c r="AH26" s="64" ph="1">
        <v>12</v>
      </c>
      <c r="AI26" s="64" t="s" ph="1">
        <v>349</v>
      </c>
      <c r="AZ26" s="64" t="s" ph="1">
        <v>216</v>
      </c>
      <c r="BA26" s="64" ph="1">
        <v>0</v>
      </c>
    </row>
    <row r="27" spans="1:57" ht="26.4" ph="1">
      <c r="A27" s="72" ph="1"/>
      <c r="B27" s="237" ph="1">
        <v>0.66666666666666663</v>
      </c>
      <c r="C27" s="158" t="s" ph="1">
        <v>180</v>
      </c>
      <c r="D27" s="71">
        <v>2.97</v>
      </c>
      <c r="E27" s="71">
        <v>5.67</v>
      </c>
      <c r="F27" s="71">
        <v>491</v>
      </c>
      <c r="G27" s="71">
        <v>3205</v>
      </c>
      <c r="H27" s="71">
        <v>2726</v>
      </c>
      <c r="I27" s="71">
        <v>586</v>
      </c>
      <c r="J27" s="71">
        <v>2360</v>
      </c>
      <c r="K27" s="71">
        <v>4768</v>
      </c>
      <c r="L27" s="71">
        <v>295</v>
      </c>
      <c r="M27" s="71">
        <v>4865</v>
      </c>
      <c r="N27" s="71">
        <v>318</v>
      </c>
      <c r="O27" s="71">
        <v>3563</v>
      </c>
      <c r="P27" s="71">
        <v>357</v>
      </c>
      <c r="Q27" s="90">
        <v>910</v>
      </c>
      <c r="R27" s="71">
        <v>6287</v>
      </c>
      <c r="S27" s="71">
        <v>4103</v>
      </c>
      <c r="T27" s="71">
        <v>113</v>
      </c>
      <c r="U27" s="71">
        <v>5578</v>
      </c>
      <c r="V27" s="71">
        <v>731</v>
      </c>
      <c r="W27" s="71">
        <v>430</v>
      </c>
      <c r="X27" s="71">
        <v>3974</v>
      </c>
      <c r="Y27" s="71">
        <v>839</v>
      </c>
      <c r="Z27" s="231"/>
      <c r="AA27" s="232"/>
      <c r="AB27" s="232"/>
      <c r="AC27" s="232"/>
      <c r="AD27" s="232"/>
      <c r="AE27" s="233"/>
      <c r="AH27" s="64" ph="1">
        <v>13</v>
      </c>
      <c r="AI27" s="64" t="s" ph="1">
        <v>350</v>
      </c>
      <c r="AZ27" s="64" t="s" ph="1">
        <v>216</v>
      </c>
      <c r="BA27" s="64" ph="1">
        <v>0</v>
      </c>
      <c r="BD27" s="64" t="s" ph="1">
        <v>295</v>
      </c>
      <c r="BE27" s="64" ph="1">
        <v>7100</v>
      </c>
    </row>
    <row r="28" spans="1:57" ph="1">
      <c r="A28" s="72" ph="1"/>
      <c r="B28" s="237" ph="1"/>
      <c r="C28" s="158" t="s" ph="1">
        <v>178</v>
      </c>
      <c r="D28" s="91" ph="1">
        <f>D27*268.68*LOOKUP(D29,密度!$A$2:$A$50,密度!$Q$2:$Q$50)+IF(D27&lt;=0,0,1566*LOOKUP(D29,密度!$A$2:$A$50,密度!$Q$2:$Q$50))</f>
        <v>2238.0740465039999</v>
      </c>
      <c r="E28" s="91" ph="1">
        <f>E27*268.68*LOOKUP(E29,密度!$A$2:$A$50,密度!$C$2:$C$50)+IF(E27&lt;=0,0,1566*LOOKUP(E29,密度!$A$2:$A$50,密度!$C$2:$C$50))</f>
        <v>3425.8529588399997</v>
      </c>
      <c r="F28" s="91" ph="1">
        <f>F27*11.702*LOOKUP(F29,密度!$A$2:$A$50,密度!$Q$2:$Q$50)</f>
        <v>5415.7649395599992</v>
      </c>
      <c r="G28" s="91" ph="1">
        <f>G27*18.322*LOOKUP(G29,密度!$A$2:$A$50,密度!$B$2:$B$50)</f>
        <v>45421.474734999996</v>
      </c>
      <c r="H28" s="91" ph="1">
        <f>H27*18.322*LOOKUP(H29,密度!$A$2:$A$50,密度!$B$2:$B$50)</f>
        <v>38722.957031599995</v>
      </c>
      <c r="I28" s="91" ph="1">
        <f>I27*18.322*LOOKUP(I29,密度!$A$2:$A$50,密度!$Q$2:$Q$50)</f>
        <v>10098.825128279999</v>
      </c>
      <c r="J28" s="91" ph="1">
        <f>J27*18.322*LOOKUP(J29,密度!$A$2:$A$50,密度!$Q$2:$Q$50)</f>
        <v>40727.680647999994</v>
      </c>
      <c r="K28" s="91" ph="1">
        <f>K27*18.322*LOOKUP(K29,密度!$A$2:$A$50,密度!$Q$2:$Q$50)</f>
        <v>82408.644695680006</v>
      </c>
      <c r="L28" s="91" ph="1">
        <f>L27*18.322*LOOKUP(L29,密度!$A$2:$A$50,密度!$Q$2:$Q$50)</f>
        <v>5098.6892166999996</v>
      </c>
      <c r="M28" s="91" ph="1">
        <f>M27*18.322*LOOKUP(M29,密度!$A$2:$A$50,密度!$Q$2:$Q$50)</f>
        <v>83957.697606999995</v>
      </c>
      <c r="N28" s="91" ph="1">
        <f>N27*18.322*LOOKUP(N29,密度!$A$2:$A$50,密度!$Q$2:$Q$50)</f>
        <v>5491.8443416799992</v>
      </c>
      <c r="O28" s="91" ph="1">
        <f>O27*18.322*LOOKUP(O29,密度!$A$2:$A$50,密度!$C$2:$C$50)</f>
        <v>72077.067872600004</v>
      </c>
      <c r="P28" s="91" ph="1">
        <f>P27*11.702*LOOKUP(P29,密度!$A$2:$A$50,密度!$B$2:$B$50)</f>
        <v>3228.0423378</v>
      </c>
      <c r="Q28" s="92" ph="1">
        <f>Q27*18.322*LOOKUP(Q29,密度!$A$2:$A$50,密度!$B$2:$B$50)</f>
        <v>12896.580969999999</v>
      </c>
      <c r="R28" s="91" ph="1">
        <f>R27*35.891*LOOKUP(R29,密度!$A$2:$A$50,密度!$C$2:$C$50)</f>
        <v>248888.32885099997</v>
      </c>
      <c r="S28" s="91" ph="1">
        <f>S27*35.891*LOOKUP(S29,密度!$A$2:$A$50,密度!$B$2:$B$50)</f>
        <v>114038.74261119998</v>
      </c>
      <c r="T28" s="91" ph="1">
        <f>T27*35.891*LOOKUP(T29,密度!$A$2:$A$50,密度!$Q$2:$Q$50)</f>
        <v>3825.84744439</v>
      </c>
      <c r="U28" s="91" ph="1">
        <f>U27*35.891</f>
        <v>200199.99799999999</v>
      </c>
      <c r="V28" s="91" ph="1">
        <f>V27*47.051*LOOKUP(V29,密度!$A$2:$A$50,密度!$B$2:$B$50)</f>
        <v>26603.976353500002</v>
      </c>
      <c r="W28" s="91" ph="1">
        <f>W27*47.051*LOOKUP(W29,密度!$A$2:$A$50,密度!$B$2:$B$50)</f>
        <v>15667.606592</v>
      </c>
      <c r="X28" s="91" ph="1">
        <f>X27*47.051*LOOKUP(X29,密度!$A$2:$A$61,密度!$I$2:$I$61)</f>
        <v>192590.09422</v>
      </c>
      <c r="Y28" s="91" ph="1">
        <f>Y27*47.051*LOOKUP(Y29,密度!$A$2:$A$50,密度!$L$2:$L$50)</f>
        <v>36712.483770000006</v>
      </c>
      <c r="Z28" s="231"/>
      <c r="AA28" s="232"/>
      <c r="AB28" s="232"/>
      <c r="AC28" s="232"/>
      <c r="AD28" s="232"/>
      <c r="AE28" s="233"/>
      <c r="AH28" s="64" ph="1">
        <v>14</v>
      </c>
      <c r="AI28" s="64" t="s" ph="1">
        <v>351</v>
      </c>
      <c r="AZ28" s="64" t="s" ph="1">
        <v>216</v>
      </c>
      <c r="BA28" s="64" ph="1">
        <v>0</v>
      </c>
    </row>
    <row r="29" spans="1:57" ph="1">
      <c r="A29" s="72" ph="1"/>
      <c r="B29" s="237" ph="1"/>
      <c r="C29" s="158" t="s" ph="1">
        <v>179</v>
      </c>
      <c r="D29" s="74">
        <v>25</v>
      </c>
      <c r="E29" s="74">
        <v>25</v>
      </c>
      <c r="F29" s="74">
        <v>31</v>
      </c>
      <c r="G29" s="74">
        <v>32</v>
      </c>
      <c r="H29" s="74">
        <v>30</v>
      </c>
      <c r="I29" s="74">
        <v>34</v>
      </c>
      <c r="J29" s="74">
        <v>32</v>
      </c>
      <c r="K29" s="74">
        <v>30</v>
      </c>
      <c r="L29" s="74">
        <v>30</v>
      </c>
      <c r="M29" s="74">
        <v>32</v>
      </c>
      <c r="N29" s="74">
        <v>31</v>
      </c>
      <c r="O29" s="74">
        <v>31</v>
      </c>
      <c r="P29" s="74">
        <v>33</v>
      </c>
      <c r="Q29" s="93">
        <v>32</v>
      </c>
      <c r="R29" s="74">
        <v>32</v>
      </c>
      <c r="S29" s="74">
        <v>31</v>
      </c>
      <c r="T29" s="74">
        <v>30</v>
      </c>
      <c r="U29" s="74">
        <v>32</v>
      </c>
      <c r="V29" s="74">
        <v>32</v>
      </c>
      <c r="W29" s="74">
        <v>31</v>
      </c>
      <c r="X29" s="74">
        <v>36</v>
      </c>
      <c r="Y29" s="74">
        <v>32</v>
      </c>
      <c r="Z29" s="234"/>
      <c r="AA29" s="235"/>
      <c r="AB29" s="235"/>
      <c r="AC29" s="235"/>
      <c r="AD29" s="235"/>
      <c r="AE29" s="236"/>
      <c r="AH29" s="64" ph="1">
        <v>15</v>
      </c>
      <c r="AI29" s="64" t="s" ph="1">
        <v>352</v>
      </c>
      <c r="AZ29" s="64" t="s" ph="1">
        <v>216</v>
      </c>
      <c r="BA29" s="64" ph="1">
        <v>0</v>
      </c>
      <c r="BD29" s="64" t="s" ph="1">
        <v>353</v>
      </c>
      <c r="BE29" s="64" ph="1">
        <v>890</v>
      </c>
    </row>
    <row r="30" spans="1:57" ph="1">
      <c r="D30" s="94" ph="1"/>
      <c r="Z30" s="64" t="s" ph="1">
        <v>35</v>
      </c>
      <c r="AE30" s="95" ph="1"/>
      <c r="AH30" s="64" ph="1">
        <v>16</v>
      </c>
      <c r="AI30" s="64" t="s" ph="1">
        <v>354</v>
      </c>
      <c r="AZ30" s="64" t="s" ph="1">
        <v>216</v>
      </c>
      <c r="BA30" s="64" ph="1">
        <v>0</v>
      </c>
    </row>
    <row r="31" spans="1:57" ht="28.2" ph="1">
      <c r="A31" s="64"/>
      <c r="B31" s="220" t="s" ph="1">
        <v>35</v>
      </c>
      <c r="C31" s="221" ph="1"/>
      <c r="D31" s="224" t="s" ph="1">
        <v>9</v>
      </c>
      <c r="E31" s="199" ph="1"/>
      <c r="F31" s="200" ph="1"/>
      <c r="G31" s="224" t="s" ph="1">
        <v>18</v>
      </c>
      <c r="H31" s="199" ph="1"/>
      <c r="I31" s="200" ph="1"/>
      <c r="J31" s="198" t="s" ph="1">
        <v>1</v>
      </c>
      <c r="K31" s="199" ph="1"/>
      <c r="L31" s="200" ph="1"/>
      <c r="M31" s="198" t="s" ph="1">
        <v>7</v>
      </c>
      <c r="N31" s="199" ph="1"/>
      <c r="O31" s="200" ph="1"/>
      <c r="P31" s="198" t="s" ph="1">
        <v>41</v>
      </c>
      <c r="Q31" s="199"/>
      <c r="R31" s="200"/>
      <c r="S31" s="198" t="s" ph="1">
        <v>2</v>
      </c>
      <c r="T31" s="199"/>
      <c r="U31" s="200"/>
      <c r="V31" s="198" t="s" ph="1">
        <v>71</v>
      </c>
      <c r="W31" s="199" ph="1"/>
      <c r="X31" s="200" ph="1"/>
      <c r="Y31" s="198" t="s" ph="1">
        <v>3</v>
      </c>
      <c r="Z31" s="199" ph="1"/>
      <c r="AA31" s="200" ph="1"/>
      <c r="AB31" s="201" t="s">
        <v>42</v>
      </c>
      <c r="AC31" s="202"/>
      <c r="AD31" s="202"/>
      <c r="AE31" s="203"/>
      <c r="AH31" s="64" ph="1">
        <v>17</v>
      </c>
      <c r="AI31" s="64" t="s" ph="1">
        <v>355</v>
      </c>
      <c r="AZ31" s="64" t="s" ph="1">
        <v>216</v>
      </c>
      <c r="BA31" s="64" ph="1">
        <v>0</v>
      </c>
      <c r="BD31" s="64" t="s" ph="1">
        <v>356</v>
      </c>
      <c r="BE31" s="64" ph="1">
        <v>9310</v>
      </c>
    </row>
    <row r="32" spans="1:57" ph="1">
      <c r="A32" s="64"/>
      <c r="B32" s="222" ph="1"/>
      <c r="C32" s="223" ph="1"/>
      <c r="D32" s="96" t="s" ph="1">
        <v>4</v>
      </c>
      <c r="E32" s="158" t="s" ph="1">
        <v>5</v>
      </c>
      <c r="F32" s="157" t="s" ph="1">
        <v>43</v>
      </c>
      <c r="G32" s="97" t="s" ph="1">
        <v>4</v>
      </c>
      <c r="H32" s="158" t="s" ph="1">
        <v>5</v>
      </c>
      <c r="I32" s="157" t="s" ph="1">
        <v>43</v>
      </c>
      <c r="J32" s="97" t="s" ph="1">
        <v>4</v>
      </c>
      <c r="K32" s="158" t="s" ph="1">
        <v>5</v>
      </c>
      <c r="L32" s="157" t="s" ph="1">
        <v>43</v>
      </c>
      <c r="M32" s="97" t="s" ph="1">
        <v>4</v>
      </c>
      <c r="N32" s="158" t="s" ph="1">
        <v>5</v>
      </c>
      <c r="O32" s="157" t="s" ph="1">
        <v>43</v>
      </c>
      <c r="P32" s="97" t="s" ph="1">
        <v>4</v>
      </c>
      <c r="Q32" s="98" t="s" ph="1">
        <v>5</v>
      </c>
      <c r="R32" s="99" t="s" ph="1">
        <v>43</v>
      </c>
      <c r="S32" s="97" t="s" ph="1">
        <v>4</v>
      </c>
      <c r="T32" s="158" t="s" ph="1">
        <v>5</v>
      </c>
      <c r="U32" s="99" t="s" ph="1">
        <v>43</v>
      </c>
      <c r="V32" s="97" t="s" ph="1">
        <v>4</v>
      </c>
      <c r="W32" s="158" t="s" ph="1">
        <v>5</v>
      </c>
      <c r="X32" s="99" t="s" ph="1">
        <v>43</v>
      </c>
      <c r="Y32" s="100" t="s" ph="1">
        <v>4</v>
      </c>
      <c r="Z32" s="158" t="s" ph="1">
        <v>5</v>
      </c>
      <c r="AA32" s="157" t="s" ph="1">
        <v>43</v>
      </c>
      <c r="AB32" s="97" t="s" ph="1">
        <v>85</v>
      </c>
      <c r="AC32" s="158" t="s" ph="1">
        <v>84</v>
      </c>
      <c r="AD32" s="204" t="s" ph="1">
        <v>83</v>
      </c>
      <c r="AE32" s="205"/>
      <c r="AH32" s="64" ph="1">
        <v>18</v>
      </c>
      <c r="AI32" s="64" t="s" ph="1">
        <v>357</v>
      </c>
      <c r="AZ32" s="64" t="s" ph="1">
        <v>216</v>
      </c>
      <c r="BA32" s="64" ph="1">
        <v>0</v>
      </c>
    </row>
    <row r="33" spans="1:57" ph="1">
      <c r="A33" s="64"/>
      <c r="B33" s="206" t="s" ph="1">
        <v>181</v>
      </c>
      <c r="C33" s="207" ph="1"/>
      <c r="D33" s="186" ph="1">
        <f>AA10+AB10+Z19</f>
        <v>51728.235216000001</v>
      </c>
      <c r="E33" s="186" ph="1">
        <f>M10+I10</f>
        <v>111349.02305400002</v>
      </c>
      <c r="F33" s="210" ph="1">
        <f>表格_取樣回收每月庫存表_0620更新1522252632456786910111213141516171819202123456789101112131415161718192022232424356789101112131415161718192021222345678910111213141516171819202345678910111213149101516171819222123234567891012131415161711181920212224252345678910111213120[[#This Row],[F25]]</f>
        <v>3880</v>
      </c>
      <c r="G33" s="212" ph="1">
        <f>N19</f>
        <v>21503.112267640001</v>
      </c>
      <c r="H33" s="186" ph="1">
        <f>M19</f>
        <v>24738.741480088003</v>
      </c>
      <c r="I33" s="190" ph="1">
        <v>0</v>
      </c>
      <c r="J33" s="194" ph="1">
        <f>F10+O28</f>
        <v>189263.32016270002</v>
      </c>
      <c r="K33" s="186" ph="1">
        <f>O10+K10+E28+R28</f>
        <v>392169.22826383996</v>
      </c>
      <c r="L33" s="196" ph="1">
        <f>K19</f>
        <v>6718.9881082000002</v>
      </c>
      <c r="M33" s="194" ph="1">
        <f>G10+H10+W28+S28+V28+E10+R19+P28+Q28</f>
        <v>524125.44169149996</v>
      </c>
      <c r="N33" s="186" ph="1">
        <f>L10+P10++G28+H28+AD19+AE19</f>
        <v>418479.53900500003</v>
      </c>
      <c r="O33" s="190" ph="1">
        <f>G19</f>
        <v>12277.176978359999</v>
      </c>
      <c r="P33" s="194" ph="1">
        <f>L19</f>
        <v>30695.378976</v>
      </c>
      <c r="Q33" s="186" ph="1">
        <f>J10+N10</f>
        <v>28529.984142399997</v>
      </c>
      <c r="R33" s="190" ph="1">
        <f>BE23</f>
        <v>890</v>
      </c>
      <c r="S33" s="194" ph="1">
        <f>X28</f>
        <v>192590.09422</v>
      </c>
      <c r="T33" s="186" ph="1">
        <f>X19</f>
        <v>13459.311886719999</v>
      </c>
      <c r="U33" s="175" ph="1">
        <f>BE21</f>
        <v>730</v>
      </c>
      <c r="V33" s="188" ph="1">
        <f ca="1">P19+Q19+S19+M28+N28+J28+D10+AC10+D19+E19+H19+J19+O19+V19+W19+K28+L28</f>
        <v>843327.94699131208</v>
      </c>
      <c r="W33" s="188" ph="1">
        <f>D28+F28+T28+I28</f>
        <v>21578.511558733997</v>
      </c>
      <c r="X33" s="190" ph="1">
        <f>BE29+BE31</f>
        <v>10200</v>
      </c>
      <c r="Y33" s="192" ph="1">
        <f>+Q10+R10+S10+T10+U10+V10+W10+X10+Y10</f>
        <v>213998.59223819998</v>
      </c>
      <c r="Z33" s="173" ph="1">
        <f>T19+U19+Y28+Z10</f>
        <v>164938.32397668003</v>
      </c>
      <c r="AA33" s="175" ph="1">
        <f>BE19</f>
        <v>1440</v>
      </c>
      <c r="AB33" s="177" ph="1">
        <f>I19</f>
        <v>47973.526271199997</v>
      </c>
      <c r="AC33" s="179" ph="1">
        <f>AD10+AB19</f>
        <v>92331.945216000007</v>
      </c>
      <c r="AD33" s="181" ph="1">
        <v>0</v>
      </c>
      <c r="AE33" s="182"/>
      <c r="AH33" s="64" ph="1">
        <v>19</v>
      </c>
      <c r="AI33" s="64" t="s" ph="1">
        <v>358</v>
      </c>
      <c r="AJ33" s="64" t="s" ph="1">
        <v>592</v>
      </c>
      <c r="AK33" s="64" t="s" ph="1">
        <v>589</v>
      </c>
      <c r="AL33" s="64" ph="1">
        <v>730</v>
      </c>
      <c r="AM33" s="64" t="s" ph="1">
        <v>339</v>
      </c>
      <c r="AZ33" s="64" t="s" ph="1">
        <v>216</v>
      </c>
      <c r="BA33" s="64" ph="1">
        <v>730</v>
      </c>
      <c r="BD33" s="64" t="s" ph="1">
        <v>290</v>
      </c>
      <c r="BE33" s="64" ph="1">
        <v>3880</v>
      </c>
    </row>
    <row r="34" spans="1:57" ph="1">
      <c r="A34" s="64"/>
      <c r="B34" s="208" ph="1"/>
      <c r="C34" s="209" ph="1"/>
      <c r="D34" s="187" ph="1"/>
      <c r="E34" s="187" ph="1"/>
      <c r="F34" s="211" ph="1"/>
      <c r="G34" s="213" ph="1"/>
      <c r="H34" s="187" ph="1"/>
      <c r="I34" s="191" ph="1"/>
      <c r="J34" s="195" ph="1"/>
      <c r="K34" s="187" ph="1"/>
      <c r="L34" s="197" ph="1"/>
      <c r="M34" s="195" ph="1"/>
      <c r="N34" s="187" ph="1"/>
      <c r="O34" s="191" ph="1"/>
      <c r="P34" s="195" ph="1"/>
      <c r="Q34" s="187" ph="1"/>
      <c r="R34" s="191" ph="1"/>
      <c r="S34" s="195" ph="1"/>
      <c r="T34" s="187"/>
      <c r="U34" s="176"/>
      <c r="V34" s="189" ph="1"/>
      <c r="W34" s="189" ph="1"/>
      <c r="X34" s="191" ph="1"/>
      <c r="Y34" s="193" ph="1"/>
      <c r="Z34" s="174" ph="1"/>
      <c r="AA34" s="176" ph="1"/>
      <c r="AB34" s="178"/>
      <c r="AC34" s="180"/>
      <c r="AD34" s="183"/>
      <c r="AE34" s="184"/>
      <c r="AH34" s="64" ph="1">
        <v>20</v>
      </c>
      <c r="AI34" s="64" t="s" ph="1">
        <v>359</v>
      </c>
      <c r="AJ34" s="64" t="s" ph="1">
        <v>593</v>
      </c>
      <c r="AK34" s="64" t="s" ph="1">
        <v>589</v>
      </c>
      <c r="AL34" s="64" ph="1">
        <v>720</v>
      </c>
      <c r="AM34" s="64" t="s" ph="1">
        <v>339</v>
      </c>
      <c r="AZ34" s="64" t="s" ph="1">
        <v>216</v>
      </c>
      <c r="BA34" s="64" ph="1">
        <v>720</v>
      </c>
    </row>
    <row r="35" spans="1:57" ph="1">
      <c r="A35" s="64"/>
      <c r="AC35" s="185" t="s" ph="1">
        <v>631</v>
      </c>
      <c r="AD35" s="185"/>
      <c r="AE35" s="185"/>
      <c r="AH35" s="64" ph="1">
        <v>21</v>
      </c>
      <c r="AI35" s="64" t="s" ph="1">
        <v>360</v>
      </c>
      <c r="AZ35" s="64" t="s" ph="1">
        <v>216</v>
      </c>
      <c r="BA35" s="64" ph="1">
        <v>0</v>
      </c>
      <c r="BD35" s="64" t="s" ph="1">
        <v>361</v>
      </c>
      <c r="BE35" s="64" ph="1">
        <v>2030</v>
      </c>
    </row>
    <row r="36" spans="1:57" ht="28.2" ph="1">
      <c r="A36" s="64"/>
      <c r="B36" s="103" t="s" ph="1">
        <v>182</v>
      </c>
      <c r="I36" s="171" t="s" ph="1">
        <v>183</v>
      </c>
      <c r="J36" s="171" ph="1"/>
      <c r="K36" s="101" ph="1"/>
      <c r="P36" s="101" ph="1"/>
      <c r="R36" s="171" t="s" ph="1">
        <v>184</v>
      </c>
      <c r="S36" s="171" ph="1"/>
      <c r="Y36" s="102" ph="1"/>
      <c r="Z36" s="156" t="s" ph="1">
        <v>185</v>
      </c>
      <c r="AA36" s="156" ph="1"/>
      <c r="AB36" s="172" t="s" ph="1">
        <v>640</v>
      </c>
      <c r="AC36" s="172" ph="1"/>
      <c r="AD36" s="172" ph="1"/>
      <c r="AE36" s="172" ph="1"/>
      <c r="BA36" s="64" ph="1">
        <v>2270</v>
      </c>
    </row>
    <row r="37" spans="1:57" s="156" customFormat="1" ph="1">
      <c r="A37" s="64" ph="1"/>
      <c r="B37" s="64" ph="1"/>
      <c r="C37" s="64" ph="1"/>
      <c r="D37" s="64" ph="1"/>
      <c r="E37" s="64" ph="1"/>
      <c r="F37" s="64" ph="1"/>
      <c r="G37" s="64" ph="1"/>
      <c r="H37" s="64" ph="1"/>
      <c r="I37" s="64" ph="1"/>
      <c r="J37" s="64" ph="1"/>
      <c r="K37" s="64" ph="1"/>
      <c r="L37" s="64" ph="1"/>
      <c r="M37" s="64" ph="1"/>
      <c r="N37" s="64" ph="1"/>
      <c r="O37" s="64" ph="1"/>
      <c r="P37" s="64" ph="1"/>
      <c r="Q37" s="64" ph="1"/>
      <c r="R37" s="64" ph="1"/>
      <c r="S37" s="64" ph="1"/>
      <c r="T37" s="64" ph="1"/>
      <c r="U37" s="64" ph="1"/>
      <c r="V37" s="64" ph="1"/>
      <c r="W37" s="64" ph="1"/>
      <c r="X37" s="64" ph="1"/>
      <c r="Y37" s="64" ph="1"/>
      <c r="Z37" s="64" ph="1"/>
      <c r="AA37" s="64" ph="1"/>
      <c r="AB37" s="64" ph="1"/>
      <c r="AC37" s="64" ph="1"/>
      <c r="AD37" s="64" ph="1"/>
      <c r="AE37" s="64" ph="1"/>
      <c r="AG37" s="156" t="s" ph="1">
        <v>342</v>
      </c>
      <c r="AI37" s="156" t="s" ph="1">
        <v>209</v>
      </c>
      <c r="AJ37" s="156" t="s" ph="1">
        <v>210</v>
      </c>
      <c r="AK37" s="156" t="s" ph="1">
        <v>211</v>
      </c>
      <c r="AM37" s="156" t="s" ph="1">
        <v>210</v>
      </c>
      <c r="AN37" s="156" t="s" ph="1">
        <v>211</v>
      </c>
      <c r="AO37" s="156" t="s" ph="1">
        <v>212</v>
      </c>
      <c r="AP37" s="156" t="s" ph="1">
        <v>210</v>
      </c>
      <c r="AQ37" s="156" t="s" ph="1">
        <v>211</v>
      </c>
      <c r="AR37" s="156" t="s" ph="1">
        <v>212</v>
      </c>
      <c r="AS37" s="156" t="s" ph="1">
        <v>210</v>
      </c>
      <c r="AT37" s="156" t="s" ph="1">
        <v>211</v>
      </c>
      <c r="AU37" s="156" t="s" ph="1">
        <v>212</v>
      </c>
      <c r="AV37" s="156" t="s" ph="1">
        <v>210</v>
      </c>
      <c r="AW37" s="156" t="s" ph="1">
        <v>211</v>
      </c>
      <c r="AX37" s="156" t="s" ph="1">
        <v>212</v>
      </c>
      <c r="AY37" s="156" t="s" ph="1">
        <v>211</v>
      </c>
      <c r="AZ37" s="156" t="s" ph="1">
        <v>213</v>
      </c>
      <c r="BD37" s="156" t="s" ph="1">
        <v>305</v>
      </c>
      <c r="BE37" s="156" ph="1">
        <v>0</v>
      </c>
    </row>
    <row r="38" spans="1:57" ph="1">
      <c r="AE38" s="64" ph="1"/>
      <c r="AH38" s="64" ph="1">
        <v>1</v>
      </c>
      <c r="AI38" s="64" t="s" ph="1">
        <v>362</v>
      </c>
      <c r="AY38" s="64" t="s" ph="1">
        <v>216</v>
      </c>
      <c r="AZ38" s="64" t="s" ph="1">
        <v>367</v>
      </c>
    </row>
    <row r="39" spans="1:57" ph="1">
      <c r="AH39" s="64" ph="1">
        <v>2</v>
      </c>
      <c r="AI39" s="64" t="s" ph="1">
        <v>364</v>
      </c>
      <c r="AJ39" s="64" t="s" ph="1">
        <v>336</v>
      </c>
      <c r="AK39" s="64" t="s" ph="1">
        <v>365</v>
      </c>
      <c r="AM39" s="64" t="s" ph="1">
        <v>570</v>
      </c>
      <c r="AN39" s="64" t="s" ph="1">
        <v>228</v>
      </c>
      <c r="AO39" s="64" t="s" ph="1">
        <v>363</v>
      </c>
      <c r="AY39" s="64" t="s" ph="1">
        <v>216</v>
      </c>
      <c r="AZ39" s="64" t="s" ph="1">
        <v>499</v>
      </c>
    </row>
    <row r="40" spans="1:57" ph="1">
      <c r="AH40" s="64" ph="1">
        <v>3</v>
      </c>
      <c r="AI40" s="64" t="s" ph="1">
        <v>366</v>
      </c>
      <c r="AJ40" s="64" t="s" ph="1">
        <v>570</v>
      </c>
      <c r="AK40" s="64" t="s" ph="1">
        <v>571</v>
      </c>
      <c r="AY40" s="64" t="s" ph="1">
        <v>216</v>
      </c>
      <c r="AZ40" s="64" t="s" ph="1">
        <v>571</v>
      </c>
    </row>
    <row r="41" spans="1:57" ph="1">
      <c r="AH41" s="64" ph="1">
        <v>4</v>
      </c>
      <c r="AI41" s="64" t="s" ph="1">
        <v>368</v>
      </c>
      <c r="AJ41" s="64" t="s" ph="1">
        <v>572</v>
      </c>
      <c r="AK41" s="64" t="s" ph="1">
        <v>573</v>
      </c>
      <c r="AM41" s="64" t="s" ph="1">
        <v>574</v>
      </c>
      <c r="AY41" s="64" t="s" ph="1">
        <v>216</v>
      </c>
      <c r="AZ41" s="64" t="s" ph="1">
        <v>573</v>
      </c>
    </row>
    <row r="42" spans="1:57" ph="1">
      <c r="P42" s="64"/>
      <c r="Q42" s="64"/>
      <c r="R42" s="64"/>
      <c r="S42" s="64"/>
      <c r="T42" s="64"/>
      <c r="U42" s="64"/>
      <c r="V42" s="64"/>
      <c r="W42" s="64"/>
      <c r="X42" s="64"/>
      <c r="Y42" s="64"/>
      <c r="Z42" s="64"/>
      <c r="AA42" s="64"/>
      <c r="AB42" s="64"/>
      <c r="AC42" s="64"/>
      <c r="AD42" s="64"/>
      <c r="AE42" s="75"/>
      <c r="AH42" s="64" ph="1">
        <v>5</v>
      </c>
      <c r="AI42" s="64" t="s" ph="1">
        <v>369</v>
      </c>
      <c r="AY42" s="64" t="s" ph="1">
        <v>216</v>
      </c>
      <c r="AZ42" s="64" t="s" ph="1">
        <v>367</v>
      </c>
    </row>
    <row r="43" spans="1:57" ph="1">
      <c r="C43" s="64"/>
      <c r="D43" s="64"/>
      <c r="E43" s="64"/>
      <c r="F43" s="64"/>
      <c r="G43" s="64"/>
      <c r="H43" s="64"/>
      <c r="I43" s="64"/>
      <c r="J43" s="64"/>
      <c r="K43" s="64"/>
      <c r="L43" s="64"/>
      <c r="M43" s="64"/>
      <c r="N43" s="64"/>
      <c r="O43" s="64"/>
      <c r="P43" s="64"/>
      <c r="R43" s="64"/>
      <c r="S43" s="64"/>
      <c r="T43" s="64"/>
      <c r="U43" s="64"/>
      <c r="V43" s="64"/>
      <c r="W43" s="64"/>
      <c r="X43" s="64"/>
      <c r="Y43" s="64"/>
      <c r="Z43" s="64"/>
      <c r="AA43" s="64"/>
      <c r="AB43" s="64"/>
      <c r="AC43" s="64"/>
      <c r="AD43" s="64"/>
      <c r="AE43" s="75"/>
      <c r="AH43" s="64" ph="1">
        <v>6</v>
      </c>
      <c r="AI43" s="64" t="s" ph="1">
        <v>370</v>
      </c>
      <c r="AY43" s="64" t="s" ph="1">
        <v>216</v>
      </c>
      <c r="AZ43" s="64" t="s" ph="1">
        <v>367</v>
      </c>
    </row>
    <row r="44" spans="1:57" ph="1">
      <c r="R44" s="64"/>
      <c r="S44" s="64"/>
      <c r="T44" s="64"/>
      <c r="U44" s="64"/>
      <c r="V44" s="64"/>
      <c r="W44" s="64"/>
      <c r="X44" s="64"/>
      <c r="Y44" s="64"/>
      <c r="Z44" s="64"/>
      <c r="AA44" s="64"/>
      <c r="AB44" s="64"/>
      <c r="AC44" s="64"/>
      <c r="AD44" s="64"/>
      <c r="AE44" s="75"/>
      <c r="AH44" s="64" ph="1">
        <v>7</v>
      </c>
      <c r="AI44" s="64" t="s" ph="1">
        <v>371</v>
      </c>
      <c r="AV44" s="64" t="s" ph="1">
        <v>217</v>
      </c>
      <c r="AY44" s="64" t="s" ph="1">
        <v>216</v>
      </c>
      <c r="AZ44" s="64" t="s" ph="1">
        <v>367</v>
      </c>
    </row>
    <row r="45" spans="1:57" ph="1">
      <c r="R45" s="64"/>
      <c r="S45" s="64"/>
      <c r="T45" s="64"/>
      <c r="U45" s="64"/>
      <c r="V45" s="64"/>
      <c r="W45" s="64"/>
      <c r="X45" s="64"/>
      <c r="Y45" s="64"/>
      <c r="Z45" s="64"/>
      <c r="AA45" s="64"/>
      <c r="AB45" s="64"/>
      <c r="AC45" s="64"/>
      <c r="AD45" s="64"/>
      <c r="AE45" s="75"/>
      <c r="AH45" s="64" ph="1">
        <v>8</v>
      </c>
      <c r="AI45" s="64" t="s" ph="1">
        <v>372</v>
      </c>
      <c r="AV45" s="64" t="s" ph="1">
        <v>217</v>
      </c>
      <c r="AY45" s="64" t="s" ph="1">
        <v>216</v>
      </c>
      <c r="AZ45" s="64" t="s" ph="1">
        <v>367</v>
      </c>
    </row>
    <row r="46" spans="1:57" ph="1">
      <c r="R46" s="64"/>
      <c r="S46" s="64"/>
      <c r="T46" s="64"/>
      <c r="U46" s="64"/>
      <c r="V46" s="64"/>
      <c r="W46" s="64"/>
      <c r="X46" s="64"/>
      <c r="Y46" s="64"/>
      <c r="Z46" s="64"/>
      <c r="AA46" s="64"/>
      <c r="AB46" s="64"/>
      <c r="AC46" s="64"/>
      <c r="AD46" s="64"/>
      <c r="AE46" s="75"/>
      <c r="AH46" s="64" ph="1">
        <v>9</v>
      </c>
      <c r="AI46" s="64" t="s" ph="1">
        <v>373</v>
      </c>
      <c r="AV46" s="64" t="s" ph="1">
        <v>217</v>
      </c>
      <c r="AY46" s="64" t="s" ph="1">
        <v>216</v>
      </c>
      <c r="AZ46" s="64" t="s" ph="1">
        <v>367</v>
      </c>
    </row>
    <row r="47" spans="1:57" ph="1">
      <c r="R47" s="64"/>
      <c r="S47" s="64"/>
      <c r="T47" s="64"/>
      <c r="U47" s="64"/>
      <c r="V47" s="64"/>
      <c r="W47" s="64"/>
      <c r="X47" s="64"/>
      <c r="Y47" s="64"/>
      <c r="Z47" s="64"/>
      <c r="AA47" s="64"/>
      <c r="AB47" s="64"/>
      <c r="AC47" s="64"/>
      <c r="AD47" s="64"/>
      <c r="AE47" s="75"/>
      <c r="AH47" s="64" ph="1">
        <v>10</v>
      </c>
      <c r="AI47" s="64" t="s" ph="1">
        <v>374</v>
      </c>
      <c r="AV47" s="64" t="s" ph="1">
        <v>217</v>
      </c>
      <c r="AY47" s="64" t="s" ph="1">
        <v>216</v>
      </c>
      <c r="AZ47" s="64" t="s" ph="1">
        <v>367</v>
      </c>
    </row>
    <row r="48" spans="1:57" ph="1">
      <c r="R48" s="64"/>
      <c r="S48" s="64"/>
      <c r="T48" s="64"/>
      <c r="U48" s="64"/>
      <c r="V48" s="64"/>
      <c r="W48" s="64"/>
      <c r="X48" s="64"/>
      <c r="Y48" s="64"/>
      <c r="Z48" s="64"/>
      <c r="AA48" s="64"/>
      <c r="AB48" s="64"/>
      <c r="AC48" s="64"/>
      <c r="AD48" s="64"/>
      <c r="AE48" s="75"/>
      <c r="AZ48" s="64" t="s" ph="1">
        <v>575</v>
      </c>
    </row>
    <row r="49" spans="16:52" ph="1">
      <c r="R49" s="64"/>
      <c r="S49" s="64"/>
      <c r="T49" s="64"/>
      <c r="U49" s="64"/>
      <c r="V49" s="64"/>
      <c r="W49" s="64"/>
      <c r="X49" s="64"/>
      <c r="Y49" s="64"/>
      <c r="Z49" s="64"/>
      <c r="AA49" s="64"/>
      <c r="AB49" s="64"/>
      <c r="AC49" s="64"/>
      <c r="AD49" s="64"/>
      <c r="AE49" s="75"/>
      <c r="AG49" s="64" t="s" ph="1">
        <v>232</v>
      </c>
      <c r="AI49" s="64" t="s" ph="1">
        <v>209</v>
      </c>
      <c r="AJ49" s="64" t="s" ph="1">
        <v>210</v>
      </c>
      <c r="AK49" s="64" t="s" ph="1">
        <v>211</v>
      </c>
      <c r="AM49" s="64" t="s" ph="1">
        <v>210</v>
      </c>
      <c r="AN49" s="64" t="s" ph="1">
        <v>211</v>
      </c>
      <c r="AO49" s="64" t="s" ph="1">
        <v>212</v>
      </c>
      <c r="AP49" s="64" t="s" ph="1">
        <v>210</v>
      </c>
      <c r="AQ49" s="64" t="s" ph="1">
        <v>211</v>
      </c>
      <c r="AR49" s="64" t="s" ph="1">
        <v>212</v>
      </c>
      <c r="AS49" s="64" t="s" ph="1">
        <v>210</v>
      </c>
      <c r="AT49" s="64" t="s" ph="1">
        <v>211</v>
      </c>
      <c r="AU49" s="64" t="s" ph="1">
        <v>212</v>
      </c>
      <c r="AV49" s="64" t="s" ph="1">
        <v>210</v>
      </c>
      <c r="AW49" s="64" t="s" ph="1">
        <v>211</v>
      </c>
      <c r="AX49" s="64" t="s" ph="1">
        <v>212</v>
      </c>
      <c r="AY49" s="64" t="s" ph="1">
        <v>211</v>
      </c>
      <c r="AZ49" s="64" t="s" ph="1">
        <v>213</v>
      </c>
    </row>
    <row r="50" spans="16:52" ph="1">
      <c r="R50" s="64"/>
      <c r="S50" s="64"/>
      <c r="T50" s="64"/>
      <c r="U50" s="64"/>
      <c r="V50" s="64"/>
      <c r="W50" s="64"/>
      <c r="X50" s="64"/>
      <c r="Y50" s="64"/>
      <c r="Z50" s="64"/>
      <c r="AA50" s="64"/>
      <c r="AB50" s="64"/>
      <c r="AC50" s="64"/>
      <c r="AD50" s="64"/>
      <c r="AE50" s="75"/>
      <c r="AH50" s="64" ph="1">
        <v>1</v>
      </c>
      <c r="AI50" s="64" t="s" ph="1">
        <v>375</v>
      </c>
      <c r="AY50" s="64" t="s" ph="1">
        <v>216</v>
      </c>
      <c r="AZ50" s="64" t="s" ph="1">
        <v>367</v>
      </c>
    </row>
    <row r="51" spans="16:52" ph="1">
      <c r="R51" s="64"/>
      <c r="S51" s="64"/>
      <c r="T51" s="64"/>
      <c r="U51" s="64"/>
      <c r="V51" s="64"/>
      <c r="W51" s="64"/>
      <c r="X51" s="64"/>
      <c r="Y51" s="64"/>
      <c r="Z51" s="64"/>
      <c r="AA51" s="64"/>
      <c r="AB51" s="64"/>
      <c r="AC51" s="64"/>
      <c r="AD51" s="64"/>
      <c r="AE51" s="75"/>
      <c r="AH51" s="64" ph="1">
        <v>2</v>
      </c>
      <c r="AI51" s="64" t="s" ph="1">
        <v>376</v>
      </c>
      <c r="AY51" s="64" t="s" ph="1">
        <v>216</v>
      </c>
      <c r="AZ51" s="64" t="s" ph="1">
        <v>367</v>
      </c>
    </row>
    <row r="52" spans="16:52" ph="1">
      <c r="R52" s="64"/>
      <c r="S52" s="64"/>
      <c r="T52" s="64"/>
      <c r="U52" s="64"/>
      <c r="V52" s="64"/>
      <c r="W52" s="64"/>
      <c r="X52" s="64"/>
      <c r="Y52" s="64"/>
      <c r="Z52" s="64"/>
      <c r="AA52" s="64"/>
      <c r="AB52" s="64"/>
      <c r="AC52" s="64"/>
      <c r="AD52" s="64"/>
      <c r="AE52" s="75"/>
      <c r="AH52" s="64" ph="1">
        <v>3</v>
      </c>
      <c r="AI52" s="64" t="s" ph="1">
        <v>377</v>
      </c>
      <c r="AJ52" s="64" t="s" ph="1">
        <v>334</v>
      </c>
      <c r="AK52" s="64" t="s" ph="1">
        <v>228</v>
      </c>
      <c r="AM52" s="64" t="s" ph="1">
        <v>336</v>
      </c>
      <c r="AN52" s="64" t="s" ph="1">
        <v>300</v>
      </c>
      <c r="AO52" s="64" t="s" ph="1">
        <v>233</v>
      </c>
      <c r="AP52" s="64" t="s" ph="1">
        <v>570</v>
      </c>
      <c r="AQ52" s="64" t="s" ph="1">
        <v>282</v>
      </c>
      <c r="AR52" s="64" t="s" ph="1">
        <v>233</v>
      </c>
      <c r="AY52" s="64" t="s" ph="1">
        <v>216</v>
      </c>
      <c r="AZ52" s="64" t="s" ph="1">
        <v>576</v>
      </c>
    </row>
    <row r="53" spans="16:52" ph="1">
      <c r="R53" s="64"/>
      <c r="S53" s="64"/>
      <c r="T53" s="64"/>
      <c r="U53" s="64"/>
      <c r="W53" s="64"/>
      <c r="X53" s="64"/>
      <c r="Y53" s="64"/>
      <c r="Z53" s="64"/>
      <c r="AA53" s="64"/>
      <c r="AB53" s="64"/>
      <c r="AC53" s="64"/>
      <c r="AD53" s="64"/>
      <c r="AH53" s="64" ph="1">
        <v>4</v>
      </c>
      <c r="AI53" s="64" t="s" ph="1">
        <v>378</v>
      </c>
      <c r="AY53" s="64" t="s" ph="1">
        <v>216</v>
      </c>
      <c r="AZ53" s="64" t="s" ph="1">
        <v>367</v>
      </c>
    </row>
    <row r="54" spans="16:52" ph="1">
      <c r="R54" s="64"/>
      <c r="S54" s="64"/>
      <c r="T54" s="64"/>
      <c r="U54" s="64"/>
      <c r="W54" s="64"/>
      <c r="X54" s="64"/>
      <c r="Y54" s="64"/>
      <c r="Z54" s="64"/>
      <c r="AA54" s="64"/>
      <c r="AC54" s="64"/>
      <c r="AD54" s="64"/>
      <c r="AH54" s="64" ph="1">
        <v>5</v>
      </c>
      <c r="AI54" s="64" t="s" ph="1">
        <v>379</v>
      </c>
      <c r="AJ54" s="64" t="s" ph="1">
        <v>334</v>
      </c>
      <c r="AK54" s="64" t="s" ph="1">
        <v>219</v>
      </c>
      <c r="AM54" s="64" t="s" ph="1">
        <v>336</v>
      </c>
      <c r="AN54" s="64" t="s" ph="1">
        <v>224</v>
      </c>
      <c r="AO54" s="64" t="s" ph="1">
        <v>233</v>
      </c>
      <c r="AP54" s="64" t="s" ph="1">
        <v>570</v>
      </c>
      <c r="AQ54" s="64" t="s" ph="1">
        <v>240</v>
      </c>
      <c r="AR54" s="64" t="s" ph="1">
        <v>233</v>
      </c>
      <c r="AY54" s="64" t="s" ph="1">
        <v>216</v>
      </c>
      <c r="AZ54" s="64" t="s" ph="1">
        <v>234</v>
      </c>
    </row>
    <row r="55" spans="16:52" ph="1">
      <c r="R55" s="64"/>
      <c r="S55" s="64"/>
      <c r="T55" s="64"/>
      <c r="U55" s="64"/>
      <c r="V55" s="64"/>
      <c r="W55" s="64"/>
      <c r="X55" s="64"/>
      <c r="Z55" s="64"/>
      <c r="AC55" s="64"/>
      <c r="AD55" s="64"/>
      <c r="AE55" s="75"/>
      <c r="AH55" s="64" ph="1">
        <v>6</v>
      </c>
      <c r="AI55" s="64" t="s" ph="1">
        <v>380</v>
      </c>
      <c r="AY55" s="64" t="s" ph="1">
        <v>216</v>
      </c>
      <c r="AZ55" s="64" t="s" ph="1">
        <v>367</v>
      </c>
    </row>
    <row r="56" spans="16:52" ph="1">
      <c r="P56" s="64" ph="1">
        <v>20260804</v>
      </c>
      <c r="R56" s="64"/>
      <c r="S56" s="64"/>
      <c r="T56" s="64"/>
      <c r="U56" s="64"/>
      <c r="V56" s="64"/>
      <c r="W56" s="64"/>
      <c r="X56" s="64"/>
      <c r="Z56" s="64"/>
      <c r="AA56" s="64"/>
      <c r="AB56" s="64"/>
      <c r="AC56" s="64"/>
      <c r="AD56" s="64"/>
      <c r="AE56" s="75"/>
      <c r="AH56" s="64" ph="1">
        <v>7</v>
      </c>
      <c r="AI56" s="64" t="s" ph="1">
        <v>381</v>
      </c>
      <c r="AY56" s="64" t="s" ph="1">
        <v>216</v>
      </c>
      <c r="AZ56" s="64" t="s" ph="1">
        <v>367</v>
      </c>
    </row>
    <row r="57" spans="16:52" ph="1">
      <c r="R57" s="64"/>
      <c r="S57" s="64"/>
      <c r="T57" s="64"/>
      <c r="U57" s="64"/>
      <c r="V57" s="64"/>
      <c r="W57" s="64"/>
      <c r="AA57" s="64"/>
      <c r="AB57" s="64"/>
      <c r="AC57" s="64"/>
      <c r="AD57" s="64"/>
      <c r="AE57" s="75"/>
      <c r="AH57" s="64" ph="1">
        <v>8</v>
      </c>
      <c r="AI57" s="64" t="s" ph="1">
        <v>382</v>
      </c>
      <c r="AY57" s="64" t="s" ph="1">
        <v>216</v>
      </c>
      <c r="AZ57" s="64" t="s" ph="1">
        <v>367</v>
      </c>
    </row>
    <row r="58" spans="16:52" ph="1">
      <c r="P58" s="64"/>
      <c r="AN58" s="64" t="s" ph="1">
        <v>217</v>
      </c>
      <c r="AZ58" s="64" t="s" ph="1">
        <v>577</v>
      </c>
    </row>
    <row r="59" spans="16:52" ph="1">
      <c r="V59" s="64"/>
      <c r="AG59" s="64" t="s" ph="1">
        <v>235</v>
      </c>
      <c r="AI59" s="64" t="s" ph="1">
        <v>209</v>
      </c>
      <c r="AJ59" s="64" t="s" ph="1">
        <v>210</v>
      </c>
      <c r="AK59" s="64" t="s" ph="1">
        <v>211</v>
      </c>
      <c r="AM59" s="64" t="s" ph="1">
        <v>210</v>
      </c>
      <c r="AN59" s="64" t="s" ph="1">
        <v>211</v>
      </c>
      <c r="AO59" s="64" t="s" ph="1">
        <v>212</v>
      </c>
      <c r="AP59" s="64" t="s" ph="1">
        <v>210</v>
      </c>
      <c r="AQ59" s="64" t="s" ph="1">
        <v>211</v>
      </c>
      <c r="AR59" s="64" t="s" ph="1">
        <v>212</v>
      </c>
      <c r="AS59" s="64" t="s" ph="1">
        <v>210</v>
      </c>
      <c r="AT59" s="64" t="s" ph="1">
        <v>211</v>
      </c>
      <c r="AU59" s="64" t="s" ph="1">
        <v>212</v>
      </c>
      <c r="AV59" s="64" t="s" ph="1">
        <v>210</v>
      </c>
      <c r="AW59" s="64" t="s" ph="1">
        <v>211</v>
      </c>
      <c r="AX59" s="64" t="s" ph="1">
        <v>212</v>
      </c>
      <c r="AY59" s="64" t="s" ph="1">
        <v>211</v>
      </c>
      <c r="AZ59" s="64" t="s" ph="1">
        <v>213</v>
      </c>
    </row>
    <row r="60" spans="16:52" ph="1">
      <c r="R60" s="64"/>
      <c r="S60" s="64"/>
      <c r="T60" s="64"/>
      <c r="AH60" s="64" ph="1">
        <v>1</v>
      </c>
      <c r="AI60" s="64" t="s" ph="1">
        <v>383</v>
      </c>
      <c r="AY60" s="64" t="s" ph="1">
        <v>216</v>
      </c>
      <c r="AZ60" s="64" t="s" ph="1">
        <v>367</v>
      </c>
    </row>
    <row r="61" spans="16:52" ph="1">
      <c r="AH61" s="64" ph="1">
        <v>2</v>
      </c>
      <c r="AI61" s="64" t="s" ph="1">
        <v>384</v>
      </c>
      <c r="AS61" s="64" t="s" ph="1">
        <v>217</v>
      </c>
      <c r="AY61" s="64" t="s" ph="1">
        <v>216</v>
      </c>
      <c r="AZ61" s="64" t="s" ph="1">
        <v>367</v>
      </c>
    </row>
    <row r="62" spans="16:52" ph="1">
      <c r="AZ62" s="64" t="s" ph="1">
        <v>385</v>
      </c>
    </row>
    <row r="63" spans="16:52" ph="1">
      <c r="AG63" s="64" t="s" ph="1">
        <v>238</v>
      </c>
      <c r="AI63" s="64" t="s" ph="1">
        <v>209</v>
      </c>
      <c r="AJ63" s="64" t="s" ph="1">
        <v>210</v>
      </c>
      <c r="AK63" s="64" t="s" ph="1">
        <v>211</v>
      </c>
      <c r="AM63" s="64" t="s" ph="1">
        <v>210</v>
      </c>
      <c r="AN63" s="64" t="s" ph="1">
        <v>211</v>
      </c>
      <c r="AO63" s="64" t="s" ph="1">
        <v>212</v>
      </c>
      <c r="AP63" s="64" t="s" ph="1">
        <v>210</v>
      </c>
      <c r="AQ63" s="64" t="s" ph="1">
        <v>211</v>
      </c>
      <c r="AR63" s="64" t="s" ph="1">
        <v>212</v>
      </c>
      <c r="AS63" s="64" t="s" ph="1">
        <v>210</v>
      </c>
      <c r="AT63" s="64" t="s" ph="1">
        <v>211</v>
      </c>
      <c r="AU63" s="64" t="s" ph="1">
        <v>212</v>
      </c>
      <c r="AV63" s="64" t="s" ph="1">
        <v>210</v>
      </c>
      <c r="AW63" s="64" t="s" ph="1">
        <v>211</v>
      </c>
      <c r="AX63" s="64" t="s" ph="1">
        <v>212</v>
      </c>
      <c r="AY63" s="64" t="s" ph="1">
        <v>211</v>
      </c>
      <c r="AZ63" s="64" t="s" ph="1">
        <v>213</v>
      </c>
    </row>
    <row r="64" spans="16:52" ph="1">
      <c r="AH64" s="64" ph="1">
        <v>1</v>
      </c>
      <c r="AI64" s="64" t="s" ph="1">
        <v>386</v>
      </c>
      <c r="AJ64" s="64" t="s" ph="1">
        <v>387</v>
      </c>
      <c r="AK64" s="64" t="s" ph="1">
        <v>388</v>
      </c>
      <c r="AY64" s="64" t="s" ph="1">
        <v>216</v>
      </c>
      <c r="AZ64" s="64" t="s" ph="1">
        <v>388</v>
      </c>
    </row>
    <row r="65" spans="33:52" ph="1">
      <c r="AH65" s="64" ph="1">
        <v>2</v>
      </c>
      <c r="AI65" s="64" t="s" ph="1">
        <v>389</v>
      </c>
      <c r="AY65" s="64" t="s" ph="1">
        <v>216</v>
      </c>
      <c r="AZ65" s="64" t="s" ph="1">
        <v>367</v>
      </c>
    </row>
    <row r="66" spans="33:52" ph="1">
      <c r="AH66" s="64" ph="1">
        <v>3</v>
      </c>
      <c r="AI66" s="64" t="s" ph="1">
        <v>390</v>
      </c>
      <c r="AY66" s="64" t="s" ph="1">
        <v>216</v>
      </c>
      <c r="AZ66" s="64" t="s" ph="1">
        <v>367</v>
      </c>
    </row>
    <row r="67" spans="33:52" ph="1">
      <c r="AH67" s="64" ph="1">
        <v>4</v>
      </c>
      <c r="AI67" s="64" t="s" ph="1">
        <v>391</v>
      </c>
      <c r="AY67" s="64" t="s" ph="1">
        <v>216</v>
      </c>
      <c r="AZ67" s="64" t="s" ph="1">
        <v>367</v>
      </c>
    </row>
    <row r="68" spans="33:52" ph="1">
      <c r="AH68" s="64" ph="1">
        <v>5</v>
      </c>
      <c r="AI68" s="64" t="s" ph="1">
        <v>392</v>
      </c>
      <c r="AY68" s="64" t="s" ph="1">
        <v>216</v>
      </c>
      <c r="AZ68" s="64" t="s" ph="1">
        <v>367</v>
      </c>
    </row>
    <row r="69" spans="33:52" ph="1">
      <c r="AH69" s="64" ph="1">
        <v>6</v>
      </c>
      <c r="AI69" s="64" t="s" ph="1">
        <v>393</v>
      </c>
      <c r="AY69" s="64" t="s" ph="1">
        <v>216</v>
      </c>
      <c r="AZ69" s="64" t="s" ph="1">
        <v>367</v>
      </c>
    </row>
    <row r="70" spans="33:52" ph="1">
      <c r="AI70" s="64" t="s" ph="1">
        <v>394</v>
      </c>
      <c r="AY70" s="64" t="s" ph="1">
        <v>216</v>
      </c>
      <c r="AZ70" s="64" t="s" ph="1">
        <v>367</v>
      </c>
    </row>
    <row r="71" spans="33:52" ph="1">
      <c r="AH71" s="64" ph="1">
        <v>7</v>
      </c>
      <c r="AI71" s="64" t="s" ph="1">
        <v>395</v>
      </c>
      <c r="AJ71" s="64" t="s" ph="1">
        <v>334</v>
      </c>
      <c r="AK71" s="64" t="s" ph="1">
        <v>228</v>
      </c>
      <c r="AM71" s="64" t="s" ph="1">
        <v>336</v>
      </c>
      <c r="AN71" s="64" t="s" ph="1">
        <v>228</v>
      </c>
      <c r="AO71" s="64" t="s" ph="1">
        <v>396</v>
      </c>
      <c r="AP71" s="64" t="s" ph="1">
        <v>570</v>
      </c>
      <c r="AQ71" s="64" t="s" ph="1">
        <v>219</v>
      </c>
      <c r="AR71" s="64" t="s" ph="1">
        <v>396</v>
      </c>
      <c r="AY71" s="64" t="s" ph="1">
        <v>216</v>
      </c>
      <c r="AZ71" s="64" t="s" ph="1">
        <v>578</v>
      </c>
    </row>
    <row r="72" spans="33:52" ph="1">
      <c r="AZ72" s="64" t="s" ph="1">
        <v>579</v>
      </c>
    </row>
    <row r="73" spans="33:52" ph="1">
      <c r="AG73" s="64" t="s" ph="1">
        <v>241</v>
      </c>
      <c r="AI73" s="64" t="s" ph="1">
        <v>209</v>
      </c>
      <c r="AJ73" s="64" t="s" ph="1">
        <v>210</v>
      </c>
      <c r="AK73" s="64" t="s" ph="1">
        <v>211</v>
      </c>
      <c r="AM73" s="64" t="s" ph="1">
        <v>210</v>
      </c>
      <c r="AN73" s="64" t="s" ph="1">
        <v>211</v>
      </c>
      <c r="AO73" s="64" t="s" ph="1">
        <v>212</v>
      </c>
      <c r="AP73" s="64" t="s" ph="1">
        <v>210</v>
      </c>
      <c r="AQ73" s="64" t="s" ph="1">
        <v>211</v>
      </c>
      <c r="AR73" s="64" t="s" ph="1">
        <v>212</v>
      </c>
      <c r="AS73" s="64" t="s" ph="1">
        <v>210</v>
      </c>
      <c r="AT73" s="64" t="s" ph="1">
        <v>211</v>
      </c>
      <c r="AU73" s="64" t="s" ph="1">
        <v>212</v>
      </c>
      <c r="AV73" s="64" t="s" ph="1">
        <v>210</v>
      </c>
      <c r="AW73" s="64" t="s" ph="1">
        <v>211</v>
      </c>
      <c r="AX73" s="64" t="s" ph="1">
        <v>212</v>
      </c>
      <c r="AY73" s="64" t="s" ph="1">
        <v>211</v>
      </c>
      <c r="AZ73" s="64" t="s" ph="1">
        <v>213</v>
      </c>
    </row>
    <row r="74" spans="33:52" ph="1">
      <c r="AH74" s="64" ph="1">
        <v>1</v>
      </c>
      <c r="AI74" s="64" t="s" ph="1">
        <v>397</v>
      </c>
      <c r="AJ74" s="64" t="s" ph="1">
        <v>242</v>
      </c>
      <c r="AK74" s="64" t="s" ph="1">
        <v>224</v>
      </c>
      <c r="AM74" s="64" t="s" ph="1">
        <v>244</v>
      </c>
      <c r="AN74" s="64" t="s" ph="1">
        <v>254</v>
      </c>
      <c r="AO74" s="64" t="s" ph="1">
        <v>243</v>
      </c>
      <c r="AP74" s="64" t="s" ph="1">
        <v>245</v>
      </c>
      <c r="AQ74" s="64" t="s" ph="1">
        <v>222</v>
      </c>
      <c r="AR74" s="64" t="s" ph="1">
        <v>243</v>
      </c>
      <c r="AS74" s="64" t="s" ph="1">
        <v>215</v>
      </c>
      <c r="AT74" s="64" t="s" ph="1">
        <v>217</v>
      </c>
      <c r="AV74" s="64" t="s" ph="1">
        <v>398</v>
      </c>
      <c r="AW74" s="64" t="s" ph="1">
        <v>399</v>
      </c>
      <c r="AX74" s="64" t="s" ph="1">
        <v>400</v>
      </c>
      <c r="AY74" s="64" t="s" ph="1">
        <v>216</v>
      </c>
      <c r="AZ74" s="64" t="s" ph="1">
        <v>401</v>
      </c>
    </row>
    <row r="75" spans="33:52" ph="1">
      <c r="AJ75" s="64" t="s" ph="1">
        <v>247</v>
      </c>
      <c r="AK75" s="64" t="s" ph="1">
        <v>300</v>
      </c>
      <c r="AM75" s="64" t="s" ph="1">
        <v>245</v>
      </c>
      <c r="AN75" s="64" t="s" ph="1">
        <v>225</v>
      </c>
      <c r="AO75" s="64" t="s" ph="1">
        <v>243</v>
      </c>
      <c r="AS75" s="64" t="s" ph="1">
        <v>215</v>
      </c>
      <c r="AT75" s="64" t="s" ph="1">
        <v>246</v>
      </c>
    </row>
    <row r="76" spans="33:52" ph="1">
      <c r="AJ76" s="64" t="s" ph="1">
        <v>247</v>
      </c>
      <c r="AK76" s="64" t="s" ph="1">
        <v>240</v>
      </c>
      <c r="AM76" s="64" t="s" ph="1">
        <v>245</v>
      </c>
      <c r="AN76" s="64" t="s" ph="1">
        <v>228</v>
      </c>
      <c r="AO76" s="64" t="s" ph="1">
        <v>243</v>
      </c>
      <c r="AS76" s="64" t="s" ph="1">
        <v>215</v>
      </c>
      <c r="AT76" s="64" t="s" ph="1">
        <v>246</v>
      </c>
    </row>
    <row r="77" spans="33:52" ph="1">
      <c r="AJ77" s="64" t="s" ph="1">
        <v>283</v>
      </c>
      <c r="AK77" s="64" t="s" ph="1">
        <v>240</v>
      </c>
      <c r="AM77" s="64" t="s" ph="1">
        <v>284</v>
      </c>
      <c r="AN77" s="64" t="s" ph="1">
        <v>223</v>
      </c>
      <c r="AO77" s="64" t="s" ph="1">
        <v>243</v>
      </c>
      <c r="AS77" s="64" t="s" ph="1">
        <v>215</v>
      </c>
      <c r="AT77" s="64" t="s" ph="1">
        <v>285</v>
      </c>
    </row>
    <row r="78" spans="33:52" ph="1">
      <c r="AH78" s="64" ph="1">
        <v>2</v>
      </c>
      <c r="AI78" s="64" t="s" ph="1">
        <v>249</v>
      </c>
      <c r="AJ78" s="64" t="s" ph="1">
        <v>250</v>
      </c>
      <c r="AK78" s="64" t="s" ph="1">
        <v>219</v>
      </c>
      <c r="AM78" s="64" t="s" ph="1">
        <v>251</v>
      </c>
      <c r="AN78" s="64" t="s" ph="1">
        <v>254</v>
      </c>
      <c r="AO78" s="64" t="s" ph="1">
        <v>243</v>
      </c>
      <c r="AP78" s="64" t="s" ph="1">
        <v>252</v>
      </c>
      <c r="AQ78" s="64" t="s" ph="1">
        <v>298</v>
      </c>
      <c r="AR78" s="64" t="s" ph="1">
        <v>243</v>
      </c>
      <c r="AS78" s="64" t="s" ph="1">
        <v>253</v>
      </c>
      <c r="AT78" s="64" t="s" ph="1">
        <v>254</v>
      </c>
      <c r="AU78" s="64" t="s" ph="1">
        <v>243</v>
      </c>
      <c r="AV78" s="64" t="s" ph="1">
        <v>255</v>
      </c>
      <c r="AW78" s="64" t="s" ph="1">
        <v>243</v>
      </c>
      <c r="AY78" s="64" t="s" ph="1">
        <v>216</v>
      </c>
      <c r="AZ78" s="64" t="s" ph="1">
        <v>402</v>
      </c>
    </row>
    <row r="79" spans="33:52" ph="1">
      <c r="AJ79" s="64" t="s" ph="1">
        <v>245</v>
      </c>
      <c r="AK79" s="64" t="s" ph="1">
        <v>256</v>
      </c>
      <c r="AM79" s="64" t="s" ph="1">
        <v>257</v>
      </c>
      <c r="AN79" s="64" t="s" ph="1">
        <v>225</v>
      </c>
      <c r="AO79" s="64" t="s" ph="1">
        <v>243</v>
      </c>
      <c r="AP79" s="64" t="s" ph="1">
        <v>258</v>
      </c>
      <c r="AQ79" s="64" t="s" ph="1">
        <v>223</v>
      </c>
      <c r="AR79" s="64" t="s" ph="1">
        <v>259</v>
      </c>
      <c r="AS79" s="64" t="s" ph="1">
        <v>215</v>
      </c>
      <c r="AT79" s="64" t="s" ph="1">
        <v>260</v>
      </c>
      <c r="AV79" s="64" t="s" ph="1">
        <v>403</v>
      </c>
      <c r="AW79" s="64" t="s" ph="1">
        <v>302</v>
      </c>
      <c r="AX79" s="64" t="s" ph="1">
        <v>400</v>
      </c>
    </row>
    <row r="80" spans="33:52" ph="1">
      <c r="AH80" s="64" ph="1">
        <v>3</v>
      </c>
      <c r="AI80" s="64" t="s" ph="1">
        <v>261</v>
      </c>
      <c r="AJ80" s="64" t="s" ph="1">
        <v>262</v>
      </c>
      <c r="AK80" s="64" t="s" ph="1">
        <v>263</v>
      </c>
      <c r="AM80" s="64" t="s" ph="1">
        <v>264</v>
      </c>
      <c r="AN80" s="64" t="s" ph="1">
        <v>254</v>
      </c>
      <c r="AO80" s="64" t="s" ph="1">
        <v>243</v>
      </c>
      <c r="AP80" s="64" t="s" ph="1">
        <v>265</v>
      </c>
      <c r="AQ80" s="64" t="s" ph="1">
        <v>228</v>
      </c>
      <c r="AR80" s="64" t="s" ph="1">
        <v>243</v>
      </c>
      <c r="AS80" s="64" t="s" ph="1">
        <v>266</v>
      </c>
      <c r="AT80" s="64" t="s" ph="1">
        <v>227</v>
      </c>
      <c r="AU80" s="64" t="s" ph="1">
        <v>243</v>
      </c>
      <c r="AV80" s="64" t="s" ph="1">
        <v>267</v>
      </c>
      <c r="AW80" s="64" t="s" ph="1">
        <v>243</v>
      </c>
      <c r="AY80" s="64" t="s" ph="1">
        <v>216</v>
      </c>
      <c r="AZ80" s="64" t="s" ph="1">
        <v>404</v>
      </c>
    </row>
    <row r="81" spans="34:52" ph="1">
      <c r="AJ81" s="64" t="s" ph="1">
        <v>268</v>
      </c>
      <c r="AK81" s="64" t="s" ph="1">
        <v>222</v>
      </c>
      <c r="AM81" s="64" t="s" ph="1">
        <v>269</v>
      </c>
      <c r="AN81" s="64" t="s" ph="1">
        <v>225</v>
      </c>
      <c r="AO81" s="64" t="s" ph="1">
        <v>243</v>
      </c>
      <c r="AP81" s="64" t="s" ph="1">
        <v>270</v>
      </c>
      <c r="AQ81" s="64" t="s" ph="1">
        <v>254</v>
      </c>
      <c r="AR81" s="64" t="s" ph="1">
        <v>243</v>
      </c>
      <c r="AS81" s="64" t="s" ph="1">
        <v>271</v>
      </c>
      <c r="AT81" s="64" t="s" ph="1">
        <v>272</v>
      </c>
      <c r="AU81" s="64" t="s" ph="1">
        <v>243</v>
      </c>
      <c r="AV81" s="64" t="s" ph="1">
        <v>273</v>
      </c>
    </row>
    <row r="82" spans="34:52" ph="1">
      <c r="AJ82" s="64" t="s" ph="1">
        <v>274</v>
      </c>
      <c r="AK82" s="64" t="s" ph="1">
        <v>222</v>
      </c>
      <c r="AM82" s="64" t="s" ph="1">
        <v>275</v>
      </c>
      <c r="AN82" s="64" t="s" ph="1">
        <v>272</v>
      </c>
      <c r="AO82" s="64" t="s" ph="1">
        <v>276</v>
      </c>
      <c r="AP82" s="64" t="s" ph="1">
        <v>277</v>
      </c>
      <c r="AQ82" s="64" t="s" ph="1">
        <v>254</v>
      </c>
      <c r="AR82" s="64" t="s" ph="1">
        <v>243</v>
      </c>
      <c r="AS82" s="64" t="s" ph="1">
        <v>278</v>
      </c>
      <c r="AT82" s="64" t="s" ph="1">
        <v>229</v>
      </c>
      <c r="AU82" s="64" t="s" ph="1">
        <v>243</v>
      </c>
      <c r="AV82" s="64" t="s" ph="1">
        <v>403</v>
      </c>
      <c r="AW82" s="64" t="s" ph="1">
        <v>303</v>
      </c>
      <c r="AX82" s="64" t="s" ph="1">
        <v>400</v>
      </c>
    </row>
    <row r="83" spans="34:52" ph="1">
      <c r="AJ83" s="64" t="s" ph="1">
        <v>279</v>
      </c>
      <c r="AK83" s="64" t="s" ph="1">
        <v>296</v>
      </c>
      <c r="AM83" s="64" t="s" ph="1">
        <v>280</v>
      </c>
      <c r="AN83" s="64" t="s" ph="1">
        <v>228</v>
      </c>
      <c r="AO83" s="64" t="s" ph="1">
        <v>259</v>
      </c>
      <c r="AP83" s="64" t="s" ph="1">
        <v>281</v>
      </c>
      <c r="AQ83" s="64" t="s" ph="1">
        <v>282</v>
      </c>
      <c r="AR83" s="64" t="s" ph="1">
        <v>259</v>
      </c>
      <c r="AS83" s="64" t="s" ph="1">
        <v>405</v>
      </c>
      <c r="AT83" s="64" t="s" ph="1">
        <v>254</v>
      </c>
      <c r="AU83" s="64" t="s" ph="1">
        <v>259</v>
      </c>
      <c r="AV83" s="64" t="s" ph="1">
        <v>406</v>
      </c>
      <c r="AW83" s="64" t="s" ph="1">
        <v>303</v>
      </c>
      <c r="AX83" s="64" t="s" ph="1">
        <v>407</v>
      </c>
    </row>
    <row r="84" spans="34:52" ph="1">
      <c r="AH84" s="64" ph="1">
        <v>4</v>
      </c>
      <c r="AI84" s="64" t="s" ph="1">
        <v>286</v>
      </c>
      <c r="AJ84" s="64" t="s" ph="1">
        <v>226</v>
      </c>
      <c r="AK84" s="64" t="s" ph="1">
        <v>229</v>
      </c>
      <c r="AM84" s="64" t="s" ph="1">
        <v>230</v>
      </c>
      <c r="AN84" s="64" t="s" ph="1">
        <v>223</v>
      </c>
      <c r="AO84" s="64" t="s" ph="1">
        <v>259</v>
      </c>
      <c r="AP84" s="64" t="s" ph="1">
        <v>288</v>
      </c>
      <c r="AQ84" s="64" t="s" ph="1">
        <v>222</v>
      </c>
      <c r="AR84" s="64" t="s" ph="1">
        <v>259</v>
      </c>
      <c r="AS84" s="64" t="s" ph="1">
        <v>288</v>
      </c>
      <c r="AT84" s="64" t="s" ph="1">
        <v>224</v>
      </c>
      <c r="AU84" s="64" t="s" ph="1">
        <v>259</v>
      </c>
      <c r="AY84" s="64" t="s" ph="1">
        <v>216</v>
      </c>
      <c r="AZ84" s="64" t="s" ph="1">
        <v>408</v>
      </c>
    </row>
    <row r="85" spans="34:52" ph="1">
      <c r="AJ85" s="64" t="s" ph="1">
        <v>218</v>
      </c>
      <c r="AK85" s="64" t="s" ph="1">
        <v>222</v>
      </c>
      <c r="AM85" s="64" t="s" ph="1">
        <v>409</v>
      </c>
      <c r="AN85" s="64" t="s" ph="1">
        <v>229</v>
      </c>
      <c r="AO85" s="64" t="s" ph="1">
        <v>259</v>
      </c>
      <c r="AP85" s="64" t="s" ph="1">
        <v>410</v>
      </c>
      <c r="AQ85" s="64" t="s" ph="1">
        <v>225</v>
      </c>
      <c r="AR85" s="64" t="s" ph="1">
        <v>259</v>
      </c>
      <c r="AS85" s="64" t="s" ph="1">
        <v>411</v>
      </c>
      <c r="AT85" s="64" t="s" ph="1">
        <v>225</v>
      </c>
      <c r="AU85" s="64" t="s" ph="1">
        <v>259</v>
      </c>
    </row>
    <row r="86" spans="34:52" ph="1">
      <c r="AJ86" s="64" t="s" ph="1">
        <v>412</v>
      </c>
      <c r="AK86" s="64" t="s" ph="1">
        <v>231</v>
      </c>
      <c r="AM86" s="64" t="s" ph="1">
        <v>413</v>
      </c>
      <c r="AN86" s="64" t="s" ph="1">
        <v>272</v>
      </c>
      <c r="AO86" s="64" t="s" ph="1">
        <v>259</v>
      </c>
      <c r="AP86" s="64" t="s" ph="1">
        <v>414</v>
      </c>
      <c r="AQ86" s="64" t="s" ph="1">
        <v>219</v>
      </c>
      <c r="AR86" s="64" t="s" ph="1">
        <v>259</v>
      </c>
      <c r="AS86" s="64" t="s" ph="1">
        <v>415</v>
      </c>
      <c r="AT86" s="64" t="s" ph="1">
        <v>237</v>
      </c>
      <c r="AU86" s="64" t="s" ph="1">
        <v>259</v>
      </c>
    </row>
    <row r="87" spans="34:52" ph="1">
      <c r="AJ87" s="64" t="s" ph="1">
        <v>416</v>
      </c>
      <c r="AK87" s="64" t="s" ph="1">
        <v>272</v>
      </c>
      <c r="AM87" s="64" t="s" ph="1">
        <v>403</v>
      </c>
      <c r="AN87" s="64" t="s" ph="1">
        <v>417</v>
      </c>
      <c r="AO87" s="64" t="s" ph="1">
        <v>400</v>
      </c>
    </row>
    <row r="88" spans="34:52" ph="1">
      <c r="AH88" s="64" ph="1">
        <v>5</v>
      </c>
      <c r="AI88" s="64" t="s" ph="1">
        <v>289</v>
      </c>
      <c r="AJ88" s="64" t="s" ph="1">
        <v>418</v>
      </c>
      <c r="AK88" s="64" t="s" ph="1">
        <v>272</v>
      </c>
      <c r="AM88" s="64" t="s" ph="1">
        <v>419</v>
      </c>
      <c r="AN88" s="64" t="s" ph="1">
        <v>272</v>
      </c>
      <c r="AO88" s="64" t="s" ph="1">
        <v>259</v>
      </c>
      <c r="AP88" s="64" t="s" ph="1">
        <v>420</v>
      </c>
      <c r="AQ88" s="64" t="s" ph="1">
        <v>222</v>
      </c>
      <c r="AR88" s="64" t="s" ph="1">
        <v>259</v>
      </c>
      <c r="AS88" s="64" t="s" ph="1">
        <v>421</v>
      </c>
      <c r="AT88" s="64" t="s" ph="1">
        <v>272</v>
      </c>
      <c r="AU88" s="64" t="s" ph="1">
        <v>259</v>
      </c>
      <c r="AV88" s="64" t="s" ph="1">
        <v>422</v>
      </c>
      <c r="AW88" s="64" t="s" ph="1">
        <v>227</v>
      </c>
      <c r="AX88" s="64" t="s" ph="1">
        <v>259</v>
      </c>
      <c r="AY88" s="64" t="s" ph="1">
        <v>216</v>
      </c>
      <c r="AZ88" s="64" t="s" ph="1">
        <v>423</v>
      </c>
    </row>
    <row r="89" spans="34:52" ph="1">
      <c r="AJ89" s="64" t="s" ph="1">
        <v>424</v>
      </c>
      <c r="AK89" s="64" t="s" ph="1">
        <v>225</v>
      </c>
      <c r="AM89" s="64" t="s" ph="1">
        <v>425</v>
      </c>
      <c r="AN89" s="64" t="s" ph="1">
        <v>228</v>
      </c>
      <c r="AO89" s="64" t="s" ph="1">
        <v>259</v>
      </c>
      <c r="AP89" s="64" t="s" ph="1">
        <v>426</v>
      </c>
      <c r="AQ89" s="64" t="s" ph="1">
        <v>237</v>
      </c>
      <c r="AR89" s="64" t="s" ph="1">
        <v>259</v>
      </c>
      <c r="AS89" s="64" t="s" ph="1">
        <v>427</v>
      </c>
      <c r="AT89" s="64" t="s" ph="1">
        <v>272</v>
      </c>
      <c r="AU89" s="64" t="s" ph="1">
        <v>259</v>
      </c>
      <c r="AV89" s="64" t="s" ph="1">
        <v>428</v>
      </c>
      <c r="AW89" s="64" t="s" ph="1">
        <v>254</v>
      </c>
      <c r="AX89" s="64" t="s" ph="1">
        <v>287</v>
      </c>
    </row>
    <row r="90" spans="34:52" ph="1">
      <c r="AJ90" s="64" t="s" ph="1">
        <v>429</v>
      </c>
      <c r="AK90" s="64" t="s" ph="1">
        <v>228</v>
      </c>
      <c r="AM90" s="64" t="s" ph="1">
        <v>430</v>
      </c>
      <c r="AN90" s="64" t="s" ph="1">
        <v>225</v>
      </c>
      <c r="AO90" s="64" t="s" ph="1">
        <v>259</v>
      </c>
      <c r="AP90" s="64" t="s" ph="1">
        <v>431</v>
      </c>
      <c r="AQ90" s="64" t="s" ph="1">
        <v>294</v>
      </c>
      <c r="AR90" s="64" t="s" ph="1">
        <v>259</v>
      </c>
      <c r="AS90" s="64" t="s" ph="1">
        <v>432</v>
      </c>
      <c r="AT90" s="64" t="s" ph="1">
        <v>282</v>
      </c>
      <c r="AU90" s="64" t="s" ph="1">
        <v>259</v>
      </c>
      <c r="AV90" s="64" t="s" ph="1">
        <v>433</v>
      </c>
      <c r="AW90" s="64" t="s" ph="1">
        <v>219</v>
      </c>
      <c r="AX90" s="64" t="s" ph="1">
        <v>259</v>
      </c>
    </row>
    <row r="91" spans="34:52" ph="1">
      <c r="AJ91" s="64" t="s" ph="1">
        <v>434</v>
      </c>
      <c r="AK91" s="64" t="s" ph="1">
        <v>272</v>
      </c>
      <c r="AM91" s="64" t="s" ph="1">
        <v>435</v>
      </c>
      <c r="AN91" s="64" t="s" ph="1">
        <v>239</v>
      </c>
      <c r="AO91" s="64" t="s" ph="1">
        <v>259</v>
      </c>
      <c r="AP91" s="64" t="s" ph="1">
        <v>436</v>
      </c>
      <c r="AQ91" s="64" t="s" ph="1">
        <v>219</v>
      </c>
      <c r="AS91" s="64" t="s" ph="1">
        <v>403</v>
      </c>
      <c r="AT91" s="64" t="s" ph="1">
        <v>399</v>
      </c>
      <c r="AU91" s="64" t="s" ph="1">
        <v>400</v>
      </c>
    </row>
    <row r="92" spans="34:52" ph="1">
      <c r="AH92" s="64" ph="1">
        <v>6</v>
      </c>
      <c r="AI92" s="64" t="s" ph="1">
        <v>437</v>
      </c>
      <c r="AJ92" s="64" t="s" ph="1">
        <v>438</v>
      </c>
      <c r="AK92" s="64" t="s" ph="1">
        <v>367</v>
      </c>
      <c r="AM92" s="64" t="s" ph="1">
        <v>439</v>
      </c>
      <c r="AN92" s="64" t="s" ph="1">
        <v>227</v>
      </c>
      <c r="AO92" s="64" t="s" ph="1">
        <v>259</v>
      </c>
      <c r="AP92" s="64" t="s" ph="1">
        <v>440</v>
      </c>
      <c r="AQ92" s="64" t="s" ph="1">
        <v>299</v>
      </c>
      <c r="AR92" s="64" t="s" ph="1">
        <v>259</v>
      </c>
      <c r="AS92" s="64" t="s" ph="1">
        <v>441</v>
      </c>
      <c r="AT92" s="64" t="s" ph="1">
        <v>272</v>
      </c>
      <c r="AU92" s="64" t="s" ph="1">
        <v>259</v>
      </c>
      <c r="AV92" s="64" t="s" ph="1">
        <v>442</v>
      </c>
      <c r="AW92" s="64" t="s" ph="1">
        <v>228</v>
      </c>
      <c r="AX92" s="64" t="s" ph="1">
        <v>259</v>
      </c>
      <c r="AY92" s="64" t="s" ph="1">
        <v>216</v>
      </c>
      <c r="AZ92" s="64" t="s" ph="1">
        <v>423</v>
      </c>
    </row>
    <row r="93" spans="34:52" ph="1">
      <c r="AJ93" s="64" t="s" ph="1">
        <v>443</v>
      </c>
      <c r="AK93" s="64" t="s" ph="1">
        <v>222</v>
      </c>
      <c r="AM93" s="64" t="s" ph="1">
        <v>444</v>
      </c>
      <c r="AN93" s="64" t="s" ph="1">
        <v>227</v>
      </c>
      <c r="AO93" s="64" t="s" ph="1">
        <v>259</v>
      </c>
      <c r="AP93" s="64" t="s" ph="1">
        <v>445</v>
      </c>
      <c r="AQ93" s="64" t="s" ph="1">
        <v>231</v>
      </c>
      <c r="AR93" s="64" t="s" ph="1">
        <v>259</v>
      </c>
      <c r="AS93" s="64" t="s" ph="1">
        <v>446</v>
      </c>
      <c r="AT93" s="64" t="s" ph="1">
        <v>237</v>
      </c>
      <c r="AU93" s="64" t="s" ph="1">
        <v>259</v>
      </c>
      <c r="AV93" s="64" t="s" ph="1">
        <v>447</v>
      </c>
      <c r="AW93" s="64" t="s" ph="1">
        <v>231</v>
      </c>
      <c r="AX93" s="64" t="s" ph="1">
        <v>259</v>
      </c>
    </row>
    <row r="94" spans="34:52" ph="1">
      <c r="AJ94" s="64" t="s" ph="1">
        <v>448</v>
      </c>
      <c r="AK94" s="64" t="s" ph="1">
        <v>294</v>
      </c>
      <c r="AM94" s="64" t="s" ph="1">
        <v>449</v>
      </c>
      <c r="AN94" s="64" t="s" ph="1">
        <v>231</v>
      </c>
      <c r="AO94" s="64" t="s" ph="1">
        <v>259</v>
      </c>
      <c r="AP94" s="64" t="s" ph="1">
        <v>450</v>
      </c>
      <c r="AQ94" s="64" t="s" ph="1">
        <v>239</v>
      </c>
      <c r="AR94" s="64" t="s" ph="1">
        <v>259</v>
      </c>
      <c r="AS94" s="64" t="s" ph="1">
        <v>451</v>
      </c>
      <c r="AT94" s="64" t="s" ph="1">
        <v>225</v>
      </c>
      <c r="AU94" s="64" t="s" ph="1">
        <v>259</v>
      </c>
      <c r="AV94" s="64" t="s" ph="1">
        <v>452</v>
      </c>
      <c r="AW94" s="64" t="s" ph="1">
        <v>225</v>
      </c>
      <c r="AX94" s="64" t="s" ph="1">
        <v>259</v>
      </c>
    </row>
    <row r="95" spans="34:52" ph="1">
      <c r="AJ95" s="64" t="s" ph="1">
        <v>453</v>
      </c>
      <c r="AK95" s="64" t="s" ph="1">
        <v>299</v>
      </c>
    </row>
    <row r="96" spans="34:52" ph="1">
      <c r="AH96" s="64" ph="1">
        <v>7</v>
      </c>
      <c r="AI96" s="64" t="s" ph="1">
        <v>454</v>
      </c>
      <c r="AJ96" s="64" t="s" ph="1">
        <v>453</v>
      </c>
      <c r="AK96" s="64" t="s" ph="1">
        <v>254</v>
      </c>
      <c r="AM96" s="64" t="s" ph="1">
        <v>455</v>
      </c>
      <c r="AN96" s="64" t="s" ph="1">
        <v>228</v>
      </c>
      <c r="AO96" s="64" t="s" ph="1">
        <v>259</v>
      </c>
      <c r="AP96" s="64" t="s" ph="1">
        <v>456</v>
      </c>
      <c r="AQ96" s="64" t="s" ph="1">
        <v>272</v>
      </c>
      <c r="AR96" s="64" t="s" ph="1">
        <v>287</v>
      </c>
      <c r="AS96" s="64" t="s" ph="1">
        <v>457</v>
      </c>
      <c r="AT96" s="64" t="s" ph="1">
        <v>231</v>
      </c>
      <c r="AU96" s="64" t="s" ph="1">
        <v>287</v>
      </c>
      <c r="AV96" s="64" t="s" ph="1">
        <v>458</v>
      </c>
      <c r="AW96" s="64" t="s" ph="1">
        <v>227</v>
      </c>
      <c r="AX96" s="64" t="s" ph="1">
        <v>287</v>
      </c>
      <c r="AY96" s="64" t="s" ph="1">
        <v>216</v>
      </c>
      <c r="AZ96" s="64" t="s" ph="1">
        <v>459</v>
      </c>
    </row>
    <row r="97" spans="33:52" ph="1">
      <c r="AJ97" s="64" t="s" ph="1">
        <v>460</v>
      </c>
      <c r="AK97" s="64" t="s" ph="1">
        <v>282</v>
      </c>
      <c r="AM97" s="64" t="s" ph="1">
        <v>461</v>
      </c>
      <c r="AN97" s="64" t="s" ph="1">
        <v>225</v>
      </c>
      <c r="AO97" s="64" t="s" ph="1">
        <v>259</v>
      </c>
      <c r="AP97" s="64" t="s" ph="1">
        <v>462</v>
      </c>
      <c r="AQ97" s="64" t="s" ph="1">
        <v>219</v>
      </c>
      <c r="AR97" s="64" t="s" ph="1">
        <v>287</v>
      </c>
      <c r="AS97" s="64" t="s" ph="1">
        <v>463</v>
      </c>
      <c r="AT97" s="64" t="s" ph="1">
        <v>222</v>
      </c>
      <c r="AU97" s="64" t="s" ph="1">
        <v>287</v>
      </c>
      <c r="AV97" s="64" t="s" ph="1">
        <v>464</v>
      </c>
      <c r="AW97" s="64" t="s" ph="1">
        <v>228</v>
      </c>
      <c r="AX97" s="64" t="s" ph="1">
        <v>287</v>
      </c>
    </row>
    <row r="98" spans="33:52" ph="1">
      <c r="AJ98" s="64" t="s" ph="1">
        <v>465</v>
      </c>
      <c r="AK98" s="64" t="s" ph="1">
        <v>231</v>
      </c>
      <c r="AM98" s="64" t="s" ph="1">
        <v>466</v>
      </c>
      <c r="AN98" s="64" t="s" ph="1">
        <v>239</v>
      </c>
      <c r="AO98" s="64" t="s" ph="1">
        <v>259</v>
      </c>
      <c r="AP98" s="64" t="s" ph="1">
        <v>467</v>
      </c>
      <c r="AQ98" s="64" t="s" ph="1">
        <v>219</v>
      </c>
      <c r="AR98" s="64" t="s" ph="1">
        <v>287</v>
      </c>
      <c r="AS98" s="64" t="s" ph="1">
        <v>468</v>
      </c>
      <c r="AT98" s="64" t="s" ph="1">
        <v>299</v>
      </c>
      <c r="AU98" s="64" t="s" ph="1">
        <v>287</v>
      </c>
      <c r="AV98" s="64" t="s" ph="1">
        <v>469</v>
      </c>
      <c r="AW98" s="64" t="s" ph="1">
        <v>222</v>
      </c>
      <c r="AX98" s="64" t="s" ph="1">
        <v>287</v>
      </c>
    </row>
    <row r="99" spans="33:52" ph="1">
      <c r="AH99" s="64" ph="1">
        <v>8</v>
      </c>
      <c r="AI99" s="64" t="s" ph="1">
        <v>470</v>
      </c>
      <c r="AJ99" s="64" t="s" ph="1">
        <v>471</v>
      </c>
      <c r="AK99" s="64" t="s" ph="1">
        <v>367</v>
      </c>
      <c r="AM99" s="64" t="s" ph="1">
        <v>472</v>
      </c>
      <c r="AN99" s="64" t="s" ph="1">
        <v>254</v>
      </c>
      <c r="AO99" s="64" t="s" ph="1">
        <v>259</v>
      </c>
      <c r="AP99" s="64" t="s" ph="1">
        <v>473</v>
      </c>
      <c r="AQ99" s="64" t="s" ph="1">
        <v>224</v>
      </c>
      <c r="AR99" s="64" t="s" ph="1">
        <v>287</v>
      </c>
      <c r="AS99" s="64" t="s" ph="1">
        <v>474</v>
      </c>
      <c r="AT99" s="64" t="s" ph="1">
        <v>239</v>
      </c>
      <c r="AU99" s="64" t="s" ph="1">
        <v>287</v>
      </c>
      <c r="AV99" s="64" t="s" ph="1">
        <v>475</v>
      </c>
      <c r="AW99" s="64" t="s" ph="1">
        <v>224</v>
      </c>
      <c r="AX99" s="64" t="s" ph="1">
        <v>287</v>
      </c>
      <c r="AY99" s="64" t="s" ph="1">
        <v>216</v>
      </c>
      <c r="AZ99" s="64" t="s" ph="1">
        <v>476</v>
      </c>
    </row>
    <row r="100" spans="33:52" ph="1">
      <c r="AJ100" s="64" t="s" ph="1">
        <v>477</v>
      </c>
      <c r="AK100" s="64" t="s" ph="1">
        <v>222</v>
      </c>
      <c r="AM100" s="64" t="s" ph="1">
        <v>478</v>
      </c>
      <c r="AN100" s="64" t="s" ph="1">
        <v>294</v>
      </c>
      <c r="AO100" s="64" t="s" ph="1">
        <v>259</v>
      </c>
      <c r="AP100" s="64" t="s" ph="1">
        <v>479</v>
      </c>
      <c r="AQ100" s="64" t="s" ph="1">
        <v>300</v>
      </c>
      <c r="AR100" s="64" t="s" ph="1">
        <v>287</v>
      </c>
      <c r="AS100" s="64" t="s" ph="1">
        <v>480</v>
      </c>
      <c r="AT100" s="64" t="s" ph="1">
        <v>367</v>
      </c>
      <c r="AU100" s="64" t="s" ph="1">
        <v>259</v>
      </c>
      <c r="AV100" s="64" t="s" ph="1">
        <v>481</v>
      </c>
      <c r="AW100" s="64" t="s" ph="1">
        <v>367</v>
      </c>
      <c r="AX100" s="64" t="s" ph="1">
        <v>259</v>
      </c>
    </row>
    <row r="101" spans="33:52" ph="1">
      <c r="AJ101" s="64" t="s" ph="1">
        <v>482</v>
      </c>
      <c r="AK101" s="64" t="s" ph="1">
        <v>367</v>
      </c>
      <c r="AM101" s="64" t="s" ph="1">
        <v>483</v>
      </c>
      <c r="AN101" s="64" t="s" ph="1">
        <v>225</v>
      </c>
      <c r="AO101" s="64" t="s" ph="1">
        <v>259</v>
      </c>
      <c r="AP101" s="64" t="s" ph="1">
        <v>484</v>
      </c>
      <c r="AQ101" s="64" t="s" ph="1">
        <v>237</v>
      </c>
      <c r="AR101" s="64" t="s" ph="1">
        <v>287</v>
      </c>
      <c r="AS101" s="64" t="s" ph="1">
        <v>485</v>
      </c>
      <c r="AT101" s="64" t="s" ph="1">
        <v>294</v>
      </c>
      <c r="AU101" s="64" t="s" ph="1">
        <v>287</v>
      </c>
      <c r="AV101" s="64" t="s" ph="1">
        <v>486</v>
      </c>
      <c r="AW101" s="64" t="s" ph="1">
        <v>225</v>
      </c>
      <c r="AX101" s="64" t="s" ph="1">
        <v>259</v>
      </c>
    </row>
    <row r="102" spans="33:52" ph="1">
      <c r="AJ102" s="64" t="s" ph="1">
        <v>487</v>
      </c>
      <c r="AK102" s="64" t="s" ph="1">
        <v>222</v>
      </c>
      <c r="AM102" s="64" t="s" ph="1">
        <v>488</v>
      </c>
      <c r="AN102" s="64" t="s" ph="1">
        <v>231</v>
      </c>
      <c r="AO102" s="64" t="s" ph="1">
        <v>259</v>
      </c>
      <c r="AP102" s="64" t="s" ph="1">
        <v>489</v>
      </c>
      <c r="AQ102" s="64" t="s" ph="1">
        <v>237</v>
      </c>
      <c r="AR102" s="64" t="s" ph="1">
        <v>259</v>
      </c>
      <c r="AS102" s="64" t="s" ph="1">
        <v>490</v>
      </c>
      <c r="AT102" s="64" t="s" ph="1">
        <v>254</v>
      </c>
      <c r="AU102" s="64" t="s" ph="1">
        <v>259</v>
      </c>
      <c r="AV102" s="64" t="s" ph="1">
        <v>491</v>
      </c>
      <c r="AW102" s="64" t="s" ph="1">
        <v>272</v>
      </c>
      <c r="AX102" s="64" t="s" ph="1">
        <v>259</v>
      </c>
    </row>
    <row r="103" spans="33:52" ph="1">
      <c r="AH103" s="64" ph="1">
        <v>9</v>
      </c>
      <c r="AI103" s="64" t="s" ph="1">
        <v>492</v>
      </c>
      <c r="AJ103" s="64" t="s" ph="1">
        <v>493</v>
      </c>
      <c r="AK103" s="64" t="s" ph="1">
        <v>367</v>
      </c>
      <c r="AM103" s="64" t="s" ph="1">
        <v>494</v>
      </c>
      <c r="AN103" s="64" t="s" ph="1">
        <v>282</v>
      </c>
      <c r="AO103" s="64" t="s" ph="1">
        <v>259</v>
      </c>
      <c r="AP103" s="64" t="s" ph="1">
        <v>336</v>
      </c>
      <c r="AQ103" s="64" t="s" ph="1">
        <v>225</v>
      </c>
      <c r="AR103" s="64" t="s" ph="1">
        <v>259</v>
      </c>
      <c r="AS103" s="64" t="s" ph="1">
        <v>570</v>
      </c>
      <c r="AT103" s="64" t="s" ph="1">
        <v>367</v>
      </c>
      <c r="AU103" s="64" t="s" ph="1">
        <v>259</v>
      </c>
      <c r="AY103" s="64" t="s" ph="1">
        <v>216</v>
      </c>
      <c r="AZ103" s="64" t="s" ph="1">
        <v>224</v>
      </c>
    </row>
    <row r="104" spans="33:52" ph="1">
      <c r="AZ104" s="64" t="s" ph="1">
        <v>495</v>
      </c>
    </row>
    <row r="105" spans="33:52" ph="1">
      <c r="AG105" s="64" t="s" ph="1">
        <v>295</v>
      </c>
      <c r="AI105" s="64" t="s" ph="1">
        <v>209</v>
      </c>
      <c r="AJ105" s="64" t="s" ph="1">
        <v>210</v>
      </c>
      <c r="AK105" s="64" t="s" ph="1">
        <v>211</v>
      </c>
      <c r="AM105" s="64" t="s" ph="1">
        <v>210</v>
      </c>
      <c r="AN105" s="64" t="s" ph="1">
        <v>211</v>
      </c>
      <c r="AO105" s="64" t="s" ph="1">
        <v>212</v>
      </c>
      <c r="AP105" s="64" t="s" ph="1">
        <v>210</v>
      </c>
      <c r="AQ105" s="64" t="s" ph="1">
        <v>211</v>
      </c>
      <c r="AR105" s="64" t="s" ph="1">
        <v>212</v>
      </c>
      <c r="AS105" s="64" t="s" ph="1">
        <v>210</v>
      </c>
      <c r="AT105" s="64" t="s" ph="1">
        <v>211</v>
      </c>
      <c r="AU105" s="64" t="s" ph="1">
        <v>212</v>
      </c>
      <c r="AV105" s="64" t="s" ph="1">
        <v>210</v>
      </c>
      <c r="AW105" s="64" t="s" ph="1">
        <v>211</v>
      </c>
      <c r="AX105" s="64" t="s" ph="1">
        <v>212</v>
      </c>
      <c r="AZ105" s="64" t="s" ph="1">
        <v>213</v>
      </c>
    </row>
    <row r="106" spans="33:52" ph="1">
      <c r="AH106" s="64" ph="1">
        <v>1</v>
      </c>
      <c r="AI106" s="64" t="s" ph="1">
        <v>496</v>
      </c>
      <c r="AJ106" s="64" t="s" ph="1">
        <v>570</v>
      </c>
      <c r="AK106" s="64" t="s" ph="1">
        <v>231</v>
      </c>
      <c r="AZ106" s="64" t="s" ph="1">
        <v>231</v>
      </c>
    </row>
    <row r="107" spans="33:52" ph="1">
      <c r="AH107" s="64" ph="1">
        <v>2</v>
      </c>
      <c r="AI107" s="64" t="s" ph="1">
        <v>497</v>
      </c>
      <c r="AJ107" s="64" t="s" ph="1">
        <v>498</v>
      </c>
      <c r="AK107" s="64" t="s" ph="1">
        <v>228</v>
      </c>
      <c r="AM107" s="64" t="s" ph="1">
        <v>334</v>
      </c>
      <c r="AN107" s="64" t="s" ph="1">
        <v>499</v>
      </c>
      <c r="AO107" s="64" t="s" ph="1">
        <v>500</v>
      </c>
      <c r="AP107" s="64" t="s" ph="1">
        <v>336</v>
      </c>
      <c r="AQ107" s="64" t="s" ph="1">
        <v>304</v>
      </c>
      <c r="AR107" s="64" t="s" ph="1">
        <v>500</v>
      </c>
      <c r="AS107" s="64" t="s" ph="1">
        <v>570</v>
      </c>
      <c r="AT107" s="64" t="s" ph="1">
        <v>499</v>
      </c>
      <c r="AU107" s="64" t="s" ph="1">
        <v>500</v>
      </c>
      <c r="AY107" s="64" t="s" ph="1">
        <v>216</v>
      </c>
      <c r="AZ107" s="64" t="s" ph="1">
        <v>580</v>
      </c>
    </row>
    <row r="108" spans="33:52" ph="1">
      <c r="AH108" s="64" ph="1">
        <v>3</v>
      </c>
      <c r="AI108" s="64" t="s" ph="1">
        <v>501</v>
      </c>
      <c r="AY108" s="64" t="s" ph="1">
        <v>216</v>
      </c>
      <c r="AZ108" s="64" t="s" ph="1">
        <v>367</v>
      </c>
    </row>
    <row r="109" spans="33:52" ph="1">
      <c r="AH109" s="64" ph="1">
        <v>4</v>
      </c>
      <c r="AI109" s="64" t="s" ph="1">
        <v>502</v>
      </c>
      <c r="AY109" s="64" t="s" ph="1">
        <v>216</v>
      </c>
      <c r="AZ109" s="64" t="s" ph="1">
        <v>367</v>
      </c>
    </row>
    <row r="110" spans="33:52" ph="1">
      <c r="AH110" s="64" ph="1">
        <v>5</v>
      </c>
      <c r="AI110" s="64" t="s" ph="1">
        <v>503</v>
      </c>
      <c r="AY110" s="64" t="s" ph="1">
        <v>216</v>
      </c>
      <c r="AZ110" s="64" t="s" ph="1">
        <v>367</v>
      </c>
    </row>
    <row r="111" spans="33:52" ph="1">
      <c r="AH111" s="64" ph="1">
        <v>6</v>
      </c>
      <c r="AI111" s="64" t="s" ph="1">
        <v>581</v>
      </c>
      <c r="AJ111" s="64" t="s" ph="1">
        <v>486</v>
      </c>
      <c r="AK111" s="64" t="s" ph="1">
        <v>225</v>
      </c>
      <c r="AM111" s="64" t="s" ph="1">
        <v>487</v>
      </c>
      <c r="AN111" s="64" t="s" ph="1">
        <v>219</v>
      </c>
      <c r="AO111" s="64" t="s" ph="1">
        <v>500</v>
      </c>
      <c r="AP111" s="64" t="s" ph="1">
        <v>488</v>
      </c>
      <c r="AQ111" s="64" t="s" ph="1">
        <v>228</v>
      </c>
      <c r="AR111" s="64" t="s" ph="1">
        <v>500</v>
      </c>
      <c r="AS111" s="64" t="s" ph="1">
        <v>489</v>
      </c>
      <c r="AT111" s="64" t="s" ph="1">
        <v>237</v>
      </c>
      <c r="AU111" s="64" t="s" ph="1">
        <v>500</v>
      </c>
      <c r="AV111" s="64" t="s" ph="1">
        <v>490</v>
      </c>
      <c r="AW111" s="64" t="s" ph="1">
        <v>227</v>
      </c>
      <c r="AX111" s="64" t="s" ph="1">
        <v>500</v>
      </c>
      <c r="AY111" s="64" t="s" ph="1">
        <v>216</v>
      </c>
      <c r="AZ111" s="64" t="s" ph="1">
        <v>504</v>
      </c>
    </row>
    <row r="112" spans="33:52" ph="1">
      <c r="AJ112" s="64" t="s" ph="1">
        <v>491</v>
      </c>
      <c r="AK112" s="64" t="s" ph="1">
        <v>272</v>
      </c>
      <c r="AM112" s="64" t="s" ph="1">
        <v>493</v>
      </c>
      <c r="AN112" s="64" t="s" ph="1">
        <v>296</v>
      </c>
      <c r="AO112" s="64" t="s" ph="1">
        <v>500</v>
      </c>
      <c r="AP112" s="64" t="s" ph="1">
        <v>494</v>
      </c>
      <c r="AQ112" s="64" t="s" ph="1">
        <v>505</v>
      </c>
      <c r="AR112" s="64" t="s" ph="1">
        <v>500</v>
      </c>
      <c r="AS112" s="64" t="s" ph="1">
        <v>506</v>
      </c>
      <c r="AT112" s="64" t="s" ph="1">
        <v>248</v>
      </c>
      <c r="AU112" s="64" t="s" ph="1">
        <v>500</v>
      </c>
      <c r="AV112" s="64" t="s" ph="1">
        <v>507</v>
      </c>
      <c r="AW112" s="64" t="s" ph="1">
        <v>294</v>
      </c>
      <c r="AX112" s="64" t="s" ph="1">
        <v>500</v>
      </c>
    </row>
    <row r="113" spans="33:52" ph="1">
      <c r="AH113" s="64" ph="1">
        <v>7</v>
      </c>
      <c r="AI113" s="64" t="s" ph="1">
        <v>508</v>
      </c>
      <c r="AJ113" s="64" t="s" ph="1">
        <v>589</v>
      </c>
      <c r="AK113" s="64" t="s" ph="1">
        <v>594</v>
      </c>
      <c r="AY113" s="64" t="s" ph="1">
        <v>216</v>
      </c>
      <c r="AZ113" s="64" t="s" ph="1">
        <v>594</v>
      </c>
    </row>
    <row r="114" spans="33:52" ph="1">
      <c r="AH114" s="64" ph="1">
        <v>8</v>
      </c>
      <c r="AI114" s="64" t="s" ph="1">
        <v>509</v>
      </c>
      <c r="AJ114" s="64" t="s" ph="1">
        <v>589</v>
      </c>
      <c r="AK114" s="64" t="s" ph="1">
        <v>595</v>
      </c>
      <c r="AY114" s="64" t="s" ph="1">
        <v>216</v>
      </c>
      <c r="AZ114" s="64" t="s" ph="1">
        <v>595</v>
      </c>
    </row>
    <row r="115" spans="33:52" ph="1">
      <c r="AH115" s="64" ph="1">
        <v>9</v>
      </c>
      <c r="AI115" s="64" t="s" ph="1">
        <v>510</v>
      </c>
      <c r="AJ115" s="64" t="s" ph="1">
        <v>589</v>
      </c>
      <c r="AK115" s="64" t="s" ph="1">
        <v>595</v>
      </c>
      <c r="AY115" s="64" t="s" ph="1">
        <v>216</v>
      </c>
      <c r="AZ115" s="64" t="s" ph="1">
        <v>595</v>
      </c>
    </row>
    <row r="116" spans="33:52" ph="1">
      <c r="AH116" s="64" ph="1">
        <v>10</v>
      </c>
      <c r="AI116" s="64" t="s" ph="1">
        <v>511</v>
      </c>
      <c r="AJ116" s="64" t="s" ph="1">
        <v>589</v>
      </c>
      <c r="AK116" s="64" t="s" ph="1">
        <v>595</v>
      </c>
      <c r="AY116" s="64" t="s" ph="1">
        <v>216</v>
      </c>
      <c r="AZ116" s="64" t="s" ph="1">
        <v>595</v>
      </c>
    </row>
    <row r="117" spans="33:52" ph="1">
      <c r="AH117" s="64" ph="1">
        <v>11</v>
      </c>
      <c r="AI117" s="64" t="s" ph="1">
        <v>512</v>
      </c>
      <c r="AJ117" s="64" t="s" ph="1">
        <v>589</v>
      </c>
      <c r="AK117" s="64" t="s" ph="1">
        <v>595</v>
      </c>
      <c r="AY117" s="64" t="s" ph="1">
        <v>216</v>
      </c>
      <c r="AZ117" s="64" t="s" ph="1">
        <v>595</v>
      </c>
    </row>
    <row r="118" spans="33:52" ph="1">
      <c r="AZ118" s="64" t="s" ph="1">
        <v>596</v>
      </c>
    </row>
    <row r="119" spans="33:52" ph="1">
      <c r="AI119" s="64" t="s" ph="1">
        <v>209</v>
      </c>
      <c r="AJ119" s="64" t="s" ph="1">
        <v>210</v>
      </c>
      <c r="AK119" s="64" t="s" ph="1">
        <v>211</v>
      </c>
      <c r="AM119" s="64" t="s" ph="1">
        <v>210</v>
      </c>
      <c r="AN119" s="64" t="s" ph="1">
        <v>211</v>
      </c>
      <c r="AO119" s="64" t="s" ph="1">
        <v>212</v>
      </c>
      <c r="AP119" s="64" t="s" ph="1">
        <v>210</v>
      </c>
      <c r="AQ119" s="64" t="s" ph="1">
        <v>211</v>
      </c>
      <c r="AR119" s="64" t="s" ph="1">
        <v>212</v>
      </c>
      <c r="AS119" s="64" t="s" ph="1">
        <v>210</v>
      </c>
      <c r="AT119" s="64" t="s" ph="1">
        <v>211</v>
      </c>
      <c r="AU119" s="64" t="s" ph="1">
        <v>212</v>
      </c>
      <c r="AV119" s="64" t="s" ph="1">
        <v>210</v>
      </c>
      <c r="AW119" s="64" t="s" ph="1">
        <v>211</v>
      </c>
      <c r="AX119" s="64" t="s" ph="1">
        <v>212</v>
      </c>
      <c r="AY119" s="64" t="s" ph="1">
        <v>211</v>
      </c>
      <c r="AZ119" s="64" t="s" ph="1">
        <v>213</v>
      </c>
    </row>
    <row r="120" spans="33:52" ph="1">
      <c r="AG120" s="64" t="s" ph="1">
        <v>353</v>
      </c>
      <c r="AH120" s="64" ph="1">
        <v>1</v>
      </c>
      <c r="AI120" s="64" t="s" ph="1">
        <v>513</v>
      </c>
      <c r="AJ120" s="64" t="s" ph="1">
        <v>587</v>
      </c>
      <c r="AK120" s="64" t="s" ph="1">
        <v>367</v>
      </c>
      <c r="AY120" s="64" t="s" ph="1">
        <v>216</v>
      </c>
      <c r="AZ120" s="64" t="s" ph="1">
        <v>367</v>
      </c>
    </row>
    <row r="121" spans="33:52" ph="1">
      <c r="AH121" s="64" ph="1">
        <v>2</v>
      </c>
      <c r="AI121" s="64" t="s" ph="1">
        <v>514</v>
      </c>
      <c r="AY121" s="64" t="s" ph="1">
        <v>216</v>
      </c>
      <c r="AZ121" s="64" t="s" ph="1">
        <v>367</v>
      </c>
    </row>
    <row r="122" spans="33:52" ph="1">
      <c r="AH122" s="64" ph="1">
        <v>3</v>
      </c>
      <c r="AI122" s="64" t="s" ph="1">
        <v>515</v>
      </c>
      <c r="AJ122" s="64" t="s" ph="1">
        <v>570</v>
      </c>
      <c r="AK122" s="64" t="s" ph="1">
        <v>582</v>
      </c>
      <c r="AM122" s="64" t="s" ph="1">
        <v>597</v>
      </c>
      <c r="AN122" s="64" t="s" ph="1">
        <v>590</v>
      </c>
      <c r="AO122" s="64" t="s" ph="1">
        <v>91</v>
      </c>
      <c r="AY122" s="64" t="s" ph="1">
        <v>216</v>
      </c>
      <c r="AZ122" s="64" t="s" ph="1">
        <v>579</v>
      </c>
    </row>
    <row r="123" spans="33:52" ph="1">
      <c r="AY123" s="64" t="s" ph="1">
        <v>216</v>
      </c>
      <c r="AZ123" s="64" t="s" ph="1">
        <v>579</v>
      </c>
    </row>
    <row r="124" spans="33:52" ph="1">
      <c r="AG124" s="64" t="s" ph="1">
        <v>356</v>
      </c>
      <c r="AH124" s="64" ph="1">
        <v>4</v>
      </c>
      <c r="AI124" s="64" t="s" ph="1">
        <v>516</v>
      </c>
      <c r="AJ124" s="64" t="s" ph="1">
        <v>517</v>
      </c>
      <c r="AK124" s="64" t="s" ph="1">
        <v>518</v>
      </c>
      <c r="AY124" s="64" t="s" ph="1">
        <v>216</v>
      </c>
      <c r="AZ124" s="64" t="s" ph="1">
        <v>518</v>
      </c>
    </row>
    <row r="125" spans="33:52" ph="1">
      <c r="AH125" s="64" ph="1">
        <v>5</v>
      </c>
      <c r="AI125" s="64" t="s" ph="1">
        <v>519</v>
      </c>
      <c r="AJ125" s="64" t="s" ph="1">
        <v>517</v>
      </c>
      <c r="AK125" s="64" t="s" ph="1">
        <v>518</v>
      </c>
      <c r="AY125" s="64" t="s" ph="1">
        <v>216</v>
      </c>
      <c r="AZ125" s="64" t="s" ph="1">
        <v>518</v>
      </c>
    </row>
    <row r="126" spans="33:52" ph="1">
      <c r="AH126" s="64" ph="1">
        <v>6</v>
      </c>
      <c r="AI126" s="64" t="s" ph="1">
        <v>520</v>
      </c>
      <c r="AJ126" s="64" t="s" ph="1">
        <v>589</v>
      </c>
      <c r="AK126" s="64" t="s" ph="1">
        <v>598</v>
      </c>
      <c r="AY126" s="64" t="s" ph="1">
        <v>216</v>
      </c>
      <c r="AZ126" s="64" t="s" ph="1">
        <v>598</v>
      </c>
    </row>
    <row r="127" spans="33:52" ph="1">
      <c r="AH127" s="64" ph="1">
        <v>7</v>
      </c>
      <c r="AI127" s="64" t="s" ph="1">
        <v>521</v>
      </c>
      <c r="AJ127" s="64" t="s" ph="1">
        <v>589</v>
      </c>
      <c r="AK127" s="64" t="s" ph="1">
        <v>599</v>
      </c>
      <c r="AY127" s="64" t="s" ph="1">
        <v>216</v>
      </c>
      <c r="AZ127" s="64" t="s" ph="1">
        <v>599</v>
      </c>
    </row>
    <row r="128" spans="33:52" ph="1">
      <c r="AH128" s="64" ph="1">
        <v>8</v>
      </c>
      <c r="AI128" s="64" t="s" ph="1">
        <v>522</v>
      </c>
      <c r="AY128" s="64" t="s" ph="1">
        <v>216</v>
      </c>
      <c r="AZ128" s="64" t="s" ph="1">
        <v>367</v>
      </c>
    </row>
    <row r="129" spans="33:52" ph="1">
      <c r="AH129" s="64" ph="1">
        <v>9</v>
      </c>
      <c r="AI129" s="64" t="s" ph="1">
        <v>523</v>
      </c>
      <c r="AY129" s="64" t="s" ph="1">
        <v>216</v>
      </c>
      <c r="AZ129" s="64" t="s" ph="1">
        <v>367</v>
      </c>
    </row>
    <row r="130" spans="33:52" ph="1">
      <c r="AH130" s="64" ph="1">
        <v>10</v>
      </c>
      <c r="AI130" s="64" t="s" ph="1">
        <v>524</v>
      </c>
      <c r="AY130" s="64" t="s" ph="1">
        <v>216</v>
      </c>
      <c r="AZ130" s="64" t="s" ph="1">
        <v>367</v>
      </c>
    </row>
    <row r="131" spans="33:52" ph="1">
      <c r="AH131" s="64" ph="1">
        <v>11</v>
      </c>
      <c r="AI131" s="64" t="s" ph="1">
        <v>525</v>
      </c>
      <c r="AJ131" s="64" t="s" ph="1">
        <v>583</v>
      </c>
      <c r="AK131" s="64" t="s" ph="1">
        <v>579</v>
      </c>
      <c r="AY131" s="64" t="s" ph="1">
        <v>216</v>
      </c>
      <c r="AZ131" s="64" t="s" ph="1">
        <v>579</v>
      </c>
    </row>
    <row r="132" spans="33:52" ph="1">
      <c r="AH132" s="64" ph="1">
        <v>12</v>
      </c>
      <c r="AI132" s="64" t="s" ph="1">
        <v>526</v>
      </c>
      <c r="AJ132" s="64" t="s" ph="1">
        <v>583</v>
      </c>
      <c r="AK132" s="64" t="s" ph="1">
        <v>518</v>
      </c>
      <c r="AY132" s="64" t="s" ph="1">
        <v>216</v>
      </c>
      <c r="AZ132" s="64" t="s" ph="1">
        <v>518</v>
      </c>
    </row>
    <row r="133" spans="33:52" ph="1">
      <c r="AH133" s="64" ph="1">
        <v>13</v>
      </c>
      <c r="AI133" s="64" t="s" ph="1">
        <v>527</v>
      </c>
      <c r="AJ133" s="64" t="s" ph="1">
        <v>583</v>
      </c>
      <c r="AK133" s="64" t="s" ph="1">
        <v>584</v>
      </c>
      <c r="AY133" s="64" t="s" ph="1">
        <v>216</v>
      </c>
      <c r="AZ133" s="64" t="s" ph="1">
        <v>584</v>
      </c>
    </row>
    <row r="134" spans="33:52" ph="1">
      <c r="AH134" s="64" ph="1">
        <v>14</v>
      </c>
      <c r="AI134" s="64" t="s" ph="1">
        <v>528</v>
      </c>
      <c r="AJ134" s="64" t="s" ph="1">
        <v>583</v>
      </c>
      <c r="AK134" s="64" t="s" ph="1">
        <v>585</v>
      </c>
      <c r="AY134" s="64" t="s" ph="1">
        <v>216</v>
      </c>
      <c r="AZ134" s="64" t="s" ph="1">
        <v>585</v>
      </c>
    </row>
    <row r="135" spans="33:52" ph="1">
      <c r="AH135" s="64" ph="1">
        <v>15</v>
      </c>
      <c r="AI135" s="64" t="s" ph="1">
        <v>529</v>
      </c>
      <c r="AJ135" s="64" t="s" ph="1">
        <v>583</v>
      </c>
      <c r="AK135" s="64" t="s" ph="1">
        <v>586</v>
      </c>
      <c r="AY135" s="64" t="s" ph="1">
        <v>216</v>
      </c>
      <c r="AZ135" s="64" t="s" ph="1">
        <v>586</v>
      </c>
    </row>
    <row r="136" spans="33:52" ph="1">
      <c r="AZ136" s="64" t="s" ph="1">
        <v>600</v>
      </c>
    </row>
    <row r="137" spans="33:52" ph="1">
      <c r="AG137" s="64" t="s" ph="1">
        <v>290</v>
      </c>
      <c r="AI137" s="64" t="s" ph="1">
        <v>209</v>
      </c>
      <c r="AJ137" s="64" t="s" ph="1">
        <v>210</v>
      </c>
      <c r="AK137" s="64" t="s" ph="1">
        <v>211</v>
      </c>
      <c r="AM137" s="64" t="s" ph="1">
        <v>210</v>
      </c>
      <c r="AN137" s="64" t="s" ph="1">
        <v>211</v>
      </c>
      <c r="AO137" s="64" t="s" ph="1">
        <v>212</v>
      </c>
      <c r="AP137" s="64" t="s" ph="1">
        <v>210</v>
      </c>
      <c r="AQ137" s="64" t="s" ph="1">
        <v>211</v>
      </c>
      <c r="AR137" s="64" t="s" ph="1">
        <v>212</v>
      </c>
      <c r="AS137" s="64" t="s" ph="1">
        <v>210</v>
      </c>
      <c r="AT137" s="64" t="s" ph="1">
        <v>211</v>
      </c>
      <c r="AU137" s="64" t="s" ph="1">
        <v>212</v>
      </c>
      <c r="AV137" s="64" t="s" ph="1">
        <v>210</v>
      </c>
      <c r="AW137" s="64" t="s" ph="1">
        <v>211</v>
      </c>
      <c r="AX137" s="64" t="s" ph="1">
        <v>212</v>
      </c>
      <c r="AY137" s="64" t="s" ph="1">
        <v>211</v>
      </c>
      <c r="AZ137" s="64" t="s" ph="1">
        <v>213</v>
      </c>
    </row>
    <row r="138" spans="33:52" ph="1">
      <c r="AH138" s="64" ph="1">
        <v>1</v>
      </c>
      <c r="AI138" s="64" t="s" ph="1">
        <v>530</v>
      </c>
      <c r="AJ138" s="64" t="s" ph="1">
        <v>531</v>
      </c>
      <c r="AK138" s="64" t="s" ph="1">
        <v>532</v>
      </c>
      <c r="AY138" s="64" t="s" ph="1">
        <v>216</v>
      </c>
      <c r="AZ138" s="64" t="s" ph="1">
        <v>532</v>
      </c>
    </row>
    <row r="139" spans="33:52" ph="1">
      <c r="AH139" s="64" ph="1">
        <v>2</v>
      </c>
      <c r="AI139" s="64" t="s" ph="1">
        <v>533</v>
      </c>
      <c r="AJ139" s="64" t="s" ph="1">
        <v>589</v>
      </c>
      <c r="AK139" s="64" t="s" ph="1">
        <v>601</v>
      </c>
      <c r="AY139" s="64" t="s" ph="1">
        <v>216</v>
      </c>
      <c r="AZ139" s="64" t="s" ph="1">
        <v>601</v>
      </c>
    </row>
    <row r="140" spans="33:52" ph="1">
      <c r="AH140" s="64" ph="1">
        <v>3</v>
      </c>
      <c r="AI140" s="64" t="s" ph="1">
        <v>534</v>
      </c>
      <c r="AJ140" s="64" t="s" ph="1">
        <v>487</v>
      </c>
      <c r="AK140" s="64" t="s" ph="1">
        <v>299</v>
      </c>
      <c r="AM140" s="64" t="s" ph="1">
        <v>488</v>
      </c>
      <c r="AN140" s="64" t="s" ph="1">
        <v>219</v>
      </c>
      <c r="AO140" s="64" t="s" ph="1">
        <v>535</v>
      </c>
      <c r="AP140" s="64" t="s" ph="1">
        <v>489</v>
      </c>
      <c r="AQ140" s="64" t="s" ph="1">
        <v>236</v>
      </c>
      <c r="AR140" s="64" t="s" ph="1">
        <v>535</v>
      </c>
      <c r="AS140" s="64" t="s" ph="1">
        <v>490</v>
      </c>
      <c r="AT140" s="64" t="s" ph="1">
        <v>229</v>
      </c>
      <c r="AU140" s="64" t="s" ph="1">
        <v>535</v>
      </c>
      <c r="AV140" s="64" t="s" ph="1">
        <v>491</v>
      </c>
      <c r="AW140" s="64" t="s" ph="1">
        <v>222</v>
      </c>
      <c r="AX140" s="64" t="s" ph="1">
        <v>535</v>
      </c>
      <c r="AY140" s="64" t="s" ph="1">
        <v>216</v>
      </c>
      <c r="AZ140" s="64" t="s" ph="1">
        <v>291</v>
      </c>
    </row>
    <row r="141" spans="33:52" ph="1">
      <c r="AJ141" s="64" t="s" ph="1">
        <v>493</v>
      </c>
      <c r="AK141" s="64" t="s" ph="1">
        <v>222</v>
      </c>
      <c r="AM141" s="64" t="s" ph="1">
        <v>494</v>
      </c>
      <c r="AN141" s="64" t="s" ph="1">
        <v>225</v>
      </c>
      <c r="AO141" s="64" t="s" ph="1">
        <v>535</v>
      </c>
      <c r="AP141" s="64" t="s" ph="1">
        <v>506</v>
      </c>
      <c r="AQ141" s="64" t="s" ph="1">
        <v>294</v>
      </c>
      <c r="AR141" s="64" t="s" ph="1">
        <v>535</v>
      </c>
      <c r="AS141" s="64" t="s" ph="1">
        <v>498</v>
      </c>
      <c r="AT141" s="64" t="s" ph="1">
        <v>222</v>
      </c>
      <c r="AU141" s="64" t="s" ph="1">
        <v>535</v>
      </c>
      <c r="AV141" s="64" t="s" ph="1">
        <v>334</v>
      </c>
      <c r="AW141" s="64" t="s" ph="1">
        <v>228</v>
      </c>
      <c r="AX141" s="64" t="s" ph="1">
        <v>535</v>
      </c>
    </row>
    <row r="142" spans="33:52" ph="1">
      <c r="AJ142" s="64" t="s" ph="1">
        <v>536</v>
      </c>
      <c r="AK142" s="64" t="s" ph="1">
        <v>239</v>
      </c>
    </row>
    <row r="143" spans="33:52" ph="1">
      <c r="AH143" s="64" ph="1">
        <v>4</v>
      </c>
      <c r="AI143" s="64" t="s" ph="1">
        <v>537</v>
      </c>
      <c r="AJ143" s="64" t="s" ph="1">
        <v>517</v>
      </c>
      <c r="AK143" s="64" t="s" ph="1">
        <v>538</v>
      </c>
      <c r="AY143" s="64" t="s" ph="1">
        <v>216</v>
      </c>
      <c r="AZ143" s="64" t="s" ph="1">
        <v>538</v>
      </c>
    </row>
    <row r="144" spans="33:52" ph="1">
      <c r="AH144" s="64" ph="1">
        <v>5</v>
      </c>
      <c r="AI144" s="64" t="s" ph="1">
        <v>539</v>
      </c>
      <c r="AY144" s="64" t="s" ph="1">
        <v>216</v>
      </c>
      <c r="AZ144" s="64" t="s" ph="1">
        <v>367</v>
      </c>
    </row>
    <row r="145" spans="33:52" ph="1">
      <c r="AH145" s="64" ph="1">
        <v>6</v>
      </c>
      <c r="AI145" s="64" t="s" ph="1">
        <v>540</v>
      </c>
      <c r="AY145" s="64" t="s" ph="1">
        <v>216</v>
      </c>
      <c r="AZ145" s="64" t="s" ph="1">
        <v>367</v>
      </c>
    </row>
    <row r="146" spans="33:52" ph="1">
      <c r="AH146" s="64" ph="1">
        <v>7</v>
      </c>
      <c r="AI146" s="64" t="s" ph="1">
        <v>541</v>
      </c>
      <c r="AY146" s="64" t="s" ph="1">
        <v>216</v>
      </c>
      <c r="AZ146" s="64" t="s" ph="1">
        <v>367</v>
      </c>
    </row>
    <row r="147" spans="33:52" ph="1">
      <c r="AH147" s="64" ph="1">
        <v>8</v>
      </c>
      <c r="AI147" s="64" t="s" ph="1">
        <v>542</v>
      </c>
      <c r="AY147" s="64" t="s" ph="1">
        <v>216</v>
      </c>
      <c r="AZ147" s="64" t="s" ph="1">
        <v>367</v>
      </c>
    </row>
    <row r="148" spans="33:52" ph="1">
      <c r="AH148" s="64" ph="1">
        <v>9</v>
      </c>
      <c r="AI148" s="64" t="s" ph="1">
        <v>543</v>
      </c>
      <c r="AY148" s="64" t="s" ph="1">
        <v>216</v>
      </c>
      <c r="AZ148" s="64" t="s" ph="1">
        <v>367</v>
      </c>
    </row>
    <row r="149" spans="33:52" ph="1">
      <c r="AH149" s="64" ph="1">
        <v>10</v>
      </c>
      <c r="AI149" s="64" t="s" ph="1">
        <v>544</v>
      </c>
      <c r="AY149" s="64" t="s" ph="1">
        <v>216</v>
      </c>
      <c r="AZ149" s="64" t="s" ph="1">
        <v>367</v>
      </c>
    </row>
    <row r="150" spans="33:52" ph="1">
      <c r="AH150" s="64" ph="1">
        <v>11</v>
      </c>
      <c r="AI150" s="64" t="s" ph="1">
        <v>545</v>
      </c>
      <c r="AY150" s="64" t="s" ph="1">
        <v>216</v>
      </c>
      <c r="AZ150" s="64" t="s" ph="1">
        <v>367</v>
      </c>
    </row>
    <row r="151" spans="33:52" ph="1">
      <c r="AH151" s="64" ph="1">
        <v>12</v>
      </c>
      <c r="AI151" s="64" t="s" ph="1">
        <v>546</v>
      </c>
      <c r="AY151" s="64" t="s" ph="1">
        <v>216</v>
      </c>
      <c r="AZ151" s="64" t="s" ph="1">
        <v>367</v>
      </c>
    </row>
    <row r="152" spans="33:52" ph="1">
      <c r="AH152" s="64" ph="1">
        <v>13</v>
      </c>
      <c r="AI152" s="64" t="s" ph="1">
        <v>547</v>
      </c>
      <c r="AY152" s="64" t="s" ph="1">
        <v>216</v>
      </c>
      <c r="AZ152" s="64" t="s" ph="1">
        <v>367</v>
      </c>
    </row>
    <row r="153" spans="33:52" ph="1">
      <c r="AH153" s="64" ph="1">
        <v>14</v>
      </c>
      <c r="AI153" s="64" t="s" ph="1">
        <v>548</v>
      </c>
      <c r="AY153" s="64" t="s" ph="1">
        <v>216</v>
      </c>
      <c r="AZ153" s="64" t="s" ph="1">
        <v>367</v>
      </c>
    </row>
    <row r="154" spans="33:52" ph="1">
      <c r="AH154" s="64" ph="1">
        <v>15</v>
      </c>
      <c r="AI154" s="64" t="s" ph="1">
        <v>549</v>
      </c>
      <c r="AY154" s="64" t="s" ph="1">
        <v>216</v>
      </c>
      <c r="AZ154" s="64" t="s" ph="1">
        <v>367</v>
      </c>
    </row>
    <row r="155" spans="33:52" ph="1">
      <c r="AH155" s="64" ph="1">
        <v>16</v>
      </c>
      <c r="AI155" s="64" t="s" ph="1">
        <v>550</v>
      </c>
      <c r="AJ155" s="64" t="s" ph="1">
        <v>336</v>
      </c>
      <c r="AK155" s="64" t="s" ph="1">
        <v>231</v>
      </c>
      <c r="AM155" s="64" t="s" ph="1">
        <v>570</v>
      </c>
      <c r="AN155" s="64" t="s" ph="1">
        <v>282</v>
      </c>
      <c r="AO155" s="64" t="s" ph="1">
        <v>535</v>
      </c>
      <c r="AY155" s="64" t="s" ph="1">
        <v>216</v>
      </c>
      <c r="AZ155" s="64" t="s" ph="1">
        <v>223</v>
      </c>
    </row>
    <row r="156" spans="33:52" ph="1">
      <c r="AZ156" s="64" t="s" ph="1">
        <v>602</v>
      </c>
    </row>
    <row r="157" spans="33:52" ph="1">
      <c r="AG157" s="64" t="s" ph="1">
        <v>551</v>
      </c>
      <c r="AI157" s="64" t="s" ph="1">
        <v>209</v>
      </c>
      <c r="AJ157" s="64" t="s" ph="1">
        <v>210</v>
      </c>
      <c r="AK157" s="64" t="s" ph="1">
        <v>211</v>
      </c>
      <c r="AM157" s="64" t="s" ph="1">
        <v>210</v>
      </c>
      <c r="AN157" s="64" t="s" ph="1">
        <v>211</v>
      </c>
      <c r="AO157" s="64" t="s" ph="1">
        <v>212</v>
      </c>
      <c r="AP157" s="64" t="s" ph="1">
        <v>210</v>
      </c>
      <c r="AQ157" s="64" t="s" ph="1">
        <v>211</v>
      </c>
      <c r="AR157" s="64" t="s" ph="1">
        <v>212</v>
      </c>
      <c r="AS157" s="64" t="s" ph="1">
        <v>210</v>
      </c>
      <c r="AT157" s="64" t="s" ph="1">
        <v>211</v>
      </c>
      <c r="AU157" s="64" t="s" ph="1">
        <v>212</v>
      </c>
      <c r="AV157" s="64" t="s" ph="1">
        <v>210</v>
      </c>
      <c r="AW157" s="64" t="s" ph="1">
        <v>211</v>
      </c>
      <c r="AX157" s="64" t="s" ph="1">
        <v>212</v>
      </c>
      <c r="AY157" s="64" t="s" ph="1">
        <v>211</v>
      </c>
      <c r="AZ157" s="64" t="s" ph="1">
        <v>213</v>
      </c>
    </row>
    <row r="158" spans="33:52" ph="1">
      <c r="AH158" s="64" ph="1">
        <v>1</v>
      </c>
      <c r="AI158" s="64" t="s" ph="1">
        <v>552</v>
      </c>
      <c r="AY158" s="64" t="s" ph="1">
        <v>216</v>
      </c>
      <c r="AZ158" s="64" t="s" ph="1">
        <v>367</v>
      </c>
    </row>
    <row r="159" spans="33:52" ph="1">
      <c r="AH159" s="64" ph="1">
        <v>2</v>
      </c>
      <c r="AI159" s="64" t="s" ph="1">
        <v>553</v>
      </c>
      <c r="AY159" s="64" t="s" ph="1">
        <v>216</v>
      </c>
      <c r="AZ159" s="64" t="s" ph="1">
        <v>367</v>
      </c>
    </row>
    <row r="160" spans="33:52" ph="1">
      <c r="AZ160" s="64" t="s" ph="1">
        <v>385</v>
      </c>
    </row>
    <row r="161" spans="33:52" ph="1">
      <c r="AG161" s="64" t="s" ph="1">
        <v>361</v>
      </c>
      <c r="AI161" s="64" t="s" ph="1">
        <v>209</v>
      </c>
      <c r="AJ161" s="64" t="s" ph="1">
        <v>210</v>
      </c>
      <c r="AK161" s="64" t="s" ph="1">
        <v>211</v>
      </c>
      <c r="AM161" s="64" t="s" ph="1">
        <v>210</v>
      </c>
      <c r="AN161" s="64" t="s" ph="1">
        <v>211</v>
      </c>
      <c r="AO161" s="64" t="s" ph="1">
        <v>212</v>
      </c>
      <c r="AP161" s="64" t="s" ph="1">
        <v>210</v>
      </c>
      <c r="AQ161" s="64" t="s" ph="1">
        <v>211</v>
      </c>
      <c r="AR161" s="64" t="s" ph="1">
        <v>212</v>
      </c>
      <c r="AS161" s="64" t="s" ph="1">
        <v>210</v>
      </c>
      <c r="AT161" s="64" t="s" ph="1">
        <v>211</v>
      </c>
      <c r="AU161" s="64" t="s" ph="1">
        <v>212</v>
      </c>
      <c r="AV161" s="64" t="s" ph="1">
        <v>210</v>
      </c>
      <c r="AW161" s="64" t="s" ph="1">
        <v>211</v>
      </c>
      <c r="AX161" s="64" t="s" ph="1">
        <v>212</v>
      </c>
      <c r="AY161" s="64" t="s" ph="1">
        <v>211</v>
      </c>
      <c r="AZ161" s="64" t="s" ph="1">
        <v>213</v>
      </c>
    </row>
    <row r="162" spans="33:52" ph="1">
      <c r="AH162" s="64" ph="1">
        <v>1</v>
      </c>
      <c r="AI162" s="64" t="s" ph="1">
        <v>554</v>
      </c>
      <c r="AJ162" s="64" t="s" ph="1">
        <v>555</v>
      </c>
      <c r="AK162" s="64" t="s" ph="1">
        <v>499</v>
      </c>
      <c r="AM162" s="64" t="s" ph="1">
        <v>556</v>
      </c>
      <c r="AN162" s="64" t="s" ph="1">
        <v>220</v>
      </c>
      <c r="AO162" s="64" t="s" ph="1">
        <v>557</v>
      </c>
      <c r="AY162" s="64" t="s" ph="1">
        <v>216</v>
      </c>
      <c r="AZ162" s="64" t="s" ph="1">
        <v>292</v>
      </c>
    </row>
    <row r="163" spans="33:52" ph="1">
      <c r="AH163" s="64" ph="1">
        <v>2</v>
      </c>
      <c r="AI163" s="64" t="s" ph="1">
        <v>558</v>
      </c>
      <c r="AJ163" s="64" t="s" ph="1">
        <v>555</v>
      </c>
      <c r="AK163" s="64" t="s" ph="1">
        <v>388</v>
      </c>
      <c r="AY163" s="64" t="s" ph="1">
        <v>216</v>
      </c>
      <c r="AZ163" s="64" t="s" ph="1">
        <v>388</v>
      </c>
    </row>
    <row r="164" spans="33:52" ph="1">
      <c r="AH164" s="64" ph="1">
        <v>3</v>
      </c>
      <c r="AI164" s="64" t="s" ph="1">
        <v>559</v>
      </c>
      <c r="AJ164" s="64" t="s" ph="1">
        <v>555</v>
      </c>
      <c r="AK164" s="64" t="s" ph="1">
        <v>292</v>
      </c>
      <c r="AY164" s="64" t="s" ph="1">
        <v>216</v>
      </c>
      <c r="AZ164" s="64" t="s" ph="1">
        <v>292</v>
      </c>
    </row>
    <row r="165" spans="33:52" ph="1">
      <c r="AH165" s="64" ph="1">
        <v>4</v>
      </c>
      <c r="AI165" s="64" t="s" ph="1">
        <v>560</v>
      </c>
      <c r="AY165" s="64" t="s" ph="1">
        <v>216</v>
      </c>
      <c r="AZ165" s="64" t="s" ph="1">
        <v>367</v>
      </c>
    </row>
    <row r="166" spans="33:52" ph="1">
      <c r="AH166" s="64" ph="1">
        <v>5</v>
      </c>
      <c r="AI166" s="64" t="s" ph="1">
        <v>561</v>
      </c>
      <c r="AY166" s="64" t="s" ph="1">
        <v>216</v>
      </c>
      <c r="AZ166" s="64" t="s" ph="1">
        <v>367</v>
      </c>
    </row>
    <row r="167" spans="33:52" ph="1">
      <c r="AZ167" s="64" t="s" ph="1">
        <v>562</v>
      </c>
    </row>
    <row r="168" spans="33:52" ph="1">
      <c r="AG168" s="64" t="s" ph="1">
        <v>305</v>
      </c>
      <c r="AI168" s="64" t="s" ph="1">
        <v>209</v>
      </c>
      <c r="AJ168" s="64" t="s" ph="1">
        <v>210</v>
      </c>
      <c r="AK168" s="64" t="s" ph="1">
        <v>211</v>
      </c>
      <c r="AM168" s="64" t="s" ph="1">
        <v>210</v>
      </c>
      <c r="AN168" s="64" t="s" ph="1">
        <v>211</v>
      </c>
      <c r="AO168" s="64" t="s" ph="1">
        <v>212</v>
      </c>
      <c r="AP168" s="64" t="s" ph="1">
        <v>210</v>
      </c>
      <c r="AQ168" s="64" t="s" ph="1">
        <v>211</v>
      </c>
      <c r="AR168" s="64" t="s" ph="1">
        <v>212</v>
      </c>
      <c r="AS168" s="64" t="s" ph="1">
        <v>210</v>
      </c>
      <c r="AT168" s="64" t="s" ph="1">
        <v>211</v>
      </c>
      <c r="AU168" s="64" t="s" ph="1">
        <v>212</v>
      </c>
      <c r="AV168" s="64" t="s" ph="1">
        <v>210</v>
      </c>
      <c r="AW168" s="64" t="s" ph="1">
        <v>211</v>
      </c>
      <c r="AX168" s="64" t="s" ph="1">
        <v>212</v>
      </c>
      <c r="AY168" s="64" t="s" ph="1">
        <v>211</v>
      </c>
      <c r="AZ168" s="64" t="s" ph="1">
        <v>213</v>
      </c>
    </row>
    <row r="169" spans="33:52" ph="1">
      <c r="AH169" s="64" ph="1">
        <v>1</v>
      </c>
      <c r="AI169" s="64" t="s" ph="1">
        <v>563</v>
      </c>
      <c r="AY169" s="64" t="s" ph="1">
        <v>216</v>
      </c>
      <c r="AZ169" s="64" t="s" ph="1">
        <v>367</v>
      </c>
    </row>
    <row r="170" spans="33:52" ph="1">
      <c r="AH170" s="64" ph="1">
        <v>2</v>
      </c>
      <c r="AI170" s="64" t="s" ph="1">
        <v>564</v>
      </c>
      <c r="AY170" s="64" t="s" ph="1">
        <v>216</v>
      </c>
      <c r="AZ170" s="64" t="s" ph="1">
        <v>367</v>
      </c>
    </row>
    <row r="171" spans="33:52" ph="1">
      <c r="AH171" s="64" ph="1">
        <v>3</v>
      </c>
      <c r="AI171" s="64" t="s" ph="1">
        <v>565</v>
      </c>
      <c r="AY171" s="64" t="s" ph="1">
        <v>216</v>
      </c>
      <c r="AZ171" s="64" t="s" ph="1">
        <v>367</v>
      </c>
    </row>
    <row r="172" spans="33:52" ph="1">
      <c r="AH172" s="64" ph="1">
        <v>4</v>
      </c>
      <c r="AI172" s="64" t="s" ph="1">
        <v>566</v>
      </c>
      <c r="AY172" s="64" t="s" ph="1">
        <v>216</v>
      </c>
      <c r="AZ172" s="64" t="s" ph="1">
        <v>367</v>
      </c>
    </row>
    <row r="173" spans="33:52" ph="1">
      <c r="AH173" s="64" ph="1">
        <v>5</v>
      </c>
      <c r="AI173" s="64" t="s" ph="1">
        <v>567</v>
      </c>
      <c r="AY173" s="64" t="s" ph="1">
        <v>216</v>
      </c>
      <c r="AZ173" s="64" t="s" ph="1">
        <v>367</v>
      </c>
    </row>
    <row r="174" spans="33:52" ph="1">
      <c r="AZ174" s="64" t="s" ph="1">
        <v>385</v>
      </c>
    </row>
    <row r="175" spans="33:52" ph="1">
      <c r="AJ175" s="64" t="s" ph="1">
        <v>306</v>
      </c>
    </row>
    <row r="176" spans="33:52" ph="1">
      <c r="AJ176" s="64" t="s" ph="1">
        <v>307</v>
      </c>
      <c r="AK176" s="64" t="s" ph="1">
        <v>308</v>
      </c>
      <c r="AM176" s="64" t="s" ph="1">
        <v>309</v>
      </c>
      <c r="AO176" s="64" t="s" ph="1">
        <v>310</v>
      </c>
      <c r="AP176" s="64" t="s" ph="1">
        <v>311</v>
      </c>
      <c r="AQ176" s="64" t="s" ph="1">
        <v>301</v>
      </c>
      <c r="AR176" s="64" t="s" ph="1">
        <v>221</v>
      </c>
    </row>
    <row r="177" spans="36:56" ph="1">
      <c r="AJ177" s="64" t="s" ph="1">
        <v>603</v>
      </c>
      <c r="AK177" s="64" t="s" ph="1">
        <v>312</v>
      </c>
      <c r="AO177" s="64" t="s" ph="1">
        <v>312</v>
      </c>
      <c r="AP177" s="64" t="s" ph="1">
        <v>312</v>
      </c>
      <c r="AQ177" s="64" t="s" ph="1">
        <v>313</v>
      </c>
      <c r="AR177" s="64" t="s" ph="1">
        <v>314</v>
      </c>
    </row>
    <row r="179" spans="36:56" ph="1">
      <c r="AJ179" s="64" t="s" ph="1">
        <v>315</v>
      </c>
      <c r="AK179" s="64" t="s" ph="1">
        <v>316</v>
      </c>
      <c r="AM179" s="64" t="s" ph="1">
        <v>317</v>
      </c>
      <c r="AN179" s="64" t="s" ph="1">
        <v>293</v>
      </c>
      <c r="AO179" s="64" t="s" ph="1">
        <v>318</v>
      </c>
      <c r="AP179" s="64" t="s" ph="1">
        <v>297</v>
      </c>
      <c r="AQ179" s="64" t="s" ph="1">
        <v>319</v>
      </c>
      <c r="AR179" s="64" t="s" ph="1">
        <v>320</v>
      </c>
    </row>
    <row r="180" spans="36:56" ph="1">
      <c r="AJ180" s="64" t="s" ph="1">
        <v>312</v>
      </c>
      <c r="AK180" s="64" t="s" ph="1">
        <v>312</v>
      </c>
      <c r="AL180" s="64" ph="1">
        <v>116</v>
      </c>
      <c r="AM180" s="64" t="s" ph="1">
        <v>312</v>
      </c>
      <c r="AN180" s="64" t="s" ph="1">
        <v>321</v>
      </c>
      <c r="AO180" s="64" t="s" ph="1">
        <v>312</v>
      </c>
      <c r="AP180" s="64" t="s" ph="1">
        <v>322</v>
      </c>
      <c r="AQ180" s="64" t="s" ph="1">
        <v>323</v>
      </c>
      <c r="AR180" s="64" t="s" ph="1">
        <v>324</v>
      </c>
    </row>
    <row r="189" spans="36:56" ph="1">
      <c r="BD189" s="64" t="s" ph="1">
        <v>568</v>
      </c>
    </row>
    <row r="223" spans="18:18" ph="1">
      <c r="R223" s="135" ph="1">
        <v>45496</v>
      </c>
    </row>
  </sheetData>
  <mergeCells count="58">
    <mergeCell ref="Z22:AE22"/>
    <mergeCell ref="Z23:AE29"/>
    <mergeCell ref="B24:B26"/>
    <mergeCell ref="B27:B29"/>
    <mergeCell ref="B1:AE1"/>
    <mergeCell ref="B2:AE2"/>
    <mergeCell ref="B3:AE3"/>
    <mergeCell ref="B4:B5"/>
    <mergeCell ref="B6:B8"/>
    <mergeCell ref="B9:B11"/>
    <mergeCell ref="P31:R31"/>
    <mergeCell ref="B13:B14"/>
    <mergeCell ref="B15:B17"/>
    <mergeCell ref="B18:B20"/>
    <mergeCell ref="B22:B23"/>
    <mergeCell ref="B31:C32"/>
    <mergeCell ref="D31:F31"/>
    <mergeCell ref="G31:I31"/>
    <mergeCell ref="J31:L31"/>
    <mergeCell ref="M31:O31"/>
    <mergeCell ref="B33:C34"/>
    <mergeCell ref="D33:D34"/>
    <mergeCell ref="E33:E34"/>
    <mergeCell ref="F33:F34"/>
    <mergeCell ref="G33:G34"/>
    <mergeCell ref="S31:U31"/>
    <mergeCell ref="V31:X31"/>
    <mergeCell ref="Y31:AA31"/>
    <mergeCell ref="AB31:AE31"/>
    <mergeCell ref="AD32:AE32"/>
    <mergeCell ref="S33:S34"/>
    <mergeCell ref="H33:H34"/>
    <mergeCell ref="I33:I34"/>
    <mergeCell ref="J33:J34"/>
    <mergeCell ref="K33:K34"/>
    <mergeCell ref="L33:L34"/>
    <mergeCell ref="M33:M34"/>
    <mergeCell ref="N33:N34"/>
    <mergeCell ref="O33:O34"/>
    <mergeCell ref="P33:P34"/>
    <mergeCell ref="Q33:Q34"/>
    <mergeCell ref="R33:R34"/>
    <mergeCell ref="I36:J36"/>
    <mergeCell ref="R36:S36"/>
    <mergeCell ref="AB36:AC36"/>
    <mergeCell ref="AD36:AE36"/>
    <mergeCell ref="Z33:Z34"/>
    <mergeCell ref="AA33:AA34"/>
    <mergeCell ref="AB33:AB34"/>
    <mergeCell ref="AC33:AC34"/>
    <mergeCell ref="AD33:AE34"/>
    <mergeCell ref="AC35:AE35"/>
    <mergeCell ref="T33:T34"/>
    <mergeCell ref="U33:U34"/>
    <mergeCell ref="V33:V34"/>
    <mergeCell ref="W33:W34"/>
    <mergeCell ref="X33:X34"/>
    <mergeCell ref="Y33:Y34"/>
  </mergeCells>
  <phoneticPr fontId="2" type="noConversion"/>
  <conditionalFormatting sqref="D4:D11">
    <cfRule type="expression" dxfId="398" priority="103">
      <formula>ABS(D$7-D$10)&gt;=1000</formula>
    </cfRule>
  </conditionalFormatting>
  <conditionalFormatting sqref="E4 E6:E11">
    <cfRule type="expression" dxfId="397" priority="102">
      <formula>ABS(E$7-E$10)&gt;=1000</formula>
    </cfRule>
  </conditionalFormatting>
  <conditionalFormatting sqref="F4:F11">
    <cfRule type="expression" dxfId="396" priority="101">
      <formula>ABS(F$7-F$10)&gt;=1000</formula>
    </cfRule>
  </conditionalFormatting>
  <conditionalFormatting sqref="G4:G11">
    <cfRule type="expression" dxfId="395" priority="100">
      <formula>ABS(G$7-G$10)&gt;=1000</formula>
    </cfRule>
  </conditionalFormatting>
  <conditionalFormatting sqref="H4:H11">
    <cfRule type="expression" dxfId="394" priority="99">
      <formula>ABS(H$7-H$10)&gt;=1000</formula>
    </cfRule>
  </conditionalFormatting>
  <conditionalFormatting sqref="I4:I11">
    <cfRule type="expression" dxfId="393" priority="98">
      <formula>ABS(I$7-I$10)&gt;=1000</formula>
    </cfRule>
  </conditionalFormatting>
  <conditionalFormatting sqref="J4:J11">
    <cfRule type="expression" dxfId="392" priority="97">
      <formula>ABS(J$7-J$10)&gt;=1000</formula>
    </cfRule>
  </conditionalFormatting>
  <conditionalFormatting sqref="K4:K11">
    <cfRule type="expression" dxfId="391" priority="96">
      <formula>ABS(K$7-K$10)&gt;=1000</formula>
    </cfRule>
  </conditionalFormatting>
  <conditionalFormatting sqref="L4:L11">
    <cfRule type="expression" dxfId="390" priority="95">
      <formula>ABS(L$7-L$10)&gt;=1000</formula>
    </cfRule>
  </conditionalFormatting>
  <conditionalFormatting sqref="M4 M6:M11">
    <cfRule type="expression" dxfId="389" priority="94">
      <formula>ABS(M$7-M$10)&gt;=1000</formula>
    </cfRule>
  </conditionalFormatting>
  <conditionalFormatting sqref="N4 N6:N11">
    <cfRule type="expression" dxfId="388" priority="93">
      <formula>ABS(N$7-N$10)&gt;=1000</formula>
    </cfRule>
  </conditionalFormatting>
  <conditionalFormatting sqref="O4 O6:O11">
    <cfRule type="expression" dxfId="387" priority="92">
      <formula>ABS(O$7-O$10)&gt;=1000</formula>
    </cfRule>
  </conditionalFormatting>
  <conditionalFormatting sqref="P4 P6:P11">
    <cfRule type="expression" dxfId="386" priority="91">
      <formula>ABS(P$7-P$10)&gt;=1000</formula>
    </cfRule>
  </conditionalFormatting>
  <conditionalFormatting sqref="Q4:Q11">
    <cfRule type="expression" dxfId="385" priority="90">
      <formula>ABS(Q$7-Q$10)&gt;=1000</formula>
    </cfRule>
  </conditionalFormatting>
  <conditionalFormatting sqref="R4:R11">
    <cfRule type="expression" dxfId="384" priority="89">
      <formula>ABS(R$7-R$10)&gt;=1000</formula>
    </cfRule>
  </conditionalFormatting>
  <conditionalFormatting sqref="S4:S11">
    <cfRule type="expression" dxfId="383" priority="88">
      <formula>ABS(S$7-S$10)&gt;=1000</formula>
    </cfRule>
  </conditionalFormatting>
  <conditionalFormatting sqref="T4:T9 T11">
    <cfRule type="expression" dxfId="382" priority="87">
      <formula>ABS(T$7-T$10)&gt;=1000</formula>
    </cfRule>
  </conditionalFormatting>
  <conditionalFormatting sqref="U4:U9 U11">
    <cfRule type="expression" dxfId="381" priority="86">
      <formula>ABS(U$7-U$10)&gt;=1000</formula>
    </cfRule>
  </conditionalFormatting>
  <conditionalFormatting sqref="V4:V9 V11">
    <cfRule type="expression" dxfId="380" priority="85">
      <formula>ABS(V$7-V$10)&gt;=1000</formula>
    </cfRule>
  </conditionalFormatting>
  <conditionalFormatting sqref="W4:W9 W11">
    <cfRule type="expression" dxfId="379" priority="84">
      <formula>ABS(W$7-W$10)&gt;=1000</formula>
    </cfRule>
  </conditionalFormatting>
  <conditionalFormatting sqref="X4:X9 X11">
    <cfRule type="expression" dxfId="378" priority="83">
      <formula>ABS(X$7-X$10)&gt;=1000</formula>
    </cfRule>
  </conditionalFormatting>
  <conditionalFormatting sqref="Y4:Y9 Y11">
    <cfRule type="expression" dxfId="377" priority="82">
      <formula>ABS(Y$7-Y$10)&gt;=1000</formula>
    </cfRule>
  </conditionalFormatting>
  <conditionalFormatting sqref="Z4:Z11">
    <cfRule type="expression" dxfId="376" priority="81">
      <formula>ABS(Z$7-Z$10)&gt;=1000</formula>
    </cfRule>
  </conditionalFormatting>
  <conditionalFormatting sqref="AA4:AA11">
    <cfRule type="expression" dxfId="375" priority="80">
      <formula>ABS(AA$7-AA$10)&gt;=1000</formula>
    </cfRule>
  </conditionalFormatting>
  <conditionalFormatting sqref="AB4:AB11">
    <cfRule type="expression" dxfId="374" priority="79">
      <formula>ABS(AB$7-AB$10)&gt;=1000</formula>
    </cfRule>
  </conditionalFormatting>
  <conditionalFormatting sqref="AC4 AC6:AC11">
    <cfRule type="expression" dxfId="373" priority="78">
      <formula>ABS(AC$7-AC$10)&gt;=1000</formula>
    </cfRule>
  </conditionalFormatting>
  <conditionalFormatting sqref="AD4 AD6:AD11">
    <cfRule type="expression" dxfId="372" priority="77">
      <formula>ABS(AD$7-AD$10)&gt;=1000</formula>
    </cfRule>
  </conditionalFormatting>
  <conditionalFormatting sqref="AE4 AE6:AE11">
    <cfRule type="expression" dxfId="371" priority="76">
      <formula>ABS(AE$7-AE$10)&gt;=1000</formula>
    </cfRule>
  </conditionalFormatting>
  <conditionalFormatting sqref="D13:D20">
    <cfRule type="expression" dxfId="370" priority="75">
      <formula>ABS(D$16-D$19)&gt;=1000</formula>
    </cfRule>
  </conditionalFormatting>
  <conditionalFormatting sqref="E13:E20">
    <cfRule type="expression" dxfId="369" priority="74">
      <formula>ABS(E$16-E$19)&gt;=1000</formula>
    </cfRule>
  </conditionalFormatting>
  <conditionalFormatting sqref="F13 F15:F20">
    <cfRule type="expression" dxfId="368" priority="73">
      <formula>ABS(F$16-F$19)&gt;=1000</formula>
    </cfRule>
  </conditionalFormatting>
  <conditionalFormatting sqref="G13:G20">
    <cfRule type="expression" dxfId="367" priority="72">
      <formula>ABS(G$16-G$19)&gt;=1000</formula>
    </cfRule>
  </conditionalFormatting>
  <conditionalFormatting sqref="H13 H15:H20">
    <cfRule type="expression" dxfId="366" priority="71">
      <formula>ABS(H$16-H$19)&gt;=1000</formula>
    </cfRule>
  </conditionalFormatting>
  <conditionalFormatting sqref="I13:I20">
    <cfRule type="expression" dxfId="365" priority="70">
      <formula>ABS(I$16-I$19)&gt;=1000</formula>
    </cfRule>
  </conditionalFormatting>
  <conditionalFormatting sqref="J13:J20">
    <cfRule type="expression" dxfId="364" priority="69">
      <formula>ABS(J$16-J$19)&gt;=1000</formula>
    </cfRule>
  </conditionalFormatting>
  <conditionalFormatting sqref="L13:L20">
    <cfRule type="expression" dxfId="363" priority="68">
      <formula>ABS(L$16-L$19)&gt;=1000</formula>
    </cfRule>
  </conditionalFormatting>
  <conditionalFormatting sqref="M13 M15 M17:M18 M20">
    <cfRule type="expression" dxfId="362" priority="67">
      <formula>ABS(M$16-M$19)&gt;=1000</formula>
    </cfRule>
  </conditionalFormatting>
  <conditionalFormatting sqref="N13:N20">
    <cfRule type="expression" dxfId="361" priority="66">
      <formula>ABS(N$16-N$19)&gt;=1000</formula>
    </cfRule>
  </conditionalFormatting>
  <conditionalFormatting sqref="O13:O20">
    <cfRule type="expression" dxfId="360" priority="65">
      <formula>ABS(O$16-O$19)&gt;=1000</formula>
    </cfRule>
  </conditionalFormatting>
  <conditionalFormatting sqref="P13:P20">
    <cfRule type="expression" dxfId="359" priority="64">
      <formula>ABS(P$16-P$19)&gt;=1000</formula>
    </cfRule>
  </conditionalFormatting>
  <conditionalFormatting sqref="Q13 Q15:Q20">
    <cfRule type="expression" dxfId="358" priority="63">
      <formula>ABS(Q$16-Q$19)&gt;=1000</formula>
    </cfRule>
  </conditionalFormatting>
  <conditionalFormatting sqref="R13 R15:R20">
    <cfRule type="expression" dxfId="357" priority="62">
      <formula>ABS(R$16-R$19)&gt;=1000</formula>
    </cfRule>
  </conditionalFormatting>
  <conditionalFormatting sqref="S13:S20">
    <cfRule type="expression" dxfId="356" priority="61">
      <formula>ABS(S$16-S$19)&gt;=1000</formula>
    </cfRule>
  </conditionalFormatting>
  <conditionalFormatting sqref="T13:T15 T17:T20">
    <cfRule type="expression" dxfId="355" priority="60">
      <formula>ABS(T$16-T$19)&gt;=1000</formula>
    </cfRule>
  </conditionalFormatting>
  <conditionalFormatting sqref="U13:U20">
    <cfRule type="expression" dxfId="354" priority="59">
      <formula>ABS(U$16-U$19)&gt;=1000</formula>
    </cfRule>
  </conditionalFormatting>
  <conditionalFormatting sqref="V13:V20">
    <cfRule type="expression" dxfId="353" priority="58">
      <formula>ABS(V$16-V$19)&gt;=1000</formula>
    </cfRule>
  </conditionalFormatting>
  <conditionalFormatting sqref="W13 W20 W15:W18">
    <cfRule type="expression" dxfId="352" priority="57">
      <formula>ABS(W$16-W$19)&gt;=1000</formula>
    </cfRule>
  </conditionalFormatting>
  <conditionalFormatting sqref="X13 X15:X20 Y19">
    <cfRule type="expression" dxfId="351" priority="56">
      <formula>ABS(X$16-X$19)&gt;=1000</formula>
    </cfRule>
  </conditionalFormatting>
  <conditionalFormatting sqref="Y13 Y15:Y18 Y20">
    <cfRule type="expression" dxfId="350" priority="55">
      <formula>ABS(Y$16-Y$19)&gt;=1000</formula>
    </cfRule>
  </conditionalFormatting>
  <conditionalFormatting sqref="Z13:Z20">
    <cfRule type="expression" dxfId="349" priority="54">
      <formula>ABS(Z$16-Z$19)&gt;=1000</formula>
    </cfRule>
  </conditionalFormatting>
  <conditionalFormatting sqref="AA13:AA20">
    <cfRule type="expression" dxfId="348" priority="53">
      <formula>ABS(AA$16-AA$19)&gt;=1000</formula>
    </cfRule>
  </conditionalFormatting>
  <conditionalFormatting sqref="AB13 AB15:AB20">
    <cfRule type="expression" dxfId="347" priority="52">
      <formula>ABS(AB$16-AB$19)&gt;=1000</formula>
    </cfRule>
  </conditionalFormatting>
  <conditionalFormatting sqref="AC13 AC15:AC20">
    <cfRule type="expression" dxfId="346" priority="51">
      <formula>ABS(AC$16-AC$19)&gt;=1000</formula>
    </cfRule>
  </conditionalFormatting>
  <conditionalFormatting sqref="AD13:AD20">
    <cfRule type="expression" dxfId="345" priority="50">
      <formula>ABS(AD$16-AD$19)&gt;=1000</formula>
    </cfRule>
  </conditionalFormatting>
  <conditionalFormatting sqref="AE13:AE20">
    <cfRule type="expression" dxfId="344" priority="49">
      <formula>ABS(AE$16-AE$19)&gt;=1000</formula>
    </cfRule>
  </conditionalFormatting>
  <conditionalFormatting sqref="D22:D29">
    <cfRule type="expression" dxfId="343" priority="48">
      <formula>ABS(D$25-D$28)&gt;=1000</formula>
    </cfRule>
  </conditionalFormatting>
  <conditionalFormatting sqref="E22:E29">
    <cfRule type="expression" dxfId="342" priority="47">
      <formula>ABS(E$25-E$28)&gt;=1000</formula>
    </cfRule>
  </conditionalFormatting>
  <conditionalFormatting sqref="F22:F29">
    <cfRule type="expression" dxfId="341" priority="46">
      <formula>ABS(F$25-F$28)&gt;=1000</formula>
    </cfRule>
  </conditionalFormatting>
  <conditionalFormatting sqref="G22:G29">
    <cfRule type="expression" dxfId="340" priority="45">
      <formula>ABS(G$25-G$28)&gt;=1000</formula>
    </cfRule>
  </conditionalFormatting>
  <conditionalFormatting sqref="H22:H29">
    <cfRule type="expression" dxfId="339" priority="44">
      <formula>ABS(H$25-H$28)&gt;=1000</formula>
    </cfRule>
  </conditionalFormatting>
  <conditionalFormatting sqref="I22 I24:I29">
    <cfRule type="expression" dxfId="338" priority="43">
      <formula>ABS(I$25-I$28)&gt;=1000</formula>
    </cfRule>
  </conditionalFormatting>
  <conditionalFormatting sqref="J22:J29 K22">
    <cfRule type="expression" dxfId="337" priority="42">
      <formula>ABS(J$25-J$28)&gt;=1000</formula>
    </cfRule>
  </conditionalFormatting>
  <conditionalFormatting sqref="K23:K29 L25 L28">
    <cfRule type="expression" dxfId="336" priority="41">
      <formula>ABS(K$25-K$28)&gt;=1000</formula>
    </cfRule>
  </conditionalFormatting>
  <conditionalFormatting sqref="L22 L26:L27 L29 L24">
    <cfRule type="expression" dxfId="335" priority="40">
      <formula>ABS(L$25-L$28)&gt;=1000</formula>
    </cfRule>
  </conditionalFormatting>
  <conditionalFormatting sqref="M22:M29">
    <cfRule type="expression" dxfId="334" priority="39">
      <formula>ABS(M$25-M$28)&gt;=1000</formula>
    </cfRule>
  </conditionalFormatting>
  <conditionalFormatting sqref="N22:N29">
    <cfRule type="expression" dxfId="333" priority="38">
      <formula>ABS(N$25-N$28)&gt;=1000</formula>
    </cfRule>
  </conditionalFormatting>
  <conditionalFormatting sqref="O22 O24:O29">
    <cfRule type="expression" dxfId="332" priority="37">
      <formula>ABS(O$25-O$28)&gt;=1000</formula>
    </cfRule>
  </conditionalFormatting>
  <conditionalFormatting sqref="P22:P29">
    <cfRule type="expression" dxfId="331" priority="36">
      <formula>ABS(P$25-P$28)&gt;=1000</formula>
    </cfRule>
  </conditionalFormatting>
  <conditionalFormatting sqref="Q22:Q29">
    <cfRule type="expression" dxfId="330" priority="35">
      <formula>ABS(Q$25-Q$28)&gt;=1000</formula>
    </cfRule>
  </conditionalFormatting>
  <conditionalFormatting sqref="R22:R29">
    <cfRule type="expression" dxfId="329" priority="34">
      <formula>ABS(R$25-R$28)&gt;=1000</formula>
    </cfRule>
  </conditionalFormatting>
  <conditionalFormatting sqref="S22:S29">
    <cfRule type="expression" dxfId="328" priority="33">
      <formula>ABS(S$25-S$28)&gt;=1000</formula>
    </cfRule>
  </conditionalFormatting>
  <conditionalFormatting sqref="T22:T29">
    <cfRule type="expression" dxfId="327" priority="32">
      <formula>ABS(T$25-T$28)&gt;=1000</formula>
    </cfRule>
  </conditionalFormatting>
  <conditionalFormatting sqref="U22:U29">
    <cfRule type="expression" dxfId="326" priority="31">
      <formula>ABS(U$25-U$28)&gt;=1000</formula>
    </cfRule>
  </conditionalFormatting>
  <conditionalFormatting sqref="V22:V29">
    <cfRule type="expression" dxfId="325" priority="30">
      <formula>ABS(V$25-V$28)&gt;=1000</formula>
    </cfRule>
  </conditionalFormatting>
  <conditionalFormatting sqref="W22:W29">
    <cfRule type="expression" dxfId="324" priority="29">
      <formula>ABS(W$25-W$28)&gt;=1000</formula>
    </cfRule>
  </conditionalFormatting>
  <conditionalFormatting sqref="X22:X29">
    <cfRule type="expression" dxfId="323" priority="28">
      <formula>ABS(X$25-X$28)&gt;=1000</formula>
    </cfRule>
  </conditionalFormatting>
  <conditionalFormatting sqref="Y22:Y29">
    <cfRule type="expression" dxfId="322" priority="27">
      <formula>ABS(Y$25-Y$28)&gt;=1000</formula>
    </cfRule>
  </conditionalFormatting>
  <conditionalFormatting sqref="I23">
    <cfRule type="expression" dxfId="321" priority="26">
      <formula>ABS(I$25-I$28)&gt;=1000</formula>
    </cfRule>
  </conditionalFormatting>
  <conditionalFormatting sqref="Q14">
    <cfRule type="expression" dxfId="320" priority="25">
      <formula>ABS(Q$16-Q$19)&gt;=1000</formula>
    </cfRule>
  </conditionalFormatting>
  <conditionalFormatting sqref="W14">
    <cfRule type="expression" dxfId="319" priority="24">
      <formula>ABS(W$16-W$19)&gt;=1000</formula>
    </cfRule>
  </conditionalFormatting>
  <conditionalFormatting sqref="X14">
    <cfRule type="expression" dxfId="318" priority="23">
      <formula>ABS(X$16-X$19)&gt;=1000</formula>
    </cfRule>
  </conditionalFormatting>
  <conditionalFormatting sqref="T10:Y10">
    <cfRule type="expression" dxfId="317" priority="22">
      <formula>ABS(T$7-T$10)&gt;=1000</formula>
    </cfRule>
  </conditionalFormatting>
  <conditionalFormatting sqref="W19">
    <cfRule type="expression" dxfId="316" priority="21">
      <formula>ABS(W$16-W$19)&gt;=1000</formula>
    </cfRule>
  </conditionalFormatting>
  <conditionalFormatting sqref="AC5">
    <cfRule type="expression" dxfId="315" priority="20">
      <formula>ABS(AC$7-AC$10)&gt;=1000</formula>
    </cfRule>
  </conditionalFormatting>
  <conditionalFormatting sqref="M14">
    <cfRule type="expression" dxfId="314" priority="19">
      <formula>ABS(M$16-M$19)&gt;=1000</formula>
    </cfRule>
  </conditionalFormatting>
  <conditionalFormatting sqref="M16">
    <cfRule type="expression" dxfId="313" priority="18">
      <formula>ABS(M$16-M$19)&gt;=1000</formula>
    </cfRule>
  </conditionalFormatting>
  <conditionalFormatting sqref="M19">
    <cfRule type="expression" dxfId="312" priority="17">
      <formula>ABS(M$16-M$19)&gt;=1000</formula>
    </cfRule>
  </conditionalFormatting>
  <conditionalFormatting sqref="K13:K20">
    <cfRule type="expression" dxfId="311" priority="16">
      <formula>ABS(K$16-K$19)&gt;=1000</formula>
    </cfRule>
  </conditionalFormatting>
  <conditionalFormatting sqref="E5">
    <cfRule type="expression" dxfId="310" priority="15">
      <formula>ABS(E$7-E$10)&gt;=1000</formula>
    </cfRule>
  </conditionalFormatting>
  <conditionalFormatting sqref="AB14:AC14">
    <cfRule type="expression" dxfId="309" priority="14">
      <formula>ABS(AB$16-AB$19)&gt;=1000</formula>
    </cfRule>
  </conditionalFormatting>
  <conditionalFormatting sqref="M5">
    <cfRule type="expression" dxfId="308" priority="13">
      <formula>ABS(M$7-M$10)&gt;=1000</formula>
    </cfRule>
  </conditionalFormatting>
  <conditionalFormatting sqref="N5">
    <cfRule type="expression" dxfId="307" priority="12">
      <formula>ABS(N$7-N$10)&gt;=1000</formula>
    </cfRule>
  </conditionalFormatting>
  <conditionalFormatting sqref="O5">
    <cfRule type="expression" dxfId="306" priority="11">
      <formula>ABS(O$7-O$10)&gt;=1000</formula>
    </cfRule>
  </conditionalFormatting>
  <conditionalFormatting sqref="P5">
    <cfRule type="expression" dxfId="305" priority="10">
      <formula>ABS(P$7-P$10)&gt;=1000</formula>
    </cfRule>
  </conditionalFormatting>
  <conditionalFormatting sqref="L23">
    <cfRule type="expression" dxfId="304" priority="9">
      <formula>ABS(L$25-L$28)&gt;=1000</formula>
    </cfRule>
  </conditionalFormatting>
  <conditionalFormatting sqref="Y14">
    <cfRule type="expression" dxfId="303" priority="8">
      <formula>ABS(Y$16-Y$19)&gt;=1000</formula>
    </cfRule>
  </conditionalFormatting>
  <conditionalFormatting sqref="H14">
    <cfRule type="expression" dxfId="302" priority="7">
      <formula>ABS(H$16-H$19)&gt;=1000</formula>
    </cfRule>
  </conditionalFormatting>
  <conditionalFormatting sqref="AD5">
    <cfRule type="expression" dxfId="301" priority="6">
      <formula>ABS(AD$7-AD$10)&gt;=1000</formula>
    </cfRule>
  </conditionalFormatting>
  <conditionalFormatting sqref="AE5">
    <cfRule type="expression" dxfId="300" priority="5">
      <formula>ABS(AE$7-AE$10)&gt;=1000</formula>
    </cfRule>
  </conditionalFormatting>
  <conditionalFormatting sqref="T16">
    <cfRule type="expression" dxfId="299" priority="4">
      <formula>ABS(T$16-T$19)&gt;=1000</formula>
    </cfRule>
  </conditionalFormatting>
  <conditionalFormatting sqref="F14">
    <cfRule type="expression" dxfId="298" priority="3">
      <formula>ABS(F$16-F$19)&gt;=1000</formula>
    </cfRule>
  </conditionalFormatting>
  <conditionalFormatting sqref="R14">
    <cfRule type="expression" dxfId="297" priority="2">
      <formula>ABS(R$16-R$19)&gt;=1000</formula>
    </cfRule>
  </conditionalFormatting>
  <conditionalFormatting sqref="O23">
    <cfRule type="expression" dxfId="296" priority="1">
      <formula>ABS(O$25-O$28)&gt;=1000</formula>
    </cfRule>
  </conditionalFormatting>
  <dataValidations count="1">
    <dataValidation operator="greaterThanOrEqual" allowBlank="1" showErrorMessage="1" sqref="D6"/>
  </dataValidations>
  <printOptions horizontalCentered="1"/>
  <pageMargins left="0.39370078740157483" right="0.39370078740157483" top="0.39370078740157483" bottom="0.39370078740157483" header="0.51181102362204722" footer="0.51181102362204722"/>
  <pageSetup paperSize="9" scale="60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73697" r:id="rId4" name="Button 1">
              <controlPr defaultSize="0" print="0" autoFill="0" autoPict="0">
                <anchor moveWithCells="1">
                  <from>
                    <xdr:col>31</xdr:col>
                    <xdr:colOff>0</xdr:colOff>
                    <xdr:row>0</xdr:row>
                    <xdr:rowOff>342900</xdr:rowOff>
                  </from>
                  <to>
                    <xdr:col>32</xdr:col>
                    <xdr:colOff>411480</xdr:colOff>
                    <xdr:row>3</xdr:row>
                    <xdr:rowOff>30480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984">
    <pageSetUpPr fitToPage="1"/>
  </sheetPr>
  <dimension ref="A1:CU223"/>
  <sheetViews>
    <sheetView view="pageBreakPreview" topLeftCell="A18" zoomScale="85" zoomScaleNormal="100" zoomScaleSheetLayoutView="85" workbookViewId="0">
      <selection activeCell="Z23" sqref="Z23:AE29"/>
    </sheetView>
  </sheetViews>
  <sheetFormatPr defaultColWidth="8.109375" defaultRowHeight="25.8"/>
  <cols>
    <col min="1" max="1" width="11.6640625" style="64" customWidth="1" phonetic="1"/>
    <col min="2" max="2" width="7.6640625" style="64" customWidth="1" phonetic="1"/>
    <col min="3" max="3" width="8" style="64" customWidth="1" phonetic="1"/>
    <col min="4" max="8" width="7.6640625" style="64" customWidth="1" phonetic="1"/>
    <col min="9" max="9" width="8" style="64" customWidth="1" phonetic="1"/>
    <col min="10" max="12" width="7.6640625" style="64" customWidth="1" phonetic="1"/>
    <col min="13" max="13" width="7.77734375" style="64" bestFit="1" customWidth="1" phonetic="1"/>
    <col min="14" max="30" width="7.6640625" style="64" customWidth="1" phonetic="1"/>
    <col min="31" max="31" width="7.6640625" style="75" customWidth="1" phonetic="1"/>
    <col min="32" max="32" width="11.6640625" style="64" bestFit="1" customWidth="1" phonetic="1"/>
    <col min="33" max="33" width="22.109375" style="64" customWidth="1" phonetic="1"/>
    <col min="34" max="34" width="5.6640625" style="64" customWidth="1" phonetic="1"/>
    <col min="35" max="35" width="18.21875" style="64" customWidth="1" phonetic="1"/>
    <col min="36" max="36" width="12" style="64" bestFit="1" customWidth="1" phonetic="1"/>
    <col min="37" max="37" width="11.6640625" style="64" bestFit="1" customWidth="1" phonetic="1"/>
    <col min="38" max="38" width="5.6640625" style="64" customWidth="1" phonetic="1"/>
    <col min="39" max="39" width="11.44140625" style="64" bestFit="1" customWidth="1" phonetic="1"/>
    <col min="40" max="40" width="6.21875" style="64" customWidth="1" phonetic="1"/>
    <col min="41" max="41" width="8.6640625" style="64" customWidth="1" phonetic="1"/>
    <col min="42" max="42" width="11.21875" style="64" customWidth="1" phonetic="1"/>
    <col min="43" max="43" width="11.77734375" style="64" customWidth="1" phonetic="1"/>
    <col min="44" max="44" width="11.21875" style="64" customWidth="1" phonetic="1"/>
    <col min="45" max="45" width="11.21875" style="64" bestFit="1" customWidth="1" phonetic="1"/>
    <col min="46" max="46" width="41.77734375" style="64" customWidth="1" phonetic="1"/>
    <col min="47" max="47" width="7.77734375" style="64" customWidth="1" phonetic="1"/>
    <col min="48" max="48" width="17.109375" style="64" customWidth="1" phonetic="1"/>
    <col min="49" max="49" width="6.21875" style="64" customWidth="1" phonetic="1"/>
    <col min="50" max="50" width="10" style="64" customWidth="1" phonetic="1"/>
    <col min="51" max="51" width="6.21875" style="64" customWidth="1" phonetic="1"/>
    <col min="52" max="52" width="6.88671875" style="64" customWidth="1" phonetic="1"/>
    <col min="53" max="53" width="6.44140625" style="64" customWidth="1" phonetic="1"/>
    <col min="54" max="54" width="15.44140625" style="64" customWidth="1" phonetic="1"/>
    <col min="55" max="55" width="6.21875" style="64" customWidth="1" phonetic="1"/>
    <col min="56" max="56" width="22.109375" style="64" bestFit="1" customWidth="1" phonetic="1"/>
    <col min="57" max="57" width="6.44140625" style="64" customWidth="1" phonetic="1"/>
    <col min="58" max="60" width="6.21875" style="64" customWidth="1" phonetic="1"/>
    <col min="61" max="16384" width="8.109375" style="64" phonetic="1"/>
  </cols>
  <sheetData>
    <row r="1" spans="1:99" ht="31.2" ph="1">
      <c r="A1" s="64"/>
      <c r="B1" s="238" t="s" ph="1">
        <v>161</v>
      </c>
      <c r="C1" s="238" ph="1"/>
      <c r="D1" s="238" ph="1"/>
      <c r="E1" s="238" ph="1"/>
      <c r="F1" s="238" ph="1"/>
      <c r="G1" s="238" ph="1"/>
      <c r="H1" s="238" ph="1"/>
      <c r="I1" s="238" ph="1"/>
      <c r="J1" s="238" ph="1"/>
      <c r="K1" s="238" ph="1"/>
      <c r="L1" s="238" ph="1"/>
      <c r="M1" s="238" ph="1"/>
      <c r="N1" s="238" ph="1"/>
      <c r="O1" s="238" ph="1"/>
      <c r="P1" s="238" ph="1"/>
      <c r="Q1" s="238" ph="1"/>
      <c r="R1" s="238" ph="1"/>
      <c r="S1" s="238" ph="1"/>
      <c r="T1" s="238" ph="1"/>
      <c r="U1" s="238" ph="1"/>
      <c r="V1" s="238" ph="1"/>
      <c r="W1" s="238" ph="1"/>
      <c r="X1" s="238" ph="1"/>
      <c r="Y1" s="238" ph="1"/>
      <c r="Z1" s="238" ph="1"/>
      <c r="AA1" s="238" ph="1"/>
      <c r="AB1" s="238" ph="1"/>
      <c r="AC1" s="238" ph="1"/>
      <c r="AD1" s="238" ph="1"/>
      <c r="AE1" s="238" ph="1"/>
    </row>
    <row r="2" spans="1:99" s="66" customFormat="1" ht="24" customHeight="1" ph="1">
      <c r="B2" s="239" t="s" ph="1">
        <v>82</v>
      </c>
      <c r="C2" s="239" ph="1"/>
      <c r="D2" s="239" ph="1"/>
      <c r="E2" s="239" ph="1"/>
      <c r="F2" s="239" ph="1"/>
      <c r="G2" s="239" ph="1"/>
      <c r="H2" s="239" ph="1"/>
      <c r="I2" s="239" ph="1"/>
      <c r="J2" s="239" ph="1"/>
      <c r="K2" s="239" ph="1"/>
      <c r="L2" s="239" ph="1"/>
      <c r="M2" s="239" ph="1"/>
      <c r="N2" s="239" ph="1"/>
      <c r="O2" s="239" ph="1"/>
      <c r="P2" s="239" ph="1"/>
      <c r="Q2" s="239" ph="1"/>
      <c r="R2" s="239" ph="1"/>
      <c r="S2" s="239" ph="1"/>
      <c r="T2" s="239" ph="1"/>
      <c r="U2" s="239" ph="1"/>
      <c r="V2" s="239" ph="1"/>
      <c r="W2" s="239" ph="1"/>
      <c r="X2" s="239" ph="1"/>
      <c r="Y2" s="239" ph="1"/>
      <c r="Z2" s="239" ph="1"/>
      <c r="AA2" s="239" ph="1"/>
      <c r="AB2" s="239" ph="1"/>
      <c r="AC2" s="239" ph="1"/>
      <c r="AD2" s="239" ph="1"/>
      <c r="AE2" s="239" ph="1"/>
    </row>
    <row r="3" spans="1:99" ht="21" customHeight="1" ph="1">
      <c r="B3" s="240" ph="1">
        <v>46294</v>
      </c>
      <c r="C3" s="240"/>
      <c r="D3" s="240"/>
      <c r="E3" s="240"/>
      <c r="F3" s="240"/>
      <c r="G3" s="240"/>
      <c r="H3" s="240"/>
      <c r="I3" s="240"/>
      <c r="J3" s="240"/>
      <c r="K3" s="240"/>
      <c r="L3" s="240"/>
      <c r="M3" s="240"/>
      <c r="N3" s="240"/>
      <c r="O3" s="240"/>
      <c r="P3" s="240"/>
      <c r="Q3" s="240"/>
      <c r="R3" s="240"/>
      <c r="S3" s="240"/>
      <c r="T3" s="240"/>
      <c r="U3" s="240"/>
      <c r="V3" s="240"/>
      <c r="W3" s="240"/>
      <c r="X3" s="240"/>
      <c r="Y3" s="240"/>
      <c r="Z3" s="240"/>
      <c r="AA3" s="240"/>
      <c r="AB3" s="240"/>
      <c r="AC3" s="240"/>
      <c r="AD3" s="240"/>
      <c r="AE3" s="240"/>
    </row>
    <row r="4" spans="1:99" s="69" customFormat="1" ph="1">
      <c r="A4" s="65" ph="1"/>
      <c r="B4" s="219" t="s" ph="1">
        <v>37</v>
      </c>
      <c r="C4" s="67" t="s" ph="1">
        <v>176</v>
      </c>
      <c r="D4" s="68" t="s" ph="1">
        <v>44</v>
      </c>
      <c r="E4" s="68" t="s" ph="1">
        <v>45</v>
      </c>
      <c r="F4" s="68" t="s" ph="1">
        <v>39</v>
      </c>
      <c r="G4" s="68" t="s" ph="1">
        <v>46</v>
      </c>
      <c r="H4" s="68" t="s" ph="1">
        <v>47</v>
      </c>
      <c r="I4" s="68" t="s" ph="1">
        <v>110</v>
      </c>
      <c r="J4" s="68" t="s" ph="1">
        <v>48</v>
      </c>
      <c r="K4" s="68" t="s" ph="1">
        <v>111</v>
      </c>
      <c r="L4" s="68" t="s" ph="1">
        <v>112</v>
      </c>
      <c r="M4" s="68" t="s" ph="1">
        <v>49</v>
      </c>
      <c r="N4" s="68" t="s" ph="1">
        <v>50</v>
      </c>
      <c r="O4" s="68" t="s" ph="1">
        <v>113</v>
      </c>
      <c r="P4" s="68" t="s" ph="1">
        <v>114</v>
      </c>
      <c r="Q4" s="68" t="s" ph="1">
        <v>115</v>
      </c>
      <c r="R4" s="68" t="s" ph="1">
        <v>116</v>
      </c>
      <c r="S4" s="68" t="s" ph="1">
        <v>117</v>
      </c>
      <c r="T4" s="68" t="s" ph="1">
        <v>118</v>
      </c>
      <c r="U4" s="68" t="s" ph="1">
        <v>119</v>
      </c>
      <c r="V4" s="68" t="s" ph="1">
        <v>120</v>
      </c>
      <c r="W4" s="68" t="s" ph="1">
        <v>121</v>
      </c>
      <c r="X4" s="68" t="s" ph="1">
        <v>122</v>
      </c>
      <c r="Y4" s="68" t="s" ph="1">
        <v>123</v>
      </c>
      <c r="Z4" s="68" t="s" ph="1">
        <v>51</v>
      </c>
      <c r="AA4" s="68" t="s" ph="1">
        <v>124</v>
      </c>
      <c r="AB4" s="68" t="s" ph="1">
        <v>125</v>
      </c>
      <c r="AC4" s="68" t="s" ph="1">
        <v>126</v>
      </c>
      <c r="AD4" s="68" t="s" ph="1">
        <v>40</v>
      </c>
      <c r="AE4" s="68" t="s" ph="1">
        <v>127</v>
      </c>
      <c r="AF4" s="65" ph="1"/>
      <c r="AG4" s="65" ph="1"/>
      <c r="AH4" s="65" ph="1"/>
      <c r="AI4" s="65" ph="1"/>
      <c r="AJ4" s="65" ph="1"/>
      <c r="AK4" s="65" ph="1"/>
      <c r="AL4" s="65" ph="1"/>
      <c r="AM4" s="65" ph="1"/>
      <c r="AN4" s="65" ph="1"/>
      <c r="AO4" s="65" ph="1"/>
      <c r="AP4" s="65" ph="1"/>
      <c r="AQ4" s="65" ph="1"/>
      <c r="AR4" s="65" ph="1"/>
      <c r="AS4" s="65" ph="1"/>
      <c r="AT4" s="65" ph="1"/>
      <c r="AU4" s="65" ph="1"/>
      <c r="AV4" s="65" ph="1"/>
      <c r="AW4" s="65" ph="1"/>
      <c r="AX4" s="65" ph="1"/>
      <c r="AY4" s="65" ph="1"/>
      <c r="AZ4" s="65" ph="1"/>
      <c r="BA4" s="65" ph="1"/>
      <c r="BB4" s="65" ph="1"/>
      <c r="BC4" s="65" ph="1"/>
      <c r="BD4" s="65" ph="1"/>
      <c r="BE4" s="65" ph="1"/>
      <c r="BF4" s="65" ph="1"/>
      <c r="BG4" s="65" ph="1"/>
      <c r="BH4" s="65" ph="1"/>
      <c r="BI4" s="65" ph="1"/>
      <c r="BJ4" s="65" ph="1"/>
      <c r="BK4" s="65" ph="1"/>
      <c r="BL4" s="65" ph="1"/>
      <c r="BM4" s="65" ph="1"/>
      <c r="BN4" s="65" ph="1"/>
      <c r="BO4" s="65" ph="1"/>
      <c r="BP4" s="65" ph="1"/>
      <c r="BQ4" s="65" ph="1"/>
      <c r="BR4" s="65" ph="1"/>
      <c r="BS4" s="65" ph="1"/>
      <c r="BT4" s="65" ph="1"/>
      <c r="BU4" s="65" ph="1"/>
      <c r="BV4" s="65" ph="1"/>
      <c r="BW4" s="65" ph="1"/>
      <c r="BX4" s="65" ph="1"/>
      <c r="BY4" s="65" ph="1"/>
      <c r="BZ4" s="65" ph="1"/>
      <c r="CA4" s="65" ph="1"/>
      <c r="CB4" s="65" ph="1"/>
      <c r="CC4" s="65" ph="1"/>
      <c r="CD4" s="65" ph="1"/>
      <c r="CE4" s="65" ph="1"/>
      <c r="CF4" s="65" ph="1"/>
      <c r="CG4" s="65" ph="1"/>
      <c r="CH4" s="65" ph="1"/>
      <c r="CI4" s="65" ph="1"/>
      <c r="CJ4" s="65" ph="1"/>
      <c r="CK4" s="65" ph="1"/>
      <c r="CL4" s="65" ph="1"/>
      <c r="CM4" s="65" ph="1"/>
      <c r="CN4" s="65" ph="1"/>
      <c r="CO4" s="65" ph="1"/>
      <c r="CP4" s="65" ph="1"/>
      <c r="CQ4" s="65" ph="1"/>
      <c r="CR4" s="65" ph="1"/>
      <c r="CS4" s="65" ph="1"/>
      <c r="CT4" s="65" ph="1"/>
      <c r="CU4" s="65" ph="1"/>
    </row>
    <row r="5" spans="1:99" s="69" customFormat="1" ht="29.25" customHeight="1" ph="1">
      <c r="A5" s="65" ph="1"/>
      <c r="B5" s="219" ph="1"/>
      <c r="C5" s="67" t="s" ph="1">
        <v>36</v>
      </c>
      <c r="D5" s="70" t="s" ph="1">
        <v>160</v>
      </c>
      <c r="E5" s="142" t="s" ph="1">
        <v>642</v>
      </c>
      <c r="F5" s="142" t="s" ph="1">
        <v>1</v>
      </c>
      <c r="G5" s="142" t="s" ph="1">
        <v>7</v>
      </c>
      <c r="H5" s="142" t="s" ph="1">
        <v>7</v>
      </c>
      <c r="I5" s="141" t="s" ph="1">
        <v>608</v>
      </c>
      <c r="J5" s="141" t="s" ph="1">
        <v>609</v>
      </c>
      <c r="K5" s="141" t="s" ph="1">
        <v>611</v>
      </c>
      <c r="L5" s="141" t="s" ph="1">
        <v>613</v>
      </c>
      <c r="M5" s="141" t="s" ph="1">
        <v>608</v>
      </c>
      <c r="N5" s="70" t="s" ph="1">
        <v>609</v>
      </c>
      <c r="O5" s="70" t="s" ph="1">
        <v>611</v>
      </c>
      <c r="P5" s="70" t="s" ph="1">
        <v>613</v>
      </c>
      <c r="Q5" s="70" t="s" ph="1">
        <v>607</v>
      </c>
      <c r="R5" s="70" t="s" ph="1">
        <v>607</v>
      </c>
      <c r="S5" s="70" t="s" ph="1">
        <v>607</v>
      </c>
      <c r="T5" s="70" t="s" ph="1">
        <v>607</v>
      </c>
      <c r="U5" s="70" t="s" ph="1">
        <v>607</v>
      </c>
      <c r="V5" s="70" t="s" ph="1">
        <v>607</v>
      </c>
      <c r="W5" s="70" t="s" ph="1">
        <v>607</v>
      </c>
      <c r="X5" s="70" t="s" ph="1">
        <v>607</v>
      </c>
      <c r="Y5" s="70" t="s" ph="1">
        <v>607</v>
      </c>
      <c r="Z5" s="70" t="s" ph="1">
        <v>614</v>
      </c>
      <c r="AA5" s="70" t="s" ph="1">
        <v>54</v>
      </c>
      <c r="AB5" s="70" t="s" ph="1">
        <v>54</v>
      </c>
      <c r="AC5" s="70" t="s" ph="1">
        <v>615</v>
      </c>
      <c r="AD5" s="71" t="s">
        <v>72</v>
      </c>
      <c r="AE5" s="71" t="s">
        <v>635</v>
      </c>
      <c r="AF5" s="65" ph="1"/>
      <c r="AG5" s="65" ph="1"/>
      <c r="AH5" s="65" ph="1"/>
      <c r="AI5" s="65" ph="1"/>
      <c r="AJ5" s="65" ph="1"/>
      <c r="AK5" s="65" ph="1"/>
      <c r="AL5" s="65" ph="1"/>
      <c r="AM5" s="65" ph="1"/>
      <c r="AN5" s="65" ph="1"/>
      <c r="AO5" s="65" ph="1"/>
      <c r="AP5" s="65" ph="1"/>
      <c r="AQ5" s="65" ph="1"/>
      <c r="AR5" s="65" ph="1"/>
      <c r="AS5" s="65" ph="1"/>
      <c r="AT5" s="65" ph="1"/>
      <c r="AU5" s="65" ph="1"/>
      <c r="AV5" s="65" ph="1"/>
      <c r="AW5" s="65" ph="1"/>
      <c r="AX5" s="65" ph="1"/>
      <c r="AY5" s="65" ph="1"/>
      <c r="AZ5" s="65" ph="1"/>
      <c r="BA5" s="65" ph="1"/>
      <c r="BB5" s="65" ph="1"/>
      <c r="BC5" s="65" ph="1"/>
      <c r="BD5" s="65" ph="1"/>
      <c r="BE5" s="65" ph="1"/>
      <c r="BF5" s="65" ph="1"/>
      <c r="BG5" s="65" ph="1"/>
      <c r="BH5" s="65" ph="1"/>
      <c r="BI5" s="65" ph="1"/>
      <c r="BJ5" s="65" ph="1"/>
      <c r="BK5" s="65" ph="1"/>
      <c r="BL5" s="65" ph="1"/>
      <c r="BM5" s="65" ph="1"/>
      <c r="BN5" s="65" ph="1"/>
      <c r="BO5" s="65" ph="1"/>
      <c r="BP5" s="65" ph="1"/>
      <c r="BQ5" s="65" ph="1"/>
      <c r="BR5" s="65" ph="1"/>
      <c r="BS5" s="65" ph="1"/>
      <c r="BT5" s="65" ph="1"/>
      <c r="BU5" s="65" ph="1"/>
      <c r="BV5" s="65" ph="1"/>
      <c r="BW5" s="65" ph="1"/>
      <c r="BX5" s="65" ph="1"/>
      <c r="BY5" s="65" ph="1"/>
      <c r="BZ5" s="65" ph="1"/>
      <c r="CA5" s="65" ph="1"/>
      <c r="CB5" s="65" ph="1"/>
      <c r="CC5" s="65" ph="1"/>
      <c r="CD5" s="65" ph="1"/>
      <c r="CE5" s="65" ph="1"/>
      <c r="CF5" s="65" ph="1"/>
      <c r="CG5" s="65" ph="1"/>
      <c r="CH5" s="65" ph="1"/>
      <c r="CI5" s="65" ph="1"/>
      <c r="CJ5" s="65" ph="1"/>
      <c r="CK5" s="65" ph="1"/>
      <c r="CL5" s="65" ph="1"/>
      <c r="CM5" s="65" ph="1"/>
      <c r="CN5" s="65" ph="1"/>
      <c r="CO5" s="65" ph="1"/>
      <c r="CP5" s="65" ph="1"/>
      <c r="CQ5" s="65" ph="1"/>
      <c r="CR5" s="65" ph="1"/>
      <c r="CS5" s="65" ph="1"/>
      <c r="CT5" s="65" ph="1"/>
      <c r="CU5" s="65" ph="1"/>
    </row>
    <row r="6" spans="1:99" ph="1">
      <c r="B6" s="237" ph="1">
        <v>0.33333333333333331</v>
      </c>
      <c r="C6" s="158" t="s" ph="1">
        <v>177</v>
      </c>
      <c r="D6" s="71">
        <v>2825</v>
      </c>
      <c r="E6" s="71">
        <v>3446</v>
      </c>
      <c r="F6" s="71">
        <v>3185</v>
      </c>
      <c r="G6" s="71">
        <v>2674</v>
      </c>
      <c r="H6" s="71">
        <v>362</v>
      </c>
      <c r="I6" s="71">
        <v>4.5199999999999996</v>
      </c>
      <c r="J6" s="71">
        <v>6.64</v>
      </c>
      <c r="K6" s="71">
        <v>63.7</v>
      </c>
      <c r="L6" s="71">
        <v>6.4</v>
      </c>
      <c r="M6" s="71">
        <v>3235</v>
      </c>
      <c r="N6" s="71">
        <v>1048</v>
      </c>
      <c r="O6" s="71">
        <v>5305</v>
      </c>
      <c r="P6" s="71">
        <v>7827</v>
      </c>
      <c r="Q6" s="71">
        <v>7148</v>
      </c>
      <c r="R6" s="71">
        <v>7291</v>
      </c>
      <c r="S6" s="71">
        <v>5490</v>
      </c>
      <c r="T6" s="71">
        <v>7132</v>
      </c>
      <c r="U6" s="71">
        <v>4433</v>
      </c>
      <c r="V6" s="71">
        <v>0</v>
      </c>
      <c r="W6" s="71">
        <v>0</v>
      </c>
      <c r="X6" s="71">
        <v>3129</v>
      </c>
      <c r="Y6" s="71">
        <v>6140</v>
      </c>
      <c r="Z6" s="71">
        <v>6762</v>
      </c>
      <c r="AA6" s="71">
        <v>1120</v>
      </c>
      <c r="AB6" s="71">
        <v>662</v>
      </c>
      <c r="AC6" s="71">
        <v>8756</v>
      </c>
      <c r="AD6" s="71">
        <v>4721</v>
      </c>
      <c r="AE6" s="71">
        <v>5203</v>
      </c>
    </row>
    <row r="7" spans="1:99" s="72" customFormat="1" ht="22.2" ph="1">
      <c r="B7" s="237" ph="1"/>
      <c r="C7" s="68" t="s" ph="1">
        <v>178</v>
      </c>
      <c r="D7" s="73" ph="1">
        <f>D6*33.183*LOOKUP(D8,密度!$A$2:$A$50,密度!$Q$2:$Q$50)</f>
        <v>88051.837117500007</v>
      </c>
      <c r="E7" s="73" ph="1">
        <f>E6*51.53*LOOKUP(E8,密度!$A$2:$A$50,密度!$B$2:$B$50)</f>
        <v>138275.612306</v>
      </c>
      <c r="F7" s="73" ph="1">
        <f>F6*33.183*LOOKUP(F8,密度!$A$2:$A$50,密度!$C$2:$C$50)</f>
        <v>117038.73062699998</v>
      </c>
      <c r="G7" s="73" ph="1">
        <f xml:space="preserve"> (G6+2)*51.53*LOOKUP(G8,密度!$A$2:$A$50,密度!$B$2:$B$50)</f>
        <v>107267.960412</v>
      </c>
      <c r="H7" s="73" ph="1">
        <f>(H6)*51.53*LOOKUP(H8,密度!$A$2:$A$50,密度!$B$2:$B$50)</f>
        <v>14542.549256</v>
      </c>
      <c r="I7" s="73" ph="1">
        <f>I6*290.8*1.0267</f>
        <v>1349.5109071999998</v>
      </c>
      <c r="J7" s="73" ph="1">
        <f>J6*290.8*0.7892</f>
        <v>1523.8757504</v>
      </c>
      <c r="K7" s="73" ph="1">
        <f>K6*290.8*1.1126</f>
        <v>20609.757896000003</v>
      </c>
      <c r="L7" s="73" ph="1">
        <f>L6*290.8*0.777</f>
        <v>1446.0902400000002</v>
      </c>
      <c r="M7" s="73" ph="1">
        <f>M6*33.183*LOOKUP(M8,密度!$A$2:$A$50,密度!$D$2:$D$50)</f>
        <v>110009.210724</v>
      </c>
      <c r="N7" s="73" ph="1">
        <f>N6*33.183*LOOKUP(N8,密度!$A$2:$A$50,密度!$E$2:$E$50)</f>
        <v>27198.140666399999</v>
      </c>
      <c r="O7" s="73" ph="1">
        <f>O6*20.428*LOOKUP(O8,密度!$A$2:$A$50,密度!$C$2:$C$50)</f>
        <v>119651.91321400001</v>
      </c>
      <c r="P7" s="73" ph="1">
        <f>P6*51.53*LOOKUP(P8,密度!$A$2:$A$50,密度!$B$2:$B$50)</f>
        <v>314069.41889699997</v>
      </c>
      <c r="Q7" s="73" ph="1">
        <f>Q6*1.5*1.5*3.1416*LOOKUP(W8,密度!$A$2:$A$50,密度!$L$2:$L$50)</f>
        <v>47292.666220800005</v>
      </c>
      <c r="R7" s="73" ph="1">
        <f>R6*1.5*1.5*3.1416*LOOKUP(R8,密度!$A$2:$A$50,密度!$L$2:$L$50)</f>
        <v>47826.4868928</v>
      </c>
      <c r="S7" s="73" ph="1">
        <f>S6*1.5*1.5*3.1416*LOOKUP(S8,密度!$A$2:$A$50,密度!$L$2:$L$50)</f>
        <v>36361.797318000004</v>
      </c>
      <c r="T7" s="73" ph="1">
        <f>T6*1.5*1.5*3.1416*LOOKUP(T8,密度!$A$2:$A$50,密度!$L$2:$L$50)</f>
        <v>47338.046632799997</v>
      </c>
      <c r="U7" s="73" ph="1">
        <f>U6*1.5*1.5*3.1416*LOOKUP(U8,密度!$A$2:$A$50,密度!$L$2:$L$50)</f>
        <v>29329.657156800004</v>
      </c>
      <c r="V7" s="73" ph="1">
        <f>V6*1.5*1.5*3.1416*LOOKUP(V8,密度!$A$2:$A$50,密度!$L$2:$L$50)</f>
        <v>0</v>
      </c>
      <c r="W7" s="73" ph="1">
        <f>W6*1.5*1.5*3.1416*LOOKUP(W8,密度!$A$2:$A$50,密度!$L$2:$L$50)</f>
        <v>0</v>
      </c>
      <c r="X7" s="73" ph="1">
        <f>X6*1.5*1.5*3.1416*LOOKUP(X8,密度!$A$2:$A$50,密度!$L$2:$L$50)</f>
        <v>20856.943384199996</v>
      </c>
      <c r="Y7" s="73" ph="1">
        <f>Y6*1.5*1.5*3.1416*LOOKUP(Y8,密度!$A$2:$A$50,密度!$L$2:$L$50)</f>
        <v>40580.125740000003</v>
      </c>
      <c r="Z7" s="73" ph="1">
        <f>Z6*33.183*LOOKUP(Z8,密度!$A$2:$A$50,密度!$L$2:$L$50)</f>
        <v>210471.67234799999</v>
      </c>
      <c r="AA7" s="73" ph="1">
        <f>AA6*33.183*LOOKUP(AA8,密度!$A$2:$A$50,密度!$D$2:$D$50)</f>
        <v>38086.651007999993</v>
      </c>
      <c r="AB7" s="73" ph="1">
        <f>AB6*20.428*LOOKUP(AB8,密度!$A$2:$A$50,密度!$D$2:$D$50)</f>
        <v>13947.968750400003</v>
      </c>
      <c r="AC7" s="73" ph="1">
        <f>AC6*51.53*LOOKUP(AC8,密度!$A$2:$A$50,密度!$Q$2:$Q$50)</f>
        <v>426845.59518040001</v>
      </c>
      <c r="AD7" s="73" ph="1">
        <f>AD6*20.428*LOOKUP(AD8,密度!$A$2:$A$50,密度!$V$2:$V$50)</f>
        <v>92351.507068799998</v>
      </c>
      <c r="AE7" s="73" ph="1">
        <f>AE6*20.428</f>
        <v>106286.88400000001</v>
      </c>
    </row>
    <row r="8" spans="1:99" ph="1">
      <c r="B8" s="237" ph="1"/>
      <c r="C8" s="68" t="s" ph="1">
        <v>179</v>
      </c>
      <c r="D8" s="74">
        <v>36</v>
      </c>
      <c r="E8" s="74">
        <v>26</v>
      </c>
      <c r="F8" s="74">
        <v>27</v>
      </c>
      <c r="G8" s="74">
        <v>27</v>
      </c>
      <c r="H8" s="74">
        <v>25</v>
      </c>
      <c r="I8" s="74">
        <v>25</v>
      </c>
      <c r="J8" s="74">
        <v>25</v>
      </c>
      <c r="K8" s="74">
        <v>25</v>
      </c>
      <c r="L8" s="74">
        <v>25</v>
      </c>
      <c r="M8" s="74">
        <v>27</v>
      </c>
      <c r="N8" s="74">
        <v>26</v>
      </c>
      <c r="O8" s="74">
        <v>31</v>
      </c>
      <c r="P8" s="74">
        <v>26</v>
      </c>
      <c r="Q8" s="74">
        <v>31</v>
      </c>
      <c r="R8" s="74">
        <v>34</v>
      </c>
      <c r="S8" s="74">
        <v>25</v>
      </c>
      <c r="T8" s="74">
        <v>23</v>
      </c>
      <c r="U8" s="74">
        <v>26</v>
      </c>
      <c r="V8" s="74">
        <v>28</v>
      </c>
      <c r="W8" s="74">
        <v>26</v>
      </c>
      <c r="X8" s="74">
        <v>19</v>
      </c>
      <c r="Y8" s="74">
        <v>27</v>
      </c>
      <c r="Z8" s="74">
        <v>24</v>
      </c>
      <c r="AA8" s="74">
        <v>27</v>
      </c>
      <c r="AB8" s="74">
        <v>20</v>
      </c>
      <c r="AC8" s="74">
        <v>26</v>
      </c>
      <c r="AD8" s="74">
        <v>26</v>
      </c>
      <c r="AE8" s="74">
        <v>28</v>
      </c>
    </row>
    <row r="9" spans="1:99" ht="26.4" ph="1">
      <c r="B9" s="237" ph="1">
        <v>0.66666666666666663</v>
      </c>
      <c r="C9" s="158" t="s" ph="1">
        <v>180</v>
      </c>
      <c r="D9" s="71">
        <v>3099</v>
      </c>
      <c r="E9" s="71">
        <v>3442</v>
      </c>
      <c r="F9" s="71">
        <v>3187</v>
      </c>
      <c r="G9" s="71">
        <v>3539</v>
      </c>
      <c r="H9" s="71">
        <v>92</v>
      </c>
      <c r="I9" s="71">
        <v>4.4800000000000004</v>
      </c>
      <c r="J9" s="71">
        <v>6.7</v>
      </c>
      <c r="K9" s="71">
        <v>64.16</v>
      </c>
      <c r="L9" s="71">
        <v>66.930000000000007</v>
      </c>
      <c r="M9" s="71">
        <v>3234</v>
      </c>
      <c r="N9" s="71">
        <v>798</v>
      </c>
      <c r="O9" s="71">
        <v>5307</v>
      </c>
      <c r="P9" s="71">
        <v>7681</v>
      </c>
      <c r="Q9" s="71">
        <v>7157</v>
      </c>
      <c r="R9" s="71">
        <v>7299</v>
      </c>
      <c r="S9" s="71">
        <v>5497</v>
      </c>
      <c r="T9" s="71">
        <v>7141</v>
      </c>
      <c r="U9" s="71">
        <v>7119</v>
      </c>
      <c r="V9" s="71">
        <v>6183</v>
      </c>
      <c r="W9" s="71">
        <v>2614</v>
      </c>
      <c r="X9" s="71">
        <v>0</v>
      </c>
      <c r="Y9" s="71">
        <v>4285</v>
      </c>
      <c r="Z9" s="71">
        <v>4311</v>
      </c>
      <c r="AA9" s="71">
        <v>1120</v>
      </c>
      <c r="AB9" s="71">
        <v>492</v>
      </c>
      <c r="AC9" s="71">
        <v>8879</v>
      </c>
      <c r="AD9" s="71">
        <v>4728</v>
      </c>
      <c r="AE9" s="71">
        <v>5170</v>
      </c>
    </row>
    <row r="10" spans="1:99" s="72" customFormat="1" ht="22.2" ph="1">
      <c r="B10" s="237" ph="1"/>
      <c r="C10" s="158" t="s" ph="1">
        <v>178</v>
      </c>
      <c r="D10" s="73" ph="1">
        <f>D9*33.183*LOOKUP(D11,密度!$A$2:$A$50,密度!$Q$2:$Q$50)</f>
        <v>96525.243922049995</v>
      </c>
      <c r="E10" s="73" ph="1">
        <f>E9*51.53*LOOKUP(E11,密度!$A$2:$A$50,密度!$B$2:$B$50)</f>
        <v>137352.431744</v>
      </c>
      <c r="F10" s="73" ph="1">
        <f>F9*33.183*LOOKUP(F11,密度!$A$2:$A$50,密度!$C$2:$C$50)</f>
        <v>116953.59300390002</v>
      </c>
      <c r="G10" s="73" ph="1">
        <f xml:space="preserve"> (G9+2)*51.53*LOOKUP(G11,密度!$A$2:$A$50,密度!$B$2:$B$50)</f>
        <v>141303.01011200002</v>
      </c>
      <c r="H10" s="73" ph="1">
        <f>(H9)*51.53*LOOKUP(H11,密度!$A$2:$A$50,密度!$B$2:$B$50)</f>
        <v>3658.9185680000005</v>
      </c>
      <c r="I10" s="73" ph="1">
        <f>I9*290.8*1.0267</f>
        <v>1337.5683328</v>
      </c>
      <c r="J10" s="73" ph="1">
        <f>J9*290.8*0.7892</f>
        <v>1537.6457120000002</v>
      </c>
      <c r="K10" s="73" ph="1">
        <f>K9*290.8*1.1126</f>
        <v>20758.588172799999</v>
      </c>
      <c r="L10" s="73" ph="1">
        <f>L9*290.8*0.777</f>
        <v>15122.940588000003</v>
      </c>
      <c r="M10" s="73" ph="1">
        <f>M9*33.183*LOOKUP(M11,密度!$A$2:$A$50,密度!$D$2:$D$50)</f>
        <v>109299.12770699999</v>
      </c>
      <c r="N10" s="73" ph="1">
        <f>N9*33.183*LOOKUP(N11,密度!$A$2:$A$50,密度!$E$2:$E$50)</f>
        <v>20470.655084039998</v>
      </c>
      <c r="O10" s="73" ph="1">
        <f>O9*20.428*LOOKUP(O11,密度!$A$2:$A$50,密度!$C$2:$C$50)</f>
        <v>119241.69446040002</v>
      </c>
      <c r="P10" s="73" ph="1">
        <f>P9*51.53*LOOKUP(P11,密度!$A$2:$A$50,密度!$B$2:$B$50)</f>
        <v>305479.92957400001</v>
      </c>
      <c r="Q10" s="73" ph="1">
        <f>Q9*1.5*1.5*3.1416*LOOKUP(W11,密度!$A$2:$A$50,密度!$L$2:$L$50)</f>
        <v>47352.212107200001</v>
      </c>
      <c r="R10" s="73" ph="1">
        <f>R9*1.5*1.5*3.1416*LOOKUP(R11,密度!$A$2:$A$50,密度!$L$2:$L$50)</f>
        <v>47827.370467799999</v>
      </c>
      <c r="S10" s="73" ph="1">
        <f>S9*1.5*1.5*3.1416*LOOKUP(S11,密度!$A$2:$A$50,密度!$L$2:$L$50)</f>
        <v>36330.448077000001</v>
      </c>
      <c r="T10" s="73" ph="1">
        <f>T9*1.5*1.5*3.1416*LOOKUP(T11,密度!$A$2:$A$50,密度!$L$2:$L$50)</f>
        <v>47296.829626200008</v>
      </c>
      <c r="U10" s="73" ph="1">
        <f>U9*1.5*1.5*3.1416*LOOKUP(U11,密度!$A$2:$A$50,密度!$L$2:$L$50)</f>
        <v>47100.796142400002</v>
      </c>
      <c r="V10" s="73" ph="1">
        <f>V9*1.5*1.5*3.1416*LOOKUP(V11,密度!$A$2:$A$50,密度!$L$2:$L$50)</f>
        <v>40864.318803000002</v>
      </c>
      <c r="W10" s="73" ph="1">
        <f>W9*1.5*1.5*3.1416*LOOKUP(W11,密度!$A$2:$A$50,密度!$L$2:$L$50)</f>
        <v>17294.771894400001</v>
      </c>
      <c r="X10" s="73" ph="1">
        <f>X9*1.5*1.5*3.1416*LOOKUP(X11,密度!$A$2:$A$50,密度!$L$2:$L$50)</f>
        <v>0</v>
      </c>
      <c r="Y10" s="73" ph="1">
        <f>Y9*1.5*1.5*3.1416*LOOKUP(Y11,密度!$A$2:$A$50,密度!$L$2:$L$50)</f>
        <v>28229.302332000003</v>
      </c>
      <c r="Z10" s="73" ph="1">
        <f>Z9*33.183*LOOKUP(Z11,密度!$A$2:$A$50,密度!$L$2:$L$50)</f>
        <v>133753.53865500001</v>
      </c>
      <c r="AA10" s="73" ph="1">
        <f>AA9*33.183*LOOKUP(AA11,密度!$A$2:$A$50,密度!$D$2:$D$50)</f>
        <v>37852.511760000001</v>
      </c>
      <c r="AB10" s="73" ph="1">
        <f>AB9*20.428*LOOKUP(AB11,密度!$A$2:$A$50,密度!$D$2:$D$50)</f>
        <v>10262.6431536</v>
      </c>
      <c r="AC10" s="73" ph="1">
        <f>AC9*51.53*LOOKUP(AC11,密度!$A$2:$A$50,密度!$Q$2:$Q$50)</f>
        <v>431263.21776460001</v>
      </c>
      <c r="AD10" s="73" ph="1">
        <f>AD9*20.428*LOOKUP(AD11,密度!$A$2:$A$50,密度!$V$2:$V$50)</f>
        <v>92488.440038400004</v>
      </c>
      <c r="AE10" s="73" ph="1">
        <f>AE9*20.428</f>
        <v>105612.76000000001</v>
      </c>
    </row>
    <row r="11" spans="1:99" ph="1">
      <c r="A11" s="64" t="s" ph="1">
        <v>162</v>
      </c>
      <c r="B11" s="237" ph="1"/>
      <c r="C11" s="158" t="s" ph="1">
        <v>179</v>
      </c>
      <c r="D11" s="74">
        <v>37</v>
      </c>
      <c r="E11" s="74">
        <v>31</v>
      </c>
      <c r="F11" s="74">
        <v>29</v>
      </c>
      <c r="G11" s="74">
        <v>31</v>
      </c>
      <c r="H11" s="74">
        <v>34</v>
      </c>
      <c r="I11" s="74">
        <v>25</v>
      </c>
      <c r="J11" s="74">
        <v>25</v>
      </c>
      <c r="K11" s="74">
        <v>25</v>
      </c>
      <c r="L11" s="74">
        <v>25</v>
      </c>
      <c r="M11" s="74">
        <v>34</v>
      </c>
      <c r="N11" s="74">
        <v>34</v>
      </c>
      <c r="O11" s="74">
        <v>35</v>
      </c>
      <c r="P11" s="74">
        <v>34</v>
      </c>
      <c r="Q11" s="74">
        <v>35</v>
      </c>
      <c r="R11" s="74">
        <v>35</v>
      </c>
      <c r="S11" s="74">
        <v>27</v>
      </c>
      <c r="T11" s="74">
        <v>25</v>
      </c>
      <c r="U11" s="74">
        <v>26</v>
      </c>
      <c r="V11" s="74">
        <v>27</v>
      </c>
      <c r="W11" s="74">
        <v>26</v>
      </c>
      <c r="X11" s="74">
        <v>30</v>
      </c>
      <c r="Y11" s="74">
        <v>30</v>
      </c>
      <c r="Z11" s="74">
        <v>27</v>
      </c>
      <c r="AA11" s="74">
        <v>34</v>
      </c>
      <c r="AB11" s="74">
        <v>31</v>
      </c>
      <c r="AC11" s="74">
        <v>31</v>
      </c>
      <c r="AD11" s="74">
        <v>30</v>
      </c>
      <c r="AE11" s="74">
        <v>31</v>
      </c>
    </row>
    <row r="12" spans="1:99" ht="9.9" customHeight="1" ph="1"/>
    <row r="13" spans="1:99" s="72" customFormat="1" ht="29.25" customHeight="1" ph="1">
      <c r="B13" s="214" t="s" ph="1">
        <v>37</v>
      </c>
      <c r="C13" s="158" t="s" ph="1">
        <v>176</v>
      </c>
      <c r="D13" s="76" t="s" ph="1">
        <v>52</v>
      </c>
      <c r="E13" s="76" t="s" ph="1">
        <v>53</v>
      </c>
      <c r="F13" s="76" t="s" ph="1">
        <v>57</v>
      </c>
      <c r="G13" s="76" t="s" ph="1">
        <v>58</v>
      </c>
      <c r="H13" s="76" t="s" ph="1">
        <v>128</v>
      </c>
      <c r="I13" s="76" t="s" ph="1">
        <v>59</v>
      </c>
      <c r="J13" s="76" t="s" ph="1">
        <v>129</v>
      </c>
      <c r="K13" s="76" t="s" ph="1">
        <v>55</v>
      </c>
      <c r="L13" s="76" t="s" ph="1">
        <v>60</v>
      </c>
      <c r="M13" s="76" t="s" ph="1">
        <v>61</v>
      </c>
      <c r="N13" s="76" t="s" ph="1">
        <v>130</v>
      </c>
      <c r="O13" s="76" t="s" ph="1">
        <v>56</v>
      </c>
      <c r="P13" s="76" t="s" ph="1">
        <v>62</v>
      </c>
      <c r="Q13" s="76" t="s" ph="1">
        <v>63</v>
      </c>
      <c r="R13" s="76" t="s" ph="1">
        <v>64</v>
      </c>
      <c r="S13" s="76" t="s" ph="1">
        <v>65</v>
      </c>
      <c r="T13" s="76" t="s" ph="1">
        <v>66</v>
      </c>
      <c r="U13" s="76" t="s" ph="1">
        <v>67</v>
      </c>
      <c r="V13" s="76" t="s" ph="1">
        <v>131</v>
      </c>
      <c r="W13" s="76" t="s" ph="1">
        <v>132</v>
      </c>
      <c r="X13" s="76" t="s" ph="1">
        <v>133</v>
      </c>
      <c r="Y13" s="105" t="s" ph="1">
        <v>68</v>
      </c>
      <c r="Z13" s="76" t="s" ph="1">
        <v>74</v>
      </c>
      <c r="AA13" s="76" t="s" ph="1">
        <v>134</v>
      </c>
      <c r="AB13" s="76" t="s" ph="1">
        <v>135</v>
      </c>
      <c r="AC13" s="76" t="s" ph="1">
        <v>136</v>
      </c>
      <c r="AD13" s="76" t="s" ph="1">
        <v>137</v>
      </c>
      <c r="AE13" s="76" t="s" ph="1">
        <v>138</v>
      </c>
      <c r="AG13" s="72" t="s" ph="1">
        <v>325</v>
      </c>
      <c r="AH13" s="72" t="s" ph="1">
        <v>188</v>
      </c>
      <c r="AI13" s="72" t="s" ph="1">
        <v>189</v>
      </c>
      <c r="AJ13" s="72" t="s" ph="1">
        <v>190</v>
      </c>
      <c r="AK13" s="72" t="s" ph="1">
        <v>191</v>
      </c>
      <c r="AL13" s="72" t="s" ph="1">
        <v>192</v>
      </c>
      <c r="AM13" s="72" t="s" ph="1">
        <v>193</v>
      </c>
      <c r="AN13" s="72" t="s" ph="1">
        <v>194</v>
      </c>
      <c r="AO13" s="72" t="s" ph="1">
        <v>195</v>
      </c>
      <c r="AP13" s="72" t="s" ph="1">
        <v>196</v>
      </c>
      <c r="AQ13" s="72" t="s" ph="1">
        <v>197</v>
      </c>
      <c r="AR13" s="72" t="s" ph="1">
        <v>198</v>
      </c>
      <c r="AS13" s="72" t="s" ph="1">
        <v>199</v>
      </c>
      <c r="AT13" s="72" t="s" ph="1">
        <v>200</v>
      </c>
      <c r="AU13" s="72" t="s" ph="1">
        <v>201</v>
      </c>
      <c r="AV13" s="72" t="s" ph="1">
        <v>202</v>
      </c>
      <c r="AW13" s="72" t="s" ph="1">
        <v>203</v>
      </c>
      <c r="AX13" s="72" t="s" ph="1">
        <v>204</v>
      </c>
      <c r="AY13" s="72" t="s" ph="1">
        <v>326</v>
      </c>
      <c r="AZ13" s="72" t="s" ph="1">
        <v>205</v>
      </c>
      <c r="BA13" s="72" t="s" ph="1">
        <v>206</v>
      </c>
      <c r="BB13" s="72" t="s" ph="1">
        <v>591</v>
      </c>
      <c r="BC13" s="72" t="s" ph="1">
        <v>207</v>
      </c>
      <c r="BD13" s="72" t="s" ph="1">
        <v>327</v>
      </c>
      <c r="BE13" s="72" t="s" ph="1">
        <v>328</v>
      </c>
      <c r="BF13" s="72" t="s" ph="1">
        <v>329</v>
      </c>
      <c r="BG13" s="72" t="s" ph="1">
        <v>330</v>
      </c>
      <c r="BH13" s="72" t="s" ph="1">
        <v>331</v>
      </c>
    </row>
    <row r="14" spans="1:99" s="72" customFormat="1" ht="24" ph="1">
      <c r="B14" s="215" ph="1"/>
      <c r="C14" s="67" t="s" ph="1">
        <v>36</v>
      </c>
      <c r="D14" s="77" t="s" ph="1">
        <v>616</v>
      </c>
      <c r="E14" s="77" t="s" ph="1">
        <v>616</v>
      </c>
      <c r="F14" s="77" t="s" ph="1">
        <v>639</v>
      </c>
      <c r="G14" s="77" t="s" ph="1">
        <v>617</v>
      </c>
      <c r="H14" s="77" t="s" ph="1">
        <v>636</v>
      </c>
      <c r="I14" s="138" t="s" ph="1">
        <v>618</v>
      </c>
      <c r="J14" s="77" t="s" ph="1">
        <v>619</v>
      </c>
      <c r="K14" s="77" t="s" ph="1">
        <v>186</v>
      </c>
      <c r="L14" s="77" t="s" ph="1">
        <v>41</v>
      </c>
      <c r="M14" s="104" t="s" ph="1">
        <v>620</v>
      </c>
      <c r="N14" s="104" t="s" ph="1">
        <v>621</v>
      </c>
      <c r="O14" s="104" t="s" ph="1">
        <v>637</v>
      </c>
      <c r="P14" s="77" t="s" ph="1">
        <v>622</v>
      </c>
      <c r="Q14" s="77" t="s" ph="1">
        <v>622</v>
      </c>
      <c r="R14" s="77" t="s" ph="1">
        <v>622</v>
      </c>
      <c r="S14" s="77" t="s" ph="1">
        <v>622</v>
      </c>
      <c r="T14" s="77" t="s" ph="1">
        <v>624</v>
      </c>
      <c r="U14" s="77" t="s" ph="1">
        <v>605</v>
      </c>
      <c r="V14" s="77" t="s" ph="1">
        <v>633</v>
      </c>
      <c r="W14" s="77" t="s" ph="1">
        <v>622</v>
      </c>
      <c r="X14" s="77" t="s" ph="1">
        <v>625</v>
      </c>
      <c r="Y14" s="143" t="s" ph="1">
        <v>0</v>
      </c>
      <c r="Z14" s="77" t="s" ph="1">
        <v>54</v>
      </c>
      <c r="AA14" s="77" t="s" ph="1">
        <v>613</v>
      </c>
      <c r="AB14" s="77" t="s" ph="1">
        <v>632</v>
      </c>
      <c r="AC14" s="77" t="s" ph="1">
        <v>632</v>
      </c>
      <c r="AD14" s="77" t="s" ph="1">
        <v>612</v>
      </c>
      <c r="AE14" s="77" t="s" ph="1">
        <v>612</v>
      </c>
      <c r="AG14" s="72" t="s" ph="1">
        <v>208</v>
      </c>
      <c r="AI14" s="72" t="s" ph="1">
        <v>209</v>
      </c>
      <c r="AJ14" s="72" t="s" ph="1">
        <v>332</v>
      </c>
      <c r="AK14" s="72" t="s" ph="1">
        <v>210</v>
      </c>
      <c r="AM14" s="72" t="s" ph="1">
        <v>212</v>
      </c>
      <c r="AN14" s="72" t="s" ph="1">
        <v>210</v>
      </c>
      <c r="AO14" s="72" t="s" ph="1">
        <v>211</v>
      </c>
      <c r="AP14" s="72" t="s" ph="1">
        <v>212</v>
      </c>
      <c r="AQ14" s="72" t="s" ph="1">
        <v>210</v>
      </c>
      <c r="AR14" s="72" t="s" ph="1">
        <v>211</v>
      </c>
      <c r="AS14" s="72" t="s" ph="1">
        <v>212</v>
      </c>
      <c r="AT14" s="72" t="s" ph="1">
        <v>210</v>
      </c>
      <c r="AU14" s="72" t="s" ph="1">
        <v>211</v>
      </c>
      <c r="AV14" s="72" t="s" ph="1">
        <v>212</v>
      </c>
      <c r="AW14" s="72" t="s" ph="1">
        <v>210</v>
      </c>
      <c r="AX14" s="72" t="s" ph="1">
        <v>211</v>
      </c>
      <c r="AY14" s="72" t="s" ph="1">
        <v>212</v>
      </c>
      <c r="AZ14" s="72" t="s" ph="1">
        <v>211</v>
      </c>
    </row>
    <row r="15" spans="1:99" ph="1">
      <c r="B15" s="216" ph="1">
        <v>0.33333333333333331</v>
      </c>
      <c r="C15" s="158" t="s" ph="1">
        <v>177</v>
      </c>
      <c r="D15" s="78">
        <v>2387</v>
      </c>
      <c r="E15" s="78">
        <v>5802</v>
      </c>
      <c r="F15" s="78">
        <v>3908</v>
      </c>
      <c r="G15" s="78">
        <v>3902</v>
      </c>
      <c r="H15" s="78">
        <v>3456</v>
      </c>
      <c r="I15" s="78">
        <v>5187</v>
      </c>
      <c r="J15" s="78">
        <v>205</v>
      </c>
      <c r="K15" s="78">
        <v>671</v>
      </c>
      <c r="L15" s="78">
        <v>4342</v>
      </c>
      <c r="M15" s="78">
        <v>6356</v>
      </c>
      <c r="N15" s="78">
        <v>3492</v>
      </c>
      <c r="O15" s="78">
        <v>820</v>
      </c>
      <c r="P15" s="78">
        <v>2163</v>
      </c>
      <c r="Q15" s="78">
        <v>0</v>
      </c>
      <c r="R15" s="78">
        <v>0</v>
      </c>
      <c r="S15" s="78">
        <v>0</v>
      </c>
      <c r="T15" s="78">
        <v>1679</v>
      </c>
      <c r="U15" s="78">
        <v>5493</v>
      </c>
      <c r="V15" s="78">
        <v>-817</v>
      </c>
      <c r="W15" s="71">
        <v>-817</v>
      </c>
      <c r="X15" s="78">
        <v>817</v>
      </c>
      <c r="Y15" s="106">
        <v>-2367</v>
      </c>
      <c r="Z15" s="78">
        <v>0</v>
      </c>
      <c r="AA15" s="78">
        <v>2450</v>
      </c>
      <c r="AB15" s="78" ph="1">
        <v>0</v>
      </c>
      <c r="AC15" s="78" ph="1">
        <v>0</v>
      </c>
      <c r="AD15" s="78">
        <v>5.46</v>
      </c>
      <c r="AE15" s="78">
        <v>42.53</v>
      </c>
      <c r="AG15" s="64" t="s" ph="1">
        <v>214</v>
      </c>
      <c r="AH15" s="64" ph="1">
        <v>1</v>
      </c>
      <c r="AI15" s="64" t="s" ph="1">
        <v>333</v>
      </c>
      <c r="AK15" s="64" t="s" ph="1">
        <v>587</v>
      </c>
      <c r="AM15" s="64" t="s" ph="1">
        <v>335</v>
      </c>
      <c r="AZ15" s="64" t="s" ph="1">
        <v>216</v>
      </c>
      <c r="BA15" s="64" ph="1">
        <v>0</v>
      </c>
    </row>
    <row r="16" spans="1:99" s="72" customFormat="1" ht="22.2" ph="1">
      <c r="B16" s="217" ph="1"/>
      <c r="C16" s="158" t="s" ph="1">
        <v>178</v>
      </c>
      <c r="D16" s="73" ph="1">
        <f>D15*7.0686*LOOKUP(D17,密度!$A$2:$A$50,密度!$L$2:$L$50)</f>
        <v>15792.892315199999</v>
      </c>
      <c r="E16" s="73" ph="1">
        <f>E15*7.0686*LOOKUP(E17,密度!$A$2:$A$50,密度!$L$2:$L$50)</f>
        <v>38387.248099200006</v>
      </c>
      <c r="F16" s="73" ph="1">
        <f>F15*9.0746*LOOKUP(F17,密度!$A$2:$A$50,密度!$L$2:$L$50)</f>
        <v>33016.552760800005</v>
      </c>
      <c r="G16" s="73" ph="1">
        <f>G15*9.0746*LOOKUP(G17,密度!$A$2:$A$50,密度!$B$2:$B$50)</f>
        <v>27573.057760039999</v>
      </c>
      <c r="H16" s="73" ph="1">
        <f>H15*9.0746*LOOKUP(H17,密度!$A$2:$A$50,密度!$L$2:$L$50)</f>
        <v>29417.384908799999</v>
      </c>
      <c r="I16" s="73" ph="1">
        <f>I15*9.0746*LOOKUP(I17,密度!$A$2:$A$50,密度!$U$2:$U$50)</f>
        <v>48152.559054599995</v>
      </c>
      <c r="J16" s="73" ph="1">
        <f>J15*9.0746*LOOKUP(J17,密度!$A$2:$A$50,密度!$L$2:$L$50)</f>
        <v>1739.3739550000003</v>
      </c>
      <c r="K16" s="73" ph="1">
        <f>K15*9.0746*LOOKUP(K17,密度!$A$2:$A$50,密度!$C$2:$C$50)</f>
        <v>6747.2836184600001</v>
      </c>
      <c r="L16" s="73" ph="1">
        <f>L15*9.0746*LOOKUP(L17,密度!$A$2:$A$50,密度!$E$2:$E$50)</f>
        <v>30682.269808839999</v>
      </c>
      <c r="M16" s="73" ph="1">
        <f>M15*9.0746*LOOKUP(M17,密度!$A$2:$A$50,密度!$M$2:$M$50)</f>
        <v>50174.229296240002</v>
      </c>
      <c r="N16" s="73" ph="1">
        <f>N15*9.0746*LOOKUP(N17,密度!$A$2:$A$50,密度!$M$2:$M$50)</f>
        <v>27667.232143919999</v>
      </c>
      <c r="O16" s="73" ph="1">
        <f>O15*9.0746*LOOKUP(O17,密度!$A$2:$A$50,密度!$G$2:$G$50)</f>
        <v>7136.0839480000004</v>
      </c>
      <c r="P16" s="73" ph="1">
        <f ca="1">P15*9.0746*LOOKUP(P17,密度!$A$2:$A$51,密度!$Q$2:$Q$50)</f>
        <v>18527.797666014001</v>
      </c>
      <c r="Q16" s="73" ph="1">
        <f>Q15*9.0746*LOOKUP(Q17,密度!$A$2:$A$50,密度!$Q$2:$Q$50)</f>
        <v>0</v>
      </c>
      <c r="R16" s="73" ph="1">
        <f>MAX(R15*9.0746*LOOKUP(R17,密度!$A$2:$A$50,密度!$Q$2:$Q$50),0)</f>
        <v>0</v>
      </c>
      <c r="S16" s="73" ph="1">
        <f>S15*9.0746*LOOKUP(S17,密度!$A$2:$A$50,密度!$Q$2:$Q$50)</f>
        <v>0</v>
      </c>
      <c r="T16" s="73" ph="1">
        <f>T15*9.0746*LOOKUP(T17,密度!$A$2:$A$50,密度!$O$2:$O$50)</f>
        <v>14108.770648400001</v>
      </c>
      <c r="U16" s="73" ph="1">
        <f>U15*9.0746*LOOKUP(U17,密度!$A$2:$A$50,密度!$H$2:$H$50)</f>
        <v>45554.970231420004</v>
      </c>
      <c r="V16" s="73" ph="1">
        <f>MAX(5600*LOOKUP(V17,密度!$A$2:$A$50,密度!$Q$2:$Q$50)+V15*9.0476*LOOKUP(V17,密度!$A$2:$A$50,密度!$Q$2:$Q$50),0)</f>
        <v>0</v>
      </c>
      <c r="W16" s="73" ph="1">
        <f>MAX(5600*LOOKUP(W17,密度!$A$2:$A$50,密度!$Q$2:$Q$50)+W15*9.0476*LOOKUP(W17,密度!$A$2:$A$50,密度!$Q$2:$Q$50),0)</f>
        <v>0</v>
      </c>
      <c r="X16" s="73" ph="1">
        <f>MAX(5600*LOOKUP(X17,密度!$A$2:$A$50,密度!$I$2:$I$50)+X15*9.0476*LOOKUP(X17,密度!$A$2:$A$50,密度!$I$2:$I$50),0)</f>
        <v>13468.691533639998</v>
      </c>
      <c r="Y16" s="107" ph="1">
        <v>0</v>
      </c>
      <c r="Z16" s="73" ph="1">
        <f>Z15*9.0746*LOOKUP(Z17,密度!$A$2:$A$50,密度!$D$2:$D$50)</f>
        <v>0</v>
      </c>
      <c r="AA16" s="73" ph="1">
        <f>AA15*9.0746*LOOKUP(AA17,密度!$A$2:$A$50,密度!$B$2:$B$50)</f>
        <v>17312.657998999999</v>
      </c>
      <c r="AB16" s="73" ph="1">
        <f>AB15*9.0746*LOOKUP(AB17,密度!$A$2:$A$50,密度!$L$2:$L$50)</f>
        <v>0</v>
      </c>
      <c r="AC16" s="73" ph="1">
        <f>AC15*9.0746*LOOKUP(AC17,密度!$A$2:$A$50,密度!$L$2:$L$50)</f>
        <v>0</v>
      </c>
      <c r="AD16" s="73" ph="1">
        <f>AD15*268.68*LOOKUP(AD17,密度!$A$2:$A$50,密度!B2:B50)+IF(AD15&lt;=0,0,1566*LOOKUP(AD17,密度!$A$2:$A$50,密度!B2:B50))</f>
        <v>2364.5211868799997</v>
      </c>
      <c r="AE16" s="73" ph="1">
        <f>AE15*268.68*LOOKUP(AE17,密度!$A$2:$A$50,密度!B2:B50)+IF(AE15&lt;=0,0,1566*LOOKUP(AE17,密度!$A$2:$A$50,密度!B2:B50))</f>
        <v>10129.311927839999</v>
      </c>
      <c r="AH16" s="72" ph="1">
        <v>2</v>
      </c>
      <c r="AI16" s="72" t="s" ph="1">
        <v>337</v>
      </c>
      <c r="AZ16" s="72" t="s" ph="1">
        <v>216</v>
      </c>
      <c r="BA16" s="72" ph="1">
        <v>0</v>
      </c>
    </row>
    <row r="17" spans="1:57" ph="1">
      <c r="A17" s="64" t="s" ph="1">
        <v>73</v>
      </c>
      <c r="B17" s="218" ph="1"/>
      <c r="C17" s="79" t="s" ph="1">
        <v>179</v>
      </c>
      <c r="D17" s="74">
        <v>26</v>
      </c>
      <c r="E17" s="74">
        <v>26</v>
      </c>
      <c r="F17" s="74">
        <v>31</v>
      </c>
      <c r="G17" s="74">
        <v>26</v>
      </c>
      <c r="H17" s="74">
        <v>24</v>
      </c>
      <c r="I17" s="74">
        <v>27</v>
      </c>
      <c r="J17" s="74">
        <v>27</v>
      </c>
      <c r="K17" s="74">
        <v>26</v>
      </c>
      <c r="L17" s="74">
        <v>29</v>
      </c>
      <c r="M17" s="74">
        <v>30</v>
      </c>
      <c r="N17" s="74">
        <v>27</v>
      </c>
      <c r="O17" s="74">
        <v>26</v>
      </c>
      <c r="P17" s="74">
        <v>29</v>
      </c>
      <c r="Q17" s="74">
        <v>26</v>
      </c>
      <c r="R17" s="74">
        <v>27</v>
      </c>
      <c r="S17" s="74">
        <v>26</v>
      </c>
      <c r="T17" s="74">
        <v>27</v>
      </c>
      <c r="U17" s="74">
        <v>26</v>
      </c>
      <c r="V17" s="74">
        <v>28</v>
      </c>
      <c r="W17" s="74">
        <v>29</v>
      </c>
      <c r="X17" s="74">
        <v>30</v>
      </c>
      <c r="Y17" s="108">
        <v>30</v>
      </c>
      <c r="Z17" s="74">
        <v>26</v>
      </c>
      <c r="AA17" s="74">
        <v>26</v>
      </c>
      <c r="AB17" s="74">
        <v>25</v>
      </c>
      <c r="AC17" s="74">
        <v>24</v>
      </c>
      <c r="AD17" s="74">
        <v>25</v>
      </c>
      <c r="AE17" s="74">
        <v>25</v>
      </c>
      <c r="AH17" s="64" ph="1">
        <v>3</v>
      </c>
      <c r="AI17" s="64" t="s" ph="1">
        <v>338</v>
      </c>
      <c r="AK17" s="64" t="s" ph="1">
        <v>570</v>
      </c>
      <c r="AL17" s="64" ph="1">
        <v>80</v>
      </c>
      <c r="AM17" s="64" t="s" ph="1">
        <v>335</v>
      </c>
      <c r="AZ17" s="64" t="s" ph="1">
        <v>216</v>
      </c>
      <c r="BA17" s="64" ph="1">
        <v>80</v>
      </c>
      <c r="BD17" s="64" t="s" ph="1">
        <v>214</v>
      </c>
      <c r="BE17" s="64" ph="1">
        <v>2270</v>
      </c>
    </row>
    <row r="18" spans="1:57" ht="26.4" ph="1">
      <c r="B18" s="216" ph="1">
        <v>0.66666666666666663</v>
      </c>
      <c r="C18" s="79" t="s" ph="1">
        <v>180</v>
      </c>
      <c r="D18" s="71">
        <v>4046</v>
      </c>
      <c r="E18" s="71">
        <v>5131</v>
      </c>
      <c r="F18" s="71">
        <v>561</v>
      </c>
      <c r="G18" s="71">
        <v>2988</v>
      </c>
      <c r="H18" s="71">
        <v>3458</v>
      </c>
      <c r="I18" s="71">
        <v>5191</v>
      </c>
      <c r="J18" s="71">
        <v>258</v>
      </c>
      <c r="K18" s="71">
        <v>670</v>
      </c>
      <c r="L18" s="71">
        <v>4353</v>
      </c>
      <c r="M18" s="71">
        <v>3469</v>
      </c>
      <c r="N18" s="71">
        <v>5419</v>
      </c>
      <c r="O18" s="71">
        <v>1151</v>
      </c>
      <c r="P18" s="71">
        <v>2165</v>
      </c>
      <c r="Q18" s="71">
        <v>0</v>
      </c>
      <c r="R18" s="71">
        <v>0</v>
      </c>
      <c r="S18" s="71">
        <v>0</v>
      </c>
      <c r="T18" s="71">
        <v>1678</v>
      </c>
      <c r="U18" s="71">
        <v>5497</v>
      </c>
      <c r="V18" s="71">
        <v>-817</v>
      </c>
      <c r="W18" s="71">
        <v>-817</v>
      </c>
      <c r="X18" s="71">
        <v>817</v>
      </c>
      <c r="Y18" s="109">
        <v>-9908</v>
      </c>
      <c r="Z18" s="71">
        <v>0</v>
      </c>
      <c r="AA18" s="71">
        <v>2453</v>
      </c>
      <c r="AB18" s="71">
        <v>0</v>
      </c>
      <c r="AC18" s="71">
        <v>0</v>
      </c>
      <c r="AD18" s="71">
        <v>12.56</v>
      </c>
      <c r="AE18" s="71">
        <v>84.32</v>
      </c>
      <c r="AH18" s="64" ph="1">
        <v>4</v>
      </c>
      <c r="AI18" s="64" t="s" ph="1">
        <v>340</v>
      </c>
      <c r="AJ18" s="64" t="s" ph="1">
        <v>588</v>
      </c>
      <c r="AK18" s="64" t="s" ph="1">
        <v>587</v>
      </c>
      <c r="AL18" s="64" ph="1">
        <v>740</v>
      </c>
      <c r="AM18" s="64" t="s" ph="1">
        <v>339</v>
      </c>
      <c r="AZ18" s="64" t="s" ph="1">
        <v>216</v>
      </c>
      <c r="BA18" s="64" ph="1">
        <v>740</v>
      </c>
    </row>
    <row r="19" spans="1:57" s="72" customFormat="1" ht="22.2" ph="1">
      <c r="B19" s="217" ph="1"/>
      <c r="C19" s="158" t="s" ph="1">
        <v>178</v>
      </c>
      <c r="D19" s="73" ph="1">
        <f>D18*7.0686*LOOKUP(D20,密度!$A$2:$A$50,密度!$L$2:$L$50)</f>
        <v>26425.9893744</v>
      </c>
      <c r="E19" s="73" ph="1">
        <f>E18*7.0686*LOOKUP(E20,密度!$A$2:$A$50,密度!$L$2:$L$50)</f>
        <v>33512.543618399999</v>
      </c>
      <c r="F19" s="73" ph="1">
        <f>F18*9.0746*LOOKUP(F20,密度!$A$2:$A$50,密度!$L$2:$L$50)</f>
        <v>4724.3093568000004</v>
      </c>
      <c r="G19" s="73" ph="1">
        <f>G18*9.0746*LOOKUP(G20,密度!$A$2:$A$50,密度!$B$2:$B$50)</f>
        <v>21046.589105760002</v>
      </c>
      <c r="H19" s="73" ph="1">
        <f>H18*9.0746*LOOKUP(H20,密度!$A$2:$A$50,密度!$L$2:$L$50)</f>
        <v>29340.268958000004</v>
      </c>
      <c r="I19" s="73" ph="1">
        <f>I18*9.0746*LOOKUP(I20,密度!$A$2:$A$50,密度!$U$2:$U$50)</f>
        <v>48095.479820599998</v>
      </c>
      <c r="J19" s="73" ph="1">
        <f>J18*9.0746*LOOKUP(J20,密度!$A$2:$A$50,密度!$L$2:$L$50)</f>
        <v>2172.6770304000001</v>
      </c>
      <c r="K19" s="73" ph="1">
        <f>K18*9.0746*LOOKUP(K20,密度!$A$2:$A$50,密度!$C$2:$C$50)</f>
        <v>6693.4521838000001</v>
      </c>
      <c r="L19" s="73" ph="1">
        <f>L18*9.0746*LOOKUP(L20,密度!$A$2:$A$50,密度!$E$2:$E$50)</f>
        <v>30716.54820288</v>
      </c>
      <c r="M19" s="73" ph="1">
        <f>M18*9.0746*LOOKUP(M20,密度!$A$2:$A$50,密度!$M$2:$M$50)</f>
        <v>27252.681547928001</v>
      </c>
      <c r="N19" s="73" ph="1">
        <f>N18*9.0746*LOOKUP(N20,密度!$A$2:$A$50,密度!$M$2:$M$50)</f>
        <v>42831.649195400001</v>
      </c>
      <c r="O19" s="73" ph="1">
        <f>O18*9.0746*LOOKUP(O20,密度!$A$2:$A$50,密度!$G$2:$G$50)</f>
        <v>9950.1958125440015</v>
      </c>
      <c r="P19" s="73" ph="1">
        <f ca="1">P18*9.0746*LOOKUP(P20,密度!$A$2:$A$51,密度!$Q$2:$Q$50)</f>
        <v>18505.046827100003</v>
      </c>
      <c r="Q19" s="73" ph="1">
        <f>Q18*9.0746*LOOKUP(Q20,密度!$A$2:$A$50,密度!$Q$2:$Q$50)</f>
        <v>0</v>
      </c>
      <c r="R19" s="73" ph="1">
        <f>MAX(R18*9.0746*LOOKUP(R20,密度!$A$2:$A$50,密度!$Q$2:$Q$50),0)</f>
        <v>0</v>
      </c>
      <c r="S19" s="73" ph="1">
        <f>S18*9.0746*LOOKUP(S20,密度!$A$2:$A$50,密度!$Q$2:$Q$50)</f>
        <v>0</v>
      </c>
      <c r="T19" s="73" ph="1">
        <f>T18*9.0746*LOOKUP(T20,密度!$A$2:$A$50,密度!$O$2:$O$50)</f>
        <v>14027.27711056</v>
      </c>
      <c r="U19" s="73" ph="1">
        <f>U18*9.0746*LOOKUP(U20,密度!$A$2:$A$50,密度!$H$2:$H$50)</f>
        <v>45443.482418200001</v>
      </c>
      <c r="V19" s="73" ph="1">
        <f>MAX(5600*LOOKUP(V20,密度!$A$2:$A$50,密度!$Q$2:$Q$50)+V18*9.0476*LOOKUP(V20,密度!$A$2:$A$50,密度!$Q$2:$Q$50),0)</f>
        <v>0</v>
      </c>
      <c r="W19" s="73" ph="1">
        <f>MAX(5600*LOOKUP(W20,密度!$A$2:$A$50,密度!$Q$2:$Q$50)+W18*9.0476*LOOKUP(W20,密度!$A$2:$A$50,密度!$Q$2:$Q$50),0)</f>
        <v>0</v>
      </c>
      <c r="X19" s="73" ph="1">
        <f>MAX(5600*LOOKUP(X20,密度!$A$2:$A$50,密度!$I$2:$I$50)+X18*9.0476*LOOKUP(X20,密度!$A$2:$A$50,密度!$I$2:$I$50),0)</f>
        <v>13440.1093774</v>
      </c>
      <c r="Y19" s="73" ph="1">
        <f>MAX(5600*LOOKUP(Y20,密度!$A$2:$A$50,密度!$I$2:$I$50)+Y18*9.0476*LOOKUP(Y20,密度!$A$2:$A$50,密度!$I$2:$I$50),0)</f>
        <v>0</v>
      </c>
      <c r="Z19" s="73" ph="1">
        <f>Z18*9.0746*LOOKUP(Z20,密度!$A$2:$A$50,密度!$D$2:$D$50)</f>
        <v>0</v>
      </c>
      <c r="AA19" s="73" ph="1">
        <f>AA18*9.0746*LOOKUP(AA20,密度!$A$2:$A$50,密度!$B$2:$B$50)</f>
        <v>17278.207187560001</v>
      </c>
      <c r="AB19" s="73" ph="1">
        <f>AB18*9.0746*LOOKUP(AB20,密度!$A$2:$A$50,密度!$L$2:$L$50)</f>
        <v>0</v>
      </c>
      <c r="AC19" s="73" ph="1">
        <f>AC18*9.0746*LOOKUP(AC20,密度!$A$2:$A$50,密度!$L$2:$L$50)</f>
        <v>0</v>
      </c>
      <c r="AD19" s="73" ph="1">
        <f>AD18*268.68*LOOKUP(AD20,密度!$A$2:$A$50,密度!B5:B53)+IF(AD18&lt;=0,0,1566*LOOKUP(AD20,密度!$A$2:$A$50,密度!B5:B53))</f>
        <v>3838.8623616000004</v>
      </c>
      <c r="AE19" s="73" ph="1">
        <f>AE18*268.68*LOOKUP(AE20,密度!$A$2:$A$50,密度!B5:B53)+IF(AE18&lt;=0,0,1566*LOOKUP(AE20,密度!$A$2:$A$50,密度!B5:B53))</f>
        <v>18819.792835199998</v>
      </c>
      <c r="AH19" s="72" ph="1">
        <v>5</v>
      </c>
      <c r="AI19" s="72" t="s" ph="1">
        <v>341</v>
      </c>
      <c r="AZ19" s="72" t="s" ph="1">
        <v>216</v>
      </c>
      <c r="BA19" s="72" ph="1">
        <v>0</v>
      </c>
      <c r="BD19" s="72" t="s" ph="1">
        <v>342</v>
      </c>
      <c r="BE19" s="72" ph="1">
        <v>1440</v>
      </c>
    </row>
    <row r="20" spans="1:57" ph="1">
      <c r="A20" s="72" ph="1"/>
      <c r="B20" s="217" ph="1"/>
      <c r="C20" s="80" t="s" ph="1">
        <v>179</v>
      </c>
      <c r="D20" s="81">
        <v>38</v>
      </c>
      <c r="E20" s="81">
        <v>38</v>
      </c>
      <c r="F20" s="81">
        <v>34</v>
      </c>
      <c r="G20" s="81">
        <v>29</v>
      </c>
      <c r="H20" s="81">
        <v>27</v>
      </c>
      <c r="I20" s="81">
        <v>29</v>
      </c>
      <c r="J20" s="81">
        <v>34</v>
      </c>
      <c r="K20" s="81">
        <v>34</v>
      </c>
      <c r="L20" s="81">
        <v>30</v>
      </c>
      <c r="M20" s="81">
        <v>34</v>
      </c>
      <c r="N20" s="81">
        <v>29</v>
      </c>
      <c r="O20" s="81">
        <v>32</v>
      </c>
      <c r="P20" s="81">
        <v>32</v>
      </c>
      <c r="Q20" s="81">
        <v>38</v>
      </c>
      <c r="R20" s="81">
        <v>42</v>
      </c>
      <c r="S20" s="81">
        <v>36</v>
      </c>
      <c r="T20" s="81">
        <v>33</v>
      </c>
      <c r="U20" s="81">
        <v>29</v>
      </c>
      <c r="V20" s="81">
        <v>33</v>
      </c>
      <c r="W20" s="81">
        <v>33</v>
      </c>
      <c r="X20" s="81">
        <v>32</v>
      </c>
      <c r="Y20" s="110">
        <v>32</v>
      </c>
      <c r="Z20" s="81">
        <v>42</v>
      </c>
      <c r="AA20" s="81">
        <v>29</v>
      </c>
      <c r="AB20" s="81">
        <v>42</v>
      </c>
      <c r="AC20" s="81">
        <v>35</v>
      </c>
      <c r="AD20" s="81">
        <v>25</v>
      </c>
      <c r="AE20" s="81">
        <v>25</v>
      </c>
      <c r="AF20" s="64" t="s" ph="1">
        <v>35</v>
      </c>
      <c r="AH20" s="64" ph="1">
        <v>6</v>
      </c>
      <c r="AI20" s="64" t="s" ph="1">
        <v>343</v>
      </c>
      <c r="AZ20" s="64" t="s" ph="1">
        <v>216</v>
      </c>
      <c r="BA20" s="64" ph="1">
        <v>0</v>
      </c>
    </row>
    <row r="21" spans="1:57" ph="1">
      <c r="A21" s="72" ph="1"/>
      <c r="B21" s="82" ph="1"/>
      <c r="C21" s="83" ph="1"/>
      <c r="D21" s="84"/>
      <c r="E21" s="84"/>
      <c r="F21" s="84"/>
      <c r="G21" s="84"/>
      <c r="H21" s="84"/>
      <c r="I21" s="84"/>
      <c r="J21" s="84"/>
      <c r="K21" s="84"/>
      <c r="L21" s="84"/>
      <c r="M21" s="84"/>
      <c r="N21" s="84"/>
      <c r="O21" s="84"/>
      <c r="P21" s="84"/>
      <c r="Q21" s="84"/>
      <c r="R21" s="84"/>
      <c r="S21" s="84"/>
      <c r="T21" s="84"/>
      <c r="U21" s="84"/>
      <c r="V21" s="84"/>
      <c r="W21" s="84"/>
      <c r="X21" s="84"/>
      <c r="Y21" s="84"/>
      <c r="Z21" s="84"/>
      <c r="AA21" s="84"/>
      <c r="AB21" s="84"/>
      <c r="AC21" s="84"/>
      <c r="AD21" s="84"/>
      <c r="AE21" s="84"/>
      <c r="AH21" s="64" ph="1">
        <v>7</v>
      </c>
      <c r="AI21" s="64" t="s" ph="1">
        <v>344</v>
      </c>
      <c r="AZ21" s="64" t="s" ph="1">
        <v>216</v>
      </c>
      <c r="BA21" s="64" ph="1">
        <v>0</v>
      </c>
      <c r="BD21" s="64" t="s" ph="1">
        <v>232</v>
      </c>
      <c r="BE21" s="64" ph="1">
        <v>730</v>
      </c>
    </row>
    <row r="22" spans="1:57" ph="1">
      <c r="A22" s="72" ph="1"/>
      <c r="B22" s="215" t="s" ph="1">
        <v>37</v>
      </c>
      <c r="C22" s="85" t="s" ph="1">
        <v>176</v>
      </c>
      <c r="D22" s="86" t="s" ph="1">
        <v>86</v>
      </c>
      <c r="E22" s="86" t="s" ph="1">
        <v>87</v>
      </c>
      <c r="F22" s="86" t="s" ph="1">
        <v>88</v>
      </c>
      <c r="G22" s="86" t="s" ph="1">
        <v>89</v>
      </c>
      <c r="H22" s="86" t="s" ph="1">
        <v>90</v>
      </c>
      <c r="I22" s="86" t="s" ph="1">
        <v>91</v>
      </c>
      <c r="J22" s="86" t="s" ph="1">
        <v>92</v>
      </c>
      <c r="K22" s="86" t="s" ph="1">
        <v>93</v>
      </c>
      <c r="L22" s="86" t="s" ph="1">
        <v>94</v>
      </c>
      <c r="M22" s="86" t="s" ph="1">
        <v>95</v>
      </c>
      <c r="N22" s="86" t="s" ph="1">
        <v>96</v>
      </c>
      <c r="O22" s="86" t="s" ph="1">
        <v>97</v>
      </c>
      <c r="P22" s="86" t="s" ph="1">
        <v>98</v>
      </c>
      <c r="Q22" s="87" t="s" ph="1">
        <v>99</v>
      </c>
      <c r="R22" s="86" t="s" ph="1">
        <v>100</v>
      </c>
      <c r="S22" s="86" t="s" ph="1">
        <v>101</v>
      </c>
      <c r="T22" s="86" t="s" ph="1">
        <v>102</v>
      </c>
      <c r="U22" s="86" t="s" ph="1">
        <v>103</v>
      </c>
      <c r="V22" s="86" t="s" ph="1">
        <v>104</v>
      </c>
      <c r="W22" s="86" t="s" ph="1">
        <v>105</v>
      </c>
      <c r="X22" s="86" t="s" ph="1">
        <v>106</v>
      </c>
      <c r="Y22" s="86" t="s" ph="1">
        <v>108</v>
      </c>
      <c r="Z22" s="225" t="s" ph="1">
        <v>69</v>
      </c>
      <c r="AA22" s="226"/>
      <c r="AB22" s="226"/>
      <c r="AC22" s="226"/>
      <c r="AD22" s="226"/>
      <c r="AE22" s="227"/>
      <c r="AH22" s="64" ph="1">
        <v>8</v>
      </c>
      <c r="AI22" s="64" t="s" ph="1">
        <v>345</v>
      </c>
      <c r="AZ22" s="64" t="s" ph="1">
        <v>216</v>
      </c>
      <c r="BA22" s="64" ph="1">
        <v>0</v>
      </c>
    </row>
    <row r="23" spans="1:57" ph="1">
      <c r="A23" s="72" ph="1"/>
      <c r="B23" s="219" ph="1"/>
      <c r="C23" s="67" t="s" ph="1">
        <v>36</v>
      </c>
      <c r="D23" s="88" t="s" ph="1">
        <v>109</v>
      </c>
      <c r="E23" s="88" t="s" ph="1">
        <v>107</v>
      </c>
      <c r="F23" s="88" t="s" ph="1">
        <v>109</v>
      </c>
      <c r="G23" s="88" t="s" ph="1">
        <v>626</v>
      </c>
      <c r="H23" s="88" t="s" ph="1">
        <v>626</v>
      </c>
      <c r="I23" s="88" t="s" ph="1">
        <v>627</v>
      </c>
      <c r="J23" s="88" t="s" ph="1">
        <v>628</v>
      </c>
      <c r="K23" s="88" t="s" ph="1">
        <v>628</v>
      </c>
      <c r="L23" s="88" t="s" ph="1">
        <v>628</v>
      </c>
      <c r="M23" s="88" t="s" ph="1">
        <v>623</v>
      </c>
      <c r="N23" s="88" t="s" ph="1">
        <v>623</v>
      </c>
      <c r="O23" s="88" t="s" ph="1">
        <v>645</v>
      </c>
      <c r="P23" s="88" t="s" ph="1">
        <v>629</v>
      </c>
      <c r="Q23" s="89" t="s" ph="1">
        <v>643</v>
      </c>
      <c r="R23" s="88" t="s" ph="1">
        <v>610</v>
      </c>
      <c r="S23" s="88" t="s" ph="1">
        <v>629</v>
      </c>
      <c r="T23" s="88" t="s" ph="1">
        <v>604</v>
      </c>
      <c r="U23" s="104" t="s" ph="1">
        <v>606</v>
      </c>
      <c r="V23" s="88" t="s" ph="1">
        <v>629</v>
      </c>
      <c r="W23" s="88" t="s" ph="1">
        <v>629</v>
      </c>
      <c r="X23" s="88" t="s" ph="1">
        <v>187</v>
      </c>
      <c r="Y23" s="88" t="s" ph="1">
        <v>630</v>
      </c>
      <c r="Z23" s="228" t="s" ph="1">
        <v>641</v>
      </c>
      <c r="AA23" s="229"/>
      <c r="AB23" s="229"/>
      <c r="AC23" s="229"/>
      <c r="AD23" s="229"/>
      <c r="AE23" s="230"/>
      <c r="AH23" s="64" ph="1">
        <v>9</v>
      </c>
      <c r="AI23" s="64" t="s" ph="1">
        <v>346</v>
      </c>
      <c r="AZ23" s="64" t="s" ph="1">
        <v>216</v>
      </c>
      <c r="BA23" s="64" ph="1">
        <v>0</v>
      </c>
      <c r="BD23" s="64" t="s" ph="1">
        <v>238</v>
      </c>
      <c r="BE23" s="64" ph="1">
        <v>890</v>
      </c>
    </row>
    <row r="24" spans="1:57" ph="1">
      <c r="A24" s="72" ph="1"/>
      <c r="B24" s="237" ph="1">
        <v>0.33333333333333331</v>
      </c>
      <c r="C24" s="158" t="s" ph="1">
        <v>177</v>
      </c>
      <c r="D24" s="71">
        <v>25.2</v>
      </c>
      <c r="E24" s="71">
        <v>36.1</v>
      </c>
      <c r="F24" s="71">
        <v>3034</v>
      </c>
      <c r="G24" s="71">
        <v>3863</v>
      </c>
      <c r="H24" s="71">
        <v>3312</v>
      </c>
      <c r="I24" s="71">
        <v>333</v>
      </c>
      <c r="J24" s="71">
        <v>318</v>
      </c>
      <c r="K24" s="71">
        <v>329</v>
      </c>
      <c r="L24" s="71">
        <v>301</v>
      </c>
      <c r="M24" s="71">
        <v>4544</v>
      </c>
      <c r="N24" s="71">
        <v>325</v>
      </c>
      <c r="O24" s="71">
        <v>5394</v>
      </c>
      <c r="P24" s="71">
        <v>362</v>
      </c>
      <c r="Q24" s="90">
        <v>1468</v>
      </c>
      <c r="R24" s="71">
        <v>6522</v>
      </c>
      <c r="S24" s="71">
        <v>4106</v>
      </c>
      <c r="T24" s="71">
        <v>616</v>
      </c>
      <c r="U24" s="71">
        <v>6038</v>
      </c>
      <c r="V24" s="71">
        <v>737</v>
      </c>
      <c r="W24" s="71">
        <v>434</v>
      </c>
      <c r="X24" s="71">
        <v>3501</v>
      </c>
      <c r="Y24" s="71">
        <v>3525</v>
      </c>
      <c r="Z24" s="231"/>
      <c r="AA24" s="232"/>
      <c r="AB24" s="232"/>
      <c r="AC24" s="232"/>
      <c r="AD24" s="232"/>
      <c r="AE24" s="233"/>
      <c r="AH24" s="64" ph="1">
        <v>10</v>
      </c>
      <c r="AI24" s="64" t="s" ph="1">
        <v>347</v>
      </c>
      <c r="AZ24" s="64" t="s" ph="1">
        <v>216</v>
      </c>
      <c r="BA24" s="64" ph="1">
        <v>0</v>
      </c>
    </row>
    <row r="25" spans="1:57" ph="1">
      <c r="A25" s="72" ph="1"/>
      <c r="B25" s="237" ph="1"/>
      <c r="C25" s="68" t="s" ph="1">
        <v>178</v>
      </c>
      <c r="D25" s="91" ph="1">
        <f>D24*268.68*LOOKUP(D26,密度!$A$2:$A$50,密度!$Q$2:$Q$50)+IF(D24&lt;=0,0,1566*LOOKUP(D26,密度!$A$2:$A$50,密度!$Q$2:$Q$50))</f>
        <v>7892.7214406399999</v>
      </c>
      <c r="E25" s="91" ph="1">
        <f>E24*268.68*LOOKUP(E26,密度!$A$2:$A$50,密度!$C$2:$C$50)+IF(E24&lt;=0,0,1566*LOOKUP(E26,密度!$A$2:$A$50,密度!$C$2:$C$50))</f>
        <v>12492.1443972</v>
      </c>
      <c r="F25" s="91" ph="1">
        <f>F24*11.702*LOOKUP(F26,密度!$A$2:$A$50,密度!$Q$2:$Q$50)</f>
        <v>33562.516497760007</v>
      </c>
      <c r="G25" s="91" ph="1">
        <f>G24*18.322*LOOKUP(G26,密度!$A$2:$A$50,密度!$B$2:$B$50)</f>
        <v>55114.739828199992</v>
      </c>
      <c r="H25" s="91" ph="1">
        <f>H24*18.322*LOOKUP(H26,密度!$A$2:$A$50,密度!$B$2:$B$50)</f>
        <v>47308.048934399994</v>
      </c>
      <c r="I25" s="91" ph="1">
        <f>I24*18.322*LOOKUP(I26,密度!$A$2:$A$50,密度!$Q$2:$Q$50)</f>
        <v>5776.2747032400002</v>
      </c>
      <c r="J25" s="91" ph="1">
        <f>J24*18.322*LOOKUP(J26,密度!$A$2:$A$50,密度!$Q$2:$Q$50)</f>
        <v>5507.8086667200005</v>
      </c>
      <c r="K25" s="91" ph="1">
        <f>K24*18.322*LOOKUP(K26,密度!$A$2:$A$50,密度!$Q$2:$Q$50)</f>
        <v>5711.2904168600007</v>
      </c>
      <c r="L25" s="91" ph="1">
        <f>L24*18.322*LOOKUP(L26,密度!$A$2:$A$50,密度!$Q$2:$Q$50)</f>
        <v>5221.1972542799995</v>
      </c>
      <c r="M25" s="91" ph="1">
        <f>M24*18.322*LOOKUP(M26,密度!$A$2:$A$50,密度!$Q$2:$Q$50)</f>
        <v>78761.886583039988</v>
      </c>
      <c r="N25" s="91" ph="1">
        <f>N24*18.322*LOOKUP(N26,密度!$A$2:$A$50,密度!$Q$2:$Q$50)</f>
        <v>5637.505341</v>
      </c>
      <c r="O25" s="91" ph="1">
        <f>O24*18.322*LOOKUP(O26,密度!$A$2:$A$50,密度!$C$2:$C$50)</f>
        <v>109591.3317252</v>
      </c>
      <c r="P25" s="91" ph="1">
        <f>P24*11.702*LOOKUP(P26,密度!$A$2:$A$50,密度!$B$2:$B$50)</f>
        <v>3298.6697587999997</v>
      </c>
      <c r="Q25" s="92" ph="1">
        <f>Q24*18.322*LOOKUP(Q26,密度!$A$2:$A$50,密度!$B$2:$B$50)</f>
        <v>20944.457175199997</v>
      </c>
      <c r="R25" s="91" ph="1">
        <f>R24*35.891*LOOKUP(R26,密度!$A$2:$A$50,密度!$C$2:$C$50)</f>
        <v>259572.53400779999</v>
      </c>
      <c r="S25" s="91" ph="1">
        <f>S24*35.891*LOOKUP(S26,密度!$A$2:$A$50,密度!$B$2:$B$50)</f>
        <v>115021.072103</v>
      </c>
      <c r="T25" s="91" ph="1">
        <f>T24*35.891*LOOKUP(T26,密度!$A$2:$A$50,密度!$Q$2:$Q$50)</f>
        <v>20931.338329440001</v>
      </c>
      <c r="U25" s="91" ph="1">
        <f>U24*35.891</f>
        <v>216709.85799999998</v>
      </c>
      <c r="V25" s="91" ph="1">
        <f>V24*47.051*LOOKUP(V26,密度!$A$2:$A$50,密度!$B$2:$B$50)</f>
        <v>27002.658296899997</v>
      </c>
      <c r="W25" s="91" ph="1">
        <f>W24*47.051*LOOKUP(W26,密度!$A$2:$A$50,密度!$B$2:$B$50)</f>
        <v>15901.1583458</v>
      </c>
      <c r="X25" s="91" ph="1">
        <f>X24*47.051*LOOKUP(X26,密度!$A$2:$A$61,密度!$I$2:$I$61)</f>
        <v>171149.84748900001</v>
      </c>
      <c r="Y25" s="91" ph="1">
        <f>Y24*47.051*LOOKUP(Y26,密度!$A$2:$A$50,密度!$L$2:$L$50)</f>
        <v>155240.06940000001</v>
      </c>
      <c r="Z25" s="231"/>
      <c r="AA25" s="232"/>
      <c r="AB25" s="232"/>
      <c r="AC25" s="232"/>
      <c r="AD25" s="232"/>
      <c r="AE25" s="233"/>
      <c r="AH25" s="64" ph="1">
        <v>11</v>
      </c>
      <c r="AI25" s="64" t="s" ph="1">
        <v>348</v>
      </c>
      <c r="AZ25" s="64" t="s" ph="1">
        <v>216</v>
      </c>
      <c r="BA25" s="64" ph="1">
        <v>0</v>
      </c>
      <c r="BD25" s="64" t="s" ph="1">
        <v>241</v>
      </c>
      <c r="BE25" s="64" ph="1">
        <v>8920</v>
      </c>
    </row>
    <row r="26" spans="1:57" ph="1">
      <c r="A26" s="72" ph="1"/>
      <c r="B26" s="237" ph="1"/>
      <c r="C26" s="68" t="s" ph="1">
        <v>179</v>
      </c>
      <c r="D26" s="74">
        <v>25</v>
      </c>
      <c r="E26" s="74">
        <v>25</v>
      </c>
      <c r="F26" s="74">
        <v>27</v>
      </c>
      <c r="G26" s="74">
        <v>26</v>
      </c>
      <c r="H26" s="74">
        <v>25</v>
      </c>
      <c r="I26" s="74">
        <v>25</v>
      </c>
      <c r="J26" s="74">
        <v>27</v>
      </c>
      <c r="K26" s="74">
        <v>24</v>
      </c>
      <c r="L26" s="74">
        <v>25</v>
      </c>
      <c r="M26" s="74">
        <v>26</v>
      </c>
      <c r="N26" s="74">
        <v>25</v>
      </c>
      <c r="O26" s="74">
        <v>25</v>
      </c>
      <c r="P26" s="74">
        <v>26</v>
      </c>
      <c r="Q26" s="93">
        <v>26</v>
      </c>
      <c r="R26" s="74">
        <v>25</v>
      </c>
      <c r="S26" s="74">
        <v>24</v>
      </c>
      <c r="T26" s="74">
        <v>25</v>
      </c>
      <c r="U26" s="74">
        <v>25</v>
      </c>
      <c r="V26" s="74">
        <v>26</v>
      </c>
      <c r="W26" s="74">
        <v>26</v>
      </c>
      <c r="X26" s="74">
        <v>28</v>
      </c>
      <c r="Y26" s="74">
        <v>26</v>
      </c>
      <c r="Z26" s="231"/>
      <c r="AA26" s="232"/>
      <c r="AB26" s="232"/>
      <c r="AC26" s="232"/>
      <c r="AD26" s="232"/>
      <c r="AE26" s="233"/>
      <c r="AH26" s="64" ph="1">
        <v>12</v>
      </c>
      <c r="AI26" s="64" t="s" ph="1">
        <v>349</v>
      </c>
      <c r="AZ26" s="64" t="s" ph="1">
        <v>216</v>
      </c>
      <c r="BA26" s="64" ph="1">
        <v>0</v>
      </c>
    </row>
    <row r="27" spans="1:57" ht="26.4" ph="1">
      <c r="A27" s="72" ph="1"/>
      <c r="B27" s="237" ph="1">
        <v>0.66666666666666663</v>
      </c>
      <c r="C27" s="158" t="s" ph="1">
        <v>180</v>
      </c>
      <c r="D27" s="71">
        <v>3.34</v>
      </c>
      <c r="E27" s="71">
        <v>35.42</v>
      </c>
      <c r="F27" s="71">
        <v>3548</v>
      </c>
      <c r="G27" s="71">
        <v>3436</v>
      </c>
      <c r="H27" s="71">
        <v>2895</v>
      </c>
      <c r="I27" s="71">
        <v>885</v>
      </c>
      <c r="J27" s="71">
        <v>311</v>
      </c>
      <c r="K27" s="71">
        <v>324</v>
      </c>
      <c r="L27" s="71">
        <v>294</v>
      </c>
      <c r="M27" s="71">
        <v>3982</v>
      </c>
      <c r="N27" s="71">
        <v>318</v>
      </c>
      <c r="O27" s="71">
        <v>5388</v>
      </c>
      <c r="P27" s="71">
        <v>358</v>
      </c>
      <c r="Q27" s="90">
        <v>1709</v>
      </c>
      <c r="R27" s="71">
        <v>6227</v>
      </c>
      <c r="S27" s="71">
        <v>4103</v>
      </c>
      <c r="T27" s="71">
        <v>613</v>
      </c>
      <c r="U27" s="71">
        <v>6114</v>
      </c>
      <c r="V27" s="71">
        <v>730</v>
      </c>
      <c r="W27" s="71">
        <v>429</v>
      </c>
      <c r="X27" s="71">
        <v>3375</v>
      </c>
      <c r="Y27" s="71">
        <v>4271</v>
      </c>
      <c r="Z27" s="231"/>
      <c r="AA27" s="232"/>
      <c r="AB27" s="232"/>
      <c r="AC27" s="232"/>
      <c r="AD27" s="232"/>
      <c r="AE27" s="233"/>
      <c r="AH27" s="64" ph="1">
        <v>13</v>
      </c>
      <c r="AI27" s="64" t="s" ph="1">
        <v>350</v>
      </c>
      <c r="AZ27" s="64" t="s" ph="1">
        <v>216</v>
      </c>
      <c r="BA27" s="64" ph="1">
        <v>0</v>
      </c>
      <c r="BD27" s="64" t="s" ph="1">
        <v>295</v>
      </c>
      <c r="BE27" s="64" ph="1">
        <v>7100</v>
      </c>
    </row>
    <row r="28" spans="1:57" ph="1">
      <c r="A28" s="72" ph="1"/>
      <c r="B28" s="237" ph="1"/>
      <c r="C28" s="158" t="s" ph="1">
        <v>178</v>
      </c>
      <c r="D28" s="91" ph="1">
        <f>D27*268.68*LOOKUP(D29,密度!$A$2:$A$50,密度!$Q$2:$Q$50)+IF(D27&lt;=0,0,1566*LOOKUP(D29,密度!$A$2:$A$50,密度!$Q$2:$Q$50))</f>
        <v>2332.1909846879998</v>
      </c>
      <c r="E28" s="91" ph="1">
        <f>E27*268.68*LOOKUP(E29,密度!$A$2:$A$50,密度!$C$2:$C$50)+IF(E27&lt;=0,0,1566*LOOKUP(E29,密度!$A$2:$A$50,密度!$C$2:$C$50))</f>
        <v>12289.545705839999</v>
      </c>
      <c r="F28" s="91" ph="1">
        <f>F27*11.702*LOOKUP(F29,密度!$A$2:$A$50,密度!$Q$2:$Q$50)</f>
        <v>39134.692475679993</v>
      </c>
      <c r="G28" s="91" ph="1">
        <f>G27*18.322*LOOKUP(G29,密度!$A$2:$A$50,密度!$B$2:$B$50)</f>
        <v>48695.222212000001</v>
      </c>
      <c r="H28" s="91" ph="1">
        <f>H27*18.322*LOOKUP(H29,密度!$A$2:$A$50,密度!$B$2:$B$50)</f>
        <v>41075.871935999996</v>
      </c>
      <c r="I28" s="91" ph="1">
        <f>I27*18.322*LOOKUP(I29,密度!$A$2:$A$50,密度!$Q$2:$Q$50)</f>
        <v>15283.906422599999</v>
      </c>
      <c r="J28" s="91" ph="1">
        <f>J27*18.322*LOOKUP(J29,密度!$A$2:$A$50,密度!$Q$2:$Q$50)</f>
        <v>5355.9115914799995</v>
      </c>
      <c r="K28" s="91" ph="1">
        <f>K27*18.322*LOOKUP(K29,密度!$A$2:$A$50,密度!$Q$2:$Q$50)</f>
        <v>5595.4640462399993</v>
      </c>
      <c r="L28" s="91" ph="1">
        <f>L27*18.322*LOOKUP(L29,密度!$A$2:$A$50,密度!$Q$2:$Q$50)</f>
        <v>5081.4055244399997</v>
      </c>
      <c r="M28" s="91" ph="1">
        <f>M27*18.322*LOOKUP(M29,密度!$A$2:$A$50,密度!$Q$2:$Q$50)</f>
        <v>68529.641017200003</v>
      </c>
      <c r="N28" s="91" ph="1">
        <f>N27*18.322*LOOKUP(N29,密度!$A$2:$A$50,密度!$Q$2:$Q$50)</f>
        <v>5496.2141386799995</v>
      </c>
      <c r="O28" s="91" ph="1">
        <f>O27*18.322*LOOKUP(O29,密度!$A$2:$A$50,密度!$C$2:$C$50)</f>
        <v>108995.57723760001</v>
      </c>
      <c r="P28" s="91" ph="1">
        <f>P27*11.702*LOOKUP(P29,密度!$A$2:$A$50,密度!$B$2:$B$50)</f>
        <v>3240.4359259999997</v>
      </c>
      <c r="Q28" s="92" ph="1">
        <f>Q27*18.322*LOOKUP(Q29,密度!$A$2:$A$50,密度!$B$2:$B$50)</f>
        <v>24248.243571199997</v>
      </c>
      <c r="R28" s="91" ph="1">
        <f>R27*35.891*LOOKUP(R29,密度!$A$2:$A$50,密度!$C$2:$C$50)</f>
        <v>246758.9050537</v>
      </c>
      <c r="S28" s="91" ph="1">
        <f>S27*35.891*LOOKUP(S29,密度!$A$2:$A$50,密度!$B$2:$B$50)</f>
        <v>113788.3992971</v>
      </c>
      <c r="T28" s="91" ph="1">
        <f>T27*35.891*LOOKUP(T29,密度!$A$2:$A$50,密度!$Q$2:$Q$50)</f>
        <v>20708.613498749997</v>
      </c>
      <c r="U28" s="91" ph="1">
        <f>U27*35.891</f>
        <v>219437.57399999999</v>
      </c>
      <c r="V28" s="91" ph="1">
        <f>V27*47.051*LOOKUP(V29,密度!$A$2:$A$50,密度!$B$2:$B$50)</f>
        <v>26598.494912000002</v>
      </c>
      <c r="W28" s="91" ph="1">
        <f>W27*47.051*LOOKUP(W29,密度!$A$2:$A$50,密度!$B$2:$B$50)</f>
        <v>15596.856003300001</v>
      </c>
      <c r="X28" s="91" ph="1">
        <f>X27*47.051*LOOKUP(X29,密度!$A$2:$A$61,密度!$I$2:$I$61)</f>
        <v>163561.03875000001</v>
      </c>
      <c r="Y28" s="91" ph="1">
        <f>Y27*47.051*LOOKUP(Y29,密度!$A$2:$A$50,密度!$L$2:$L$50)</f>
        <v>187088.93835100002</v>
      </c>
      <c r="Z28" s="231"/>
      <c r="AA28" s="232"/>
      <c r="AB28" s="232"/>
      <c r="AC28" s="232"/>
      <c r="AD28" s="232"/>
      <c r="AE28" s="233"/>
      <c r="AH28" s="64" ph="1">
        <v>14</v>
      </c>
      <c r="AI28" s="64" t="s" ph="1">
        <v>351</v>
      </c>
      <c r="AZ28" s="64" t="s" ph="1">
        <v>216</v>
      </c>
      <c r="BA28" s="64" ph="1">
        <v>0</v>
      </c>
    </row>
    <row r="29" spans="1:57" ph="1">
      <c r="A29" s="72" ph="1"/>
      <c r="B29" s="237" ph="1"/>
      <c r="C29" s="158" t="s" ph="1">
        <v>179</v>
      </c>
      <c r="D29" s="74">
        <v>25</v>
      </c>
      <c r="E29" s="74">
        <v>25</v>
      </c>
      <c r="F29" s="74">
        <v>31</v>
      </c>
      <c r="G29" s="74">
        <v>32</v>
      </c>
      <c r="H29" s="74">
        <v>31</v>
      </c>
      <c r="I29" s="74">
        <v>31</v>
      </c>
      <c r="J29" s="74">
        <v>35</v>
      </c>
      <c r="K29" s="74">
        <v>31</v>
      </c>
      <c r="L29" s="74">
        <v>30</v>
      </c>
      <c r="M29" s="74">
        <v>36</v>
      </c>
      <c r="N29" s="74">
        <v>30</v>
      </c>
      <c r="O29" s="74">
        <v>31</v>
      </c>
      <c r="P29" s="74">
        <v>32</v>
      </c>
      <c r="Q29" s="93">
        <v>31</v>
      </c>
      <c r="R29" s="74">
        <v>31</v>
      </c>
      <c r="S29" s="74">
        <v>33</v>
      </c>
      <c r="T29" s="74">
        <v>33</v>
      </c>
      <c r="U29" s="74">
        <v>31</v>
      </c>
      <c r="V29" s="74">
        <v>31</v>
      </c>
      <c r="W29" s="74">
        <v>33</v>
      </c>
      <c r="X29" s="74">
        <v>36</v>
      </c>
      <c r="Y29" s="74">
        <v>31</v>
      </c>
      <c r="Z29" s="234"/>
      <c r="AA29" s="235"/>
      <c r="AB29" s="235"/>
      <c r="AC29" s="235"/>
      <c r="AD29" s="235"/>
      <c r="AE29" s="236"/>
      <c r="AH29" s="64" ph="1">
        <v>15</v>
      </c>
      <c r="AI29" s="64" t="s" ph="1">
        <v>352</v>
      </c>
      <c r="AZ29" s="64" t="s" ph="1">
        <v>216</v>
      </c>
      <c r="BA29" s="64" ph="1">
        <v>0</v>
      </c>
      <c r="BD29" s="64" t="s" ph="1">
        <v>353</v>
      </c>
      <c r="BE29" s="64" ph="1">
        <v>890</v>
      </c>
    </row>
    <row r="30" spans="1:57" ph="1">
      <c r="D30" s="94" ph="1"/>
      <c r="Z30" s="64" t="s" ph="1">
        <v>35</v>
      </c>
      <c r="AE30" s="95" ph="1"/>
      <c r="AH30" s="64" ph="1">
        <v>16</v>
      </c>
      <c r="AI30" s="64" t="s" ph="1">
        <v>354</v>
      </c>
      <c r="AZ30" s="64" t="s" ph="1">
        <v>216</v>
      </c>
      <c r="BA30" s="64" ph="1">
        <v>0</v>
      </c>
    </row>
    <row r="31" spans="1:57" ht="28.2" ph="1">
      <c r="A31" s="64"/>
      <c r="B31" s="220" t="s" ph="1">
        <v>35</v>
      </c>
      <c r="C31" s="221" ph="1"/>
      <c r="D31" s="224" t="s" ph="1">
        <v>9</v>
      </c>
      <c r="E31" s="199" ph="1"/>
      <c r="F31" s="200" ph="1"/>
      <c r="G31" s="224" t="s" ph="1">
        <v>18</v>
      </c>
      <c r="H31" s="199" ph="1"/>
      <c r="I31" s="200" ph="1"/>
      <c r="J31" s="198" t="s" ph="1">
        <v>1</v>
      </c>
      <c r="K31" s="199" ph="1"/>
      <c r="L31" s="200" ph="1"/>
      <c r="M31" s="198" t="s" ph="1">
        <v>7</v>
      </c>
      <c r="N31" s="199" ph="1"/>
      <c r="O31" s="200" ph="1"/>
      <c r="P31" s="198" t="s" ph="1">
        <v>41</v>
      </c>
      <c r="Q31" s="199"/>
      <c r="R31" s="200"/>
      <c r="S31" s="198" t="s" ph="1">
        <v>2</v>
      </c>
      <c r="T31" s="199"/>
      <c r="U31" s="200"/>
      <c r="V31" s="198" t="s" ph="1">
        <v>71</v>
      </c>
      <c r="W31" s="199" ph="1"/>
      <c r="X31" s="200" ph="1"/>
      <c r="Y31" s="198" t="s" ph="1">
        <v>3</v>
      </c>
      <c r="Z31" s="199" ph="1"/>
      <c r="AA31" s="200" ph="1"/>
      <c r="AB31" s="201" t="s">
        <v>42</v>
      </c>
      <c r="AC31" s="202"/>
      <c r="AD31" s="202"/>
      <c r="AE31" s="203"/>
      <c r="AH31" s="64" ph="1">
        <v>17</v>
      </c>
      <c r="AI31" s="64" t="s" ph="1">
        <v>355</v>
      </c>
      <c r="AZ31" s="64" t="s" ph="1">
        <v>216</v>
      </c>
      <c r="BA31" s="64" ph="1">
        <v>0</v>
      </c>
      <c r="BD31" s="64" t="s" ph="1">
        <v>356</v>
      </c>
      <c r="BE31" s="64" ph="1">
        <v>9310</v>
      </c>
    </row>
    <row r="32" spans="1:57" ph="1">
      <c r="A32" s="64"/>
      <c r="B32" s="222" ph="1"/>
      <c r="C32" s="223" ph="1"/>
      <c r="D32" s="96" t="s" ph="1">
        <v>4</v>
      </c>
      <c r="E32" s="158" t="s" ph="1">
        <v>5</v>
      </c>
      <c r="F32" s="157" t="s" ph="1">
        <v>43</v>
      </c>
      <c r="G32" s="97" t="s" ph="1">
        <v>4</v>
      </c>
      <c r="H32" s="158" t="s" ph="1">
        <v>5</v>
      </c>
      <c r="I32" s="157" t="s" ph="1">
        <v>43</v>
      </c>
      <c r="J32" s="97" t="s" ph="1">
        <v>4</v>
      </c>
      <c r="K32" s="158" t="s" ph="1">
        <v>5</v>
      </c>
      <c r="L32" s="157" t="s" ph="1">
        <v>43</v>
      </c>
      <c r="M32" s="97" t="s" ph="1">
        <v>4</v>
      </c>
      <c r="N32" s="158" t="s" ph="1">
        <v>5</v>
      </c>
      <c r="O32" s="157" t="s" ph="1">
        <v>43</v>
      </c>
      <c r="P32" s="97" t="s" ph="1">
        <v>4</v>
      </c>
      <c r="Q32" s="98" t="s" ph="1">
        <v>5</v>
      </c>
      <c r="R32" s="99" t="s" ph="1">
        <v>43</v>
      </c>
      <c r="S32" s="97" t="s" ph="1">
        <v>4</v>
      </c>
      <c r="T32" s="158" t="s" ph="1">
        <v>5</v>
      </c>
      <c r="U32" s="99" t="s" ph="1">
        <v>43</v>
      </c>
      <c r="V32" s="97" t="s" ph="1">
        <v>4</v>
      </c>
      <c r="W32" s="158" t="s" ph="1">
        <v>5</v>
      </c>
      <c r="X32" s="99" t="s" ph="1">
        <v>43</v>
      </c>
      <c r="Y32" s="100" t="s" ph="1">
        <v>4</v>
      </c>
      <c r="Z32" s="158" t="s" ph="1">
        <v>5</v>
      </c>
      <c r="AA32" s="157" t="s" ph="1">
        <v>43</v>
      </c>
      <c r="AB32" s="97" t="s" ph="1">
        <v>85</v>
      </c>
      <c r="AC32" s="158" t="s" ph="1">
        <v>84</v>
      </c>
      <c r="AD32" s="204" t="s" ph="1">
        <v>83</v>
      </c>
      <c r="AE32" s="205"/>
      <c r="AH32" s="64" ph="1">
        <v>18</v>
      </c>
      <c r="AI32" s="64" t="s" ph="1">
        <v>357</v>
      </c>
      <c r="AZ32" s="64" t="s" ph="1">
        <v>216</v>
      </c>
      <c r="BA32" s="64" ph="1">
        <v>0</v>
      </c>
    </row>
    <row r="33" spans="1:57" ph="1">
      <c r="A33" s="64"/>
      <c r="B33" s="206" t="s" ph="1">
        <v>181</v>
      </c>
      <c r="C33" s="207" ph="1"/>
      <c r="D33" s="186" ph="1">
        <f>AA10+AB10+Z19</f>
        <v>48115.154913600003</v>
      </c>
      <c r="E33" s="186" ph="1">
        <f>M10+I10</f>
        <v>110636.69603979999</v>
      </c>
      <c r="F33" s="210" ph="1">
        <f>表格_取樣回收每月庫存表_0620更新1522252632456786910111213141516171819202123456789101112131415161718192022232424356789101112131415161718192021222345678910111213141516171819202345678910111213149101516171819222123234567891012131415161711181920212224252345678910111213121[[#This Row],[F25]]</f>
        <v>3880</v>
      </c>
      <c r="G33" s="212" ph="1">
        <f>N19</f>
        <v>42831.649195400001</v>
      </c>
      <c r="H33" s="186" ph="1">
        <f>M19</f>
        <v>27252.681547928001</v>
      </c>
      <c r="I33" s="190" ph="1">
        <v>0</v>
      </c>
      <c r="J33" s="194" ph="1">
        <f>F10+O28</f>
        <v>225949.17024150002</v>
      </c>
      <c r="K33" s="186" ph="1">
        <f>O10+K10+E28+R28</f>
        <v>399048.73339274002</v>
      </c>
      <c r="L33" s="196" ph="1">
        <f>K19</f>
        <v>6693.4521838000001</v>
      </c>
      <c r="M33" s="194" ph="1">
        <f>G10+H10+W28+S28+V28+E10+R19+P28+Q28</f>
        <v>465786.79013360001</v>
      </c>
      <c r="N33" s="186" ph="1">
        <f>L10+P10++G28+H28+AD19+AE19</f>
        <v>433032.61950679997</v>
      </c>
      <c r="O33" s="190" ph="1">
        <f>G19</f>
        <v>21046.589105760002</v>
      </c>
      <c r="P33" s="194" ph="1">
        <f>L19</f>
        <v>30716.54820288</v>
      </c>
      <c r="Q33" s="186" ph="1">
        <f>J10+N10</f>
        <v>22008.300796039999</v>
      </c>
      <c r="R33" s="190" ph="1">
        <f>BE23</f>
        <v>890</v>
      </c>
      <c r="S33" s="194" ph="1">
        <f>X28</f>
        <v>163561.03875000001</v>
      </c>
      <c r="T33" s="186" ph="1">
        <f>X19</f>
        <v>13440.1093774</v>
      </c>
      <c r="U33" s="175" ph="1">
        <f>BE21</f>
        <v>730</v>
      </c>
      <c r="V33" s="188" ph="1">
        <f ca="1">P19+Q19+S19+M28+N28+J28+D10+AC10+D19+E19+H19+J19+O19+V19+W19+K28+L28</f>
        <v>737753.81962553388</v>
      </c>
      <c r="W33" s="188" ph="1">
        <f>D28+F28+T28+I28</f>
        <v>77459.403381717988</v>
      </c>
      <c r="X33" s="190" ph="1">
        <f>BE29+BE31</f>
        <v>10200</v>
      </c>
      <c r="Y33" s="192" ph="1">
        <f>+Q10+R10+S10+T10+U10+V10+W10+X10+Y10</f>
        <v>312296.04945000005</v>
      </c>
      <c r="Z33" s="173" ph="1">
        <f>T19+U19+Y28+Z10</f>
        <v>380313.23653475998</v>
      </c>
      <c r="AA33" s="175" ph="1">
        <f>BE19</f>
        <v>1440</v>
      </c>
      <c r="AB33" s="177" ph="1">
        <f>I19</f>
        <v>48095.479820599998</v>
      </c>
      <c r="AC33" s="179" ph="1">
        <f>AD10+AB19</f>
        <v>92488.440038400004</v>
      </c>
      <c r="AD33" s="181" ph="1">
        <v>0</v>
      </c>
      <c r="AE33" s="182"/>
      <c r="AH33" s="64" ph="1">
        <v>19</v>
      </c>
      <c r="AI33" s="64" t="s" ph="1">
        <v>358</v>
      </c>
      <c r="AJ33" s="64" t="s" ph="1">
        <v>592</v>
      </c>
      <c r="AK33" s="64" t="s" ph="1">
        <v>589</v>
      </c>
      <c r="AL33" s="64" ph="1">
        <v>730</v>
      </c>
      <c r="AM33" s="64" t="s" ph="1">
        <v>339</v>
      </c>
      <c r="AZ33" s="64" t="s" ph="1">
        <v>216</v>
      </c>
      <c r="BA33" s="64" ph="1">
        <v>730</v>
      </c>
      <c r="BD33" s="64" t="s" ph="1">
        <v>290</v>
      </c>
      <c r="BE33" s="64" ph="1">
        <v>3880</v>
      </c>
    </row>
    <row r="34" spans="1:57" ph="1">
      <c r="A34" s="64"/>
      <c r="B34" s="208" ph="1"/>
      <c r="C34" s="209" ph="1"/>
      <c r="D34" s="187" ph="1"/>
      <c r="E34" s="187" ph="1"/>
      <c r="F34" s="211" ph="1"/>
      <c r="G34" s="213" ph="1"/>
      <c r="H34" s="187" ph="1"/>
      <c r="I34" s="191" ph="1"/>
      <c r="J34" s="195" ph="1"/>
      <c r="K34" s="187" ph="1"/>
      <c r="L34" s="197" ph="1"/>
      <c r="M34" s="195" ph="1"/>
      <c r="N34" s="187" ph="1"/>
      <c r="O34" s="191" ph="1"/>
      <c r="P34" s="195" ph="1"/>
      <c r="Q34" s="187" ph="1"/>
      <c r="R34" s="191" ph="1"/>
      <c r="S34" s="195" ph="1"/>
      <c r="T34" s="187"/>
      <c r="U34" s="176"/>
      <c r="V34" s="189" ph="1"/>
      <c r="W34" s="189" ph="1"/>
      <c r="X34" s="191" ph="1"/>
      <c r="Y34" s="193" ph="1"/>
      <c r="Z34" s="174" ph="1"/>
      <c r="AA34" s="176" ph="1"/>
      <c r="AB34" s="178"/>
      <c r="AC34" s="180"/>
      <c r="AD34" s="183"/>
      <c r="AE34" s="184"/>
      <c r="AH34" s="64" ph="1">
        <v>20</v>
      </c>
      <c r="AI34" s="64" t="s" ph="1">
        <v>359</v>
      </c>
      <c r="AJ34" s="64" t="s" ph="1">
        <v>593</v>
      </c>
      <c r="AK34" s="64" t="s" ph="1">
        <v>589</v>
      </c>
      <c r="AL34" s="64" ph="1">
        <v>720</v>
      </c>
      <c r="AM34" s="64" t="s" ph="1">
        <v>339</v>
      </c>
      <c r="AZ34" s="64" t="s" ph="1">
        <v>216</v>
      </c>
      <c r="BA34" s="64" ph="1">
        <v>720</v>
      </c>
    </row>
    <row r="35" spans="1:57" ph="1">
      <c r="A35" s="64"/>
      <c r="AC35" s="185" t="s" ph="1">
        <v>631</v>
      </c>
      <c r="AD35" s="185"/>
      <c r="AE35" s="185"/>
      <c r="AH35" s="64" ph="1">
        <v>21</v>
      </c>
      <c r="AI35" s="64" t="s" ph="1">
        <v>360</v>
      </c>
      <c r="AZ35" s="64" t="s" ph="1">
        <v>216</v>
      </c>
      <c r="BA35" s="64" ph="1">
        <v>0</v>
      </c>
      <c r="BD35" s="64" t="s" ph="1">
        <v>361</v>
      </c>
      <c r="BE35" s="64" ph="1">
        <v>2030</v>
      </c>
    </row>
    <row r="36" spans="1:57" ht="28.2" ph="1">
      <c r="A36" s="64"/>
      <c r="B36" s="103" t="s" ph="1">
        <v>182</v>
      </c>
      <c r="I36" s="171" t="s" ph="1">
        <v>183</v>
      </c>
      <c r="J36" s="171" ph="1"/>
      <c r="K36" s="101" ph="1"/>
      <c r="P36" s="101" ph="1"/>
      <c r="R36" s="171" t="s" ph="1">
        <v>184</v>
      </c>
      <c r="S36" s="171" ph="1"/>
      <c r="Y36" s="102" ph="1"/>
      <c r="Z36" s="156" t="s" ph="1">
        <v>185</v>
      </c>
      <c r="AA36" s="156" ph="1"/>
      <c r="AB36" s="172" t="s" ph="1">
        <v>640</v>
      </c>
      <c r="AC36" s="172" ph="1"/>
      <c r="AD36" s="172" ph="1"/>
      <c r="AE36" s="172" ph="1"/>
      <c r="BA36" s="64" ph="1">
        <v>2270</v>
      </c>
    </row>
    <row r="37" spans="1:57" s="156" customFormat="1" ph="1">
      <c r="A37" s="64" ph="1"/>
      <c r="B37" s="64" ph="1"/>
      <c r="C37" s="64" ph="1"/>
      <c r="D37" s="64" ph="1"/>
      <c r="E37" s="64" ph="1"/>
      <c r="F37" s="64" ph="1"/>
      <c r="G37" s="64" ph="1"/>
      <c r="H37" s="64" ph="1"/>
      <c r="I37" s="64" ph="1"/>
      <c r="J37" s="64" ph="1"/>
      <c r="K37" s="64" ph="1"/>
      <c r="L37" s="64" ph="1"/>
      <c r="M37" s="64" ph="1"/>
      <c r="N37" s="64" ph="1"/>
      <c r="O37" s="64" ph="1"/>
      <c r="P37" s="64" ph="1"/>
      <c r="Q37" s="64" ph="1"/>
      <c r="R37" s="64" ph="1"/>
      <c r="S37" s="64" ph="1"/>
      <c r="T37" s="64" ph="1"/>
      <c r="U37" s="64" ph="1"/>
      <c r="V37" s="64" ph="1"/>
      <c r="W37" s="64" ph="1"/>
      <c r="X37" s="64" ph="1"/>
      <c r="Y37" s="64" ph="1"/>
      <c r="Z37" s="64" ph="1"/>
      <c r="AA37" s="64" ph="1"/>
      <c r="AB37" s="64" ph="1"/>
      <c r="AC37" s="64" ph="1"/>
      <c r="AD37" s="64" ph="1"/>
      <c r="AE37" s="64" ph="1"/>
      <c r="AG37" s="156" t="s" ph="1">
        <v>342</v>
      </c>
      <c r="AI37" s="156" t="s" ph="1">
        <v>209</v>
      </c>
      <c r="AJ37" s="156" t="s" ph="1">
        <v>210</v>
      </c>
      <c r="AK37" s="156" t="s" ph="1">
        <v>211</v>
      </c>
      <c r="AM37" s="156" t="s" ph="1">
        <v>210</v>
      </c>
      <c r="AN37" s="156" t="s" ph="1">
        <v>211</v>
      </c>
      <c r="AO37" s="156" t="s" ph="1">
        <v>212</v>
      </c>
      <c r="AP37" s="156" t="s" ph="1">
        <v>210</v>
      </c>
      <c r="AQ37" s="156" t="s" ph="1">
        <v>211</v>
      </c>
      <c r="AR37" s="156" t="s" ph="1">
        <v>212</v>
      </c>
      <c r="AS37" s="156" t="s" ph="1">
        <v>210</v>
      </c>
      <c r="AT37" s="156" t="s" ph="1">
        <v>211</v>
      </c>
      <c r="AU37" s="156" t="s" ph="1">
        <v>212</v>
      </c>
      <c r="AV37" s="156" t="s" ph="1">
        <v>210</v>
      </c>
      <c r="AW37" s="156" t="s" ph="1">
        <v>211</v>
      </c>
      <c r="AX37" s="156" t="s" ph="1">
        <v>212</v>
      </c>
      <c r="AY37" s="156" t="s" ph="1">
        <v>211</v>
      </c>
      <c r="AZ37" s="156" t="s" ph="1">
        <v>213</v>
      </c>
      <c r="BD37" s="156" t="s" ph="1">
        <v>305</v>
      </c>
      <c r="BE37" s="156" ph="1">
        <v>0</v>
      </c>
    </row>
    <row r="38" spans="1:57" ph="1">
      <c r="AE38" s="64" ph="1"/>
      <c r="AH38" s="64" ph="1">
        <v>1</v>
      </c>
      <c r="AI38" s="64" t="s" ph="1">
        <v>362</v>
      </c>
      <c r="AY38" s="64" t="s" ph="1">
        <v>216</v>
      </c>
      <c r="AZ38" s="64" t="s" ph="1">
        <v>367</v>
      </c>
    </row>
    <row r="39" spans="1:57" ph="1">
      <c r="AH39" s="64" ph="1">
        <v>2</v>
      </c>
      <c r="AI39" s="64" t="s" ph="1">
        <v>364</v>
      </c>
      <c r="AJ39" s="64" t="s" ph="1">
        <v>336</v>
      </c>
      <c r="AK39" s="64" t="s" ph="1">
        <v>365</v>
      </c>
      <c r="AM39" s="64" t="s" ph="1">
        <v>570</v>
      </c>
      <c r="AN39" s="64" t="s" ph="1">
        <v>228</v>
      </c>
      <c r="AO39" s="64" t="s" ph="1">
        <v>363</v>
      </c>
      <c r="AY39" s="64" t="s" ph="1">
        <v>216</v>
      </c>
      <c r="AZ39" s="64" t="s" ph="1">
        <v>499</v>
      </c>
    </row>
    <row r="40" spans="1:57" ph="1">
      <c r="AH40" s="64" ph="1">
        <v>3</v>
      </c>
      <c r="AI40" s="64" t="s" ph="1">
        <v>366</v>
      </c>
      <c r="AJ40" s="64" t="s" ph="1">
        <v>570</v>
      </c>
      <c r="AK40" s="64" t="s" ph="1">
        <v>571</v>
      </c>
      <c r="AY40" s="64" t="s" ph="1">
        <v>216</v>
      </c>
      <c r="AZ40" s="64" t="s" ph="1">
        <v>571</v>
      </c>
    </row>
    <row r="41" spans="1:57" ph="1">
      <c r="AH41" s="64" ph="1">
        <v>4</v>
      </c>
      <c r="AI41" s="64" t="s" ph="1">
        <v>368</v>
      </c>
      <c r="AJ41" s="64" t="s" ph="1">
        <v>572</v>
      </c>
      <c r="AK41" s="64" t="s" ph="1">
        <v>573</v>
      </c>
      <c r="AM41" s="64" t="s" ph="1">
        <v>574</v>
      </c>
      <c r="AY41" s="64" t="s" ph="1">
        <v>216</v>
      </c>
      <c r="AZ41" s="64" t="s" ph="1">
        <v>573</v>
      </c>
    </row>
    <row r="42" spans="1:57" ph="1">
      <c r="P42" s="64"/>
      <c r="Q42" s="64"/>
      <c r="R42" s="64"/>
      <c r="S42" s="64"/>
      <c r="T42" s="64"/>
      <c r="U42" s="64"/>
      <c r="V42" s="64"/>
      <c r="W42" s="64"/>
      <c r="X42" s="64"/>
      <c r="Y42" s="64"/>
      <c r="Z42" s="64"/>
      <c r="AA42" s="64"/>
      <c r="AB42" s="64"/>
      <c r="AC42" s="64"/>
      <c r="AD42" s="64"/>
      <c r="AE42" s="75"/>
      <c r="AH42" s="64" ph="1">
        <v>5</v>
      </c>
      <c r="AI42" s="64" t="s" ph="1">
        <v>369</v>
      </c>
      <c r="AY42" s="64" t="s" ph="1">
        <v>216</v>
      </c>
      <c r="AZ42" s="64" t="s" ph="1">
        <v>367</v>
      </c>
    </row>
    <row r="43" spans="1:57" ph="1">
      <c r="C43" s="64"/>
      <c r="D43" s="64"/>
      <c r="E43" s="64"/>
      <c r="F43" s="64"/>
      <c r="G43" s="64"/>
      <c r="H43" s="64"/>
      <c r="I43" s="64"/>
      <c r="J43" s="64"/>
      <c r="K43" s="64"/>
      <c r="L43" s="64"/>
      <c r="M43" s="64"/>
      <c r="N43" s="64"/>
      <c r="O43" s="64"/>
      <c r="P43" s="64"/>
      <c r="R43" s="64"/>
      <c r="S43" s="64"/>
      <c r="T43" s="64"/>
      <c r="U43" s="64"/>
      <c r="V43" s="64"/>
      <c r="W43" s="64"/>
      <c r="X43" s="64"/>
      <c r="Y43" s="64"/>
      <c r="Z43" s="64"/>
      <c r="AA43" s="64"/>
      <c r="AB43" s="64"/>
      <c r="AC43" s="64"/>
      <c r="AD43" s="64"/>
      <c r="AE43" s="75"/>
      <c r="AH43" s="64" ph="1">
        <v>6</v>
      </c>
      <c r="AI43" s="64" t="s" ph="1">
        <v>370</v>
      </c>
      <c r="AY43" s="64" t="s" ph="1">
        <v>216</v>
      </c>
      <c r="AZ43" s="64" t="s" ph="1">
        <v>367</v>
      </c>
    </row>
    <row r="44" spans="1:57" ph="1">
      <c r="R44" s="64"/>
      <c r="S44" s="64"/>
      <c r="T44" s="64"/>
      <c r="U44" s="64"/>
      <c r="V44" s="64"/>
      <c r="W44" s="64"/>
      <c r="X44" s="64"/>
      <c r="Y44" s="64"/>
      <c r="Z44" s="64"/>
      <c r="AA44" s="64"/>
      <c r="AB44" s="64"/>
      <c r="AC44" s="64"/>
      <c r="AD44" s="64"/>
      <c r="AE44" s="75"/>
      <c r="AH44" s="64" ph="1">
        <v>7</v>
      </c>
      <c r="AI44" s="64" t="s" ph="1">
        <v>371</v>
      </c>
      <c r="AV44" s="64" t="s" ph="1">
        <v>217</v>
      </c>
      <c r="AY44" s="64" t="s" ph="1">
        <v>216</v>
      </c>
      <c r="AZ44" s="64" t="s" ph="1">
        <v>367</v>
      </c>
    </row>
    <row r="45" spans="1:57" ph="1">
      <c r="R45" s="64"/>
      <c r="S45" s="64"/>
      <c r="T45" s="64"/>
      <c r="U45" s="64"/>
      <c r="V45" s="64"/>
      <c r="W45" s="64"/>
      <c r="X45" s="64"/>
      <c r="Y45" s="64"/>
      <c r="Z45" s="64"/>
      <c r="AA45" s="64"/>
      <c r="AB45" s="64"/>
      <c r="AC45" s="64"/>
      <c r="AD45" s="64"/>
      <c r="AE45" s="75"/>
      <c r="AH45" s="64" ph="1">
        <v>8</v>
      </c>
      <c r="AI45" s="64" t="s" ph="1">
        <v>372</v>
      </c>
      <c r="AV45" s="64" t="s" ph="1">
        <v>217</v>
      </c>
      <c r="AY45" s="64" t="s" ph="1">
        <v>216</v>
      </c>
      <c r="AZ45" s="64" t="s" ph="1">
        <v>367</v>
      </c>
    </row>
    <row r="46" spans="1:57" ph="1">
      <c r="R46" s="64"/>
      <c r="S46" s="64"/>
      <c r="T46" s="64"/>
      <c r="U46" s="64"/>
      <c r="V46" s="64"/>
      <c r="W46" s="64"/>
      <c r="X46" s="64"/>
      <c r="Y46" s="64"/>
      <c r="Z46" s="64"/>
      <c r="AA46" s="64"/>
      <c r="AB46" s="64"/>
      <c r="AC46" s="64"/>
      <c r="AD46" s="64"/>
      <c r="AE46" s="75"/>
      <c r="AH46" s="64" ph="1">
        <v>9</v>
      </c>
      <c r="AI46" s="64" t="s" ph="1">
        <v>373</v>
      </c>
      <c r="AV46" s="64" t="s" ph="1">
        <v>217</v>
      </c>
      <c r="AY46" s="64" t="s" ph="1">
        <v>216</v>
      </c>
      <c r="AZ46" s="64" t="s" ph="1">
        <v>367</v>
      </c>
    </row>
    <row r="47" spans="1:57" ph="1">
      <c r="R47" s="64"/>
      <c r="S47" s="64"/>
      <c r="T47" s="64"/>
      <c r="U47" s="64"/>
      <c r="V47" s="64"/>
      <c r="W47" s="64"/>
      <c r="X47" s="64"/>
      <c r="Y47" s="64"/>
      <c r="Z47" s="64"/>
      <c r="AA47" s="64"/>
      <c r="AB47" s="64"/>
      <c r="AC47" s="64"/>
      <c r="AD47" s="64"/>
      <c r="AE47" s="75"/>
      <c r="AH47" s="64" ph="1">
        <v>10</v>
      </c>
      <c r="AI47" s="64" t="s" ph="1">
        <v>374</v>
      </c>
      <c r="AV47" s="64" t="s" ph="1">
        <v>217</v>
      </c>
      <c r="AY47" s="64" t="s" ph="1">
        <v>216</v>
      </c>
      <c r="AZ47" s="64" t="s" ph="1">
        <v>367</v>
      </c>
    </row>
    <row r="48" spans="1:57" ph="1">
      <c r="R48" s="64"/>
      <c r="S48" s="64"/>
      <c r="T48" s="64"/>
      <c r="U48" s="64"/>
      <c r="V48" s="64"/>
      <c r="W48" s="64"/>
      <c r="X48" s="64"/>
      <c r="Y48" s="64"/>
      <c r="Z48" s="64"/>
      <c r="AA48" s="64"/>
      <c r="AB48" s="64"/>
      <c r="AC48" s="64"/>
      <c r="AD48" s="64"/>
      <c r="AE48" s="75"/>
      <c r="AZ48" s="64" t="s" ph="1">
        <v>575</v>
      </c>
    </row>
    <row r="49" spans="16:52" ph="1">
      <c r="R49" s="64"/>
      <c r="S49" s="64"/>
      <c r="T49" s="64"/>
      <c r="U49" s="64"/>
      <c r="V49" s="64"/>
      <c r="W49" s="64"/>
      <c r="X49" s="64"/>
      <c r="Y49" s="64"/>
      <c r="Z49" s="64"/>
      <c r="AA49" s="64"/>
      <c r="AB49" s="64"/>
      <c r="AC49" s="64"/>
      <c r="AD49" s="64"/>
      <c r="AE49" s="75"/>
      <c r="AG49" s="64" t="s" ph="1">
        <v>232</v>
      </c>
      <c r="AI49" s="64" t="s" ph="1">
        <v>209</v>
      </c>
      <c r="AJ49" s="64" t="s" ph="1">
        <v>210</v>
      </c>
      <c r="AK49" s="64" t="s" ph="1">
        <v>211</v>
      </c>
      <c r="AM49" s="64" t="s" ph="1">
        <v>210</v>
      </c>
      <c r="AN49" s="64" t="s" ph="1">
        <v>211</v>
      </c>
      <c r="AO49" s="64" t="s" ph="1">
        <v>212</v>
      </c>
      <c r="AP49" s="64" t="s" ph="1">
        <v>210</v>
      </c>
      <c r="AQ49" s="64" t="s" ph="1">
        <v>211</v>
      </c>
      <c r="AR49" s="64" t="s" ph="1">
        <v>212</v>
      </c>
      <c r="AS49" s="64" t="s" ph="1">
        <v>210</v>
      </c>
      <c r="AT49" s="64" t="s" ph="1">
        <v>211</v>
      </c>
      <c r="AU49" s="64" t="s" ph="1">
        <v>212</v>
      </c>
      <c r="AV49" s="64" t="s" ph="1">
        <v>210</v>
      </c>
      <c r="AW49" s="64" t="s" ph="1">
        <v>211</v>
      </c>
      <c r="AX49" s="64" t="s" ph="1">
        <v>212</v>
      </c>
      <c r="AY49" s="64" t="s" ph="1">
        <v>211</v>
      </c>
      <c r="AZ49" s="64" t="s" ph="1">
        <v>213</v>
      </c>
    </row>
    <row r="50" spans="16:52" ph="1">
      <c r="R50" s="64"/>
      <c r="S50" s="64"/>
      <c r="T50" s="64"/>
      <c r="U50" s="64"/>
      <c r="V50" s="64"/>
      <c r="W50" s="64"/>
      <c r="X50" s="64"/>
      <c r="Y50" s="64"/>
      <c r="Z50" s="64"/>
      <c r="AA50" s="64"/>
      <c r="AB50" s="64"/>
      <c r="AC50" s="64"/>
      <c r="AD50" s="64"/>
      <c r="AE50" s="75"/>
      <c r="AH50" s="64" ph="1">
        <v>1</v>
      </c>
      <c r="AI50" s="64" t="s" ph="1">
        <v>375</v>
      </c>
      <c r="AY50" s="64" t="s" ph="1">
        <v>216</v>
      </c>
      <c r="AZ50" s="64" t="s" ph="1">
        <v>367</v>
      </c>
    </row>
    <row r="51" spans="16:52" ph="1">
      <c r="R51" s="64"/>
      <c r="S51" s="64"/>
      <c r="T51" s="64"/>
      <c r="U51" s="64"/>
      <c r="V51" s="64"/>
      <c r="W51" s="64"/>
      <c r="X51" s="64"/>
      <c r="Y51" s="64"/>
      <c r="Z51" s="64"/>
      <c r="AA51" s="64"/>
      <c r="AB51" s="64"/>
      <c r="AC51" s="64"/>
      <c r="AD51" s="64"/>
      <c r="AE51" s="75"/>
      <c r="AH51" s="64" ph="1">
        <v>2</v>
      </c>
      <c r="AI51" s="64" t="s" ph="1">
        <v>376</v>
      </c>
      <c r="AY51" s="64" t="s" ph="1">
        <v>216</v>
      </c>
      <c r="AZ51" s="64" t="s" ph="1">
        <v>367</v>
      </c>
    </row>
    <row r="52" spans="16:52" ph="1">
      <c r="R52" s="64"/>
      <c r="S52" s="64"/>
      <c r="T52" s="64"/>
      <c r="U52" s="64"/>
      <c r="V52" s="64"/>
      <c r="W52" s="64"/>
      <c r="X52" s="64"/>
      <c r="Y52" s="64"/>
      <c r="Z52" s="64"/>
      <c r="AA52" s="64"/>
      <c r="AB52" s="64"/>
      <c r="AC52" s="64"/>
      <c r="AD52" s="64"/>
      <c r="AE52" s="75"/>
      <c r="AH52" s="64" ph="1">
        <v>3</v>
      </c>
      <c r="AI52" s="64" t="s" ph="1">
        <v>377</v>
      </c>
      <c r="AJ52" s="64" t="s" ph="1">
        <v>334</v>
      </c>
      <c r="AK52" s="64" t="s" ph="1">
        <v>228</v>
      </c>
      <c r="AM52" s="64" t="s" ph="1">
        <v>336</v>
      </c>
      <c r="AN52" s="64" t="s" ph="1">
        <v>300</v>
      </c>
      <c r="AO52" s="64" t="s" ph="1">
        <v>233</v>
      </c>
      <c r="AP52" s="64" t="s" ph="1">
        <v>570</v>
      </c>
      <c r="AQ52" s="64" t="s" ph="1">
        <v>282</v>
      </c>
      <c r="AR52" s="64" t="s" ph="1">
        <v>233</v>
      </c>
      <c r="AY52" s="64" t="s" ph="1">
        <v>216</v>
      </c>
      <c r="AZ52" s="64" t="s" ph="1">
        <v>576</v>
      </c>
    </row>
    <row r="53" spans="16:52" ph="1">
      <c r="R53" s="64"/>
      <c r="S53" s="64"/>
      <c r="T53" s="64"/>
      <c r="U53" s="64"/>
      <c r="W53" s="64"/>
      <c r="X53" s="64"/>
      <c r="Y53" s="64"/>
      <c r="Z53" s="64"/>
      <c r="AA53" s="64"/>
      <c r="AB53" s="64"/>
      <c r="AC53" s="64"/>
      <c r="AD53" s="64"/>
      <c r="AH53" s="64" ph="1">
        <v>4</v>
      </c>
      <c r="AI53" s="64" t="s" ph="1">
        <v>378</v>
      </c>
      <c r="AY53" s="64" t="s" ph="1">
        <v>216</v>
      </c>
      <c r="AZ53" s="64" t="s" ph="1">
        <v>367</v>
      </c>
    </row>
    <row r="54" spans="16:52" ph="1">
      <c r="R54" s="64"/>
      <c r="S54" s="64"/>
      <c r="T54" s="64"/>
      <c r="U54" s="64"/>
      <c r="W54" s="64"/>
      <c r="X54" s="64"/>
      <c r="Y54" s="64"/>
      <c r="Z54" s="64"/>
      <c r="AA54" s="64"/>
      <c r="AC54" s="64"/>
      <c r="AD54" s="64"/>
      <c r="AH54" s="64" ph="1">
        <v>5</v>
      </c>
      <c r="AI54" s="64" t="s" ph="1">
        <v>379</v>
      </c>
      <c r="AJ54" s="64" t="s" ph="1">
        <v>334</v>
      </c>
      <c r="AK54" s="64" t="s" ph="1">
        <v>219</v>
      </c>
      <c r="AM54" s="64" t="s" ph="1">
        <v>336</v>
      </c>
      <c r="AN54" s="64" t="s" ph="1">
        <v>224</v>
      </c>
      <c r="AO54" s="64" t="s" ph="1">
        <v>233</v>
      </c>
      <c r="AP54" s="64" t="s" ph="1">
        <v>570</v>
      </c>
      <c r="AQ54" s="64" t="s" ph="1">
        <v>240</v>
      </c>
      <c r="AR54" s="64" t="s" ph="1">
        <v>233</v>
      </c>
      <c r="AY54" s="64" t="s" ph="1">
        <v>216</v>
      </c>
      <c r="AZ54" s="64" t="s" ph="1">
        <v>234</v>
      </c>
    </row>
    <row r="55" spans="16:52" ph="1">
      <c r="R55" s="64"/>
      <c r="S55" s="64"/>
      <c r="T55" s="64"/>
      <c r="U55" s="64"/>
      <c r="V55" s="64"/>
      <c r="W55" s="64"/>
      <c r="X55" s="64"/>
      <c r="Z55" s="64"/>
      <c r="AC55" s="64"/>
      <c r="AD55" s="64"/>
      <c r="AE55" s="75"/>
      <c r="AH55" s="64" ph="1">
        <v>6</v>
      </c>
      <c r="AI55" s="64" t="s" ph="1">
        <v>380</v>
      </c>
      <c r="AY55" s="64" t="s" ph="1">
        <v>216</v>
      </c>
      <c r="AZ55" s="64" t="s" ph="1">
        <v>367</v>
      </c>
    </row>
    <row r="56" spans="16:52" ph="1">
      <c r="P56" s="64" ph="1">
        <v>20260804</v>
      </c>
      <c r="R56" s="64"/>
      <c r="S56" s="64"/>
      <c r="T56" s="64"/>
      <c r="U56" s="64"/>
      <c r="V56" s="64"/>
      <c r="W56" s="64"/>
      <c r="X56" s="64"/>
      <c r="Z56" s="64"/>
      <c r="AA56" s="64"/>
      <c r="AB56" s="64"/>
      <c r="AC56" s="64"/>
      <c r="AD56" s="64"/>
      <c r="AE56" s="75"/>
      <c r="AH56" s="64" ph="1">
        <v>7</v>
      </c>
      <c r="AI56" s="64" t="s" ph="1">
        <v>381</v>
      </c>
      <c r="AY56" s="64" t="s" ph="1">
        <v>216</v>
      </c>
      <c r="AZ56" s="64" t="s" ph="1">
        <v>367</v>
      </c>
    </row>
    <row r="57" spans="16:52" ph="1">
      <c r="R57" s="64"/>
      <c r="S57" s="64"/>
      <c r="T57" s="64"/>
      <c r="U57" s="64"/>
      <c r="V57" s="64"/>
      <c r="W57" s="64"/>
      <c r="AA57" s="64"/>
      <c r="AB57" s="64"/>
      <c r="AC57" s="64"/>
      <c r="AD57" s="64"/>
      <c r="AE57" s="75"/>
      <c r="AH57" s="64" ph="1">
        <v>8</v>
      </c>
      <c r="AI57" s="64" t="s" ph="1">
        <v>382</v>
      </c>
      <c r="AY57" s="64" t="s" ph="1">
        <v>216</v>
      </c>
      <c r="AZ57" s="64" t="s" ph="1">
        <v>367</v>
      </c>
    </row>
    <row r="58" spans="16:52" ph="1">
      <c r="P58" s="64"/>
      <c r="AN58" s="64" t="s" ph="1">
        <v>217</v>
      </c>
      <c r="AZ58" s="64" t="s" ph="1">
        <v>577</v>
      </c>
    </row>
    <row r="59" spans="16:52" ph="1">
      <c r="V59" s="64"/>
      <c r="AG59" s="64" t="s" ph="1">
        <v>235</v>
      </c>
      <c r="AI59" s="64" t="s" ph="1">
        <v>209</v>
      </c>
      <c r="AJ59" s="64" t="s" ph="1">
        <v>210</v>
      </c>
      <c r="AK59" s="64" t="s" ph="1">
        <v>211</v>
      </c>
      <c r="AM59" s="64" t="s" ph="1">
        <v>210</v>
      </c>
      <c r="AN59" s="64" t="s" ph="1">
        <v>211</v>
      </c>
      <c r="AO59" s="64" t="s" ph="1">
        <v>212</v>
      </c>
      <c r="AP59" s="64" t="s" ph="1">
        <v>210</v>
      </c>
      <c r="AQ59" s="64" t="s" ph="1">
        <v>211</v>
      </c>
      <c r="AR59" s="64" t="s" ph="1">
        <v>212</v>
      </c>
      <c r="AS59" s="64" t="s" ph="1">
        <v>210</v>
      </c>
      <c r="AT59" s="64" t="s" ph="1">
        <v>211</v>
      </c>
      <c r="AU59" s="64" t="s" ph="1">
        <v>212</v>
      </c>
      <c r="AV59" s="64" t="s" ph="1">
        <v>210</v>
      </c>
      <c r="AW59" s="64" t="s" ph="1">
        <v>211</v>
      </c>
      <c r="AX59" s="64" t="s" ph="1">
        <v>212</v>
      </c>
      <c r="AY59" s="64" t="s" ph="1">
        <v>211</v>
      </c>
      <c r="AZ59" s="64" t="s" ph="1">
        <v>213</v>
      </c>
    </row>
    <row r="60" spans="16:52" ph="1">
      <c r="R60" s="64"/>
      <c r="S60" s="64"/>
      <c r="T60" s="64"/>
      <c r="AH60" s="64" ph="1">
        <v>1</v>
      </c>
      <c r="AI60" s="64" t="s" ph="1">
        <v>383</v>
      </c>
      <c r="AY60" s="64" t="s" ph="1">
        <v>216</v>
      </c>
      <c r="AZ60" s="64" t="s" ph="1">
        <v>367</v>
      </c>
    </row>
    <row r="61" spans="16:52" ph="1">
      <c r="AH61" s="64" ph="1">
        <v>2</v>
      </c>
      <c r="AI61" s="64" t="s" ph="1">
        <v>384</v>
      </c>
      <c r="AS61" s="64" t="s" ph="1">
        <v>217</v>
      </c>
      <c r="AY61" s="64" t="s" ph="1">
        <v>216</v>
      </c>
      <c r="AZ61" s="64" t="s" ph="1">
        <v>367</v>
      </c>
    </row>
    <row r="62" spans="16:52" ph="1">
      <c r="AZ62" s="64" t="s" ph="1">
        <v>385</v>
      </c>
    </row>
    <row r="63" spans="16:52" ph="1">
      <c r="AG63" s="64" t="s" ph="1">
        <v>238</v>
      </c>
      <c r="AI63" s="64" t="s" ph="1">
        <v>209</v>
      </c>
      <c r="AJ63" s="64" t="s" ph="1">
        <v>210</v>
      </c>
      <c r="AK63" s="64" t="s" ph="1">
        <v>211</v>
      </c>
      <c r="AM63" s="64" t="s" ph="1">
        <v>210</v>
      </c>
      <c r="AN63" s="64" t="s" ph="1">
        <v>211</v>
      </c>
      <c r="AO63" s="64" t="s" ph="1">
        <v>212</v>
      </c>
      <c r="AP63" s="64" t="s" ph="1">
        <v>210</v>
      </c>
      <c r="AQ63" s="64" t="s" ph="1">
        <v>211</v>
      </c>
      <c r="AR63" s="64" t="s" ph="1">
        <v>212</v>
      </c>
      <c r="AS63" s="64" t="s" ph="1">
        <v>210</v>
      </c>
      <c r="AT63" s="64" t="s" ph="1">
        <v>211</v>
      </c>
      <c r="AU63" s="64" t="s" ph="1">
        <v>212</v>
      </c>
      <c r="AV63" s="64" t="s" ph="1">
        <v>210</v>
      </c>
      <c r="AW63" s="64" t="s" ph="1">
        <v>211</v>
      </c>
      <c r="AX63" s="64" t="s" ph="1">
        <v>212</v>
      </c>
      <c r="AY63" s="64" t="s" ph="1">
        <v>211</v>
      </c>
      <c r="AZ63" s="64" t="s" ph="1">
        <v>213</v>
      </c>
    </row>
    <row r="64" spans="16:52" ph="1">
      <c r="AH64" s="64" ph="1">
        <v>1</v>
      </c>
      <c r="AI64" s="64" t="s" ph="1">
        <v>386</v>
      </c>
      <c r="AJ64" s="64" t="s" ph="1">
        <v>387</v>
      </c>
      <c r="AK64" s="64" t="s" ph="1">
        <v>388</v>
      </c>
      <c r="AY64" s="64" t="s" ph="1">
        <v>216</v>
      </c>
      <c r="AZ64" s="64" t="s" ph="1">
        <v>388</v>
      </c>
    </row>
    <row r="65" spans="33:52" ph="1">
      <c r="AH65" s="64" ph="1">
        <v>2</v>
      </c>
      <c r="AI65" s="64" t="s" ph="1">
        <v>389</v>
      </c>
      <c r="AY65" s="64" t="s" ph="1">
        <v>216</v>
      </c>
      <c r="AZ65" s="64" t="s" ph="1">
        <v>367</v>
      </c>
    </row>
    <row r="66" spans="33:52" ph="1">
      <c r="AH66" s="64" ph="1">
        <v>3</v>
      </c>
      <c r="AI66" s="64" t="s" ph="1">
        <v>390</v>
      </c>
      <c r="AY66" s="64" t="s" ph="1">
        <v>216</v>
      </c>
      <c r="AZ66" s="64" t="s" ph="1">
        <v>367</v>
      </c>
    </row>
    <row r="67" spans="33:52" ph="1">
      <c r="AH67" s="64" ph="1">
        <v>4</v>
      </c>
      <c r="AI67" s="64" t="s" ph="1">
        <v>391</v>
      </c>
      <c r="AY67" s="64" t="s" ph="1">
        <v>216</v>
      </c>
      <c r="AZ67" s="64" t="s" ph="1">
        <v>367</v>
      </c>
    </row>
    <row r="68" spans="33:52" ph="1">
      <c r="AH68" s="64" ph="1">
        <v>5</v>
      </c>
      <c r="AI68" s="64" t="s" ph="1">
        <v>392</v>
      </c>
      <c r="AY68" s="64" t="s" ph="1">
        <v>216</v>
      </c>
      <c r="AZ68" s="64" t="s" ph="1">
        <v>367</v>
      </c>
    </row>
    <row r="69" spans="33:52" ph="1">
      <c r="AH69" s="64" ph="1">
        <v>6</v>
      </c>
      <c r="AI69" s="64" t="s" ph="1">
        <v>393</v>
      </c>
      <c r="AY69" s="64" t="s" ph="1">
        <v>216</v>
      </c>
      <c r="AZ69" s="64" t="s" ph="1">
        <v>367</v>
      </c>
    </row>
    <row r="70" spans="33:52" ph="1">
      <c r="AI70" s="64" t="s" ph="1">
        <v>394</v>
      </c>
      <c r="AY70" s="64" t="s" ph="1">
        <v>216</v>
      </c>
      <c r="AZ70" s="64" t="s" ph="1">
        <v>367</v>
      </c>
    </row>
    <row r="71" spans="33:52" ph="1">
      <c r="AH71" s="64" ph="1">
        <v>7</v>
      </c>
      <c r="AI71" s="64" t="s" ph="1">
        <v>395</v>
      </c>
      <c r="AJ71" s="64" t="s" ph="1">
        <v>334</v>
      </c>
      <c r="AK71" s="64" t="s" ph="1">
        <v>228</v>
      </c>
      <c r="AM71" s="64" t="s" ph="1">
        <v>336</v>
      </c>
      <c r="AN71" s="64" t="s" ph="1">
        <v>228</v>
      </c>
      <c r="AO71" s="64" t="s" ph="1">
        <v>396</v>
      </c>
      <c r="AP71" s="64" t="s" ph="1">
        <v>570</v>
      </c>
      <c r="AQ71" s="64" t="s" ph="1">
        <v>219</v>
      </c>
      <c r="AR71" s="64" t="s" ph="1">
        <v>396</v>
      </c>
      <c r="AY71" s="64" t="s" ph="1">
        <v>216</v>
      </c>
      <c r="AZ71" s="64" t="s" ph="1">
        <v>578</v>
      </c>
    </row>
    <row r="72" spans="33:52" ph="1">
      <c r="AZ72" s="64" t="s" ph="1">
        <v>579</v>
      </c>
    </row>
    <row r="73" spans="33:52" ph="1">
      <c r="AG73" s="64" t="s" ph="1">
        <v>241</v>
      </c>
      <c r="AI73" s="64" t="s" ph="1">
        <v>209</v>
      </c>
      <c r="AJ73" s="64" t="s" ph="1">
        <v>210</v>
      </c>
      <c r="AK73" s="64" t="s" ph="1">
        <v>211</v>
      </c>
      <c r="AM73" s="64" t="s" ph="1">
        <v>210</v>
      </c>
      <c r="AN73" s="64" t="s" ph="1">
        <v>211</v>
      </c>
      <c r="AO73" s="64" t="s" ph="1">
        <v>212</v>
      </c>
      <c r="AP73" s="64" t="s" ph="1">
        <v>210</v>
      </c>
      <c r="AQ73" s="64" t="s" ph="1">
        <v>211</v>
      </c>
      <c r="AR73" s="64" t="s" ph="1">
        <v>212</v>
      </c>
      <c r="AS73" s="64" t="s" ph="1">
        <v>210</v>
      </c>
      <c r="AT73" s="64" t="s" ph="1">
        <v>211</v>
      </c>
      <c r="AU73" s="64" t="s" ph="1">
        <v>212</v>
      </c>
      <c r="AV73" s="64" t="s" ph="1">
        <v>210</v>
      </c>
      <c r="AW73" s="64" t="s" ph="1">
        <v>211</v>
      </c>
      <c r="AX73" s="64" t="s" ph="1">
        <v>212</v>
      </c>
      <c r="AY73" s="64" t="s" ph="1">
        <v>211</v>
      </c>
      <c r="AZ73" s="64" t="s" ph="1">
        <v>213</v>
      </c>
    </row>
    <row r="74" spans="33:52" ph="1">
      <c r="AH74" s="64" ph="1">
        <v>1</v>
      </c>
      <c r="AI74" s="64" t="s" ph="1">
        <v>397</v>
      </c>
      <c r="AJ74" s="64" t="s" ph="1">
        <v>242</v>
      </c>
      <c r="AK74" s="64" t="s" ph="1">
        <v>224</v>
      </c>
      <c r="AM74" s="64" t="s" ph="1">
        <v>244</v>
      </c>
      <c r="AN74" s="64" t="s" ph="1">
        <v>254</v>
      </c>
      <c r="AO74" s="64" t="s" ph="1">
        <v>243</v>
      </c>
      <c r="AP74" s="64" t="s" ph="1">
        <v>245</v>
      </c>
      <c r="AQ74" s="64" t="s" ph="1">
        <v>222</v>
      </c>
      <c r="AR74" s="64" t="s" ph="1">
        <v>243</v>
      </c>
      <c r="AS74" s="64" t="s" ph="1">
        <v>215</v>
      </c>
      <c r="AT74" s="64" t="s" ph="1">
        <v>217</v>
      </c>
      <c r="AV74" s="64" t="s" ph="1">
        <v>398</v>
      </c>
      <c r="AW74" s="64" t="s" ph="1">
        <v>399</v>
      </c>
      <c r="AX74" s="64" t="s" ph="1">
        <v>400</v>
      </c>
      <c r="AY74" s="64" t="s" ph="1">
        <v>216</v>
      </c>
      <c r="AZ74" s="64" t="s" ph="1">
        <v>401</v>
      </c>
    </row>
    <row r="75" spans="33:52" ph="1">
      <c r="AJ75" s="64" t="s" ph="1">
        <v>247</v>
      </c>
      <c r="AK75" s="64" t="s" ph="1">
        <v>300</v>
      </c>
      <c r="AM75" s="64" t="s" ph="1">
        <v>245</v>
      </c>
      <c r="AN75" s="64" t="s" ph="1">
        <v>225</v>
      </c>
      <c r="AO75" s="64" t="s" ph="1">
        <v>243</v>
      </c>
      <c r="AS75" s="64" t="s" ph="1">
        <v>215</v>
      </c>
      <c r="AT75" s="64" t="s" ph="1">
        <v>246</v>
      </c>
    </row>
    <row r="76" spans="33:52" ph="1">
      <c r="AJ76" s="64" t="s" ph="1">
        <v>247</v>
      </c>
      <c r="AK76" s="64" t="s" ph="1">
        <v>240</v>
      </c>
      <c r="AM76" s="64" t="s" ph="1">
        <v>245</v>
      </c>
      <c r="AN76" s="64" t="s" ph="1">
        <v>228</v>
      </c>
      <c r="AO76" s="64" t="s" ph="1">
        <v>243</v>
      </c>
      <c r="AS76" s="64" t="s" ph="1">
        <v>215</v>
      </c>
      <c r="AT76" s="64" t="s" ph="1">
        <v>246</v>
      </c>
    </row>
    <row r="77" spans="33:52" ph="1">
      <c r="AJ77" s="64" t="s" ph="1">
        <v>283</v>
      </c>
      <c r="AK77" s="64" t="s" ph="1">
        <v>240</v>
      </c>
      <c r="AM77" s="64" t="s" ph="1">
        <v>284</v>
      </c>
      <c r="AN77" s="64" t="s" ph="1">
        <v>223</v>
      </c>
      <c r="AO77" s="64" t="s" ph="1">
        <v>243</v>
      </c>
      <c r="AS77" s="64" t="s" ph="1">
        <v>215</v>
      </c>
      <c r="AT77" s="64" t="s" ph="1">
        <v>285</v>
      </c>
    </row>
    <row r="78" spans="33:52" ph="1">
      <c r="AH78" s="64" ph="1">
        <v>2</v>
      </c>
      <c r="AI78" s="64" t="s" ph="1">
        <v>249</v>
      </c>
      <c r="AJ78" s="64" t="s" ph="1">
        <v>250</v>
      </c>
      <c r="AK78" s="64" t="s" ph="1">
        <v>219</v>
      </c>
      <c r="AM78" s="64" t="s" ph="1">
        <v>251</v>
      </c>
      <c r="AN78" s="64" t="s" ph="1">
        <v>254</v>
      </c>
      <c r="AO78" s="64" t="s" ph="1">
        <v>243</v>
      </c>
      <c r="AP78" s="64" t="s" ph="1">
        <v>252</v>
      </c>
      <c r="AQ78" s="64" t="s" ph="1">
        <v>298</v>
      </c>
      <c r="AR78" s="64" t="s" ph="1">
        <v>243</v>
      </c>
      <c r="AS78" s="64" t="s" ph="1">
        <v>253</v>
      </c>
      <c r="AT78" s="64" t="s" ph="1">
        <v>254</v>
      </c>
      <c r="AU78" s="64" t="s" ph="1">
        <v>243</v>
      </c>
      <c r="AV78" s="64" t="s" ph="1">
        <v>255</v>
      </c>
      <c r="AW78" s="64" t="s" ph="1">
        <v>243</v>
      </c>
      <c r="AY78" s="64" t="s" ph="1">
        <v>216</v>
      </c>
      <c r="AZ78" s="64" t="s" ph="1">
        <v>402</v>
      </c>
    </row>
    <row r="79" spans="33:52" ph="1">
      <c r="AJ79" s="64" t="s" ph="1">
        <v>245</v>
      </c>
      <c r="AK79" s="64" t="s" ph="1">
        <v>256</v>
      </c>
      <c r="AM79" s="64" t="s" ph="1">
        <v>257</v>
      </c>
      <c r="AN79" s="64" t="s" ph="1">
        <v>225</v>
      </c>
      <c r="AO79" s="64" t="s" ph="1">
        <v>243</v>
      </c>
      <c r="AP79" s="64" t="s" ph="1">
        <v>258</v>
      </c>
      <c r="AQ79" s="64" t="s" ph="1">
        <v>223</v>
      </c>
      <c r="AR79" s="64" t="s" ph="1">
        <v>259</v>
      </c>
      <c r="AS79" s="64" t="s" ph="1">
        <v>215</v>
      </c>
      <c r="AT79" s="64" t="s" ph="1">
        <v>260</v>
      </c>
      <c r="AV79" s="64" t="s" ph="1">
        <v>403</v>
      </c>
      <c r="AW79" s="64" t="s" ph="1">
        <v>302</v>
      </c>
      <c r="AX79" s="64" t="s" ph="1">
        <v>400</v>
      </c>
    </row>
    <row r="80" spans="33:52" ph="1">
      <c r="AH80" s="64" ph="1">
        <v>3</v>
      </c>
      <c r="AI80" s="64" t="s" ph="1">
        <v>261</v>
      </c>
      <c r="AJ80" s="64" t="s" ph="1">
        <v>262</v>
      </c>
      <c r="AK80" s="64" t="s" ph="1">
        <v>263</v>
      </c>
      <c r="AM80" s="64" t="s" ph="1">
        <v>264</v>
      </c>
      <c r="AN80" s="64" t="s" ph="1">
        <v>254</v>
      </c>
      <c r="AO80" s="64" t="s" ph="1">
        <v>243</v>
      </c>
      <c r="AP80" s="64" t="s" ph="1">
        <v>265</v>
      </c>
      <c r="AQ80" s="64" t="s" ph="1">
        <v>228</v>
      </c>
      <c r="AR80" s="64" t="s" ph="1">
        <v>243</v>
      </c>
      <c r="AS80" s="64" t="s" ph="1">
        <v>266</v>
      </c>
      <c r="AT80" s="64" t="s" ph="1">
        <v>227</v>
      </c>
      <c r="AU80" s="64" t="s" ph="1">
        <v>243</v>
      </c>
      <c r="AV80" s="64" t="s" ph="1">
        <v>267</v>
      </c>
      <c r="AW80" s="64" t="s" ph="1">
        <v>243</v>
      </c>
      <c r="AY80" s="64" t="s" ph="1">
        <v>216</v>
      </c>
      <c r="AZ80" s="64" t="s" ph="1">
        <v>404</v>
      </c>
    </row>
    <row r="81" spans="34:52" ph="1">
      <c r="AJ81" s="64" t="s" ph="1">
        <v>268</v>
      </c>
      <c r="AK81" s="64" t="s" ph="1">
        <v>222</v>
      </c>
      <c r="AM81" s="64" t="s" ph="1">
        <v>269</v>
      </c>
      <c r="AN81" s="64" t="s" ph="1">
        <v>225</v>
      </c>
      <c r="AO81" s="64" t="s" ph="1">
        <v>243</v>
      </c>
      <c r="AP81" s="64" t="s" ph="1">
        <v>270</v>
      </c>
      <c r="AQ81" s="64" t="s" ph="1">
        <v>254</v>
      </c>
      <c r="AR81" s="64" t="s" ph="1">
        <v>243</v>
      </c>
      <c r="AS81" s="64" t="s" ph="1">
        <v>271</v>
      </c>
      <c r="AT81" s="64" t="s" ph="1">
        <v>272</v>
      </c>
      <c r="AU81" s="64" t="s" ph="1">
        <v>243</v>
      </c>
      <c r="AV81" s="64" t="s" ph="1">
        <v>273</v>
      </c>
    </row>
    <row r="82" spans="34:52" ph="1">
      <c r="AJ82" s="64" t="s" ph="1">
        <v>274</v>
      </c>
      <c r="AK82" s="64" t="s" ph="1">
        <v>222</v>
      </c>
      <c r="AM82" s="64" t="s" ph="1">
        <v>275</v>
      </c>
      <c r="AN82" s="64" t="s" ph="1">
        <v>272</v>
      </c>
      <c r="AO82" s="64" t="s" ph="1">
        <v>276</v>
      </c>
      <c r="AP82" s="64" t="s" ph="1">
        <v>277</v>
      </c>
      <c r="AQ82" s="64" t="s" ph="1">
        <v>254</v>
      </c>
      <c r="AR82" s="64" t="s" ph="1">
        <v>243</v>
      </c>
      <c r="AS82" s="64" t="s" ph="1">
        <v>278</v>
      </c>
      <c r="AT82" s="64" t="s" ph="1">
        <v>229</v>
      </c>
      <c r="AU82" s="64" t="s" ph="1">
        <v>243</v>
      </c>
      <c r="AV82" s="64" t="s" ph="1">
        <v>403</v>
      </c>
      <c r="AW82" s="64" t="s" ph="1">
        <v>303</v>
      </c>
      <c r="AX82" s="64" t="s" ph="1">
        <v>400</v>
      </c>
    </row>
    <row r="83" spans="34:52" ph="1">
      <c r="AJ83" s="64" t="s" ph="1">
        <v>279</v>
      </c>
      <c r="AK83" s="64" t="s" ph="1">
        <v>296</v>
      </c>
      <c r="AM83" s="64" t="s" ph="1">
        <v>280</v>
      </c>
      <c r="AN83" s="64" t="s" ph="1">
        <v>228</v>
      </c>
      <c r="AO83" s="64" t="s" ph="1">
        <v>259</v>
      </c>
      <c r="AP83" s="64" t="s" ph="1">
        <v>281</v>
      </c>
      <c r="AQ83" s="64" t="s" ph="1">
        <v>282</v>
      </c>
      <c r="AR83" s="64" t="s" ph="1">
        <v>259</v>
      </c>
      <c r="AS83" s="64" t="s" ph="1">
        <v>405</v>
      </c>
      <c r="AT83" s="64" t="s" ph="1">
        <v>254</v>
      </c>
      <c r="AU83" s="64" t="s" ph="1">
        <v>259</v>
      </c>
      <c r="AV83" s="64" t="s" ph="1">
        <v>406</v>
      </c>
      <c r="AW83" s="64" t="s" ph="1">
        <v>303</v>
      </c>
      <c r="AX83" s="64" t="s" ph="1">
        <v>407</v>
      </c>
    </row>
    <row r="84" spans="34:52" ph="1">
      <c r="AH84" s="64" ph="1">
        <v>4</v>
      </c>
      <c r="AI84" s="64" t="s" ph="1">
        <v>286</v>
      </c>
      <c r="AJ84" s="64" t="s" ph="1">
        <v>226</v>
      </c>
      <c r="AK84" s="64" t="s" ph="1">
        <v>229</v>
      </c>
      <c r="AM84" s="64" t="s" ph="1">
        <v>230</v>
      </c>
      <c r="AN84" s="64" t="s" ph="1">
        <v>223</v>
      </c>
      <c r="AO84" s="64" t="s" ph="1">
        <v>259</v>
      </c>
      <c r="AP84" s="64" t="s" ph="1">
        <v>288</v>
      </c>
      <c r="AQ84" s="64" t="s" ph="1">
        <v>222</v>
      </c>
      <c r="AR84" s="64" t="s" ph="1">
        <v>259</v>
      </c>
      <c r="AS84" s="64" t="s" ph="1">
        <v>288</v>
      </c>
      <c r="AT84" s="64" t="s" ph="1">
        <v>224</v>
      </c>
      <c r="AU84" s="64" t="s" ph="1">
        <v>259</v>
      </c>
      <c r="AY84" s="64" t="s" ph="1">
        <v>216</v>
      </c>
      <c r="AZ84" s="64" t="s" ph="1">
        <v>408</v>
      </c>
    </row>
    <row r="85" spans="34:52" ph="1">
      <c r="AJ85" s="64" t="s" ph="1">
        <v>218</v>
      </c>
      <c r="AK85" s="64" t="s" ph="1">
        <v>222</v>
      </c>
      <c r="AM85" s="64" t="s" ph="1">
        <v>409</v>
      </c>
      <c r="AN85" s="64" t="s" ph="1">
        <v>229</v>
      </c>
      <c r="AO85" s="64" t="s" ph="1">
        <v>259</v>
      </c>
      <c r="AP85" s="64" t="s" ph="1">
        <v>410</v>
      </c>
      <c r="AQ85" s="64" t="s" ph="1">
        <v>225</v>
      </c>
      <c r="AR85" s="64" t="s" ph="1">
        <v>259</v>
      </c>
      <c r="AS85" s="64" t="s" ph="1">
        <v>411</v>
      </c>
      <c r="AT85" s="64" t="s" ph="1">
        <v>225</v>
      </c>
      <c r="AU85" s="64" t="s" ph="1">
        <v>259</v>
      </c>
    </row>
    <row r="86" spans="34:52" ph="1">
      <c r="AJ86" s="64" t="s" ph="1">
        <v>412</v>
      </c>
      <c r="AK86" s="64" t="s" ph="1">
        <v>231</v>
      </c>
      <c r="AM86" s="64" t="s" ph="1">
        <v>413</v>
      </c>
      <c r="AN86" s="64" t="s" ph="1">
        <v>272</v>
      </c>
      <c r="AO86" s="64" t="s" ph="1">
        <v>259</v>
      </c>
      <c r="AP86" s="64" t="s" ph="1">
        <v>414</v>
      </c>
      <c r="AQ86" s="64" t="s" ph="1">
        <v>219</v>
      </c>
      <c r="AR86" s="64" t="s" ph="1">
        <v>259</v>
      </c>
      <c r="AS86" s="64" t="s" ph="1">
        <v>415</v>
      </c>
      <c r="AT86" s="64" t="s" ph="1">
        <v>237</v>
      </c>
      <c r="AU86" s="64" t="s" ph="1">
        <v>259</v>
      </c>
    </row>
    <row r="87" spans="34:52" ph="1">
      <c r="AJ87" s="64" t="s" ph="1">
        <v>416</v>
      </c>
      <c r="AK87" s="64" t="s" ph="1">
        <v>272</v>
      </c>
      <c r="AM87" s="64" t="s" ph="1">
        <v>403</v>
      </c>
      <c r="AN87" s="64" t="s" ph="1">
        <v>417</v>
      </c>
      <c r="AO87" s="64" t="s" ph="1">
        <v>400</v>
      </c>
    </row>
    <row r="88" spans="34:52" ph="1">
      <c r="AH88" s="64" ph="1">
        <v>5</v>
      </c>
      <c r="AI88" s="64" t="s" ph="1">
        <v>289</v>
      </c>
      <c r="AJ88" s="64" t="s" ph="1">
        <v>418</v>
      </c>
      <c r="AK88" s="64" t="s" ph="1">
        <v>272</v>
      </c>
      <c r="AM88" s="64" t="s" ph="1">
        <v>419</v>
      </c>
      <c r="AN88" s="64" t="s" ph="1">
        <v>272</v>
      </c>
      <c r="AO88" s="64" t="s" ph="1">
        <v>259</v>
      </c>
      <c r="AP88" s="64" t="s" ph="1">
        <v>420</v>
      </c>
      <c r="AQ88" s="64" t="s" ph="1">
        <v>222</v>
      </c>
      <c r="AR88" s="64" t="s" ph="1">
        <v>259</v>
      </c>
      <c r="AS88" s="64" t="s" ph="1">
        <v>421</v>
      </c>
      <c r="AT88" s="64" t="s" ph="1">
        <v>272</v>
      </c>
      <c r="AU88" s="64" t="s" ph="1">
        <v>259</v>
      </c>
      <c r="AV88" s="64" t="s" ph="1">
        <v>422</v>
      </c>
      <c r="AW88" s="64" t="s" ph="1">
        <v>227</v>
      </c>
      <c r="AX88" s="64" t="s" ph="1">
        <v>259</v>
      </c>
      <c r="AY88" s="64" t="s" ph="1">
        <v>216</v>
      </c>
      <c r="AZ88" s="64" t="s" ph="1">
        <v>423</v>
      </c>
    </row>
    <row r="89" spans="34:52" ph="1">
      <c r="AJ89" s="64" t="s" ph="1">
        <v>424</v>
      </c>
      <c r="AK89" s="64" t="s" ph="1">
        <v>225</v>
      </c>
      <c r="AM89" s="64" t="s" ph="1">
        <v>425</v>
      </c>
      <c r="AN89" s="64" t="s" ph="1">
        <v>228</v>
      </c>
      <c r="AO89" s="64" t="s" ph="1">
        <v>259</v>
      </c>
      <c r="AP89" s="64" t="s" ph="1">
        <v>426</v>
      </c>
      <c r="AQ89" s="64" t="s" ph="1">
        <v>237</v>
      </c>
      <c r="AR89" s="64" t="s" ph="1">
        <v>259</v>
      </c>
      <c r="AS89" s="64" t="s" ph="1">
        <v>427</v>
      </c>
      <c r="AT89" s="64" t="s" ph="1">
        <v>272</v>
      </c>
      <c r="AU89" s="64" t="s" ph="1">
        <v>259</v>
      </c>
      <c r="AV89" s="64" t="s" ph="1">
        <v>428</v>
      </c>
      <c r="AW89" s="64" t="s" ph="1">
        <v>254</v>
      </c>
      <c r="AX89" s="64" t="s" ph="1">
        <v>287</v>
      </c>
    </row>
    <row r="90" spans="34:52" ph="1">
      <c r="AJ90" s="64" t="s" ph="1">
        <v>429</v>
      </c>
      <c r="AK90" s="64" t="s" ph="1">
        <v>228</v>
      </c>
      <c r="AM90" s="64" t="s" ph="1">
        <v>430</v>
      </c>
      <c r="AN90" s="64" t="s" ph="1">
        <v>225</v>
      </c>
      <c r="AO90" s="64" t="s" ph="1">
        <v>259</v>
      </c>
      <c r="AP90" s="64" t="s" ph="1">
        <v>431</v>
      </c>
      <c r="AQ90" s="64" t="s" ph="1">
        <v>294</v>
      </c>
      <c r="AR90" s="64" t="s" ph="1">
        <v>259</v>
      </c>
      <c r="AS90" s="64" t="s" ph="1">
        <v>432</v>
      </c>
      <c r="AT90" s="64" t="s" ph="1">
        <v>282</v>
      </c>
      <c r="AU90" s="64" t="s" ph="1">
        <v>259</v>
      </c>
      <c r="AV90" s="64" t="s" ph="1">
        <v>433</v>
      </c>
      <c r="AW90" s="64" t="s" ph="1">
        <v>219</v>
      </c>
      <c r="AX90" s="64" t="s" ph="1">
        <v>259</v>
      </c>
    </row>
    <row r="91" spans="34:52" ph="1">
      <c r="AJ91" s="64" t="s" ph="1">
        <v>434</v>
      </c>
      <c r="AK91" s="64" t="s" ph="1">
        <v>272</v>
      </c>
      <c r="AM91" s="64" t="s" ph="1">
        <v>435</v>
      </c>
      <c r="AN91" s="64" t="s" ph="1">
        <v>239</v>
      </c>
      <c r="AO91" s="64" t="s" ph="1">
        <v>259</v>
      </c>
      <c r="AP91" s="64" t="s" ph="1">
        <v>436</v>
      </c>
      <c r="AQ91" s="64" t="s" ph="1">
        <v>219</v>
      </c>
      <c r="AS91" s="64" t="s" ph="1">
        <v>403</v>
      </c>
      <c r="AT91" s="64" t="s" ph="1">
        <v>399</v>
      </c>
      <c r="AU91" s="64" t="s" ph="1">
        <v>400</v>
      </c>
    </row>
    <row r="92" spans="34:52" ph="1">
      <c r="AH92" s="64" ph="1">
        <v>6</v>
      </c>
      <c r="AI92" s="64" t="s" ph="1">
        <v>437</v>
      </c>
      <c r="AJ92" s="64" t="s" ph="1">
        <v>438</v>
      </c>
      <c r="AK92" s="64" t="s" ph="1">
        <v>367</v>
      </c>
      <c r="AM92" s="64" t="s" ph="1">
        <v>439</v>
      </c>
      <c r="AN92" s="64" t="s" ph="1">
        <v>227</v>
      </c>
      <c r="AO92" s="64" t="s" ph="1">
        <v>259</v>
      </c>
      <c r="AP92" s="64" t="s" ph="1">
        <v>440</v>
      </c>
      <c r="AQ92" s="64" t="s" ph="1">
        <v>299</v>
      </c>
      <c r="AR92" s="64" t="s" ph="1">
        <v>259</v>
      </c>
      <c r="AS92" s="64" t="s" ph="1">
        <v>441</v>
      </c>
      <c r="AT92" s="64" t="s" ph="1">
        <v>272</v>
      </c>
      <c r="AU92" s="64" t="s" ph="1">
        <v>259</v>
      </c>
      <c r="AV92" s="64" t="s" ph="1">
        <v>442</v>
      </c>
      <c r="AW92" s="64" t="s" ph="1">
        <v>228</v>
      </c>
      <c r="AX92" s="64" t="s" ph="1">
        <v>259</v>
      </c>
      <c r="AY92" s="64" t="s" ph="1">
        <v>216</v>
      </c>
      <c r="AZ92" s="64" t="s" ph="1">
        <v>423</v>
      </c>
    </row>
    <row r="93" spans="34:52" ph="1">
      <c r="AJ93" s="64" t="s" ph="1">
        <v>443</v>
      </c>
      <c r="AK93" s="64" t="s" ph="1">
        <v>222</v>
      </c>
      <c r="AM93" s="64" t="s" ph="1">
        <v>444</v>
      </c>
      <c r="AN93" s="64" t="s" ph="1">
        <v>227</v>
      </c>
      <c r="AO93" s="64" t="s" ph="1">
        <v>259</v>
      </c>
      <c r="AP93" s="64" t="s" ph="1">
        <v>445</v>
      </c>
      <c r="AQ93" s="64" t="s" ph="1">
        <v>231</v>
      </c>
      <c r="AR93" s="64" t="s" ph="1">
        <v>259</v>
      </c>
      <c r="AS93" s="64" t="s" ph="1">
        <v>446</v>
      </c>
      <c r="AT93" s="64" t="s" ph="1">
        <v>237</v>
      </c>
      <c r="AU93" s="64" t="s" ph="1">
        <v>259</v>
      </c>
      <c r="AV93" s="64" t="s" ph="1">
        <v>447</v>
      </c>
      <c r="AW93" s="64" t="s" ph="1">
        <v>231</v>
      </c>
      <c r="AX93" s="64" t="s" ph="1">
        <v>259</v>
      </c>
    </row>
    <row r="94" spans="34:52" ph="1">
      <c r="AJ94" s="64" t="s" ph="1">
        <v>448</v>
      </c>
      <c r="AK94" s="64" t="s" ph="1">
        <v>294</v>
      </c>
      <c r="AM94" s="64" t="s" ph="1">
        <v>449</v>
      </c>
      <c r="AN94" s="64" t="s" ph="1">
        <v>231</v>
      </c>
      <c r="AO94" s="64" t="s" ph="1">
        <v>259</v>
      </c>
      <c r="AP94" s="64" t="s" ph="1">
        <v>450</v>
      </c>
      <c r="AQ94" s="64" t="s" ph="1">
        <v>239</v>
      </c>
      <c r="AR94" s="64" t="s" ph="1">
        <v>259</v>
      </c>
      <c r="AS94" s="64" t="s" ph="1">
        <v>451</v>
      </c>
      <c r="AT94" s="64" t="s" ph="1">
        <v>225</v>
      </c>
      <c r="AU94" s="64" t="s" ph="1">
        <v>259</v>
      </c>
      <c r="AV94" s="64" t="s" ph="1">
        <v>452</v>
      </c>
      <c r="AW94" s="64" t="s" ph="1">
        <v>225</v>
      </c>
      <c r="AX94" s="64" t="s" ph="1">
        <v>259</v>
      </c>
    </row>
    <row r="95" spans="34:52" ph="1">
      <c r="AJ95" s="64" t="s" ph="1">
        <v>453</v>
      </c>
      <c r="AK95" s="64" t="s" ph="1">
        <v>299</v>
      </c>
    </row>
    <row r="96" spans="34:52" ph="1">
      <c r="AH96" s="64" ph="1">
        <v>7</v>
      </c>
      <c r="AI96" s="64" t="s" ph="1">
        <v>454</v>
      </c>
      <c r="AJ96" s="64" t="s" ph="1">
        <v>453</v>
      </c>
      <c r="AK96" s="64" t="s" ph="1">
        <v>254</v>
      </c>
      <c r="AM96" s="64" t="s" ph="1">
        <v>455</v>
      </c>
      <c r="AN96" s="64" t="s" ph="1">
        <v>228</v>
      </c>
      <c r="AO96" s="64" t="s" ph="1">
        <v>259</v>
      </c>
      <c r="AP96" s="64" t="s" ph="1">
        <v>456</v>
      </c>
      <c r="AQ96" s="64" t="s" ph="1">
        <v>272</v>
      </c>
      <c r="AR96" s="64" t="s" ph="1">
        <v>287</v>
      </c>
      <c r="AS96" s="64" t="s" ph="1">
        <v>457</v>
      </c>
      <c r="AT96" s="64" t="s" ph="1">
        <v>231</v>
      </c>
      <c r="AU96" s="64" t="s" ph="1">
        <v>287</v>
      </c>
      <c r="AV96" s="64" t="s" ph="1">
        <v>458</v>
      </c>
      <c r="AW96" s="64" t="s" ph="1">
        <v>227</v>
      </c>
      <c r="AX96" s="64" t="s" ph="1">
        <v>287</v>
      </c>
      <c r="AY96" s="64" t="s" ph="1">
        <v>216</v>
      </c>
      <c r="AZ96" s="64" t="s" ph="1">
        <v>459</v>
      </c>
    </row>
    <row r="97" spans="33:52" ph="1">
      <c r="AJ97" s="64" t="s" ph="1">
        <v>460</v>
      </c>
      <c r="AK97" s="64" t="s" ph="1">
        <v>282</v>
      </c>
      <c r="AM97" s="64" t="s" ph="1">
        <v>461</v>
      </c>
      <c r="AN97" s="64" t="s" ph="1">
        <v>225</v>
      </c>
      <c r="AO97" s="64" t="s" ph="1">
        <v>259</v>
      </c>
      <c r="AP97" s="64" t="s" ph="1">
        <v>462</v>
      </c>
      <c r="AQ97" s="64" t="s" ph="1">
        <v>219</v>
      </c>
      <c r="AR97" s="64" t="s" ph="1">
        <v>287</v>
      </c>
      <c r="AS97" s="64" t="s" ph="1">
        <v>463</v>
      </c>
      <c r="AT97" s="64" t="s" ph="1">
        <v>222</v>
      </c>
      <c r="AU97" s="64" t="s" ph="1">
        <v>287</v>
      </c>
      <c r="AV97" s="64" t="s" ph="1">
        <v>464</v>
      </c>
      <c r="AW97" s="64" t="s" ph="1">
        <v>228</v>
      </c>
      <c r="AX97" s="64" t="s" ph="1">
        <v>287</v>
      </c>
    </row>
    <row r="98" spans="33:52" ph="1">
      <c r="AJ98" s="64" t="s" ph="1">
        <v>465</v>
      </c>
      <c r="AK98" s="64" t="s" ph="1">
        <v>231</v>
      </c>
      <c r="AM98" s="64" t="s" ph="1">
        <v>466</v>
      </c>
      <c r="AN98" s="64" t="s" ph="1">
        <v>239</v>
      </c>
      <c r="AO98" s="64" t="s" ph="1">
        <v>259</v>
      </c>
      <c r="AP98" s="64" t="s" ph="1">
        <v>467</v>
      </c>
      <c r="AQ98" s="64" t="s" ph="1">
        <v>219</v>
      </c>
      <c r="AR98" s="64" t="s" ph="1">
        <v>287</v>
      </c>
      <c r="AS98" s="64" t="s" ph="1">
        <v>468</v>
      </c>
      <c r="AT98" s="64" t="s" ph="1">
        <v>299</v>
      </c>
      <c r="AU98" s="64" t="s" ph="1">
        <v>287</v>
      </c>
      <c r="AV98" s="64" t="s" ph="1">
        <v>469</v>
      </c>
      <c r="AW98" s="64" t="s" ph="1">
        <v>222</v>
      </c>
      <c r="AX98" s="64" t="s" ph="1">
        <v>287</v>
      </c>
    </row>
    <row r="99" spans="33:52" ph="1">
      <c r="AH99" s="64" ph="1">
        <v>8</v>
      </c>
      <c r="AI99" s="64" t="s" ph="1">
        <v>470</v>
      </c>
      <c r="AJ99" s="64" t="s" ph="1">
        <v>471</v>
      </c>
      <c r="AK99" s="64" t="s" ph="1">
        <v>367</v>
      </c>
      <c r="AM99" s="64" t="s" ph="1">
        <v>472</v>
      </c>
      <c r="AN99" s="64" t="s" ph="1">
        <v>254</v>
      </c>
      <c r="AO99" s="64" t="s" ph="1">
        <v>259</v>
      </c>
      <c r="AP99" s="64" t="s" ph="1">
        <v>473</v>
      </c>
      <c r="AQ99" s="64" t="s" ph="1">
        <v>224</v>
      </c>
      <c r="AR99" s="64" t="s" ph="1">
        <v>287</v>
      </c>
      <c r="AS99" s="64" t="s" ph="1">
        <v>474</v>
      </c>
      <c r="AT99" s="64" t="s" ph="1">
        <v>239</v>
      </c>
      <c r="AU99" s="64" t="s" ph="1">
        <v>287</v>
      </c>
      <c r="AV99" s="64" t="s" ph="1">
        <v>475</v>
      </c>
      <c r="AW99" s="64" t="s" ph="1">
        <v>224</v>
      </c>
      <c r="AX99" s="64" t="s" ph="1">
        <v>287</v>
      </c>
      <c r="AY99" s="64" t="s" ph="1">
        <v>216</v>
      </c>
      <c r="AZ99" s="64" t="s" ph="1">
        <v>476</v>
      </c>
    </row>
    <row r="100" spans="33:52" ph="1">
      <c r="AJ100" s="64" t="s" ph="1">
        <v>477</v>
      </c>
      <c r="AK100" s="64" t="s" ph="1">
        <v>222</v>
      </c>
      <c r="AM100" s="64" t="s" ph="1">
        <v>478</v>
      </c>
      <c r="AN100" s="64" t="s" ph="1">
        <v>294</v>
      </c>
      <c r="AO100" s="64" t="s" ph="1">
        <v>259</v>
      </c>
      <c r="AP100" s="64" t="s" ph="1">
        <v>479</v>
      </c>
      <c r="AQ100" s="64" t="s" ph="1">
        <v>300</v>
      </c>
      <c r="AR100" s="64" t="s" ph="1">
        <v>287</v>
      </c>
      <c r="AS100" s="64" t="s" ph="1">
        <v>480</v>
      </c>
      <c r="AT100" s="64" t="s" ph="1">
        <v>367</v>
      </c>
      <c r="AU100" s="64" t="s" ph="1">
        <v>259</v>
      </c>
      <c r="AV100" s="64" t="s" ph="1">
        <v>481</v>
      </c>
      <c r="AW100" s="64" t="s" ph="1">
        <v>367</v>
      </c>
      <c r="AX100" s="64" t="s" ph="1">
        <v>259</v>
      </c>
    </row>
    <row r="101" spans="33:52" ph="1">
      <c r="AJ101" s="64" t="s" ph="1">
        <v>482</v>
      </c>
      <c r="AK101" s="64" t="s" ph="1">
        <v>367</v>
      </c>
      <c r="AM101" s="64" t="s" ph="1">
        <v>483</v>
      </c>
      <c r="AN101" s="64" t="s" ph="1">
        <v>225</v>
      </c>
      <c r="AO101" s="64" t="s" ph="1">
        <v>259</v>
      </c>
      <c r="AP101" s="64" t="s" ph="1">
        <v>484</v>
      </c>
      <c r="AQ101" s="64" t="s" ph="1">
        <v>237</v>
      </c>
      <c r="AR101" s="64" t="s" ph="1">
        <v>287</v>
      </c>
      <c r="AS101" s="64" t="s" ph="1">
        <v>485</v>
      </c>
      <c r="AT101" s="64" t="s" ph="1">
        <v>294</v>
      </c>
      <c r="AU101" s="64" t="s" ph="1">
        <v>287</v>
      </c>
      <c r="AV101" s="64" t="s" ph="1">
        <v>486</v>
      </c>
      <c r="AW101" s="64" t="s" ph="1">
        <v>225</v>
      </c>
      <c r="AX101" s="64" t="s" ph="1">
        <v>259</v>
      </c>
    </row>
    <row r="102" spans="33:52" ph="1">
      <c r="AJ102" s="64" t="s" ph="1">
        <v>487</v>
      </c>
      <c r="AK102" s="64" t="s" ph="1">
        <v>222</v>
      </c>
      <c r="AM102" s="64" t="s" ph="1">
        <v>488</v>
      </c>
      <c r="AN102" s="64" t="s" ph="1">
        <v>231</v>
      </c>
      <c r="AO102" s="64" t="s" ph="1">
        <v>259</v>
      </c>
      <c r="AP102" s="64" t="s" ph="1">
        <v>489</v>
      </c>
      <c r="AQ102" s="64" t="s" ph="1">
        <v>237</v>
      </c>
      <c r="AR102" s="64" t="s" ph="1">
        <v>259</v>
      </c>
      <c r="AS102" s="64" t="s" ph="1">
        <v>490</v>
      </c>
      <c r="AT102" s="64" t="s" ph="1">
        <v>254</v>
      </c>
      <c r="AU102" s="64" t="s" ph="1">
        <v>259</v>
      </c>
      <c r="AV102" s="64" t="s" ph="1">
        <v>491</v>
      </c>
      <c r="AW102" s="64" t="s" ph="1">
        <v>272</v>
      </c>
      <c r="AX102" s="64" t="s" ph="1">
        <v>259</v>
      </c>
    </row>
    <row r="103" spans="33:52" ph="1">
      <c r="AH103" s="64" ph="1">
        <v>9</v>
      </c>
      <c r="AI103" s="64" t="s" ph="1">
        <v>492</v>
      </c>
      <c r="AJ103" s="64" t="s" ph="1">
        <v>493</v>
      </c>
      <c r="AK103" s="64" t="s" ph="1">
        <v>367</v>
      </c>
      <c r="AM103" s="64" t="s" ph="1">
        <v>494</v>
      </c>
      <c r="AN103" s="64" t="s" ph="1">
        <v>282</v>
      </c>
      <c r="AO103" s="64" t="s" ph="1">
        <v>259</v>
      </c>
      <c r="AP103" s="64" t="s" ph="1">
        <v>336</v>
      </c>
      <c r="AQ103" s="64" t="s" ph="1">
        <v>225</v>
      </c>
      <c r="AR103" s="64" t="s" ph="1">
        <v>259</v>
      </c>
      <c r="AS103" s="64" t="s" ph="1">
        <v>570</v>
      </c>
      <c r="AT103" s="64" t="s" ph="1">
        <v>367</v>
      </c>
      <c r="AU103" s="64" t="s" ph="1">
        <v>259</v>
      </c>
      <c r="AY103" s="64" t="s" ph="1">
        <v>216</v>
      </c>
      <c r="AZ103" s="64" t="s" ph="1">
        <v>224</v>
      </c>
    </row>
    <row r="104" spans="33:52" ph="1">
      <c r="AZ104" s="64" t="s" ph="1">
        <v>495</v>
      </c>
    </row>
    <row r="105" spans="33:52" ph="1">
      <c r="AG105" s="64" t="s" ph="1">
        <v>295</v>
      </c>
      <c r="AI105" s="64" t="s" ph="1">
        <v>209</v>
      </c>
      <c r="AJ105" s="64" t="s" ph="1">
        <v>210</v>
      </c>
      <c r="AK105" s="64" t="s" ph="1">
        <v>211</v>
      </c>
      <c r="AM105" s="64" t="s" ph="1">
        <v>210</v>
      </c>
      <c r="AN105" s="64" t="s" ph="1">
        <v>211</v>
      </c>
      <c r="AO105" s="64" t="s" ph="1">
        <v>212</v>
      </c>
      <c r="AP105" s="64" t="s" ph="1">
        <v>210</v>
      </c>
      <c r="AQ105" s="64" t="s" ph="1">
        <v>211</v>
      </c>
      <c r="AR105" s="64" t="s" ph="1">
        <v>212</v>
      </c>
      <c r="AS105" s="64" t="s" ph="1">
        <v>210</v>
      </c>
      <c r="AT105" s="64" t="s" ph="1">
        <v>211</v>
      </c>
      <c r="AU105" s="64" t="s" ph="1">
        <v>212</v>
      </c>
      <c r="AV105" s="64" t="s" ph="1">
        <v>210</v>
      </c>
      <c r="AW105" s="64" t="s" ph="1">
        <v>211</v>
      </c>
      <c r="AX105" s="64" t="s" ph="1">
        <v>212</v>
      </c>
      <c r="AZ105" s="64" t="s" ph="1">
        <v>213</v>
      </c>
    </row>
    <row r="106" spans="33:52" ph="1">
      <c r="AH106" s="64" ph="1">
        <v>1</v>
      </c>
      <c r="AI106" s="64" t="s" ph="1">
        <v>496</v>
      </c>
      <c r="AJ106" s="64" t="s" ph="1">
        <v>570</v>
      </c>
      <c r="AK106" s="64" t="s" ph="1">
        <v>231</v>
      </c>
      <c r="AZ106" s="64" t="s" ph="1">
        <v>231</v>
      </c>
    </row>
    <row r="107" spans="33:52" ph="1">
      <c r="AH107" s="64" ph="1">
        <v>2</v>
      </c>
      <c r="AI107" s="64" t="s" ph="1">
        <v>497</v>
      </c>
      <c r="AJ107" s="64" t="s" ph="1">
        <v>498</v>
      </c>
      <c r="AK107" s="64" t="s" ph="1">
        <v>228</v>
      </c>
      <c r="AM107" s="64" t="s" ph="1">
        <v>334</v>
      </c>
      <c r="AN107" s="64" t="s" ph="1">
        <v>499</v>
      </c>
      <c r="AO107" s="64" t="s" ph="1">
        <v>500</v>
      </c>
      <c r="AP107" s="64" t="s" ph="1">
        <v>336</v>
      </c>
      <c r="AQ107" s="64" t="s" ph="1">
        <v>304</v>
      </c>
      <c r="AR107" s="64" t="s" ph="1">
        <v>500</v>
      </c>
      <c r="AS107" s="64" t="s" ph="1">
        <v>570</v>
      </c>
      <c r="AT107" s="64" t="s" ph="1">
        <v>499</v>
      </c>
      <c r="AU107" s="64" t="s" ph="1">
        <v>500</v>
      </c>
      <c r="AY107" s="64" t="s" ph="1">
        <v>216</v>
      </c>
      <c r="AZ107" s="64" t="s" ph="1">
        <v>580</v>
      </c>
    </row>
    <row r="108" spans="33:52" ph="1">
      <c r="AH108" s="64" ph="1">
        <v>3</v>
      </c>
      <c r="AI108" s="64" t="s" ph="1">
        <v>501</v>
      </c>
      <c r="AY108" s="64" t="s" ph="1">
        <v>216</v>
      </c>
      <c r="AZ108" s="64" t="s" ph="1">
        <v>367</v>
      </c>
    </row>
    <row r="109" spans="33:52" ph="1">
      <c r="AH109" s="64" ph="1">
        <v>4</v>
      </c>
      <c r="AI109" s="64" t="s" ph="1">
        <v>502</v>
      </c>
      <c r="AY109" s="64" t="s" ph="1">
        <v>216</v>
      </c>
      <c r="AZ109" s="64" t="s" ph="1">
        <v>367</v>
      </c>
    </row>
    <row r="110" spans="33:52" ph="1">
      <c r="AH110" s="64" ph="1">
        <v>5</v>
      </c>
      <c r="AI110" s="64" t="s" ph="1">
        <v>503</v>
      </c>
      <c r="AY110" s="64" t="s" ph="1">
        <v>216</v>
      </c>
      <c r="AZ110" s="64" t="s" ph="1">
        <v>367</v>
      </c>
    </row>
    <row r="111" spans="33:52" ph="1">
      <c r="AH111" s="64" ph="1">
        <v>6</v>
      </c>
      <c r="AI111" s="64" t="s" ph="1">
        <v>581</v>
      </c>
      <c r="AJ111" s="64" t="s" ph="1">
        <v>486</v>
      </c>
      <c r="AK111" s="64" t="s" ph="1">
        <v>225</v>
      </c>
      <c r="AM111" s="64" t="s" ph="1">
        <v>487</v>
      </c>
      <c r="AN111" s="64" t="s" ph="1">
        <v>219</v>
      </c>
      <c r="AO111" s="64" t="s" ph="1">
        <v>500</v>
      </c>
      <c r="AP111" s="64" t="s" ph="1">
        <v>488</v>
      </c>
      <c r="AQ111" s="64" t="s" ph="1">
        <v>228</v>
      </c>
      <c r="AR111" s="64" t="s" ph="1">
        <v>500</v>
      </c>
      <c r="AS111" s="64" t="s" ph="1">
        <v>489</v>
      </c>
      <c r="AT111" s="64" t="s" ph="1">
        <v>237</v>
      </c>
      <c r="AU111" s="64" t="s" ph="1">
        <v>500</v>
      </c>
      <c r="AV111" s="64" t="s" ph="1">
        <v>490</v>
      </c>
      <c r="AW111" s="64" t="s" ph="1">
        <v>227</v>
      </c>
      <c r="AX111" s="64" t="s" ph="1">
        <v>500</v>
      </c>
      <c r="AY111" s="64" t="s" ph="1">
        <v>216</v>
      </c>
      <c r="AZ111" s="64" t="s" ph="1">
        <v>504</v>
      </c>
    </row>
    <row r="112" spans="33:52" ph="1">
      <c r="AJ112" s="64" t="s" ph="1">
        <v>491</v>
      </c>
      <c r="AK112" s="64" t="s" ph="1">
        <v>272</v>
      </c>
      <c r="AM112" s="64" t="s" ph="1">
        <v>493</v>
      </c>
      <c r="AN112" s="64" t="s" ph="1">
        <v>296</v>
      </c>
      <c r="AO112" s="64" t="s" ph="1">
        <v>500</v>
      </c>
      <c r="AP112" s="64" t="s" ph="1">
        <v>494</v>
      </c>
      <c r="AQ112" s="64" t="s" ph="1">
        <v>505</v>
      </c>
      <c r="AR112" s="64" t="s" ph="1">
        <v>500</v>
      </c>
      <c r="AS112" s="64" t="s" ph="1">
        <v>506</v>
      </c>
      <c r="AT112" s="64" t="s" ph="1">
        <v>248</v>
      </c>
      <c r="AU112" s="64" t="s" ph="1">
        <v>500</v>
      </c>
      <c r="AV112" s="64" t="s" ph="1">
        <v>507</v>
      </c>
      <c r="AW112" s="64" t="s" ph="1">
        <v>294</v>
      </c>
      <c r="AX112" s="64" t="s" ph="1">
        <v>500</v>
      </c>
    </row>
    <row r="113" spans="33:52" ph="1">
      <c r="AH113" s="64" ph="1">
        <v>7</v>
      </c>
      <c r="AI113" s="64" t="s" ph="1">
        <v>508</v>
      </c>
      <c r="AJ113" s="64" t="s" ph="1">
        <v>589</v>
      </c>
      <c r="AK113" s="64" t="s" ph="1">
        <v>594</v>
      </c>
      <c r="AY113" s="64" t="s" ph="1">
        <v>216</v>
      </c>
      <c r="AZ113" s="64" t="s" ph="1">
        <v>594</v>
      </c>
    </row>
    <row r="114" spans="33:52" ph="1">
      <c r="AH114" s="64" ph="1">
        <v>8</v>
      </c>
      <c r="AI114" s="64" t="s" ph="1">
        <v>509</v>
      </c>
      <c r="AJ114" s="64" t="s" ph="1">
        <v>589</v>
      </c>
      <c r="AK114" s="64" t="s" ph="1">
        <v>595</v>
      </c>
      <c r="AY114" s="64" t="s" ph="1">
        <v>216</v>
      </c>
      <c r="AZ114" s="64" t="s" ph="1">
        <v>595</v>
      </c>
    </row>
    <row r="115" spans="33:52" ph="1">
      <c r="AH115" s="64" ph="1">
        <v>9</v>
      </c>
      <c r="AI115" s="64" t="s" ph="1">
        <v>510</v>
      </c>
      <c r="AJ115" s="64" t="s" ph="1">
        <v>589</v>
      </c>
      <c r="AK115" s="64" t="s" ph="1">
        <v>595</v>
      </c>
      <c r="AY115" s="64" t="s" ph="1">
        <v>216</v>
      </c>
      <c r="AZ115" s="64" t="s" ph="1">
        <v>595</v>
      </c>
    </row>
    <row r="116" spans="33:52" ph="1">
      <c r="AH116" s="64" ph="1">
        <v>10</v>
      </c>
      <c r="AI116" s="64" t="s" ph="1">
        <v>511</v>
      </c>
      <c r="AJ116" s="64" t="s" ph="1">
        <v>589</v>
      </c>
      <c r="AK116" s="64" t="s" ph="1">
        <v>595</v>
      </c>
      <c r="AY116" s="64" t="s" ph="1">
        <v>216</v>
      </c>
      <c r="AZ116" s="64" t="s" ph="1">
        <v>595</v>
      </c>
    </row>
    <row r="117" spans="33:52" ph="1">
      <c r="AH117" s="64" ph="1">
        <v>11</v>
      </c>
      <c r="AI117" s="64" t="s" ph="1">
        <v>512</v>
      </c>
      <c r="AJ117" s="64" t="s" ph="1">
        <v>589</v>
      </c>
      <c r="AK117" s="64" t="s" ph="1">
        <v>595</v>
      </c>
      <c r="AY117" s="64" t="s" ph="1">
        <v>216</v>
      </c>
      <c r="AZ117" s="64" t="s" ph="1">
        <v>595</v>
      </c>
    </row>
    <row r="118" spans="33:52" ph="1">
      <c r="AZ118" s="64" t="s" ph="1">
        <v>596</v>
      </c>
    </row>
    <row r="119" spans="33:52" ph="1">
      <c r="AI119" s="64" t="s" ph="1">
        <v>209</v>
      </c>
      <c r="AJ119" s="64" t="s" ph="1">
        <v>210</v>
      </c>
      <c r="AK119" s="64" t="s" ph="1">
        <v>211</v>
      </c>
      <c r="AM119" s="64" t="s" ph="1">
        <v>210</v>
      </c>
      <c r="AN119" s="64" t="s" ph="1">
        <v>211</v>
      </c>
      <c r="AO119" s="64" t="s" ph="1">
        <v>212</v>
      </c>
      <c r="AP119" s="64" t="s" ph="1">
        <v>210</v>
      </c>
      <c r="AQ119" s="64" t="s" ph="1">
        <v>211</v>
      </c>
      <c r="AR119" s="64" t="s" ph="1">
        <v>212</v>
      </c>
      <c r="AS119" s="64" t="s" ph="1">
        <v>210</v>
      </c>
      <c r="AT119" s="64" t="s" ph="1">
        <v>211</v>
      </c>
      <c r="AU119" s="64" t="s" ph="1">
        <v>212</v>
      </c>
      <c r="AV119" s="64" t="s" ph="1">
        <v>210</v>
      </c>
      <c r="AW119" s="64" t="s" ph="1">
        <v>211</v>
      </c>
      <c r="AX119" s="64" t="s" ph="1">
        <v>212</v>
      </c>
      <c r="AY119" s="64" t="s" ph="1">
        <v>211</v>
      </c>
      <c r="AZ119" s="64" t="s" ph="1">
        <v>213</v>
      </c>
    </row>
    <row r="120" spans="33:52" ph="1">
      <c r="AG120" s="64" t="s" ph="1">
        <v>353</v>
      </c>
      <c r="AH120" s="64" ph="1">
        <v>1</v>
      </c>
      <c r="AI120" s="64" t="s" ph="1">
        <v>513</v>
      </c>
      <c r="AJ120" s="64" t="s" ph="1">
        <v>587</v>
      </c>
      <c r="AK120" s="64" t="s" ph="1">
        <v>367</v>
      </c>
      <c r="AY120" s="64" t="s" ph="1">
        <v>216</v>
      </c>
      <c r="AZ120" s="64" t="s" ph="1">
        <v>367</v>
      </c>
    </row>
    <row r="121" spans="33:52" ph="1">
      <c r="AH121" s="64" ph="1">
        <v>2</v>
      </c>
      <c r="AI121" s="64" t="s" ph="1">
        <v>514</v>
      </c>
      <c r="AY121" s="64" t="s" ph="1">
        <v>216</v>
      </c>
      <c r="AZ121" s="64" t="s" ph="1">
        <v>367</v>
      </c>
    </row>
    <row r="122" spans="33:52" ph="1">
      <c r="AH122" s="64" ph="1">
        <v>3</v>
      </c>
      <c r="AI122" s="64" t="s" ph="1">
        <v>515</v>
      </c>
      <c r="AJ122" s="64" t="s" ph="1">
        <v>570</v>
      </c>
      <c r="AK122" s="64" t="s" ph="1">
        <v>582</v>
      </c>
      <c r="AM122" s="64" t="s" ph="1">
        <v>597</v>
      </c>
      <c r="AN122" s="64" t="s" ph="1">
        <v>590</v>
      </c>
      <c r="AO122" s="64" t="s" ph="1">
        <v>91</v>
      </c>
      <c r="AY122" s="64" t="s" ph="1">
        <v>216</v>
      </c>
      <c r="AZ122" s="64" t="s" ph="1">
        <v>579</v>
      </c>
    </row>
    <row r="123" spans="33:52" ph="1">
      <c r="AY123" s="64" t="s" ph="1">
        <v>216</v>
      </c>
      <c r="AZ123" s="64" t="s" ph="1">
        <v>579</v>
      </c>
    </row>
    <row r="124" spans="33:52" ph="1">
      <c r="AG124" s="64" t="s" ph="1">
        <v>356</v>
      </c>
      <c r="AH124" s="64" ph="1">
        <v>4</v>
      </c>
      <c r="AI124" s="64" t="s" ph="1">
        <v>516</v>
      </c>
      <c r="AJ124" s="64" t="s" ph="1">
        <v>517</v>
      </c>
      <c r="AK124" s="64" t="s" ph="1">
        <v>518</v>
      </c>
      <c r="AY124" s="64" t="s" ph="1">
        <v>216</v>
      </c>
      <c r="AZ124" s="64" t="s" ph="1">
        <v>518</v>
      </c>
    </row>
    <row r="125" spans="33:52" ph="1">
      <c r="AH125" s="64" ph="1">
        <v>5</v>
      </c>
      <c r="AI125" s="64" t="s" ph="1">
        <v>519</v>
      </c>
      <c r="AJ125" s="64" t="s" ph="1">
        <v>517</v>
      </c>
      <c r="AK125" s="64" t="s" ph="1">
        <v>518</v>
      </c>
      <c r="AY125" s="64" t="s" ph="1">
        <v>216</v>
      </c>
      <c r="AZ125" s="64" t="s" ph="1">
        <v>518</v>
      </c>
    </row>
    <row r="126" spans="33:52" ph="1">
      <c r="AH126" s="64" ph="1">
        <v>6</v>
      </c>
      <c r="AI126" s="64" t="s" ph="1">
        <v>520</v>
      </c>
      <c r="AJ126" s="64" t="s" ph="1">
        <v>589</v>
      </c>
      <c r="AK126" s="64" t="s" ph="1">
        <v>598</v>
      </c>
      <c r="AY126" s="64" t="s" ph="1">
        <v>216</v>
      </c>
      <c r="AZ126" s="64" t="s" ph="1">
        <v>598</v>
      </c>
    </row>
    <row r="127" spans="33:52" ph="1">
      <c r="AH127" s="64" ph="1">
        <v>7</v>
      </c>
      <c r="AI127" s="64" t="s" ph="1">
        <v>521</v>
      </c>
      <c r="AJ127" s="64" t="s" ph="1">
        <v>589</v>
      </c>
      <c r="AK127" s="64" t="s" ph="1">
        <v>599</v>
      </c>
      <c r="AY127" s="64" t="s" ph="1">
        <v>216</v>
      </c>
      <c r="AZ127" s="64" t="s" ph="1">
        <v>599</v>
      </c>
    </row>
    <row r="128" spans="33:52" ph="1">
      <c r="AH128" s="64" ph="1">
        <v>8</v>
      </c>
      <c r="AI128" s="64" t="s" ph="1">
        <v>522</v>
      </c>
      <c r="AY128" s="64" t="s" ph="1">
        <v>216</v>
      </c>
      <c r="AZ128" s="64" t="s" ph="1">
        <v>367</v>
      </c>
    </row>
    <row r="129" spans="33:52" ph="1">
      <c r="AH129" s="64" ph="1">
        <v>9</v>
      </c>
      <c r="AI129" s="64" t="s" ph="1">
        <v>523</v>
      </c>
      <c r="AY129" s="64" t="s" ph="1">
        <v>216</v>
      </c>
      <c r="AZ129" s="64" t="s" ph="1">
        <v>367</v>
      </c>
    </row>
    <row r="130" spans="33:52" ph="1">
      <c r="AH130" s="64" ph="1">
        <v>10</v>
      </c>
      <c r="AI130" s="64" t="s" ph="1">
        <v>524</v>
      </c>
      <c r="AY130" s="64" t="s" ph="1">
        <v>216</v>
      </c>
      <c r="AZ130" s="64" t="s" ph="1">
        <v>367</v>
      </c>
    </row>
    <row r="131" spans="33:52" ph="1">
      <c r="AH131" s="64" ph="1">
        <v>11</v>
      </c>
      <c r="AI131" s="64" t="s" ph="1">
        <v>525</v>
      </c>
      <c r="AJ131" s="64" t="s" ph="1">
        <v>583</v>
      </c>
      <c r="AK131" s="64" t="s" ph="1">
        <v>579</v>
      </c>
      <c r="AY131" s="64" t="s" ph="1">
        <v>216</v>
      </c>
      <c r="AZ131" s="64" t="s" ph="1">
        <v>579</v>
      </c>
    </row>
    <row r="132" spans="33:52" ph="1">
      <c r="AH132" s="64" ph="1">
        <v>12</v>
      </c>
      <c r="AI132" s="64" t="s" ph="1">
        <v>526</v>
      </c>
      <c r="AJ132" s="64" t="s" ph="1">
        <v>583</v>
      </c>
      <c r="AK132" s="64" t="s" ph="1">
        <v>518</v>
      </c>
      <c r="AY132" s="64" t="s" ph="1">
        <v>216</v>
      </c>
      <c r="AZ132" s="64" t="s" ph="1">
        <v>518</v>
      </c>
    </row>
    <row r="133" spans="33:52" ph="1">
      <c r="AH133" s="64" ph="1">
        <v>13</v>
      </c>
      <c r="AI133" s="64" t="s" ph="1">
        <v>527</v>
      </c>
      <c r="AJ133" s="64" t="s" ph="1">
        <v>583</v>
      </c>
      <c r="AK133" s="64" t="s" ph="1">
        <v>584</v>
      </c>
      <c r="AY133" s="64" t="s" ph="1">
        <v>216</v>
      </c>
      <c r="AZ133" s="64" t="s" ph="1">
        <v>584</v>
      </c>
    </row>
    <row r="134" spans="33:52" ph="1">
      <c r="AH134" s="64" ph="1">
        <v>14</v>
      </c>
      <c r="AI134" s="64" t="s" ph="1">
        <v>528</v>
      </c>
      <c r="AJ134" s="64" t="s" ph="1">
        <v>583</v>
      </c>
      <c r="AK134" s="64" t="s" ph="1">
        <v>585</v>
      </c>
      <c r="AY134" s="64" t="s" ph="1">
        <v>216</v>
      </c>
      <c r="AZ134" s="64" t="s" ph="1">
        <v>585</v>
      </c>
    </row>
    <row r="135" spans="33:52" ph="1">
      <c r="AH135" s="64" ph="1">
        <v>15</v>
      </c>
      <c r="AI135" s="64" t="s" ph="1">
        <v>529</v>
      </c>
      <c r="AJ135" s="64" t="s" ph="1">
        <v>583</v>
      </c>
      <c r="AK135" s="64" t="s" ph="1">
        <v>586</v>
      </c>
      <c r="AY135" s="64" t="s" ph="1">
        <v>216</v>
      </c>
      <c r="AZ135" s="64" t="s" ph="1">
        <v>586</v>
      </c>
    </row>
    <row r="136" spans="33:52" ph="1">
      <c r="AZ136" s="64" t="s" ph="1">
        <v>600</v>
      </c>
    </row>
    <row r="137" spans="33:52" ph="1">
      <c r="AG137" s="64" t="s" ph="1">
        <v>290</v>
      </c>
      <c r="AI137" s="64" t="s" ph="1">
        <v>209</v>
      </c>
      <c r="AJ137" s="64" t="s" ph="1">
        <v>210</v>
      </c>
      <c r="AK137" s="64" t="s" ph="1">
        <v>211</v>
      </c>
      <c r="AM137" s="64" t="s" ph="1">
        <v>210</v>
      </c>
      <c r="AN137" s="64" t="s" ph="1">
        <v>211</v>
      </c>
      <c r="AO137" s="64" t="s" ph="1">
        <v>212</v>
      </c>
      <c r="AP137" s="64" t="s" ph="1">
        <v>210</v>
      </c>
      <c r="AQ137" s="64" t="s" ph="1">
        <v>211</v>
      </c>
      <c r="AR137" s="64" t="s" ph="1">
        <v>212</v>
      </c>
      <c r="AS137" s="64" t="s" ph="1">
        <v>210</v>
      </c>
      <c r="AT137" s="64" t="s" ph="1">
        <v>211</v>
      </c>
      <c r="AU137" s="64" t="s" ph="1">
        <v>212</v>
      </c>
      <c r="AV137" s="64" t="s" ph="1">
        <v>210</v>
      </c>
      <c r="AW137" s="64" t="s" ph="1">
        <v>211</v>
      </c>
      <c r="AX137" s="64" t="s" ph="1">
        <v>212</v>
      </c>
      <c r="AY137" s="64" t="s" ph="1">
        <v>211</v>
      </c>
      <c r="AZ137" s="64" t="s" ph="1">
        <v>213</v>
      </c>
    </row>
    <row r="138" spans="33:52" ph="1">
      <c r="AH138" s="64" ph="1">
        <v>1</v>
      </c>
      <c r="AI138" s="64" t="s" ph="1">
        <v>530</v>
      </c>
      <c r="AJ138" s="64" t="s" ph="1">
        <v>531</v>
      </c>
      <c r="AK138" s="64" t="s" ph="1">
        <v>532</v>
      </c>
      <c r="AY138" s="64" t="s" ph="1">
        <v>216</v>
      </c>
      <c r="AZ138" s="64" t="s" ph="1">
        <v>532</v>
      </c>
    </row>
    <row r="139" spans="33:52" ph="1">
      <c r="AH139" s="64" ph="1">
        <v>2</v>
      </c>
      <c r="AI139" s="64" t="s" ph="1">
        <v>533</v>
      </c>
      <c r="AJ139" s="64" t="s" ph="1">
        <v>589</v>
      </c>
      <c r="AK139" s="64" t="s" ph="1">
        <v>601</v>
      </c>
      <c r="AY139" s="64" t="s" ph="1">
        <v>216</v>
      </c>
      <c r="AZ139" s="64" t="s" ph="1">
        <v>601</v>
      </c>
    </row>
    <row r="140" spans="33:52" ph="1">
      <c r="AH140" s="64" ph="1">
        <v>3</v>
      </c>
      <c r="AI140" s="64" t="s" ph="1">
        <v>534</v>
      </c>
      <c r="AJ140" s="64" t="s" ph="1">
        <v>487</v>
      </c>
      <c r="AK140" s="64" t="s" ph="1">
        <v>299</v>
      </c>
      <c r="AM140" s="64" t="s" ph="1">
        <v>488</v>
      </c>
      <c r="AN140" s="64" t="s" ph="1">
        <v>219</v>
      </c>
      <c r="AO140" s="64" t="s" ph="1">
        <v>535</v>
      </c>
      <c r="AP140" s="64" t="s" ph="1">
        <v>489</v>
      </c>
      <c r="AQ140" s="64" t="s" ph="1">
        <v>236</v>
      </c>
      <c r="AR140" s="64" t="s" ph="1">
        <v>535</v>
      </c>
      <c r="AS140" s="64" t="s" ph="1">
        <v>490</v>
      </c>
      <c r="AT140" s="64" t="s" ph="1">
        <v>229</v>
      </c>
      <c r="AU140" s="64" t="s" ph="1">
        <v>535</v>
      </c>
      <c r="AV140" s="64" t="s" ph="1">
        <v>491</v>
      </c>
      <c r="AW140" s="64" t="s" ph="1">
        <v>222</v>
      </c>
      <c r="AX140" s="64" t="s" ph="1">
        <v>535</v>
      </c>
      <c r="AY140" s="64" t="s" ph="1">
        <v>216</v>
      </c>
      <c r="AZ140" s="64" t="s" ph="1">
        <v>291</v>
      </c>
    </row>
    <row r="141" spans="33:52" ph="1">
      <c r="AJ141" s="64" t="s" ph="1">
        <v>493</v>
      </c>
      <c r="AK141" s="64" t="s" ph="1">
        <v>222</v>
      </c>
      <c r="AM141" s="64" t="s" ph="1">
        <v>494</v>
      </c>
      <c r="AN141" s="64" t="s" ph="1">
        <v>225</v>
      </c>
      <c r="AO141" s="64" t="s" ph="1">
        <v>535</v>
      </c>
      <c r="AP141" s="64" t="s" ph="1">
        <v>506</v>
      </c>
      <c r="AQ141" s="64" t="s" ph="1">
        <v>294</v>
      </c>
      <c r="AR141" s="64" t="s" ph="1">
        <v>535</v>
      </c>
      <c r="AS141" s="64" t="s" ph="1">
        <v>498</v>
      </c>
      <c r="AT141" s="64" t="s" ph="1">
        <v>222</v>
      </c>
      <c r="AU141" s="64" t="s" ph="1">
        <v>535</v>
      </c>
      <c r="AV141" s="64" t="s" ph="1">
        <v>334</v>
      </c>
      <c r="AW141" s="64" t="s" ph="1">
        <v>228</v>
      </c>
      <c r="AX141" s="64" t="s" ph="1">
        <v>535</v>
      </c>
    </row>
    <row r="142" spans="33:52" ph="1">
      <c r="AJ142" s="64" t="s" ph="1">
        <v>536</v>
      </c>
      <c r="AK142" s="64" t="s" ph="1">
        <v>239</v>
      </c>
    </row>
    <row r="143" spans="33:52" ph="1">
      <c r="AH143" s="64" ph="1">
        <v>4</v>
      </c>
      <c r="AI143" s="64" t="s" ph="1">
        <v>537</v>
      </c>
      <c r="AJ143" s="64" t="s" ph="1">
        <v>517</v>
      </c>
      <c r="AK143" s="64" t="s" ph="1">
        <v>538</v>
      </c>
      <c r="AY143" s="64" t="s" ph="1">
        <v>216</v>
      </c>
      <c r="AZ143" s="64" t="s" ph="1">
        <v>538</v>
      </c>
    </row>
    <row r="144" spans="33:52" ph="1">
      <c r="AH144" s="64" ph="1">
        <v>5</v>
      </c>
      <c r="AI144" s="64" t="s" ph="1">
        <v>539</v>
      </c>
      <c r="AY144" s="64" t="s" ph="1">
        <v>216</v>
      </c>
      <c r="AZ144" s="64" t="s" ph="1">
        <v>367</v>
      </c>
    </row>
    <row r="145" spans="33:52" ph="1">
      <c r="AH145" s="64" ph="1">
        <v>6</v>
      </c>
      <c r="AI145" s="64" t="s" ph="1">
        <v>540</v>
      </c>
      <c r="AY145" s="64" t="s" ph="1">
        <v>216</v>
      </c>
      <c r="AZ145" s="64" t="s" ph="1">
        <v>367</v>
      </c>
    </row>
    <row r="146" spans="33:52" ph="1">
      <c r="AH146" s="64" ph="1">
        <v>7</v>
      </c>
      <c r="AI146" s="64" t="s" ph="1">
        <v>541</v>
      </c>
      <c r="AY146" s="64" t="s" ph="1">
        <v>216</v>
      </c>
      <c r="AZ146" s="64" t="s" ph="1">
        <v>367</v>
      </c>
    </row>
    <row r="147" spans="33:52" ph="1">
      <c r="AH147" s="64" ph="1">
        <v>8</v>
      </c>
      <c r="AI147" s="64" t="s" ph="1">
        <v>542</v>
      </c>
      <c r="AY147" s="64" t="s" ph="1">
        <v>216</v>
      </c>
      <c r="AZ147" s="64" t="s" ph="1">
        <v>367</v>
      </c>
    </row>
    <row r="148" spans="33:52" ph="1">
      <c r="AH148" s="64" ph="1">
        <v>9</v>
      </c>
      <c r="AI148" s="64" t="s" ph="1">
        <v>543</v>
      </c>
      <c r="AY148" s="64" t="s" ph="1">
        <v>216</v>
      </c>
      <c r="AZ148" s="64" t="s" ph="1">
        <v>367</v>
      </c>
    </row>
    <row r="149" spans="33:52" ph="1">
      <c r="AH149" s="64" ph="1">
        <v>10</v>
      </c>
      <c r="AI149" s="64" t="s" ph="1">
        <v>544</v>
      </c>
      <c r="AY149" s="64" t="s" ph="1">
        <v>216</v>
      </c>
      <c r="AZ149" s="64" t="s" ph="1">
        <v>367</v>
      </c>
    </row>
    <row r="150" spans="33:52" ph="1">
      <c r="AH150" s="64" ph="1">
        <v>11</v>
      </c>
      <c r="AI150" s="64" t="s" ph="1">
        <v>545</v>
      </c>
      <c r="AY150" s="64" t="s" ph="1">
        <v>216</v>
      </c>
      <c r="AZ150" s="64" t="s" ph="1">
        <v>367</v>
      </c>
    </row>
    <row r="151" spans="33:52" ph="1">
      <c r="AH151" s="64" ph="1">
        <v>12</v>
      </c>
      <c r="AI151" s="64" t="s" ph="1">
        <v>546</v>
      </c>
      <c r="AY151" s="64" t="s" ph="1">
        <v>216</v>
      </c>
      <c r="AZ151" s="64" t="s" ph="1">
        <v>367</v>
      </c>
    </row>
    <row r="152" spans="33:52" ph="1">
      <c r="AH152" s="64" ph="1">
        <v>13</v>
      </c>
      <c r="AI152" s="64" t="s" ph="1">
        <v>547</v>
      </c>
      <c r="AY152" s="64" t="s" ph="1">
        <v>216</v>
      </c>
      <c r="AZ152" s="64" t="s" ph="1">
        <v>367</v>
      </c>
    </row>
    <row r="153" spans="33:52" ph="1">
      <c r="AH153" s="64" ph="1">
        <v>14</v>
      </c>
      <c r="AI153" s="64" t="s" ph="1">
        <v>548</v>
      </c>
      <c r="AY153" s="64" t="s" ph="1">
        <v>216</v>
      </c>
      <c r="AZ153" s="64" t="s" ph="1">
        <v>367</v>
      </c>
    </row>
    <row r="154" spans="33:52" ph="1">
      <c r="AH154" s="64" ph="1">
        <v>15</v>
      </c>
      <c r="AI154" s="64" t="s" ph="1">
        <v>549</v>
      </c>
      <c r="AY154" s="64" t="s" ph="1">
        <v>216</v>
      </c>
      <c r="AZ154" s="64" t="s" ph="1">
        <v>367</v>
      </c>
    </row>
    <row r="155" spans="33:52" ph="1">
      <c r="AH155" s="64" ph="1">
        <v>16</v>
      </c>
      <c r="AI155" s="64" t="s" ph="1">
        <v>550</v>
      </c>
      <c r="AJ155" s="64" t="s" ph="1">
        <v>336</v>
      </c>
      <c r="AK155" s="64" t="s" ph="1">
        <v>231</v>
      </c>
      <c r="AM155" s="64" t="s" ph="1">
        <v>570</v>
      </c>
      <c r="AN155" s="64" t="s" ph="1">
        <v>282</v>
      </c>
      <c r="AO155" s="64" t="s" ph="1">
        <v>535</v>
      </c>
      <c r="AY155" s="64" t="s" ph="1">
        <v>216</v>
      </c>
      <c r="AZ155" s="64" t="s" ph="1">
        <v>223</v>
      </c>
    </row>
    <row r="156" spans="33:52" ph="1">
      <c r="AZ156" s="64" t="s" ph="1">
        <v>602</v>
      </c>
    </row>
    <row r="157" spans="33:52" ph="1">
      <c r="AG157" s="64" t="s" ph="1">
        <v>551</v>
      </c>
      <c r="AI157" s="64" t="s" ph="1">
        <v>209</v>
      </c>
      <c r="AJ157" s="64" t="s" ph="1">
        <v>210</v>
      </c>
      <c r="AK157" s="64" t="s" ph="1">
        <v>211</v>
      </c>
      <c r="AM157" s="64" t="s" ph="1">
        <v>210</v>
      </c>
      <c r="AN157" s="64" t="s" ph="1">
        <v>211</v>
      </c>
      <c r="AO157" s="64" t="s" ph="1">
        <v>212</v>
      </c>
      <c r="AP157" s="64" t="s" ph="1">
        <v>210</v>
      </c>
      <c r="AQ157" s="64" t="s" ph="1">
        <v>211</v>
      </c>
      <c r="AR157" s="64" t="s" ph="1">
        <v>212</v>
      </c>
      <c r="AS157" s="64" t="s" ph="1">
        <v>210</v>
      </c>
      <c r="AT157" s="64" t="s" ph="1">
        <v>211</v>
      </c>
      <c r="AU157" s="64" t="s" ph="1">
        <v>212</v>
      </c>
      <c r="AV157" s="64" t="s" ph="1">
        <v>210</v>
      </c>
      <c r="AW157" s="64" t="s" ph="1">
        <v>211</v>
      </c>
      <c r="AX157" s="64" t="s" ph="1">
        <v>212</v>
      </c>
      <c r="AY157" s="64" t="s" ph="1">
        <v>211</v>
      </c>
      <c r="AZ157" s="64" t="s" ph="1">
        <v>213</v>
      </c>
    </row>
    <row r="158" spans="33:52" ph="1">
      <c r="AH158" s="64" ph="1">
        <v>1</v>
      </c>
      <c r="AI158" s="64" t="s" ph="1">
        <v>552</v>
      </c>
      <c r="AY158" s="64" t="s" ph="1">
        <v>216</v>
      </c>
      <c r="AZ158" s="64" t="s" ph="1">
        <v>367</v>
      </c>
    </row>
    <row r="159" spans="33:52" ph="1">
      <c r="AH159" s="64" ph="1">
        <v>2</v>
      </c>
      <c r="AI159" s="64" t="s" ph="1">
        <v>553</v>
      </c>
      <c r="AY159" s="64" t="s" ph="1">
        <v>216</v>
      </c>
      <c r="AZ159" s="64" t="s" ph="1">
        <v>367</v>
      </c>
    </row>
    <row r="160" spans="33:52" ph="1">
      <c r="AZ160" s="64" t="s" ph="1">
        <v>385</v>
      </c>
    </row>
    <row r="161" spans="33:52" ph="1">
      <c r="AG161" s="64" t="s" ph="1">
        <v>361</v>
      </c>
      <c r="AI161" s="64" t="s" ph="1">
        <v>209</v>
      </c>
      <c r="AJ161" s="64" t="s" ph="1">
        <v>210</v>
      </c>
      <c r="AK161" s="64" t="s" ph="1">
        <v>211</v>
      </c>
      <c r="AM161" s="64" t="s" ph="1">
        <v>210</v>
      </c>
      <c r="AN161" s="64" t="s" ph="1">
        <v>211</v>
      </c>
      <c r="AO161" s="64" t="s" ph="1">
        <v>212</v>
      </c>
      <c r="AP161" s="64" t="s" ph="1">
        <v>210</v>
      </c>
      <c r="AQ161" s="64" t="s" ph="1">
        <v>211</v>
      </c>
      <c r="AR161" s="64" t="s" ph="1">
        <v>212</v>
      </c>
      <c r="AS161" s="64" t="s" ph="1">
        <v>210</v>
      </c>
      <c r="AT161" s="64" t="s" ph="1">
        <v>211</v>
      </c>
      <c r="AU161" s="64" t="s" ph="1">
        <v>212</v>
      </c>
      <c r="AV161" s="64" t="s" ph="1">
        <v>210</v>
      </c>
      <c r="AW161" s="64" t="s" ph="1">
        <v>211</v>
      </c>
      <c r="AX161" s="64" t="s" ph="1">
        <v>212</v>
      </c>
      <c r="AY161" s="64" t="s" ph="1">
        <v>211</v>
      </c>
      <c r="AZ161" s="64" t="s" ph="1">
        <v>213</v>
      </c>
    </row>
    <row r="162" spans="33:52" ph="1">
      <c r="AH162" s="64" ph="1">
        <v>1</v>
      </c>
      <c r="AI162" s="64" t="s" ph="1">
        <v>554</v>
      </c>
      <c r="AJ162" s="64" t="s" ph="1">
        <v>555</v>
      </c>
      <c r="AK162" s="64" t="s" ph="1">
        <v>499</v>
      </c>
      <c r="AM162" s="64" t="s" ph="1">
        <v>556</v>
      </c>
      <c r="AN162" s="64" t="s" ph="1">
        <v>220</v>
      </c>
      <c r="AO162" s="64" t="s" ph="1">
        <v>557</v>
      </c>
      <c r="AY162" s="64" t="s" ph="1">
        <v>216</v>
      </c>
      <c r="AZ162" s="64" t="s" ph="1">
        <v>292</v>
      </c>
    </row>
    <row r="163" spans="33:52" ph="1">
      <c r="AH163" s="64" ph="1">
        <v>2</v>
      </c>
      <c r="AI163" s="64" t="s" ph="1">
        <v>558</v>
      </c>
      <c r="AJ163" s="64" t="s" ph="1">
        <v>555</v>
      </c>
      <c r="AK163" s="64" t="s" ph="1">
        <v>388</v>
      </c>
      <c r="AY163" s="64" t="s" ph="1">
        <v>216</v>
      </c>
      <c r="AZ163" s="64" t="s" ph="1">
        <v>388</v>
      </c>
    </row>
    <row r="164" spans="33:52" ph="1">
      <c r="AH164" s="64" ph="1">
        <v>3</v>
      </c>
      <c r="AI164" s="64" t="s" ph="1">
        <v>559</v>
      </c>
      <c r="AJ164" s="64" t="s" ph="1">
        <v>555</v>
      </c>
      <c r="AK164" s="64" t="s" ph="1">
        <v>292</v>
      </c>
      <c r="AY164" s="64" t="s" ph="1">
        <v>216</v>
      </c>
      <c r="AZ164" s="64" t="s" ph="1">
        <v>292</v>
      </c>
    </row>
    <row r="165" spans="33:52" ph="1">
      <c r="AH165" s="64" ph="1">
        <v>4</v>
      </c>
      <c r="AI165" s="64" t="s" ph="1">
        <v>560</v>
      </c>
      <c r="AY165" s="64" t="s" ph="1">
        <v>216</v>
      </c>
      <c r="AZ165" s="64" t="s" ph="1">
        <v>367</v>
      </c>
    </row>
    <row r="166" spans="33:52" ph="1">
      <c r="AH166" s="64" ph="1">
        <v>5</v>
      </c>
      <c r="AI166" s="64" t="s" ph="1">
        <v>561</v>
      </c>
      <c r="AY166" s="64" t="s" ph="1">
        <v>216</v>
      </c>
      <c r="AZ166" s="64" t="s" ph="1">
        <v>367</v>
      </c>
    </row>
    <row r="167" spans="33:52" ph="1">
      <c r="AZ167" s="64" t="s" ph="1">
        <v>562</v>
      </c>
    </row>
    <row r="168" spans="33:52" ph="1">
      <c r="AG168" s="64" t="s" ph="1">
        <v>305</v>
      </c>
      <c r="AI168" s="64" t="s" ph="1">
        <v>209</v>
      </c>
      <c r="AJ168" s="64" t="s" ph="1">
        <v>210</v>
      </c>
      <c r="AK168" s="64" t="s" ph="1">
        <v>211</v>
      </c>
      <c r="AM168" s="64" t="s" ph="1">
        <v>210</v>
      </c>
      <c r="AN168" s="64" t="s" ph="1">
        <v>211</v>
      </c>
      <c r="AO168" s="64" t="s" ph="1">
        <v>212</v>
      </c>
      <c r="AP168" s="64" t="s" ph="1">
        <v>210</v>
      </c>
      <c r="AQ168" s="64" t="s" ph="1">
        <v>211</v>
      </c>
      <c r="AR168" s="64" t="s" ph="1">
        <v>212</v>
      </c>
      <c r="AS168" s="64" t="s" ph="1">
        <v>210</v>
      </c>
      <c r="AT168" s="64" t="s" ph="1">
        <v>211</v>
      </c>
      <c r="AU168" s="64" t="s" ph="1">
        <v>212</v>
      </c>
      <c r="AV168" s="64" t="s" ph="1">
        <v>210</v>
      </c>
      <c r="AW168" s="64" t="s" ph="1">
        <v>211</v>
      </c>
      <c r="AX168" s="64" t="s" ph="1">
        <v>212</v>
      </c>
      <c r="AY168" s="64" t="s" ph="1">
        <v>211</v>
      </c>
      <c r="AZ168" s="64" t="s" ph="1">
        <v>213</v>
      </c>
    </row>
    <row r="169" spans="33:52" ph="1">
      <c r="AH169" s="64" ph="1">
        <v>1</v>
      </c>
      <c r="AI169" s="64" t="s" ph="1">
        <v>563</v>
      </c>
      <c r="AY169" s="64" t="s" ph="1">
        <v>216</v>
      </c>
      <c r="AZ169" s="64" t="s" ph="1">
        <v>367</v>
      </c>
    </row>
    <row r="170" spans="33:52" ph="1">
      <c r="AH170" s="64" ph="1">
        <v>2</v>
      </c>
      <c r="AI170" s="64" t="s" ph="1">
        <v>564</v>
      </c>
      <c r="AY170" s="64" t="s" ph="1">
        <v>216</v>
      </c>
      <c r="AZ170" s="64" t="s" ph="1">
        <v>367</v>
      </c>
    </row>
    <row r="171" spans="33:52" ph="1">
      <c r="AH171" s="64" ph="1">
        <v>3</v>
      </c>
      <c r="AI171" s="64" t="s" ph="1">
        <v>565</v>
      </c>
      <c r="AY171" s="64" t="s" ph="1">
        <v>216</v>
      </c>
      <c r="AZ171" s="64" t="s" ph="1">
        <v>367</v>
      </c>
    </row>
    <row r="172" spans="33:52" ph="1">
      <c r="AH172" s="64" ph="1">
        <v>4</v>
      </c>
      <c r="AI172" s="64" t="s" ph="1">
        <v>566</v>
      </c>
      <c r="AY172" s="64" t="s" ph="1">
        <v>216</v>
      </c>
      <c r="AZ172" s="64" t="s" ph="1">
        <v>367</v>
      </c>
    </row>
    <row r="173" spans="33:52" ph="1">
      <c r="AH173" s="64" ph="1">
        <v>5</v>
      </c>
      <c r="AI173" s="64" t="s" ph="1">
        <v>567</v>
      </c>
      <c r="AY173" s="64" t="s" ph="1">
        <v>216</v>
      </c>
      <c r="AZ173" s="64" t="s" ph="1">
        <v>367</v>
      </c>
    </row>
    <row r="174" spans="33:52" ph="1">
      <c r="AZ174" s="64" t="s" ph="1">
        <v>385</v>
      </c>
    </row>
    <row r="175" spans="33:52" ph="1">
      <c r="AJ175" s="64" t="s" ph="1">
        <v>306</v>
      </c>
    </row>
    <row r="176" spans="33:52" ph="1">
      <c r="AJ176" s="64" t="s" ph="1">
        <v>307</v>
      </c>
      <c r="AK176" s="64" t="s" ph="1">
        <v>308</v>
      </c>
      <c r="AM176" s="64" t="s" ph="1">
        <v>309</v>
      </c>
      <c r="AO176" s="64" t="s" ph="1">
        <v>310</v>
      </c>
      <c r="AP176" s="64" t="s" ph="1">
        <v>311</v>
      </c>
      <c r="AQ176" s="64" t="s" ph="1">
        <v>301</v>
      </c>
      <c r="AR176" s="64" t="s" ph="1">
        <v>221</v>
      </c>
    </row>
    <row r="177" spans="36:56" ph="1">
      <c r="AJ177" s="64" t="s" ph="1">
        <v>603</v>
      </c>
      <c r="AK177" s="64" t="s" ph="1">
        <v>312</v>
      </c>
      <c r="AO177" s="64" t="s" ph="1">
        <v>312</v>
      </c>
      <c r="AP177" s="64" t="s" ph="1">
        <v>312</v>
      </c>
      <c r="AQ177" s="64" t="s" ph="1">
        <v>313</v>
      </c>
      <c r="AR177" s="64" t="s" ph="1">
        <v>314</v>
      </c>
    </row>
    <row r="179" spans="36:56" ph="1">
      <c r="AJ179" s="64" t="s" ph="1">
        <v>315</v>
      </c>
      <c r="AK179" s="64" t="s" ph="1">
        <v>316</v>
      </c>
      <c r="AM179" s="64" t="s" ph="1">
        <v>317</v>
      </c>
      <c r="AN179" s="64" t="s" ph="1">
        <v>293</v>
      </c>
      <c r="AO179" s="64" t="s" ph="1">
        <v>318</v>
      </c>
      <c r="AP179" s="64" t="s" ph="1">
        <v>297</v>
      </c>
      <c r="AQ179" s="64" t="s" ph="1">
        <v>319</v>
      </c>
      <c r="AR179" s="64" t="s" ph="1">
        <v>320</v>
      </c>
    </row>
    <row r="180" spans="36:56" ph="1">
      <c r="AJ180" s="64" t="s" ph="1">
        <v>312</v>
      </c>
      <c r="AK180" s="64" t="s" ph="1">
        <v>312</v>
      </c>
      <c r="AL180" s="64" ph="1">
        <v>116</v>
      </c>
      <c r="AM180" s="64" t="s" ph="1">
        <v>312</v>
      </c>
      <c r="AN180" s="64" t="s" ph="1">
        <v>321</v>
      </c>
      <c r="AO180" s="64" t="s" ph="1">
        <v>312</v>
      </c>
      <c r="AP180" s="64" t="s" ph="1">
        <v>322</v>
      </c>
      <c r="AQ180" s="64" t="s" ph="1">
        <v>323</v>
      </c>
      <c r="AR180" s="64" t="s" ph="1">
        <v>324</v>
      </c>
    </row>
    <row r="189" spans="36:56" ph="1">
      <c r="BD189" s="64" t="s" ph="1">
        <v>568</v>
      </c>
    </row>
    <row r="223" spans="18:18" ph="1">
      <c r="R223" s="135" ph="1">
        <v>45496</v>
      </c>
    </row>
  </sheetData>
  <mergeCells count="58">
    <mergeCell ref="Z22:AE22"/>
    <mergeCell ref="Z23:AE29"/>
    <mergeCell ref="B24:B26"/>
    <mergeCell ref="B27:B29"/>
    <mergeCell ref="B1:AE1"/>
    <mergeCell ref="B2:AE2"/>
    <mergeCell ref="B3:AE3"/>
    <mergeCell ref="B4:B5"/>
    <mergeCell ref="B6:B8"/>
    <mergeCell ref="B9:B11"/>
    <mergeCell ref="P31:R31"/>
    <mergeCell ref="B13:B14"/>
    <mergeCell ref="B15:B17"/>
    <mergeCell ref="B18:B20"/>
    <mergeCell ref="B22:B23"/>
    <mergeCell ref="B31:C32"/>
    <mergeCell ref="D31:F31"/>
    <mergeCell ref="G31:I31"/>
    <mergeCell ref="J31:L31"/>
    <mergeCell ref="M31:O31"/>
    <mergeCell ref="B33:C34"/>
    <mergeCell ref="D33:D34"/>
    <mergeCell ref="E33:E34"/>
    <mergeCell ref="F33:F34"/>
    <mergeCell ref="G33:G34"/>
    <mergeCell ref="S31:U31"/>
    <mergeCell ref="V31:X31"/>
    <mergeCell ref="Y31:AA31"/>
    <mergeCell ref="AB31:AE31"/>
    <mergeCell ref="AD32:AE32"/>
    <mergeCell ref="S33:S34"/>
    <mergeCell ref="H33:H34"/>
    <mergeCell ref="I33:I34"/>
    <mergeCell ref="J33:J34"/>
    <mergeCell ref="K33:K34"/>
    <mergeCell ref="L33:L34"/>
    <mergeCell ref="M33:M34"/>
    <mergeCell ref="N33:N34"/>
    <mergeCell ref="O33:O34"/>
    <mergeCell ref="P33:P34"/>
    <mergeCell ref="Q33:Q34"/>
    <mergeCell ref="R33:R34"/>
    <mergeCell ref="I36:J36"/>
    <mergeCell ref="R36:S36"/>
    <mergeCell ref="AB36:AC36"/>
    <mergeCell ref="AD36:AE36"/>
    <mergeCell ref="Z33:Z34"/>
    <mergeCell ref="AA33:AA34"/>
    <mergeCell ref="AB33:AB34"/>
    <mergeCell ref="AC33:AC34"/>
    <mergeCell ref="AD33:AE34"/>
    <mergeCell ref="AC35:AE35"/>
    <mergeCell ref="T33:T34"/>
    <mergeCell ref="U33:U34"/>
    <mergeCell ref="V33:V34"/>
    <mergeCell ref="W33:W34"/>
    <mergeCell ref="X33:X34"/>
    <mergeCell ref="Y33:Y34"/>
  </mergeCells>
  <phoneticPr fontId="2" type="noConversion"/>
  <conditionalFormatting sqref="D4:D11">
    <cfRule type="expression" dxfId="265" priority="103">
      <formula>ABS(D$7-D$10)&gt;=1000</formula>
    </cfRule>
  </conditionalFormatting>
  <conditionalFormatting sqref="E4 E6:E11">
    <cfRule type="expression" dxfId="264" priority="102">
      <formula>ABS(E$7-E$10)&gt;=1000</formula>
    </cfRule>
  </conditionalFormatting>
  <conditionalFormatting sqref="F4:F11">
    <cfRule type="expression" dxfId="263" priority="101">
      <formula>ABS(F$7-F$10)&gt;=1000</formula>
    </cfRule>
  </conditionalFormatting>
  <conditionalFormatting sqref="G4:G11">
    <cfRule type="expression" dxfId="262" priority="100">
      <formula>ABS(G$7-G$10)&gt;=1000</formula>
    </cfRule>
  </conditionalFormatting>
  <conditionalFormatting sqref="H4:H11">
    <cfRule type="expression" dxfId="261" priority="99">
      <formula>ABS(H$7-H$10)&gt;=1000</formula>
    </cfRule>
  </conditionalFormatting>
  <conditionalFormatting sqref="I4:I11">
    <cfRule type="expression" dxfId="260" priority="98">
      <formula>ABS(I$7-I$10)&gt;=1000</formula>
    </cfRule>
  </conditionalFormatting>
  <conditionalFormatting sqref="J4:J11">
    <cfRule type="expression" dxfId="259" priority="97">
      <formula>ABS(J$7-J$10)&gt;=1000</formula>
    </cfRule>
  </conditionalFormatting>
  <conditionalFormatting sqref="K4:K11">
    <cfRule type="expression" dxfId="258" priority="96">
      <formula>ABS(K$7-K$10)&gt;=1000</formula>
    </cfRule>
  </conditionalFormatting>
  <conditionalFormatting sqref="L4:L11">
    <cfRule type="expression" dxfId="257" priority="95">
      <formula>ABS(L$7-L$10)&gt;=1000</formula>
    </cfRule>
  </conditionalFormatting>
  <conditionalFormatting sqref="M4 M6:M11">
    <cfRule type="expression" dxfId="256" priority="94">
      <formula>ABS(M$7-M$10)&gt;=1000</formula>
    </cfRule>
  </conditionalFormatting>
  <conditionalFormatting sqref="N4 N6:N11">
    <cfRule type="expression" dxfId="255" priority="93">
      <formula>ABS(N$7-N$10)&gt;=1000</formula>
    </cfRule>
  </conditionalFormatting>
  <conditionalFormatting sqref="O4 O6:O11">
    <cfRule type="expression" dxfId="254" priority="92">
      <formula>ABS(O$7-O$10)&gt;=1000</formula>
    </cfRule>
  </conditionalFormatting>
  <conditionalFormatting sqref="P4 P6:P11">
    <cfRule type="expression" dxfId="253" priority="91">
      <formula>ABS(P$7-P$10)&gt;=1000</formula>
    </cfRule>
  </conditionalFormatting>
  <conditionalFormatting sqref="Q4:Q11">
    <cfRule type="expression" dxfId="252" priority="90">
      <formula>ABS(Q$7-Q$10)&gt;=1000</formula>
    </cfRule>
  </conditionalFormatting>
  <conditionalFormatting sqref="R4:R11">
    <cfRule type="expression" dxfId="251" priority="89">
      <formula>ABS(R$7-R$10)&gt;=1000</formula>
    </cfRule>
  </conditionalFormatting>
  <conditionalFormatting sqref="S4:S11">
    <cfRule type="expression" dxfId="250" priority="88">
      <formula>ABS(S$7-S$10)&gt;=1000</formula>
    </cfRule>
  </conditionalFormatting>
  <conditionalFormatting sqref="T4:T9 T11">
    <cfRule type="expression" dxfId="249" priority="87">
      <formula>ABS(T$7-T$10)&gt;=1000</formula>
    </cfRule>
  </conditionalFormatting>
  <conditionalFormatting sqref="U4:U9 U11">
    <cfRule type="expression" dxfId="248" priority="86">
      <formula>ABS(U$7-U$10)&gt;=1000</formula>
    </cfRule>
  </conditionalFormatting>
  <conditionalFormatting sqref="V4:V9 V11">
    <cfRule type="expression" dxfId="247" priority="85">
      <formula>ABS(V$7-V$10)&gt;=1000</formula>
    </cfRule>
  </conditionalFormatting>
  <conditionalFormatting sqref="W4:W9 W11">
    <cfRule type="expression" dxfId="246" priority="84">
      <formula>ABS(W$7-W$10)&gt;=1000</formula>
    </cfRule>
  </conditionalFormatting>
  <conditionalFormatting sqref="X4:X9 X11">
    <cfRule type="expression" dxfId="245" priority="83">
      <formula>ABS(X$7-X$10)&gt;=1000</formula>
    </cfRule>
  </conditionalFormatting>
  <conditionalFormatting sqref="Y4:Y9 Y11">
    <cfRule type="expression" dxfId="244" priority="82">
      <formula>ABS(Y$7-Y$10)&gt;=1000</formula>
    </cfRule>
  </conditionalFormatting>
  <conditionalFormatting sqref="Z4:Z11">
    <cfRule type="expression" dxfId="243" priority="81">
      <formula>ABS(Z$7-Z$10)&gt;=1000</formula>
    </cfRule>
  </conditionalFormatting>
  <conditionalFormatting sqref="AA4:AA11">
    <cfRule type="expression" dxfId="242" priority="80">
      <formula>ABS(AA$7-AA$10)&gt;=1000</formula>
    </cfRule>
  </conditionalFormatting>
  <conditionalFormatting sqref="AB4:AB11">
    <cfRule type="expression" dxfId="241" priority="79">
      <formula>ABS(AB$7-AB$10)&gt;=1000</formula>
    </cfRule>
  </conditionalFormatting>
  <conditionalFormatting sqref="AC4 AC6:AC11">
    <cfRule type="expression" dxfId="240" priority="78">
      <formula>ABS(AC$7-AC$10)&gt;=1000</formula>
    </cfRule>
  </conditionalFormatting>
  <conditionalFormatting sqref="AD4 AD6:AD11">
    <cfRule type="expression" dxfId="239" priority="77">
      <formula>ABS(AD$7-AD$10)&gt;=1000</formula>
    </cfRule>
  </conditionalFormatting>
  <conditionalFormatting sqref="AE4 AE6:AE11">
    <cfRule type="expression" dxfId="238" priority="76">
      <formula>ABS(AE$7-AE$10)&gt;=1000</formula>
    </cfRule>
  </conditionalFormatting>
  <conditionalFormatting sqref="D13:D20">
    <cfRule type="expression" dxfId="237" priority="75">
      <formula>ABS(D$16-D$19)&gt;=1000</formula>
    </cfRule>
  </conditionalFormatting>
  <conditionalFormatting sqref="E13:E20">
    <cfRule type="expression" dxfId="236" priority="74">
      <formula>ABS(E$16-E$19)&gt;=1000</formula>
    </cfRule>
  </conditionalFormatting>
  <conditionalFormatting sqref="F13 F15:F20">
    <cfRule type="expression" dxfId="235" priority="73">
      <formula>ABS(F$16-F$19)&gt;=1000</formula>
    </cfRule>
  </conditionalFormatting>
  <conditionalFormatting sqref="G13:G20">
    <cfRule type="expression" dxfId="234" priority="72">
      <formula>ABS(G$16-G$19)&gt;=1000</formula>
    </cfRule>
  </conditionalFormatting>
  <conditionalFormatting sqref="H13 H15:H20">
    <cfRule type="expression" dxfId="233" priority="71">
      <formula>ABS(H$16-H$19)&gt;=1000</formula>
    </cfRule>
  </conditionalFormatting>
  <conditionalFormatting sqref="I13:I20">
    <cfRule type="expression" dxfId="232" priority="70">
      <formula>ABS(I$16-I$19)&gt;=1000</formula>
    </cfRule>
  </conditionalFormatting>
  <conditionalFormatting sqref="J13:J20">
    <cfRule type="expression" dxfId="231" priority="69">
      <formula>ABS(J$16-J$19)&gt;=1000</formula>
    </cfRule>
  </conditionalFormatting>
  <conditionalFormatting sqref="L13:L20">
    <cfRule type="expression" dxfId="230" priority="68">
      <formula>ABS(L$16-L$19)&gt;=1000</formula>
    </cfRule>
  </conditionalFormatting>
  <conditionalFormatting sqref="M13 M15 M17:M18 M20">
    <cfRule type="expression" dxfId="229" priority="67">
      <formula>ABS(M$16-M$19)&gt;=1000</formula>
    </cfRule>
  </conditionalFormatting>
  <conditionalFormatting sqref="N13:N20">
    <cfRule type="expression" dxfId="228" priority="66">
      <formula>ABS(N$16-N$19)&gt;=1000</formula>
    </cfRule>
  </conditionalFormatting>
  <conditionalFormatting sqref="O13:O20">
    <cfRule type="expression" dxfId="227" priority="65">
      <formula>ABS(O$16-O$19)&gt;=1000</formula>
    </cfRule>
  </conditionalFormatting>
  <conditionalFormatting sqref="P13:P20">
    <cfRule type="expression" dxfId="226" priority="64">
      <formula>ABS(P$16-P$19)&gt;=1000</formula>
    </cfRule>
  </conditionalFormatting>
  <conditionalFormatting sqref="Q13 Q15:Q20">
    <cfRule type="expression" dxfId="225" priority="63">
      <formula>ABS(Q$16-Q$19)&gt;=1000</formula>
    </cfRule>
  </conditionalFormatting>
  <conditionalFormatting sqref="R13 R15:R20">
    <cfRule type="expression" dxfId="224" priority="62">
      <formula>ABS(R$16-R$19)&gt;=1000</formula>
    </cfRule>
  </conditionalFormatting>
  <conditionalFormatting sqref="S13:S20">
    <cfRule type="expression" dxfId="223" priority="61">
      <formula>ABS(S$16-S$19)&gt;=1000</formula>
    </cfRule>
  </conditionalFormatting>
  <conditionalFormatting sqref="T13:T15 T17:T20">
    <cfRule type="expression" dxfId="222" priority="60">
      <formula>ABS(T$16-T$19)&gt;=1000</formula>
    </cfRule>
  </conditionalFormatting>
  <conditionalFormatting sqref="U13:U20">
    <cfRule type="expression" dxfId="221" priority="59">
      <formula>ABS(U$16-U$19)&gt;=1000</formula>
    </cfRule>
  </conditionalFormatting>
  <conditionalFormatting sqref="V13:V20">
    <cfRule type="expression" dxfId="220" priority="58">
      <formula>ABS(V$16-V$19)&gt;=1000</formula>
    </cfRule>
  </conditionalFormatting>
  <conditionalFormatting sqref="W13 W20 W15:W18">
    <cfRule type="expression" dxfId="219" priority="57">
      <formula>ABS(W$16-W$19)&gt;=1000</formula>
    </cfRule>
  </conditionalFormatting>
  <conditionalFormatting sqref="X13 X15:X20 Y19">
    <cfRule type="expression" dxfId="218" priority="56">
      <formula>ABS(X$16-X$19)&gt;=1000</formula>
    </cfRule>
  </conditionalFormatting>
  <conditionalFormatting sqref="Y13 Y15:Y18 Y20">
    <cfRule type="expression" dxfId="217" priority="55">
      <formula>ABS(Y$16-Y$19)&gt;=1000</formula>
    </cfRule>
  </conditionalFormatting>
  <conditionalFormatting sqref="Z13:Z20">
    <cfRule type="expression" dxfId="216" priority="54">
      <formula>ABS(Z$16-Z$19)&gt;=1000</formula>
    </cfRule>
  </conditionalFormatting>
  <conditionalFormatting sqref="AA13:AA20">
    <cfRule type="expression" dxfId="215" priority="53">
      <formula>ABS(AA$16-AA$19)&gt;=1000</formula>
    </cfRule>
  </conditionalFormatting>
  <conditionalFormatting sqref="AB13 AB15:AB20">
    <cfRule type="expression" dxfId="214" priority="52">
      <formula>ABS(AB$16-AB$19)&gt;=1000</formula>
    </cfRule>
  </conditionalFormatting>
  <conditionalFormatting sqref="AC13 AC15:AC20">
    <cfRule type="expression" dxfId="213" priority="51">
      <formula>ABS(AC$16-AC$19)&gt;=1000</formula>
    </cfRule>
  </conditionalFormatting>
  <conditionalFormatting sqref="AD13:AD20">
    <cfRule type="expression" dxfId="212" priority="50">
      <formula>ABS(AD$16-AD$19)&gt;=1000</formula>
    </cfRule>
  </conditionalFormatting>
  <conditionalFormatting sqref="AE13:AE20">
    <cfRule type="expression" dxfId="211" priority="49">
      <formula>ABS(AE$16-AE$19)&gt;=1000</formula>
    </cfRule>
  </conditionalFormatting>
  <conditionalFormatting sqref="D22:D29">
    <cfRule type="expression" dxfId="210" priority="48">
      <formula>ABS(D$25-D$28)&gt;=1000</formula>
    </cfRule>
  </conditionalFormatting>
  <conditionalFormatting sqref="E22:E29">
    <cfRule type="expression" dxfId="209" priority="47">
      <formula>ABS(E$25-E$28)&gt;=1000</formula>
    </cfRule>
  </conditionalFormatting>
  <conditionalFormatting sqref="F22:F29">
    <cfRule type="expression" dxfId="208" priority="46">
      <formula>ABS(F$25-F$28)&gt;=1000</formula>
    </cfRule>
  </conditionalFormatting>
  <conditionalFormatting sqref="G22:G29">
    <cfRule type="expression" dxfId="207" priority="45">
      <formula>ABS(G$25-G$28)&gt;=1000</formula>
    </cfRule>
  </conditionalFormatting>
  <conditionalFormatting sqref="H22:H29">
    <cfRule type="expression" dxfId="206" priority="44">
      <formula>ABS(H$25-H$28)&gt;=1000</formula>
    </cfRule>
  </conditionalFormatting>
  <conditionalFormatting sqref="I22 I24:I29">
    <cfRule type="expression" dxfId="205" priority="43">
      <formula>ABS(I$25-I$28)&gt;=1000</formula>
    </cfRule>
  </conditionalFormatting>
  <conditionalFormatting sqref="J22:J29 K22">
    <cfRule type="expression" dxfId="204" priority="42">
      <formula>ABS(J$25-J$28)&gt;=1000</formula>
    </cfRule>
  </conditionalFormatting>
  <conditionalFormatting sqref="K23:K29 L25 L28">
    <cfRule type="expression" dxfId="203" priority="41">
      <formula>ABS(K$25-K$28)&gt;=1000</formula>
    </cfRule>
  </conditionalFormatting>
  <conditionalFormatting sqref="L22 L26:L27 L29 L24">
    <cfRule type="expression" dxfId="202" priority="40">
      <formula>ABS(L$25-L$28)&gt;=1000</formula>
    </cfRule>
  </conditionalFormatting>
  <conditionalFormatting sqref="M22:M29">
    <cfRule type="expression" dxfId="201" priority="39">
      <formula>ABS(M$25-M$28)&gt;=1000</formula>
    </cfRule>
  </conditionalFormatting>
  <conditionalFormatting sqref="N22:N29">
    <cfRule type="expression" dxfId="200" priority="38">
      <formula>ABS(N$25-N$28)&gt;=1000</formula>
    </cfRule>
  </conditionalFormatting>
  <conditionalFormatting sqref="O22 O24:O29">
    <cfRule type="expression" dxfId="199" priority="37">
      <formula>ABS(O$25-O$28)&gt;=1000</formula>
    </cfRule>
  </conditionalFormatting>
  <conditionalFormatting sqref="P22:P29">
    <cfRule type="expression" dxfId="198" priority="36">
      <formula>ABS(P$25-P$28)&gt;=1000</formula>
    </cfRule>
  </conditionalFormatting>
  <conditionalFormatting sqref="Q22:Q29">
    <cfRule type="expression" dxfId="197" priority="35">
      <formula>ABS(Q$25-Q$28)&gt;=1000</formula>
    </cfRule>
  </conditionalFormatting>
  <conditionalFormatting sqref="R22:R29">
    <cfRule type="expression" dxfId="196" priority="34">
      <formula>ABS(R$25-R$28)&gt;=1000</formula>
    </cfRule>
  </conditionalFormatting>
  <conditionalFormatting sqref="S22:S29">
    <cfRule type="expression" dxfId="195" priority="33">
      <formula>ABS(S$25-S$28)&gt;=1000</formula>
    </cfRule>
  </conditionalFormatting>
  <conditionalFormatting sqref="T22:T29">
    <cfRule type="expression" dxfId="194" priority="32">
      <formula>ABS(T$25-T$28)&gt;=1000</formula>
    </cfRule>
  </conditionalFormatting>
  <conditionalFormatting sqref="U22:U29">
    <cfRule type="expression" dxfId="193" priority="31">
      <formula>ABS(U$25-U$28)&gt;=1000</formula>
    </cfRule>
  </conditionalFormatting>
  <conditionalFormatting sqref="V22:V29">
    <cfRule type="expression" dxfId="192" priority="30">
      <formula>ABS(V$25-V$28)&gt;=1000</formula>
    </cfRule>
  </conditionalFormatting>
  <conditionalFormatting sqref="W22:W29">
    <cfRule type="expression" dxfId="191" priority="29">
      <formula>ABS(W$25-W$28)&gt;=1000</formula>
    </cfRule>
  </conditionalFormatting>
  <conditionalFormatting sqref="X22:X29">
    <cfRule type="expression" dxfId="190" priority="28">
      <formula>ABS(X$25-X$28)&gt;=1000</formula>
    </cfRule>
  </conditionalFormatting>
  <conditionalFormatting sqref="Y22:Y29">
    <cfRule type="expression" dxfId="189" priority="27">
      <formula>ABS(Y$25-Y$28)&gt;=1000</formula>
    </cfRule>
  </conditionalFormatting>
  <conditionalFormatting sqref="I23">
    <cfRule type="expression" dxfId="188" priority="26">
      <formula>ABS(I$25-I$28)&gt;=1000</formula>
    </cfRule>
  </conditionalFormatting>
  <conditionalFormatting sqref="Q14">
    <cfRule type="expression" dxfId="187" priority="25">
      <formula>ABS(Q$16-Q$19)&gt;=1000</formula>
    </cfRule>
  </conditionalFormatting>
  <conditionalFormatting sqref="W14">
    <cfRule type="expression" dxfId="186" priority="24">
      <formula>ABS(W$16-W$19)&gt;=1000</formula>
    </cfRule>
  </conditionalFormatting>
  <conditionalFormatting sqref="X14">
    <cfRule type="expression" dxfId="185" priority="23">
      <formula>ABS(X$16-X$19)&gt;=1000</formula>
    </cfRule>
  </conditionalFormatting>
  <conditionalFormatting sqref="T10:Y10">
    <cfRule type="expression" dxfId="184" priority="22">
      <formula>ABS(T$7-T$10)&gt;=1000</formula>
    </cfRule>
  </conditionalFormatting>
  <conditionalFormatting sqref="W19">
    <cfRule type="expression" dxfId="183" priority="21">
      <formula>ABS(W$16-W$19)&gt;=1000</formula>
    </cfRule>
  </conditionalFormatting>
  <conditionalFormatting sqref="AC5">
    <cfRule type="expression" dxfId="182" priority="20">
      <formula>ABS(AC$7-AC$10)&gt;=1000</formula>
    </cfRule>
  </conditionalFormatting>
  <conditionalFormatting sqref="M14">
    <cfRule type="expression" dxfId="181" priority="19">
      <formula>ABS(M$16-M$19)&gt;=1000</formula>
    </cfRule>
  </conditionalFormatting>
  <conditionalFormatting sqref="M16">
    <cfRule type="expression" dxfId="180" priority="18">
      <formula>ABS(M$16-M$19)&gt;=1000</formula>
    </cfRule>
  </conditionalFormatting>
  <conditionalFormatting sqref="M19">
    <cfRule type="expression" dxfId="179" priority="17">
      <formula>ABS(M$16-M$19)&gt;=1000</formula>
    </cfRule>
  </conditionalFormatting>
  <conditionalFormatting sqref="K13:K20">
    <cfRule type="expression" dxfId="178" priority="16">
      <formula>ABS(K$16-K$19)&gt;=1000</formula>
    </cfRule>
  </conditionalFormatting>
  <conditionalFormatting sqref="E5">
    <cfRule type="expression" dxfId="177" priority="15">
      <formula>ABS(E$7-E$10)&gt;=1000</formula>
    </cfRule>
  </conditionalFormatting>
  <conditionalFormatting sqref="AB14:AC14">
    <cfRule type="expression" dxfId="176" priority="14">
      <formula>ABS(AB$16-AB$19)&gt;=1000</formula>
    </cfRule>
  </conditionalFormatting>
  <conditionalFormatting sqref="M5">
    <cfRule type="expression" dxfId="175" priority="13">
      <formula>ABS(M$7-M$10)&gt;=1000</formula>
    </cfRule>
  </conditionalFormatting>
  <conditionalFormatting sqref="N5">
    <cfRule type="expression" dxfId="174" priority="12">
      <formula>ABS(N$7-N$10)&gt;=1000</formula>
    </cfRule>
  </conditionalFormatting>
  <conditionalFormatting sqref="O5">
    <cfRule type="expression" dxfId="173" priority="11">
      <formula>ABS(O$7-O$10)&gt;=1000</formula>
    </cfRule>
  </conditionalFormatting>
  <conditionalFormatting sqref="P5">
    <cfRule type="expression" dxfId="172" priority="10">
      <formula>ABS(P$7-P$10)&gt;=1000</formula>
    </cfRule>
  </conditionalFormatting>
  <conditionalFormatting sqref="L23">
    <cfRule type="expression" dxfId="171" priority="9">
      <formula>ABS(L$25-L$28)&gt;=1000</formula>
    </cfRule>
  </conditionalFormatting>
  <conditionalFormatting sqref="Y14">
    <cfRule type="expression" dxfId="170" priority="8">
      <formula>ABS(Y$16-Y$19)&gt;=1000</formula>
    </cfRule>
  </conditionalFormatting>
  <conditionalFormatting sqref="H14">
    <cfRule type="expression" dxfId="169" priority="7">
      <formula>ABS(H$16-H$19)&gt;=1000</formula>
    </cfRule>
  </conditionalFormatting>
  <conditionalFormatting sqref="AD5">
    <cfRule type="expression" dxfId="168" priority="6">
      <formula>ABS(AD$7-AD$10)&gt;=1000</formula>
    </cfRule>
  </conditionalFormatting>
  <conditionalFormatting sqref="AE5">
    <cfRule type="expression" dxfId="167" priority="5">
      <formula>ABS(AE$7-AE$10)&gt;=1000</formula>
    </cfRule>
  </conditionalFormatting>
  <conditionalFormatting sqref="T16">
    <cfRule type="expression" dxfId="166" priority="4">
      <formula>ABS(T$16-T$19)&gt;=1000</formula>
    </cfRule>
  </conditionalFormatting>
  <conditionalFormatting sqref="F14">
    <cfRule type="expression" dxfId="165" priority="3">
      <formula>ABS(F$16-F$19)&gt;=1000</formula>
    </cfRule>
  </conditionalFormatting>
  <conditionalFormatting sqref="R14">
    <cfRule type="expression" dxfId="164" priority="2">
      <formula>ABS(R$16-R$19)&gt;=1000</formula>
    </cfRule>
  </conditionalFormatting>
  <conditionalFormatting sqref="O23">
    <cfRule type="expression" dxfId="163" priority="1">
      <formula>ABS(O$25-O$28)&gt;=1000</formula>
    </cfRule>
  </conditionalFormatting>
  <dataValidations count="1">
    <dataValidation operator="greaterThanOrEqual" allowBlank="1" showErrorMessage="1" sqref="D6"/>
  </dataValidations>
  <printOptions horizontalCentered="1"/>
  <pageMargins left="0.39370078740157483" right="0.39370078740157483" top="0.39370078740157483" bottom="0.39370078740157483" header="0.51181102362204722" footer="0.51181102362204722"/>
  <pageSetup paperSize="9" scale="60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74721" r:id="rId4" name="Button 1">
              <controlPr defaultSize="0" print="0" autoFill="0" autoPict="0">
                <anchor moveWithCells="1">
                  <from>
                    <xdr:col>31</xdr:col>
                    <xdr:colOff>0</xdr:colOff>
                    <xdr:row>0</xdr:row>
                    <xdr:rowOff>342900</xdr:rowOff>
                  </from>
                  <to>
                    <xdr:col>32</xdr:col>
                    <xdr:colOff>411480</xdr:colOff>
                    <xdr:row>3</xdr:row>
                    <xdr:rowOff>30480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985">
    <pageSetUpPr fitToPage="1"/>
  </sheetPr>
  <dimension ref="A1:CU223"/>
  <sheetViews>
    <sheetView tabSelected="1" view="pageBreakPreview" topLeftCell="A22" zoomScale="85" zoomScaleNormal="100" zoomScaleSheetLayoutView="85" workbookViewId="0">
      <selection activeCell="Z23" sqref="Z23:AE29"/>
    </sheetView>
  </sheetViews>
  <sheetFormatPr defaultColWidth="8.109375" defaultRowHeight="25.8"/>
  <cols>
    <col min="1" max="1" width="11.6640625" style="64" customWidth="1" phonetic="1"/>
    <col min="2" max="2" width="7.6640625" style="64" customWidth="1" phonetic="1"/>
    <col min="3" max="3" width="8" style="64" customWidth="1" phonetic="1"/>
    <col min="4" max="8" width="7.6640625" style="64" customWidth="1" phonetic="1"/>
    <col min="9" max="9" width="8" style="64" customWidth="1" phonetic="1"/>
    <col min="10" max="12" width="7.6640625" style="64" customWidth="1" phonetic="1"/>
    <col min="13" max="13" width="7.77734375" style="64" bestFit="1" customWidth="1" phonetic="1"/>
    <col min="14" max="30" width="7.6640625" style="64" customWidth="1" phonetic="1"/>
    <col min="31" max="31" width="7.6640625" style="75" customWidth="1" phonetic="1"/>
    <col min="32" max="32" width="11.6640625" style="64" bestFit="1" customWidth="1" phonetic="1"/>
    <col min="33" max="33" width="22.109375" style="64" customWidth="1" phonetic="1"/>
    <col min="34" max="34" width="5.6640625" style="64" customWidth="1" phonetic="1"/>
    <col min="35" max="35" width="18.21875" style="64" customWidth="1" phonetic="1"/>
    <col min="36" max="36" width="12" style="64" bestFit="1" customWidth="1" phonetic="1"/>
    <col min="37" max="37" width="11.6640625" style="64" bestFit="1" customWidth="1" phonetic="1"/>
    <col min="38" max="38" width="5.6640625" style="64" customWidth="1" phonetic="1"/>
    <col min="39" max="39" width="11.44140625" style="64" bestFit="1" customWidth="1" phonetic="1"/>
    <col min="40" max="40" width="6.21875" style="64" customWidth="1" phonetic="1"/>
    <col min="41" max="41" width="8.6640625" style="64" customWidth="1" phonetic="1"/>
    <col min="42" max="42" width="11.21875" style="64" customWidth="1" phonetic="1"/>
    <col min="43" max="43" width="11.77734375" style="64" customWidth="1" phonetic="1"/>
    <col min="44" max="44" width="11.21875" style="64" customWidth="1" phonetic="1"/>
    <col min="45" max="45" width="11.21875" style="64" bestFit="1" customWidth="1" phonetic="1"/>
    <col min="46" max="46" width="41.77734375" style="64" customWidth="1" phonetic="1"/>
    <col min="47" max="47" width="7.77734375" style="64" customWidth="1" phonetic="1"/>
    <col min="48" max="48" width="17.109375" style="64" customWidth="1" phonetic="1"/>
    <col min="49" max="49" width="6.21875" style="64" customWidth="1" phonetic="1"/>
    <col min="50" max="50" width="10" style="64" customWidth="1" phonetic="1"/>
    <col min="51" max="51" width="6.21875" style="64" customWidth="1" phonetic="1"/>
    <col min="52" max="52" width="6.88671875" style="64" customWidth="1" phonetic="1"/>
    <col min="53" max="53" width="6.44140625" style="64" customWidth="1" phonetic="1"/>
    <col min="54" max="54" width="15.44140625" style="64" customWidth="1" phonetic="1"/>
    <col min="55" max="55" width="6.21875" style="64" customWidth="1" phonetic="1"/>
    <col min="56" max="56" width="22.109375" style="64" bestFit="1" customWidth="1" phonetic="1"/>
    <col min="57" max="57" width="6.44140625" style="64" customWidth="1" phonetic="1"/>
    <col min="58" max="60" width="6.21875" style="64" customWidth="1" phonetic="1"/>
    <col min="61" max="16384" width="8.109375" style="64" phonetic="1"/>
  </cols>
  <sheetData>
    <row r="1" spans="1:99" ht="31.2" ph="1">
      <c r="A1" s="64"/>
      <c r="B1" s="238" t="s" ph="1">
        <v>161</v>
      </c>
      <c r="C1" s="238" ph="1"/>
      <c r="D1" s="238" ph="1"/>
      <c r="E1" s="238" ph="1"/>
      <c r="F1" s="238" ph="1"/>
      <c r="G1" s="238" ph="1"/>
      <c r="H1" s="238" ph="1"/>
      <c r="I1" s="238" ph="1"/>
      <c r="J1" s="238" ph="1"/>
      <c r="K1" s="238" ph="1"/>
      <c r="L1" s="238" ph="1"/>
      <c r="M1" s="238" ph="1"/>
      <c r="N1" s="238" ph="1"/>
      <c r="O1" s="238" ph="1"/>
      <c r="P1" s="238" ph="1"/>
      <c r="Q1" s="238" ph="1"/>
      <c r="R1" s="238" ph="1"/>
      <c r="S1" s="238" ph="1"/>
      <c r="T1" s="238" ph="1"/>
      <c r="U1" s="238" ph="1"/>
      <c r="V1" s="238" ph="1"/>
      <c r="W1" s="238" ph="1"/>
      <c r="X1" s="238" ph="1"/>
      <c r="Y1" s="238" ph="1"/>
      <c r="Z1" s="238" ph="1"/>
      <c r="AA1" s="238" ph="1"/>
      <c r="AB1" s="238" ph="1"/>
      <c r="AC1" s="238" ph="1"/>
      <c r="AD1" s="238" ph="1"/>
      <c r="AE1" s="238" ph="1"/>
    </row>
    <row r="2" spans="1:99" s="66" customFormat="1" ht="24" customHeight="1" ph="1">
      <c r="B2" s="239" t="s" ph="1">
        <v>82</v>
      </c>
      <c r="C2" s="239" ph="1"/>
      <c r="D2" s="239" ph="1"/>
      <c r="E2" s="239" ph="1"/>
      <c r="F2" s="239" ph="1"/>
      <c r="G2" s="239" ph="1"/>
      <c r="H2" s="239" ph="1"/>
      <c r="I2" s="239" ph="1"/>
      <c r="J2" s="239" ph="1"/>
      <c r="K2" s="239" ph="1"/>
      <c r="L2" s="239" ph="1"/>
      <c r="M2" s="239" ph="1"/>
      <c r="N2" s="239" ph="1"/>
      <c r="O2" s="239" ph="1"/>
      <c r="P2" s="239" ph="1"/>
      <c r="Q2" s="239" ph="1"/>
      <c r="R2" s="239" ph="1"/>
      <c r="S2" s="239" ph="1"/>
      <c r="T2" s="239" ph="1"/>
      <c r="U2" s="239" ph="1"/>
      <c r="V2" s="239" ph="1"/>
      <c r="W2" s="239" ph="1"/>
      <c r="X2" s="239" ph="1"/>
      <c r="Y2" s="239" ph="1"/>
      <c r="Z2" s="239" ph="1"/>
      <c r="AA2" s="239" ph="1"/>
      <c r="AB2" s="239" ph="1"/>
      <c r="AC2" s="239" ph="1"/>
      <c r="AD2" s="239" ph="1"/>
      <c r="AE2" s="239" ph="1"/>
    </row>
    <row r="3" spans="1:99" ht="21" customHeight="1" ph="1">
      <c r="B3" s="240" ph="1">
        <v>46295</v>
      </c>
      <c r="C3" s="240"/>
      <c r="D3" s="240"/>
      <c r="E3" s="240"/>
      <c r="F3" s="240"/>
      <c r="G3" s="240"/>
      <c r="H3" s="240"/>
      <c r="I3" s="240"/>
      <c r="J3" s="240"/>
      <c r="K3" s="240"/>
      <c r="L3" s="240"/>
      <c r="M3" s="240"/>
      <c r="N3" s="240"/>
      <c r="O3" s="240"/>
      <c r="P3" s="240"/>
      <c r="Q3" s="240"/>
      <c r="R3" s="240"/>
      <c r="S3" s="240"/>
      <c r="T3" s="240"/>
      <c r="U3" s="240"/>
      <c r="V3" s="240"/>
      <c r="W3" s="240"/>
      <c r="X3" s="240"/>
      <c r="Y3" s="240"/>
      <c r="Z3" s="240"/>
      <c r="AA3" s="240"/>
      <c r="AB3" s="240"/>
      <c r="AC3" s="240"/>
      <c r="AD3" s="240"/>
      <c r="AE3" s="240"/>
    </row>
    <row r="4" spans="1:99" s="69" customFormat="1" ph="1">
      <c r="A4" s="65" ph="1"/>
      <c r="B4" s="219" t="s" ph="1">
        <v>37</v>
      </c>
      <c r="C4" s="67" t="s" ph="1">
        <v>176</v>
      </c>
      <c r="D4" s="68" t="s" ph="1">
        <v>44</v>
      </c>
      <c r="E4" s="68" t="s" ph="1">
        <v>45</v>
      </c>
      <c r="F4" s="68" t="s" ph="1">
        <v>39</v>
      </c>
      <c r="G4" s="68" t="s" ph="1">
        <v>46</v>
      </c>
      <c r="H4" s="68" t="s" ph="1">
        <v>47</v>
      </c>
      <c r="I4" s="68" t="s" ph="1">
        <v>110</v>
      </c>
      <c r="J4" s="68" t="s" ph="1">
        <v>48</v>
      </c>
      <c r="K4" s="68" t="s" ph="1">
        <v>111</v>
      </c>
      <c r="L4" s="68" t="s" ph="1">
        <v>112</v>
      </c>
      <c r="M4" s="68" t="s" ph="1">
        <v>49</v>
      </c>
      <c r="N4" s="68" t="s" ph="1">
        <v>50</v>
      </c>
      <c r="O4" s="68" t="s" ph="1">
        <v>113</v>
      </c>
      <c r="P4" s="68" t="s" ph="1">
        <v>114</v>
      </c>
      <c r="Q4" s="68" t="s" ph="1">
        <v>115</v>
      </c>
      <c r="R4" s="68" t="s" ph="1">
        <v>116</v>
      </c>
      <c r="S4" s="68" t="s" ph="1">
        <v>117</v>
      </c>
      <c r="T4" s="68" t="s" ph="1">
        <v>118</v>
      </c>
      <c r="U4" s="68" t="s" ph="1">
        <v>119</v>
      </c>
      <c r="V4" s="68" t="s" ph="1">
        <v>120</v>
      </c>
      <c r="W4" s="68" t="s" ph="1">
        <v>121</v>
      </c>
      <c r="X4" s="68" t="s" ph="1">
        <v>122</v>
      </c>
      <c r="Y4" s="68" t="s" ph="1">
        <v>123</v>
      </c>
      <c r="Z4" s="68" t="s" ph="1">
        <v>51</v>
      </c>
      <c r="AA4" s="68" t="s" ph="1">
        <v>124</v>
      </c>
      <c r="AB4" s="68" t="s" ph="1">
        <v>125</v>
      </c>
      <c r="AC4" s="68" t="s" ph="1">
        <v>126</v>
      </c>
      <c r="AD4" s="68" t="s" ph="1">
        <v>40</v>
      </c>
      <c r="AE4" s="68" t="s" ph="1">
        <v>127</v>
      </c>
      <c r="AF4" s="65" ph="1"/>
      <c r="AG4" s="65" ph="1"/>
      <c r="AH4" s="65" ph="1"/>
      <c r="AI4" s="65" ph="1"/>
      <c r="AJ4" s="65" ph="1"/>
      <c r="AK4" s="65" ph="1"/>
      <c r="AL4" s="65" ph="1"/>
      <c r="AM4" s="65" ph="1"/>
      <c r="AN4" s="65" ph="1"/>
      <c r="AO4" s="65" ph="1"/>
      <c r="AP4" s="65" ph="1"/>
      <c r="AQ4" s="65" ph="1"/>
      <c r="AR4" s="65" ph="1"/>
      <c r="AS4" s="65" ph="1"/>
      <c r="AT4" s="65" ph="1"/>
      <c r="AU4" s="65" ph="1"/>
      <c r="AV4" s="65" ph="1"/>
      <c r="AW4" s="65" ph="1"/>
      <c r="AX4" s="65" ph="1"/>
      <c r="AY4" s="65" ph="1"/>
      <c r="AZ4" s="65" ph="1"/>
      <c r="BA4" s="65" ph="1"/>
      <c r="BB4" s="65" ph="1"/>
      <c r="BC4" s="65" ph="1"/>
      <c r="BD4" s="65" ph="1"/>
      <c r="BE4" s="65" ph="1"/>
      <c r="BF4" s="65" ph="1"/>
      <c r="BG4" s="65" ph="1"/>
      <c r="BH4" s="65" ph="1"/>
      <c r="BI4" s="65" ph="1"/>
      <c r="BJ4" s="65" ph="1"/>
      <c r="BK4" s="65" ph="1"/>
      <c r="BL4" s="65" ph="1"/>
      <c r="BM4" s="65" ph="1"/>
      <c r="BN4" s="65" ph="1"/>
      <c r="BO4" s="65" ph="1"/>
      <c r="BP4" s="65" ph="1"/>
      <c r="BQ4" s="65" ph="1"/>
      <c r="BR4" s="65" ph="1"/>
      <c r="BS4" s="65" ph="1"/>
      <c r="BT4" s="65" ph="1"/>
      <c r="BU4" s="65" ph="1"/>
      <c r="BV4" s="65" ph="1"/>
      <c r="BW4" s="65" ph="1"/>
      <c r="BX4" s="65" ph="1"/>
      <c r="BY4" s="65" ph="1"/>
      <c r="BZ4" s="65" ph="1"/>
      <c r="CA4" s="65" ph="1"/>
      <c r="CB4" s="65" ph="1"/>
      <c r="CC4" s="65" ph="1"/>
      <c r="CD4" s="65" ph="1"/>
      <c r="CE4" s="65" ph="1"/>
      <c r="CF4" s="65" ph="1"/>
      <c r="CG4" s="65" ph="1"/>
      <c r="CH4" s="65" ph="1"/>
      <c r="CI4" s="65" ph="1"/>
      <c r="CJ4" s="65" ph="1"/>
      <c r="CK4" s="65" ph="1"/>
      <c r="CL4" s="65" ph="1"/>
      <c r="CM4" s="65" ph="1"/>
      <c r="CN4" s="65" ph="1"/>
      <c r="CO4" s="65" ph="1"/>
      <c r="CP4" s="65" ph="1"/>
      <c r="CQ4" s="65" ph="1"/>
      <c r="CR4" s="65" ph="1"/>
      <c r="CS4" s="65" ph="1"/>
      <c r="CT4" s="65" ph="1"/>
      <c r="CU4" s="65" ph="1"/>
    </row>
    <row r="5" spans="1:99" s="69" customFormat="1" ht="29.25" customHeight="1" ph="1">
      <c r="A5" s="65" ph="1"/>
      <c r="B5" s="219" ph="1"/>
      <c r="C5" s="67" t="s" ph="1">
        <v>36</v>
      </c>
      <c r="D5" s="70" t="s" ph="1">
        <v>160</v>
      </c>
      <c r="E5" s="142" t="s" ph="1">
        <v>642</v>
      </c>
      <c r="F5" s="142" t="s" ph="1">
        <v>1</v>
      </c>
      <c r="G5" s="142" t="s" ph="1">
        <v>7</v>
      </c>
      <c r="H5" s="142" t="s" ph="1">
        <v>7</v>
      </c>
      <c r="I5" s="141" t="s" ph="1">
        <v>608</v>
      </c>
      <c r="J5" s="141" t="s" ph="1">
        <v>609</v>
      </c>
      <c r="K5" s="141" t="s" ph="1">
        <v>611</v>
      </c>
      <c r="L5" s="141" t="s" ph="1">
        <v>613</v>
      </c>
      <c r="M5" s="141" t="s" ph="1">
        <v>608</v>
      </c>
      <c r="N5" s="70" t="s" ph="1">
        <v>609</v>
      </c>
      <c r="O5" s="70" t="s" ph="1">
        <v>611</v>
      </c>
      <c r="P5" s="70" t="s" ph="1">
        <v>613</v>
      </c>
      <c r="Q5" s="70" t="s" ph="1">
        <v>607</v>
      </c>
      <c r="R5" s="70" t="s" ph="1">
        <v>607</v>
      </c>
      <c r="S5" s="70" t="s" ph="1">
        <v>607</v>
      </c>
      <c r="T5" s="70" t="s" ph="1">
        <v>607</v>
      </c>
      <c r="U5" s="70" t="s" ph="1">
        <v>607</v>
      </c>
      <c r="V5" s="70" t="s" ph="1">
        <v>607</v>
      </c>
      <c r="W5" s="70" t="s" ph="1">
        <v>607</v>
      </c>
      <c r="X5" s="70" t="s" ph="1">
        <v>607</v>
      </c>
      <c r="Y5" s="70" t="s" ph="1">
        <v>607</v>
      </c>
      <c r="Z5" s="70" t="s" ph="1">
        <v>614</v>
      </c>
      <c r="AA5" s="70" t="s" ph="1">
        <v>54</v>
      </c>
      <c r="AB5" s="70" t="s" ph="1">
        <v>54</v>
      </c>
      <c r="AC5" s="70" t="s" ph="1">
        <v>615</v>
      </c>
      <c r="AD5" s="71" t="s">
        <v>72</v>
      </c>
      <c r="AE5" s="71" t="s">
        <v>635</v>
      </c>
      <c r="AF5" s="65" ph="1"/>
      <c r="AG5" s="65" ph="1"/>
      <c r="AH5" s="65" ph="1"/>
      <c r="AI5" s="65" ph="1"/>
      <c r="AJ5" s="65" ph="1"/>
      <c r="AK5" s="65" ph="1"/>
      <c r="AL5" s="65" ph="1"/>
      <c r="AM5" s="65" ph="1"/>
      <c r="AN5" s="65" ph="1"/>
      <c r="AO5" s="65" ph="1"/>
      <c r="AP5" s="65" ph="1"/>
      <c r="AQ5" s="65" ph="1"/>
      <c r="AR5" s="65" ph="1"/>
      <c r="AS5" s="65" ph="1"/>
      <c r="AT5" s="65" ph="1"/>
      <c r="AU5" s="65" ph="1"/>
      <c r="AV5" s="65" ph="1"/>
      <c r="AW5" s="65" ph="1"/>
      <c r="AX5" s="65" ph="1"/>
      <c r="AY5" s="65" ph="1"/>
      <c r="AZ5" s="65" ph="1"/>
      <c r="BA5" s="65" ph="1"/>
      <c r="BB5" s="65" ph="1"/>
      <c r="BC5" s="65" ph="1"/>
      <c r="BD5" s="65" ph="1"/>
      <c r="BE5" s="65" ph="1"/>
      <c r="BF5" s="65" ph="1"/>
      <c r="BG5" s="65" ph="1"/>
      <c r="BH5" s="65" ph="1"/>
      <c r="BI5" s="65" ph="1"/>
      <c r="BJ5" s="65" ph="1"/>
      <c r="BK5" s="65" ph="1"/>
      <c r="BL5" s="65" ph="1"/>
      <c r="BM5" s="65" ph="1"/>
      <c r="BN5" s="65" ph="1"/>
      <c r="BO5" s="65" ph="1"/>
      <c r="BP5" s="65" ph="1"/>
      <c r="BQ5" s="65" ph="1"/>
      <c r="BR5" s="65" ph="1"/>
      <c r="BS5" s="65" ph="1"/>
      <c r="BT5" s="65" ph="1"/>
      <c r="BU5" s="65" ph="1"/>
      <c r="BV5" s="65" ph="1"/>
      <c r="BW5" s="65" ph="1"/>
      <c r="BX5" s="65" ph="1"/>
      <c r="BY5" s="65" ph="1"/>
      <c r="BZ5" s="65" ph="1"/>
      <c r="CA5" s="65" ph="1"/>
      <c r="CB5" s="65" ph="1"/>
      <c r="CC5" s="65" ph="1"/>
      <c r="CD5" s="65" ph="1"/>
      <c r="CE5" s="65" ph="1"/>
      <c r="CF5" s="65" ph="1"/>
      <c r="CG5" s="65" ph="1"/>
      <c r="CH5" s="65" ph="1"/>
      <c r="CI5" s="65" ph="1"/>
      <c r="CJ5" s="65" ph="1"/>
      <c r="CK5" s="65" ph="1"/>
      <c r="CL5" s="65" ph="1"/>
      <c r="CM5" s="65" ph="1"/>
      <c r="CN5" s="65" ph="1"/>
      <c r="CO5" s="65" ph="1"/>
      <c r="CP5" s="65" ph="1"/>
      <c r="CQ5" s="65" ph="1"/>
      <c r="CR5" s="65" ph="1"/>
      <c r="CS5" s="65" ph="1"/>
      <c r="CT5" s="65" ph="1"/>
      <c r="CU5" s="65" ph="1"/>
    </row>
    <row r="6" spans="1:99" ph="1">
      <c r="B6" s="237" ph="1">
        <v>0.33333333333333331</v>
      </c>
      <c r="C6" s="159" t="s" ph="1">
        <v>177</v>
      </c>
      <c r="D6" s="71">
        <v>3704</v>
      </c>
      <c r="E6" s="71">
        <v>3448</v>
      </c>
      <c r="F6" s="71">
        <v>3187</v>
      </c>
      <c r="G6" s="71">
        <v>3543</v>
      </c>
      <c r="H6" s="71">
        <v>0</v>
      </c>
      <c r="I6" s="71">
        <v>4.5</v>
      </c>
      <c r="J6" s="71">
        <v>6.64</v>
      </c>
      <c r="K6" s="71">
        <v>63.81</v>
      </c>
      <c r="L6" s="71">
        <v>7.23</v>
      </c>
      <c r="M6" s="71">
        <v>3235</v>
      </c>
      <c r="N6" s="71">
        <v>798</v>
      </c>
      <c r="O6" s="71">
        <v>5306</v>
      </c>
      <c r="P6" s="71">
        <v>7962</v>
      </c>
      <c r="Q6" s="71">
        <v>7152</v>
      </c>
      <c r="R6" s="71">
        <v>7296</v>
      </c>
      <c r="S6" s="71">
        <v>5494</v>
      </c>
      <c r="T6" s="71">
        <v>7140</v>
      </c>
      <c r="U6" s="71">
        <v>7119</v>
      </c>
      <c r="V6" s="71">
        <v>6183</v>
      </c>
      <c r="W6" s="71">
        <v>0</v>
      </c>
      <c r="X6" s="71">
        <v>2983</v>
      </c>
      <c r="Y6" s="71">
        <v>0</v>
      </c>
      <c r="Z6" s="71">
        <v>4308</v>
      </c>
      <c r="AA6" s="71">
        <v>1122</v>
      </c>
      <c r="AB6" s="71">
        <v>494</v>
      </c>
      <c r="AC6" s="71">
        <v>8623</v>
      </c>
      <c r="AD6" s="71">
        <v>4726</v>
      </c>
      <c r="AE6" s="71">
        <v>5170</v>
      </c>
    </row>
    <row r="7" spans="1:99" s="72" customFormat="1" ht="22.2" ph="1">
      <c r="B7" s="237" ph="1"/>
      <c r="C7" s="68" t="s" ph="1">
        <v>178</v>
      </c>
      <c r="D7" s="73" ph="1">
        <f>D6*33.183*LOOKUP(D8,密度!$A$2:$A$50,密度!$Q$2:$Q$50)</f>
        <v>115527.86749008</v>
      </c>
      <c r="E7" s="73" ph="1">
        <f>E6*51.53*LOOKUP(E8,密度!$A$2:$A$50,密度!$B$2:$B$50)</f>
        <v>138213.72477600002</v>
      </c>
      <c r="F7" s="73" ph="1">
        <f>F6*33.183*LOOKUP(F8,密度!$A$2:$A$50,密度!$C$2:$C$50)</f>
        <v>117112.22433539999</v>
      </c>
      <c r="G7" s="73" ph="1">
        <f xml:space="preserve"> (G6+2)*51.53*LOOKUP(G8,密度!$A$2:$A$50,密度!$B$2:$B$50)</f>
        <v>142101.98791500001</v>
      </c>
      <c r="H7" s="73" ph="1">
        <f>(H6)*51.53*LOOKUP(H8,密度!$A$2:$A$50,密度!$B$2:$B$50)</f>
        <v>0</v>
      </c>
      <c r="I7" s="73" ph="1">
        <f>I6*290.8*1.0267</f>
        <v>1343.53962</v>
      </c>
      <c r="J7" s="73" ph="1">
        <f>J6*290.8*0.7892</f>
        <v>1523.8757504</v>
      </c>
      <c r="K7" s="73" ph="1">
        <f>K6*290.8*1.1126</f>
        <v>20645.347744800001</v>
      </c>
      <c r="L7" s="73" ph="1">
        <f>L6*290.8*0.777</f>
        <v>1633.6300680000004</v>
      </c>
      <c r="M7" s="73" ph="1">
        <f>M6*33.183*LOOKUP(M8,密度!$A$2:$A$50,密度!$D$2:$D$50)</f>
        <v>109805.2514145</v>
      </c>
      <c r="N7" s="73" ph="1">
        <f>N6*33.183*LOOKUP(N8,密度!$A$2:$A$50,密度!$E$2:$E$50)</f>
        <v>20680.906554000001</v>
      </c>
      <c r="O7" s="73" ph="1">
        <f>O6*20.428*LOOKUP(O8,密度!$A$2:$A$50,密度!$C$2:$C$50)</f>
        <v>119555.23770400001</v>
      </c>
      <c r="P7" s="73" ph="1">
        <f>P6*51.53*LOOKUP(P8,密度!$A$2:$A$50,密度!$B$2:$B$50)</f>
        <v>319158.25889400003</v>
      </c>
      <c r="Q7" s="73" ph="1">
        <f>Q6*1.5*1.5*3.1416*LOOKUP(W8,密度!$A$2:$A$50,密度!$L$2:$L$50)</f>
        <v>47319.131059200008</v>
      </c>
      <c r="R7" s="73" ph="1">
        <f>R6*1.5*1.5*3.1416*LOOKUP(R8,密度!$A$2:$A$50,密度!$L$2:$L$50)</f>
        <v>47807.712691200002</v>
      </c>
      <c r="S7" s="73" ph="1">
        <f>S6*1.5*1.5*3.1416*LOOKUP(S8,密度!$A$2:$A$50,密度!$L$2:$L$50)</f>
        <v>36349.455542399999</v>
      </c>
      <c r="T7" s="73" ph="1">
        <f>T6*1.5*1.5*3.1416*LOOKUP(T8,密度!$A$2:$A$50,密度!$L$2:$L$50)</f>
        <v>47340.676151999993</v>
      </c>
      <c r="U7" s="73" ph="1">
        <f>U6*1.5*1.5*3.1416*LOOKUP(U8,密度!$A$2:$A$50,密度!$L$2:$L$50)</f>
        <v>47050.474779000004</v>
      </c>
      <c r="V7" s="73" ph="1">
        <f>V6*1.5*1.5*3.1416*LOOKUP(V8,密度!$A$2:$A$50,密度!$L$2:$L$50)</f>
        <v>40864.318803000002</v>
      </c>
      <c r="W7" s="73" ph="1">
        <f>W6*1.5*1.5*3.1416*LOOKUP(W8,密度!$A$2:$A$50,密度!$L$2:$L$50)</f>
        <v>0</v>
      </c>
      <c r="X7" s="73" ph="1">
        <f>X6*1.5*1.5*3.1416*LOOKUP(X8,密度!$A$2:$A$50,密度!$L$2:$L$50)</f>
        <v>19904.8383072</v>
      </c>
      <c r="Y7" s="73" ph="1">
        <f>Y6*1.5*1.5*3.1416*LOOKUP(Y8,密度!$A$2:$A$50,密度!$L$2:$L$50)</f>
        <v>0</v>
      </c>
      <c r="Z7" s="73" ph="1">
        <f>Z6*33.183*LOOKUP(Z8,密度!$A$2:$A$50,密度!$L$2:$L$50)</f>
        <v>134089.31743199998</v>
      </c>
      <c r="AA7" s="73" ph="1">
        <f>AA6*33.183*LOOKUP(AA8,密度!$A$2:$A$50,密度!$D$2:$D$50)</f>
        <v>38154.662884799996</v>
      </c>
      <c r="AB7" s="73" ph="1">
        <f>AB6*20.428*LOOKUP(AB8,密度!$A$2:$A$50,密度!$D$2:$D$50)</f>
        <v>10399.220676000001</v>
      </c>
      <c r="AC7" s="73" ph="1">
        <f>AC6*51.53*LOOKUP(AC8,密度!$A$2:$A$50,密度!$Q$2:$Q$50)</f>
        <v>420046.50437080004</v>
      </c>
      <c r="AD7" s="73" ph="1">
        <f>AD6*20.428*LOOKUP(AD8,密度!$A$2:$A$50,密度!$V$2:$V$50)</f>
        <v>92449.316332800008</v>
      </c>
      <c r="AE7" s="73" ph="1">
        <f>AE6*20.428</f>
        <v>105612.76000000001</v>
      </c>
    </row>
    <row r="8" spans="1:99" ph="1">
      <c r="B8" s="237" ph="1"/>
      <c r="C8" s="68" t="s" ph="1">
        <v>179</v>
      </c>
      <c r="D8" s="74">
        <v>35</v>
      </c>
      <c r="E8" s="74">
        <v>27</v>
      </c>
      <c r="F8" s="74">
        <v>27</v>
      </c>
      <c r="G8" s="74">
        <v>27</v>
      </c>
      <c r="H8" s="74">
        <v>25</v>
      </c>
      <c r="I8" s="74">
        <v>25</v>
      </c>
      <c r="J8" s="74">
        <v>25</v>
      </c>
      <c r="K8" s="74">
        <v>25</v>
      </c>
      <c r="L8" s="74">
        <v>25</v>
      </c>
      <c r="M8" s="74">
        <v>29</v>
      </c>
      <c r="N8" s="74">
        <v>27</v>
      </c>
      <c r="O8" s="74">
        <v>32</v>
      </c>
      <c r="P8" s="74">
        <v>27</v>
      </c>
      <c r="Q8" s="74">
        <v>32</v>
      </c>
      <c r="R8" s="74">
        <v>35</v>
      </c>
      <c r="S8" s="74">
        <v>26</v>
      </c>
      <c r="T8" s="74">
        <v>24</v>
      </c>
      <c r="U8" s="74">
        <v>27</v>
      </c>
      <c r="V8" s="74">
        <v>27</v>
      </c>
      <c r="W8" s="74">
        <v>26</v>
      </c>
      <c r="X8" s="74">
        <v>18</v>
      </c>
      <c r="Y8" s="74">
        <v>27</v>
      </c>
      <c r="Z8" s="74">
        <v>24</v>
      </c>
      <c r="AA8" s="74">
        <v>27</v>
      </c>
      <c r="AB8" s="74">
        <v>21</v>
      </c>
      <c r="AC8" s="74">
        <v>27</v>
      </c>
      <c r="AD8" s="74">
        <v>27</v>
      </c>
      <c r="AE8" s="74">
        <v>28</v>
      </c>
    </row>
    <row r="9" spans="1:99" ht="26.4" ph="1">
      <c r="B9" s="237" ph="1">
        <v>0.66666666666666663</v>
      </c>
      <c r="C9" s="159" t="s" ph="1">
        <v>180</v>
      </c>
      <c r="D9" s="71">
        <v>4051</v>
      </c>
      <c r="E9" s="71">
        <v>3444</v>
      </c>
      <c r="F9" s="71">
        <v>3187</v>
      </c>
      <c r="G9" s="71">
        <v>3541</v>
      </c>
      <c r="H9" s="71">
        <v>896</v>
      </c>
      <c r="I9" s="71">
        <v>4.51</v>
      </c>
      <c r="J9" s="71">
        <v>6.71</v>
      </c>
      <c r="K9" s="71">
        <v>64.23</v>
      </c>
      <c r="L9" s="71">
        <v>44.69</v>
      </c>
      <c r="M9" s="71">
        <v>2918</v>
      </c>
      <c r="N9" s="71">
        <v>800</v>
      </c>
      <c r="O9" s="71">
        <v>5307</v>
      </c>
      <c r="P9" s="71">
        <v>7847</v>
      </c>
      <c r="Q9" s="71">
        <v>7152</v>
      </c>
      <c r="R9" s="71">
        <v>7303</v>
      </c>
      <c r="S9" s="71">
        <v>5501</v>
      </c>
      <c r="T9" s="71">
        <v>7148</v>
      </c>
      <c r="U9" s="71">
        <v>7127</v>
      </c>
      <c r="V9" s="71">
        <v>6194</v>
      </c>
      <c r="W9" s="71">
        <v>2390</v>
      </c>
      <c r="X9" s="71">
        <v>6138</v>
      </c>
      <c r="Y9" s="71">
        <v>1889</v>
      </c>
      <c r="Z9" s="71">
        <v>1251</v>
      </c>
      <c r="AA9" s="71">
        <v>1122</v>
      </c>
      <c r="AB9" s="71">
        <v>421</v>
      </c>
      <c r="AC9" s="71">
        <v>8543</v>
      </c>
      <c r="AD9" s="71">
        <v>4730</v>
      </c>
      <c r="AE9" s="71">
        <v>5168</v>
      </c>
    </row>
    <row r="10" spans="1:99" s="72" customFormat="1" ht="22.2" ph="1">
      <c r="B10" s="237" ph="1"/>
      <c r="C10" s="159" t="s" ph="1">
        <v>178</v>
      </c>
      <c r="D10" s="73" ph="1">
        <f>D9*33.183*LOOKUP(D11,密度!$A$2:$A$50,密度!$Q$2:$Q$50)</f>
        <v>126264.77598690001</v>
      </c>
      <c r="E10" s="73" ph="1">
        <f>E9*51.53*LOOKUP(E11,密度!$A$2:$A$50,密度!$B$2:$B$50)</f>
        <v>137591.963796</v>
      </c>
      <c r="F10" s="73" ph="1">
        <f>F9*33.183*LOOKUP(F11,密度!$A$2:$A$50,密度!$C$2:$C$50)</f>
        <v>117027.6209586</v>
      </c>
      <c r="G10" s="73" ph="1">
        <f xml:space="preserve"> (G9+2)*51.53*LOOKUP(G11,密度!$A$2:$A$50,密度!$B$2:$B$50)</f>
        <v>141547.13348700001</v>
      </c>
      <c r="H10" s="73" ph="1">
        <f>(H9)*51.53*LOOKUP(H11,密度!$A$2:$A$50,密度!$B$2:$B$50)</f>
        <v>35676.238976000008</v>
      </c>
      <c r="I10" s="73" ph="1">
        <f>I9*290.8*1.0267</f>
        <v>1346.5252636</v>
      </c>
      <c r="J10" s="73" ph="1">
        <f>J9*290.8*0.7892</f>
        <v>1539.9407056</v>
      </c>
      <c r="K10" s="73" ph="1">
        <f>K9*290.8*1.1126</f>
        <v>20781.236258400004</v>
      </c>
      <c r="L10" s="73" ph="1">
        <f>L9*290.8*0.777</f>
        <v>10097.777004</v>
      </c>
      <c r="M10" s="73" ph="1">
        <f>M9*33.183*LOOKUP(M11,密度!$A$2:$A$50,密度!$D$2:$D$50)</f>
        <v>98706.45708360002</v>
      </c>
      <c r="N10" s="73" ph="1">
        <f>N9*33.183*LOOKUP(N11,密度!$A$2:$A$50,密度!$E$2:$E$50)</f>
        <v>20521.959984000001</v>
      </c>
      <c r="O10" s="73" ph="1">
        <f>O9*20.428*LOOKUP(O11,密度!$A$2:$A$50,密度!$C$2:$C$50)</f>
        <v>119122.4419248</v>
      </c>
      <c r="P10" s="73" ph="1">
        <f>P9*51.53*LOOKUP(P11,密度!$A$2:$A$50,密度!$B$2:$B$50)</f>
        <v>311354.05070000002</v>
      </c>
      <c r="Q10" s="73" ph="1">
        <f>Q9*1.5*1.5*3.1416*LOOKUP(W11,密度!$A$2:$A$50,密度!$L$2:$L$50)</f>
        <v>47218.021804800002</v>
      </c>
      <c r="R10" s="73" ph="1">
        <f>R9*1.5*1.5*3.1416*LOOKUP(R11,密度!$A$2:$A$50,密度!$L$2:$L$50)</f>
        <v>47801.958850800002</v>
      </c>
      <c r="S10" s="73" ph="1">
        <f>S9*1.5*1.5*3.1416*LOOKUP(S11,密度!$A$2:$A$50,密度!$L$2:$L$50)</f>
        <v>36318.000272400001</v>
      </c>
      <c r="T10" s="73" ph="1">
        <f>T9*1.5*1.5*3.1416*LOOKUP(T11,密度!$A$2:$A$50,密度!$L$2:$L$50)</f>
        <v>47292.666220800005</v>
      </c>
      <c r="U10" s="73" ph="1">
        <f>U9*1.5*1.5*3.1416*LOOKUP(U11,密度!$A$2:$A$50,密度!$L$2:$L$50)</f>
        <v>47103.347907000003</v>
      </c>
      <c r="V10" s="73" ph="1">
        <f>V9*1.5*1.5*3.1416*LOOKUP(V11,密度!$A$2:$A$50,密度!$L$2:$L$50)</f>
        <v>40893.2364456</v>
      </c>
      <c r="W10" s="73" ph="1">
        <f>W9*1.5*1.5*3.1416*LOOKUP(W11,密度!$A$2:$A$50,密度!$L$2:$L$50)</f>
        <v>15778.953035999999</v>
      </c>
      <c r="X10" s="73" ph="1">
        <f>X9*1.5*1.5*3.1416*LOOKUP(X11,密度!$A$2:$A$50,密度!$L$2:$L$50)</f>
        <v>40870.616925599999</v>
      </c>
      <c r="Y10" s="73" ph="1">
        <f>Y9*1.5*1.5*3.1416*LOOKUP(Y11,密度!$A$2:$A$50,密度!$L$2:$L$50)</f>
        <v>12484.667349000001</v>
      </c>
      <c r="Z10" s="73" ph="1">
        <f>Z9*33.183*LOOKUP(Z11,密度!$A$2:$A$50,密度!$L$2:$L$50)</f>
        <v>38855.169287999997</v>
      </c>
      <c r="AA10" s="73" ph="1">
        <f>AA9*33.183*LOOKUP(AA11,密度!$A$2:$A$50,密度!$D$2:$D$50)</f>
        <v>37920.105531000001</v>
      </c>
      <c r="AB10" s="73" ph="1">
        <f>AB9*20.428*LOOKUP(AB11,密度!$A$2:$A$50,密度!$D$2:$D$50)</f>
        <v>8789.3921360000004</v>
      </c>
      <c r="AC10" s="73" ph="1">
        <f>AC9*51.53*LOOKUP(AC11,密度!$A$2:$A$50,密度!$Q$2:$Q$50)</f>
        <v>414943.31223820004</v>
      </c>
      <c r="AD10" s="73" ph="1">
        <f>AD9*20.428*LOOKUP(AD11,密度!$A$2:$A$50,密度!$V$2:$V$50)</f>
        <v>92527.563743999999</v>
      </c>
      <c r="AE10" s="73" ph="1">
        <f>AE9*20.428</f>
        <v>105571.90400000001</v>
      </c>
    </row>
    <row r="11" spans="1:99" ph="1">
      <c r="A11" s="64" t="s" ph="1">
        <v>162</v>
      </c>
      <c r="B11" s="237" ph="1"/>
      <c r="C11" s="159" t="s" ph="1">
        <v>179</v>
      </c>
      <c r="D11" s="74">
        <v>36</v>
      </c>
      <c r="E11" s="74">
        <v>30</v>
      </c>
      <c r="F11" s="74">
        <v>28</v>
      </c>
      <c r="G11" s="74">
        <v>30</v>
      </c>
      <c r="H11" s="74">
        <v>33</v>
      </c>
      <c r="I11" s="74">
        <v>25</v>
      </c>
      <c r="J11" s="74">
        <v>25</v>
      </c>
      <c r="K11" s="74">
        <v>25</v>
      </c>
      <c r="L11" s="74">
        <v>25</v>
      </c>
      <c r="M11" s="74">
        <v>33</v>
      </c>
      <c r="N11" s="74">
        <v>34</v>
      </c>
      <c r="O11" s="74">
        <v>36</v>
      </c>
      <c r="P11" s="74">
        <v>36</v>
      </c>
      <c r="Q11" s="74">
        <v>35</v>
      </c>
      <c r="R11" s="74">
        <v>36</v>
      </c>
      <c r="S11" s="74">
        <v>28</v>
      </c>
      <c r="T11" s="74">
        <v>26</v>
      </c>
      <c r="U11" s="74">
        <v>27</v>
      </c>
      <c r="V11" s="74">
        <v>28</v>
      </c>
      <c r="W11" s="74">
        <v>28</v>
      </c>
      <c r="X11" s="74">
        <v>20</v>
      </c>
      <c r="Y11" s="74">
        <v>27</v>
      </c>
      <c r="Z11" s="74">
        <v>26</v>
      </c>
      <c r="AA11" s="74">
        <v>34</v>
      </c>
      <c r="AB11" s="74">
        <v>30</v>
      </c>
      <c r="AC11" s="74">
        <v>31</v>
      </c>
      <c r="AD11" s="74">
        <v>30</v>
      </c>
      <c r="AE11" s="74">
        <v>31</v>
      </c>
    </row>
    <row r="12" spans="1:99" ht="9.9" customHeight="1" ph="1"/>
    <row r="13" spans="1:99" s="72" customFormat="1" ht="29.25" customHeight="1" ph="1">
      <c r="B13" s="214" t="s" ph="1">
        <v>37</v>
      </c>
      <c r="C13" s="159" t="s" ph="1">
        <v>176</v>
      </c>
      <c r="D13" s="76" t="s" ph="1">
        <v>52</v>
      </c>
      <c r="E13" s="76" t="s" ph="1">
        <v>53</v>
      </c>
      <c r="F13" s="76" t="s" ph="1">
        <v>57</v>
      </c>
      <c r="G13" s="76" t="s" ph="1">
        <v>58</v>
      </c>
      <c r="H13" s="76" t="s" ph="1">
        <v>128</v>
      </c>
      <c r="I13" s="76" t="s" ph="1">
        <v>59</v>
      </c>
      <c r="J13" s="76" t="s" ph="1">
        <v>129</v>
      </c>
      <c r="K13" s="76" t="s" ph="1">
        <v>55</v>
      </c>
      <c r="L13" s="76" t="s" ph="1">
        <v>60</v>
      </c>
      <c r="M13" s="76" t="s" ph="1">
        <v>61</v>
      </c>
      <c r="N13" s="76" t="s" ph="1">
        <v>130</v>
      </c>
      <c r="O13" s="76" t="s" ph="1">
        <v>56</v>
      </c>
      <c r="P13" s="76" t="s" ph="1">
        <v>62</v>
      </c>
      <c r="Q13" s="76" t="s" ph="1">
        <v>63</v>
      </c>
      <c r="R13" s="76" t="s" ph="1">
        <v>64</v>
      </c>
      <c r="S13" s="76" t="s" ph="1">
        <v>65</v>
      </c>
      <c r="T13" s="76" t="s" ph="1">
        <v>66</v>
      </c>
      <c r="U13" s="76" t="s" ph="1">
        <v>67</v>
      </c>
      <c r="V13" s="76" t="s" ph="1">
        <v>131</v>
      </c>
      <c r="W13" s="76" t="s" ph="1">
        <v>132</v>
      </c>
      <c r="X13" s="76" t="s" ph="1">
        <v>133</v>
      </c>
      <c r="Y13" s="105" t="s" ph="1">
        <v>68</v>
      </c>
      <c r="Z13" s="76" t="s" ph="1">
        <v>74</v>
      </c>
      <c r="AA13" s="76" t="s" ph="1">
        <v>134</v>
      </c>
      <c r="AB13" s="76" t="s" ph="1">
        <v>135</v>
      </c>
      <c r="AC13" s="76" t="s" ph="1">
        <v>136</v>
      </c>
      <c r="AD13" s="76" t="s" ph="1">
        <v>137</v>
      </c>
      <c r="AE13" s="76" t="s" ph="1">
        <v>138</v>
      </c>
      <c r="AG13" s="72" t="s" ph="1">
        <v>325</v>
      </c>
      <c r="AH13" s="72" t="s" ph="1">
        <v>188</v>
      </c>
      <c r="AI13" s="72" t="s" ph="1">
        <v>189</v>
      </c>
      <c r="AJ13" s="72" t="s" ph="1">
        <v>190</v>
      </c>
      <c r="AK13" s="72" t="s" ph="1">
        <v>191</v>
      </c>
      <c r="AL13" s="72" t="s" ph="1">
        <v>192</v>
      </c>
      <c r="AM13" s="72" t="s" ph="1">
        <v>193</v>
      </c>
      <c r="AN13" s="72" t="s" ph="1">
        <v>194</v>
      </c>
      <c r="AO13" s="72" t="s" ph="1">
        <v>195</v>
      </c>
      <c r="AP13" s="72" t="s" ph="1">
        <v>196</v>
      </c>
      <c r="AQ13" s="72" t="s" ph="1">
        <v>197</v>
      </c>
      <c r="AR13" s="72" t="s" ph="1">
        <v>198</v>
      </c>
      <c r="AS13" s="72" t="s" ph="1">
        <v>199</v>
      </c>
      <c r="AT13" s="72" t="s" ph="1">
        <v>200</v>
      </c>
      <c r="AU13" s="72" t="s" ph="1">
        <v>201</v>
      </c>
      <c r="AV13" s="72" t="s" ph="1">
        <v>202</v>
      </c>
      <c r="AW13" s="72" t="s" ph="1">
        <v>203</v>
      </c>
      <c r="AX13" s="72" t="s" ph="1">
        <v>204</v>
      </c>
      <c r="AY13" s="72" t="s" ph="1">
        <v>326</v>
      </c>
      <c r="AZ13" s="72" t="s" ph="1">
        <v>205</v>
      </c>
      <c r="BA13" s="72" t="s" ph="1">
        <v>206</v>
      </c>
      <c r="BB13" s="72" t="s" ph="1">
        <v>591</v>
      </c>
      <c r="BC13" s="72" t="s" ph="1">
        <v>207</v>
      </c>
      <c r="BD13" s="72" t="s" ph="1">
        <v>327</v>
      </c>
      <c r="BE13" s="72" t="s" ph="1">
        <v>328</v>
      </c>
      <c r="BF13" s="72" t="s" ph="1">
        <v>329</v>
      </c>
      <c r="BG13" s="72" t="s" ph="1">
        <v>330</v>
      </c>
      <c r="BH13" s="72" t="s" ph="1">
        <v>331</v>
      </c>
    </row>
    <row r="14" spans="1:99" s="72" customFormat="1" ht="24" ph="1">
      <c r="B14" s="215" ph="1"/>
      <c r="C14" s="67" t="s" ph="1">
        <v>36</v>
      </c>
      <c r="D14" s="77" t="s" ph="1">
        <v>616</v>
      </c>
      <c r="E14" s="77" t="s" ph="1">
        <v>616</v>
      </c>
      <c r="F14" s="77" t="s" ph="1">
        <v>639</v>
      </c>
      <c r="G14" s="77" t="s" ph="1">
        <v>617</v>
      </c>
      <c r="H14" s="77" t="s" ph="1">
        <v>636</v>
      </c>
      <c r="I14" s="138" t="s" ph="1">
        <v>618</v>
      </c>
      <c r="J14" s="77" t="s" ph="1">
        <v>619</v>
      </c>
      <c r="K14" s="77" t="s" ph="1">
        <v>186</v>
      </c>
      <c r="L14" s="77" t="s" ph="1">
        <v>41</v>
      </c>
      <c r="M14" s="104" t="s" ph="1">
        <v>620</v>
      </c>
      <c r="N14" s="104" t="s" ph="1">
        <v>621</v>
      </c>
      <c r="O14" s="104" t="s" ph="1">
        <v>637</v>
      </c>
      <c r="P14" s="77" t="s" ph="1">
        <v>622</v>
      </c>
      <c r="Q14" s="77" t="s" ph="1">
        <v>622</v>
      </c>
      <c r="R14" s="77" t="s" ph="1">
        <v>622</v>
      </c>
      <c r="S14" s="77" t="s" ph="1">
        <v>622</v>
      </c>
      <c r="T14" s="77" t="s" ph="1">
        <v>624</v>
      </c>
      <c r="U14" s="77" t="s" ph="1">
        <v>605</v>
      </c>
      <c r="V14" s="77" t="s" ph="1">
        <v>633</v>
      </c>
      <c r="W14" s="77" t="s" ph="1">
        <v>622</v>
      </c>
      <c r="X14" s="77" t="s" ph="1">
        <v>625</v>
      </c>
      <c r="Y14" s="143" t="s" ph="1">
        <v>0</v>
      </c>
      <c r="Z14" s="77" t="s" ph="1">
        <v>54</v>
      </c>
      <c r="AA14" s="77" t="s" ph="1">
        <v>613</v>
      </c>
      <c r="AB14" s="77" t="s" ph="1">
        <v>632</v>
      </c>
      <c r="AC14" s="77" t="s" ph="1">
        <v>632</v>
      </c>
      <c r="AD14" s="77" t="s" ph="1">
        <v>612</v>
      </c>
      <c r="AE14" s="77" t="s" ph="1">
        <v>612</v>
      </c>
      <c r="AG14" s="72" t="s" ph="1">
        <v>208</v>
      </c>
      <c r="AI14" s="72" t="s" ph="1">
        <v>209</v>
      </c>
      <c r="AJ14" s="72" t="s" ph="1">
        <v>332</v>
      </c>
      <c r="AK14" s="72" t="s" ph="1">
        <v>210</v>
      </c>
      <c r="AM14" s="72" t="s" ph="1">
        <v>212</v>
      </c>
      <c r="AN14" s="72" t="s" ph="1">
        <v>210</v>
      </c>
      <c r="AO14" s="72" t="s" ph="1">
        <v>211</v>
      </c>
      <c r="AP14" s="72" t="s" ph="1">
        <v>212</v>
      </c>
      <c r="AQ14" s="72" t="s" ph="1">
        <v>210</v>
      </c>
      <c r="AR14" s="72" t="s" ph="1">
        <v>211</v>
      </c>
      <c r="AS14" s="72" t="s" ph="1">
        <v>212</v>
      </c>
      <c r="AT14" s="72" t="s" ph="1">
        <v>210</v>
      </c>
      <c r="AU14" s="72" t="s" ph="1">
        <v>211</v>
      </c>
      <c r="AV14" s="72" t="s" ph="1">
        <v>212</v>
      </c>
      <c r="AW14" s="72" t="s" ph="1">
        <v>210</v>
      </c>
      <c r="AX14" s="72" t="s" ph="1">
        <v>211</v>
      </c>
      <c r="AY14" s="72" t="s" ph="1">
        <v>212</v>
      </c>
      <c r="AZ14" s="72" t="s" ph="1">
        <v>211</v>
      </c>
    </row>
    <row r="15" spans="1:99" ph="1">
      <c r="B15" s="216" ph="1">
        <v>0.33333333333333331</v>
      </c>
      <c r="C15" s="159" t="s" ph="1">
        <v>177</v>
      </c>
      <c r="D15" s="78">
        <v>1971</v>
      </c>
      <c r="E15" s="78">
        <v>5125</v>
      </c>
      <c r="F15" s="78">
        <v>782</v>
      </c>
      <c r="G15" s="78">
        <v>3504</v>
      </c>
      <c r="H15" s="78">
        <v>3457</v>
      </c>
      <c r="I15" s="78">
        <v>5188</v>
      </c>
      <c r="J15" s="78">
        <v>295</v>
      </c>
      <c r="K15" s="78">
        <v>671</v>
      </c>
      <c r="L15" s="78">
        <v>4342</v>
      </c>
      <c r="M15" s="78">
        <v>6936</v>
      </c>
      <c r="N15" s="78">
        <v>1867</v>
      </c>
      <c r="O15" s="78">
        <v>1612</v>
      </c>
      <c r="P15" s="78">
        <v>2164</v>
      </c>
      <c r="Q15" s="78">
        <v>0</v>
      </c>
      <c r="R15" s="78">
        <v>0</v>
      </c>
      <c r="S15" s="78">
        <v>0</v>
      </c>
      <c r="T15" s="78">
        <v>1679</v>
      </c>
      <c r="U15" s="78">
        <v>5494</v>
      </c>
      <c r="V15" s="78">
        <v>-817</v>
      </c>
      <c r="W15" s="71">
        <v>-817</v>
      </c>
      <c r="X15" s="78">
        <v>818</v>
      </c>
      <c r="Y15" s="106">
        <v>-2367</v>
      </c>
      <c r="Z15" s="78">
        <v>0</v>
      </c>
      <c r="AA15" s="78">
        <v>2451</v>
      </c>
      <c r="AB15" s="78" ph="1">
        <v>0</v>
      </c>
      <c r="AC15" s="78" ph="1">
        <v>0</v>
      </c>
      <c r="AD15" s="78">
        <v>0</v>
      </c>
      <c r="AE15" s="78">
        <v>49.7</v>
      </c>
      <c r="AG15" s="64" t="s" ph="1">
        <v>214</v>
      </c>
      <c r="AH15" s="64" ph="1">
        <v>1</v>
      </c>
      <c r="AI15" s="64" t="s" ph="1">
        <v>333</v>
      </c>
      <c r="AK15" s="64" t="s" ph="1">
        <v>587</v>
      </c>
      <c r="AM15" s="64" t="s" ph="1">
        <v>335</v>
      </c>
      <c r="AZ15" s="64" t="s" ph="1">
        <v>216</v>
      </c>
      <c r="BA15" s="64" ph="1">
        <v>0</v>
      </c>
    </row>
    <row r="16" spans="1:99" s="72" customFormat="1" ht="22.2" ph="1">
      <c r="B16" s="217" ph="1"/>
      <c r="C16" s="159" t="s" ph="1">
        <v>178</v>
      </c>
      <c r="D16" s="73" ph="1">
        <f>D15*7.0686*LOOKUP(D17,密度!$A$2:$A$50,密度!$L$2:$L$50)</f>
        <v>13026.616911000001</v>
      </c>
      <c r="E16" s="73" ph="1">
        <f>E15*7.0686*LOOKUP(E17,密度!$A$2:$A$50,密度!$L$2:$L$50)</f>
        <v>33871.847625000002</v>
      </c>
      <c r="F16" s="73" ph="1">
        <f>F15*9.0746*LOOKUP(F17,密度!$A$2:$A$50,密度!$L$2:$L$50)</f>
        <v>6620.8826076000005</v>
      </c>
      <c r="G16" s="73" ph="1">
        <f>G15*9.0746*LOOKUP(G17,密度!$A$2:$A$50,密度!$B$2:$B$50)</f>
        <v>24735.196215360003</v>
      </c>
      <c r="H16" s="73" ph="1">
        <f>H15*9.0746*LOOKUP(H17,密度!$A$2:$A$50,密度!$L$2:$L$50)</f>
        <v>29363.155099200005</v>
      </c>
      <c r="I16" s="73" ph="1">
        <f>I15*9.0746*LOOKUP(I17,密度!$A$2:$A$50,密度!$U$2:$U$50)</f>
        <v>48161.842370399994</v>
      </c>
      <c r="J16" s="73" ph="1">
        <f>J15*9.0746*LOOKUP(J17,密度!$A$2:$A$50,密度!$L$2:$L$50)</f>
        <v>2503.0015450000001</v>
      </c>
      <c r="K16" s="73" ph="1">
        <f>K15*9.0746*LOOKUP(K17,密度!$A$2:$A$50,密度!$C$2:$C$50)</f>
        <v>6747.2836184600001</v>
      </c>
      <c r="L16" s="73" ph="1">
        <f>L15*9.0746*LOOKUP(L17,密度!$A$2:$A$50,密度!$E$2:$E$50)</f>
        <v>30682.269808839999</v>
      </c>
      <c r="M16" s="73" ph="1">
        <f>M15*9.0746*LOOKUP(M17,密度!$A$2:$A$50,密度!$M$2:$M$50)</f>
        <v>54752.746129440005</v>
      </c>
      <c r="N16" s="73" ph="1">
        <f>N15*9.0746*LOOKUP(N17,密度!$A$2:$A$50,密度!$M$2:$M$50)</f>
        <v>14809.245374620001</v>
      </c>
      <c r="O16" s="73" ph="1">
        <f>O15*9.0746*LOOKUP(O17,密度!$A$2:$A$50,密度!$G$2:$G$50)</f>
        <v>13983.149145679999</v>
      </c>
      <c r="P16" s="73" ph="1">
        <f ca="1">P15*9.0746*LOOKUP(P17,密度!$A$2:$A$51,密度!$Q$2:$Q$50)</f>
        <v>18536.363453192003</v>
      </c>
      <c r="Q16" s="73" ph="1">
        <f>Q15*9.0746*LOOKUP(Q17,密度!$A$2:$A$50,密度!$Q$2:$Q$50)</f>
        <v>0</v>
      </c>
      <c r="R16" s="73" ph="1">
        <f>MAX(R15*9.0746*LOOKUP(R17,密度!$A$2:$A$50,密度!$Q$2:$Q$50),0)</f>
        <v>0</v>
      </c>
      <c r="S16" s="73" ph="1">
        <f>S15*9.0746*LOOKUP(S17,密度!$A$2:$A$50,密度!$Q$2:$Q$50)</f>
        <v>0</v>
      </c>
      <c r="T16" s="73" ph="1">
        <f>T15*9.0746*LOOKUP(T17,密度!$A$2:$A$50,密度!$O$2:$O$50)</f>
        <v>14108.770648400001</v>
      </c>
      <c r="U16" s="73" ph="1">
        <f>U15*9.0746*LOOKUP(U17,密度!$A$2:$A$50,密度!$H$2:$H$50)</f>
        <v>45563.263508360003</v>
      </c>
      <c r="V16" s="73" ph="1">
        <f>MAX(5600*LOOKUP(V17,密度!$A$2:$A$50,密度!$Q$2:$Q$50)+V15*9.0476*LOOKUP(V17,密度!$A$2:$A$50,密度!$Q$2:$Q$50),0)</f>
        <v>0</v>
      </c>
      <c r="W16" s="73" ph="1">
        <f>MAX(5600*LOOKUP(W17,密度!$A$2:$A$50,密度!$Q$2:$Q$50)+W15*9.0476*LOOKUP(W17,密度!$A$2:$A$50,密度!$Q$2:$Q$50),0)</f>
        <v>0</v>
      </c>
      <c r="X16" s="73" ph="1">
        <f>MAX(5600*LOOKUP(X17,密度!$A$2:$A$50,密度!$I$2:$I$50)+X15*9.0476*LOOKUP(X17,密度!$A$2:$A$50,密度!$I$2:$I$50),0)</f>
        <v>13492.372211040001</v>
      </c>
      <c r="Y16" s="107" ph="1">
        <v>0</v>
      </c>
      <c r="Z16" s="73" ph="1">
        <f>Z15*9.0746*LOOKUP(Z17,密度!$A$2:$A$50,密度!$D$2:$D$50)</f>
        <v>0</v>
      </c>
      <c r="AA16" s="73" ph="1">
        <f>AA15*9.0746*LOOKUP(AA17,密度!$A$2:$A$50,密度!$B$2:$B$50)</f>
        <v>17319.724390019997</v>
      </c>
      <c r="AB16" s="73" ph="1">
        <f>AB15*9.0746*LOOKUP(AB17,密度!$A$2:$A$50,密度!$L$2:$L$50)</f>
        <v>0</v>
      </c>
      <c r="AC16" s="73" ph="1">
        <f>AC15*9.0746*LOOKUP(AC17,密度!$A$2:$A$50,密度!$L$2:$L$50)</f>
        <v>0</v>
      </c>
      <c r="AD16" s="73" ph="1">
        <f>AD15*268.68*LOOKUP(AD17,密度!$A$2:$A$50,密度!B2:B50)+IF(AD15&lt;=0,0,1566*LOOKUP(AD17,密度!$A$2:$A$50,密度!B2:B50))</f>
        <v>0</v>
      </c>
      <c r="AE16" s="73" ph="1">
        <f>AE15*268.68*LOOKUP(AE17,密度!$A$2:$A$50,密度!B2:B50)+IF(AE15&lt;=0,0,1566*LOOKUP(AE17,密度!$A$2:$A$50,密度!B2:B50))</f>
        <v>11631.1611216</v>
      </c>
      <c r="AH16" s="72" ph="1">
        <v>2</v>
      </c>
      <c r="AI16" s="72" t="s" ph="1">
        <v>337</v>
      </c>
      <c r="AZ16" s="72" t="s" ph="1">
        <v>216</v>
      </c>
      <c r="BA16" s="72" ph="1">
        <v>0</v>
      </c>
    </row>
    <row r="17" spans="1:57" ph="1">
      <c r="A17" s="64" t="s" ph="1">
        <v>73</v>
      </c>
      <c r="B17" s="218" ph="1"/>
      <c r="C17" s="79" t="s" ph="1">
        <v>179</v>
      </c>
      <c r="D17" s="74">
        <v>27</v>
      </c>
      <c r="E17" s="74">
        <v>27</v>
      </c>
      <c r="F17" s="74">
        <v>29</v>
      </c>
      <c r="G17" s="74">
        <v>27</v>
      </c>
      <c r="H17" s="74">
        <v>26</v>
      </c>
      <c r="I17" s="74">
        <v>27</v>
      </c>
      <c r="J17" s="74">
        <v>27</v>
      </c>
      <c r="K17" s="74">
        <v>26</v>
      </c>
      <c r="L17" s="74">
        <v>29</v>
      </c>
      <c r="M17" s="74">
        <v>30</v>
      </c>
      <c r="N17" s="74">
        <v>26</v>
      </c>
      <c r="O17" s="74">
        <v>29</v>
      </c>
      <c r="P17" s="74">
        <v>29</v>
      </c>
      <c r="Q17" s="74">
        <v>27</v>
      </c>
      <c r="R17" s="74">
        <v>28</v>
      </c>
      <c r="S17" s="74">
        <v>27</v>
      </c>
      <c r="T17" s="74">
        <v>28</v>
      </c>
      <c r="U17" s="74">
        <v>26</v>
      </c>
      <c r="V17" s="74">
        <v>27</v>
      </c>
      <c r="W17" s="74">
        <v>30</v>
      </c>
      <c r="X17" s="74">
        <v>29</v>
      </c>
      <c r="Y17" s="108">
        <v>29</v>
      </c>
      <c r="Z17" s="74">
        <v>27</v>
      </c>
      <c r="AA17" s="74">
        <v>26</v>
      </c>
      <c r="AB17" s="74">
        <v>27</v>
      </c>
      <c r="AC17" s="74">
        <v>25</v>
      </c>
      <c r="AD17" s="74">
        <v>25</v>
      </c>
      <c r="AE17" s="74">
        <v>25</v>
      </c>
      <c r="AH17" s="64" ph="1">
        <v>3</v>
      </c>
      <c r="AI17" s="64" t="s" ph="1">
        <v>338</v>
      </c>
      <c r="AK17" s="64" t="s" ph="1">
        <v>570</v>
      </c>
      <c r="AL17" s="64" ph="1">
        <v>80</v>
      </c>
      <c r="AM17" s="64" t="s" ph="1">
        <v>335</v>
      </c>
      <c r="AZ17" s="64" t="s" ph="1">
        <v>216</v>
      </c>
      <c r="BA17" s="64" ph="1">
        <v>80</v>
      </c>
      <c r="BD17" s="64" t="s" ph="1">
        <v>214</v>
      </c>
      <c r="BE17" s="64" ph="1">
        <v>2270</v>
      </c>
    </row>
    <row r="18" spans="1:57" ht="26.4" ph="1">
      <c r="B18" s="216" ph="1">
        <v>0.66666666666666663</v>
      </c>
      <c r="C18" s="79" t="s" ph="1">
        <v>180</v>
      </c>
      <c r="D18" s="71">
        <v>3271</v>
      </c>
      <c r="E18" s="71">
        <v>2909</v>
      </c>
      <c r="F18" s="71">
        <v>854</v>
      </c>
      <c r="G18" s="71">
        <v>3662</v>
      </c>
      <c r="H18" s="71">
        <v>3458</v>
      </c>
      <c r="I18" s="71">
        <v>5192</v>
      </c>
      <c r="J18" s="71">
        <v>313</v>
      </c>
      <c r="K18" s="71">
        <v>670</v>
      </c>
      <c r="L18" s="71">
        <v>4353</v>
      </c>
      <c r="M18" s="71">
        <v>4004</v>
      </c>
      <c r="N18" s="71">
        <v>3313</v>
      </c>
      <c r="O18" s="71">
        <v>1845</v>
      </c>
      <c r="P18" s="71">
        <v>456</v>
      </c>
      <c r="Q18" s="71">
        <v>0</v>
      </c>
      <c r="R18" s="71">
        <v>0</v>
      </c>
      <c r="S18" s="71">
        <v>0</v>
      </c>
      <c r="T18" s="71">
        <v>1213</v>
      </c>
      <c r="U18" s="71">
        <v>5492</v>
      </c>
      <c r="V18" s="71">
        <v>-817</v>
      </c>
      <c r="W18" s="71">
        <v>-817</v>
      </c>
      <c r="X18" s="71">
        <v>816</v>
      </c>
      <c r="Y18" s="109">
        <v>-9908</v>
      </c>
      <c r="Z18" s="71">
        <v>0</v>
      </c>
      <c r="AA18" s="71">
        <v>2452</v>
      </c>
      <c r="AB18" s="71">
        <v>0</v>
      </c>
      <c r="AC18" s="71">
        <v>0</v>
      </c>
      <c r="AD18" s="71">
        <v>4.08</v>
      </c>
      <c r="AE18" s="71">
        <v>84.47</v>
      </c>
      <c r="AH18" s="64" ph="1">
        <v>4</v>
      </c>
      <c r="AI18" s="64" t="s" ph="1">
        <v>340</v>
      </c>
      <c r="AJ18" s="64" t="s" ph="1">
        <v>588</v>
      </c>
      <c r="AK18" s="64" t="s" ph="1">
        <v>587</v>
      </c>
      <c r="AL18" s="64" ph="1">
        <v>740</v>
      </c>
      <c r="AM18" s="64" t="s" ph="1">
        <v>339</v>
      </c>
      <c r="AZ18" s="64" t="s" ph="1">
        <v>216</v>
      </c>
      <c r="BA18" s="64" ph="1">
        <v>740</v>
      </c>
    </row>
    <row r="19" spans="1:57" s="72" customFormat="1" ht="22.2" ph="1">
      <c r="B19" s="217" ph="1"/>
      <c r="C19" s="159" t="s" ph="1">
        <v>178</v>
      </c>
      <c r="D19" s="73" ph="1">
        <f>D18*7.0686*LOOKUP(D20,密度!$A$2:$A$50,密度!$L$2:$L$50)</f>
        <v>21248.557961399998</v>
      </c>
      <c r="E19" s="73" ph="1">
        <f>E18*7.0686*LOOKUP(E20,密度!$A$2:$A$50,密度!$L$2:$L$50)</f>
        <v>18896.990250600003</v>
      </c>
      <c r="F19" s="73" ph="1">
        <f>F18*9.0746*LOOKUP(F20,密度!$A$2:$A$50,密度!$L$2:$L$50)</f>
        <v>7176.2299784000006</v>
      </c>
      <c r="G19" s="73" ph="1">
        <f>G18*9.0746*LOOKUP(G20,密度!$A$2:$A$50,密度!$B$2:$B$50)</f>
        <v>25794.045952240001</v>
      </c>
      <c r="H19" s="73" ph="1">
        <f>H18*9.0746*LOOKUP(H20,密度!$A$2:$A$50,密度!$L$2:$L$50)</f>
        <v>29371.648924800003</v>
      </c>
      <c r="I19" s="73" ph="1">
        <f>I18*9.0746*LOOKUP(I20,密度!$A$2:$A$50,密度!$U$2:$U$50)</f>
        <v>47869.168371200001</v>
      </c>
      <c r="J19" s="73" ph="1">
        <f>J18*9.0746*LOOKUP(J20,密度!$A$2:$A$50,密度!$L$2:$L$50)</f>
        <v>2635.8446144</v>
      </c>
      <c r="K19" s="73" ph="1">
        <f>K18*9.0746*LOOKUP(K20,密度!$A$2:$A$50,密度!$C$2:$C$50)</f>
        <v>6718.9881082000002</v>
      </c>
      <c r="L19" s="73" ph="1">
        <f>L18*9.0746*LOOKUP(L20,密度!$A$2:$A$50,密度!$E$2:$E$50)</f>
        <v>30716.54820288</v>
      </c>
      <c r="M19" s="73" ph="1">
        <f>M18*9.0746*LOOKUP(M20,密度!$A$2:$A$50,密度!$M$2:$M$50)</f>
        <v>31455.675098848002</v>
      </c>
      <c r="N19" s="73" ph="1">
        <f>N18*9.0746*LOOKUP(N20,密度!$A$2:$A$50,密度!$M$2:$M$50)</f>
        <v>26185.874475799999</v>
      </c>
      <c r="O19" s="73" ph="1">
        <f>O18*9.0746*LOOKUP(O20,密度!$A$2:$A$50,密度!$G$2:$G$50)</f>
        <v>15984.195543899999</v>
      </c>
      <c r="P19" s="73" ph="1">
        <f ca="1">P18*9.0746*LOOKUP(P20,密度!$A$2:$A$51,密度!$Q$2:$Q$50)</f>
        <v>3876.5776480320001</v>
      </c>
      <c r="Q19" s="73" ph="1">
        <f>Q18*9.0746*LOOKUP(Q20,密度!$A$2:$A$50,密度!$Q$2:$Q$50)</f>
        <v>0</v>
      </c>
      <c r="R19" s="73" ph="1">
        <f>MAX(R18*9.0746*LOOKUP(R20,密度!$A$2:$A$50,密度!$Q$2:$Q$50),0)</f>
        <v>0</v>
      </c>
      <c r="S19" s="73" ph="1">
        <f>S18*9.0746*LOOKUP(S20,密度!$A$2:$A$50,密度!$Q$2:$Q$50)</f>
        <v>0</v>
      </c>
      <c r="T19" s="73" ph="1">
        <f>T18*9.0746*LOOKUP(T20,密度!$A$2:$A$50,密度!$O$2:$O$50)</f>
        <v>10148.905595599999</v>
      </c>
      <c r="U19" s="73" ph="1">
        <f>U18*9.0746*LOOKUP(U20,密度!$A$2:$A$50,密度!$H$2:$H$50)</f>
        <v>45352.309912000004</v>
      </c>
      <c r="V19" s="73" ph="1">
        <f>MAX(5600*LOOKUP(V20,密度!$A$2:$A$50,密度!$Q$2:$Q$50)+V18*9.0476*LOOKUP(V20,密度!$A$2:$A$50,密度!$Q$2:$Q$50),0)</f>
        <v>0</v>
      </c>
      <c r="W19" s="73" ph="1">
        <f>MAX(5600*LOOKUP(W20,密度!$A$2:$A$50,密度!$Q$2:$Q$50)+W18*9.0476*LOOKUP(W20,密度!$A$2:$A$50,密度!$Q$2:$Q$50),0)</f>
        <v>0</v>
      </c>
      <c r="X19" s="73" ph="1">
        <f>MAX(5600*LOOKUP(X20,密度!$A$2:$A$50,密度!$I$2:$I$50)+X18*9.0476*LOOKUP(X20,密度!$A$2:$A$50,密度!$I$2:$I$50),0)</f>
        <v>13430.749635199998</v>
      </c>
      <c r="Y19" s="73" ph="1">
        <f>MAX(5600*LOOKUP(Y20,密度!$A$2:$A$50,密度!$I$2:$I$50)+Y18*9.0476*LOOKUP(Y20,密度!$A$2:$A$50,密度!$I$2:$I$50),0)</f>
        <v>0</v>
      </c>
      <c r="Z19" s="73" ph="1">
        <f>Z18*9.0746*LOOKUP(Z20,密度!$A$2:$A$50,密度!$D$2:$D$50)</f>
        <v>0</v>
      </c>
      <c r="AA19" s="73" ph="1">
        <f>AA18*9.0746*LOOKUP(AA20,密度!$A$2:$A$50,密度!$B$2:$B$50)</f>
        <v>17271.16348304</v>
      </c>
      <c r="AB19" s="73" ph="1">
        <f>AB18*9.0746*LOOKUP(AB20,密度!$A$2:$A$50,密度!$L$2:$L$50)</f>
        <v>0</v>
      </c>
      <c r="AC19" s="73" ph="1">
        <f>AC18*9.0746*LOOKUP(AC20,密度!$A$2:$A$50,密度!$L$2:$L$50)</f>
        <v>0</v>
      </c>
      <c r="AD19" s="73" ph="1">
        <f>AD18*268.68*LOOKUP(AD20,密度!$A$2:$A$50,密度!B5:B53)+IF(AD18&lt;=0,0,1566*LOOKUP(AD20,密度!$A$2:$A$50,密度!B5:B53))</f>
        <v>2068.5405888</v>
      </c>
      <c r="AE19" s="73" ph="1">
        <f>AE18*268.68*LOOKUP(AE20,密度!$A$2:$A$50,密度!B5:B53)+IF(AE18&lt;=0,0,1566*LOOKUP(AE20,密度!$A$2:$A$50,密度!B5:B53))</f>
        <v>18851.1074892</v>
      </c>
      <c r="AH19" s="72" ph="1">
        <v>5</v>
      </c>
      <c r="AI19" s="72" t="s" ph="1">
        <v>341</v>
      </c>
      <c r="AZ19" s="72" t="s" ph="1">
        <v>216</v>
      </c>
      <c r="BA19" s="72" ph="1">
        <v>0</v>
      </c>
      <c r="BD19" s="72" t="s" ph="1">
        <v>342</v>
      </c>
      <c r="BE19" s="72" ph="1">
        <v>1440</v>
      </c>
    </row>
    <row r="20" spans="1:57" ph="1">
      <c r="A20" s="72" ph="1"/>
      <c r="B20" s="217" ph="1"/>
      <c r="C20" s="80" t="s" ph="1">
        <v>179</v>
      </c>
      <c r="D20" s="81">
        <v>43</v>
      </c>
      <c r="E20" s="81">
        <v>43</v>
      </c>
      <c r="F20" s="81">
        <v>36</v>
      </c>
      <c r="G20" s="81">
        <v>29</v>
      </c>
      <c r="H20" s="81">
        <v>26</v>
      </c>
      <c r="I20" s="81">
        <v>34</v>
      </c>
      <c r="J20" s="81">
        <v>34</v>
      </c>
      <c r="K20" s="81">
        <v>30</v>
      </c>
      <c r="L20" s="81">
        <v>30</v>
      </c>
      <c r="M20" s="81">
        <v>34</v>
      </c>
      <c r="N20" s="81">
        <v>29</v>
      </c>
      <c r="O20" s="81">
        <v>30</v>
      </c>
      <c r="P20" s="81">
        <v>45</v>
      </c>
      <c r="Q20" s="81">
        <v>43</v>
      </c>
      <c r="R20" s="81">
        <v>46</v>
      </c>
      <c r="S20" s="81">
        <v>40</v>
      </c>
      <c r="T20" s="81">
        <v>47</v>
      </c>
      <c r="U20" s="81">
        <v>30</v>
      </c>
      <c r="V20" s="81">
        <v>34</v>
      </c>
      <c r="W20" s="81">
        <v>34</v>
      </c>
      <c r="X20" s="81">
        <v>32</v>
      </c>
      <c r="Y20" s="110">
        <v>32</v>
      </c>
      <c r="Z20" s="81">
        <v>45</v>
      </c>
      <c r="AA20" s="81">
        <v>29</v>
      </c>
      <c r="AB20" s="81">
        <v>41</v>
      </c>
      <c r="AC20" s="81">
        <v>39</v>
      </c>
      <c r="AD20" s="81">
        <v>25</v>
      </c>
      <c r="AE20" s="81">
        <v>25</v>
      </c>
      <c r="AF20" s="64" t="s" ph="1">
        <v>35</v>
      </c>
      <c r="AH20" s="64" ph="1">
        <v>6</v>
      </c>
      <c r="AI20" s="64" t="s" ph="1">
        <v>343</v>
      </c>
      <c r="AZ20" s="64" t="s" ph="1">
        <v>216</v>
      </c>
      <c r="BA20" s="64" ph="1">
        <v>0</v>
      </c>
    </row>
    <row r="21" spans="1:57" ph="1">
      <c r="A21" s="72" ph="1"/>
      <c r="B21" s="82" ph="1"/>
      <c r="C21" s="83" ph="1"/>
      <c r="D21" s="84"/>
      <c r="E21" s="84"/>
      <c r="F21" s="84"/>
      <c r="G21" s="84"/>
      <c r="H21" s="84"/>
      <c r="I21" s="84"/>
      <c r="J21" s="84"/>
      <c r="K21" s="84"/>
      <c r="L21" s="84"/>
      <c r="M21" s="84"/>
      <c r="N21" s="84"/>
      <c r="O21" s="84"/>
      <c r="P21" s="84"/>
      <c r="Q21" s="84"/>
      <c r="R21" s="84"/>
      <c r="S21" s="84"/>
      <c r="T21" s="84"/>
      <c r="U21" s="84"/>
      <c r="V21" s="84"/>
      <c r="W21" s="84"/>
      <c r="X21" s="84"/>
      <c r="Y21" s="84"/>
      <c r="Z21" s="84"/>
      <c r="AA21" s="84"/>
      <c r="AB21" s="84"/>
      <c r="AC21" s="84"/>
      <c r="AD21" s="84"/>
      <c r="AE21" s="84"/>
      <c r="AH21" s="64" ph="1">
        <v>7</v>
      </c>
      <c r="AI21" s="64" t="s" ph="1">
        <v>344</v>
      </c>
      <c r="AZ21" s="64" t="s" ph="1">
        <v>216</v>
      </c>
      <c r="BA21" s="64" ph="1">
        <v>0</v>
      </c>
      <c r="BD21" s="64" t="s" ph="1">
        <v>232</v>
      </c>
      <c r="BE21" s="64" ph="1">
        <v>730</v>
      </c>
    </row>
    <row r="22" spans="1:57" ph="1">
      <c r="A22" s="72" ph="1"/>
      <c r="B22" s="215" t="s" ph="1">
        <v>37</v>
      </c>
      <c r="C22" s="85" t="s" ph="1">
        <v>176</v>
      </c>
      <c r="D22" s="86" t="s" ph="1">
        <v>86</v>
      </c>
      <c r="E22" s="86" t="s" ph="1">
        <v>87</v>
      </c>
      <c r="F22" s="86" t="s" ph="1">
        <v>88</v>
      </c>
      <c r="G22" s="86" t="s" ph="1">
        <v>89</v>
      </c>
      <c r="H22" s="86" t="s" ph="1">
        <v>90</v>
      </c>
      <c r="I22" s="86" t="s" ph="1">
        <v>91</v>
      </c>
      <c r="J22" s="86" t="s" ph="1">
        <v>92</v>
      </c>
      <c r="K22" s="86" t="s" ph="1">
        <v>93</v>
      </c>
      <c r="L22" s="86" t="s" ph="1">
        <v>94</v>
      </c>
      <c r="M22" s="86" t="s" ph="1">
        <v>95</v>
      </c>
      <c r="N22" s="86" t="s" ph="1">
        <v>96</v>
      </c>
      <c r="O22" s="86" t="s" ph="1">
        <v>97</v>
      </c>
      <c r="P22" s="86" t="s" ph="1">
        <v>98</v>
      </c>
      <c r="Q22" s="87" t="s" ph="1">
        <v>99</v>
      </c>
      <c r="R22" s="86" t="s" ph="1">
        <v>100</v>
      </c>
      <c r="S22" s="86" t="s" ph="1">
        <v>101</v>
      </c>
      <c r="T22" s="86" t="s" ph="1">
        <v>102</v>
      </c>
      <c r="U22" s="86" t="s" ph="1">
        <v>103</v>
      </c>
      <c r="V22" s="86" t="s" ph="1">
        <v>104</v>
      </c>
      <c r="W22" s="86" t="s" ph="1">
        <v>105</v>
      </c>
      <c r="X22" s="86" t="s" ph="1">
        <v>106</v>
      </c>
      <c r="Y22" s="86" t="s" ph="1">
        <v>108</v>
      </c>
      <c r="Z22" s="225" t="s" ph="1">
        <v>69</v>
      </c>
      <c r="AA22" s="226"/>
      <c r="AB22" s="226"/>
      <c r="AC22" s="226"/>
      <c r="AD22" s="226"/>
      <c r="AE22" s="227"/>
      <c r="AH22" s="64" ph="1">
        <v>8</v>
      </c>
      <c r="AI22" s="64" t="s" ph="1">
        <v>345</v>
      </c>
      <c r="AZ22" s="64" t="s" ph="1">
        <v>216</v>
      </c>
      <c r="BA22" s="64" ph="1">
        <v>0</v>
      </c>
    </row>
    <row r="23" spans="1:57" ph="1">
      <c r="A23" s="72" ph="1"/>
      <c r="B23" s="219" ph="1"/>
      <c r="C23" s="67" t="s" ph="1">
        <v>36</v>
      </c>
      <c r="D23" s="88" t="s" ph="1">
        <v>109</v>
      </c>
      <c r="E23" s="88" t="s" ph="1">
        <v>107</v>
      </c>
      <c r="F23" s="88" t="s" ph="1">
        <v>109</v>
      </c>
      <c r="G23" s="88" t="s" ph="1">
        <v>626</v>
      </c>
      <c r="H23" s="88" t="s" ph="1">
        <v>626</v>
      </c>
      <c r="I23" s="88" t="s" ph="1">
        <v>627</v>
      </c>
      <c r="J23" s="88" t="s" ph="1">
        <v>628</v>
      </c>
      <c r="K23" s="88" t="s" ph="1">
        <v>628</v>
      </c>
      <c r="L23" s="88" t="s" ph="1">
        <v>628</v>
      </c>
      <c r="M23" s="88" t="s" ph="1">
        <v>623</v>
      </c>
      <c r="N23" s="88" t="s" ph="1">
        <v>623</v>
      </c>
      <c r="O23" s="88" t="s" ph="1">
        <v>645</v>
      </c>
      <c r="P23" s="88" t="s" ph="1">
        <v>629</v>
      </c>
      <c r="Q23" s="89" t="s" ph="1">
        <v>643</v>
      </c>
      <c r="R23" s="88" t="s" ph="1">
        <v>610</v>
      </c>
      <c r="S23" s="88" t="s" ph="1">
        <v>629</v>
      </c>
      <c r="T23" s="88" t="s" ph="1">
        <v>604</v>
      </c>
      <c r="U23" s="104" t="s" ph="1">
        <v>606</v>
      </c>
      <c r="V23" s="88" t="s" ph="1">
        <v>629</v>
      </c>
      <c r="W23" s="88" t="s" ph="1">
        <v>629</v>
      </c>
      <c r="X23" s="88" t="s" ph="1">
        <v>187</v>
      </c>
      <c r="Y23" s="88" t="s" ph="1">
        <v>630</v>
      </c>
      <c r="Z23" s="228" t="s" ph="1">
        <v>641</v>
      </c>
      <c r="AA23" s="229"/>
      <c r="AB23" s="229"/>
      <c r="AC23" s="229"/>
      <c r="AD23" s="229"/>
      <c r="AE23" s="230"/>
      <c r="AH23" s="64" ph="1">
        <v>9</v>
      </c>
      <c r="AI23" s="64" t="s" ph="1">
        <v>346</v>
      </c>
      <c r="AZ23" s="64" t="s" ph="1">
        <v>216</v>
      </c>
      <c r="BA23" s="64" ph="1">
        <v>0</v>
      </c>
      <c r="BD23" s="64" t="s" ph="1">
        <v>238</v>
      </c>
      <c r="BE23" s="64" ph="1">
        <v>890</v>
      </c>
    </row>
    <row r="24" spans="1:57" ph="1">
      <c r="A24" s="72" ph="1"/>
      <c r="B24" s="237" ph="1">
        <v>0.33333333333333331</v>
      </c>
      <c r="C24" s="159" t="s" ph="1">
        <v>177</v>
      </c>
      <c r="D24" s="71">
        <v>3.68</v>
      </c>
      <c r="E24" s="71">
        <v>68.319999999999993</v>
      </c>
      <c r="F24" s="71">
        <v>3543</v>
      </c>
      <c r="G24" s="71">
        <v>3883</v>
      </c>
      <c r="H24" s="71">
        <v>2231</v>
      </c>
      <c r="I24" s="71">
        <v>2058</v>
      </c>
      <c r="J24" s="71">
        <v>318</v>
      </c>
      <c r="K24" s="71">
        <v>328</v>
      </c>
      <c r="L24" s="71">
        <v>301</v>
      </c>
      <c r="M24" s="71">
        <v>2767</v>
      </c>
      <c r="N24" s="71">
        <v>324</v>
      </c>
      <c r="O24" s="71">
        <v>5392</v>
      </c>
      <c r="P24" s="71">
        <v>2041</v>
      </c>
      <c r="Q24" s="90">
        <v>1842</v>
      </c>
      <c r="R24" s="71">
        <v>6229</v>
      </c>
      <c r="S24" s="71">
        <v>3438</v>
      </c>
      <c r="T24" s="71">
        <v>615</v>
      </c>
      <c r="U24" s="71">
        <v>6282</v>
      </c>
      <c r="V24" s="71">
        <v>736</v>
      </c>
      <c r="W24" s="71">
        <v>431</v>
      </c>
      <c r="X24" s="71">
        <v>3376</v>
      </c>
      <c r="Y24" s="71">
        <v>5377</v>
      </c>
      <c r="Z24" s="231"/>
      <c r="AA24" s="232"/>
      <c r="AB24" s="232"/>
      <c r="AC24" s="232"/>
      <c r="AD24" s="232"/>
      <c r="AE24" s="233"/>
      <c r="AH24" s="64" ph="1">
        <v>10</v>
      </c>
      <c r="AI24" s="64" t="s" ph="1">
        <v>347</v>
      </c>
      <c r="AZ24" s="64" t="s" ph="1">
        <v>216</v>
      </c>
      <c r="BA24" s="64" ph="1">
        <v>0</v>
      </c>
    </row>
    <row r="25" spans="1:57" ph="1">
      <c r="A25" s="72" ph="1"/>
      <c r="B25" s="237" ph="1"/>
      <c r="C25" s="68" t="s" ph="1">
        <v>178</v>
      </c>
      <c r="D25" s="91" ph="1">
        <f>D24*268.68*LOOKUP(D26,密度!$A$2:$A$50,密度!$Q$2:$Q$50)+IF(D24&lt;=0,0,1566*LOOKUP(D26,密度!$A$2:$A$50,密度!$Q$2:$Q$50))</f>
        <v>2418.6768197760002</v>
      </c>
      <c r="E25" s="91" ph="1">
        <f>E24*268.68*LOOKUP(E26,密度!$A$2:$A$50,密度!$C$2:$C$50)+IF(E24&lt;=0,0,1566*LOOKUP(E26,密度!$A$2:$A$50,密度!$C$2:$C$50))</f>
        <v>22091.74709664</v>
      </c>
      <c r="F25" s="91" ph="1">
        <f>F24*11.702*LOOKUP(F26,密度!$A$2:$A$50,密度!$Q$2:$Q$50)</f>
        <v>39193.143029520004</v>
      </c>
      <c r="G25" s="91" ph="1">
        <f>G24*18.322*LOOKUP(G26,密度!$A$2:$A$50,密度!$B$2:$B$50)</f>
        <v>55400.086656199994</v>
      </c>
      <c r="H25" s="91" ph="1">
        <f>H24*18.322*LOOKUP(H26,密度!$A$2:$A$50,密度!$B$2:$B$50)</f>
        <v>31904.016150999996</v>
      </c>
      <c r="I25" s="91" ph="1">
        <f>I24*18.322*LOOKUP(I26,密度!$A$2:$A$50,密度!$Q$2:$Q$50)</f>
        <v>35698.418436239997</v>
      </c>
      <c r="J25" s="91" ph="1">
        <f>J24*18.322*LOOKUP(J26,密度!$A$2:$A$50,密度!$Q$2:$Q$50)</f>
        <v>5511.9454078799999</v>
      </c>
      <c r="K25" s="91" ph="1">
        <f>K24*18.322*LOOKUP(K26,密度!$A$2:$A$50,密度!$Q$2:$Q$50)</f>
        <v>5689.5438518400006</v>
      </c>
      <c r="L25" s="91" ph="1">
        <f>L24*18.322*LOOKUP(L26,密度!$A$2:$A$50,密度!$Q$2:$Q$50)</f>
        <v>5221.1972542799995</v>
      </c>
      <c r="M25" s="91" ph="1">
        <f>M24*18.322*LOOKUP(M26,密度!$A$2:$A$50,密度!$Q$2:$Q$50)</f>
        <v>47960.85831322</v>
      </c>
      <c r="N25" s="91" ph="1">
        <f>N24*18.322*LOOKUP(N26,密度!$A$2:$A$50,密度!$Q$2:$Q$50)</f>
        <v>5620.1591707199996</v>
      </c>
      <c r="O25" s="91" ph="1">
        <f>O24*18.322*LOOKUP(O26,密度!$A$2:$A$50,密度!$C$2:$C$50)</f>
        <v>109619.85175039999</v>
      </c>
      <c r="P25" s="91" ph="1">
        <f>P24*11.702*LOOKUP(P26,密度!$A$2:$A$50,密度!$B$2:$B$50)</f>
        <v>18579.1940178</v>
      </c>
      <c r="Q25" s="92" ph="1">
        <f>Q24*18.322*LOOKUP(Q26,密度!$A$2:$A$50,密度!$B$2:$B$50)</f>
        <v>26253.443559599997</v>
      </c>
      <c r="R25" s="91" ph="1">
        <f>R24*35.891*LOOKUP(R26,密度!$A$2:$A$50,密度!$C$2:$C$50)</f>
        <v>247732.4197159</v>
      </c>
      <c r="S25" s="91" ph="1">
        <f>S24*35.891*LOOKUP(S26,密度!$A$2:$A$50,密度!$B$2:$B$50)</f>
        <v>96086.330004599979</v>
      </c>
      <c r="T25" s="91" ph="1">
        <f>T24*35.891*LOOKUP(T26,密度!$A$2:$A$50,密度!$Q$2:$Q$50)</f>
        <v>20866.0152738</v>
      </c>
      <c r="U25" s="91" ph="1">
        <f>U24*35.891</f>
        <v>225467.26199999999</v>
      </c>
      <c r="V25" s="91" ph="1">
        <f>V24*47.051*LOOKUP(V26,密度!$A$2:$A$50,密度!$B$2:$B$50)</f>
        <v>26997.186265599998</v>
      </c>
      <c r="W25" s="91" ph="1">
        <f>W24*47.051*LOOKUP(W26,密度!$A$2:$A$50,密度!$B$2:$B$50)</f>
        <v>15775.0193199</v>
      </c>
      <c r="X25" s="91" ph="1">
        <f>X24*47.051*LOOKUP(X26,密度!$A$2:$A$61,密度!$I$2:$I$61)</f>
        <v>164848.48585280002</v>
      </c>
      <c r="Y25" s="91" ph="1">
        <f>Y24*47.051*LOOKUP(Y26,密度!$A$2:$A$50,密度!$L$2:$L$50)</f>
        <v>236295.67401800002</v>
      </c>
      <c r="Z25" s="231"/>
      <c r="AA25" s="232"/>
      <c r="AB25" s="232"/>
      <c r="AC25" s="232"/>
      <c r="AD25" s="232"/>
      <c r="AE25" s="233"/>
      <c r="AH25" s="64" ph="1">
        <v>11</v>
      </c>
      <c r="AI25" s="64" t="s" ph="1">
        <v>348</v>
      </c>
      <c r="AZ25" s="64" t="s" ph="1">
        <v>216</v>
      </c>
      <c r="BA25" s="64" ph="1">
        <v>0</v>
      </c>
      <c r="BD25" s="64" t="s" ph="1">
        <v>241</v>
      </c>
      <c r="BE25" s="64" ph="1">
        <v>8920</v>
      </c>
    </row>
    <row r="26" spans="1:57" ph="1">
      <c r="A26" s="72" ph="1"/>
      <c r="B26" s="237" ph="1"/>
      <c r="C26" s="68" t="s" ph="1">
        <v>179</v>
      </c>
      <c r="D26" s="74">
        <v>25</v>
      </c>
      <c r="E26" s="74">
        <v>25</v>
      </c>
      <c r="F26" s="74">
        <v>27</v>
      </c>
      <c r="G26" s="74">
        <v>26</v>
      </c>
      <c r="H26" s="74">
        <v>24</v>
      </c>
      <c r="I26" s="74">
        <v>25</v>
      </c>
      <c r="J26" s="74">
        <v>26</v>
      </c>
      <c r="K26" s="74">
        <v>25</v>
      </c>
      <c r="L26" s="74">
        <v>25</v>
      </c>
      <c r="M26" s="74">
        <v>26</v>
      </c>
      <c r="N26" s="74">
        <v>25</v>
      </c>
      <c r="O26" s="74">
        <v>24</v>
      </c>
      <c r="P26" s="74">
        <v>27</v>
      </c>
      <c r="Q26" s="93">
        <v>27</v>
      </c>
      <c r="R26" s="74">
        <v>26</v>
      </c>
      <c r="S26" s="74">
        <v>26</v>
      </c>
      <c r="T26" s="74">
        <v>27</v>
      </c>
      <c r="U26" s="74">
        <v>26</v>
      </c>
      <c r="V26" s="74">
        <v>25</v>
      </c>
      <c r="W26" s="74">
        <v>27</v>
      </c>
      <c r="X26" s="74">
        <v>29</v>
      </c>
      <c r="Y26" s="74">
        <v>28</v>
      </c>
      <c r="Z26" s="231"/>
      <c r="AA26" s="232"/>
      <c r="AB26" s="232"/>
      <c r="AC26" s="232"/>
      <c r="AD26" s="232"/>
      <c r="AE26" s="233"/>
      <c r="AH26" s="64" ph="1">
        <v>12</v>
      </c>
      <c r="AI26" s="64" t="s" ph="1">
        <v>349</v>
      </c>
      <c r="AZ26" s="64" t="s" ph="1">
        <v>216</v>
      </c>
      <c r="BA26" s="64" ph="1">
        <v>0</v>
      </c>
    </row>
    <row r="27" spans="1:57" ht="26.4" ph="1">
      <c r="A27" s="72" ph="1"/>
      <c r="B27" s="237" ph="1">
        <v>0.66666666666666663</v>
      </c>
      <c r="C27" s="159" t="s" ph="1">
        <v>180</v>
      </c>
      <c r="D27" s="71">
        <v>3.68</v>
      </c>
      <c r="E27" s="71">
        <v>68.16</v>
      </c>
      <c r="F27" s="71">
        <v>3546</v>
      </c>
      <c r="G27" s="71">
        <v>3783</v>
      </c>
      <c r="H27" s="71">
        <v>1974</v>
      </c>
      <c r="I27" s="71">
        <v>1647</v>
      </c>
      <c r="J27" s="71">
        <v>311</v>
      </c>
      <c r="K27" s="71">
        <v>325</v>
      </c>
      <c r="L27" s="71">
        <v>1452</v>
      </c>
      <c r="M27" s="71">
        <v>2180</v>
      </c>
      <c r="N27" s="71">
        <v>319</v>
      </c>
      <c r="O27" s="71">
        <v>5388</v>
      </c>
      <c r="P27" s="71">
        <v>2039</v>
      </c>
      <c r="Q27" s="90">
        <v>2361</v>
      </c>
      <c r="R27" s="71">
        <v>6226</v>
      </c>
      <c r="S27" s="71">
        <v>3063</v>
      </c>
      <c r="T27" s="71">
        <v>616</v>
      </c>
      <c r="U27" s="71">
        <v>6041</v>
      </c>
      <c r="V27" s="71">
        <v>730</v>
      </c>
      <c r="W27" s="71">
        <v>429</v>
      </c>
      <c r="X27" s="71">
        <v>3375</v>
      </c>
      <c r="Y27" s="71">
        <v>5372</v>
      </c>
      <c r="Z27" s="231"/>
      <c r="AA27" s="232"/>
      <c r="AB27" s="232"/>
      <c r="AC27" s="232"/>
      <c r="AD27" s="232"/>
      <c r="AE27" s="233"/>
      <c r="AH27" s="64" ph="1">
        <v>13</v>
      </c>
      <c r="AI27" s="64" t="s" ph="1">
        <v>350</v>
      </c>
      <c r="AZ27" s="64" t="s" ph="1">
        <v>216</v>
      </c>
      <c r="BA27" s="64" ph="1">
        <v>0</v>
      </c>
      <c r="BD27" s="64" t="s" ph="1">
        <v>295</v>
      </c>
      <c r="BE27" s="64" ph="1">
        <v>7100</v>
      </c>
    </row>
    <row r="28" spans="1:57" ph="1">
      <c r="A28" s="72" ph="1"/>
      <c r="B28" s="237" ph="1"/>
      <c r="C28" s="159" t="s" ph="1">
        <v>178</v>
      </c>
      <c r="D28" s="91" ph="1">
        <f>D27*268.68*LOOKUP(D29,密度!$A$2:$A$50,密度!$Q$2:$Q$50)+IF(D27&lt;=0,0,1566*LOOKUP(D29,密度!$A$2:$A$50,密度!$Q$2:$Q$50))</f>
        <v>2418.6768197760002</v>
      </c>
      <c r="E28" s="91" ph="1">
        <f>E27*268.68*LOOKUP(E29,密度!$A$2:$A$50,密度!$C$2:$C$50)+IF(E27&lt;=0,0,1566*LOOKUP(E29,密度!$A$2:$A$50,密度!$C$2:$C$50))</f>
        <v>22044.076816320001</v>
      </c>
      <c r="F28" s="91" ph="1">
        <f>F27*11.702*LOOKUP(F29,密度!$A$2:$A$50,密度!$Q$2:$Q$50)</f>
        <v>39112.632333360001</v>
      </c>
      <c r="G28" s="91" ph="1">
        <f>G27*18.322*LOOKUP(G29,密度!$A$2:$A$50,密度!$B$2:$B$50)</f>
        <v>53675.310374400004</v>
      </c>
      <c r="H28" s="91" ph="1">
        <f>H27*18.322*LOOKUP(H29,密度!$A$2:$A$50,密度!$B$2:$B$50)</f>
        <v>28073.312853599997</v>
      </c>
      <c r="I28" s="91" ph="1">
        <f>I27*18.322*LOOKUP(I29,密度!$A$2:$A$50,密度!$Q$2:$Q$50)</f>
        <v>28466.241152219998</v>
      </c>
      <c r="J28" s="91" ph="1">
        <f>J27*18.322*LOOKUP(J29,密度!$A$2:$A$50,密度!$Q$2:$Q$50)</f>
        <v>5359.6153837800002</v>
      </c>
      <c r="K28" s="91" ph="1">
        <f>K27*18.322*LOOKUP(K29,密度!$A$2:$A$50,密度!$Q$2:$Q$50)</f>
        <v>5612.7339969999994</v>
      </c>
      <c r="L28" s="91" ph="1">
        <f>L27*18.322*LOOKUP(L29,密度!$A$2:$A$50,密度!$Q$2:$Q$50)</f>
        <v>25095.921161519997</v>
      </c>
      <c r="M28" s="91" ph="1">
        <f>M27*18.322*LOOKUP(M29,密度!$A$2:$A$50,密度!$Q$2:$Q$50)</f>
        <v>37517.483028000002</v>
      </c>
      <c r="N28" s="91" ph="1">
        <f>N27*18.322*LOOKUP(N29,密度!$A$2:$A$50,密度!$Q$2:$Q$50)</f>
        <v>5509.1142924400001</v>
      </c>
      <c r="O28" s="91" ph="1">
        <f>O27*18.322*LOOKUP(O29,密度!$A$2:$A$50,密度!$C$2:$C$50)</f>
        <v>109094.2961736</v>
      </c>
      <c r="P28" s="91" ph="1">
        <f>P27*11.702*LOOKUP(P29,密度!$A$2:$A$50,密度!$B$2:$B$50)</f>
        <v>18456.002382999999</v>
      </c>
      <c r="Q28" s="92" ph="1">
        <f>Q27*18.322*LOOKUP(Q29,密度!$A$2:$A$50,密度!$B$2:$B$50)</f>
        <v>33499.1826048</v>
      </c>
      <c r="R28" s="91" ph="1">
        <f>R27*35.891*LOOKUP(R29,密度!$A$2:$A$50,密度!$C$2:$C$50)</f>
        <v>246250.01733199999</v>
      </c>
      <c r="S28" s="91" ph="1">
        <f>S27*35.891*LOOKUP(S29,密度!$A$2:$A$50,密度!$B$2:$B$50)</f>
        <v>85132.992595200005</v>
      </c>
      <c r="T28" s="91" ph="1">
        <f>T27*35.891*LOOKUP(T29,密度!$A$2:$A$50,密度!$Q$2:$Q$50)</f>
        <v>20809.960709999999</v>
      </c>
      <c r="U28" s="91" ph="1">
        <f>U27*35.891</f>
        <v>216817.53099999999</v>
      </c>
      <c r="V28" s="91" ph="1">
        <f>V27*47.051*LOOKUP(V29,密度!$A$2:$A$50,密度!$B$2:$B$50)</f>
        <v>26509.192114000005</v>
      </c>
      <c r="W28" s="91" ph="1">
        <f>W27*47.051*LOOKUP(W29,密度!$A$2:$A$50,密度!$B$2:$B$50)</f>
        <v>15596.856003300001</v>
      </c>
      <c r="X28" s="91" ph="1">
        <f>X27*47.051*LOOKUP(X29,密度!$A$2:$A$61,密度!$I$2:$I$61)</f>
        <v>163561.03875000001</v>
      </c>
      <c r="Y28" s="91" ph="1">
        <f>Y27*47.051*LOOKUP(Y29,密度!$A$2:$A$50,密度!$L$2:$L$50)</f>
        <v>234812.15598800001</v>
      </c>
      <c r="Z28" s="231"/>
      <c r="AA28" s="232"/>
      <c r="AB28" s="232"/>
      <c r="AC28" s="232"/>
      <c r="AD28" s="232"/>
      <c r="AE28" s="233"/>
      <c r="AH28" s="64" ph="1">
        <v>14</v>
      </c>
      <c r="AI28" s="64" t="s" ph="1">
        <v>351</v>
      </c>
      <c r="AZ28" s="64" t="s" ph="1">
        <v>216</v>
      </c>
      <c r="BA28" s="64" ph="1">
        <v>0</v>
      </c>
    </row>
    <row r="29" spans="1:57" ph="1">
      <c r="A29" s="72" ph="1"/>
      <c r="B29" s="237" ph="1"/>
      <c r="C29" s="159" t="s" ph="1">
        <v>179</v>
      </c>
      <c r="D29" s="74">
        <v>25</v>
      </c>
      <c r="E29" s="74">
        <v>25</v>
      </c>
      <c r="F29" s="74">
        <v>31</v>
      </c>
      <c r="G29" s="74">
        <v>31</v>
      </c>
      <c r="H29" s="74">
        <v>29</v>
      </c>
      <c r="I29" s="74">
        <v>30</v>
      </c>
      <c r="J29" s="74">
        <v>34</v>
      </c>
      <c r="K29" s="74">
        <v>31</v>
      </c>
      <c r="L29" s="74">
        <v>30</v>
      </c>
      <c r="M29" s="74">
        <v>36</v>
      </c>
      <c r="N29" s="74">
        <v>31</v>
      </c>
      <c r="O29" s="74">
        <v>30</v>
      </c>
      <c r="P29" s="74">
        <v>32</v>
      </c>
      <c r="Q29" s="93">
        <v>31</v>
      </c>
      <c r="R29" s="74">
        <v>33</v>
      </c>
      <c r="S29" s="74">
        <v>31</v>
      </c>
      <c r="T29" s="74">
        <v>33</v>
      </c>
      <c r="U29" s="74">
        <v>34</v>
      </c>
      <c r="V29" s="74">
        <v>34</v>
      </c>
      <c r="W29" s="74">
        <v>33</v>
      </c>
      <c r="X29" s="74">
        <v>36</v>
      </c>
      <c r="Y29" s="74">
        <v>33</v>
      </c>
      <c r="Z29" s="234"/>
      <c r="AA29" s="235"/>
      <c r="AB29" s="235"/>
      <c r="AC29" s="235"/>
      <c r="AD29" s="235"/>
      <c r="AE29" s="236"/>
      <c r="AH29" s="64" ph="1">
        <v>15</v>
      </c>
      <c r="AI29" s="64" t="s" ph="1">
        <v>352</v>
      </c>
      <c r="AZ29" s="64" t="s" ph="1">
        <v>216</v>
      </c>
      <c r="BA29" s="64" ph="1">
        <v>0</v>
      </c>
      <c r="BD29" s="64" t="s" ph="1">
        <v>353</v>
      </c>
      <c r="BE29" s="64" ph="1">
        <v>890</v>
      </c>
    </row>
    <row r="30" spans="1:57" ph="1">
      <c r="D30" s="94" ph="1"/>
      <c r="Z30" s="64" t="s" ph="1">
        <v>35</v>
      </c>
      <c r="AE30" s="95" ph="1"/>
      <c r="AH30" s="64" ph="1">
        <v>16</v>
      </c>
      <c r="AI30" s="64" t="s" ph="1">
        <v>354</v>
      </c>
      <c r="AZ30" s="64" t="s" ph="1">
        <v>216</v>
      </c>
      <c r="BA30" s="64" ph="1">
        <v>0</v>
      </c>
    </row>
    <row r="31" spans="1:57" ht="28.2" ph="1">
      <c r="A31" s="64"/>
      <c r="B31" s="220" t="s" ph="1">
        <v>35</v>
      </c>
      <c r="C31" s="221" ph="1"/>
      <c r="D31" s="224" t="s" ph="1">
        <v>9</v>
      </c>
      <c r="E31" s="199" ph="1"/>
      <c r="F31" s="200" ph="1"/>
      <c r="G31" s="224" t="s" ph="1">
        <v>18</v>
      </c>
      <c r="H31" s="199" ph="1"/>
      <c r="I31" s="200" ph="1"/>
      <c r="J31" s="198" t="s" ph="1">
        <v>1</v>
      </c>
      <c r="K31" s="199" ph="1"/>
      <c r="L31" s="200" ph="1"/>
      <c r="M31" s="198" t="s" ph="1">
        <v>7</v>
      </c>
      <c r="N31" s="199" ph="1"/>
      <c r="O31" s="200" ph="1"/>
      <c r="P31" s="198" t="s" ph="1">
        <v>41</v>
      </c>
      <c r="Q31" s="199"/>
      <c r="R31" s="200"/>
      <c r="S31" s="198" t="s" ph="1">
        <v>2</v>
      </c>
      <c r="T31" s="199"/>
      <c r="U31" s="200"/>
      <c r="V31" s="198" t="s" ph="1">
        <v>71</v>
      </c>
      <c r="W31" s="199" ph="1"/>
      <c r="X31" s="200" ph="1"/>
      <c r="Y31" s="198" t="s" ph="1">
        <v>3</v>
      </c>
      <c r="Z31" s="199" ph="1"/>
      <c r="AA31" s="200" ph="1"/>
      <c r="AB31" s="201" t="s">
        <v>42</v>
      </c>
      <c r="AC31" s="202"/>
      <c r="AD31" s="202"/>
      <c r="AE31" s="203"/>
      <c r="AH31" s="64" ph="1">
        <v>17</v>
      </c>
      <c r="AI31" s="64" t="s" ph="1">
        <v>355</v>
      </c>
      <c r="AZ31" s="64" t="s" ph="1">
        <v>216</v>
      </c>
      <c r="BA31" s="64" ph="1">
        <v>0</v>
      </c>
      <c r="BD31" s="64" t="s" ph="1">
        <v>356</v>
      </c>
      <c r="BE31" s="64" ph="1">
        <v>9310</v>
      </c>
    </row>
    <row r="32" spans="1:57" ph="1">
      <c r="A32" s="64"/>
      <c r="B32" s="222" ph="1"/>
      <c r="C32" s="223" ph="1"/>
      <c r="D32" s="96" t="s" ph="1">
        <v>4</v>
      </c>
      <c r="E32" s="159" t="s" ph="1">
        <v>5</v>
      </c>
      <c r="F32" s="160" t="s" ph="1">
        <v>43</v>
      </c>
      <c r="G32" s="97" t="s" ph="1">
        <v>4</v>
      </c>
      <c r="H32" s="159" t="s" ph="1">
        <v>5</v>
      </c>
      <c r="I32" s="160" t="s" ph="1">
        <v>43</v>
      </c>
      <c r="J32" s="97" t="s" ph="1">
        <v>4</v>
      </c>
      <c r="K32" s="159" t="s" ph="1">
        <v>5</v>
      </c>
      <c r="L32" s="160" t="s" ph="1">
        <v>43</v>
      </c>
      <c r="M32" s="97" t="s" ph="1">
        <v>4</v>
      </c>
      <c r="N32" s="159" t="s" ph="1">
        <v>5</v>
      </c>
      <c r="O32" s="160" t="s" ph="1">
        <v>43</v>
      </c>
      <c r="P32" s="97" t="s" ph="1">
        <v>4</v>
      </c>
      <c r="Q32" s="98" t="s" ph="1">
        <v>5</v>
      </c>
      <c r="R32" s="99" t="s" ph="1">
        <v>43</v>
      </c>
      <c r="S32" s="97" t="s" ph="1">
        <v>4</v>
      </c>
      <c r="T32" s="159" t="s" ph="1">
        <v>5</v>
      </c>
      <c r="U32" s="99" t="s" ph="1">
        <v>43</v>
      </c>
      <c r="V32" s="97" t="s" ph="1">
        <v>4</v>
      </c>
      <c r="W32" s="159" t="s" ph="1">
        <v>5</v>
      </c>
      <c r="X32" s="99" t="s" ph="1">
        <v>43</v>
      </c>
      <c r="Y32" s="100" t="s" ph="1">
        <v>4</v>
      </c>
      <c r="Z32" s="159" t="s" ph="1">
        <v>5</v>
      </c>
      <c r="AA32" s="160" t="s" ph="1">
        <v>43</v>
      </c>
      <c r="AB32" s="97" t="s" ph="1">
        <v>85</v>
      </c>
      <c r="AC32" s="159" t="s" ph="1">
        <v>84</v>
      </c>
      <c r="AD32" s="204" t="s" ph="1">
        <v>83</v>
      </c>
      <c r="AE32" s="205"/>
      <c r="AH32" s="64" ph="1">
        <v>18</v>
      </c>
      <c r="AI32" s="64" t="s" ph="1">
        <v>357</v>
      </c>
      <c r="AZ32" s="64" t="s" ph="1">
        <v>216</v>
      </c>
      <c r="BA32" s="64" ph="1">
        <v>0</v>
      </c>
    </row>
    <row r="33" spans="1:57" ph="1">
      <c r="A33" s="64"/>
      <c r="B33" s="206" t="s" ph="1">
        <v>181</v>
      </c>
      <c r="C33" s="207" ph="1"/>
      <c r="D33" s="186" ph="1">
        <f>AA10+AB10+Z19</f>
        <v>46709.497667000003</v>
      </c>
      <c r="E33" s="186" ph="1">
        <f>M10+I10</f>
        <v>100052.98234720001</v>
      </c>
      <c r="F33" s="210" ph="1">
        <f>表格_取樣回收每月庫存表_0620更新1522252632456786910111213141516171819202123456789101112131415161718192022232424356789101112131415161718192021222345678910111213141516171819202345678910111213149101516171819222123234567891012131415161711181920212224252345678910111213130[[#This Row],[F25]]</f>
        <v>3880</v>
      </c>
      <c r="G33" s="212" ph="1">
        <f>N19</f>
        <v>26185.874475799999</v>
      </c>
      <c r="H33" s="186" ph="1">
        <f>M19</f>
        <v>31455.675098848002</v>
      </c>
      <c r="I33" s="190" ph="1">
        <v>0</v>
      </c>
      <c r="J33" s="194" ph="1">
        <f>F10+O28</f>
        <v>226121.9171322</v>
      </c>
      <c r="K33" s="186" ph="1">
        <f>O10+K10+E28+R28</f>
        <v>408197.77233151998</v>
      </c>
      <c r="L33" s="196" ph="1">
        <f>K19</f>
        <v>6718.9881082000002</v>
      </c>
      <c r="M33" s="194" ph="1">
        <f>G10+H10+W28+S28+V28+E10+R19+P28+Q28</f>
        <v>494009.56195929996</v>
      </c>
      <c r="N33" s="186" ph="1">
        <f>L10+P10++G28+H28+AD19+AE19</f>
        <v>424120.09901000001</v>
      </c>
      <c r="O33" s="190" ph="1">
        <f>G19</f>
        <v>25794.045952240001</v>
      </c>
      <c r="P33" s="194" ph="1">
        <f>L19</f>
        <v>30716.54820288</v>
      </c>
      <c r="Q33" s="186" ph="1">
        <f>J10+N10</f>
        <v>22061.900689599999</v>
      </c>
      <c r="R33" s="190" ph="1">
        <f>BE23</f>
        <v>890</v>
      </c>
      <c r="S33" s="194" ph="1">
        <f>X28</f>
        <v>163561.03875000001</v>
      </c>
      <c r="T33" s="186" ph="1">
        <f>X19</f>
        <v>13430.749635199998</v>
      </c>
      <c r="U33" s="175" ph="1">
        <f>BE21</f>
        <v>730</v>
      </c>
      <c r="V33" s="188" ph="1">
        <f ca="1">P19+Q19+S19+M28+N28+J28+D10+AC10+D19+E19+H19+J19+O19+V19+W19+K28+L28</f>
        <v>712316.77103097201</v>
      </c>
      <c r="W33" s="188" ph="1">
        <f>D28+F28+T28+I28</f>
        <v>90807.511015355994</v>
      </c>
      <c r="X33" s="190" ph="1">
        <f>BE29+BE31</f>
        <v>10200</v>
      </c>
      <c r="Y33" s="192" ph="1">
        <f>+Q10+R10+S10+T10+U10+V10+W10+X10+Y10</f>
        <v>335761.46881200001</v>
      </c>
      <c r="Z33" s="173" ph="1">
        <f>T19+U19+Y28+Z10</f>
        <v>329168.54078360001</v>
      </c>
      <c r="AA33" s="175" ph="1">
        <f>BE19</f>
        <v>1440</v>
      </c>
      <c r="AB33" s="177" ph="1">
        <f>I19</f>
        <v>47869.168371200001</v>
      </c>
      <c r="AC33" s="179" ph="1">
        <f>AD10+AB19</f>
        <v>92527.563743999999</v>
      </c>
      <c r="AD33" s="181" ph="1">
        <v>0</v>
      </c>
      <c r="AE33" s="182"/>
      <c r="AH33" s="64" ph="1">
        <v>19</v>
      </c>
      <c r="AI33" s="64" t="s" ph="1">
        <v>358</v>
      </c>
      <c r="AJ33" s="64" t="s" ph="1">
        <v>592</v>
      </c>
      <c r="AK33" s="64" t="s" ph="1">
        <v>589</v>
      </c>
      <c r="AL33" s="64" ph="1">
        <v>730</v>
      </c>
      <c r="AM33" s="64" t="s" ph="1">
        <v>339</v>
      </c>
      <c r="AZ33" s="64" t="s" ph="1">
        <v>216</v>
      </c>
      <c r="BA33" s="64" ph="1">
        <v>730</v>
      </c>
      <c r="BD33" s="64" t="s" ph="1">
        <v>290</v>
      </c>
      <c r="BE33" s="64" ph="1">
        <v>3880</v>
      </c>
    </row>
    <row r="34" spans="1:57" ph="1">
      <c r="A34" s="64"/>
      <c r="B34" s="208" ph="1"/>
      <c r="C34" s="209" ph="1"/>
      <c r="D34" s="187" ph="1"/>
      <c r="E34" s="187" ph="1"/>
      <c r="F34" s="211" ph="1"/>
      <c r="G34" s="213" ph="1"/>
      <c r="H34" s="187" ph="1"/>
      <c r="I34" s="191" ph="1"/>
      <c r="J34" s="195" ph="1"/>
      <c r="K34" s="187" ph="1"/>
      <c r="L34" s="197" ph="1"/>
      <c r="M34" s="195" ph="1"/>
      <c r="N34" s="187" ph="1"/>
      <c r="O34" s="191" ph="1"/>
      <c r="P34" s="195" ph="1"/>
      <c r="Q34" s="187" ph="1"/>
      <c r="R34" s="191" ph="1"/>
      <c r="S34" s="195" ph="1"/>
      <c r="T34" s="187"/>
      <c r="U34" s="176"/>
      <c r="V34" s="189" ph="1"/>
      <c r="W34" s="189" ph="1"/>
      <c r="X34" s="191" ph="1"/>
      <c r="Y34" s="193" ph="1"/>
      <c r="Z34" s="174" ph="1"/>
      <c r="AA34" s="176" ph="1"/>
      <c r="AB34" s="178"/>
      <c r="AC34" s="180"/>
      <c r="AD34" s="183"/>
      <c r="AE34" s="184"/>
      <c r="AH34" s="64" ph="1">
        <v>20</v>
      </c>
      <c r="AI34" s="64" t="s" ph="1">
        <v>359</v>
      </c>
      <c r="AJ34" s="64" t="s" ph="1">
        <v>593</v>
      </c>
      <c r="AK34" s="64" t="s" ph="1">
        <v>589</v>
      </c>
      <c r="AL34" s="64" ph="1">
        <v>720</v>
      </c>
      <c r="AM34" s="64" t="s" ph="1">
        <v>339</v>
      </c>
      <c r="AZ34" s="64" t="s" ph="1">
        <v>216</v>
      </c>
      <c r="BA34" s="64" ph="1">
        <v>720</v>
      </c>
    </row>
    <row r="35" spans="1:57" ph="1">
      <c r="A35" s="64"/>
      <c r="AC35" s="185" t="s" ph="1">
        <v>631</v>
      </c>
      <c r="AD35" s="185"/>
      <c r="AE35" s="185"/>
      <c r="AH35" s="64" ph="1">
        <v>21</v>
      </c>
      <c r="AI35" s="64" t="s" ph="1">
        <v>360</v>
      </c>
      <c r="AZ35" s="64" t="s" ph="1">
        <v>216</v>
      </c>
      <c r="BA35" s="64" ph="1">
        <v>0</v>
      </c>
      <c r="BD35" s="64" t="s" ph="1">
        <v>361</v>
      </c>
      <c r="BE35" s="64" ph="1">
        <v>2030</v>
      </c>
    </row>
    <row r="36" spans="1:57" ht="28.2" ph="1">
      <c r="A36" s="64"/>
      <c r="B36" s="103" t="s" ph="1">
        <v>182</v>
      </c>
      <c r="I36" s="171" t="s" ph="1">
        <v>183</v>
      </c>
      <c r="J36" s="171" ph="1"/>
      <c r="K36" s="101" ph="1"/>
      <c r="P36" s="101" ph="1"/>
      <c r="R36" s="171" t="s" ph="1">
        <v>184</v>
      </c>
      <c r="S36" s="171" ph="1"/>
      <c r="Y36" s="102" ph="1"/>
      <c r="Z36" s="161" t="s" ph="1">
        <v>185</v>
      </c>
      <c r="AA36" s="161" ph="1"/>
      <c r="AB36" s="172" t="s" ph="1">
        <v>640</v>
      </c>
      <c r="AC36" s="172" ph="1"/>
      <c r="AD36" s="172" ph="1"/>
      <c r="AE36" s="172" ph="1"/>
      <c r="BA36" s="64" ph="1">
        <v>2270</v>
      </c>
    </row>
    <row r="37" spans="1:57" s="161" customFormat="1" ph="1">
      <c r="A37" s="64" ph="1"/>
      <c r="B37" s="64" ph="1"/>
      <c r="C37" s="64" ph="1"/>
      <c r="D37" s="64" ph="1"/>
      <c r="E37" s="64" ph="1"/>
      <c r="F37" s="64" ph="1"/>
      <c r="G37" s="64" ph="1"/>
      <c r="H37" s="64" ph="1"/>
      <c r="I37" s="64" ph="1"/>
      <c r="J37" s="64" ph="1"/>
      <c r="K37" s="64" ph="1"/>
      <c r="L37" s="64" ph="1"/>
      <c r="M37" s="64" ph="1"/>
      <c r="N37" s="64" ph="1"/>
      <c r="O37" s="64" ph="1"/>
      <c r="P37" s="64" ph="1"/>
      <c r="Q37" s="64" ph="1"/>
      <c r="R37" s="64" ph="1"/>
      <c r="S37" s="64" ph="1"/>
      <c r="T37" s="64" ph="1"/>
      <c r="U37" s="64" ph="1"/>
      <c r="V37" s="64" ph="1"/>
      <c r="W37" s="64" ph="1"/>
      <c r="X37" s="64" ph="1"/>
      <c r="Y37" s="64" ph="1"/>
      <c r="Z37" s="64" ph="1"/>
      <c r="AA37" s="64" ph="1"/>
      <c r="AB37" s="64" ph="1"/>
      <c r="AC37" s="64" ph="1"/>
      <c r="AD37" s="64" ph="1"/>
      <c r="AE37" s="64" ph="1"/>
      <c r="AG37" s="161" t="s" ph="1">
        <v>342</v>
      </c>
      <c r="AI37" s="161" t="s" ph="1">
        <v>209</v>
      </c>
      <c r="AJ37" s="161" t="s" ph="1">
        <v>210</v>
      </c>
      <c r="AK37" s="161" t="s" ph="1">
        <v>211</v>
      </c>
      <c r="AM37" s="161" t="s" ph="1">
        <v>210</v>
      </c>
      <c r="AN37" s="161" t="s" ph="1">
        <v>211</v>
      </c>
      <c r="AO37" s="161" t="s" ph="1">
        <v>212</v>
      </c>
      <c r="AP37" s="161" t="s" ph="1">
        <v>210</v>
      </c>
      <c r="AQ37" s="161" t="s" ph="1">
        <v>211</v>
      </c>
      <c r="AR37" s="161" t="s" ph="1">
        <v>212</v>
      </c>
      <c r="AS37" s="161" t="s" ph="1">
        <v>210</v>
      </c>
      <c r="AT37" s="161" t="s" ph="1">
        <v>211</v>
      </c>
      <c r="AU37" s="161" t="s" ph="1">
        <v>212</v>
      </c>
      <c r="AV37" s="161" t="s" ph="1">
        <v>210</v>
      </c>
      <c r="AW37" s="161" t="s" ph="1">
        <v>211</v>
      </c>
      <c r="AX37" s="161" t="s" ph="1">
        <v>212</v>
      </c>
      <c r="AY37" s="161" t="s" ph="1">
        <v>211</v>
      </c>
      <c r="AZ37" s="161" t="s" ph="1">
        <v>213</v>
      </c>
      <c r="BD37" s="161" t="s" ph="1">
        <v>305</v>
      </c>
      <c r="BE37" s="161" ph="1">
        <v>0</v>
      </c>
    </row>
    <row r="38" spans="1:57" ph="1">
      <c r="AE38" s="64" ph="1"/>
      <c r="AH38" s="64" ph="1">
        <v>1</v>
      </c>
      <c r="AI38" s="64" t="s" ph="1">
        <v>362</v>
      </c>
      <c r="AY38" s="64" t="s" ph="1">
        <v>216</v>
      </c>
      <c r="AZ38" s="64" t="s" ph="1">
        <v>367</v>
      </c>
    </row>
    <row r="39" spans="1:57" ph="1">
      <c r="AH39" s="64" ph="1">
        <v>2</v>
      </c>
      <c r="AI39" s="64" t="s" ph="1">
        <v>364</v>
      </c>
      <c r="AJ39" s="64" t="s" ph="1">
        <v>336</v>
      </c>
      <c r="AK39" s="64" t="s" ph="1">
        <v>365</v>
      </c>
      <c r="AM39" s="64" t="s" ph="1">
        <v>570</v>
      </c>
      <c r="AN39" s="64" t="s" ph="1">
        <v>228</v>
      </c>
      <c r="AO39" s="64" t="s" ph="1">
        <v>363</v>
      </c>
      <c r="AY39" s="64" t="s" ph="1">
        <v>216</v>
      </c>
      <c r="AZ39" s="64" t="s" ph="1">
        <v>499</v>
      </c>
    </row>
    <row r="40" spans="1:57" ph="1">
      <c r="AH40" s="64" ph="1">
        <v>3</v>
      </c>
      <c r="AI40" s="64" t="s" ph="1">
        <v>366</v>
      </c>
      <c r="AJ40" s="64" t="s" ph="1">
        <v>570</v>
      </c>
      <c r="AK40" s="64" t="s" ph="1">
        <v>571</v>
      </c>
      <c r="AY40" s="64" t="s" ph="1">
        <v>216</v>
      </c>
      <c r="AZ40" s="64" t="s" ph="1">
        <v>571</v>
      </c>
    </row>
    <row r="41" spans="1:57" ph="1">
      <c r="AH41" s="64" ph="1">
        <v>4</v>
      </c>
      <c r="AI41" s="64" t="s" ph="1">
        <v>368</v>
      </c>
      <c r="AJ41" s="64" t="s" ph="1">
        <v>572</v>
      </c>
      <c r="AK41" s="64" t="s" ph="1">
        <v>573</v>
      </c>
      <c r="AM41" s="64" t="s" ph="1">
        <v>574</v>
      </c>
      <c r="AY41" s="64" t="s" ph="1">
        <v>216</v>
      </c>
      <c r="AZ41" s="64" t="s" ph="1">
        <v>573</v>
      </c>
    </row>
    <row r="42" spans="1:57" ph="1">
      <c r="P42" s="64"/>
      <c r="Q42" s="64"/>
      <c r="R42" s="64"/>
      <c r="S42" s="64"/>
      <c r="T42" s="64"/>
      <c r="U42" s="64"/>
      <c r="V42" s="64"/>
      <c r="W42" s="64"/>
      <c r="X42" s="64"/>
      <c r="Y42" s="64"/>
      <c r="Z42" s="64"/>
      <c r="AA42" s="64"/>
      <c r="AB42" s="64"/>
      <c r="AC42" s="64"/>
      <c r="AD42" s="64"/>
      <c r="AE42" s="75"/>
      <c r="AH42" s="64" ph="1">
        <v>5</v>
      </c>
      <c r="AI42" s="64" t="s" ph="1">
        <v>369</v>
      </c>
      <c r="AY42" s="64" t="s" ph="1">
        <v>216</v>
      </c>
      <c r="AZ42" s="64" t="s" ph="1">
        <v>367</v>
      </c>
    </row>
    <row r="43" spans="1:57" ph="1">
      <c r="C43" s="64"/>
      <c r="D43" s="64"/>
      <c r="E43" s="64"/>
      <c r="F43" s="64"/>
      <c r="G43" s="64"/>
      <c r="H43" s="64"/>
      <c r="I43" s="64"/>
      <c r="J43" s="64"/>
      <c r="K43" s="64"/>
      <c r="L43" s="64"/>
      <c r="M43" s="64"/>
      <c r="N43" s="64"/>
      <c r="O43" s="64"/>
      <c r="P43" s="64"/>
      <c r="R43" s="64"/>
      <c r="S43" s="64"/>
      <c r="T43" s="64"/>
      <c r="U43" s="64"/>
      <c r="V43" s="64"/>
      <c r="W43" s="64"/>
      <c r="X43" s="64"/>
      <c r="Y43" s="64"/>
      <c r="Z43" s="64"/>
      <c r="AA43" s="64"/>
      <c r="AB43" s="64"/>
      <c r="AC43" s="64"/>
      <c r="AD43" s="64"/>
      <c r="AE43" s="75"/>
      <c r="AH43" s="64" ph="1">
        <v>6</v>
      </c>
      <c r="AI43" s="64" t="s" ph="1">
        <v>370</v>
      </c>
      <c r="AY43" s="64" t="s" ph="1">
        <v>216</v>
      </c>
      <c r="AZ43" s="64" t="s" ph="1">
        <v>367</v>
      </c>
    </row>
    <row r="44" spans="1:57" ph="1">
      <c r="R44" s="64"/>
      <c r="S44" s="64"/>
      <c r="T44" s="64"/>
      <c r="U44" s="64"/>
      <c r="V44" s="64"/>
      <c r="W44" s="64"/>
      <c r="X44" s="64"/>
      <c r="Y44" s="64"/>
      <c r="Z44" s="64"/>
      <c r="AA44" s="64"/>
      <c r="AB44" s="64"/>
      <c r="AC44" s="64"/>
      <c r="AD44" s="64"/>
      <c r="AE44" s="75"/>
      <c r="AH44" s="64" ph="1">
        <v>7</v>
      </c>
      <c r="AI44" s="64" t="s" ph="1">
        <v>371</v>
      </c>
      <c r="AV44" s="64" t="s" ph="1">
        <v>217</v>
      </c>
      <c r="AY44" s="64" t="s" ph="1">
        <v>216</v>
      </c>
      <c r="AZ44" s="64" t="s" ph="1">
        <v>367</v>
      </c>
    </row>
    <row r="45" spans="1:57" ph="1">
      <c r="R45" s="64"/>
      <c r="S45" s="64"/>
      <c r="T45" s="64"/>
      <c r="U45" s="64"/>
      <c r="V45" s="64"/>
      <c r="W45" s="64"/>
      <c r="X45" s="64"/>
      <c r="Y45" s="64"/>
      <c r="Z45" s="64"/>
      <c r="AA45" s="64"/>
      <c r="AB45" s="64"/>
      <c r="AC45" s="64"/>
      <c r="AD45" s="64"/>
      <c r="AE45" s="75"/>
      <c r="AH45" s="64" ph="1">
        <v>8</v>
      </c>
      <c r="AI45" s="64" t="s" ph="1">
        <v>372</v>
      </c>
      <c r="AV45" s="64" t="s" ph="1">
        <v>217</v>
      </c>
      <c r="AY45" s="64" t="s" ph="1">
        <v>216</v>
      </c>
      <c r="AZ45" s="64" t="s" ph="1">
        <v>367</v>
      </c>
    </row>
    <row r="46" spans="1:57" ph="1">
      <c r="R46" s="64"/>
      <c r="S46" s="64"/>
      <c r="T46" s="64"/>
      <c r="U46" s="64"/>
      <c r="V46" s="64"/>
      <c r="W46" s="64"/>
      <c r="X46" s="64"/>
      <c r="Y46" s="64"/>
      <c r="Z46" s="64"/>
      <c r="AA46" s="64"/>
      <c r="AB46" s="64"/>
      <c r="AC46" s="64"/>
      <c r="AD46" s="64"/>
      <c r="AE46" s="75"/>
      <c r="AH46" s="64" ph="1">
        <v>9</v>
      </c>
      <c r="AI46" s="64" t="s" ph="1">
        <v>373</v>
      </c>
      <c r="AV46" s="64" t="s" ph="1">
        <v>217</v>
      </c>
      <c r="AY46" s="64" t="s" ph="1">
        <v>216</v>
      </c>
      <c r="AZ46" s="64" t="s" ph="1">
        <v>367</v>
      </c>
    </row>
    <row r="47" spans="1:57" ph="1">
      <c r="R47" s="64"/>
      <c r="S47" s="64"/>
      <c r="T47" s="64"/>
      <c r="U47" s="64"/>
      <c r="V47" s="64"/>
      <c r="W47" s="64"/>
      <c r="X47" s="64"/>
      <c r="Y47" s="64"/>
      <c r="Z47" s="64"/>
      <c r="AA47" s="64"/>
      <c r="AB47" s="64"/>
      <c r="AC47" s="64"/>
      <c r="AD47" s="64"/>
      <c r="AE47" s="75"/>
      <c r="AH47" s="64" ph="1">
        <v>10</v>
      </c>
      <c r="AI47" s="64" t="s" ph="1">
        <v>374</v>
      </c>
      <c r="AV47" s="64" t="s" ph="1">
        <v>217</v>
      </c>
      <c r="AY47" s="64" t="s" ph="1">
        <v>216</v>
      </c>
      <c r="AZ47" s="64" t="s" ph="1">
        <v>367</v>
      </c>
    </row>
    <row r="48" spans="1:57" ph="1">
      <c r="R48" s="64"/>
      <c r="S48" s="64"/>
      <c r="T48" s="64"/>
      <c r="U48" s="64"/>
      <c r="V48" s="64"/>
      <c r="W48" s="64"/>
      <c r="X48" s="64"/>
      <c r="Y48" s="64"/>
      <c r="Z48" s="64"/>
      <c r="AA48" s="64"/>
      <c r="AB48" s="64"/>
      <c r="AC48" s="64"/>
      <c r="AD48" s="64"/>
      <c r="AE48" s="75"/>
      <c r="AZ48" s="64" t="s" ph="1">
        <v>575</v>
      </c>
    </row>
    <row r="49" spans="16:52" ph="1">
      <c r="R49" s="64"/>
      <c r="S49" s="64"/>
      <c r="T49" s="64"/>
      <c r="U49" s="64"/>
      <c r="V49" s="64"/>
      <c r="W49" s="64"/>
      <c r="X49" s="64"/>
      <c r="Y49" s="64"/>
      <c r="Z49" s="64"/>
      <c r="AA49" s="64"/>
      <c r="AB49" s="64"/>
      <c r="AC49" s="64"/>
      <c r="AD49" s="64"/>
      <c r="AE49" s="75"/>
      <c r="AG49" s="64" t="s" ph="1">
        <v>232</v>
      </c>
      <c r="AI49" s="64" t="s" ph="1">
        <v>209</v>
      </c>
      <c r="AJ49" s="64" t="s" ph="1">
        <v>210</v>
      </c>
      <c r="AK49" s="64" t="s" ph="1">
        <v>211</v>
      </c>
      <c r="AM49" s="64" t="s" ph="1">
        <v>210</v>
      </c>
      <c r="AN49" s="64" t="s" ph="1">
        <v>211</v>
      </c>
      <c r="AO49" s="64" t="s" ph="1">
        <v>212</v>
      </c>
      <c r="AP49" s="64" t="s" ph="1">
        <v>210</v>
      </c>
      <c r="AQ49" s="64" t="s" ph="1">
        <v>211</v>
      </c>
      <c r="AR49" s="64" t="s" ph="1">
        <v>212</v>
      </c>
      <c r="AS49" s="64" t="s" ph="1">
        <v>210</v>
      </c>
      <c r="AT49" s="64" t="s" ph="1">
        <v>211</v>
      </c>
      <c r="AU49" s="64" t="s" ph="1">
        <v>212</v>
      </c>
      <c r="AV49" s="64" t="s" ph="1">
        <v>210</v>
      </c>
      <c r="AW49" s="64" t="s" ph="1">
        <v>211</v>
      </c>
      <c r="AX49" s="64" t="s" ph="1">
        <v>212</v>
      </c>
      <c r="AY49" s="64" t="s" ph="1">
        <v>211</v>
      </c>
      <c r="AZ49" s="64" t="s" ph="1">
        <v>213</v>
      </c>
    </row>
    <row r="50" spans="16:52" ph="1">
      <c r="R50" s="64"/>
      <c r="S50" s="64"/>
      <c r="T50" s="64"/>
      <c r="U50" s="64"/>
      <c r="V50" s="64"/>
      <c r="W50" s="64"/>
      <c r="X50" s="64"/>
      <c r="Y50" s="64"/>
      <c r="Z50" s="64"/>
      <c r="AA50" s="64"/>
      <c r="AB50" s="64"/>
      <c r="AC50" s="64"/>
      <c r="AD50" s="64"/>
      <c r="AE50" s="75"/>
      <c r="AH50" s="64" ph="1">
        <v>1</v>
      </c>
      <c r="AI50" s="64" t="s" ph="1">
        <v>375</v>
      </c>
      <c r="AY50" s="64" t="s" ph="1">
        <v>216</v>
      </c>
      <c r="AZ50" s="64" t="s" ph="1">
        <v>367</v>
      </c>
    </row>
    <row r="51" spans="16:52" ph="1">
      <c r="R51" s="64"/>
      <c r="S51" s="64"/>
      <c r="T51" s="64"/>
      <c r="U51" s="64"/>
      <c r="V51" s="64"/>
      <c r="W51" s="64"/>
      <c r="X51" s="64"/>
      <c r="Y51" s="64"/>
      <c r="Z51" s="64"/>
      <c r="AA51" s="64"/>
      <c r="AB51" s="64"/>
      <c r="AC51" s="64"/>
      <c r="AD51" s="64"/>
      <c r="AE51" s="75"/>
      <c r="AH51" s="64" ph="1">
        <v>2</v>
      </c>
      <c r="AI51" s="64" t="s" ph="1">
        <v>376</v>
      </c>
      <c r="AY51" s="64" t="s" ph="1">
        <v>216</v>
      </c>
      <c r="AZ51" s="64" t="s" ph="1">
        <v>367</v>
      </c>
    </row>
    <row r="52" spans="16:52" ph="1">
      <c r="R52" s="64"/>
      <c r="S52" s="64"/>
      <c r="T52" s="64"/>
      <c r="U52" s="64"/>
      <c r="V52" s="64"/>
      <c r="W52" s="64"/>
      <c r="X52" s="64"/>
      <c r="Y52" s="64"/>
      <c r="Z52" s="64"/>
      <c r="AA52" s="64"/>
      <c r="AB52" s="64"/>
      <c r="AC52" s="64"/>
      <c r="AD52" s="64"/>
      <c r="AE52" s="75"/>
      <c r="AH52" s="64" ph="1">
        <v>3</v>
      </c>
      <c r="AI52" s="64" t="s" ph="1">
        <v>377</v>
      </c>
      <c r="AJ52" s="64" t="s" ph="1">
        <v>334</v>
      </c>
      <c r="AK52" s="64" t="s" ph="1">
        <v>228</v>
      </c>
      <c r="AM52" s="64" t="s" ph="1">
        <v>336</v>
      </c>
      <c r="AN52" s="64" t="s" ph="1">
        <v>300</v>
      </c>
      <c r="AO52" s="64" t="s" ph="1">
        <v>233</v>
      </c>
      <c r="AP52" s="64" t="s" ph="1">
        <v>570</v>
      </c>
      <c r="AQ52" s="64" t="s" ph="1">
        <v>282</v>
      </c>
      <c r="AR52" s="64" t="s" ph="1">
        <v>233</v>
      </c>
      <c r="AY52" s="64" t="s" ph="1">
        <v>216</v>
      </c>
      <c r="AZ52" s="64" t="s" ph="1">
        <v>576</v>
      </c>
    </row>
    <row r="53" spans="16:52" ph="1">
      <c r="R53" s="64"/>
      <c r="S53" s="64"/>
      <c r="T53" s="64"/>
      <c r="U53" s="64"/>
      <c r="W53" s="64"/>
      <c r="X53" s="64"/>
      <c r="Y53" s="64"/>
      <c r="Z53" s="64"/>
      <c r="AA53" s="64"/>
      <c r="AB53" s="64"/>
      <c r="AC53" s="64"/>
      <c r="AD53" s="64"/>
      <c r="AH53" s="64" ph="1">
        <v>4</v>
      </c>
      <c r="AI53" s="64" t="s" ph="1">
        <v>378</v>
      </c>
      <c r="AY53" s="64" t="s" ph="1">
        <v>216</v>
      </c>
      <c r="AZ53" s="64" t="s" ph="1">
        <v>367</v>
      </c>
    </row>
    <row r="54" spans="16:52" ph="1">
      <c r="R54" s="64"/>
      <c r="S54" s="64"/>
      <c r="T54" s="64"/>
      <c r="U54" s="64"/>
      <c r="W54" s="64"/>
      <c r="X54" s="64"/>
      <c r="Y54" s="64"/>
      <c r="Z54" s="64"/>
      <c r="AA54" s="64"/>
      <c r="AC54" s="64"/>
      <c r="AD54" s="64"/>
      <c r="AH54" s="64" ph="1">
        <v>5</v>
      </c>
      <c r="AI54" s="64" t="s" ph="1">
        <v>379</v>
      </c>
      <c r="AJ54" s="64" t="s" ph="1">
        <v>334</v>
      </c>
      <c r="AK54" s="64" t="s" ph="1">
        <v>219</v>
      </c>
      <c r="AM54" s="64" t="s" ph="1">
        <v>336</v>
      </c>
      <c r="AN54" s="64" t="s" ph="1">
        <v>224</v>
      </c>
      <c r="AO54" s="64" t="s" ph="1">
        <v>233</v>
      </c>
      <c r="AP54" s="64" t="s" ph="1">
        <v>570</v>
      </c>
      <c r="AQ54" s="64" t="s" ph="1">
        <v>240</v>
      </c>
      <c r="AR54" s="64" t="s" ph="1">
        <v>233</v>
      </c>
      <c r="AY54" s="64" t="s" ph="1">
        <v>216</v>
      </c>
      <c r="AZ54" s="64" t="s" ph="1">
        <v>234</v>
      </c>
    </row>
    <row r="55" spans="16:52" ph="1">
      <c r="R55" s="64"/>
      <c r="S55" s="64"/>
      <c r="T55" s="64"/>
      <c r="U55" s="64"/>
      <c r="V55" s="64"/>
      <c r="W55" s="64"/>
      <c r="X55" s="64"/>
      <c r="Z55" s="64"/>
      <c r="AC55" s="64"/>
      <c r="AD55" s="64"/>
      <c r="AE55" s="75"/>
      <c r="AH55" s="64" ph="1">
        <v>6</v>
      </c>
      <c r="AI55" s="64" t="s" ph="1">
        <v>380</v>
      </c>
      <c r="AY55" s="64" t="s" ph="1">
        <v>216</v>
      </c>
      <c r="AZ55" s="64" t="s" ph="1">
        <v>367</v>
      </c>
    </row>
    <row r="56" spans="16:52" ph="1">
      <c r="P56" s="64" ph="1">
        <v>20260804</v>
      </c>
      <c r="R56" s="64"/>
      <c r="S56" s="64"/>
      <c r="T56" s="64"/>
      <c r="U56" s="64"/>
      <c r="V56" s="64"/>
      <c r="W56" s="64"/>
      <c r="X56" s="64"/>
      <c r="Z56" s="64"/>
      <c r="AA56" s="64"/>
      <c r="AB56" s="64"/>
      <c r="AC56" s="64"/>
      <c r="AD56" s="64"/>
      <c r="AE56" s="75"/>
      <c r="AH56" s="64" ph="1">
        <v>7</v>
      </c>
      <c r="AI56" s="64" t="s" ph="1">
        <v>381</v>
      </c>
      <c r="AY56" s="64" t="s" ph="1">
        <v>216</v>
      </c>
      <c r="AZ56" s="64" t="s" ph="1">
        <v>367</v>
      </c>
    </row>
    <row r="57" spans="16:52" ph="1">
      <c r="R57" s="64"/>
      <c r="S57" s="64"/>
      <c r="T57" s="64"/>
      <c r="U57" s="64"/>
      <c r="V57" s="64"/>
      <c r="W57" s="64"/>
      <c r="AA57" s="64"/>
      <c r="AB57" s="64"/>
      <c r="AC57" s="64"/>
      <c r="AD57" s="64"/>
      <c r="AE57" s="75"/>
      <c r="AH57" s="64" ph="1">
        <v>8</v>
      </c>
      <c r="AI57" s="64" t="s" ph="1">
        <v>382</v>
      </c>
      <c r="AY57" s="64" t="s" ph="1">
        <v>216</v>
      </c>
      <c r="AZ57" s="64" t="s" ph="1">
        <v>367</v>
      </c>
    </row>
    <row r="58" spans="16:52" ph="1">
      <c r="P58" s="64"/>
      <c r="AN58" s="64" t="s" ph="1">
        <v>217</v>
      </c>
      <c r="AZ58" s="64" t="s" ph="1">
        <v>577</v>
      </c>
    </row>
    <row r="59" spans="16:52" ph="1">
      <c r="V59" s="64"/>
      <c r="AG59" s="64" t="s" ph="1">
        <v>235</v>
      </c>
      <c r="AI59" s="64" t="s" ph="1">
        <v>209</v>
      </c>
      <c r="AJ59" s="64" t="s" ph="1">
        <v>210</v>
      </c>
      <c r="AK59" s="64" t="s" ph="1">
        <v>211</v>
      </c>
      <c r="AM59" s="64" t="s" ph="1">
        <v>210</v>
      </c>
      <c r="AN59" s="64" t="s" ph="1">
        <v>211</v>
      </c>
      <c r="AO59" s="64" t="s" ph="1">
        <v>212</v>
      </c>
      <c r="AP59" s="64" t="s" ph="1">
        <v>210</v>
      </c>
      <c r="AQ59" s="64" t="s" ph="1">
        <v>211</v>
      </c>
      <c r="AR59" s="64" t="s" ph="1">
        <v>212</v>
      </c>
      <c r="AS59" s="64" t="s" ph="1">
        <v>210</v>
      </c>
      <c r="AT59" s="64" t="s" ph="1">
        <v>211</v>
      </c>
      <c r="AU59" s="64" t="s" ph="1">
        <v>212</v>
      </c>
      <c r="AV59" s="64" t="s" ph="1">
        <v>210</v>
      </c>
      <c r="AW59" s="64" t="s" ph="1">
        <v>211</v>
      </c>
      <c r="AX59" s="64" t="s" ph="1">
        <v>212</v>
      </c>
      <c r="AY59" s="64" t="s" ph="1">
        <v>211</v>
      </c>
      <c r="AZ59" s="64" t="s" ph="1">
        <v>213</v>
      </c>
    </row>
    <row r="60" spans="16:52" ph="1">
      <c r="R60" s="64"/>
      <c r="S60" s="64"/>
      <c r="T60" s="64"/>
      <c r="AH60" s="64" ph="1">
        <v>1</v>
      </c>
      <c r="AI60" s="64" t="s" ph="1">
        <v>383</v>
      </c>
      <c r="AY60" s="64" t="s" ph="1">
        <v>216</v>
      </c>
      <c r="AZ60" s="64" t="s" ph="1">
        <v>367</v>
      </c>
    </row>
    <row r="61" spans="16:52" ph="1">
      <c r="AH61" s="64" ph="1">
        <v>2</v>
      </c>
      <c r="AI61" s="64" t="s" ph="1">
        <v>384</v>
      </c>
      <c r="AS61" s="64" t="s" ph="1">
        <v>217</v>
      </c>
      <c r="AY61" s="64" t="s" ph="1">
        <v>216</v>
      </c>
      <c r="AZ61" s="64" t="s" ph="1">
        <v>367</v>
      </c>
    </row>
    <row r="62" spans="16:52" ph="1">
      <c r="AZ62" s="64" t="s" ph="1">
        <v>385</v>
      </c>
    </row>
    <row r="63" spans="16:52" ph="1">
      <c r="AG63" s="64" t="s" ph="1">
        <v>238</v>
      </c>
      <c r="AI63" s="64" t="s" ph="1">
        <v>209</v>
      </c>
      <c r="AJ63" s="64" t="s" ph="1">
        <v>210</v>
      </c>
      <c r="AK63" s="64" t="s" ph="1">
        <v>211</v>
      </c>
      <c r="AM63" s="64" t="s" ph="1">
        <v>210</v>
      </c>
      <c r="AN63" s="64" t="s" ph="1">
        <v>211</v>
      </c>
      <c r="AO63" s="64" t="s" ph="1">
        <v>212</v>
      </c>
      <c r="AP63" s="64" t="s" ph="1">
        <v>210</v>
      </c>
      <c r="AQ63" s="64" t="s" ph="1">
        <v>211</v>
      </c>
      <c r="AR63" s="64" t="s" ph="1">
        <v>212</v>
      </c>
      <c r="AS63" s="64" t="s" ph="1">
        <v>210</v>
      </c>
      <c r="AT63" s="64" t="s" ph="1">
        <v>211</v>
      </c>
      <c r="AU63" s="64" t="s" ph="1">
        <v>212</v>
      </c>
      <c r="AV63" s="64" t="s" ph="1">
        <v>210</v>
      </c>
      <c r="AW63" s="64" t="s" ph="1">
        <v>211</v>
      </c>
      <c r="AX63" s="64" t="s" ph="1">
        <v>212</v>
      </c>
      <c r="AY63" s="64" t="s" ph="1">
        <v>211</v>
      </c>
      <c r="AZ63" s="64" t="s" ph="1">
        <v>213</v>
      </c>
    </row>
    <row r="64" spans="16:52" ph="1">
      <c r="AH64" s="64" ph="1">
        <v>1</v>
      </c>
      <c r="AI64" s="64" t="s" ph="1">
        <v>386</v>
      </c>
      <c r="AJ64" s="64" t="s" ph="1">
        <v>387</v>
      </c>
      <c r="AK64" s="64" t="s" ph="1">
        <v>388</v>
      </c>
      <c r="AY64" s="64" t="s" ph="1">
        <v>216</v>
      </c>
      <c r="AZ64" s="64" t="s" ph="1">
        <v>388</v>
      </c>
    </row>
    <row r="65" spans="33:52" ph="1">
      <c r="AH65" s="64" ph="1">
        <v>2</v>
      </c>
      <c r="AI65" s="64" t="s" ph="1">
        <v>389</v>
      </c>
      <c r="AY65" s="64" t="s" ph="1">
        <v>216</v>
      </c>
      <c r="AZ65" s="64" t="s" ph="1">
        <v>367</v>
      </c>
    </row>
    <row r="66" spans="33:52" ph="1">
      <c r="AH66" s="64" ph="1">
        <v>3</v>
      </c>
      <c r="AI66" s="64" t="s" ph="1">
        <v>390</v>
      </c>
      <c r="AY66" s="64" t="s" ph="1">
        <v>216</v>
      </c>
      <c r="AZ66" s="64" t="s" ph="1">
        <v>367</v>
      </c>
    </row>
    <row r="67" spans="33:52" ph="1">
      <c r="AH67" s="64" ph="1">
        <v>4</v>
      </c>
      <c r="AI67" s="64" t="s" ph="1">
        <v>391</v>
      </c>
      <c r="AY67" s="64" t="s" ph="1">
        <v>216</v>
      </c>
      <c r="AZ67" s="64" t="s" ph="1">
        <v>367</v>
      </c>
    </row>
    <row r="68" spans="33:52" ph="1">
      <c r="AH68" s="64" ph="1">
        <v>5</v>
      </c>
      <c r="AI68" s="64" t="s" ph="1">
        <v>392</v>
      </c>
      <c r="AY68" s="64" t="s" ph="1">
        <v>216</v>
      </c>
      <c r="AZ68" s="64" t="s" ph="1">
        <v>367</v>
      </c>
    </row>
    <row r="69" spans="33:52" ph="1">
      <c r="AH69" s="64" ph="1">
        <v>6</v>
      </c>
      <c r="AI69" s="64" t="s" ph="1">
        <v>393</v>
      </c>
      <c r="AY69" s="64" t="s" ph="1">
        <v>216</v>
      </c>
      <c r="AZ69" s="64" t="s" ph="1">
        <v>367</v>
      </c>
    </row>
    <row r="70" spans="33:52" ph="1">
      <c r="AI70" s="64" t="s" ph="1">
        <v>394</v>
      </c>
      <c r="AY70" s="64" t="s" ph="1">
        <v>216</v>
      </c>
      <c r="AZ70" s="64" t="s" ph="1">
        <v>367</v>
      </c>
    </row>
    <row r="71" spans="33:52" ph="1">
      <c r="AH71" s="64" ph="1">
        <v>7</v>
      </c>
      <c r="AI71" s="64" t="s" ph="1">
        <v>395</v>
      </c>
      <c r="AJ71" s="64" t="s" ph="1">
        <v>334</v>
      </c>
      <c r="AK71" s="64" t="s" ph="1">
        <v>228</v>
      </c>
      <c r="AM71" s="64" t="s" ph="1">
        <v>336</v>
      </c>
      <c r="AN71" s="64" t="s" ph="1">
        <v>228</v>
      </c>
      <c r="AO71" s="64" t="s" ph="1">
        <v>396</v>
      </c>
      <c r="AP71" s="64" t="s" ph="1">
        <v>570</v>
      </c>
      <c r="AQ71" s="64" t="s" ph="1">
        <v>219</v>
      </c>
      <c r="AR71" s="64" t="s" ph="1">
        <v>396</v>
      </c>
      <c r="AY71" s="64" t="s" ph="1">
        <v>216</v>
      </c>
      <c r="AZ71" s="64" t="s" ph="1">
        <v>578</v>
      </c>
    </row>
    <row r="72" spans="33:52" ph="1">
      <c r="AZ72" s="64" t="s" ph="1">
        <v>579</v>
      </c>
    </row>
    <row r="73" spans="33:52" ph="1">
      <c r="AG73" s="64" t="s" ph="1">
        <v>241</v>
      </c>
      <c r="AI73" s="64" t="s" ph="1">
        <v>209</v>
      </c>
      <c r="AJ73" s="64" t="s" ph="1">
        <v>210</v>
      </c>
      <c r="AK73" s="64" t="s" ph="1">
        <v>211</v>
      </c>
      <c r="AM73" s="64" t="s" ph="1">
        <v>210</v>
      </c>
      <c r="AN73" s="64" t="s" ph="1">
        <v>211</v>
      </c>
      <c r="AO73" s="64" t="s" ph="1">
        <v>212</v>
      </c>
      <c r="AP73" s="64" t="s" ph="1">
        <v>210</v>
      </c>
      <c r="AQ73" s="64" t="s" ph="1">
        <v>211</v>
      </c>
      <c r="AR73" s="64" t="s" ph="1">
        <v>212</v>
      </c>
      <c r="AS73" s="64" t="s" ph="1">
        <v>210</v>
      </c>
      <c r="AT73" s="64" t="s" ph="1">
        <v>211</v>
      </c>
      <c r="AU73" s="64" t="s" ph="1">
        <v>212</v>
      </c>
      <c r="AV73" s="64" t="s" ph="1">
        <v>210</v>
      </c>
      <c r="AW73" s="64" t="s" ph="1">
        <v>211</v>
      </c>
      <c r="AX73" s="64" t="s" ph="1">
        <v>212</v>
      </c>
      <c r="AY73" s="64" t="s" ph="1">
        <v>211</v>
      </c>
      <c r="AZ73" s="64" t="s" ph="1">
        <v>213</v>
      </c>
    </row>
    <row r="74" spans="33:52" ph="1">
      <c r="AH74" s="64" ph="1">
        <v>1</v>
      </c>
      <c r="AI74" s="64" t="s" ph="1">
        <v>397</v>
      </c>
      <c r="AJ74" s="64" t="s" ph="1">
        <v>242</v>
      </c>
      <c r="AK74" s="64" t="s" ph="1">
        <v>224</v>
      </c>
      <c r="AM74" s="64" t="s" ph="1">
        <v>244</v>
      </c>
      <c r="AN74" s="64" t="s" ph="1">
        <v>254</v>
      </c>
      <c r="AO74" s="64" t="s" ph="1">
        <v>243</v>
      </c>
      <c r="AP74" s="64" t="s" ph="1">
        <v>245</v>
      </c>
      <c r="AQ74" s="64" t="s" ph="1">
        <v>222</v>
      </c>
      <c r="AR74" s="64" t="s" ph="1">
        <v>243</v>
      </c>
      <c r="AS74" s="64" t="s" ph="1">
        <v>215</v>
      </c>
      <c r="AT74" s="64" t="s" ph="1">
        <v>217</v>
      </c>
      <c r="AV74" s="64" t="s" ph="1">
        <v>398</v>
      </c>
      <c r="AW74" s="64" t="s" ph="1">
        <v>399</v>
      </c>
      <c r="AX74" s="64" t="s" ph="1">
        <v>400</v>
      </c>
      <c r="AY74" s="64" t="s" ph="1">
        <v>216</v>
      </c>
      <c r="AZ74" s="64" t="s" ph="1">
        <v>401</v>
      </c>
    </row>
    <row r="75" spans="33:52" ph="1">
      <c r="AJ75" s="64" t="s" ph="1">
        <v>247</v>
      </c>
      <c r="AK75" s="64" t="s" ph="1">
        <v>300</v>
      </c>
      <c r="AM75" s="64" t="s" ph="1">
        <v>245</v>
      </c>
      <c r="AN75" s="64" t="s" ph="1">
        <v>225</v>
      </c>
      <c r="AO75" s="64" t="s" ph="1">
        <v>243</v>
      </c>
      <c r="AS75" s="64" t="s" ph="1">
        <v>215</v>
      </c>
      <c r="AT75" s="64" t="s" ph="1">
        <v>246</v>
      </c>
    </row>
    <row r="76" spans="33:52" ph="1">
      <c r="AJ76" s="64" t="s" ph="1">
        <v>247</v>
      </c>
      <c r="AK76" s="64" t="s" ph="1">
        <v>240</v>
      </c>
      <c r="AM76" s="64" t="s" ph="1">
        <v>245</v>
      </c>
      <c r="AN76" s="64" t="s" ph="1">
        <v>228</v>
      </c>
      <c r="AO76" s="64" t="s" ph="1">
        <v>243</v>
      </c>
      <c r="AS76" s="64" t="s" ph="1">
        <v>215</v>
      </c>
      <c r="AT76" s="64" t="s" ph="1">
        <v>246</v>
      </c>
    </row>
    <row r="77" spans="33:52" ph="1">
      <c r="AJ77" s="64" t="s" ph="1">
        <v>283</v>
      </c>
      <c r="AK77" s="64" t="s" ph="1">
        <v>240</v>
      </c>
      <c r="AM77" s="64" t="s" ph="1">
        <v>284</v>
      </c>
      <c r="AN77" s="64" t="s" ph="1">
        <v>223</v>
      </c>
      <c r="AO77" s="64" t="s" ph="1">
        <v>243</v>
      </c>
      <c r="AS77" s="64" t="s" ph="1">
        <v>215</v>
      </c>
      <c r="AT77" s="64" t="s" ph="1">
        <v>285</v>
      </c>
    </row>
    <row r="78" spans="33:52" ph="1">
      <c r="AH78" s="64" ph="1">
        <v>2</v>
      </c>
      <c r="AI78" s="64" t="s" ph="1">
        <v>249</v>
      </c>
      <c r="AJ78" s="64" t="s" ph="1">
        <v>250</v>
      </c>
      <c r="AK78" s="64" t="s" ph="1">
        <v>219</v>
      </c>
      <c r="AM78" s="64" t="s" ph="1">
        <v>251</v>
      </c>
      <c r="AN78" s="64" t="s" ph="1">
        <v>254</v>
      </c>
      <c r="AO78" s="64" t="s" ph="1">
        <v>243</v>
      </c>
      <c r="AP78" s="64" t="s" ph="1">
        <v>252</v>
      </c>
      <c r="AQ78" s="64" t="s" ph="1">
        <v>298</v>
      </c>
      <c r="AR78" s="64" t="s" ph="1">
        <v>243</v>
      </c>
      <c r="AS78" s="64" t="s" ph="1">
        <v>253</v>
      </c>
      <c r="AT78" s="64" t="s" ph="1">
        <v>254</v>
      </c>
      <c r="AU78" s="64" t="s" ph="1">
        <v>243</v>
      </c>
      <c r="AV78" s="64" t="s" ph="1">
        <v>255</v>
      </c>
      <c r="AW78" s="64" t="s" ph="1">
        <v>243</v>
      </c>
      <c r="AY78" s="64" t="s" ph="1">
        <v>216</v>
      </c>
      <c r="AZ78" s="64" t="s" ph="1">
        <v>402</v>
      </c>
    </row>
    <row r="79" spans="33:52" ph="1">
      <c r="AJ79" s="64" t="s" ph="1">
        <v>245</v>
      </c>
      <c r="AK79" s="64" t="s" ph="1">
        <v>256</v>
      </c>
      <c r="AM79" s="64" t="s" ph="1">
        <v>257</v>
      </c>
      <c r="AN79" s="64" t="s" ph="1">
        <v>225</v>
      </c>
      <c r="AO79" s="64" t="s" ph="1">
        <v>243</v>
      </c>
      <c r="AP79" s="64" t="s" ph="1">
        <v>258</v>
      </c>
      <c r="AQ79" s="64" t="s" ph="1">
        <v>223</v>
      </c>
      <c r="AR79" s="64" t="s" ph="1">
        <v>259</v>
      </c>
      <c r="AS79" s="64" t="s" ph="1">
        <v>215</v>
      </c>
      <c r="AT79" s="64" t="s" ph="1">
        <v>260</v>
      </c>
      <c r="AV79" s="64" t="s" ph="1">
        <v>403</v>
      </c>
      <c r="AW79" s="64" t="s" ph="1">
        <v>302</v>
      </c>
      <c r="AX79" s="64" t="s" ph="1">
        <v>400</v>
      </c>
    </row>
    <row r="80" spans="33:52" ph="1">
      <c r="AH80" s="64" ph="1">
        <v>3</v>
      </c>
      <c r="AI80" s="64" t="s" ph="1">
        <v>261</v>
      </c>
      <c r="AJ80" s="64" t="s" ph="1">
        <v>262</v>
      </c>
      <c r="AK80" s="64" t="s" ph="1">
        <v>263</v>
      </c>
      <c r="AM80" s="64" t="s" ph="1">
        <v>264</v>
      </c>
      <c r="AN80" s="64" t="s" ph="1">
        <v>254</v>
      </c>
      <c r="AO80" s="64" t="s" ph="1">
        <v>243</v>
      </c>
      <c r="AP80" s="64" t="s" ph="1">
        <v>265</v>
      </c>
      <c r="AQ80" s="64" t="s" ph="1">
        <v>228</v>
      </c>
      <c r="AR80" s="64" t="s" ph="1">
        <v>243</v>
      </c>
      <c r="AS80" s="64" t="s" ph="1">
        <v>266</v>
      </c>
      <c r="AT80" s="64" t="s" ph="1">
        <v>227</v>
      </c>
      <c r="AU80" s="64" t="s" ph="1">
        <v>243</v>
      </c>
      <c r="AV80" s="64" t="s" ph="1">
        <v>267</v>
      </c>
      <c r="AW80" s="64" t="s" ph="1">
        <v>243</v>
      </c>
      <c r="AY80" s="64" t="s" ph="1">
        <v>216</v>
      </c>
      <c r="AZ80" s="64" t="s" ph="1">
        <v>404</v>
      </c>
    </row>
    <row r="81" spans="34:52" ph="1">
      <c r="AJ81" s="64" t="s" ph="1">
        <v>268</v>
      </c>
      <c r="AK81" s="64" t="s" ph="1">
        <v>222</v>
      </c>
      <c r="AM81" s="64" t="s" ph="1">
        <v>269</v>
      </c>
      <c r="AN81" s="64" t="s" ph="1">
        <v>225</v>
      </c>
      <c r="AO81" s="64" t="s" ph="1">
        <v>243</v>
      </c>
      <c r="AP81" s="64" t="s" ph="1">
        <v>270</v>
      </c>
      <c r="AQ81" s="64" t="s" ph="1">
        <v>254</v>
      </c>
      <c r="AR81" s="64" t="s" ph="1">
        <v>243</v>
      </c>
      <c r="AS81" s="64" t="s" ph="1">
        <v>271</v>
      </c>
      <c r="AT81" s="64" t="s" ph="1">
        <v>272</v>
      </c>
      <c r="AU81" s="64" t="s" ph="1">
        <v>243</v>
      </c>
      <c r="AV81" s="64" t="s" ph="1">
        <v>273</v>
      </c>
    </row>
    <row r="82" spans="34:52" ph="1">
      <c r="AJ82" s="64" t="s" ph="1">
        <v>274</v>
      </c>
      <c r="AK82" s="64" t="s" ph="1">
        <v>222</v>
      </c>
      <c r="AM82" s="64" t="s" ph="1">
        <v>275</v>
      </c>
      <c r="AN82" s="64" t="s" ph="1">
        <v>272</v>
      </c>
      <c r="AO82" s="64" t="s" ph="1">
        <v>276</v>
      </c>
      <c r="AP82" s="64" t="s" ph="1">
        <v>277</v>
      </c>
      <c r="AQ82" s="64" t="s" ph="1">
        <v>254</v>
      </c>
      <c r="AR82" s="64" t="s" ph="1">
        <v>243</v>
      </c>
      <c r="AS82" s="64" t="s" ph="1">
        <v>278</v>
      </c>
      <c r="AT82" s="64" t="s" ph="1">
        <v>229</v>
      </c>
      <c r="AU82" s="64" t="s" ph="1">
        <v>243</v>
      </c>
      <c r="AV82" s="64" t="s" ph="1">
        <v>403</v>
      </c>
      <c r="AW82" s="64" t="s" ph="1">
        <v>303</v>
      </c>
      <c r="AX82" s="64" t="s" ph="1">
        <v>400</v>
      </c>
    </row>
    <row r="83" spans="34:52" ph="1">
      <c r="AJ83" s="64" t="s" ph="1">
        <v>279</v>
      </c>
      <c r="AK83" s="64" t="s" ph="1">
        <v>296</v>
      </c>
      <c r="AM83" s="64" t="s" ph="1">
        <v>280</v>
      </c>
      <c r="AN83" s="64" t="s" ph="1">
        <v>228</v>
      </c>
      <c r="AO83" s="64" t="s" ph="1">
        <v>259</v>
      </c>
      <c r="AP83" s="64" t="s" ph="1">
        <v>281</v>
      </c>
      <c r="AQ83" s="64" t="s" ph="1">
        <v>282</v>
      </c>
      <c r="AR83" s="64" t="s" ph="1">
        <v>259</v>
      </c>
      <c r="AS83" s="64" t="s" ph="1">
        <v>405</v>
      </c>
      <c r="AT83" s="64" t="s" ph="1">
        <v>254</v>
      </c>
      <c r="AU83" s="64" t="s" ph="1">
        <v>259</v>
      </c>
      <c r="AV83" s="64" t="s" ph="1">
        <v>406</v>
      </c>
      <c r="AW83" s="64" t="s" ph="1">
        <v>303</v>
      </c>
      <c r="AX83" s="64" t="s" ph="1">
        <v>407</v>
      </c>
    </row>
    <row r="84" spans="34:52" ph="1">
      <c r="AH84" s="64" ph="1">
        <v>4</v>
      </c>
      <c r="AI84" s="64" t="s" ph="1">
        <v>286</v>
      </c>
      <c r="AJ84" s="64" t="s" ph="1">
        <v>226</v>
      </c>
      <c r="AK84" s="64" t="s" ph="1">
        <v>229</v>
      </c>
      <c r="AM84" s="64" t="s" ph="1">
        <v>230</v>
      </c>
      <c r="AN84" s="64" t="s" ph="1">
        <v>223</v>
      </c>
      <c r="AO84" s="64" t="s" ph="1">
        <v>259</v>
      </c>
      <c r="AP84" s="64" t="s" ph="1">
        <v>288</v>
      </c>
      <c r="AQ84" s="64" t="s" ph="1">
        <v>222</v>
      </c>
      <c r="AR84" s="64" t="s" ph="1">
        <v>259</v>
      </c>
      <c r="AS84" s="64" t="s" ph="1">
        <v>288</v>
      </c>
      <c r="AT84" s="64" t="s" ph="1">
        <v>224</v>
      </c>
      <c r="AU84" s="64" t="s" ph="1">
        <v>259</v>
      </c>
      <c r="AY84" s="64" t="s" ph="1">
        <v>216</v>
      </c>
      <c r="AZ84" s="64" t="s" ph="1">
        <v>408</v>
      </c>
    </row>
    <row r="85" spans="34:52" ph="1">
      <c r="AJ85" s="64" t="s" ph="1">
        <v>218</v>
      </c>
      <c r="AK85" s="64" t="s" ph="1">
        <v>222</v>
      </c>
      <c r="AM85" s="64" t="s" ph="1">
        <v>409</v>
      </c>
      <c r="AN85" s="64" t="s" ph="1">
        <v>229</v>
      </c>
      <c r="AO85" s="64" t="s" ph="1">
        <v>259</v>
      </c>
      <c r="AP85" s="64" t="s" ph="1">
        <v>410</v>
      </c>
      <c r="AQ85" s="64" t="s" ph="1">
        <v>225</v>
      </c>
      <c r="AR85" s="64" t="s" ph="1">
        <v>259</v>
      </c>
      <c r="AS85" s="64" t="s" ph="1">
        <v>411</v>
      </c>
      <c r="AT85" s="64" t="s" ph="1">
        <v>225</v>
      </c>
      <c r="AU85" s="64" t="s" ph="1">
        <v>259</v>
      </c>
    </row>
    <row r="86" spans="34:52" ph="1">
      <c r="AJ86" s="64" t="s" ph="1">
        <v>412</v>
      </c>
      <c r="AK86" s="64" t="s" ph="1">
        <v>231</v>
      </c>
      <c r="AM86" s="64" t="s" ph="1">
        <v>413</v>
      </c>
      <c r="AN86" s="64" t="s" ph="1">
        <v>272</v>
      </c>
      <c r="AO86" s="64" t="s" ph="1">
        <v>259</v>
      </c>
      <c r="AP86" s="64" t="s" ph="1">
        <v>414</v>
      </c>
      <c r="AQ86" s="64" t="s" ph="1">
        <v>219</v>
      </c>
      <c r="AR86" s="64" t="s" ph="1">
        <v>259</v>
      </c>
      <c r="AS86" s="64" t="s" ph="1">
        <v>415</v>
      </c>
      <c r="AT86" s="64" t="s" ph="1">
        <v>237</v>
      </c>
      <c r="AU86" s="64" t="s" ph="1">
        <v>259</v>
      </c>
    </row>
    <row r="87" spans="34:52" ph="1">
      <c r="AJ87" s="64" t="s" ph="1">
        <v>416</v>
      </c>
      <c r="AK87" s="64" t="s" ph="1">
        <v>272</v>
      </c>
      <c r="AM87" s="64" t="s" ph="1">
        <v>403</v>
      </c>
      <c r="AN87" s="64" t="s" ph="1">
        <v>417</v>
      </c>
      <c r="AO87" s="64" t="s" ph="1">
        <v>400</v>
      </c>
    </row>
    <row r="88" spans="34:52" ph="1">
      <c r="AH88" s="64" ph="1">
        <v>5</v>
      </c>
      <c r="AI88" s="64" t="s" ph="1">
        <v>289</v>
      </c>
      <c r="AJ88" s="64" t="s" ph="1">
        <v>418</v>
      </c>
      <c r="AK88" s="64" t="s" ph="1">
        <v>272</v>
      </c>
      <c r="AM88" s="64" t="s" ph="1">
        <v>419</v>
      </c>
      <c r="AN88" s="64" t="s" ph="1">
        <v>272</v>
      </c>
      <c r="AO88" s="64" t="s" ph="1">
        <v>259</v>
      </c>
      <c r="AP88" s="64" t="s" ph="1">
        <v>420</v>
      </c>
      <c r="AQ88" s="64" t="s" ph="1">
        <v>222</v>
      </c>
      <c r="AR88" s="64" t="s" ph="1">
        <v>259</v>
      </c>
      <c r="AS88" s="64" t="s" ph="1">
        <v>421</v>
      </c>
      <c r="AT88" s="64" t="s" ph="1">
        <v>272</v>
      </c>
      <c r="AU88" s="64" t="s" ph="1">
        <v>259</v>
      </c>
      <c r="AV88" s="64" t="s" ph="1">
        <v>422</v>
      </c>
      <c r="AW88" s="64" t="s" ph="1">
        <v>227</v>
      </c>
      <c r="AX88" s="64" t="s" ph="1">
        <v>259</v>
      </c>
      <c r="AY88" s="64" t="s" ph="1">
        <v>216</v>
      </c>
      <c r="AZ88" s="64" t="s" ph="1">
        <v>423</v>
      </c>
    </row>
    <row r="89" spans="34:52" ph="1">
      <c r="AJ89" s="64" t="s" ph="1">
        <v>424</v>
      </c>
      <c r="AK89" s="64" t="s" ph="1">
        <v>225</v>
      </c>
      <c r="AM89" s="64" t="s" ph="1">
        <v>425</v>
      </c>
      <c r="AN89" s="64" t="s" ph="1">
        <v>228</v>
      </c>
      <c r="AO89" s="64" t="s" ph="1">
        <v>259</v>
      </c>
      <c r="AP89" s="64" t="s" ph="1">
        <v>426</v>
      </c>
      <c r="AQ89" s="64" t="s" ph="1">
        <v>237</v>
      </c>
      <c r="AR89" s="64" t="s" ph="1">
        <v>259</v>
      </c>
      <c r="AS89" s="64" t="s" ph="1">
        <v>427</v>
      </c>
      <c r="AT89" s="64" t="s" ph="1">
        <v>272</v>
      </c>
      <c r="AU89" s="64" t="s" ph="1">
        <v>259</v>
      </c>
      <c r="AV89" s="64" t="s" ph="1">
        <v>428</v>
      </c>
      <c r="AW89" s="64" t="s" ph="1">
        <v>254</v>
      </c>
      <c r="AX89" s="64" t="s" ph="1">
        <v>287</v>
      </c>
    </row>
    <row r="90" spans="34:52" ph="1">
      <c r="AJ90" s="64" t="s" ph="1">
        <v>429</v>
      </c>
      <c r="AK90" s="64" t="s" ph="1">
        <v>228</v>
      </c>
      <c r="AM90" s="64" t="s" ph="1">
        <v>430</v>
      </c>
      <c r="AN90" s="64" t="s" ph="1">
        <v>225</v>
      </c>
      <c r="AO90" s="64" t="s" ph="1">
        <v>259</v>
      </c>
      <c r="AP90" s="64" t="s" ph="1">
        <v>431</v>
      </c>
      <c r="AQ90" s="64" t="s" ph="1">
        <v>294</v>
      </c>
      <c r="AR90" s="64" t="s" ph="1">
        <v>259</v>
      </c>
      <c r="AS90" s="64" t="s" ph="1">
        <v>432</v>
      </c>
      <c r="AT90" s="64" t="s" ph="1">
        <v>282</v>
      </c>
      <c r="AU90" s="64" t="s" ph="1">
        <v>259</v>
      </c>
      <c r="AV90" s="64" t="s" ph="1">
        <v>433</v>
      </c>
      <c r="AW90" s="64" t="s" ph="1">
        <v>219</v>
      </c>
      <c r="AX90" s="64" t="s" ph="1">
        <v>259</v>
      </c>
    </row>
    <row r="91" spans="34:52" ph="1">
      <c r="AJ91" s="64" t="s" ph="1">
        <v>434</v>
      </c>
      <c r="AK91" s="64" t="s" ph="1">
        <v>272</v>
      </c>
      <c r="AM91" s="64" t="s" ph="1">
        <v>435</v>
      </c>
      <c r="AN91" s="64" t="s" ph="1">
        <v>239</v>
      </c>
      <c r="AO91" s="64" t="s" ph="1">
        <v>259</v>
      </c>
      <c r="AP91" s="64" t="s" ph="1">
        <v>436</v>
      </c>
      <c r="AQ91" s="64" t="s" ph="1">
        <v>219</v>
      </c>
      <c r="AS91" s="64" t="s" ph="1">
        <v>403</v>
      </c>
      <c r="AT91" s="64" t="s" ph="1">
        <v>399</v>
      </c>
      <c r="AU91" s="64" t="s" ph="1">
        <v>400</v>
      </c>
    </row>
    <row r="92" spans="34:52" ph="1">
      <c r="AH92" s="64" ph="1">
        <v>6</v>
      </c>
      <c r="AI92" s="64" t="s" ph="1">
        <v>437</v>
      </c>
      <c r="AJ92" s="64" t="s" ph="1">
        <v>438</v>
      </c>
      <c r="AK92" s="64" t="s" ph="1">
        <v>367</v>
      </c>
      <c r="AM92" s="64" t="s" ph="1">
        <v>439</v>
      </c>
      <c r="AN92" s="64" t="s" ph="1">
        <v>227</v>
      </c>
      <c r="AO92" s="64" t="s" ph="1">
        <v>259</v>
      </c>
      <c r="AP92" s="64" t="s" ph="1">
        <v>440</v>
      </c>
      <c r="AQ92" s="64" t="s" ph="1">
        <v>299</v>
      </c>
      <c r="AR92" s="64" t="s" ph="1">
        <v>259</v>
      </c>
      <c r="AS92" s="64" t="s" ph="1">
        <v>441</v>
      </c>
      <c r="AT92" s="64" t="s" ph="1">
        <v>272</v>
      </c>
      <c r="AU92" s="64" t="s" ph="1">
        <v>259</v>
      </c>
      <c r="AV92" s="64" t="s" ph="1">
        <v>442</v>
      </c>
      <c r="AW92" s="64" t="s" ph="1">
        <v>228</v>
      </c>
      <c r="AX92" s="64" t="s" ph="1">
        <v>259</v>
      </c>
      <c r="AY92" s="64" t="s" ph="1">
        <v>216</v>
      </c>
      <c r="AZ92" s="64" t="s" ph="1">
        <v>423</v>
      </c>
    </row>
    <row r="93" spans="34:52" ph="1">
      <c r="AJ93" s="64" t="s" ph="1">
        <v>443</v>
      </c>
      <c r="AK93" s="64" t="s" ph="1">
        <v>222</v>
      </c>
      <c r="AM93" s="64" t="s" ph="1">
        <v>444</v>
      </c>
      <c r="AN93" s="64" t="s" ph="1">
        <v>227</v>
      </c>
      <c r="AO93" s="64" t="s" ph="1">
        <v>259</v>
      </c>
      <c r="AP93" s="64" t="s" ph="1">
        <v>445</v>
      </c>
      <c r="AQ93" s="64" t="s" ph="1">
        <v>231</v>
      </c>
      <c r="AR93" s="64" t="s" ph="1">
        <v>259</v>
      </c>
      <c r="AS93" s="64" t="s" ph="1">
        <v>446</v>
      </c>
      <c r="AT93" s="64" t="s" ph="1">
        <v>237</v>
      </c>
      <c r="AU93" s="64" t="s" ph="1">
        <v>259</v>
      </c>
      <c r="AV93" s="64" t="s" ph="1">
        <v>447</v>
      </c>
      <c r="AW93" s="64" t="s" ph="1">
        <v>231</v>
      </c>
      <c r="AX93" s="64" t="s" ph="1">
        <v>259</v>
      </c>
    </row>
    <row r="94" spans="34:52" ph="1">
      <c r="AJ94" s="64" t="s" ph="1">
        <v>448</v>
      </c>
      <c r="AK94" s="64" t="s" ph="1">
        <v>294</v>
      </c>
      <c r="AM94" s="64" t="s" ph="1">
        <v>449</v>
      </c>
      <c r="AN94" s="64" t="s" ph="1">
        <v>231</v>
      </c>
      <c r="AO94" s="64" t="s" ph="1">
        <v>259</v>
      </c>
      <c r="AP94" s="64" t="s" ph="1">
        <v>450</v>
      </c>
      <c r="AQ94" s="64" t="s" ph="1">
        <v>239</v>
      </c>
      <c r="AR94" s="64" t="s" ph="1">
        <v>259</v>
      </c>
      <c r="AS94" s="64" t="s" ph="1">
        <v>451</v>
      </c>
      <c r="AT94" s="64" t="s" ph="1">
        <v>225</v>
      </c>
      <c r="AU94" s="64" t="s" ph="1">
        <v>259</v>
      </c>
      <c r="AV94" s="64" t="s" ph="1">
        <v>452</v>
      </c>
      <c r="AW94" s="64" t="s" ph="1">
        <v>225</v>
      </c>
      <c r="AX94" s="64" t="s" ph="1">
        <v>259</v>
      </c>
    </row>
    <row r="95" spans="34:52" ph="1">
      <c r="AJ95" s="64" t="s" ph="1">
        <v>453</v>
      </c>
      <c r="AK95" s="64" t="s" ph="1">
        <v>299</v>
      </c>
    </row>
    <row r="96" spans="34:52" ph="1">
      <c r="AH96" s="64" ph="1">
        <v>7</v>
      </c>
      <c r="AI96" s="64" t="s" ph="1">
        <v>454</v>
      </c>
      <c r="AJ96" s="64" t="s" ph="1">
        <v>453</v>
      </c>
      <c r="AK96" s="64" t="s" ph="1">
        <v>254</v>
      </c>
      <c r="AM96" s="64" t="s" ph="1">
        <v>455</v>
      </c>
      <c r="AN96" s="64" t="s" ph="1">
        <v>228</v>
      </c>
      <c r="AO96" s="64" t="s" ph="1">
        <v>259</v>
      </c>
      <c r="AP96" s="64" t="s" ph="1">
        <v>456</v>
      </c>
      <c r="AQ96" s="64" t="s" ph="1">
        <v>272</v>
      </c>
      <c r="AR96" s="64" t="s" ph="1">
        <v>287</v>
      </c>
      <c r="AS96" s="64" t="s" ph="1">
        <v>457</v>
      </c>
      <c r="AT96" s="64" t="s" ph="1">
        <v>231</v>
      </c>
      <c r="AU96" s="64" t="s" ph="1">
        <v>287</v>
      </c>
      <c r="AV96" s="64" t="s" ph="1">
        <v>458</v>
      </c>
      <c r="AW96" s="64" t="s" ph="1">
        <v>227</v>
      </c>
      <c r="AX96" s="64" t="s" ph="1">
        <v>287</v>
      </c>
      <c r="AY96" s="64" t="s" ph="1">
        <v>216</v>
      </c>
      <c r="AZ96" s="64" t="s" ph="1">
        <v>459</v>
      </c>
    </row>
    <row r="97" spans="33:52" ph="1">
      <c r="AJ97" s="64" t="s" ph="1">
        <v>460</v>
      </c>
      <c r="AK97" s="64" t="s" ph="1">
        <v>282</v>
      </c>
      <c r="AM97" s="64" t="s" ph="1">
        <v>461</v>
      </c>
      <c r="AN97" s="64" t="s" ph="1">
        <v>225</v>
      </c>
      <c r="AO97" s="64" t="s" ph="1">
        <v>259</v>
      </c>
      <c r="AP97" s="64" t="s" ph="1">
        <v>462</v>
      </c>
      <c r="AQ97" s="64" t="s" ph="1">
        <v>219</v>
      </c>
      <c r="AR97" s="64" t="s" ph="1">
        <v>287</v>
      </c>
      <c r="AS97" s="64" t="s" ph="1">
        <v>463</v>
      </c>
      <c r="AT97" s="64" t="s" ph="1">
        <v>222</v>
      </c>
      <c r="AU97" s="64" t="s" ph="1">
        <v>287</v>
      </c>
      <c r="AV97" s="64" t="s" ph="1">
        <v>464</v>
      </c>
      <c r="AW97" s="64" t="s" ph="1">
        <v>228</v>
      </c>
      <c r="AX97" s="64" t="s" ph="1">
        <v>287</v>
      </c>
    </row>
    <row r="98" spans="33:52" ph="1">
      <c r="AJ98" s="64" t="s" ph="1">
        <v>465</v>
      </c>
      <c r="AK98" s="64" t="s" ph="1">
        <v>231</v>
      </c>
      <c r="AM98" s="64" t="s" ph="1">
        <v>466</v>
      </c>
      <c r="AN98" s="64" t="s" ph="1">
        <v>239</v>
      </c>
      <c r="AO98" s="64" t="s" ph="1">
        <v>259</v>
      </c>
      <c r="AP98" s="64" t="s" ph="1">
        <v>467</v>
      </c>
      <c r="AQ98" s="64" t="s" ph="1">
        <v>219</v>
      </c>
      <c r="AR98" s="64" t="s" ph="1">
        <v>287</v>
      </c>
      <c r="AS98" s="64" t="s" ph="1">
        <v>468</v>
      </c>
      <c r="AT98" s="64" t="s" ph="1">
        <v>299</v>
      </c>
      <c r="AU98" s="64" t="s" ph="1">
        <v>287</v>
      </c>
      <c r="AV98" s="64" t="s" ph="1">
        <v>469</v>
      </c>
      <c r="AW98" s="64" t="s" ph="1">
        <v>222</v>
      </c>
      <c r="AX98" s="64" t="s" ph="1">
        <v>287</v>
      </c>
    </row>
    <row r="99" spans="33:52" ph="1">
      <c r="AH99" s="64" ph="1">
        <v>8</v>
      </c>
      <c r="AI99" s="64" t="s" ph="1">
        <v>470</v>
      </c>
      <c r="AJ99" s="64" t="s" ph="1">
        <v>471</v>
      </c>
      <c r="AK99" s="64" t="s" ph="1">
        <v>367</v>
      </c>
      <c r="AM99" s="64" t="s" ph="1">
        <v>472</v>
      </c>
      <c r="AN99" s="64" t="s" ph="1">
        <v>254</v>
      </c>
      <c r="AO99" s="64" t="s" ph="1">
        <v>259</v>
      </c>
      <c r="AP99" s="64" t="s" ph="1">
        <v>473</v>
      </c>
      <c r="AQ99" s="64" t="s" ph="1">
        <v>224</v>
      </c>
      <c r="AR99" s="64" t="s" ph="1">
        <v>287</v>
      </c>
      <c r="AS99" s="64" t="s" ph="1">
        <v>474</v>
      </c>
      <c r="AT99" s="64" t="s" ph="1">
        <v>239</v>
      </c>
      <c r="AU99" s="64" t="s" ph="1">
        <v>287</v>
      </c>
      <c r="AV99" s="64" t="s" ph="1">
        <v>475</v>
      </c>
      <c r="AW99" s="64" t="s" ph="1">
        <v>224</v>
      </c>
      <c r="AX99" s="64" t="s" ph="1">
        <v>287</v>
      </c>
      <c r="AY99" s="64" t="s" ph="1">
        <v>216</v>
      </c>
      <c r="AZ99" s="64" t="s" ph="1">
        <v>476</v>
      </c>
    </row>
    <row r="100" spans="33:52" ph="1">
      <c r="AJ100" s="64" t="s" ph="1">
        <v>477</v>
      </c>
      <c r="AK100" s="64" t="s" ph="1">
        <v>222</v>
      </c>
      <c r="AM100" s="64" t="s" ph="1">
        <v>478</v>
      </c>
      <c r="AN100" s="64" t="s" ph="1">
        <v>294</v>
      </c>
      <c r="AO100" s="64" t="s" ph="1">
        <v>259</v>
      </c>
      <c r="AP100" s="64" t="s" ph="1">
        <v>479</v>
      </c>
      <c r="AQ100" s="64" t="s" ph="1">
        <v>300</v>
      </c>
      <c r="AR100" s="64" t="s" ph="1">
        <v>287</v>
      </c>
      <c r="AS100" s="64" t="s" ph="1">
        <v>480</v>
      </c>
      <c r="AT100" s="64" t="s" ph="1">
        <v>367</v>
      </c>
      <c r="AU100" s="64" t="s" ph="1">
        <v>259</v>
      </c>
      <c r="AV100" s="64" t="s" ph="1">
        <v>481</v>
      </c>
      <c r="AW100" s="64" t="s" ph="1">
        <v>367</v>
      </c>
      <c r="AX100" s="64" t="s" ph="1">
        <v>259</v>
      </c>
    </row>
    <row r="101" spans="33:52" ph="1">
      <c r="AJ101" s="64" t="s" ph="1">
        <v>482</v>
      </c>
      <c r="AK101" s="64" t="s" ph="1">
        <v>367</v>
      </c>
      <c r="AM101" s="64" t="s" ph="1">
        <v>483</v>
      </c>
      <c r="AN101" s="64" t="s" ph="1">
        <v>225</v>
      </c>
      <c r="AO101" s="64" t="s" ph="1">
        <v>259</v>
      </c>
      <c r="AP101" s="64" t="s" ph="1">
        <v>484</v>
      </c>
      <c r="AQ101" s="64" t="s" ph="1">
        <v>237</v>
      </c>
      <c r="AR101" s="64" t="s" ph="1">
        <v>287</v>
      </c>
      <c r="AS101" s="64" t="s" ph="1">
        <v>485</v>
      </c>
      <c r="AT101" s="64" t="s" ph="1">
        <v>294</v>
      </c>
      <c r="AU101" s="64" t="s" ph="1">
        <v>287</v>
      </c>
      <c r="AV101" s="64" t="s" ph="1">
        <v>486</v>
      </c>
      <c r="AW101" s="64" t="s" ph="1">
        <v>225</v>
      </c>
      <c r="AX101" s="64" t="s" ph="1">
        <v>259</v>
      </c>
    </row>
    <row r="102" spans="33:52" ph="1">
      <c r="AJ102" s="64" t="s" ph="1">
        <v>487</v>
      </c>
      <c r="AK102" s="64" t="s" ph="1">
        <v>222</v>
      </c>
      <c r="AM102" s="64" t="s" ph="1">
        <v>488</v>
      </c>
      <c r="AN102" s="64" t="s" ph="1">
        <v>231</v>
      </c>
      <c r="AO102" s="64" t="s" ph="1">
        <v>259</v>
      </c>
      <c r="AP102" s="64" t="s" ph="1">
        <v>489</v>
      </c>
      <c r="AQ102" s="64" t="s" ph="1">
        <v>237</v>
      </c>
      <c r="AR102" s="64" t="s" ph="1">
        <v>259</v>
      </c>
      <c r="AS102" s="64" t="s" ph="1">
        <v>490</v>
      </c>
      <c r="AT102" s="64" t="s" ph="1">
        <v>254</v>
      </c>
      <c r="AU102" s="64" t="s" ph="1">
        <v>259</v>
      </c>
      <c r="AV102" s="64" t="s" ph="1">
        <v>491</v>
      </c>
      <c r="AW102" s="64" t="s" ph="1">
        <v>272</v>
      </c>
      <c r="AX102" s="64" t="s" ph="1">
        <v>259</v>
      </c>
    </row>
    <row r="103" spans="33:52" ph="1">
      <c r="AH103" s="64" ph="1">
        <v>9</v>
      </c>
      <c r="AI103" s="64" t="s" ph="1">
        <v>492</v>
      </c>
      <c r="AJ103" s="64" t="s" ph="1">
        <v>493</v>
      </c>
      <c r="AK103" s="64" t="s" ph="1">
        <v>367</v>
      </c>
      <c r="AM103" s="64" t="s" ph="1">
        <v>494</v>
      </c>
      <c r="AN103" s="64" t="s" ph="1">
        <v>282</v>
      </c>
      <c r="AO103" s="64" t="s" ph="1">
        <v>259</v>
      </c>
      <c r="AP103" s="64" t="s" ph="1">
        <v>336</v>
      </c>
      <c r="AQ103" s="64" t="s" ph="1">
        <v>225</v>
      </c>
      <c r="AR103" s="64" t="s" ph="1">
        <v>259</v>
      </c>
      <c r="AS103" s="64" t="s" ph="1">
        <v>570</v>
      </c>
      <c r="AT103" s="64" t="s" ph="1">
        <v>367</v>
      </c>
      <c r="AU103" s="64" t="s" ph="1">
        <v>259</v>
      </c>
      <c r="AY103" s="64" t="s" ph="1">
        <v>216</v>
      </c>
      <c r="AZ103" s="64" t="s" ph="1">
        <v>224</v>
      </c>
    </row>
    <row r="104" spans="33:52" ph="1">
      <c r="AZ104" s="64" t="s" ph="1">
        <v>495</v>
      </c>
    </row>
    <row r="105" spans="33:52" ph="1">
      <c r="AG105" s="64" t="s" ph="1">
        <v>295</v>
      </c>
      <c r="AI105" s="64" t="s" ph="1">
        <v>209</v>
      </c>
      <c r="AJ105" s="64" t="s" ph="1">
        <v>210</v>
      </c>
      <c r="AK105" s="64" t="s" ph="1">
        <v>211</v>
      </c>
      <c r="AM105" s="64" t="s" ph="1">
        <v>210</v>
      </c>
      <c r="AN105" s="64" t="s" ph="1">
        <v>211</v>
      </c>
      <c r="AO105" s="64" t="s" ph="1">
        <v>212</v>
      </c>
      <c r="AP105" s="64" t="s" ph="1">
        <v>210</v>
      </c>
      <c r="AQ105" s="64" t="s" ph="1">
        <v>211</v>
      </c>
      <c r="AR105" s="64" t="s" ph="1">
        <v>212</v>
      </c>
      <c r="AS105" s="64" t="s" ph="1">
        <v>210</v>
      </c>
      <c r="AT105" s="64" t="s" ph="1">
        <v>211</v>
      </c>
      <c r="AU105" s="64" t="s" ph="1">
        <v>212</v>
      </c>
      <c r="AV105" s="64" t="s" ph="1">
        <v>210</v>
      </c>
      <c r="AW105" s="64" t="s" ph="1">
        <v>211</v>
      </c>
      <c r="AX105" s="64" t="s" ph="1">
        <v>212</v>
      </c>
      <c r="AZ105" s="64" t="s" ph="1">
        <v>213</v>
      </c>
    </row>
    <row r="106" spans="33:52" ph="1">
      <c r="AH106" s="64" ph="1">
        <v>1</v>
      </c>
      <c r="AI106" s="64" t="s" ph="1">
        <v>496</v>
      </c>
      <c r="AJ106" s="64" t="s" ph="1">
        <v>570</v>
      </c>
      <c r="AK106" s="64" t="s" ph="1">
        <v>231</v>
      </c>
      <c r="AZ106" s="64" t="s" ph="1">
        <v>231</v>
      </c>
    </row>
    <row r="107" spans="33:52" ph="1">
      <c r="AH107" s="64" ph="1">
        <v>2</v>
      </c>
      <c r="AI107" s="64" t="s" ph="1">
        <v>497</v>
      </c>
      <c r="AJ107" s="64" t="s" ph="1">
        <v>498</v>
      </c>
      <c r="AK107" s="64" t="s" ph="1">
        <v>228</v>
      </c>
      <c r="AM107" s="64" t="s" ph="1">
        <v>334</v>
      </c>
      <c r="AN107" s="64" t="s" ph="1">
        <v>499</v>
      </c>
      <c r="AO107" s="64" t="s" ph="1">
        <v>500</v>
      </c>
      <c r="AP107" s="64" t="s" ph="1">
        <v>336</v>
      </c>
      <c r="AQ107" s="64" t="s" ph="1">
        <v>304</v>
      </c>
      <c r="AR107" s="64" t="s" ph="1">
        <v>500</v>
      </c>
      <c r="AS107" s="64" t="s" ph="1">
        <v>570</v>
      </c>
      <c r="AT107" s="64" t="s" ph="1">
        <v>499</v>
      </c>
      <c r="AU107" s="64" t="s" ph="1">
        <v>500</v>
      </c>
      <c r="AY107" s="64" t="s" ph="1">
        <v>216</v>
      </c>
      <c r="AZ107" s="64" t="s" ph="1">
        <v>580</v>
      </c>
    </row>
    <row r="108" spans="33:52" ph="1">
      <c r="AH108" s="64" ph="1">
        <v>3</v>
      </c>
      <c r="AI108" s="64" t="s" ph="1">
        <v>501</v>
      </c>
      <c r="AY108" s="64" t="s" ph="1">
        <v>216</v>
      </c>
      <c r="AZ108" s="64" t="s" ph="1">
        <v>367</v>
      </c>
    </row>
    <row r="109" spans="33:52" ph="1">
      <c r="AH109" s="64" ph="1">
        <v>4</v>
      </c>
      <c r="AI109" s="64" t="s" ph="1">
        <v>502</v>
      </c>
      <c r="AY109" s="64" t="s" ph="1">
        <v>216</v>
      </c>
      <c r="AZ109" s="64" t="s" ph="1">
        <v>367</v>
      </c>
    </row>
    <row r="110" spans="33:52" ph="1">
      <c r="AH110" s="64" ph="1">
        <v>5</v>
      </c>
      <c r="AI110" s="64" t="s" ph="1">
        <v>503</v>
      </c>
      <c r="AY110" s="64" t="s" ph="1">
        <v>216</v>
      </c>
      <c r="AZ110" s="64" t="s" ph="1">
        <v>367</v>
      </c>
    </row>
    <row r="111" spans="33:52" ph="1">
      <c r="AH111" s="64" ph="1">
        <v>6</v>
      </c>
      <c r="AI111" s="64" t="s" ph="1">
        <v>581</v>
      </c>
      <c r="AJ111" s="64" t="s" ph="1">
        <v>486</v>
      </c>
      <c r="AK111" s="64" t="s" ph="1">
        <v>225</v>
      </c>
      <c r="AM111" s="64" t="s" ph="1">
        <v>487</v>
      </c>
      <c r="AN111" s="64" t="s" ph="1">
        <v>219</v>
      </c>
      <c r="AO111" s="64" t="s" ph="1">
        <v>500</v>
      </c>
      <c r="AP111" s="64" t="s" ph="1">
        <v>488</v>
      </c>
      <c r="AQ111" s="64" t="s" ph="1">
        <v>228</v>
      </c>
      <c r="AR111" s="64" t="s" ph="1">
        <v>500</v>
      </c>
      <c r="AS111" s="64" t="s" ph="1">
        <v>489</v>
      </c>
      <c r="AT111" s="64" t="s" ph="1">
        <v>237</v>
      </c>
      <c r="AU111" s="64" t="s" ph="1">
        <v>500</v>
      </c>
      <c r="AV111" s="64" t="s" ph="1">
        <v>490</v>
      </c>
      <c r="AW111" s="64" t="s" ph="1">
        <v>227</v>
      </c>
      <c r="AX111" s="64" t="s" ph="1">
        <v>500</v>
      </c>
      <c r="AY111" s="64" t="s" ph="1">
        <v>216</v>
      </c>
      <c r="AZ111" s="64" t="s" ph="1">
        <v>504</v>
      </c>
    </row>
    <row r="112" spans="33:52" ph="1">
      <c r="AJ112" s="64" t="s" ph="1">
        <v>491</v>
      </c>
      <c r="AK112" s="64" t="s" ph="1">
        <v>272</v>
      </c>
      <c r="AM112" s="64" t="s" ph="1">
        <v>493</v>
      </c>
      <c r="AN112" s="64" t="s" ph="1">
        <v>296</v>
      </c>
      <c r="AO112" s="64" t="s" ph="1">
        <v>500</v>
      </c>
      <c r="AP112" s="64" t="s" ph="1">
        <v>494</v>
      </c>
      <c r="AQ112" s="64" t="s" ph="1">
        <v>505</v>
      </c>
      <c r="AR112" s="64" t="s" ph="1">
        <v>500</v>
      </c>
      <c r="AS112" s="64" t="s" ph="1">
        <v>506</v>
      </c>
      <c r="AT112" s="64" t="s" ph="1">
        <v>248</v>
      </c>
      <c r="AU112" s="64" t="s" ph="1">
        <v>500</v>
      </c>
      <c r="AV112" s="64" t="s" ph="1">
        <v>507</v>
      </c>
      <c r="AW112" s="64" t="s" ph="1">
        <v>294</v>
      </c>
      <c r="AX112" s="64" t="s" ph="1">
        <v>500</v>
      </c>
    </row>
    <row r="113" spans="33:52" ph="1">
      <c r="AH113" s="64" ph="1">
        <v>7</v>
      </c>
      <c r="AI113" s="64" t="s" ph="1">
        <v>508</v>
      </c>
      <c r="AJ113" s="64" t="s" ph="1">
        <v>589</v>
      </c>
      <c r="AK113" s="64" t="s" ph="1">
        <v>594</v>
      </c>
      <c r="AY113" s="64" t="s" ph="1">
        <v>216</v>
      </c>
      <c r="AZ113" s="64" t="s" ph="1">
        <v>594</v>
      </c>
    </row>
    <row r="114" spans="33:52" ph="1">
      <c r="AH114" s="64" ph="1">
        <v>8</v>
      </c>
      <c r="AI114" s="64" t="s" ph="1">
        <v>509</v>
      </c>
      <c r="AJ114" s="64" t="s" ph="1">
        <v>589</v>
      </c>
      <c r="AK114" s="64" t="s" ph="1">
        <v>595</v>
      </c>
      <c r="AY114" s="64" t="s" ph="1">
        <v>216</v>
      </c>
      <c r="AZ114" s="64" t="s" ph="1">
        <v>595</v>
      </c>
    </row>
    <row r="115" spans="33:52" ph="1">
      <c r="AH115" s="64" ph="1">
        <v>9</v>
      </c>
      <c r="AI115" s="64" t="s" ph="1">
        <v>510</v>
      </c>
      <c r="AJ115" s="64" t="s" ph="1">
        <v>589</v>
      </c>
      <c r="AK115" s="64" t="s" ph="1">
        <v>595</v>
      </c>
      <c r="AY115" s="64" t="s" ph="1">
        <v>216</v>
      </c>
      <c r="AZ115" s="64" t="s" ph="1">
        <v>595</v>
      </c>
    </row>
    <row r="116" spans="33:52" ph="1">
      <c r="AH116" s="64" ph="1">
        <v>10</v>
      </c>
      <c r="AI116" s="64" t="s" ph="1">
        <v>511</v>
      </c>
      <c r="AJ116" s="64" t="s" ph="1">
        <v>589</v>
      </c>
      <c r="AK116" s="64" t="s" ph="1">
        <v>595</v>
      </c>
      <c r="AY116" s="64" t="s" ph="1">
        <v>216</v>
      </c>
      <c r="AZ116" s="64" t="s" ph="1">
        <v>595</v>
      </c>
    </row>
    <row r="117" spans="33:52" ph="1">
      <c r="AH117" s="64" ph="1">
        <v>11</v>
      </c>
      <c r="AI117" s="64" t="s" ph="1">
        <v>512</v>
      </c>
      <c r="AJ117" s="64" t="s" ph="1">
        <v>589</v>
      </c>
      <c r="AK117" s="64" t="s" ph="1">
        <v>595</v>
      </c>
      <c r="AY117" s="64" t="s" ph="1">
        <v>216</v>
      </c>
      <c r="AZ117" s="64" t="s" ph="1">
        <v>595</v>
      </c>
    </row>
    <row r="118" spans="33:52" ph="1">
      <c r="AZ118" s="64" t="s" ph="1">
        <v>596</v>
      </c>
    </row>
    <row r="119" spans="33:52" ph="1">
      <c r="AI119" s="64" t="s" ph="1">
        <v>209</v>
      </c>
      <c r="AJ119" s="64" t="s" ph="1">
        <v>210</v>
      </c>
      <c r="AK119" s="64" t="s" ph="1">
        <v>211</v>
      </c>
      <c r="AM119" s="64" t="s" ph="1">
        <v>210</v>
      </c>
      <c r="AN119" s="64" t="s" ph="1">
        <v>211</v>
      </c>
      <c r="AO119" s="64" t="s" ph="1">
        <v>212</v>
      </c>
      <c r="AP119" s="64" t="s" ph="1">
        <v>210</v>
      </c>
      <c r="AQ119" s="64" t="s" ph="1">
        <v>211</v>
      </c>
      <c r="AR119" s="64" t="s" ph="1">
        <v>212</v>
      </c>
      <c r="AS119" s="64" t="s" ph="1">
        <v>210</v>
      </c>
      <c r="AT119" s="64" t="s" ph="1">
        <v>211</v>
      </c>
      <c r="AU119" s="64" t="s" ph="1">
        <v>212</v>
      </c>
      <c r="AV119" s="64" t="s" ph="1">
        <v>210</v>
      </c>
      <c r="AW119" s="64" t="s" ph="1">
        <v>211</v>
      </c>
      <c r="AX119" s="64" t="s" ph="1">
        <v>212</v>
      </c>
      <c r="AY119" s="64" t="s" ph="1">
        <v>211</v>
      </c>
      <c r="AZ119" s="64" t="s" ph="1">
        <v>213</v>
      </c>
    </row>
    <row r="120" spans="33:52" ph="1">
      <c r="AG120" s="64" t="s" ph="1">
        <v>353</v>
      </c>
      <c r="AH120" s="64" ph="1">
        <v>1</v>
      </c>
      <c r="AI120" s="64" t="s" ph="1">
        <v>513</v>
      </c>
      <c r="AJ120" s="64" t="s" ph="1">
        <v>587</v>
      </c>
      <c r="AK120" s="64" t="s" ph="1">
        <v>367</v>
      </c>
      <c r="AY120" s="64" t="s" ph="1">
        <v>216</v>
      </c>
      <c r="AZ120" s="64" t="s" ph="1">
        <v>367</v>
      </c>
    </row>
    <row r="121" spans="33:52" ph="1">
      <c r="AH121" s="64" ph="1">
        <v>2</v>
      </c>
      <c r="AI121" s="64" t="s" ph="1">
        <v>514</v>
      </c>
      <c r="AY121" s="64" t="s" ph="1">
        <v>216</v>
      </c>
      <c r="AZ121" s="64" t="s" ph="1">
        <v>367</v>
      </c>
    </row>
    <row r="122" spans="33:52" ph="1">
      <c r="AH122" s="64" ph="1">
        <v>3</v>
      </c>
      <c r="AI122" s="64" t="s" ph="1">
        <v>515</v>
      </c>
      <c r="AJ122" s="64" t="s" ph="1">
        <v>570</v>
      </c>
      <c r="AK122" s="64" t="s" ph="1">
        <v>582</v>
      </c>
      <c r="AM122" s="64" t="s" ph="1">
        <v>597</v>
      </c>
      <c r="AN122" s="64" t="s" ph="1">
        <v>590</v>
      </c>
      <c r="AO122" s="64" t="s" ph="1">
        <v>91</v>
      </c>
      <c r="AY122" s="64" t="s" ph="1">
        <v>216</v>
      </c>
      <c r="AZ122" s="64" t="s" ph="1">
        <v>579</v>
      </c>
    </row>
    <row r="123" spans="33:52" ph="1">
      <c r="AY123" s="64" t="s" ph="1">
        <v>216</v>
      </c>
      <c r="AZ123" s="64" t="s" ph="1">
        <v>579</v>
      </c>
    </row>
    <row r="124" spans="33:52" ph="1">
      <c r="AG124" s="64" t="s" ph="1">
        <v>356</v>
      </c>
      <c r="AH124" s="64" ph="1">
        <v>4</v>
      </c>
      <c r="AI124" s="64" t="s" ph="1">
        <v>516</v>
      </c>
      <c r="AJ124" s="64" t="s" ph="1">
        <v>517</v>
      </c>
      <c r="AK124" s="64" t="s" ph="1">
        <v>518</v>
      </c>
      <c r="AY124" s="64" t="s" ph="1">
        <v>216</v>
      </c>
      <c r="AZ124" s="64" t="s" ph="1">
        <v>518</v>
      </c>
    </row>
    <row r="125" spans="33:52" ph="1">
      <c r="AH125" s="64" ph="1">
        <v>5</v>
      </c>
      <c r="AI125" s="64" t="s" ph="1">
        <v>519</v>
      </c>
      <c r="AJ125" s="64" t="s" ph="1">
        <v>517</v>
      </c>
      <c r="AK125" s="64" t="s" ph="1">
        <v>518</v>
      </c>
      <c r="AY125" s="64" t="s" ph="1">
        <v>216</v>
      </c>
      <c r="AZ125" s="64" t="s" ph="1">
        <v>518</v>
      </c>
    </row>
    <row r="126" spans="33:52" ph="1">
      <c r="AH126" s="64" ph="1">
        <v>6</v>
      </c>
      <c r="AI126" s="64" t="s" ph="1">
        <v>520</v>
      </c>
      <c r="AJ126" s="64" t="s" ph="1">
        <v>589</v>
      </c>
      <c r="AK126" s="64" t="s" ph="1">
        <v>598</v>
      </c>
      <c r="AY126" s="64" t="s" ph="1">
        <v>216</v>
      </c>
      <c r="AZ126" s="64" t="s" ph="1">
        <v>598</v>
      </c>
    </row>
    <row r="127" spans="33:52" ph="1">
      <c r="AH127" s="64" ph="1">
        <v>7</v>
      </c>
      <c r="AI127" s="64" t="s" ph="1">
        <v>521</v>
      </c>
      <c r="AJ127" s="64" t="s" ph="1">
        <v>589</v>
      </c>
      <c r="AK127" s="64" t="s" ph="1">
        <v>599</v>
      </c>
      <c r="AY127" s="64" t="s" ph="1">
        <v>216</v>
      </c>
      <c r="AZ127" s="64" t="s" ph="1">
        <v>599</v>
      </c>
    </row>
    <row r="128" spans="33:52" ph="1">
      <c r="AH128" s="64" ph="1">
        <v>8</v>
      </c>
      <c r="AI128" s="64" t="s" ph="1">
        <v>522</v>
      </c>
      <c r="AY128" s="64" t="s" ph="1">
        <v>216</v>
      </c>
      <c r="AZ128" s="64" t="s" ph="1">
        <v>367</v>
      </c>
    </row>
    <row r="129" spans="33:52" ph="1">
      <c r="AH129" s="64" ph="1">
        <v>9</v>
      </c>
      <c r="AI129" s="64" t="s" ph="1">
        <v>523</v>
      </c>
      <c r="AY129" s="64" t="s" ph="1">
        <v>216</v>
      </c>
      <c r="AZ129" s="64" t="s" ph="1">
        <v>367</v>
      </c>
    </row>
    <row r="130" spans="33:52" ph="1">
      <c r="AH130" s="64" ph="1">
        <v>10</v>
      </c>
      <c r="AI130" s="64" t="s" ph="1">
        <v>524</v>
      </c>
      <c r="AY130" s="64" t="s" ph="1">
        <v>216</v>
      </c>
      <c r="AZ130" s="64" t="s" ph="1">
        <v>367</v>
      </c>
    </row>
    <row r="131" spans="33:52" ph="1">
      <c r="AH131" s="64" ph="1">
        <v>11</v>
      </c>
      <c r="AI131" s="64" t="s" ph="1">
        <v>525</v>
      </c>
      <c r="AJ131" s="64" t="s" ph="1">
        <v>583</v>
      </c>
      <c r="AK131" s="64" t="s" ph="1">
        <v>579</v>
      </c>
      <c r="AY131" s="64" t="s" ph="1">
        <v>216</v>
      </c>
      <c r="AZ131" s="64" t="s" ph="1">
        <v>579</v>
      </c>
    </row>
    <row r="132" spans="33:52" ph="1">
      <c r="AH132" s="64" ph="1">
        <v>12</v>
      </c>
      <c r="AI132" s="64" t="s" ph="1">
        <v>526</v>
      </c>
      <c r="AJ132" s="64" t="s" ph="1">
        <v>583</v>
      </c>
      <c r="AK132" s="64" t="s" ph="1">
        <v>518</v>
      </c>
      <c r="AY132" s="64" t="s" ph="1">
        <v>216</v>
      </c>
      <c r="AZ132" s="64" t="s" ph="1">
        <v>518</v>
      </c>
    </row>
    <row r="133" spans="33:52" ph="1">
      <c r="AH133" s="64" ph="1">
        <v>13</v>
      </c>
      <c r="AI133" s="64" t="s" ph="1">
        <v>527</v>
      </c>
      <c r="AJ133" s="64" t="s" ph="1">
        <v>583</v>
      </c>
      <c r="AK133" s="64" t="s" ph="1">
        <v>584</v>
      </c>
      <c r="AY133" s="64" t="s" ph="1">
        <v>216</v>
      </c>
      <c r="AZ133" s="64" t="s" ph="1">
        <v>584</v>
      </c>
    </row>
    <row r="134" spans="33:52" ph="1">
      <c r="AH134" s="64" ph="1">
        <v>14</v>
      </c>
      <c r="AI134" s="64" t="s" ph="1">
        <v>528</v>
      </c>
      <c r="AJ134" s="64" t="s" ph="1">
        <v>583</v>
      </c>
      <c r="AK134" s="64" t="s" ph="1">
        <v>585</v>
      </c>
      <c r="AY134" s="64" t="s" ph="1">
        <v>216</v>
      </c>
      <c r="AZ134" s="64" t="s" ph="1">
        <v>585</v>
      </c>
    </row>
    <row r="135" spans="33:52" ph="1">
      <c r="AH135" s="64" ph="1">
        <v>15</v>
      </c>
      <c r="AI135" s="64" t="s" ph="1">
        <v>529</v>
      </c>
      <c r="AJ135" s="64" t="s" ph="1">
        <v>583</v>
      </c>
      <c r="AK135" s="64" t="s" ph="1">
        <v>586</v>
      </c>
      <c r="AY135" s="64" t="s" ph="1">
        <v>216</v>
      </c>
      <c r="AZ135" s="64" t="s" ph="1">
        <v>586</v>
      </c>
    </row>
    <row r="136" spans="33:52" ph="1">
      <c r="AZ136" s="64" t="s" ph="1">
        <v>600</v>
      </c>
    </row>
    <row r="137" spans="33:52" ph="1">
      <c r="AG137" s="64" t="s" ph="1">
        <v>290</v>
      </c>
      <c r="AI137" s="64" t="s" ph="1">
        <v>209</v>
      </c>
      <c r="AJ137" s="64" t="s" ph="1">
        <v>210</v>
      </c>
      <c r="AK137" s="64" t="s" ph="1">
        <v>211</v>
      </c>
      <c r="AM137" s="64" t="s" ph="1">
        <v>210</v>
      </c>
      <c r="AN137" s="64" t="s" ph="1">
        <v>211</v>
      </c>
      <c r="AO137" s="64" t="s" ph="1">
        <v>212</v>
      </c>
      <c r="AP137" s="64" t="s" ph="1">
        <v>210</v>
      </c>
      <c r="AQ137" s="64" t="s" ph="1">
        <v>211</v>
      </c>
      <c r="AR137" s="64" t="s" ph="1">
        <v>212</v>
      </c>
      <c r="AS137" s="64" t="s" ph="1">
        <v>210</v>
      </c>
      <c r="AT137" s="64" t="s" ph="1">
        <v>211</v>
      </c>
      <c r="AU137" s="64" t="s" ph="1">
        <v>212</v>
      </c>
      <c r="AV137" s="64" t="s" ph="1">
        <v>210</v>
      </c>
      <c r="AW137" s="64" t="s" ph="1">
        <v>211</v>
      </c>
      <c r="AX137" s="64" t="s" ph="1">
        <v>212</v>
      </c>
      <c r="AY137" s="64" t="s" ph="1">
        <v>211</v>
      </c>
      <c r="AZ137" s="64" t="s" ph="1">
        <v>213</v>
      </c>
    </row>
    <row r="138" spans="33:52" ph="1">
      <c r="AH138" s="64" ph="1">
        <v>1</v>
      </c>
      <c r="AI138" s="64" t="s" ph="1">
        <v>530</v>
      </c>
      <c r="AJ138" s="64" t="s" ph="1">
        <v>531</v>
      </c>
      <c r="AK138" s="64" t="s" ph="1">
        <v>532</v>
      </c>
      <c r="AY138" s="64" t="s" ph="1">
        <v>216</v>
      </c>
      <c r="AZ138" s="64" t="s" ph="1">
        <v>532</v>
      </c>
    </row>
    <row r="139" spans="33:52" ph="1">
      <c r="AH139" s="64" ph="1">
        <v>2</v>
      </c>
      <c r="AI139" s="64" t="s" ph="1">
        <v>533</v>
      </c>
      <c r="AJ139" s="64" t="s" ph="1">
        <v>589</v>
      </c>
      <c r="AK139" s="64" t="s" ph="1">
        <v>601</v>
      </c>
      <c r="AY139" s="64" t="s" ph="1">
        <v>216</v>
      </c>
      <c r="AZ139" s="64" t="s" ph="1">
        <v>601</v>
      </c>
    </row>
    <row r="140" spans="33:52" ph="1">
      <c r="AH140" s="64" ph="1">
        <v>3</v>
      </c>
      <c r="AI140" s="64" t="s" ph="1">
        <v>534</v>
      </c>
      <c r="AJ140" s="64" t="s" ph="1">
        <v>487</v>
      </c>
      <c r="AK140" s="64" t="s" ph="1">
        <v>299</v>
      </c>
      <c r="AM140" s="64" t="s" ph="1">
        <v>488</v>
      </c>
      <c r="AN140" s="64" t="s" ph="1">
        <v>219</v>
      </c>
      <c r="AO140" s="64" t="s" ph="1">
        <v>535</v>
      </c>
      <c r="AP140" s="64" t="s" ph="1">
        <v>489</v>
      </c>
      <c r="AQ140" s="64" t="s" ph="1">
        <v>236</v>
      </c>
      <c r="AR140" s="64" t="s" ph="1">
        <v>535</v>
      </c>
      <c r="AS140" s="64" t="s" ph="1">
        <v>490</v>
      </c>
      <c r="AT140" s="64" t="s" ph="1">
        <v>229</v>
      </c>
      <c r="AU140" s="64" t="s" ph="1">
        <v>535</v>
      </c>
      <c r="AV140" s="64" t="s" ph="1">
        <v>491</v>
      </c>
      <c r="AW140" s="64" t="s" ph="1">
        <v>222</v>
      </c>
      <c r="AX140" s="64" t="s" ph="1">
        <v>535</v>
      </c>
      <c r="AY140" s="64" t="s" ph="1">
        <v>216</v>
      </c>
      <c r="AZ140" s="64" t="s" ph="1">
        <v>291</v>
      </c>
    </row>
    <row r="141" spans="33:52" ph="1">
      <c r="AJ141" s="64" t="s" ph="1">
        <v>493</v>
      </c>
      <c r="AK141" s="64" t="s" ph="1">
        <v>222</v>
      </c>
      <c r="AM141" s="64" t="s" ph="1">
        <v>494</v>
      </c>
      <c r="AN141" s="64" t="s" ph="1">
        <v>225</v>
      </c>
      <c r="AO141" s="64" t="s" ph="1">
        <v>535</v>
      </c>
      <c r="AP141" s="64" t="s" ph="1">
        <v>506</v>
      </c>
      <c r="AQ141" s="64" t="s" ph="1">
        <v>294</v>
      </c>
      <c r="AR141" s="64" t="s" ph="1">
        <v>535</v>
      </c>
      <c r="AS141" s="64" t="s" ph="1">
        <v>498</v>
      </c>
      <c r="AT141" s="64" t="s" ph="1">
        <v>222</v>
      </c>
      <c r="AU141" s="64" t="s" ph="1">
        <v>535</v>
      </c>
      <c r="AV141" s="64" t="s" ph="1">
        <v>334</v>
      </c>
      <c r="AW141" s="64" t="s" ph="1">
        <v>228</v>
      </c>
      <c r="AX141" s="64" t="s" ph="1">
        <v>535</v>
      </c>
    </row>
    <row r="142" spans="33:52" ph="1">
      <c r="AJ142" s="64" t="s" ph="1">
        <v>536</v>
      </c>
      <c r="AK142" s="64" t="s" ph="1">
        <v>239</v>
      </c>
    </row>
    <row r="143" spans="33:52" ph="1">
      <c r="AH143" s="64" ph="1">
        <v>4</v>
      </c>
      <c r="AI143" s="64" t="s" ph="1">
        <v>537</v>
      </c>
      <c r="AJ143" s="64" t="s" ph="1">
        <v>517</v>
      </c>
      <c r="AK143" s="64" t="s" ph="1">
        <v>538</v>
      </c>
      <c r="AY143" s="64" t="s" ph="1">
        <v>216</v>
      </c>
      <c r="AZ143" s="64" t="s" ph="1">
        <v>538</v>
      </c>
    </row>
    <row r="144" spans="33:52" ph="1">
      <c r="AH144" s="64" ph="1">
        <v>5</v>
      </c>
      <c r="AI144" s="64" t="s" ph="1">
        <v>539</v>
      </c>
      <c r="AY144" s="64" t="s" ph="1">
        <v>216</v>
      </c>
      <c r="AZ144" s="64" t="s" ph="1">
        <v>367</v>
      </c>
    </row>
    <row r="145" spans="33:52" ph="1">
      <c r="AH145" s="64" ph="1">
        <v>6</v>
      </c>
      <c r="AI145" s="64" t="s" ph="1">
        <v>540</v>
      </c>
      <c r="AY145" s="64" t="s" ph="1">
        <v>216</v>
      </c>
      <c r="AZ145" s="64" t="s" ph="1">
        <v>367</v>
      </c>
    </row>
    <row r="146" spans="33:52" ph="1">
      <c r="AH146" s="64" ph="1">
        <v>7</v>
      </c>
      <c r="AI146" s="64" t="s" ph="1">
        <v>541</v>
      </c>
      <c r="AY146" s="64" t="s" ph="1">
        <v>216</v>
      </c>
      <c r="AZ146" s="64" t="s" ph="1">
        <v>367</v>
      </c>
    </row>
    <row r="147" spans="33:52" ph="1">
      <c r="AH147" s="64" ph="1">
        <v>8</v>
      </c>
      <c r="AI147" s="64" t="s" ph="1">
        <v>542</v>
      </c>
      <c r="AY147" s="64" t="s" ph="1">
        <v>216</v>
      </c>
      <c r="AZ147" s="64" t="s" ph="1">
        <v>367</v>
      </c>
    </row>
    <row r="148" spans="33:52" ph="1">
      <c r="AH148" s="64" ph="1">
        <v>9</v>
      </c>
      <c r="AI148" s="64" t="s" ph="1">
        <v>543</v>
      </c>
      <c r="AY148" s="64" t="s" ph="1">
        <v>216</v>
      </c>
      <c r="AZ148" s="64" t="s" ph="1">
        <v>367</v>
      </c>
    </row>
    <row r="149" spans="33:52" ph="1">
      <c r="AH149" s="64" ph="1">
        <v>10</v>
      </c>
      <c r="AI149" s="64" t="s" ph="1">
        <v>544</v>
      </c>
      <c r="AY149" s="64" t="s" ph="1">
        <v>216</v>
      </c>
      <c r="AZ149" s="64" t="s" ph="1">
        <v>367</v>
      </c>
    </row>
    <row r="150" spans="33:52" ph="1">
      <c r="AH150" s="64" ph="1">
        <v>11</v>
      </c>
      <c r="AI150" s="64" t="s" ph="1">
        <v>545</v>
      </c>
      <c r="AY150" s="64" t="s" ph="1">
        <v>216</v>
      </c>
      <c r="AZ150" s="64" t="s" ph="1">
        <v>367</v>
      </c>
    </row>
    <row r="151" spans="33:52" ph="1">
      <c r="AH151" s="64" ph="1">
        <v>12</v>
      </c>
      <c r="AI151" s="64" t="s" ph="1">
        <v>546</v>
      </c>
      <c r="AY151" s="64" t="s" ph="1">
        <v>216</v>
      </c>
      <c r="AZ151" s="64" t="s" ph="1">
        <v>367</v>
      </c>
    </row>
    <row r="152" spans="33:52" ph="1">
      <c r="AH152" s="64" ph="1">
        <v>13</v>
      </c>
      <c r="AI152" s="64" t="s" ph="1">
        <v>547</v>
      </c>
      <c r="AY152" s="64" t="s" ph="1">
        <v>216</v>
      </c>
      <c r="AZ152" s="64" t="s" ph="1">
        <v>367</v>
      </c>
    </row>
    <row r="153" spans="33:52" ph="1">
      <c r="AH153" s="64" ph="1">
        <v>14</v>
      </c>
      <c r="AI153" s="64" t="s" ph="1">
        <v>548</v>
      </c>
      <c r="AY153" s="64" t="s" ph="1">
        <v>216</v>
      </c>
      <c r="AZ153" s="64" t="s" ph="1">
        <v>367</v>
      </c>
    </row>
    <row r="154" spans="33:52" ph="1">
      <c r="AH154" s="64" ph="1">
        <v>15</v>
      </c>
      <c r="AI154" s="64" t="s" ph="1">
        <v>549</v>
      </c>
      <c r="AY154" s="64" t="s" ph="1">
        <v>216</v>
      </c>
      <c r="AZ154" s="64" t="s" ph="1">
        <v>367</v>
      </c>
    </row>
    <row r="155" spans="33:52" ph="1">
      <c r="AH155" s="64" ph="1">
        <v>16</v>
      </c>
      <c r="AI155" s="64" t="s" ph="1">
        <v>550</v>
      </c>
      <c r="AJ155" s="64" t="s" ph="1">
        <v>336</v>
      </c>
      <c r="AK155" s="64" t="s" ph="1">
        <v>231</v>
      </c>
      <c r="AM155" s="64" t="s" ph="1">
        <v>570</v>
      </c>
      <c r="AN155" s="64" t="s" ph="1">
        <v>282</v>
      </c>
      <c r="AO155" s="64" t="s" ph="1">
        <v>535</v>
      </c>
      <c r="AY155" s="64" t="s" ph="1">
        <v>216</v>
      </c>
      <c r="AZ155" s="64" t="s" ph="1">
        <v>223</v>
      </c>
    </row>
    <row r="156" spans="33:52" ph="1">
      <c r="AZ156" s="64" t="s" ph="1">
        <v>602</v>
      </c>
    </row>
    <row r="157" spans="33:52" ph="1">
      <c r="AG157" s="64" t="s" ph="1">
        <v>551</v>
      </c>
      <c r="AI157" s="64" t="s" ph="1">
        <v>209</v>
      </c>
      <c r="AJ157" s="64" t="s" ph="1">
        <v>210</v>
      </c>
      <c r="AK157" s="64" t="s" ph="1">
        <v>211</v>
      </c>
      <c r="AM157" s="64" t="s" ph="1">
        <v>210</v>
      </c>
      <c r="AN157" s="64" t="s" ph="1">
        <v>211</v>
      </c>
      <c r="AO157" s="64" t="s" ph="1">
        <v>212</v>
      </c>
      <c r="AP157" s="64" t="s" ph="1">
        <v>210</v>
      </c>
      <c r="AQ157" s="64" t="s" ph="1">
        <v>211</v>
      </c>
      <c r="AR157" s="64" t="s" ph="1">
        <v>212</v>
      </c>
      <c r="AS157" s="64" t="s" ph="1">
        <v>210</v>
      </c>
      <c r="AT157" s="64" t="s" ph="1">
        <v>211</v>
      </c>
      <c r="AU157" s="64" t="s" ph="1">
        <v>212</v>
      </c>
      <c r="AV157" s="64" t="s" ph="1">
        <v>210</v>
      </c>
      <c r="AW157" s="64" t="s" ph="1">
        <v>211</v>
      </c>
      <c r="AX157" s="64" t="s" ph="1">
        <v>212</v>
      </c>
      <c r="AY157" s="64" t="s" ph="1">
        <v>211</v>
      </c>
      <c r="AZ157" s="64" t="s" ph="1">
        <v>213</v>
      </c>
    </row>
    <row r="158" spans="33:52" ph="1">
      <c r="AH158" s="64" ph="1">
        <v>1</v>
      </c>
      <c r="AI158" s="64" t="s" ph="1">
        <v>552</v>
      </c>
      <c r="AY158" s="64" t="s" ph="1">
        <v>216</v>
      </c>
      <c r="AZ158" s="64" t="s" ph="1">
        <v>367</v>
      </c>
    </row>
    <row r="159" spans="33:52" ph="1">
      <c r="AH159" s="64" ph="1">
        <v>2</v>
      </c>
      <c r="AI159" s="64" t="s" ph="1">
        <v>553</v>
      </c>
      <c r="AY159" s="64" t="s" ph="1">
        <v>216</v>
      </c>
      <c r="AZ159" s="64" t="s" ph="1">
        <v>367</v>
      </c>
    </row>
    <row r="160" spans="33:52" ph="1">
      <c r="AZ160" s="64" t="s" ph="1">
        <v>385</v>
      </c>
    </row>
    <row r="161" spans="33:52" ph="1">
      <c r="AG161" s="64" t="s" ph="1">
        <v>361</v>
      </c>
      <c r="AI161" s="64" t="s" ph="1">
        <v>209</v>
      </c>
      <c r="AJ161" s="64" t="s" ph="1">
        <v>210</v>
      </c>
      <c r="AK161" s="64" t="s" ph="1">
        <v>211</v>
      </c>
      <c r="AM161" s="64" t="s" ph="1">
        <v>210</v>
      </c>
      <c r="AN161" s="64" t="s" ph="1">
        <v>211</v>
      </c>
      <c r="AO161" s="64" t="s" ph="1">
        <v>212</v>
      </c>
      <c r="AP161" s="64" t="s" ph="1">
        <v>210</v>
      </c>
      <c r="AQ161" s="64" t="s" ph="1">
        <v>211</v>
      </c>
      <c r="AR161" s="64" t="s" ph="1">
        <v>212</v>
      </c>
      <c r="AS161" s="64" t="s" ph="1">
        <v>210</v>
      </c>
      <c r="AT161" s="64" t="s" ph="1">
        <v>211</v>
      </c>
      <c r="AU161" s="64" t="s" ph="1">
        <v>212</v>
      </c>
      <c r="AV161" s="64" t="s" ph="1">
        <v>210</v>
      </c>
      <c r="AW161" s="64" t="s" ph="1">
        <v>211</v>
      </c>
      <c r="AX161" s="64" t="s" ph="1">
        <v>212</v>
      </c>
      <c r="AY161" s="64" t="s" ph="1">
        <v>211</v>
      </c>
      <c r="AZ161" s="64" t="s" ph="1">
        <v>213</v>
      </c>
    </row>
    <row r="162" spans="33:52" ph="1">
      <c r="AH162" s="64" ph="1">
        <v>1</v>
      </c>
      <c r="AI162" s="64" t="s" ph="1">
        <v>554</v>
      </c>
      <c r="AJ162" s="64" t="s" ph="1">
        <v>555</v>
      </c>
      <c r="AK162" s="64" t="s" ph="1">
        <v>499</v>
      </c>
      <c r="AM162" s="64" t="s" ph="1">
        <v>556</v>
      </c>
      <c r="AN162" s="64" t="s" ph="1">
        <v>220</v>
      </c>
      <c r="AO162" s="64" t="s" ph="1">
        <v>557</v>
      </c>
      <c r="AY162" s="64" t="s" ph="1">
        <v>216</v>
      </c>
      <c r="AZ162" s="64" t="s" ph="1">
        <v>292</v>
      </c>
    </row>
    <row r="163" spans="33:52" ph="1">
      <c r="AH163" s="64" ph="1">
        <v>2</v>
      </c>
      <c r="AI163" s="64" t="s" ph="1">
        <v>558</v>
      </c>
      <c r="AJ163" s="64" t="s" ph="1">
        <v>555</v>
      </c>
      <c r="AK163" s="64" t="s" ph="1">
        <v>388</v>
      </c>
      <c r="AY163" s="64" t="s" ph="1">
        <v>216</v>
      </c>
      <c r="AZ163" s="64" t="s" ph="1">
        <v>388</v>
      </c>
    </row>
    <row r="164" spans="33:52" ph="1">
      <c r="AH164" s="64" ph="1">
        <v>3</v>
      </c>
      <c r="AI164" s="64" t="s" ph="1">
        <v>559</v>
      </c>
      <c r="AJ164" s="64" t="s" ph="1">
        <v>555</v>
      </c>
      <c r="AK164" s="64" t="s" ph="1">
        <v>292</v>
      </c>
      <c r="AY164" s="64" t="s" ph="1">
        <v>216</v>
      </c>
      <c r="AZ164" s="64" t="s" ph="1">
        <v>292</v>
      </c>
    </row>
    <row r="165" spans="33:52" ph="1">
      <c r="AH165" s="64" ph="1">
        <v>4</v>
      </c>
      <c r="AI165" s="64" t="s" ph="1">
        <v>560</v>
      </c>
      <c r="AY165" s="64" t="s" ph="1">
        <v>216</v>
      </c>
      <c r="AZ165" s="64" t="s" ph="1">
        <v>367</v>
      </c>
    </row>
    <row r="166" spans="33:52" ph="1">
      <c r="AH166" s="64" ph="1">
        <v>5</v>
      </c>
      <c r="AI166" s="64" t="s" ph="1">
        <v>561</v>
      </c>
      <c r="AY166" s="64" t="s" ph="1">
        <v>216</v>
      </c>
      <c r="AZ166" s="64" t="s" ph="1">
        <v>367</v>
      </c>
    </row>
    <row r="167" spans="33:52" ph="1">
      <c r="AZ167" s="64" t="s" ph="1">
        <v>562</v>
      </c>
    </row>
    <row r="168" spans="33:52" ph="1">
      <c r="AG168" s="64" t="s" ph="1">
        <v>305</v>
      </c>
      <c r="AI168" s="64" t="s" ph="1">
        <v>209</v>
      </c>
      <c r="AJ168" s="64" t="s" ph="1">
        <v>210</v>
      </c>
      <c r="AK168" s="64" t="s" ph="1">
        <v>211</v>
      </c>
      <c r="AM168" s="64" t="s" ph="1">
        <v>210</v>
      </c>
      <c r="AN168" s="64" t="s" ph="1">
        <v>211</v>
      </c>
      <c r="AO168" s="64" t="s" ph="1">
        <v>212</v>
      </c>
      <c r="AP168" s="64" t="s" ph="1">
        <v>210</v>
      </c>
      <c r="AQ168" s="64" t="s" ph="1">
        <v>211</v>
      </c>
      <c r="AR168" s="64" t="s" ph="1">
        <v>212</v>
      </c>
      <c r="AS168" s="64" t="s" ph="1">
        <v>210</v>
      </c>
      <c r="AT168" s="64" t="s" ph="1">
        <v>211</v>
      </c>
      <c r="AU168" s="64" t="s" ph="1">
        <v>212</v>
      </c>
      <c r="AV168" s="64" t="s" ph="1">
        <v>210</v>
      </c>
      <c r="AW168" s="64" t="s" ph="1">
        <v>211</v>
      </c>
      <c r="AX168" s="64" t="s" ph="1">
        <v>212</v>
      </c>
      <c r="AY168" s="64" t="s" ph="1">
        <v>211</v>
      </c>
      <c r="AZ168" s="64" t="s" ph="1">
        <v>213</v>
      </c>
    </row>
    <row r="169" spans="33:52" ph="1">
      <c r="AH169" s="64" ph="1">
        <v>1</v>
      </c>
      <c r="AI169" s="64" t="s" ph="1">
        <v>563</v>
      </c>
      <c r="AY169" s="64" t="s" ph="1">
        <v>216</v>
      </c>
      <c r="AZ169" s="64" t="s" ph="1">
        <v>367</v>
      </c>
    </row>
    <row r="170" spans="33:52" ph="1">
      <c r="AH170" s="64" ph="1">
        <v>2</v>
      </c>
      <c r="AI170" s="64" t="s" ph="1">
        <v>564</v>
      </c>
      <c r="AY170" s="64" t="s" ph="1">
        <v>216</v>
      </c>
      <c r="AZ170" s="64" t="s" ph="1">
        <v>367</v>
      </c>
    </row>
    <row r="171" spans="33:52" ph="1">
      <c r="AH171" s="64" ph="1">
        <v>3</v>
      </c>
      <c r="AI171" s="64" t="s" ph="1">
        <v>565</v>
      </c>
      <c r="AY171" s="64" t="s" ph="1">
        <v>216</v>
      </c>
      <c r="AZ171" s="64" t="s" ph="1">
        <v>367</v>
      </c>
    </row>
    <row r="172" spans="33:52" ph="1">
      <c r="AH172" s="64" ph="1">
        <v>4</v>
      </c>
      <c r="AI172" s="64" t="s" ph="1">
        <v>566</v>
      </c>
      <c r="AY172" s="64" t="s" ph="1">
        <v>216</v>
      </c>
      <c r="AZ172" s="64" t="s" ph="1">
        <v>367</v>
      </c>
    </row>
    <row r="173" spans="33:52" ph="1">
      <c r="AH173" s="64" ph="1">
        <v>5</v>
      </c>
      <c r="AI173" s="64" t="s" ph="1">
        <v>567</v>
      </c>
      <c r="AY173" s="64" t="s" ph="1">
        <v>216</v>
      </c>
      <c r="AZ173" s="64" t="s" ph="1">
        <v>367</v>
      </c>
    </row>
    <row r="174" spans="33:52" ph="1">
      <c r="AZ174" s="64" t="s" ph="1">
        <v>385</v>
      </c>
    </row>
    <row r="175" spans="33:52" ph="1">
      <c r="AJ175" s="64" t="s" ph="1">
        <v>306</v>
      </c>
    </row>
    <row r="176" spans="33:52" ph="1">
      <c r="AJ176" s="64" t="s" ph="1">
        <v>307</v>
      </c>
      <c r="AK176" s="64" t="s" ph="1">
        <v>308</v>
      </c>
      <c r="AM176" s="64" t="s" ph="1">
        <v>309</v>
      </c>
      <c r="AO176" s="64" t="s" ph="1">
        <v>310</v>
      </c>
      <c r="AP176" s="64" t="s" ph="1">
        <v>311</v>
      </c>
      <c r="AQ176" s="64" t="s" ph="1">
        <v>301</v>
      </c>
      <c r="AR176" s="64" t="s" ph="1">
        <v>221</v>
      </c>
    </row>
    <row r="177" spans="36:56" ph="1">
      <c r="AJ177" s="64" t="s" ph="1">
        <v>603</v>
      </c>
      <c r="AK177" s="64" t="s" ph="1">
        <v>312</v>
      </c>
      <c r="AO177" s="64" t="s" ph="1">
        <v>312</v>
      </c>
      <c r="AP177" s="64" t="s" ph="1">
        <v>312</v>
      </c>
      <c r="AQ177" s="64" t="s" ph="1">
        <v>313</v>
      </c>
      <c r="AR177" s="64" t="s" ph="1">
        <v>314</v>
      </c>
    </row>
    <row r="179" spans="36:56" ph="1">
      <c r="AJ179" s="64" t="s" ph="1">
        <v>315</v>
      </c>
      <c r="AK179" s="64" t="s" ph="1">
        <v>316</v>
      </c>
      <c r="AM179" s="64" t="s" ph="1">
        <v>317</v>
      </c>
      <c r="AN179" s="64" t="s" ph="1">
        <v>293</v>
      </c>
      <c r="AO179" s="64" t="s" ph="1">
        <v>318</v>
      </c>
      <c r="AP179" s="64" t="s" ph="1">
        <v>297</v>
      </c>
      <c r="AQ179" s="64" t="s" ph="1">
        <v>319</v>
      </c>
      <c r="AR179" s="64" t="s" ph="1">
        <v>320</v>
      </c>
    </row>
    <row r="180" spans="36:56" ph="1">
      <c r="AJ180" s="64" t="s" ph="1">
        <v>312</v>
      </c>
      <c r="AK180" s="64" t="s" ph="1">
        <v>312</v>
      </c>
      <c r="AL180" s="64" ph="1">
        <v>116</v>
      </c>
      <c r="AM180" s="64" t="s" ph="1">
        <v>312</v>
      </c>
      <c r="AN180" s="64" t="s" ph="1">
        <v>321</v>
      </c>
      <c r="AO180" s="64" t="s" ph="1">
        <v>312</v>
      </c>
      <c r="AP180" s="64" t="s" ph="1">
        <v>322</v>
      </c>
      <c r="AQ180" s="64" t="s" ph="1">
        <v>323</v>
      </c>
      <c r="AR180" s="64" t="s" ph="1">
        <v>324</v>
      </c>
    </row>
    <row r="189" spans="36:56" ph="1">
      <c r="BD189" s="64" t="s" ph="1">
        <v>568</v>
      </c>
    </row>
    <row r="223" spans="18:18" ph="1">
      <c r="R223" s="135" ph="1">
        <v>45496</v>
      </c>
    </row>
  </sheetData>
  <mergeCells count="58">
    <mergeCell ref="I36:J36"/>
    <mergeCell ref="R36:S36"/>
    <mergeCell ref="AB36:AC36"/>
    <mergeCell ref="AD36:AE36"/>
    <mergeCell ref="Z33:Z34"/>
    <mergeCell ref="AA33:AA34"/>
    <mergeCell ref="AB33:AB34"/>
    <mergeCell ref="AC33:AC34"/>
    <mergeCell ref="AD33:AE34"/>
    <mergeCell ref="AC35:AE35"/>
    <mergeCell ref="T33:T34"/>
    <mergeCell ref="U33:U34"/>
    <mergeCell ref="V33:V34"/>
    <mergeCell ref="W33:W34"/>
    <mergeCell ref="X33:X34"/>
    <mergeCell ref="Y33:Y34"/>
    <mergeCell ref="N33:N34"/>
    <mergeCell ref="O33:O34"/>
    <mergeCell ref="P33:P34"/>
    <mergeCell ref="Q33:Q34"/>
    <mergeCell ref="R33:R34"/>
    <mergeCell ref="S33:S34"/>
    <mergeCell ref="H33:H34"/>
    <mergeCell ref="I33:I34"/>
    <mergeCell ref="J33:J34"/>
    <mergeCell ref="K33:K34"/>
    <mergeCell ref="L33:L34"/>
    <mergeCell ref="M33:M34"/>
    <mergeCell ref="S31:U31"/>
    <mergeCell ref="V31:X31"/>
    <mergeCell ref="Y31:AA31"/>
    <mergeCell ref="AB31:AE31"/>
    <mergeCell ref="AD32:AE32"/>
    <mergeCell ref="B33:C34"/>
    <mergeCell ref="D33:D34"/>
    <mergeCell ref="E33:E34"/>
    <mergeCell ref="F33:F34"/>
    <mergeCell ref="G33:G34"/>
    <mergeCell ref="B31:C32"/>
    <mergeCell ref="D31:F31"/>
    <mergeCell ref="G31:I31"/>
    <mergeCell ref="J31:L31"/>
    <mergeCell ref="M31:O31"/>
    <mergeCell ref="P31:R31"/>
    <mergeCell ref="B13:B14"/>
    <mergeCell ref="B15:B17"/>
    <mergeCell ref="B18:B20"/>
    <mergeCell ref="B22:B23"/>
    <mergeCell ref="Z22:AE22"/>
    <mergeCell ref="Z23:AE29"/>
    <mergeCell ref="B24:B26"/>
    <mergeCell ref="B27:B29"/>
    <mergeCell ref="B1:AE1"/>
    <mergeCell ref="B2:AE2"/>
    <mergeCell ref="B3:AE3"/>
    <mergeCell ref="B4:B5"/>
    <mergeCell ref="B6:B8"/>
    <mergeCell ref="B9:B11"/>
  </mergeCells>
  <phoneticPr fontId="2" type="noConversion"/>
  <conditionalFormatting sqref="D4:D11">
    <cfRule type="expression" dxfId="132" priority="103">
      <formula>ABS(D$7-D$10)&gt;=1000</formula>
    </cfRule>
  </conditionalFormatting>
  <conditionalFormatting sqref="E4 E6:E11">
    <cfRule type="expression" dxfId="131" priority="102">
      <formula>ABS(E$7-E$10)&gt;=1000</formula>
    </cfRule>
  </conditionalFormatting>
  <conditionalFormatting sqref="F4:F11">
    <cfRule type="expression" dxfId="130" priority="101">
      <formula>ABS(F$7-F$10)&gt;=1000</formula>
    </cfRule>
  </conditionalFormatting>
  <conditionalFormatting sqref="G4:G11">
    <cfRule type="expression" dxfId="129" priority="100">
      <formula>ABS(G$7-G$10)&gt;=1000</formula>
    </cfRule>
  </conditionalFormatting>
  <conditionalFormatting sqref="H4:H11">
    <cfRule type="expression" dxfId="128" priority="99">
      <formula>ABS(H$7-H$10)&gt;=1000</formula>
    </cfRule>
  </conditionalFormatting>
  <conditionalFormatting sqref="I4:I11">
    <cfRule type="expression" dxfId="127" priority="98">
      <formula>ABS(I$7-I$10)&gt;=1000</formula>
    </cfRule>
  </conditionalFormatting>
  <conditionalFormatting sqref="J4:J11">
    <cfRule type="expression" dxfId="126" priority="97">
      <formula>ABS(J$7-J$10)&gt;=1000</formula>
    </cfRule>
  </conditionalFormatting>
  <conditionalFormatting sqref="K4:K11">
    <cfRule type="expression" dxfId="125" priority="96">
      <formula>ABS(K$7-K$10)&gt;=1000</formula>
    </cfRule>
  </conditionalFormatting>
  <conditionalFormatting sqref="L4:L11">
    <cfRule type="expression" dxfId="124" priority="95">
      <formula>ABS(L$7-L$10)&gt;=1000</formula>
    </cfRule>
  </conditionalFormatting>
  <conditionalFormatting sqref="M4 M6:M11">
    <cfRule type="expression" dxfId="123" priority="94">
      <formula>ABS(M$7-M$10)&gt;=1000</formula>
    </cfRule>
  </conditionalFormatting>
  <conditionalFormatting sqref="N4 N6:N11">
    <cfRule type="expression" dxfId="122" priority="93">
      <formula>ABS(N$7-N$10)&gt;=1000</formula>
    </cfRule>
  </conditionalFormatting>
  <conditionalFormatting sqref="O4 O6:O11">
    <cfRule type="expression" dxfId="121" priority="92">
      <formula>ABS(O$7-O$10)&gt;=1000</formula>
    </cfRule>
  </conditionalFormatting>
  <conditionalFormatting sqref="P4 P6:P11">
    <cfRule type="expression" dxfId="120" priority="91">
      <formula>ABS(P$7-P$10)&gt;=1000</formula>
    </cfRule>
  </conditionalFormatting>
  <conditionalFormatting sqref="Q4:Q11">
    <cfRule type="expression" dxfId="119" priority="90">
      <formula>ABS(Q$7-Q$10)&gt;=1000</formula>
    </cfRule>
  </conditionalFormatting>
  <conditionalFormatting sqref="R4:R11">
    <cfRule type="expression" dxfId="118" priority="89">
      <formula>ABS(R$7-R$10)&gt;=1000</formula>
    </cfRule>
  </conditionalFormatting>
  <conditionalFormatting sqref="S4:S11">
    <cfRule type="expression" dxfId="117" priority="88">
      <formula>ABS(S$7-S$10)&gt;=1000</formula>
    </cfRule>
  </conditionalFormatting>
  <conditionalFormatting sqref="T4:T9 T11">
    <cfRule type="expression" dxfId="116" priority="87">
      <formula>ABS(T$7-T$10)&gt;=1000</formula>
    </cfRule>
  </conditionalFormatting>
  <conditionalFormatting sqref="U4:U9 U11">
    <cfRule type="expression" dxfId="115" priority="86">
      <formula>ABS(U$7-U$10)&gt;=1000</formula>
    </cfRule>
  </conditionalFormatting>
  <conditionalFormatting sqref="V4:V9 V11">
    <cfRule type="expression" dxfId="114" priority="85">
      <formula>ABS(V$7-V$10)&gt;=1000</formula>
    </cfRule>
  </conditionalFormatting>
  <conditionalFormatting sqref="W4:W9 W11">
    <cfRule type="expression" dxfId="113" priority="84">
      <formula>ABS(W$7-W$10)&gt;=1000</formula>
    </cfRule>
  </conditionalFormatting>
  <conditionalFormatting sqref="X4:X9 X11">
    <cfRule type="expression" dxfId="112" priority="83">
      <formula>ABS(X$7-X$10)&gt;=1000</formula>
    </cfRule>
  </conditionalFormatting>
  <conditionalFormatting sqref="Y4:Y9 Y11">
    <cfRule type="expression" dxfId="111" priority="82">
      <formula>ABS(Y$7-Y$10)&gt;=1000</formula>
    </cfRule>
  </conditionalFormatting>
  <conditionalFormatting sqref="Z4:Z11">
    <cfRule type="expression" dxfId="110" priority="81">
      <formula>ABS(Z$7-Z$10)&gt;=1000</formula>
    </cfRule>
  </conditionalFormatting>
  <conditionalFormatting sqref="AA4:AA11">
    <cfRule type="expression" dxfId="109" priority="80">
      <formula>ABS(AA$7-AA$10)&gt;=1000</formula>
    </cfRule>
  </conditionalFormatting>
  <conditionalFormatting sqref="AB4:AB11">
    <cfRule type="expression" dxfId="108" priority="79">
      <formula>ABS(AB$7-AB$10)&gt;=1000</formula>
    </cfRule>
  </conditionalFormatting>
  <conditionalFormatting sqref="AC4 AC6:AC11">
    <cfRule type="expression" dxfId="107" priority="78">
      <formula>ABS(AC$7-AC$10)&gt;=1000</formula>
    </cfRule>
  </conditionalFormatting>
  <conditionalFormatting sqref="AD4 AD6:AD11">
    <cfRule type="expression" dxfId="106" priority="77">
      <formula>ABS(AD$7-AD$10)&gt;=1000</formula>
    </cfRule>
  </conditionalFormatting>
  <conditionalFormatting sqref="AE4 AE6:AE11">
    <cfRule type="expression" dxfId="105" priority="76">
      <formula>ABS(AE$7-AE$10)&gt;=1000</formula>
    </cfRule>
  </conditionalFormatting>
  <conditionalFormatting sqref="D13:D20">
    <cfRule type="expression" dxfId="104" priority="75">
      <formula>ABS(D$16-D$19)&gt;=1000</formula>
    </cfRule>
  </conditionalFormatting>
  <conditionalFormatting sqref="E13:E20">
    <cfRule type="expression" dxfId="103" priority="74">
      <formula>ABS(E$16-E$19)&gt;=1000</formula>
    </cfRule>
  </conditionalFormatting>
  <conditionalFormatting sqref="F13 F15:F20">
    <cfRule type="expression" dxfId="102" priority="73">
      <formula>ABS(F$16-F$19)&gt;=1000</formula>
    </cfRule>
  </conditionalFormatting>
  <conditionalFormatting sqref="G13:G20">
    <cfRule type="expression" dxfId="101" priority="72">
      <formula>ABS(G$16-G$19)&gt;=1000</formula>
    </cfRule>
  </conditionalFormatting>
  <conditionalFormatting sqref="H13 H15:H20">
    <cfRule type="expression" dxfId="100" priority="71">
      <formula>ABS(H$16-H$19)&gt;=1000</formula>
    </cfRule>
  </conditionalFormatting>
  <conditionalFormatting sqref="I13:I20">
    <cfRule type="expression" dxfId="99" priority="70">
      <formula>ABS(I$16-I$19)&gt;=1000</formula>
    </cfRule>
  </conditionalFormatting>
  <conditionalFormatting sqref="J13:J20">
    <cfRule type="expression" dxfId="98" priority="69">
      <formula>ABS(J$16-J$19)&gt;=1000</formula>
    </cfRule>
  </conditionalFormatting>
  <conditionalFormatting sqref="L13:L20">
    <cfRule type="expression" dxfId="97" priority="68">
      <formula>ABS(L$16-L$19)&gt;=1000</formula>
    </cfRule>
  </conditionalFormatting>
  <conditionalFormatting sqref="M13 M15 M17:M18 M20">
    <cfRule type="expression" dxfId="96" priority="67">
      <formula>ABS(M$16-M$19)&gt;=1000</formula>
    </cfRule>
  </conditionalFormatting>
  <conditionalFormatting sqref="N13:N20">
    <cfRule type="expression" dxfId="95" priority="66">
      <formula>ABS(N$16-N$19)&gt;=1000</formula>
    </cfRule>
  </conditionalFormatting>
  <conditionalFormatting sqref="O13:O20">
    <cfRule type="expression" dxfId="94" priority="65">
      <formula>ABS(O$16-O$19)&gt;=1000</formula>
    </cfRule>
  </conditionalFormatting>
  <conditionalFormatting sqref="P13:P20">
    <cfRule type="expression" dxfId="93" priority="64">
      <formula>ABS(P$16-P$19)&gt;=1000</formula>
    </cfRule>
  </conditionalFormatting>
  <conditionalFormatting sqref="Q13 Q15:Q20">
    <cfRule type="expression" dxfId="92" priority="63">
      <formula>ABS(Q$16-Q$19)&gt;=1000</formula>
    </cfRule>
  </conditionalFormatting>
  <conditionalFormatting sqref="R13 R15:R20">
    <cfRule type="expression" dxfId="91" priority="62">
      <formula>ABS(R$16-R$19)&gt;=1000</formula>
    </cfRule>
  </conditionalFormatting>
  <conditionalFormatting sqref="S13:S20">
    <cfRule type="expression" dxfId="90" priority="61">
      <formula>ABS(S$16-S$19)&gt;=1000</formula>
    </cfRule>
  </conditionalFormatting>
  <conditionalFormatting sqref="T13:T15 T17:T20">
    <cfRule type="expression" dxfId="89" priority="60">
      <formula>ABS(T$16-T$19)&gt;=1000</formula>
    </cfRule>
  </conditionalFormatting>
  <conditionalFormatting sqref="U13:U20">
    <cfRule type="expression" dxfId="88" priority="59">
      <formula>ABS(U$16-U$19)&gt;=1000</formula>
    </cfRule>
  </conditionalFormatting>
  <conditionalFormatting sqref="V13:V20">
    <cfRule type="expression" dxfId="87" priority="58">
      <formula>ABS(V$16-V$19)&gt;=1000</formula>
    </cfRule>
  </conditionalFormatting>
  <conditionalFormatting sqref="W13 W20 W15:W18">
    <cfRule type="expression" dxfId="86" priority="57">
      <formula>ABS(W$16-W$19)&gt;=1000</formula>
    </cfRule>
  </conditionalFormatting>
  <conditionalFormatting sqref="X13 X15:X20 Y19">
    <cfRule type="expression" dxfId="85" priority="56">
      <formula>ABS(X$16-X$19)&gt;=1000</formula>
    </cfRule>
  </conditionalFormatting>
  <conditionalFormatting sqref="Y13 Y15:Y18 Y20">
    <cfRule type="expression" dxfId="84" priority="55">
      <formula>ABS(Y$16-Y$19)&gt;=1000</formula>
    </cfRule>
  </conditionalFormatting>
  <conditionalFormatting sqref="Z13:Z20">
    <cfRule type="expression" dxfId="83" priority="54">
      <formula>ABS(Z$16-Z$19)&gt;=1000</formula>
    </cfRule>
  </conditionalFormatting>
  <conditionalFormatting sqref="AA13:AA20">
    <cfRule type="expression" dxfId="82" priority="53">
      <formula>ABS(AA$16-AA$19)&gt;=1000</formula>
    </cfRule>
  </conditionalFormatting>
  <conditionalFormatting sqref="AB13 AB15:AB20">
    <cfRule type="expression" dxfId="81" priority="52">
      <formula>ABS(AB$16-AB$19)&gt;=1000</formula>
    </cfRule>
  </conditionalFormatting>
  <conditionalFormatting sqref="AC13 AC15:AC20">
    <cfRule type="expression" dxfId="80" priority="51">
      <formula>ABS(AC$16-AC$19)&gt;=1000</formula>
    </cfRule>
  </conditionalFormatting>
  <conditionalFormatting sqref="AD13:AD20">
    <cfRule type="expression" dxfId="79" priority="50">
      <formula>ABS(AD$16-AD$19)&gt;=1000</formula>
    </cfRule>
  </conditionalFormatting>
  <conditionalFormatting sqref="AE13:AE20">
    <cfRule type="expression" dxfId="78" priority="49">
      <formula>ABS(AE$16-AE$19)&gt;=1000</formula>
    </cfRule>
  </conditionalFormatting>
  <conditionalFormatting sqref="D22:D29">
    <cfRule type="expression" dxfId="77" priority="48">
      <formula>ABS(D$25-D$28)&gt;=1000</formula>
    </cfRule>
  </conditionalFormatting>
  <conditionalFormatting sqref="E22:E29">
    <cfRule type="expression" dxfId="76" priority="47">
      <formula>ABS(E$25-E$28)&gt;=1000</formula>
    </cfRule>
  </conditionalFormatting>
  <conditionalFormatting sqref="F22:F29">
    <cfRule type="expression" dxfId="75" priority="46">
      <formula>ABS(F$25-F$28)&gt;=1000</formula>
    </cfRule>
  </conditionalFormatting>
  <conditionalFormatting sqref="G22:G29">
    <cfRule type="expression" dxfId="74" priority="45">
      <formula>ABS(G$25-G$28)&gt;=1000</formula>
    </cfRule>
  </conditionalFormatting>
  <conditionalFormatting sqref="H22:H29">
    <cfRule type="expression" dxfId="73" priority="44">
      <formula>ABS(H$25-H$28)&gt;=1000</formula>
    </cfRule>
  </conditionalFormatting>
  <conditionalFormatting sqref="I22 I24:I29">
    <cfRule type="expression" dxfId="72" priority="43">
      <formula>ABS(I$25-I$28)&gt;=1000</formula>
    </cfRule>
  </conditionalFormatting>
  <conditionalFormatting sqref="J22:J29 K22">
    <cfRule type="expression" dxfId="71" priority="42">
      <formula>ABS(J$25-J$28)&gt;=1000</formula>
    </cfRule>
  </conditionalFormatting>
  <conditionalFormatting sqref="K23:K29 L25 L28">
    <cfRule type="expression" dxfId="70" priority="41">
      <formula>ABS(K$25-K$28)&gt;=1000</formula>
    </cfRule>
  </conditionalFormatting>
  <conditionalFormatting sqref="L22 L26:L27 L29 L24">
    <cfRule type="expression" dxfId="69" priority="40">
      <formula>ABS(L$25-L$28)&gt;=1000</formula>
    </cfRule>
  </conditionalFormatting>
  <conditionalFormatting sqref="M22:M29">
    <cfRule type="expression" dxfId="68" priority="39">
      <formula>ABS(M$25-M$28)&gt;=1000</formula>
    </cfRule>
  </conditionalFormatting>
  <conditionalFormatting sqref="N22:N29">
    <cfRule type="expression" dxfId="67" priority="38">
      <formula>ABS(N$25-N$28)&gt;=1000</formula>
    </cfRule>
  </conditionalFormatting>
  <conditionalFormatting sqref="O22 O24:O29">
    <cfRule type="expression" dxfId="66" priority="37">
      <formula>ABS(O$25-O$28)&gt;=1000</formula>
    </cfRule>
  </conditionalFormatting>
  <conditionalFormatting sqref="P22:P29">
    <cfRule type="expression" dxfId="65" priority="36">
      <formula>ABS(P$25-P$28)&gt;=1000</formula>
    </cfRule>
  </conditionalFormatting>
  <conditionalFormatting sqref="Q22:Q29">
    <cfRule type="expression" dxfId="64" priority="35">
      <formula>ABS(Q$25-Q$28)&gt;=1000</formula>
    </cfRule>
  </conditionalFormatting>
  <conditionalFormatting sqref="R22:R29">
    <cfRule type="expression" dxfId="63" priority="34">
      <formula>ABS(R$25-R$28)&gt;=1000</formula>
    </cfRule>
  </conditionalFormatting>
  <conditionalFormatting sqref="S22:S29">
    <cfRule type="expression" dxfId="62" priority="33">
      <formula>ABS(S$25-S$28)&gt;=1000</formula>
    </cfRule>
  </conditionalFormatting>
  <conditionalFormatting sqref="T22:T29">
    <cfRule type="expression" dxfId="61" priority="32">
      <formula>ABS(T$25-T$28)&gt;=1000</formula>
    </cfRule>
  </conditionalFormatting>
  <conditionalFormatting sqref="U22:U29">
    <cfRule type="expression" dxfId="60" priority="31">
      <formula>ABS(U$25-U$28)&gt;=1000</formula>
    </cfRule>
  </conditionalFormatting>
  <conditionalFormatting sqref="V22:V29">
    <cfRule type="expression" dxfId="59" priority="30">
      <formula>ABS(V$25-V$28)&gt;=1000</formula>
    </cfRule>
  </conditionalFormatting>
  <conditionalFormatting sqref="W22:W29">
    <cfRule type="expression" dxfId="58" priority="29">
      <formula>ABS(W$25-W$28)&gt;=1000</formula>
    </cfRule>
  </conditionalFormatting>
  <conditionalFormatting sqref="X22:X29">
    <cfRule type="expression" dxfId="57" priority="28">
      <formula>ABS(X$25-X$28)&gt;=1000</formula>
    </cfRule>
  </conditionalFormatting>
  <conditionalFormatting sqref="Y22:Y29">
    <cfRule type="expression" dxfId="56" priority="27">
      <formula>ABS(Y$25-Y$28)&gt;=1000</formula>
    </cfRule>
  </conditionalFormatting>
  <conditionalFormatting sqref="I23">
    <cfRule type="expression" dxfId="55" priority="26">
      <formula>ABS(I$25-I$28)&gt;=1000</formula>
    </cfRule>
  </conditionalFormatting>
  <conditionalFormatting sqref="Q14">
    <cfRule type="expression" dxfId="54" priority="25">
      <formula>ABS(Q$16-Q$19)&gt;=1000</formula>
    </cfRule>
  </conditionalFormatting>
  <conditionalFormatting sqref="W14">
    <cfRule type="expression" dxfId="53" priority="24">
      <formula>ABS(W$16-W$19)&gt;=1000</formula>
    </cfRule>
  </conditionalFormatting>
  <conditionalFormatting sqref="X14">
    <cfRule type="expression" dxfId="52" priority="23">
      <formula>ABS(X$16-X$19)&gt;=1000</formula>
    </cfRule>
  </conditionalFormatting>
  <conditionalFormatting sqref="T10:Y10">
    <cfRule type="expression" dxfId="51" priority="22">
      <formula>ABS(T$7-T$10)&gt;=1000</formula>
    </cfRule>
  </conditionalFormatting>
  <conditionalFormatting sqref="W19">
    <cfRule type="expression" dxfId="50" priority="21">
      <formula>ABS(W$16-W$19)&gt;=1000</formula>
    </cfRule>
  </conditionalFormatting>
  <conditionalFormatting sqref="AC5">
    <cfRule type="expression" dxfId="49" priority="20">
      <formula>ABS(AC$7-AC$10)&gt;=1000</formula>
    </cfRule>
  </conditionalFormatting>
  <conditionalFormatting sqref="M14">
    <cfRule type="expression" dxfId="48" priority="19">
      <formula>ABS(M$16-M$19)&gt;=1000</formula>
    </cfRule>
  </conditionalFormatting>
  <conditionalFormatting sqref="M16">
    <cfRule type="expression" dxfId="47" priority="18">
      <formula>ABS(M$16-M$19)&gt;=1000</formula>
    </cfRule>
  </conditionalFormatting>
  <conditionalFormatting sqref="M19">
    <cfRule type="expression" dxfId="46" priority="17">
      <formula>ABS(M$16-M$19)&gt;=1000</formula>
    </cfRule>
  </conditionalFormatting>
  <conditionalFormatting sqref="K13:K20">
    <cfRule type="expression" dxfId="45" priority="16">
      <formula>ABS(K$16-K$19)&gt;=1000</formula>
    </cfRule>
  </conditionalFormatting>
  <conditionalFormatting sqref="E5">
    <cfRule type="expression" dxfId="44" priority="15">
      <formula>ABS(E$7-E$10)&gt;=1000</formula>
    </cfRule>
  </conditionalFormatting>
  <conditionalFormatting sqref="AB14:AC14">
    <cfRule type="expression" dxfId="43" priority="14">
      <formula>ABS(AB$16-AB$19)&gt;=1000</formula>
    </cfRule>
  </conditionalFormatting>
  <conditionalFormatting sqref="M5">
    <cfRule type="expression" dxfId="42" priority="13">
      <formula>ABS(M$7-M$10)&gt;=1000</formula>
    </cfRule>
  </conditionalFormatting>
  <conditionalFormatting sqref="N5">
    <cfRule type="expression" dxfId="41" priority="12">
      <formula>ABS(N$7-N$10)&gt;=1000</formula>
    </cfRule>
  </conditionalFormatting>
  <conditionalFormatting sqref="O5">
    <cfRule type="expression" dxfId="40" priority="11">
      <formula>ABS(O$7-O$10)&gt;=1000</formula>
    </cfRule>
  </conditionalFormatting>
  <conditionalFormatting sqref="P5">
    <cfRule type="expression" dxfId="39" priority="10">
      <formula>ABS(P$7-P$10)&gt;=1000</formula>
    </cfRule>
  </conditionalFormatting>
  <conditionalFormatting sqref="L23">
    <cfRule type="expression" dxfId="38" priority="9">
      <formula>ABS(L$25-L$28)&gt;=1000</formula>
    </cfRule>
  </conditionalFormatting>
  <conditionalFormatting sqref="Y14">
    <cfRule type="expression" dxfId="37" priority="8">
      <formula>ABS(Y$16-Y$19)&gt;=1000</formula>
    </cfRule>
  </conditionalFormatting>
  <conditionalFormatting sqref="H14">
    <cfRule type="expression" dxfId="36" priority="7">
      <formula>ABS(H$16-H$19)&gt;=1000</formula>
    </cfRule>
  </conditionalFormatting>
  <conditionalFormatting sqref="AD5">
    <cfRule type="expression" dxfId="35" priority="6">
      <formula>ABS(AD$7-AD$10)&gt;=1000</formula>
    </cfRule>
  </conditionalFormatting>
  <conditionalFormatting sqref="AE5">
    <cfRule type="expression" dxfId="34" priority="5">
      <formula>ABS(AE$7-AE$10)&gt;=1000</formula>
    </cfRule>
  </conditionalFormatting>
  <conditionalFormatting sqref="T16">
    <cfRule type="expression" dxfId="33" priority="4">
      <formula>ABS(T$16-T$19)&gt;=1000</formula>
    </cfRule>
  </conditionalFormatting>
  <conditionalFormatting sqref="F14">
    <cfRule type="expression" dxfId="32" priority="3">
      <formula>ABS(F$16-F$19)&gt;=1000</formula>
    </cfRule>
  </conditionalFormatting>
  <conditionalFormatting sqref="R14">
    <cfRule type="expression" dxfId="31" priority="2">
      <formula>ABS(R$16-R$19)&gt;=1000</formula>
    </cfRule>
  </conditionalFormatting>
  <conditionalFormatting sqref="O23">
    <cfRule type="expression" dxfId="30" priority="1">
      <formula>ABS(O$25-O$28)&gt;=1000</formula>
    </cfRule>
  </conditionalFormatting>
  <dataValidations count="1">
    <dataValidation operator="greaterThanOrEqual" allowBlank="1" showErrorMessage="1" sqref="D6"/>
  </dataValidations>
  <printOptions horizontalCentered="1"/>
  <pageMargins left="0.39370078740157483" right="0.39370078740157483" top="0.39370078740157483" bottom="0.39370078740157483" header="0.51181102362204722" footer="0.51181102362204722"/>
  <pageSetup paperSize="9" scale="60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76769" r:id="rId4" name="Button 1">
              <controlPr defaultSize="0" print="0" autoFill="0" autoPict="0">
                <anchor moveWithCells="1">
                  <from>
                    <xdr:col>31</xdr:col>
                    <xdr:colOff>0</xdr:colOff>
                    <xdr:row>0</xdr:row>
                    <xdr:rowOff>342900</xdr:rowOff>
                  </from>
                  <to>
                    <xdr:col>32</xdr:col>
                    <xdr:colOff>411480</xdr:colOff>
                    <xdr:row>3</xdr:row>
                    <xdr:rowOff>30480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23</vt:i4>
      </vt:variant>
      <vt:variant>
        <vt:lpstr>已命名的範圍</vt:lpstr>
      </vt:variant>
      <vt:variant>
        <vt:i4>23</vt:i4>
      </vt:variant>
    </vt:vector>
  </HeadingPairs>
  <TitlesOfParts>
    <vt:vector size="46" baseType="lpstr">
      <vt:lpstr>新增</vt:lpstr>
      <vt:lpstr>密度</vt:lpstr>
      <vt:lpstr>8.31</vt:lpstr>
      <vt:lpstr>9.1</vt:lpstr>
      <vt:lpstr>9.2</vt:lpstr>
      <vt:lpstr>9.3</vt:lpstr>
      <vt:lpstr>9.4</vt:lpstr>
      <vt:lpstr>9.7</vt:lpstr>
      <vt:lpstr>9.8</vt:lpstr>
      <vt:lpstr>9.9</vt:lpstr>
      <vt:lpstr>9.10</vt:lpstr>
      <vt:lpstr>9.11</vt:lpstr>
      <vt:lpstr>9.14</vt:lpstr>
      <vt:lpstr>9.15</vt:lpstr>
      <vt:lpstr>9.16</vt:lpstr>
      <vt:lpstr>9.17</vt:lpstr>
      <vt:lpstr>9.18</vt:lpstr>
      <vt:lpstr>9.21</vt:lpstr>
      <vt:lpstr>9.22</vt:lpstr>
      <vt:lpstr>9.23</vt:lpstr>
      <vt:lpstr>9.24</vt:lpstr>
      <vt:lpstr>9.29</vt:lpstr>
      <vt:lpstr>9.30</vt:lpstr>
      <vt:lpstr>'8.31'!Print_Area</vt:lpstr>
      <vt:lpstr>'9.1'!Print_Area</vt:lpstr>
      <vt:lpstr>'9.10'!Print_Area</vt:lpstr>
      <vt:lpstr>'9.11'!Print_Area</vt:lpstr>
      <vt:lpstr>'9.14'!Print_Area</vt:lpstr>
      <vt:lpstr>'9.15'!Print_Area</vt:lpstr>
      <vt:lpstr>'9.16'!Print_Area</vt:lpstr>
      <vt:lpstr>'9.17'!Print_Area</vt:lpstr>
      <vt:lpstr>'9.18'!Print_Area</vt:lpstr>
      <vt:lpstr>'9.2'!Print_Area</vt:lpstr>
      <vt:lpstr>'9.21'!Print_Area</vt:lpstr>
      <vt:lpstr>'9.22'!Print_Area</vt:lpstr>
      <vt:lpstr>'9.23'!Print_Area</vt:lpstr>
      <vt:lpstr>'9.24'!Print_Area</vt:lpstr>
      <vt:lpstr>'9.29'!Print_Area</vt:lpstr>
      <vt:lpstr>'9.3'!Print_Area</vt:lpstr>
      <vt:lpstr>'9.30'!Print_Area</vt:lpstr>
      <vt:lpstr>'9.4'!Print_Area</vt:lpstr>
      <vt:lpstr>'9.7'!Print_Area</vt:lpstr>
      <vt:lpstr>'9.8'!Print_Area</vt:lpstr>
      <vt:lpstr>'9.9'!Print_Area</vt:lpstr>
      <vt:lpstr>密度!Print_Area</vt:lpstr>
      <vt:lpstr>新增!Print_Area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C663</dc:creator>
  <cp:lastModifiedBy>C712-PC</cp:lastModifiedBy>
  <cp:lastPrinted>2026-09-29T23:15:50Z</cp:lastPrinted>
  <dcterms:created xsi:type="dcterms:W3CDTF">2006-09-16T00:00:00Z</dcterms:created>
  <dcterms:modified xsi:type="dcterms:W3CDTF">2026-09-30T06:53:25Z</dcterms:modified>
</cp:coreProperties>
</file>