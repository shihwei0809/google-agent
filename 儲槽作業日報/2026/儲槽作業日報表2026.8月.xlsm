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4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5.xml" ContentType="application/vnd.openxmlformats-officedocument.drawing+xml"/>
  <Override PartName="/xl/ctrlProps/ctrlProp4.xml" ContentType="application/vnd.ms-excel.controlproperties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ctrlProps/ctrlProp5.xml" ContentType="application/vnd.ms-excel.controlproperties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7.xml" ContentType="application/vnd.openxmlformats-officedocument.drawing+xml"/>
  <Override PartName="/xl/ctrlProps/ctrlProp6.xml" ContentType="application/vnd.ms-excel.controlproperties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drawings/drawing8.xml" ContentType="application/vnd.openxmlformats-officedocument.drawing+xml"/>
  <Override PartName="/xl/ctrlProps/ctrlProp7.xml" ContentType="application/vnd.ms-excel.controlproperties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9.xml" ContentType="application/vnd.openxmlformats-officedocument.drawing+xml"/>
  <Override PartName="/xl/ctrlProps/ctrlProp8.xml" ContentType="application/vnd.ms-excel.controlproperties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drawings/drawing10.xml" ContentType="application/vnd.openxmlformats-officedocument.drawing+xml"/>
  <Override PartName="/xl/ctrlProps/ctrlProp9.xml" ContentType="application/vnd.ms-excel.controlproperties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drawings/drawing11.xml" ContentType="application/vnd.openxmlformats-officedocument.drawing+xml"/>
  <Override PartName="/xl/ctrlProps/ctrlProp10.xml" ContentType="application/vnd.ms-excel.controlproperties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drawings/drawing12.xml" ContentType="application/vnd.openxmlformats-officedocument.drawing+xml"/>
  <Override PartName="/xl/ctrlProps/ctrlProp11.xml" ContentType="application/vnd.ms-excel.controlproperties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drawings/drawing13.xml" ContentType="application/vnd.openxmlformats-officedocument.drawing+xml"/>
  <Override PartName="/xl/ctrlProps/ctrlProp12.xml" ContentType="application/vnd.ms-excel.controlproperties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drawings/drawing14.xml" ContentType="application/vnd.openxmlformats-officedocument.drawing+xml"/>
  <Override PartName="/xl/ctrlProps/ctrlProp13.xml" ContentType="application/vnd.ms-excel.controlproperties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drawings/drawing15.xml" ContentType="application/vnd.openxmlformats-officedocument.drawing+xml"/>
  <Override PartName="/xl/ctrlProps/ctrlProp14.xml" ContentType="application/vnd.ms-excel.controlproperties+xml"/>
  <Override PartName="/xl/tables/table14.xml" ContentType="application/vnd.openxmlformats-officedocument.spreadsheetml.table+xml"/>
  <Override PartName="/xl/queryTables/queryTable14.xml" ContentType="application/vnd.openxmlformats-officedocument.spreadsheetml.queryTable+xml"/>
  <Override PartName="/xl/drawings/drawing16.xml" ContentType="application/vnd.openxmlformats-officedocument.drawing+xml"/>
  <Override PartName="/xl/ctrlProps/ctrlProp15.xml" ContentType="application/vnd.ms-excel.controlproperties+xml"/>
  <Override PartName="/xl/tables/table15.xml" ContentType="application/vnd.openxmlformats-officedocument.spreadsheetml.table+xml"/>
  <Override PartName="/xl/queryTables/queryTable15.xml" ContentType="application/vnd.openxmlformats-officedocument.spreadsheetml.queryTable+xml"/>
  <Override PartName="/xl/drawings/drawing17.xml" ContentType="application/vnd.openxmlformats-officedocument.drawing+xml"/>
  <Override PartName="/xl/ctrlProps/ctrlProp16.xml" ContentType="application/vnd.ms-excel.controlproperties+xml"/>
  <Override PartName="/xl/tables/table16.xml" ContentType="application/vnd.openxmlformats-officedocument.spreadsheetml.table+xml"/>
  <Override PartName="/xl/queryTables/queryTable16.xml" ContentType="application/vnd.openxmlformats-officedocument.spreadsheetml.queryTable+xml"/>
  <Override PartName="/xl/drawings/drawing18.xml" ContentType="application/vnd.openxmlformats-officedocument.drawing+xml"/>
  <Override PartName="/xl/ctrlProps/ctrlProp17.xml" ContentType="application/vnd.ms-excel.controlproperties+xml"/>
  <Override PartName="/xl/tables/table17.xml" ContentType="application/vnd.openxmlformats-officedocument.spreadsheetml.table+xml"/>
  <Override PartName="/xl/queryTables/queryTable17.xml" ContentType="application/vnd.openxmlformats-officedocument.spreadsheetml.queryTable+xml"/>
  <Override PartName="/xl/drawings/drawing19.xml" ContentType="application/vnd.openxmlformats-officedocument.drawing+xml"/>
  <Override PartName="/xl/ctrlProps/ctrlProp18.xml" ContentType="application/vnd.ms-excel.controlproperties+xml"/>
  <Override PartName="/xl/tables/table18.xml" ContentType="application/vnd.openxmlformats-officedocument.spreadsheetml.table+xml"/>
  <Override PartName="/xl/queryTables/queryTable18.xml" ContentType="application/vnd.openxmlformats-officedocument.spreadsheetml.queryTable+xml"/>
  <Override PartName="/xl/drawings/drawing20.xml" ContentType="application/vnd.openxmlformats-officedocument.drawing+xml"/>
  <Override PartName="/xl/ctrlProps/ctrlProp19.xml" ContentType="application/vnd.ms-excel.controlproperties+xml"/>
  <Override PartName="/xl/tables/table19.xml" ContentType="application/vnd.openxmlformats-officedocument.spreadsheetml.table+xml"/>
  <Override PartName="/xl/queryTables/queryTable19.xml" ContentType="application/vnd.openxmlformats-officedocument.spreadsheetml.queryTable+xml"/>
  <Override PartName="/xl/drawings/drawing21.xml" ContentType="application/vnd.openxmlformats-officedocument.drawing+xml"/>
  <Override PartName="/xl/ctrlProps/ctrlProp20.xml" ContentType="application/vnd.ms-excel.controlproperties+xml"/>
  <Override PartName="/xl/tables/table20.xml" ContentType="application/vnd.openxmlformats-officedocument.spreadsheetml.table+xml"/>
  <Override PartName="/xl/queryTables/queryTable20.xml" ContentType="application/vnd.openxmlformats-officedocument.spreadsheetml.queryTable+xml"/>
  <Override PartName="/xl/drawings/drawing22.xml" ContentType="application/vnd.openxmlformats-officedocument.drawing+xml"/>
  <Override PartName="/xl/ctrlProps/ctrlProp21.xml" ContentType="application/vnd.ms-excel.controlproperties+xml"/>
  <Override PartName="/xl/tables/table21.xml" ContentType="application/vnd.openxmlformats-officedocument.spreadsheetml.table+xml"/>
  <Override PartName="/xl/queryTables/queryTable21.xml" ContentType="application/vnd.openxmlformats-officedocument.spreadsheetml.queryTable+xml"/>
  <Override PartName="/xl/drawings/drawing23.xml" ContentType="application/vnd.openxmlformats-officedocument.drawing+xml"/>
  <Override PartName="/xl/ctrlProps/ctrlProp22.xml" ContentType="application/vnd.ms-excel.controlproperties+xml"/>
  <Override PartName="/xl/tables/table22.xml" ContentType="application/vnd.openxmlformats-officedocument.spreadsheetml.table+xml"/>
  <Override PartName="/xl/queryTables/queryTable22.xml" ContentType="application/vnd.openxmlformats-officedocument.spreadsheetml.queryTable+xml"/>
  <Override PartName="/xl/drawings/drawing24.xml" ContentType="application/vnd.openxmlformats-officedocument.drawing+xml"/>
  <Override PartName="/xl/ctrlProps/ctrlProp23.xml" ContentType="application/vnd.ms-excel.controlproperties+xml"/>
  <Override PartName="/xl/tables/table23.xml" ContentType="application/vnd.openxmlformats-officedocument.spreadsheetml.table+xml"/>
  <Override PartName="/xl/queryTables/queryTable23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O:\各單位對外\資材部對外\!儲槽作業日報\儲槽作業日報\2026\"/>
    </mc:Choice>
  </mc:AlternateContent>
  <bookViews>
    <workbookView xWindow="0" yWindow="0" windowWidth="21600" windowHeight="8256" firstSheet="8" activeTab="24"/>
  </bookViews>
  <sheets>
    <sheet name="新增" sheetId="1727" r:id="rId1"/>
    <sheet name="密度" sheetId="13" r:id="rId2"/>
    <sheet name="7.31" sheetId="2224" r:id="rId3"/>
    <sheet name="8.1" sheetId="2225" r:id="rId4"/>
    <sheet name="8.3" sheetId="2226" r:id="rId5"/>
    <sheet name="8.4" sheetId="2227" r:id="rId6"/>
    <sheet name="8.5" sheetId="2228" r:id="rId7"/>
    <sheet name="8.6" sheetId="2229" r:id="rId8"/>
    <sheet name="8.7" sheetId="2230" r:id="rId9"/>
    <sheet name="8.10" sheetId="2231" r:id="rId10"/>
    <sheet name="8.11" sheetId="2232" r:id="rId11"/>
    <sheet name="8.12" sheetId="2233" r:id="rId12"/>
    <sheet name="8.13" sheetId="2234" r:id="rId13"/>
    <sheet name="8.14" sheetId="2235" r:id="rId14"/>
    <sheet name="8.17" sheetId="2236" r:id="rId15"/>
    <sheet name="8.18" sheetId="2237" r:id="rId16"/>
    <sheet name="8.19" sheetId="2238" r:id="rId17"/>
    <sheet name="8.20" sheetId="2239" r:id="rId18"/>
    <sheet name="8.21" sheetId="2240" r:id="rId19"/>
    <sheet name="8.24" sheetId="2242" r:id="rId20"/>
    <sheet name="8.25" sheetId="2243" r:id="rId21"/>
    <sheet name="8.26" sheetId="2244" r:id="rId22"/>
    <sheet name="8.27" sheetId="2245" r:id="rId23"/>
    <sheet name="8.28" sheetId="2246" r:id="rId24"/>
    <sheet name="8.31" sheetId="2247" r:id="rId25"/>
  </sheets>
  <definedNames>
    <definedName name="_xlnm.Print_Area" localSheetId="2">'7.31'!$B$1:$AE$36</definedName>
    <definedName name="_xlnm.Print_Area" localSheetId="3">'8.1'!$B$1:$AE$36</definedName>
    <definedName name="_xlnm.Print_Area" localSheetId="9">'8.10'!$B$1:$AE$36</definedName>
    <definedName name="_xlnm.Print_Area" localSheetId="10">'8.11'!$B$1:$AE$36</definedName>
    <definedName name="_xlnm.Print_Area" localSheetId="11">'8.12'!$B$1:$AE$36</definedName>
    <definedName name="_xlnm.Print_Area" localSheetId="12">'8.13'!$B$1:$AE$36</definedName>
    <definedName name="_xlnm.Print_Area" localSheetId="13">'8.14'!$B$1:$AE$36</definedName>
    <definedName name="_xlnm.Print_Area" localSheetId="14">'8.17'!$B$1:$AE$36</definedName>
    <definedName name="_xlnm.Print_Area" localSheetId="15">'8.18'!$B$1:$AE$36</definedName>
    <definedName name="_xlnm.Print_Area" localSheetId="16">'8.19'!$B$1:$AE$36</definedName>
    <definedName name="_xlnm.Print_Area" localSheetId="17">'8.20'!$B$1:$AE$36</definedName>
    <definedName name="_xlnm.Print_Area" localSheetId="18">'8.21'!$B$1:$AE$36</definedName>
    <definedName name="_xlnm.Print_Area" localSheetId="19">'8.24'!$B$1:$AE$36</definedName>
    <definedName name="_xlnm.Print_Area" localSheetId="20">'8.25'!$B$1:$AE$36</definedName>
    <definedName name="_xlnm.Print_Area" localSheetId="21">'8.26'!$B$1:$AE$36</definedName>
    <definedName name="_xlnm.Print_Area" localSheetId="22">'8.27'!$B$1:$AE$36</definedName>
    <definedName name="_xlnm.Print_Area" localSheetId="23">'8.28'!$B$1:$AE$36</definedName>
    <definedName name="_xlnm.Print_Area" localSheetId="4">'8.3'!$B$1:$AE$36</definedName>
    <definedName name="_xlnm.Print_Area" localSheetId="24">'8.31'!$B$1:$AE$36</definedName>
    <definedName name="_xlnm.Print_Area" localSheetId="5">'8.4'!$B$1:$AE$36</definedName>
    <definedName name="_xlnm.Print_Area" localSheetId="6">'8.5'!$B$1:$AE$36</definedName>
    <definedName name="_xlnm.Print_Area" localSheetId="7">'8.6'!$B$1:$AE$36</definedName>
    <definedName name="_xlnm.Print_Area" localSheetId="8">'8.7'!$B$1:$AE$36</definedName>
    <definedName name="_xlnm.Print_Area" localSheetId="1">密度!$A$1:$W$61</definedName>
    <definedName name="_xlnm.Print_Area" localSheetId="0">新增!$A$1:$M$45</definedName>
    <definedName name="Z_512059F6_F0DC_4056_8FD0_37088AB81F9E_.wvu.PrintArea" localSheetId="2" hidden="1">'7.31'!$B$3:$AE$36</definedName>
    <definedName name="Z_512059F6_F0DC_4056_8FD0_37088AB81F9E_.wvu.PrintArea" localSheetId="3" hidden="1">'8.1'!$B$3:$AE$36</definedName>
    <definedName name="Z_512059F6_F0DC_4056_8FD0_37088AB81F9E_.wvu.PrintArea" localSheetId="9" hidden="1">'8.10'!$B$3:$AE$36</definedName>
    <definedName name="Z_512059F6_F0DC_4056_8FD0_37088AB81F9E_.wvu.PrintArea" localSheetId="10" hidden="1">'8.11'!$B$3:$AE$36</definedName>
    <definedName name="Z_512059F6_F0DC_4056_8FD0_37088AB81F9E_.wvu.PrintArea" localSheetId="11" hidden="1">'8.12'!$B$3:$AE$36</definedName>
    <definedName name="Z_512059F6_F0DC_4056_8FD0_37088AB81F9E_.wvu.PrintArea" localSheetId="12" hidden="1">'8.13'!$B$3:$AE$36</definedName>
    <definedName name="Z_512059F6_F0DC_4056_8FD0_37088AB81F9E_.wvu.PrintArea" localSheetId="13" hidden="1">'8.14'!$B$3:$AE$36</definedName>
    <definedName name="Z_512059F6_F0DC_4056_8FD0_37088AB81F9E_.wvu.PrintArea" localSheetId="14" hidden="1">'8.17'!$B$3:$AE$36</definedName>
    <definedName name="Z_512059F6_F0DC_4056_8FD0_37088AB81F9E_.wvu.PrintArea" localSheetId="15" hidden="1">'8.18'!$B$3:$AE$36</definedName>
    <definedName name="Z_512059F6_F0DC_4056_8FD0_37088AB81F9E_.wvu.PrintArea" localSheetId="16" hidden="1">'8.19'!$B$3:$AE$36</definedName>
    <definedName name="Z_512059F6_F0DC_4056_8FD0_37088AB81F9E_.wvu.PrintArea" localSheetId="17" hidden="1">'8.20'!$B$3:$AE$36</definedName>
    <definedName name="Z_512059F6_F0DC_4056_8FD0_37088AB81F9E_.wvu.PrintArea" localSheetId="18" hidden="1">'8.21'!$B$3:$AE$36</definedName>
    <definedName name="Z_512059F6_F0DC_4056_8FD0_37088AB81F9E_.wvu.PrintArea" localSheetId="19" hidden="1">'8.24'!$B$3:$AE$36</definedName>
    <definedName name="Z_512059F6_F0DC_4056_8FD0_37088AB81F9E_.wvu.PrintArea" localSheetId="20" hidden="1">'8.25'!$B$3:$AE$36</definedName>
    <definedName name="Z_512059F6_F0DC_4056_8FD0_37088AB81F9E_.wvu.PrintArea" localSheetId="21" hidden="1">'8.26'!$B$3:$AE$36</definedName>
    <definedName name="Z_512059F6_F0DC_4056_8FD0_37088AB81F9E_.wvu.PrintArea" localSheetId="22" hidden="1">'8.27'!$B$3:$AE$36</definedName>
    <definedName name="Z_512059F6_F0DC_4056_8FD0_37088AB81F9E_.wvu.PrintArea" localSheetId="23" hidden="1">'8.28'!$B$3:$AE$36</definedName>
    <definedName name="Z_512059F6_F0DC_4056_8FD0_37088AB81F9E_.wvu.PrintArea" localSheetId="4" hidden="1">'8.3'!$B$3:$AE$36</definedName>
    <definedName name="Z_512059F6_F0DC_4056_8FD0_37088AB81F9E_.wvu.PrintArea" localSheetId="24" hidden="1">'8.31'!$B$3:$AE$36</definedName>
    <definedName name="Z_512059F6_F0DC_4056_8FD0_37088AB81F9E_.wvu.PrintArea" localSheetId="5" hidden="1">'8.4'!$B$3:$AE$36</definedName>
    <definedName name="Z_512059F6_F0DC_4056_8FD0_37088AB81F9E_.wvu.PrintArea" localSheetId="6" hidden="1">'8.5'!$B$3:$AE$36</definedName>
    <definedName name="Z_512059F6_F0DC_4056_8FD0_37088AB81F9E_.wvu.PrintArea" localSheetId="7" hidden="1">'8.6'!$B$3:$AE$36</definedName>
    <definedName name="Z_512059F6_F0DC_4056_8FD0_37088AB81F9E_.wvu.PrintArea" localSheetId="8" hidden="1">'8.7'!$B$3:$AE$36</definedName>
    <definedName name="Z_68643476_8805_447E_8170_A582EA1D0343_.wvu.PrintArea" localSheetId="2" hidden="1">'7.31'!$B$3:$AE$36</definedName>
    <definedName name="Z_68643476_8805_447E_8170_A582EA1D0343_.wvu.PrintArea" localSheetId="3" hidden="1">'8.1'!$B$3:$AE$36</definedName>
    <definedName name="Z_68643476_8805_447E_8170_A582EA1D0343_.wvu.PrintArea" localSheetId="9" hidden="1">'8.10'!$B$3:$AE$36</definedName>
    <definedName name="Z_68643476_8805_447E_8170_A582EA1D0343_.wvu.PrintArea" localSheetId="10" hidden="1">'8.11'!$B$3:$AE$36</definedName>
    <definedName name="Z_68643476_8805_447E_8170_A582EA1D0343_.wvu.PrintArea" localSheetId="11" hidden="1">'8.12'!$B$3:$AE$36</definedName>
    <definedName name="Z_68643476_8805_447E_8170_A582EA1D0343_.wvu.PrintArea" localSheetId="12" hidden="1">'8.13'!$B$3:$AE$36</definedName>
    <definedName name="Z_68643476_8805_447E_8170_A582EA1D0343_.wvu.PrintArea" localSheetId="13" hidden="1">'8.14'!$B$3:$AE$36</definedName>
    <definedName name="Z_68643476_8805_447E_8170_A582EA1D0343_.wvu.PrintArea" localSheetId="14" hidden="1">'8.17'!$B$3:$AE$36</definedName>
    <definedName name="Z_68643476_8805_447E_8170_A582EA1D0343_.wvu.PrintArea" localSheetId="15" hidden="1">'8.18'!$B$3:$AE$36</definedName>
    <definedName name="Z_68643476_8805_447E_8170_A582EA1D0343_.wvu.PrintArea" localSheetId="16" hidden="1">'8.19'!$B$3:$AE$36</definedName>
    <definedName name="Z_68643476_8805_447E_8170_A582EA1D0343_.wvu.PrintArea" localSheetId="17" hidden="1">'8.20'!$B$3:$AE$36</definedName>
    <definedName name="Z_68643476_8805_447E_8170_A582EA1D0343_.wvu.PrintArea" localSheetId="18" hidden="1">'8.21'!$B$3:$AE$36</definedName>
    <definedName name="Z_68643476_8805_447E_8170_A582EA1D0343_.wvu.PrintArea" localSheetId="19" hidden="1">'8.24'!$B$3:$AE$36</definedName>
    <definedName name="Z_68643476_8805_447E_8170_A582EA1D0343_.wvu.PrintArea" localSheetId="20" hidden="1">'8.25'!$B$3:$AE$36</definedName>
    <definedName name="Z_68643476_8805_447E_8170_A582EA1D0343_.wvu.PrintArea" localSheetId="21" hidden="1">'8.26'!$B$3:$AE$36</definedName>
    <definedName name="Z_68643476_8805_447E_8170_A582EA1D0343_.wvu.PrintArea" localSheetId="22" hidden="1">'8.27'!$B$3:$AE$36</definedName>
    <definedName name="Z_68643476_8805_447E_8170_A582EA1D0343_.wvu.PrintArea" localSheetId="23" hidden="1">'8.28'!$B$3:$AE$36</definedName>
    <definedName name="Z_68643476_8805_447E_8170_A582EA1D0343_.wvu.PrintArea" localSheetId="4" hidden="1">'8.3'!$B$3:$AE$36</definedName>
    <definedName name="Z_68643476_8805_447E_8170_A582EA1D0343_.wvu.PrintArea" localSheetId="24" hidden="1">'8.31'!$B$3:$AE$36</definedName>
    <definedName name="Z_68643476_8805_447E_8170_A582EA1D0343_.wvu.PrintArea" localSheetId="5" hidden="1">'8.4'!$B$3:$AE$36</definedName>
    <definedName name="Z_68643476_8805_447E_8170_A582EA1D0343_.wvu.PrintArea" localSheetId="6" hidden="1">'8.5'!$B$3:$AE$36</definedName>
    <definedName name="Z_68643476_8805_447E_8170_A582EA1D0343_.wvu.PrintArea" localSheetId="7" hidden="1">'8.6'!$B$3:$AE$36</definedName>
    <definedName name="Z_68643476_8805_447E_8170_A582EA1D0343_.wvu.PrintArea" localSheetId="8" hidden="1">'8.7'!$B$3:$AE$36</definedName>
    <definedName name="Z_8E5926ED_4EBD_4129_B8FF_799CC47580D7_.wvu.PrintArea" localSheetId="2" hidden="1">'7.31'!$B$3:$AE$36</definedName>
    <definedName name="Z_8E5926ED_4EBD_4129_B8FF_799CC47580D7_.wvu.PrintArea" localSheetId="3" hidden="1">'8.1'!$B$3:$AE$36</definedName>
    <definedName name="Z_8E5926ED_4EBD_4129_B8FF_799CC47580D7_.wvu.PrintArea" localSheetId="9" hidden="1">'8.10'!$B$3:$AE$36</definedName>
    <definedName name="Z_8E5926ED_4EBD_4129_B8FF_799CC47580D7_.wvu.PrintArea" localSheetId="10" hidden="1">'8.11'!$B$3:$AE$36</definedName>
    <definedName name="Z_8E5926ED_4EBD_4129_B8FF_799CC47580D7_.wvu.PrintArea" localSheetId="11" hidden="1">'8.12'!$B$3:$AE$36</definedName>
    <definedName name="Z_8E5926ED_4EBD_4129_B8FF_799CC47580D7_.wvu.PrintArea" localSheetId="12" hidden="1">'8.13'!$B$3:$AE$36</definedName>
    <definedName name="Z_8E5926ED_4EBD_4129_B8FF_799CC47580D7_.wvu.PrintArea" localSheetId="13" hidden="1">'8.14'!$B$3:$AE$36</definedName>
    <definedName name="Z_8E5926ED_4EBD_4129_B8FF_799CC47580D7_.wvu.PrintArea" localSheetId="14" hidden="1">'8.17'!$B$3:$AE$36</definedName>
    <definedName name="Z_8E5926ED_4EBD_4129_B8FF_799CC47580D7_.wvu.PrintArea" localSheetId="15" hidden="1">'8.18'!$B$3:$AE$36</definedName>
    <definedName name="Z_8E5926ED_4EBD_4129_B8FF_799CC47580D7_.wvu.PrintArea" localSheetId="16" hidden="1">'8.19'!$B$3:$AE$36</definedName>
    <definedName name="Z_8E5926ED_4EBD_4129_B8FF_799CC47580D7_.wvu.PrintArea" localSheetId="17" hidden="1">'8.20'!$B$3:$AE$36</definedName>
    <definedName name="Z_8E5926ED_4EBD_4129_B8FF_799CC47580D7_.wvu.PrintArea" localSheetId="18" hidden="1">'8.21'!$B$3:$AE$36</definedName>
    <definedName name="Z_8E5926ED_4EBD_4129_B8FF_799CC47580D7_.wvu.PrintArea" localSheetId="19" hidden="1">'8.24'!$B$3:$AE$36</definedName>
    <definedName name="Z_8E5926ED_4EBD_4129_B8FF_799CC47580D7_.wvu.PrintArea" localSheetId="20" hidden="1">'8.25'!$B$3:$AE$36</definedName>
    <definedName name="Z_8E5926ED_4EBD_4129_B8FF_799CC47580D7_.wvu.PrintArea" localSheetId="21" hidden="1">'8.26'!$B$3:$AE$36</definedName>
    <definedName name="Z_8E5926ED_4EBD_4129_B8FF_799CC47580D7_.wvu.PrintArea" localSheetId="22" hidden="1">'8.27'!$B$3:$AE$36</definedName>
    <definedName name="Z_8E5926ED_4EBD_4129_B8FF_799CC47580D7_.wvu.PrintArea" localSheetId="23" hidden="1">'8.28'!$B$3:$AE$36</definedName>
    <definedName name="Z_8E5926ED_4EBD_4129_B8FF_799CC47580D7_.wvu.PrintArea" localSheetId="4" hidden="1">'8.3'!$B$3:$AE$36</definedName>
    <definedName name="Z_8E5926ED_4EBD_4129_B8FF_799CC47580D7_.wvu.PrintArea" localSheetId="24" hidden="1">'8.31'!$B$3:$AE$36</definedName>
    <definedName name="Z_8E5926ED_4EBD_4129_B8FF_799CC47580D7_.wvu.PrintArea" localSheetId="5" hidden="1">'8.4'!$B$3:$AE$36</definedName>
    <definedName name="Z_8E5926ED_4EBD_4129_B8FF_799CC47580D7_.wvu.PrintArea" localSheetId="6" hidden="1">'8.5'!$B$3:$AE$36</definedName>
    <definedName name="Z_8E5926ED_4EBD_4129_B8FF_799CC47580D7_.wvu.PrintArea" localSheetId="7" hidden="1">'8.6'!$B$3:$AE$36</definedName>
    <definedName name="Z_8E5926ED_4EBD_4129_B8FF_799CC47580D7_.wvu.PrintArea" localSheetId="8" hidden="1">'8.7'!$B$3:$AE$36</definedName>
    <definedName name="Z_8FA8B620_C56C_11DB_A857_00055D5FD5FF_.wvu.PrintArea" localSheetId="2" hidden="1">'7.31'!$B$3:$AE$36</definedName>
    <definedName name="Z_8FA8B620_C56C_11DB_A857_00055D5FD5FF_.wvu.PrintArea" localSheetId="3" hidden="1">'8.1'!$B$3:$AE$36</definedName>
    <definedName name="Z_8FA8B620_C56C_11DB_A857_00055D5FD5FF_.wvu.PrintArea" localSheetId="9" hidden="1">'8.10'!$B$3:$AE$36</definedName>
    <definedName name="Z_8FA8B620_C56C_11DB_A857_00055D5FD5FF_.wvu.PrintArea" localSheetId="10" hidden="1">'8.11'!$B$3:$AE$36</definedName>
    <definedName name="Z_8FA8B620_C56C_11DB_A857_00055D5FD5FF_.wvu.PrintArea" localSheetId="11" hidden="1">'8.12'!$B$3:$AE$36</definedName>
    <definedName name="Z_8FA8B620_C56C_11DB_A857_00055D5FD5FF_.wvu.PrintArea" localSheetId="12" hidden="1">'8.13'!$B$3:$AE$36</definedName>
    <definedName name="Z_8FA8B620_C56C_11DB_A857_00055D5FD5FF_.wvu.PrintArea" localSheetId="13" hidden="1">'8.14'!$B$3:$AE$36</definedName>
    <definedName name="Z_8FA8B620_C56C_11DB_A857_00055D5FD5FF_.wvu.PrintArea" localSheetId="14" hidden="1">'8.17'!$B$3:$AE$36</definedName>
    <definedName name="Z_8FA8B620_C56C_11DB_A857_00055D5FD5FF_.wvu.PrintArea" localSheetId="15" hidden="1">'8.18'!$B$3:$AE$36</definedName>
    <definedName name="Z_8FA8B620_C56C_11DB_A857_00055D5FD5FF_.wvu.PrintArea" localSheetId="16" hidden="1">'8.19'!$B$3:$AE$36</definedName>
    <definedName name="Z_8FA8B620_C56C_11DB_A857_00055D5FD5FF_.wvu.PrintArea" localSheetId="17" hidden="1">'8.20'!$B$3:$AE$36</definedName>
    <definedName name="Z_8FA8B620_C56C_11DB_A857_00055D5FD5FF_.wvu.PrintArea" localSheetId="18" hidden="1">'8.21'!$B$3:$AE$36</definedName>
    <definedName name="Z_8FA8B620_C56C_11DB_A857_00055D5FD5FF_.wvu.PrintArea" localSheetId="19" hidden="1">'8.24'!$B$3:$AE$36</definedName>
    <definedName name="Z_8FA8B620_C56C_11DB_A857_00055D5FD5FF_.wvu.PrintArea" localSheetId="20" hidden="1">'8.25'!$B$3:$AE$36</definedName>
    <definedName name="Z_8FA8B620_C56C_11DB_A857_00055D5FD5FF_.wvu.PrintArea" localSheetId="21" hidden="1">'8.26'!$B$3:$AE$36</definedName>
    <definedName name="Z_8FA8B620_C56C_11DB_A857_00055D5FD5FF_.wvu.PrintArea" localSheetId="22" hidden="1">'8.27'!$B$3:$AE$36</definedName>
    <definedName name="Z_8FA8B620_C56C_11DB_A857_00055D5FD5FF_.wvu.PrintArea" localSheetId="23" hidden="1">'8.28'!$B$3:$AE$36</definedName>
    <definedName name="Z_8FA8B620_C56C_11DB_A857_00055D5FD5FF_.wvu.PrintArea" localSheetId="4" hidden="1">'8.3'!$B$3:$AE$36</definedName>
    <definedName name="Z_8FA8B620_C56C_11DB_A857_00055D5FD5FF_.wvu.PrintArea" localSheetId="24" hidden="1">'8.31'!$B$3:$AE$36</definedName>
    <definedName name="Z_8FA8B620_C56C_11DB_A857_00055D5FD5FF_.wvu.PrintArea" localSheetId="5" hidden="1">'8.4'!$B$3:$AE$36</definedName>
    <definedName name="Z_8FA8B620_C56C_11DB_A857_00055D5FD5FF_.wvu.PrintArea" localSheetId="6" hidden="1">'8.5'!$B$3:$AE$36</definedName>
    <definedName name="Z_8FA8B620_C56C_11DB_A857_00055D5FD5FF_.wvu.PrintArea" localSheetId="7" hidden="1">'8.6'!$B$3:$AE$36</definedName>
    <definedName name="Z_8FA8B620_C56C_11DB_A857_00055D5FD5FF_.wvu.PrintArea" localSheetId="8" hidden="1">'8.7'!$B$3:$AE$36</definedName>
    <definedName name="Z_A3DB5619_047E_4CE2_8C39_700CFD25F2CB_.wvu.PrintArea" localSheetId="2" hidden="1">'7.31'!$B$3:$AE$36</definedName>
    <definedName name="Z_A3DB5619_047E_4CE2_8C39_700CFD25F2CB_.wvu.PrintArea" localSheetId="3" hidden="1">'8.1'!$B$3:$AE$36</definedName>
    <definedName name="Z_A3DB5619_047E_4CE2_8C39_700CFD25F2CB_.wvu.PrintArea" localSheetId="9" hidden="1">'8.10'!$B$3:$AE$36</definedName>
    <definedName name="Z_A3DB5619_047E_4CE2_8C39_700CFD25F2CB_.wvu.PrintArea" localSheetId="10" hidden="1">'8.11'!$B$3:$AE$36</definedName>
    <definedName name="Z_A3DB5619_047E_4CE2_8C39_700CFD25F2CB_.wvu.PrintArea" localSheetId="11" hidden="1">'8.12'!$B$3:$AE$36</definedName>
    <definedName name="Z_A3DB5619_047E_4CE2_8C39_700CFD25F2CB_.wvu.PrintArea" localSheetId="12" hidden="1">'8.13'!$B$3:$AE$36</definedName>
    <definedName name="Z_A3DB5619_047E_4CE2_8C39_700CFD25F2CB_.wvu.PrintArea" localSheetId="13" hidden="1">'8.14'!$B$3:$AE$36</definedName>
    <definedName name="Z_A3DB5619_047E_4CE2_8C39_700CFD25F2CB_.wvu.PrintArea" localSheetId="14" hidden="1">'8.17'!$B$3:$AE$36</definedName>
    <definedName name="Z_A3DB5619_047E_4CE2_8C39_700CFD25F2CB_.wvu.PrintArea" localSheetId="15" hidden="1">'8.18'!$B$3:$AE$36</definedName>
    <definedName name="Z_A3DB5619_047E_4CE2_8C39_700CFD25F2CB_.wvu.PrintArea" localSheetId="16" hidden="1">'8.19'!$B$3:$AE$36</definedName>
    <definedName name="Z_A3DB5619_047E_4CE2_8C39_700CFD25F2CB_.wvu.PrintArea" localSheetId="17" hidden="1">'8.20'!$B$3:$AE$36</definedName>
    <definedName name="Z_A3DB5619_047E_4CE2_8C39_700CFD25F2CB_.wvu.PrintArea" localSheetId="18" hidden="1">'8.21'!$B$3:$AE$36</definedName>
    <definedName name="Z_A3DB5619_047E_4CE2_8C39_700CFD25F2CB_.wvu.PrintArea" localSheetId="19" hidden="1">'8.24'!$B$3:$AE$36</definedName>
    <definedName name="Z_A3DB5619_047E_4CE2_8C39_700CFD25F2CB_.wvu.PrintArea" localSheetId="20" hidden="1">'8.25'!$B$3:$AE$36</definedName>
    <definedName name="Z_A3DB5619_047E_4CE2_8C39_700CFD25F2CB_.wvu.PrintArea" localSheetId="21" hidden="1">'8.26'!$B$3:$AE$36</definedName>
    <definedName name="Z_A3DB5619_047E_4CE2_8C39_700CFD25F2CB_.wvu.PrintArea" localSheetId="22" hidden="1">'8.27'!$B$3:$AE$36</definedName>
    <definedName name="Z_A3DB5619_047E_4CE2_8C39_700CFD25F2CB_.wvu.PrintArea" localSheetId="23" hidden="1">'8.28'!$B$3:$AE$36</definedName>
    <definedName name="Z_A3DB5619_047E_4CE2_8C39_700CFD25F2CB_.wvu.PrintArea" localSheetId="4" hidden="1">'8.3'!$B$3:$AE$36</definedName>
    <definedName name="Z_A3DB5619_047E_4CE2_8C39_700CFD25F2CB_.wvu.PrintArea" localSheetId="24" hidden="1">'8.31'!$B$3:$AE$36</definedName>
    <definedName name="Z_A3DB5619_047E_4CE2_8C39_700CFD25F2CB_.wvu.PrintArea" localSheetId="5" hidden="1">'8.4'!$B$3:$AE$36</definedName>
    <definedName name="Z_A3DB5619_047E_4CE2_8C39_700CFD25F2CB_.wvu.PrintArea" localSheetId="6" hidden="1">'8.5'!$B$3:$AE$36</definedName>
    <definedName name="Z_A3DB5619_047E_4CE2_8C39_700CFD25F2CB_.wvu.PrintArea" localSheetId="7" hidden="1">'8.6'!$B$3:$AE$36</definedName>
    <definedName name="Z_A3DB5619_047E_4CE2_8C39_700CFD25F2CB_.wvu.PrintArea" localSheetId="8" hidden="1">'8.7'!$B$3:$AE$36</definedName>
    <definedName name="Z_D903F940_B812_11DB_B168_0010B575B8B2_.wvu.PrintArea" localSheetId="2" hidden="1">'7.31'!$B$3:$AE$36</definedName>
    <definedName name="Z_D903F940_B812_11DB_B168_0010B575B8B2_.wvu.PrintArea" localSheetId="3" hidden="1">'8.1'!$B$3:$AE$36</definedName>
    <definedName name="Z_D903F940_B812_11DB_B168_0010B575B8B2_.wvu.PrintArea" localSheetId="9" hidden="1">'8.10'!$B$3:$AE$36</definedName>
    <definedName name="Z_D903F940_B812_11DB_B168_0010B575B8B2_.wvu.PrintArea" localSheetId="10" hidden="1">'8.11'!$B$3:$AE$36</definedName>
    <definedName name="Z_D903F940_B812_11DB_B168_0010B575B8B2_.wvu.PrintArea" localSheetId="11" hidden="1">'8.12'!$B$3:$AE$36</definedName>
    <definedName name="Z_D903F940_B812_11DB_B168_0010B575B8B2_.wvu.PrintArea" localSheetId="12" hidden="1">'8.13'!$B$3:$AE$36</definedName>
    <definedName name="Z_D903F940_B812_11DB_B168_0010B575B8B2_.wvu.PrintArea" localSheetId="13" hidden="1">'8.14'!$B$3:$AE$36</definedName>
    <definedName name="Z_D903F940_B812_11DB_B168_0010B575B8B2_.wvu.PrintArea" localSheetId="14" hidden="1">'8.17'!$B$3:$AE$36</definedName>
    <definedName name="Z_D903F940_B812_11DB_B168_0010B575B8B2_.wvu.PrintArea" localSheetId="15" hidden="1">'8.18'!$B$3:$AE$36</definedName>
    <definedName name="Z_D903F940_B812_11DB_B168_0010B575B8B2_.wvu.PrintArea" localSheetId="16" hidden="1">'8.19'!$B$3:$AE$36</definedName>
    <definedName name="Z_D903F940_B812_11DB_B168_0010B575B8B2_.wvu.PrintArea" localSheetId="17" hidden="1">'8.20'!$B$3:$AE$36</definedName>
    <definedName name="Z_D903F940_B812_11DB_B168_0010B575B8B2_.wvu.PrintArea" localSheetId="18" hidden="1">'8.21'!$B$3:$AE$36</definedName>
    <definedName name="Z_D903F940_B812_11DB_B168_0010B575B8B2_.wvu.PrintArea" localSheetId="19" hidden="1">'8.24'!$B$3:$AE$36</definedName>
    <definedName name="Z_D903F940_B812_11DB_B168_0010B575B8B2_.wvu.PrintArea" localSheetId="20" hidden="1">'8.25'!$B$3:$AE$36</definedName>
    <definedName name="Z_D903F940_B812_11DB_B168_0010B575B8B2_.wvu.PrintArea" localSheetId="21" hidden="1">'8.26'!$B$3:$AE$36</definedName>
    <definedName name="Z_D903F940_B812_11DB_B168_0010B575B8B2_.wvu.PrintArea" localSheetId="22" hidden="1">'8.27'!$B$3:$AE$36</definedName>
    <definedName name="Z_D903F940_B812_11DB_B168_0010B575B8B2_.wvu.PrintArea" localSheetId="23" hidden="1">'8.28'!$B$3:$AE$36</definedName>
    <definedName name="Z_D903F940_B812_11DB_B168_0010B575B8B2_.wvu.PrintArea" localSheetId="4" hidden="1">'8.3'!$B$3:$AE$36</definedName>
    <definedName name="Z_D903F940_B812_11DB_B168_0010B575B8B2_.wvu.PrintArea" localSheetId="24" hidden="1">'8.31'!$B$3:$AE$36</definedName>
    <definedName name="Z_D903F940_B812_11DB_B168_0010B575B8B2_.wvu.PrintArea" localSheetId="5" hidden="1">'8.4'!$B$3:$AE$36</definedName>
    <definedName name="Z_D903F940_B812_11DB_B168_0010B575B8B2_.wvu.PrintArea" localSheetId="6" hidden="1">'8.5'!$B$3:$AE$36</definedName>
    <definedName name="Z_D903F940_B812_11DB_B168_0010B575B8B2_.wvu.PrintArea" localSheetId="7" hidden="1">'8.6'!$B$3:$AE$36</definedName>
    <definedName name="Z_D903F940_B812_11DB_B168_0010B575B8B2_.wvu.PrintArea" localSheetId="8" hidden="1">'8.7'!$B$3:$AE$36</definedName>
    <definedName name="取樣回收每月庫存表" localSheetId="2" hidden="1">'7.31'!#REF!</definedName>
    <definedName name="取樣回收每月庫存表" localSheetId="3" hidden="1">'8.1'!#REF!</definedName>
    <definedName name="取樣回收每月庫存表" localSheetId="9" hidden="1">'8.10'!#REF!</definedName>
    <definedName name="取樣回收每月庫存表" localSheetId="10" hidden="1">'8.11'!#REF!</definedName>
    <definedName name="取樣回收每月庫存表" localSheetId="11" hidden="1">'8.12'!#REF!</definedName>
    <definedName name="取樣回收每月庫存表" localSheetId="12" hidden="1">'8.13'!#REF!</definedName>
    <definedName name="取樣回收每月庫存表" localSheetId="13" hidden="1">'8.14'!#REF!</definedName>
    <definedName name="取樣回收每月庫存表" localSheetId="14" hidden="1">'8.17'!#REF!</definedName>
    <definedName name="取樣回收每月庫存表" localSheetId="15" hidden="1">'8.18'!#REF!</definedName>
    <definedName name="取樣回收每月庫存表" localSheetId="16" hidden="1">'8.19'!#REF!</definedName>
    <definedName name="取樣回收每月庫存表" localSheetId="17" hidden="1">'8.20'!#REF!</definedName>
    <definedName name="取樣回收每月庫存表" localSheetId="18" hidden="1">'8.21'!#REF!</definedName>
    <definedName name="取樣回收每月庫存表" localSheetId="19" hidden="1">'8.24'!#REF!</definedName>
    <definedName name="取樣回收每月庫存表" localSheetId="20" hidden="1">'8.25'!#REF!</definedName>
    <definedName name="取樣回收每月庫存表" localSheetId="21" hidden="1">'8.26'!#REF!</definedName>
    <definedName name="取樣回收每月庫存表" localSheetId="22" hidden="1">'8.27'!#REF!</definedName>
    <definedName name="取樣回收每月庫存表" localSheetId="23" hidden="1">'8.28'!#REF!</definedName>
    <definedName name="取樣回收每月庫存表" localSheetId="4" hidden="1">'8.3'!#REF!</definedName>
    <definedName name="取樣回收每月庫存表" localSheetId="24" hidden="1">'8.31'!#REF!</definedName>
    <definedName name="取樣回收每月庫存表" localSheetId="5" hidden="1">'8.4'!#REF!</definedName>
    <definedName name="取樣回收每月庫存表" localSheetId="6" hidden="1">'8.5'!#REF!</definedName>
    <definedName name="取樣回收每月庫存表" localSheetId="7" hidden="1">'8.6'!#REF!</definedName>
    <definedName name="取樣回收每月庫存表" localSheetId="8" hidden="1">'8.7'!#REF!</definedName>
    <definedName name="取樣回收每月庫存表_0620更新" localSheetId="2" hidden="1">'7.31'!$AG$13:$BH$189</definedName>
    <definedName name="取樣回收每月庫存表_0620更新" localSheetId="3" hidden="1">'8.1'!$AG$13:$BH$189</definedName>
    <definedName name="取樣回收每月庫存表_0620更新" localSheetId="9" hidden="1">'8.10'!$AG$13:$BH$189</definedName>
    <definedName name="取樣回收每月庫存表_0620更新" localSheetId="10" hidden="1">'8.11'!$AG$13:$BH$189</definedName>
    <definedName name="取樣回收每月庫存表_0620更新" localSheetId="11" hidden="1">'8.12'!$AG$13:$BH$189</definedName>
    <definedName name="取樣回收每月庫存表_0620更新" localSheetId="12" hidden="1">'8.13'!$AG$13:$BH$189</definedName>
    <definedName name="取樣回收每月庫存表_0620更新" localSheetId="13" hidden="1">'8.14'!$AG$13:$BH$189</definedName>
    <definedName name="取樣回收每月庫存表_0620更新" localSheetId="14" hidden="1">'8.17'!$AG$13:$BH$189</definedName>
    <definedName name="取樣回收每月庫存表_0620更新" localSheetId="15" hidden="1">'8.18'!$AG$13:$BH$189</definedName>
    <definedName name="取樣回收每月庫存表_0620更新" localSheetId="16" hidden="1">'8.19'!$AG$13:$BH$189</definedName>
    <definedName name="取樣回收每月庫存表_0620更新" localSheetId="17" hidden="1">'8.20'!$AG$13:$BH$189</definedName>
    <definedName name="取樣回收每月庫存表_0620更新" localSheetId="18" hidden="1">'8.21'!$AG$13:$BH$189</definedName>
    <definedName name="取樣回收每月庫存表_0620更新" localSheetId="19" hidden="1">'8.24'!$AG$13:$BH$189</definedName>
    <definedName name="取樣回收每月庫存表_0620更新" localSheetId="20" hidden="1">'8.25'!$AG$13:$BH$189</definedName>
    <definedName name="取樣回收每月庫存表_0620更新" localSheetId="21" hidden="1">'8.26'!$AG$13:$BH$189</definedName>
    <definedName name="取樣回收每月庫存表_0620更新" localSheetId="22" hidden="1">'8.27'!$AG$13:$BH$189</definedName>
    <definedName name="取樣回收每月庫存表_0620更新" localSheetId="23" hidden="1">'8.28'!$AG$13:$BH$189</definedName>
    <definedName name="取樣回收每月庫存表_0620更新" localSheetId="4" hidden="1">'8.3'!$AG$13:$BH$189</definedName>
    <definedName name="取樣回收每月庫存表_0620更新" localSheetId="24" hidden="1">'8.31'!$AG$13:$BH$189</definedName>
    <definedName name="取樣回收每月庫存表_0620更新" localSheetId="5" hidden="1">'8.4'!$AG$13:$BH$189</definedName>
    <definedName name="取樣回收每月庫存表_0620更新" localSheetId="6" hidden="1">'8.5'!$AG$13:$BH$189</definedName>
    <definedName name="取樣回收每月庫存表_0620更新" localSheetId="7" hidden="1">'8.6'!$AG$13:$BH$189</definedName>
    <definedName name="取樣回收每月庫存表_0620更新" localSheetId="8" hidden="1">'8.7'!$AG$13:$BH$189</definedName>
    <definedName name="複本_14_取樣回收每月庫存表" localSheetId="2" hidden="1">'7.31'!#REF!</definedName>
    <definedName name="複本_14_取樣回收每月庫存表" localSheetId="3" hidden="1">'8.1'!#REF!</definedName>
    <definedName name="複本_14_取樣回收每月庫存表" localSheetId="9" hidden="1">'8.10'!#REF!</definedName>
    <definedName name="複本_14_取樣回收每月庫存表" localSheetId="10" hidden="1">'8.11'!#REF!</definedName>
    <definedName name="複本_14_取樣回收每月庫存表" localSheetId="11" hidden="1">'8.12'!#REF!</definedName>
    <definedName name="複本_14_取樣回收每月庫存表" localSheetId="12" hidden="1">'8.13'!#REF!</definedName>
    <definedName name="複本_14_取樣回收每月庫存表" localSheetId="13" hidden="1">'8.14'!#REF!</definedName>
    <definedName name="複本_14_取樣回收每月庫存表" localSheetId="14" hidden="1">'8.17'!#REF!</definedName>
    <definedName name="複本_14_取樣回收每月庫存表" localSheetId="15" hidden="1">'8.18'!#REF!</definedName>
    <definedName name="複本_14_取樣回收每月庫存表" localSheetId="16" hidden="1">'8.19'!#REF!</definedName>
    <definedName name="複本_14_取樣回收每月庫存表" localSheetId="17" hidden="1">'8.20'!#REF!</definedName>
    <definedName name="複本_14_取樣回收每月庫存表" localSheetId="18" hidden="1">'8.21'!#REF!</definedName>
    <definedName name="複本_14_取樣回收每月庫存表" localSheetId="19" hidden="1">'8.24'!#REF!</definedName>
    <definedName name="複本_14_取樣回收每月庫存表" localSheetId="20" hidden="1">'8.25'!#REF!</definedName>
    <definedName name="複本_14_取樣回收每月庫存表" localSheetId="21" hidden="1">'8.26'!#REF!</definedName>
    <definedName name="複本_14_取樣回收每月庫存表" localSheetId="22" hidden="1">'8.27'!#REF!</definedName>
    <definedName name="複本_14_取樣回收每月庫存表" localSheetId="23" hidden="1">'8.28'!#REF!</definedName>
    <definedName name="複本_14_取樣回收每月庫存表" localSheetId="4" hidden="1">'8.3'!#REF!</definedName>
    <definedName name="複本_14_取樣回收每月庫存表" localSheetId="24" hidden="1">'8.31'!#REF!</definedName>
    <definedName name="複本_14_取樣回收每月庫存表" localSheetId="5" hidden="1">'8.4'!#REF!</definedName>
    <definedName name="複本_14_取樣回收每月庫存表" localSheetId="6" hidden="1">'8.5'!#REF!</definedName>
    <definedName name="複本_14_取樣回收每月庫存表" localSheetId="7" hidden="1">'8.6'!#REF!</definedName>
    <definedName name="複本_14_取樣回收每月庫存表" localSheetId="8" hidden="1">'8.7'!#REF!</definedName>
  </definedNames>
  <calcPr calcId="162913"/>
</workbook>
</file>

<file path=xl/calcChain.xml><?xml version="1.0" encoding="utf-8"?>
<calcChain xmlns="http://schemas.openxmlformats.org/spreadsheetml/2006/main">
  <c r="AA33" i="2247" l="1"/>
  <c r="X33" i="2247"/>
  <c r="U33" i="2247"/>
  <c r="R33" i="2247"/>
  <c r="F33" i="2247"/>
  <c r="Y28" i="2247"/>
  <c r="X28" i="2247"/>
  <c r="S33" i="2247" s="1"/>
  <c r="W28" i="2247"/>
  <c r="V28" i="2247"/>
  <c r="U28" i="2247"/>
  <c r="T28" i="2247"/>
  <c r="S28" i="2247"/>
  <c r="R28" i="2247"/>
  <c r="Q28" i="2247"/>
  <c r="P28" i="2247"/>
  <c r="O28" i="2247"/>
  <c r="N28" i="2247"/>
  <c r="M28" i="2247"/>
  <c r="L28" i="2247"/>
  <c r="K28" i="2247"/>
  <c r="J28" i="2247"/>
  <c r="I28" i="2247"/>
  <c r="H28" i="2247"/>
  <c r="G28" i="2247"/>
  <c r="F28" i="2247"/>
  <c r="E28" i="2247"/>
  <c r="D28" i="2247"/>
  <c r="Y25" i="2247"/>
  <c r="X25" i="2247"/>
  <c r="W25" i="2247"/>
  <c r="V25" i="2247"/>
  <c r="U25" i="2247"/>
  <c r="T25" i="2247"/>
  <c r="S25" i="2247"/>
  <c r="R25" i="2247"/>
  <c r="Q25" i="2247"/>
  <c r="P25" i="2247"/>
  <c r="O25" i="2247"/>
  <c r="N25" i="2247"/>
  <c r="M25" i="2247"/>
  <c r="L25" i="2247"/>
  <c r="K25" i="2247"/>
  <c r="J25" i="2247"/>
  <c r="I25" i="2247"/>
  <c r="H25" i="2247"/>
  <c r="G25" i="2247"/>
  <c r="F25" i="2247"/>
  <c r="E25" i="2247"/>
  <c r="D25" i="2247"/>
  <c r="AE19" i="2247"/>
  <c r="AD19" i="2247"/>
  <c r="AC19" i="2247"/>
  <c r="AB19" i="2247"/>
  <c r="AA19" i="2247"/>
  <c r="Z19" i="2247"/>
  <c r="Y19" i="2247"/>
  <c r="X19" i="2247"/>
  <c r="T33" i="2247" s="1"/>
  <c r="W19" i="2247"/>
  <c r="V19" i="2247"/>
  <c r="U19" i="2247"/>
  <c r="T19" i="2247"/>
  <c r="S19" i="2247"/>
  <c r="R19" i="2247"/>
  <c r="Q19" i="2247"/>
  <c r="P19" i="2247"/>
  <c r="O19" i="2247"/>
  <c r="N19" i="2247"/>
  <c r="G33" i="2247" s="1"/>
  <c r="M19" i="2247"/>
  <c r="H33" i="2247" s="1"/>
  <c r="L19" i="2247"/>
  <c r="P33" i="2247" s="1"/>
  <c r="K19" i="2247"/>
  <c r="L33" i="2247" s="1"/>
  <c r="J19" i="2247"/>
  <c r="I19" i="2247"/>
  <c r="AB33" i="2247" s="1"/>
  <c r="H19" i="2247"/>
  <c r="G19" i="2247"/>
  <c r="O33" i="2247" s="1"/>
  <c r="F19" i="2247"/>
  <c r="E19" i="2247"/>
  <c r="D19" i="2247"/>
  <c r="AE16" i="2247"/>
  <c r="AD16" i="2247"/>
  <c r="AC16" i="2247"/>
  <c r="AB16" i="2247"/>
  <c r="AA16" i="2247"/>
  <c r="Z16" i="2247"/>
  <c r="X16" i="2247"/>
  <c r="W16" i="2247"/>
  <c r="V16" i="2247"/>
  <c r="U16" i="2247"/>
  <c r="T16" i="2247"/>
  <c r="S16" i="2247"/>
  <c r="R16" i="2247"/>
  <c r="Q16" i="2247"/>
  <c r="P16" i="2247"/>
  <c r="O16" i="2247"/>
  <c r="N16" i="2247"/>
  <c r="M16" i="2247"/>
  <c r="L16" i="2247"/>
  <c r="K16" i="2247"/>
  <c r="J16" i="2247"/>
  <c r="I16" i="2247"/>
  <c r="H16" i="2247"/>
  <c r="G16" i="2247"/>
  <c r="F16" i="2247"/>
  <c r="E16" i="2247"/>
  <c r="D16" i="2247"/>
  <c r="AE10" i="2247"/>
  <c r="AD10" i="2247"/>
  <c r="AC10" i="2247"/>
  <c r="AB10" i="2247"/>
  <c r="AA10" i="2247"/>
  <c r="Z10" i="2247"/>
  <c r="Y10" i="2247"/>
  <c r="X10" i="2247"/>
  <c r="W10" i="2247"/>
  <c r="V10" i="2247"/>
  <c r="U10" i="2247"/>
  <c r="T10" i="2247"/>
  <c r="S10" i="2247"/>
  <c r="R10" i="2247"/>
  <c r="Q10" i="2247"/>
  <c r="P10" i="2247"/>
  <c r="O10" i="2247"/>
  <c r="N10" i="2247"/>
  <c r="M10" i="2247"/>
  <c r="L10" i="2247"/>
  <c r="K10" i="2247"/>
  <c r="J10" i="2247"/>
  <c r="I10" i="2247"/>
  <c r="H10" i="2247"/>
  <c r="G10" i="2247"/>
  <c r="F10" i="2247"/>
  <c r="E10" i="2247"/>
  <c r="D10" i="2247"/>
  <c r="AE7" i="2247"/>
  <c r="AD7" i="2247"/>
  <c r="AC7" i="2247"/>
  <c r="AB7" i="2247"/>
  <c r="AA7" i="2247"/>
  <c r="Z7" i="2247"/>
  <c r="Y7" i="2247"/>
  <c r="X7" i="2247"/>
  <c r="W7" i="2247"/>
  <c r="V7" i="2247"/>
  <c r="U7" i="2247"/>
  <c r="T7" i="2247"/>
  <c r="S7" i="2247"/>
  <c r="R7" i="2247"/>
  <c r="Q7" i="2247"/>
  <c r="P7" i="2247"/>
  <c r="O7" i="2247"/>
  <c r="N7" i="2247"/>
  <c r="M7" i="2247"/>
  <c r="L7" i="2247"/>
  <c r="K7" i="2247"/>
  <c r="J7" i="2247"/>
  <c r="I7" i="2247"/>
  <c r="H7" i="2247"/>
  <c r="G7" i="2247"/>
  <c r="F7" i="2247"/>
  <c r="E7" i="2247"/>
  <c r="D7" i="2247"/>
  <c r="J33" i="2247" l="1"/>
  <c r="W33" i="2247"/>
  <c r="N33" i="2247"/>
  <c r="Z33" i="2247"/>
  <c r="AC33" i="2247"/>
  <c r="D33" i="2247"/>
  <c r="Y33" i="2247"/>
  <c r="Q33" i="2247"/>
  <c r="E33" i="2247"/>
  <c r="K33" i="2247"/>
  <c r="M33" i="2247"/>
  <c r="V33" i="2247"/>
  <c r="AA33" i="2246"/>
  <c r="X33" i="2246"/>
  <c r="U33" i="2246"/>
  <c r="R33" i="2246"/>
  <c r="F33" i="2246"/>
  <c r="E33" i="2246"/>
  <c r="Y28" i="2246"/>
  <c r="X28" i="2246"/>
  <c r="S33" i="2246" s="1"/>
  <c r="W28" i="2246"/>
  <c r="V28" i="2246"/>
  <c r="U28" i="2246"/>
  <c r="T28" i="2246"/>
  <c r="S28" i="2246"/>
  <c r="R28" i="2246"/>
  <c r="Q28" i="2246"/>
  <c r="P28" i="2246"/>
  <c r="O28" i="2246"/>
  <c r="N28" i="2246"/>
  <c r="M28" i="2246"/>
  <c r="L28" i="2246"/>
  <c r="K28" i="2246"/>
  <c r="J28" i="2246"/>
  <c r="I28" i="2246"/>
  <c r="H28" i="2246"/>
  <c r="G28" i="2246"/>
  <c r="F28" i="2246"/>
  <c r="E28" i="2246"/>
  <c r="D28" i="2246"/>
  <c r="Y25" i="2246"/>
  <c r="X25" i="2246"/>
  <c r="W25" i="2246"/>
  <c r="V25" i="2246"/>
  <c r="U25" i="2246"/>
  <c r="T25" i="2246"/>
  <c r="S25" i="2246"/>
  <c r="R25" i="2246"/>
  <c r="Q25" i="2246"/>
  <c r="P25" i="2246"/>
  <c r="O25" i="2246"/>
  <c r="N25" i="2246"/>
  <c r="M25" i="2246"/>
  <c r="L25" i="2246"/>
  <c r="K25" i="2246"/>
  <c r="J25" i="2246"/>
  <c r="I25" i="2246"/>
  <c r="H25" i="2246"/>
  <c r="G25" i="2246"/>
  <c r="F25" i="2246"/>
  <c r="E25" i="2246"/>
  <c r="D25" i="2246"/>
  <c r="AE19" i="2246"/>
  <c r="AD19" i="2246"/>
  <c r="AC19" i="2246"/>
  <c r="AB19" i="2246"/>
  <c r="AA19" i="2246"/>
  <c r="Z19" i="2246"/>
  <c r="Y19" i="2246"/>
  <c r="X19" i="2246"/>
  <c r="T33" i="2246" s="1"/>
  <c r="W19" i="2246"/>
  <c r="V19" i="2246"/>
  <c r="U19" i="2246"/>
  <c r="T19" i="2246"/>
  <c r="S19" i="2246"/>
  <c r="R19" i="2246"/>
  <c r="Q19" i="2246"/>
  <c r="P19" i="2246"/>
  <c r="O19" i="2246"/>
  <c r="N19" i="2246"/>
  <c r="G33" i="2246" s="1"/>
  <c r="M19" i="2246"/>
  <c r="H33" i="2246" s="1"/>
  <c r="L19" i="2246"/>
  <c r="P33" i="2246" s="1"/>
  <c r="K19" i="2246"/>
  <c r="L33" i="2246" s="1"/>
  <c r="J19" i="2246"/>
  <c r="I19" i="2246"/>
  <c r="AB33" i="2246" s="1"/>
  <c r="H19" i="2246"/>
  <c r="G19" i="2246"/>
  <c r="O33" i="2246" s="1"/>
  <c r="F19" i="2246"/>
  <c r="E19" i="2246"/>
  <c r="D19" i="2246"/>
  <c r="AE16" i="2246"/>
  <c r="AD16" i="2246"/>
  <c r="AC16" i="2246"/>
  <c r="AB16" i="2246"/>
  <c r="AA16" i="2246"/>
  <c r="Z16" i="2246"/>
  <c r="X16" i="2246"/>
  <c r="W16" i="2246"/>
  <c r="V16" i="2246"/>
  <c r="U16" i="2246"/>
  <c r="T16" i="2246"/>
  <c r="S16" i="2246"/>
  <c r="R16" i="2246"/>
  <c r="Q16" i="2246"/>
  <c r="P16" i="2246"/>
  <c r="O16" i="2246"/>
  <c r="N16" i="2246"/>
  <c r="M16" i="2246"/>
  <c r="L16" i="2246"/>
  <c r="K16" i="2246"/>
  <c r="J16" i="2246"/>
  <c r="I16" i="2246"/>
  <c r="H16" i="2246"/>
  <c r="G16" i="2246"/>
  <c r="F16" i="2246"/>
  <c r="E16" i="2246"/>
  <c r="D16" i="2246"/>
  <c r="AE10" i="2246"/>
  <c r="AD10" i="2246"/>
  <c r="AC10" i="2246"/>
  <c r="AB10" i="2246"/>
  <c r="AA10" i="2246"/>
  <c r="Z10" i="2246"/>
  <c r="Y10" i="2246"/>
  <c r="X10" i="2246"/>
  <c r="W10" i="2246"/>
  <c r="V10" i="2246"/>
  <c r="U10" i="2246"/>
  <c r="T10" i="2246"/>
  <c r="S10" i="2246"/>
  <c r="R10" i="2246"/>
  <c r="Q10" i="2246"/>
  <c r="P10" i="2246"/>
  <c r="O10" i="2246"/>
  <c r="N10" i="2246"/>
  <c r="M10" i="2246"/>
  <c r="L10" i="2246"/>
  <c r="K10" i="2246"/>
  <c r="J10" i="2246"/>
  <c r="I10" i="2246"/>
  <c r="H10" i="2246"/>
  <c r="G10" i="2246"/>
  <c r="F10" i="2246"/>
  <c r="J33" i="2246" s="1"/>
  <c r="E10" i="2246"/>
  <c r="D10" i="2246"/>
  <c r="AE7" i="2246"/>
  <c r="AD7" i="2246"/>
  <c r="AC7" i="2246"/>
  <c r="AB7" i="2246"/>
  <c r="AA7" i="2246"/>
  <c r="Z7" i="2246"/>
  <c r="Y7" i="2246"/>
  <c r="X7" i="2246"/>
  <c r="W7" i="2246"/>
  <c r="V7" i="2246"/>
  <c r="U7" i="2246"/>
  <c r="T7" i="2246"/>
  <c r="S7" i="2246"/>
  <c r="R7" i="2246"/>
  <c r="Q7" i="2246"/>
  <c r="P7" i="2246"/>
  <c r="O7" i="2246"/>
  <c r="N7" i="2246"/>
  <c r="M7" i="2246"/>
  <c r="L7" i="2246"/>
  <c r="K7" i="2246"/>
  <c r="J7" i="2246"/>
  <c r="I7" i="2246"/>
  <c r="H7" i="2246"/>
  <c r="G7" i="2246"/>
  <c r="F7" i="2246"/>
  <c r="E7" i="2246"/>
  <c r="D7" i="2246"/>
  <c r="W33" i="2246" l="1"/>
  <c r="N33" i="2246"/>
  <c r="AC33" i="2246"/>
  <c r="D33" i="2246"/>
  <c r="Z33" i="2246"/>
  <c r="Y33" i="2246"/>
  <c r="K33" i="2246"/>
  <c r="Q33" i="2246"/>
  <c r="M33" i="2246"/>
  <c r="V33" i="2246"/>
  <c r="AA33" i="2245"/>
  <c r="X33" i="2245"/>
  <c r="U33" i="2245"/>
  <c r="R33" i="2245"/>
  <c r="F33" i="2245"/>
  <c r="E33" i="2245"/>
  <c r="Y28" i="2245"/>
  <c r="X28" i="2245"/>
  <c r="S33" i="2245" s="1"/>
  <c r="W28" i="2245"/>
  <c r="V28" i="2245"/>
  <c r="U28" i="2245"/>
  <c r="T28" i="2245"/>
  <c r="S28" i="2245"/>
  <c r="R28" i="2245"/>
  <c r="Q28" i="2245"/>
  <c r="P28" i="2245"/>
  <c r="O28" i="2245"/>
  <c r="N28" i="2245"/>
  <c r="M28" i="2245"/>
  <c r="L28" i="2245"/>
  <c r="K28" i="2245"/>
  <c r="J28" i="2245"/>
  <c r="I28" i="2245"/>
  <c r="H28" i="2245"/>
  <c r="G28" i="2245"/>
  <c r="F28" i="2245"/>
  <c r="E28" i="2245"/>
  <c r="D28" i="2245"/>
  <c r="Y25" i="2245"/>
  <c r="X25" i="2245"/>
  <c r="W25" i="2245"/>
  <c r="V25" i="2245"/>
  <c r="U25" i="2245"/>
  <c r="T25" i="2245"/>
  <c r="S25" i="2245"/>
  <c r="R25" i="2245"/>
  <c r="Q25" i="2245"/>
  <c r="P25" i="2245"/>
  <c r="O25" i="2245"/>
  <c r="N25" i="2245"/>
  <c r="M25" i="2245"/>
  <c r="L25" i="2245"/>
  <c r="K25" i="2245"/>
  <c r="J25" i="2245"/>
  <c r="I25" i="2245"/>
  <c r="H25" i="2245"/>
  <c r="G25" i="2245"/>
  <c r="F25" i="2245"/>
  <c r="E25" i="2245"/>
  <c r="D25" i="2245"/>
  <c r="AE19" i="2245"/>
  <c r="AD19" i="2245"/>
  <c r="AC19" i="2245"/>
  <c r="AB19" i="2245"/>
  <c r="AA19" i="2245"/>
  <c r="Z19" i="2245"/>
  <c r="Y19" i="2245"/>
  <c r="X19" i="2245"/>
  <c r="T33" i="2245" s="1"/>
  <c r="W19" i="2245"/>
  <c r="V19" i="2245"/>
  <c r="U19" i="2245"/>
  <c r="T19" i="2245"/>
  <c r="S19" i="2245"/>
  <c r="R19" i="2245"/>
  <c r="Q19" i="2245"/>
  <c r="P19" i="2245"/>
  <c r="O19" i="2245"/>
  <c r="N19" i="2245"/>
  <c r="G33" i="2245" s="1"/>
  <c r="M19" i="2245"/>
  <c r="H33" i="2245" s="1"/>
  <c r="L19" i="2245"/>
  <c r="P33" i="2245" s="1"/>
  <c r="K19" i="2245"/>
  <c r="L33" i="2245" s="1"/>
  <c r="J19" i="2245"/>
  <c r="I19" i="2245"/>
  <c r="AB33" i="2245" s="1"/>
  <c r="H19" i="2245"/>
  <c r="G19" i="2245"/>
  <c r="O33" i="2245" s="1"/>
  <c r="F19" i="2245"/>
  <c r="E19" i="2245"/>
  <c r="D19" i="2245"/>
  <c r="AE16" i="2245"/>
  <c r="AD16" i="2245"/>
  <c r="AC16" i="2245"/>
  <c r="AB16" i="2245"/>
  <c r="AA16" i="2245"/>
  <c r="Z16" i="2245"/>
  <c r="X16" i="2245"/>
  <c r="W16" i="2245"/>
  <c r="V16" i="2245"/>
  <c r="U16" i="2245"/>
  <c r="T16" i="2245"/>
  <c r="S16" i="2245"/>
  <c r="R16" i="2245"/>
  <c r="Q16" i="2245"/>
  <c r="P16" i="2245"/>
  <c r="O16" i="2245"/>
  <c r="N16" i="2245"/>
  <c r="M16" i="2245"/>
  <c r="L16" i="2245"/>
  <c r="K16" i="2245"/>
  <c r="J16" i="2245"/>
  <c r="I16" i="2245"/>
  <c r="H16" i="2245"/>
  <c r="G16" i="2245"/>
  <c r="F16" i="2245"/>
  <c r="E16" i="2245"/>
  <c r="D16" i="2245"/>
  <c r="AE10" i="2245"/>
  <c r="AD10" i="2245"/>
  <c r="AC10" i="2245"/>
  <c r="AB10" i="2245"/>
  <c r="AA10" i="2245"/>
  <c r="Z10" i="2245"/>
  <c r="Y10" i="2245"/>
  <c r="X10" i="2245"/>
  <c r="W10" i="2245"/>
  <c r="V10" i="2245"/>
  <c r="U10" i="2245"/>
  <c r="T10" i="2245"/>
  <c r="S10" i="2245"/>
  <c r="R10" i="2245"/>
  <c r="Q10" i="2245"/>
  <c r="P10" i="2245"/>
  <c r="O10" i="2245"/>
  <c r="N10" i="2245"/>
  <c r="Q33" i="2245" s="1"/>
  <c r="M10" i="2245"/>
  <c r="L10" i="2245"/>
  <c r="K10" i="2245"/>
  <c r="J10" i="2245"/>
  <c r="I10" i="2245"/>
  <c r="H10" i="2245"/>
  <c r="G10" i="2245"/>
  <c r="F10" i="2245"/>
  <c r="J33" i="2245" s="1"/>
  <c r="E10" i="2245"/>
  <c r="D10" i="2245"/>
  <c r="AE7" i="2245"/>
  <c r="AD7" i="2245"/>
  <c r="AC7" i="2245"/>
  <c r="AB7" i="2245"/>
  <c r="AA7" i="2245"/>
  <c r="Z7" i="2245"/>
  <c r="Y7" i="2245"/>
  <c r="X7" i="2245"/>
  <c r="W7" i="2245"/>
  <c r="V7" i="2245"/>
  <c r="U7" i="2245"/>
  <c r="T7" i="2245"/>
  <c r="S7" i="2245"/>
  <c r="R7" i="2245"/>
  <c r="Q7" i="2245"/>
  <c r="P7" i="2245"/>
  <c r="O7" i="2245"/>
  <c r="N7" i="2245"/>
  <c r="M7" i="2245"/>
  <c r="L7" i="2245"/>
  <c r="K7" i="2245"/>
  <c r="J7" i="2245"/>
  <c r="I7" i="2245"/>
  <c r="H7" i="2245"/>
  <c r="G7" i="2245"/>
  <c r="F7" i="2245"/>
  <c r="E7" i="2245"/>
  <c r="D7" i="2245"/>
  <c r="W33" i="2245" l="1"/>
  <c r="N33" i="2245"/>
  <c r="AC33" i="2245"/>
  <c r="D33" i="2245"/>
  <c r="Z33" i="2245"/>
  <c r="Y33" i="2245"/>
  <c r="K33" i="2245"/>
  <c r="M33" i="2245"/>
  <c r="V33" i="2245"/>
  <c r="AA33" i="2244" l="1"/>
  <c r="X33" i="2244"/>
  <c r="U33" i="2244"/>
  <c r="R33" i="2244"/>
  <c r="F33" i="2244"/>
  <c r="Y28" i="2244"/>
  <c r="X28" i="2244"/>
  <c r="S33" i="2244" s="1"/>
  <c r="W28" i="2244"/>
  <c r="V28" i="2244"/>
  <c r="U28" i="2244"/>
  <c r="T28" i="2244"/>
  <c r="S28" i="2244"/>
  <c r="R28" i="2244"/>
  <c r="Q28" i="2244"/>
  <c r="P28" i="2244"/>
  <c r="O28" i="2244"/>
  <c r="N28" i="2244"/>
  <c r="M28" i="2244"/>
  <c r="L28" i="2244"/>
  <c r="K28" i="2244"/>
  <c r="J28" i="2244"/>
  <c r="I28" i="2244"/>
  <c r="H28" i="2244"/>
  <c r="G28" i="2244"/>
  <c r="F28" i="2244"/>
  <c r="E28" i="2244"/>
  <c r="D28" i="2244"/>
  <c r="Y25" i="2244"/>
  <c r="X25" i="2244"/>
  <c r="W25" i="2244"/>
  <c r="V25" i="2244"/>
  <c r="U25" i="2244"/>
  <c r="T25" i="2244"/>
  <c r="S25" i="2244"/>
  <c r="R25" i="2244"/>
  <c r="Q25" i="2244"/>
  <c r="P25" i="2244"/>
  <c r="O25" i="2244"/>
  <c r="N25" i="2244"/>
  <c r="M25" i="2244"/>
  <c r="L25" i="2244"/>
  <c r="K25" i="2244"/>
  <c r="J25" i="2244"/>
  <c r="I25" i="2244"/>
  <c r="H25" i="2244"/>
  <c r="G25" i="2244"/>
  <c r="F25" i="2244"/>
  <c r="E25" i="2244"/>
  <c r="D25" i="2244"/>
  <c r="AE19" i="2244"/>
  <c r="AD19" i="2244"/>
  <c r="AC19" i="2244"/>
  <c r="AB19" i="2244"/>
  <c r="AA19" i="2244"/>
  <c r="Z19" i="2244"/>
  <c r="Y19" i="2244"/>
  <c r="X19" i="2244"/>
  <c r="T33" i="2244" s="1"/>
  <c r="W19" i="2244"/>
  <c r="V19" i="2244"/>
  <c r="U19" i="2244"/>
  <c r="T19" i="2244"/>
  <c r="S19" i="2244"/>
  <c r="R19" i="2244"/>
  <c r="Q19" i="2244"/>
  <c r="P19" i="2244"/>
  <c r="O19" i="2244"/>
  <c r="N19" i="2244"/>
  <c r="G33" i="2244" s="1"/>
  <c r="M19" i="2244"/>
  <c r="H33" i="2244" s="1"/>
  <c r="L19" i="2244"/>
  <c r="P33" i="2244" s="1"/>
  <c r="K19" i="2244"/>
  <c r="L33" i="2244" s="1"/>
  <c r="J19" i="2244"/>
  <c r="I19" i="2244"/>
  <c r="AB33" i="2244" s="1"/>
  <c r="H19" i="2244"/>
  <c r="G19" i="2244"/>
  <c r="O33" i="2244" s="1"/>
  <c r="F19" i="2244"/>
  <c r="E19" i="2244"/>
  <c r="D19" i="2244"/>
  <c r="AE16" i="2244"/>
  <c r="AD16" i="2244"/>
  <c r="AC16" i="2244"/>
  <c r="AB16" i="2244"/>
  <c r="AA16" i="2244"/>
  <c r="Z16" i="2244"/>
  <c r="X16" i="2244"/>
  <c r="W16" i="2244"/>
  <c r="V16" i="2244"/>
  <c r="U16" i="2244"/>
  <c r="T16" i="2244"/>
  <c r="S16" i="2244"/>
  <c r="R16" i="2244"/>
  <c r="Q16" i="2244"/>
  <c r="P16" i="2244"/>
  <c r="O16" i="2244"/>
  <c r="N16" i="2244"/>
  <c r="M16" i="2244"/>
  <c r="L16" i="2244"/>
  <c r="K16" i="2244"/>
  <c r="J16" i="2244"/>
  <c r="I16" i="2244"/>
  <c r="H16" i="2244"/>
  <c r="G16" i="2244"/>
  <c r="F16" i="2244"/>
  <c r="E16" i="2244"/>
  <c r="D16" i="2244"/>
  <c r="AE10" i="2244"/>
  <c r="AD10" i="2244"/>
  <c r="AC10" i="2244"/>
  <c r="AB10" i="2244"/>
  <c r="AA10" i="2244"/>
  <c r="Z10" i="2244"/>
  <c r="Y10" i="2244"/>
  <c r="X10" i="2244"/>
  <c r="W10" i="2244"/>
  <c r="V10" i="2244"/>
  <c r="U10" i="2244"/>
  <c r="T10" i="2244"/>
  <c r="S10" i="2244"/>
  <c r="R10" i="2244"/>
  <c r="Q10" i="2244"/>
  <c r="P10" i="2244"/>
  <c r="O10" i="2244"/>
  <c r="N10" i="2244"/>
  <c r="Q33" i="2244" s="1"/>
  <c r="M10" i="2244"/>
  <c r="L10" i="2244"/>
  <c r="K10" i="2244"/>
  <c r="J10" i="2244"/>
  <c r="I10" i="2244"/>
  <c r="H10" i="2244"/>
  <c r="G10" i="2244"/>
  <c r="F10" i="2244"/>
  <c r="E10" i="2244"/>
  <c r="D10" i="2244"/>
  <c r="AE7" i="2244"/>
  <c r="AD7" i="2244"/>
  <c r="AC7" i="2244"/>
  <c r="AB7" i="2244"/>
  <c r="AA7" i="2244"/>
  <c r="Z7" i="2244"/>
  <c r="Y7" i="2244"/>
  <c r="X7" i="2244"/>
  <c r="W7" i="2244"/>
  <c r="V7" i="2244"/>
  <c r="U7" i="2244"/>
  <c r="T7" i="2244"/>
  <c r="S7" i="2244"/>
  <c r="R7" i="2244"/>
  <c r="Q7" i="2244"/>
  <c r="P7" i="2244"/>
  <c r="O7" i="2244"/>
  <c r="N7" i="2244"/>
  <c r="M7" i="2244"/>
  <c r="L7" i="2244"/>
  <c r="K7" i="2244"/>
  <c r="J7" i="2244"/>
  <c r="I7" i="2244"/>
  <c r="H7" i="2244"/>
  <c r="G7" i="2244"/>
  <c r="F7" i="2244"/>
  <c r="E7" i="2244"/>
  <c r="D7" i="2244"/>
  <c r="R19" i="2243"/>
  <c r="R16" i="2243"/>
  <c r="J33" i="2244" l="1"/>
  <c r="W33" i="2244"/>
  <c r="AC33" i="2244"/>
  <c r="D33" i="2244"/>
  <c r="Z33" i="2244"/>
  <c r="Y33" i="2244"/>
  <c r="N33" i="2244"/>
  <c r="E33" i="2244"/>
  <c r="K33" i="2244"/>
  <c r="M33" i="2244"/>
  <c r="V33" i="2244"/>
  <c r="AA33" i="2243"/>
  <c r="X33" i="2243"/>
  <c r="U33" i="2243"/>
  <c r="R33" i="2243"/>
  <c r="F33" i="2243"/>
  <c r="Y28" i="2243"/>
  <c r="X28" i="2243"/>
  <c r="S33" i="2243" s="1"/>
  <c r="W28" i="2243"/>
  <c r="V28" i="2243"/>
  <c r="U28" i="2243"/>
  <c r="T28" i="2243"/>
  <c r="S28" i="2243"/>
  <c r="R28" i="2243"/>
  <c r="Q28" i="2243"/>
  <c r="P28" i="2243"/>
  <c r="O28" i="2243"/>
  <c r="N28" i="2243"/>
  <c r="M28" i="2243"/>
  <c r="L28" i="2243"/>
  <c r="K28" i="2243"/>
  <c r="J28" i="2243"/>
  <c r="I28" i="2243"/>
  <c r="H28" i="2243"/>
  <c r="G28" i="2243"/>
  <c r="F28" i="2243"/>
  <c r="E28" i="2243"/>
  <c r="D28" i="2243"/>
  <c r="Y25" i="2243"/>
  <c r="X25" i="2243"/>
  <c r="W25" i="2243"/>
  <c r="V25" i="2243"/>
  <c r="U25" i="2243"/>
  <c r="T25" i="2243"/>
  <c r="S25" i="2243"/>
  <c r="R25" i="2243"/>
  <c r="Q25" i="2243"/>
  <c r="P25" i="2243"/>
  <c r="O25" i="2243"/>
  <c r="N25" i="2243"/>
  <c r="M25" i="2243"/>
  <c r="L25" i="2243"/>
  <c r="K25" i="2243"/>
  <c r="J25" i="2243"/>
  <c r="I25" i="2243"/>
  <c r="H25" i="2243"/>
  <c r="G25" i="2243"/>
  <c r="F25" i="2243"/>
  <c r="E25" i="2243"/>
  <c r="D25" i="2243"/>
  <c r="AE19" i="2243"/>
  <c r="AD19" i="2243"/>
  <c r="AC19" i="2243"/>
  <c r="AB19" i="2243"/>
  <c r="AA19" i="2243"/>
  <c r="Z19" i="2243"/>
  <c r="Y19" i="2243"/>
  <c r="X19" i="2243"/>
  <c r="T33" i="2243" s="1"/>
  <c r="W19" i="2243"/>
  <c r="V19" i="2243"/>
  <c r="U19" i="2243"/>
  <c r="T19" i="2243"/>
  <c r="S19" i="2243"/>
  <c r="Q19" i="2243"/>
  <c r="P19" i="2243"/>
  <c r="O19" i="2243"/>
  <c r="N19" i="2243"/>
  <c r="G33" i="2243" s="1"/>
  <c r="M19" i="2243"/>
  <c r="H33" i="2243" s="1"/>
  <c r="L19" i="2243"/>
  <c r="P33" i="2243" s="1"/>
  <c r="K19" i="2243"/>
  <c r="L33" i="2243" s="1"/>
  <c r="J19" i="2243"/>
  <c r="I19" i="2243"/>
  <c r="AB33" i="2243" s="1"/>
  <c r="H19" i="2243"/>
  <c r="G19" i="2243"/>
  <c r="O33" i="2243" s="1"/>
  <c r="F19" i="2243"/>
  <c r="E19" i="2243"/>
  <c r="D19" i="2243"/>
  <c r="AE16" i="2243"/>
  <c r="AD16" i="2243"/>
  <c r="AC16" i="2243"/>
  <c r="AB16" i="2243"/>
  <c r="AA16" i="2243"/>
  <c r="Z16" i="2243"/>
  <c r="X16" i="2243"/>
  <c r="W16" i="2243"/>
  <c r="V16" i="2243"/>
  <c r="U16" i="2243"/>
  <c r="T16" i="2243"/>
  <c r="S16" i="2243"/>
  <c r="Q16" i="2243"/>
  <c r="P16" i="2243"/>
  <c r="O16" i="2243"/>
  <c r="N16" i="2243"/>
  <c r="M16" i="2243"/>
  <c r="L16" i="2243"/>
  <c r="K16" i="2243"/>
  <c r="J16" i="2243"/>
  <c r="I16" i="2243"/>
  <c r="H16" i="2243"/>
  <c r="G16" i="2243"/>
  <c r="F16" i="2243"/>
  <c r="E16" i="2243"/>
  <c r="D16" i="2243"/>
  <c r="AE10" i="2243"/>
  <c r="AD10" i="2243"/>
  <c r="AC10" i="2243"/>
  <c r="AB10" i="2243"/>
  <c r="AA10" i="2243"/>
  <c r="Z10" i="2243"/>
  <c r="Y10" i="2243"/>
  <c r="X10" i="2243"/>
  <c r="W10" i="2243"/>
  <c r="V10" i="2243"/>
  <c r="U10" i="2243"/>
  <c r="T10" i="2243"/>
  <c r="S10" i="2243"/>
  <c r="R10" i="2243"/>
  <c r="Q10" i="2243"/>
  <c r="P10" i="2243"/>
  <c r="O10" i="2243"/>
  <c r="N10" i="2243"/>
  <c r="Q33" i="2243" s="1"/>
  <c r="M10" i="2243"/>
  <c r="L10" i="2243"/>
  <c r="K10" i="2243"/>
  <c r="J10" i="2243"/>
  <c r="I10" i="2243"/>
  <c r="H10" i="2243"/>
  <c r="G10" i="2243"/>
  <c r="F10" i="2243"/>
  <c r="J33" i="2243" s="1"/>
  <c r="E10" i="2243"/>
  <c r="D10" i="2243"/>
  <c r="AE7" i="2243"/>
  <c r="AD7" i="2243"/>
  <c r="AC7" i="2243"/>
  <c r="AB7" i="2243"/>
  <c r="AA7" i="2243"/>
  <c r="Z7" i="2243"/>
  <c r="Y7" i="2243"/>
  <c r="X7" i="2243"/>
  <c r="W7" i="2243"/>
  <c r="V7" i="2243"/>
  <c r="U7" i="2243"/>
  <c r="T7" i="2243"/>
  <c r="S7" i="2243"/>
  <c r="R7" i="2243"/>
  <c r="Q7" i="2243"/>
  <c r="P7" i="2243"/>
  <c r="O7" i="2243"/>
  <c r="N7" i="2243"/>
  <c r="M7" i="2243"/>
  <c r="L7" i="2243"/>
  <c r="K7" i="2243"/>
  <c r="J7" i="2243"/>
  <c r="I7" i="2243"/>
  <c r="H7" i="2243"/>
  <c r="G7" i="2243"/>
  <c r="F7" i="2243"/>
  <c r="E7" i="2243"/>
  <c r="D7" i="2243"/>
  <c r="W33" i="2243" l="1"/>
  <c r="N33" i="2243"/>
  <c r="AC33" i="2243"/>
  <c r="Z33" i="2243"/>
  <c r="D33" i="2243"/>
  <c r="Y33" i="2243"/>
  <c r="E33" i="2243"/>
  <c r="K33" i="2243"/>
  <c r="M33" i="2243"/>
  <c r="V33" i="2243"/>
  <c r="AA33" i="2242"/>
  <c r="X33" i="2242"/>
  <c r="U33" i="2242"/>
  <c r="R33" i="2242"/>
  <c r="F33" i="2242"/>
  <c r="Y28" i="2242"/>
  <c r="X28" i="2242"/>
  <c r="S33" i="2242" s="1"/>
  <c r="W28" i="2242"/>
  <c r="V28" i="2242"/>
  <c r="U28" i="2242"/>
  <c r="T28" i="2242"/>
  <c r="S28" i="2242"/>
  <c r="R28" i="2242"/>
  <c r="Q28" i="2242"/>
  <c r="P28" i="2242"/>
  <c r="O28" i="2242"/>
  <c r="N28" i="2242"/>
  <c r="M28" i="2242"/>
  <c r="L28" i="2242"/>
  <c r="K28" i="2242"/>
  <c r="J28" i="2242"/>
  <c r="I28" i="2242"/>
  <c r="H28" i="2242"/>
  <c r="G28" i="2242"/>
  <c r="F28" i="2242"/>
  <c r="E28" i="2242"/>
  <c r="D28" i="2242"/>
  <c r="Y25" i="2242"/>
  <c r="X25" i="2242"/>
  <c r="W25" i="2242"/>
  <c r="V25" i="2242"/>
  <c r="U25" i="2242"/>
  <c r="T25" i="2242"/>
  <c r="S25" i="2242"/>
  <c r="R25" i="2242"/>
  <c r="Q25" i="2242"/>
  <c r="P25" i="2242"/>
  <c r="O25" i="2242"/>
  <c r="N25" i="2242"/>
  <c r="M25" i="2242"/>
  <c r="L25" i="2242"/>
  <c r="K25" i="2242"/>
  <c r="J25" i="2242"/>
  <c r="I25" i="2242"/>
  <c r="H25" i="2242"/>
  <c r="G25" i="2242"/>
  <c r="F25" i="2242"/>
  <c r="E25" i="2242"/>
  <c r="D25" i="2242"/>
  <c r="AE19" i="2242"/>
  <c r="AD19" i="2242"/>
  <c r="AC19" i="2242"/>
  <c r="AB19" i="2242"/>
  <c r="AA19" i="2242"/>
  <c r="Z19" i="2242"/>
  <c r="Y19" i="2242"/>
  <c r="X19" i="2242"/>
  <c r="T33" i="2242" s="1"/>
  <c r="W19" i="2242"/>
  <c r="V19" i="2242"/>
  <c r="U19" i="2242"/>
  <c r="T19" i="2242"/>
  <c r="S19" i="2242"/>
  <c r="R19" i="2242"/>
  <c r="Q19" i="2242"/>
  <c r="P19" i="2242"/>
  <c r="O19" i="2242"/>
  <c r="N19" i="2242"/>
  <c r="G33" i="2242" s="1"/>
  <c r="M19" i="2242"/>
  <c r="H33" i="2242" s="1"/>
  <c r="L19" i="2242"/>
  <c r="P33" i="2242" s="1"/>
  <c r="K19" i="2242"/>
  <c r="L33" i="2242" s="1"/>
  <c r="J19" i="2242"/>
  <c r="I19" i="2242"/>
  <c r="AB33" i="2242" s="1"/>
  <c r="H19" i="2242"/>
  <c r="G19" i="2242"/>
  <c r="O33" i="2242" s="1"/>
  <c r="F19" i="2242"/>
  <c r="E19" i="2242"/>
  <c r="D19" i="2242"/>
  <c r="AE16" i="2242"/>
  <c r="AD16" i="2242"/>
  <c r="AC16" i="2242"/>
  <c r="AB16" i="2242"/>
  <c r="AA16" i="2242"/>
  <c r="Z16" i="2242"/>
  <c r="X16" i="2242"/>
  <c r="W16" i="2242"/>
  <c r="V16" i="2242"/>
  <c r="U16" i="2242"/>
  <c r="T16" i="2242"/>
  <c r="S16" i="2242"/>
  <c r="R16" i="2242"/>
  <c r="Q16" i="2242"/>
  <c r="P16" i="2242"/>
  <c r="O16" i="2242"/>
  <c r="N16" i="2242"/>
  <c r="M16" i="2242"/>
  <c r="L16" i="2242"/>
  <c r="K16" i="2242"/>
  <c r="J16" i="2242"/>
  <c r="I16" i="2242"/>
  <c r="H16" i="2242"/>
  <c r="G16" i="2242"/>
  <c r="F16" i="2242"/>
  <c r="E16" i="2242"/>
  <c r="D16" i="2242"/>
  <c r="AE10" i="2242"/>
  <c r="AD10" i="2242"/>
  <c r="AC10" i="2242"/>
  <c r="AB10" i="2242"/>
  <c r="AA10" i="2242"/>
  <c r="Z10" i="2242"/>
  <c r="Y10" i="2242"/>
  <c r="X10" i="2242"/>
  <c r="W10" i="2242"/>
  <c r="V10" i="2242"/>
  <c r="U10" i="2242"/>
  <c r="T10" i="2242"/>
  <c r="S10" i="2242"/>
  <c r="R10" i="2242"/>
  <c r="Q10" i="2242"/>
  <c r="P10" i="2242"/>
  <c r="O10" i="2242"/>
  <c r="N10" i="2242"/>
  <c r="M10" i="2242"/>
  <c r="E33" i="2242" s="1"/>
  <c r="L10" i="2242"/>
  <c r="K10" i="2242"/>
  <c r="J10" i="2242"/>
  <c r="Q33" i="2242" s="1"/>
  <c r="I10" i="2242"/>
  <c r="H10" i="2242"/>
  <c r="G10" i="2242"/>
  <c r="F10" i="2242"/>
  <c r="E10" i="2242"/>
  <c r="D10" i="2242"/>
  <c r="AE7" i="2242"/>
  <c r="AD7" i="2242"/>
  <c r="AC7" i="2242"/>
  <c r="AB7" i="2242"/>
  <c r="AA7" i="2242"/>
  <c r="Z7" i="2242"/>
  <c r="Y7" i="2242"/>
  <c r="X7" i="2242"/>
  <c r="W7" i="2242"/>
  <c r="V7" i="2242"/>
  <c r="U7" i="2242"/>
  <c r="T7" i="2242"/>
  <c r="S7" i="2242"/>
  <c r="R7" i="2242"/>
  <c r="Q7" i="2242"/>
  <c r="P7" i="2242"/>
  <c r="O7" i="2242"/>
  <c r="N7" i="2242"/>
  <c r="M7" i="2242"/>
  <c r="L7" i="2242"/>
  <c r="K7" i="2242"/>
  <c r="J7" i="2242"/>
  <c r="I7" i="2242"/>
  <c r="H7" i="2242"/>
  <c r="G7" i="2242"/>
  <c r="F7" i="2242"/>
  <c r="E7" i="2242"/>
  <c r="D7" i="2242"/>
  <c r="J33" i="2242" l="1"/>
  <c r="W33" i="2242"/>
  <c r="AC33" i="2242"/>
  <c r="D33" i="2242"/>
  <c r="Z33" i="2242"/>
  <c r="Y33" i="2242"/>
  <c r="N33" i="2242"/>
  <c r="K33" i="2242"/>
  <c r="M33" i="2242"/>
  <c r="V33" i="2242"/>
  <c r="AA33" i="2240"/>
  <c r="X33" i="2240"/>
  <c r="U33" i="2240"/>
  <c r="R33" i="2240"/>
  <c r="F33" i="2240"/>
  <c r="E33" i="2240"/>
  <c r="Y28" i="2240"/>
  <c r="X28" i="2240"/>
  <c r="S33" i="2240" s="1"/>
  <c r="W28" i="2240"/>
  <c r="V28" i="2240"/>
  <c r="U28" i="2240"/>
  <c r="T28" i="2240"/>
  <c r="S28" i="2240"/>
  <c r="R28" i="2240"/>
  <c r="Q28" i="2240"/>
  <c r="P28" i="2240"/>
  <c r="O28" i="2240"/>
  <c r="N28" i="2240"/>
  <c r="M28" i="2240"/>
  <c r="L28" i="2240"/>
  <c r="K28" i="2240"/>
  <c r="J28" i="2240"/>
  <c r="I28" i="2240"/>
  <c r="H28" i="2240"/>
  <c r="G28" i="2240"/>
  <c r="F28" i="2240"/>
  <c r="E28" i="2240"/>
  <c r="D28" i="2240"/>
  <c r="Y25" i="2240"/>
  <c r="X25" i="2240"/>
  <c r="W25" i="2240"/>
  <c r="V25" i="2240"/>
  <c r="U25" i="2240"/>
  <c r="T25" i="2240"/>
  <c r="S25" i="2240"/>
  <c r="R25" i="2240"/>
  <c r="Q25" i="2240"/>
  <c r="P25" i="2240"/>
  <c r="O25" i="2240"/>
  <c r="N25" i="2240"/>
  <c r="M25" i="2240"/>
  <c r="L25" i="2240"/>
  <c r="K25" i="2240"/>
  <c r="J25" i="2240"/>
  <c r="I25" i="2240"/>
  <c r="H25" i="2240"/>
  <c r="G25" i="2240"/>
  <c r="F25" i="2240"/>
  <c r="E25" i="2240"/>
  <c r="D25" i="2240"/>
  <c r="AE19" i="2240"/>
  <c r="AD19" i="2240"/>
  <c r="AC19" i="2240"/>
  <c r="AB19" i="2240"/>
  <c r="AA19" i="2240"/>
  <c r="Z19" i="2240"/>
  <c r="Y19" i="2240"/>
  <c r="X19" i="2240"/>
  <c r="T33" i="2240" s="1"/>
  <c r="W19" i="2240"/>
  <c r="V19" i="2240"/>
  <c r="U19" i="2240"/>
  <c r="T19" i="2240"/>
  <c r="S19" i="2240"/>
  <c r="R19" i="2240"/>
  <c r="Q19" i="2240"/>
  <c r="P19" i="2240"/>
  <c r="O19" i="2240"/>
  <c r="N19" i="2240"/>
  <c r="G33" i="2240" s="1"/>
  <c r="M19" i="2240"/>
  <c r="H33" i="2240" s="1"/>
  <c r="L19" i="2240"/>
  <c r="P33" i="2240" s="1"/>
  <c r="K19" i="2240"/>
  <c r="L33" i="2240" s="1"/>
  <c r="J19" i="2240"/>
  <c r="I19" i="2240"/>
  <c r="AB33" i="2240" s="1"/>
  <c r="H19" i="2240"/>
  <c r="G19" i="2240"/>
  <c r="O33" i="2240" s="1"/>
  <c r="F19" i="2240"/>
  <c r="E19" i="2240"/>
  <c r="D19" i="2240"/>
  <c r="AE16" i="2240"/>
  <c r="AD16" i="2240"/>
  <c r="AC16" i="2240"/>
  <c r="AB16" i="2240"/>
  <c r="AA16" i="2240"/>
  <c r="Z16" i="2240"/>
  <c r="X16" i="2240"/>
  <c r="W16" i="2240"/>
  <c r="V16" i="2240"/>
  <c r="U16" i="2240"/>
  <c r="T16" i="2240"/>
  <c r="S16" i="2240"/>
  <c r="R16" i="2240"/>
  <c r="Q16" i="2240"/>
  <c r="P16" i="2240"/>
  <c r="O16" i="2240"/>
  <c r="N16" i="2240"/>
  <c r="M16" i="2240"/>
  <c r="L16" i="2240"/>
  <c r="K16" i="2240"/>
  <c r="J16" i="2240"/>
  <c r="I16" i="2240"/>
  <c r="H16" i="2240"/>
  <c r="G16" i="2240"/>
  <c r="F16" i="2240"/>
  <c r="E16" i="2240"/>
  <c r="D16" i="2240"/>
  <c r="AE10" i="2240"/>
  <c r="AD10" i="2240"/>
  <c r="AC10" i="2240"/>
  <c r="AB10" i="2240"/>
  <c r="AA10" i="2240"/>
  <c r="Z10" i="2240"/>
  <c r="Y10" i="2240"/>
  <c r="X10" i="2240"/>
  <c r="W10" i="2240"/>
  <c r="V10" i="2240"/>
  <c r="U10" i="2240"/>
  <c r="T10" i="2240"/>
  <c r="S10" i="2240"/>
  <c r="R10" i="2240"/>
  <c r="Q10" i="2240"/>
  <c r="P10" i="2240"/>
  <c r="O10" i="2240"/>
  <c r="N10" i="2240"/>
  <c r="Q33" i="2240" s="1"/>
  <c r="M10" i="2240"/>
  <c r="L10" i="2240"/>
  <c r="K10" i="2240"/>
  <c r="J10" i="2240"/>
  <c r="I10" i="2240"/>
  <c r="H10" i="2240"/>
  <c r="G10" i="2240"/>
  <c r="F10" i="2240"/>
  <c r="J33" i="2240" s="1"/>
  <c r="E10" i="2240"/>
  <c r="D10" i="2240"/>
  <c r="AE7" i="2240"/>
  <c r="AD7" i="2240"/>
  <c r="AC7" i="2240"/>
  <c r="AB7" i="2240"/>
  <c r="AA7" i="2240"/>
  <c r="Z7" i="2240"/>
  <c r="Y7" i="2240"/>
  <c r="X7" i="2240"/>
  <c r="W7" i="2240"/>
  <c r="V7" i="2240"/>
  <c r="U7" i="2240"/>
  <c r="T7" i="2240"/>
  <c r="S7" i="2240"/>
  <c r="R7" i="2240"/>
  <c r="Q7" i="2240"/>
  <c r="P7" i="2240"/>
  <c r="O7" i="2240"/>
  <c r="N7" i="2240"/>
  <c r="M7" i="2240"/>
  <c r="L7" i="2240"/>
  <c r="K7" i="2240"/>
  <c r="J7" i="2240"/>
  <c r="I7" i="2240"/>
  <c r="H7" i="2240"/>
  <c r="G7" i="2240"/>
  <c r="F7" i="2240"/>
  <c r="E7" i="2240"/>
  <c r="D7" i="2240"/>
  <c r="AA33" i="2239"/>
  <c r="X33" i="2239"/>
  <c r="U33" i="2239"/>
  <c r="R33" i="2239"/>
  <c r="O33" i="2239"/>
  <c r="F33" i="2239"/>
  <c r="Y28" i="2239"/>
  <c r="X28" i="2239"/>
  <c r="S33" i="2239" s="1"/>
  <c r="W28" i="2239"/>
  <c r="V28" i="2239"/>
  <c r="U28" i="2239"/>
  <c r="T28" i="2239"/>
  <c r="S28" i="2239"/>
  <c r="R28" i="2239"/>
  <c r="Q28" i="2239"/>
  <c r="P28" i="2239"/>
  <c r="O28" i="2239"/>
  <c r="N28" i="2239"/>
  <c r="M28" i="2239"/>
  <c r="L28" i="2239"/>
  <c r="K28" i="2239"/>
  <c r="J28" i="2239"/>
  <c r="I28" i="2239"/>
  <c r="H28" i="2239"/>
  <c r="G28" i="2239"/>
  <c r="F28" i="2239"/>
  <c r="E28" i="2239"/>
  <c r="D28" i="2239"/>
  <c r="Y25" i="2239"/>
  <c r="X25" i="2239"/>
  <c r="W25" i="2239"/>
  <c r="V25" i="2239"/>
  <c r="U25" i="2239"/>
  <c r="T25" i="2239"/>
  <c r="S25" i="2239"/>
  <c r="R25" i="2239"/>
  <c r="Q25" i="2239"/>
  <c r="P25" i="2239"/>
  <c r="O25" i="2239"/>
  <c r="N25" i="2239"/>
  <c r="M25" i="2239"/>
  <c r="L25" i="2239"/>
  <c r="K25" i="2239"/>
  <c r="J25" i="2239"/>
  <c r="I25" i="2239"/>
  <c r="H25" i="2239"/>
  <c r="G25" i="2239"/>
  <c r="F25" i="2239"/>
  <c r="E25" i="2239"/>
  <c r="D25" i="2239"/>
  <c r="AE19" i="2239"/>
  <c r="AD19" i="2239"/>
  <c r="AC19" i="2239"/>
  <c r="AB19" i="2239"/>
  <c r="AA19" i="2239"/>
  <c r="Z19" i="2239"/>
  <c r="Y19" i="2239"/>
  <c r="X19" i="2239"/>
  <c r="T33" i="2239" s="1"/>
  <c r="W19" i="2239"/>
  <c r="V19" i="2239"/>
  <c r="U19" i="2239"/>
  <c r="T19" i="2239"/>
  <c r="S19" i="2239"/>
  <c r="R19" i="2239"/>
  <c r="Q19" i="2239"/>
  <c r="P19" i="2239"/>
  <c r="O19" i="2239"/>
  <c r="N19" i="2239"/>
  <c r="G33" i="2239" s="1"/>
  <c r="M19" i="2239"/>
  <c r="H33" i="2239" s="1"/>
  <c r="L19" i="2239"/>
  <c r="P33" i="2239" s="1"/>
  <c r="K19" i="2239"/>
  <c r="L33" i="2239" s="1"/>
  <c r="J19" i="2239"/>
  <c r="I19" i="2239"/>
  <c r="AB33" i="2239" s="1"/>
  <c r="H19" i="2239"/>
  <c r="G19" i="2239"/>
  <c r="F19" i="2239"/>
  <c r="E19" i="2239"/>
  <c r="D19" i="2239"/>
  <c r="AE16" i="2239"/>
  <c r="AD16" i="2239"/>
  <c r="AC16" i="2239"/>
  <c r="AB16" i="2239"/>
  <c r="AA16" i="2239"/>
  <c r="Z16" i="2239"/>
  <c r="X16" i="2239"/>
  <c r="W16" i="2239"/>
  <c r="V16" i="2239"/>
  <c r="U16" i="2239"/>
  <c r="T16" i="2239"/>
  <c r="S16" i="2239"/>
  <c r="R16" i="2239"/>
  <c r="Q16" i="2239"/>
  <c r="P16" i="2239"/>
  <c r="O16" i="2239"/>
  <c r="N16" i="2239"/>
  <c r="M16" i="2239"/>
  <c r="L16" i="2239"/>
  <c r="K16" i="2239"/>
  <c r="J16" i="2239"/>
  <c r="I16" i="2239"/>
  <c r="H16" i="2239"/>
  <c r="G16" i="2239"/>
  <c r="F16" i="2239"/>
  <c r="E16" i="2239"/>
  <c r="D16" i="2239"/>
  <c r="AE10" i="2239"/>
  <c r="AD10" i="2239"/>
  <c r="AC10" i="2239"/>
  <c r="AB10" i="2239"/>
  <c r="AA10" i="2239"/>
  <c r="Z10" i="2239"/>
  <c r="Y10" i="2239"/>
  <c r="X10" i="2239"/>
  <c r="W10" i="2239"/>
  <c r="V10" i="2239"/>
  <c r="U10" i="2239"/>
  <c r="T10" i="2239"/>
  <c r="S10" i="2239"/>
  <c r="R10" i="2239"/>
  <c r="Q10" i="2239"/>
  <c r="P10" i="2239"/>
  <c r="O10" i="2239"/>
  <c r="N10" i="2239"/>
  <c r="M10" i="2239"/>
  <c r="E33" i="2239" s="1"/>
  <c r="L10" i="2239"/>
  <c r="K10" i="2239"/>
  <c r="J10" i="2239"/>
  <c r="I10" i="2239"/>
  <c r="H10" i="2239"/>
  <c r="G10" i="2239"/>
  <c r="F10" i="2239"/>
  <c r="J33" i="2239" s="1"/>
  <c r="E10" i="2239"/>
  <c r="D10" i="2239"/>
  <c r="AE7" i="2239"/>
  <c r="AD7" i="2239"/>
  <c r="AC7" i="2239"/>
  <c r="AB7" i="2239"/>
  <c r="AA7" i="2239"/>
  <c r="Z7" i="2239"/>
  <c r="Y7" i="2239"/>
  <c r="X7" i="2239"/>
  <c r="W7" i="2239"/>
  <c r="V7" i="2239"/>
  <c r="U7" i="2239"/>
  <c r="T7" i="2239"/>
  <c r="S7" i="2239"/>
  <c r="R7" i="2239"/>
  <c r="Q7" i="2239"/>
  <c r="P7" i="2239"/>
  <c r="O7" i="2239"/>
  <c r="N7" i="2239"/>
  <c r="M7" i="2239"/>
  <c r="L7" i="2239"/>
  <c r="K7" i="2239"/>
  <c r="J7" i="2239"/>
  <c r="I7" i="2239"/>
  <c r="H7" i="2239"/>
  <c r="G7" i="2239"/>
  <c r="F7" i="2239"/>
  <c r="E7" i="2239"/>
  <c r="D7" i="2239"/>
  <c r="W33" i="2240" l="1"/>
  <c r="N33" i="2240"/>
  <c r="AC33" i="2240"/>
  <c r="D33" i="2240"/>
  <c r="Z33" i="2240"/>
  <c r="Y33" i="2240"/>
  <c r="K33" i="2240"/>
  <c r="M33" i="2240"/>
  <c r="V33" i="2240"/>
  <c r="W33" i="2239"/>
  <c r="N33" i="2239"/>
  <c r="AC33" i="2239"/>
  <c r="D33" i="2239"/>
  <c r="Z33" i="2239"/>
  <c r="Y33" i="2239"/>
  <c r="K33" i="2239"/>
  <c r="Q33" i="2239"/>
  <c r="M33" i="2239"/>
  <c r="V33" i="2239"/>
  <c r="AA33" i="2238" l="1"/>
  <c r="X33" i="2238"/>
  <c r="U33" i="2238"/>
  <c r="R33" i="2238"/>
  <c r="F33" i="2238"/>
  <c r="E33" i="2238"/>
  <c r="Y28" i="2238"/>
  <c r="X28" i="2238"/>
  <c r="S33" i="2238" s="1"/>
  <c r="W28" i="2238"/>
  <c r="V28" i="2238"/>
  <c r="U28" i="2238"/>
  <c r="T28" i="2238"/>
  <c r="S28" i="2238"/>
  <c r="R28" i="2238"/>
  <c r="Q28" i="2238"/>
  <c r="P28" i="2238"/>
  <c r="O28" i="2238"/>
  <c r="N28" i="2238"/>
  <c r="M28" i="2238"/>
  <c r="L28" i="2238"/>
  <c r="K28" i="2238"/>
  <c r="J28" i="2238"/>
  <c r="I28" i="2238"/>
  <c r="H28" i="2238"/>
  <c r="G28" i="2238"/>
  <c r="F28" i="2238"/>
  <c r="E28" i="2238"/>
  <c r="D28" i="2238"/>
  <c r="Y25" i="2238"/>
  <c r="X25" i="2238"/>
  <c r="W25" i="2238"/>
  <c r="V25" i="2238"/>
  <c r="U25" i="2238"/>
  <c r="T25" i="2238"/>
  <c r="S25" i="2238"/>
  <c r="R25" i="2238"/>
  <c r="Q25" i="2238"/>
  <c r="P25" i="2238"/>
  <c r="O25" i="2238"/>
  <c r="N25" i="2238"/>
  <c r="M25" i="2238"/>
  <c r="L25" i="2238"/>
  <c r="K25" i="2238"/>
  <c r="J25" i="2238"/>
  <c r="I25" i="2238"/>
  <c r="H25" i="2238"/>
  <c r="G25" i="2238"/>
  <c r="F25" i="2238"/>
  <c r="E25" i="2238"/>
  <c r="D25" i="2238"/>
  <c r="AE19" i="2238"/>
  <c r="AD19" i="2238"/>
  <c r="AC19" i="2238"/>
  <c r="AB19" i="2238"/>
  <c r="AA19" i="2238"/>
  <c r="Z19" i="2238"/>
  <c r="Y19" i="2238"/>
  <c r="X19" i="2238"/>
  <c r="T33" i="2238" s="1"/>
  <c r="W19" i="2238"/>
  <c r="V19" i="2238"/>
  <c r="U19" i="2238"/>
  <c r="T19" i="2238"/>
  <c r="S19" i="2238"/>
  <c r="R19" i="2238"/>
  <c r="Q19" i="2238"/>
  <c r="P19" i="2238"/>
  <c r="O19" i="2238"/>
  <c r="N19" i="2238"/>
  <c r="G33" i="2238" s="1"/>
  <c r="M19" i="2238"/>
  <c r="H33" i="2238" s="1"/>
  <c r="L19" i="2238"/>
  <c r="P33" i="2238" s="1"/>
  <c r="K19" i="2238"/>
  <c r="L33" i="2238" s="1"/>
  <c r="J19" i="2238"/>
  <c r="I19" i="2238"/>
  <c r="AB33" i="2238" s="1"/>
  <c r="H19" i="2238"/>
  <c r="G19" i="2238"/>
  <c r="O33" i="2238" s="1"/>
  <c r="F19" i="2238"/>
  <c r="E19" i="2238"/>
  <c r="D19" i="2238"/>
  <c r="AE16" i="2238"/>
  <c r="AD16" i="2238"/>
  <c r="AC16" i="2238"/>
  <c r="AB16" i="2238"/>
  <c r="AA16" i="2238"/>
  <c r="Z16" i="2238"/>
  <c r="X16" i="2238"/>
  <c r="W16" i="2238"/>
  <c r="V16" i="2238"/>
  <c r="U16" i="2238"/>
  <c r="T16" i="2238"/>
  <c r="S16" i="2238"/>
  <c r="R16" i="2238"/>
  <c r="Q16" i="2238"/>
  <c r="P16" i="2238"/>
  <c r="O16" i="2238"/>
  <c r="N16" i="2238"/>
  <c r="M16" i="2238"/>
  <c r="L16" i="2238"/>
  <c r="K16" i="2238"/>
  <c r="J16" i="2238"/>
  <c r="I16" i="2238"/>
  <c r="H16" i="2238"/>
  <c r="G16" i="2238"/>
  <c r="F16" i="2238"/>
  <c r="E16" i="2238"/>
  <c r="D16" i="2238"/>
  <c r="AE10" i="2238"/>
  <c r="AD10" i="2238"/>
  <c r="AC10" i="2238"/>
  <c r="AB10" i="2238"/>
  <c r="AA10" i="2238"/>
  <c r="Z10" i="2238"/>
  <c r="Y10" i="2238"/>
  <c r="X10" i="2238"/>
  <c r="W10" i="2238"/>
  <c r="V10" i="2238"/>
  <c r="U10" i="2238"/>
  <c r="T10" i="2238"/>
  <c r="S10" i="2238"/>
  <c r="R10" i="2238"/>
  <c r="Q10" i="2238"/>
  <c r="P10" i="2238"/>
  <c r="O10" i="2238"/>
  <c r="N10" i="2238"/>
  <c r="Q33" i="2238" s="1"/>
  <c r="M10" i="2238"/>
  <c r="L10" i="2238"/>
  <c r="K10" i="2238"/>
  <c r="J10" i="2238"/>
  <c r="I10" i="2238"/>
  <c r="H10" i="2238"/>
  <c r="G10" i="2238"/>
  <c r="F10" i="2238"/>
  <c r="J33" i="2238" s="1"/>
  <c r="E10" i="2238"/>
  <c r="D10" i="2238"/>
  <c r="AE7" i="2238"/>
  <c r="AD7" i="2238"/>
  <c r="AC7" i="2238"/>
  <c r="AB7" i="2238"/>
  <c r="AA7" i="2238"/>
  <c r="Z7" i="2238"/>
  <c r="Y7" i="2238"/>
  <c r="X7" i="2238"/>
  <c r="W7" i="2238"/>
  <c r="V7" i="2238"/>
  <c r="U7" i="2238"/>
  <c r="T7" i="2238"/>
  <c r="S7" i="2238"/>
  <c r="R7" i="2238"/>
  <c r="Q7" i="2238"/>
  <c r="P7" i="2238"/>
  <c r="O7" i="2238"/>
  <c r="N7" i="2238"/>
  <c r="M7" i="2238"/>
  <c r="L7" i="2238"/>
  <c r="K7" i="2238"/>
  <c r="J7" i="2238"/>
  <c r="I7" i="2238"/>
  <c r="H7" i="2238"/>
  <c r="G7" i="2238"/>
  <c r="F7" i="2238"/>
  <c r="E7" i="2238"/>
  <c r="D7" i="2238"/>
  <c r="W33" i="2238" l="1"/>
  <c r="N33" i="2238"/>
  <c r="AC33" i="2238"/>
  <c r="Z33" i="2238"/>
  <c r="D33" i="2238"/>
  <c r="Y33" i="2238"/>
  <c r="K33" i="2238"/>
  <c r="M33" i="2238"/>
  <c r="V33" i="2238"/>
  <c r="AA33" i="2237"/>
  <c r="X33" i="2237"/>
  <c r="U33" i="2237"/>
  <c r="R33" i="2237"/>
  <c r="F33" i="2237"/>
  <c r="E33" i="2237"/>
  <c r="Y28" i="2237"/>
  <c r="X28" i="2237"/>
  <c r="S33" i="2237" s="1"/>
  <c r="W28" i="2237"/>
  <c r="V28" i="2237"/>
  <c r="U28" i="2237"/>
  <c r="T28" i="2237"/>
  <c r="S28" i="2237"/>
  <c r="R28" i="2237"/>
  <c r="Q28" i="2237"/>
  <c r="P28" i="2237"/>
  <c r="O28" i="2237"/>
  <c r="N28" i="2237"/>
  <c r="M28" i="2237"/>
  <c r="L28" i="2237"/>
  <c r="K28" i="2237"/>
  <c r="J28" i="2237"/>
  <c r="I28" i="2237"/>
  <c r="H28" i="2237"/>
  <c r="G28" i="2237"/>
  <c r="F28" i="2237"/>
  <c r="E28" i="2237"/>
  <c r="D28" i="2237"/>
  <c r="Y25" i="2237"/>
  <c r="X25" i="2237"/>
  <c r="W25" i="2237"/>
  <c r="V25" i="2237"/>
  <c r="U25" i="2237"/>
  <c r="T25" i="2237"/>
  <c r="S25" i="2237"/>
  <c r="R25" i="2237"/>
  <c r="Q25" i="2237"/>
  <c r="P25" i="2237"/>
  <c r="O25" i="2237"/>
  <c r="N25" i="2237"/>
  <c r="M25" i="2237"/>
  <c r="L25" i="2237"/>
  <c r="K25" i="2237"/>
  <c r="J25" i="2237"/>
  <c r="I25" i="2237"/>
  <c r="H25" i="2237"/>
  <c r="G25" i="2237"/>
  <c r="F25" i="2237"/>
  <c r="E25" i="2237"/>
  <c r="D25" i="2237"/>
  <c r="AE19" i="2237"/>
  <c r="AD19" i="2237"/>
  <c r="AC19" i="2237"/>
  <c r="AB19" i="2237"/>
  <c r="AA19" i="2237"/>
  <c r="Z19" i="2237"/>
  <c r="Y19" i="2237"/>
  <c r="X19" i="2237"/>
  <c r="T33" i="2237" s="1"/>
  <c r="W19" i="2237"/>
  <c r="V19" i="2237"/>
  <c r="U19" i="2237"/>
  <c r="T19" i="2237"/>
  <c r="S19" i="2237"/>
  <c r="R19" i="2237"/>
  <c r="Q19" i="2237"/>
  <c r="P19" i="2237"/>
  <c r="O19" i="2237"/>
  <c r="N19" i="2237"/>
  <c r="G33" i="2237" s="1"/>
  <c r="M19" i="2237"/>
  <c r="H33" i="2237" s="1"/>
  <c r="L19" i="2237"/>
  <c r="P33" i="2237" s="1"/>
  <c r="K19" i="2237"/>
  <c r="L33" i="2237" s="1"/>
  <c r="J19" i="2237"/>
  <c r="I19" i="2237"/>
  <c r="AB33" i="2237" s="1"/>
  <c r="H19" i="2237"/>
  <c r="G19" i="2237"/>
  <c r="O33" i="2237" s="1"/>
  <c r="F19" i="2237"/>
  <c r="E19" i="2237"/>
  <c r="D19" i="2237"/>
  <c r="AE16" i="2237"/>
  <c r="AD16" i="2237"/>
  <c r="AC16" i="2237"/>
  <c r="AB16" i="2237"/>
  <c r="AA16" i="2237"/>
  <c r="Z16" i="2237"/>
  <c r="X16" i="2237"/>
  <c r="W16" i="2237"/>
  <c r="V16" i="2237"/>
  <c r="U16" i="2237"/>
  <c r="T16" i="2237"/>
  <c r="S16" i="2237"/>
  <c r="R16" i="2237"/>
  <c r="Q16" i="2237"/>
  <c r="P16" i="2237"/>
  <c r="O16" i="2237"/>
  <c r="N16" i="2237"/>
  <c r="M16" i="2237"/>
  <c r="L16" i="2237"/>
  <c r="K16" i="2237"/>
  <c r="J16" i="2237"/>
  <c r="I16" i="2237"/>
  <c r="H16" i="2237"/>
  <c r="G16" i="2237"/>
  <c r="F16" i="2237"/>
  <c r="E16" i="2237"/>
  <c r="D16" i="2237"/>
  <c r="AE10" i="2237"/>
  <c r="AD10" i="2237"/>
  <c r="AC10" i="2237"/>
  <c r="AB10" i="2237"/>
  <c r="AA10" i="2237"/>
  <c r="Z10" i="2237"/>
  <c r="Y10" i="2237"/>
  <c r="X10" i="2237"/>
  <c r="W10" i="2237"/>
  <c r="V10" i="2237"/>
  <c r="U10" i="2237"/>
  <c r="T10" i="2237"/>
  <c r="S10" i="2237"/>
  <c r="R10" i="2237"/>
  <c r="Q10" i="2237"/>
  <c r="P10" i="2237"/>
  <c r="O10" i="2237"/>
  <c r="N10" i="2237"/>
  <c r="M10" i="2237"/>
  <c r="L10" i="2237"/>
  <c r="K10" i="2237"/>
  <c r="J10" i="2237"/>
  <c r="I10" i="2237"/>
  <c r="H10" i="2237"/>
  <c r="G10" i="2237"/>
  <c r="F10" i="2237"/>
  <c r="J33" i="2237" s="1"/>
  <c r="E10" i="2237"/>
  <c r="D10" i="2237"/>
  <c r="AE7" i="2237"/>
  <c r="AD7" i="2237"/>
  <c r="AC7" i="2237"/>
  <c r="AB7" i="2237"/>
  <c r="AA7" i="2237"/>
  <c r="Z7" i="2237"/>
  <c r="Y7" i="2237"/>
  <c r="X7" i="2237"/>
  <c r="W7" i="2237"/>
  <c r="V7" i="2237"/>
  <c r="U7" i="2237"/>
  <c r="T7" i="2237"/>
  <c r="S7" i="2237"/>
  <c r="R7" i="2237"/>
  <c r="Q7" i="2237"/>
  <c r="P7" i="2237"/>
  <c r="O7" i="2237"/>
  <c r="N7" i="2237"/>
  <c r="M7" i="2237"/>
  <c r="L7" i="2237"/>
  <c r="K7" i="2237"/>
  <c r="J7" i="2237"/>
  <c r="I7" i="2237"/>
  <c r="H7" i="2237"/>
  <c r="G7" i="2237"/>
  <c r="F7" i="2237"/>
  <c r="E7" i="2237"/>
  <c r="D7" i="2237"/>
  <c r="W33" i="2237" l="1"/>
  <c r="N33" i="2237"/>
  <c r="AC33" i="2237"/>
  <c r="Z33" i="2237"/>
  <c r="D33" i="2237"/>
  <c r="Y33" i="2237"/>
  <c r="Q33" i="2237"/>
  <c r="K33" i="2237"/>
  <c r="M33" i="2237"/>
  <c r="V33" i="2237"/>
  <c r="AA33" i="2236" l="1"/>
  <c r="X33" i="2236"/>
  <c r="U33" i="2236"/>
  <c r="R33" i="2236"/>
  <c r="F33" i="2236"/>
  <c r="Y28" i="2236"/>
  <c r="X28" i="2236"/>
  <c r="S33" i="2236" s="1"/>
  <c r="W28" i="2236"/>
  <c r="V28" i="2236"/>
  <c r="U28" i="2236"/>
  <c r="T28" i="2236"/>
  <c r="S28" i="2236"/>
  <c r="R28" i="2236"/>
  <c r="Q28" i="2236"/>
  <c r="P28" i="2236"/>
  <c r="O28" i="2236"/>
  <c r="N28" i="2236"/>
  <c r="M28" i="2236"/>
  <c r="L28" i="2236"/>
  <c r="K28" i="2236"/>
  <c r="J28" i="2236"/>
  <c r="I28" i="2236"/>
  <c r="H28" i="2236"/>
  <c r="G28" i="2236"/>
  <c r="F28" i="2236"/>
  <c r="E28" i="2236"/>
  <c r="D28" i="2236"/>
  <c r="Y25" i="2236"/>
  <c r="X25" i="2236"/>
  <c r="W25" i="2236"/>
  <c r="V25" i="2236"/>
  <c r="U25" i="2236"/>
  <c r="T25" i="2236"/>
  <c r="S25" i="2236"/>
  <c r="R25" i="2236"/>
  <c r="Q25" i="2236"/>
  <c r="P25" i="2236"/>
  <c r="O25" i="2236"/>
  <c r="N25" i="2236"/>
  <c r="M25" i="2236"/>
  <c r="L25" i="2236"/>
  <c r="K25" i="2236"/>
  <c r="J25" i="2236"/>
  <c r="I25" i="2236"/>
  <c r="H25" i="2236"/>
  <c r="G25" i="2236"/>
  <c r="F25" i="2236"/>
  <c r="E25" i="2236"/>
  <c r="D25" i="2236"/>
  <c r="AE19" i="2236"/>
  <c r="AD19" i="2236"/>
  <c r="AC19" i="2236"/>
  <c r="AB19" i="2236"/>
  <c r="AA19" i="2236"/>
  <c r="Z19" i="2236"/>
  <c r="Y19" i="2236"/>
  <c r="X19" i="2236"/>
  <c r="T33" i="2236" s="1"/>
  <c r="W19" i="2236"/>
  <c r="V19" i="2236"/>
  <c r="U19" i="2236"/>
  <c r="T19" i="2236"/>
  <c r="S19" i="2236"/>
  <c r="R19" i="2236"/>
  <c r="Q19" i="2236"/>
  <c r="P19" i="2236"/>
  <c r="O19" i="2236"/>
  <c r="N19" i="2236"/>
  <c r="G33" i="2236" s="1"/>
  <c r="M19" i="2236"/>
  <c r="H33" i="2236" s="1"/>
  <c r="L19" i="2236"/>
  <c r="P33" i="2236" s="1"/>
  <c r="K19" i="2236"/>
  <c r="L33" i="2236" s="1"/>
  <c r="J19" i="2236"/>
  <c r="I19" i="2236"/>
  <c r="AB33" i="2236" s="1"/>
  <c r="H19" i="2236"/>
  <c r="G19" i="2236"/>
  <c r="O33" i="2236" s="1"/>
  <c r="F19" i="2236"/>
  <c r="E19" i="2236"/>
  <c r="D19" i="2236"/>
  <c r="AE16" i="2236"/>
  <c r="AD16" i="2236"/>
  <c r="AC16" i="2236"/>
  <c r="AB16" i="2236"/>
  <c r="AA16" i="2236"/>
  <c r="Z16" i="2236"/>
  <c r="X16" i="2236"/>
  <c r="W16" i="2236"/>
  <c r="V16" i="2236"/>
  <c r="U16" i="2236"/>
  <c r="T16" i="2236"/>
  <c r="S16" i="2236"/>
  <c r="R16" i="2236"/>
  <c r="Q16" i="2236"/>
  <c r="P16" i="2236"/>
  <c r="O16" i="2236"/>
  <c r="N16" i="2236"/>
  <c r="M16" i="2236"/>
  <c r="L16" i="2236"/>
  <c r="K16" i="2236"/>
  <c r="J16" i="2236"/>
  <c r="I16" i="2236"/>
  <c r="H16" i="2236"/>
  <c r="G16" i="2236"/>
  <c r="F16" i="2236"/>
  <c r="E16" i="2236"/>
  <c r="D16" i="2236"/>
  <c r="AE10" i="2236"/>
  <c r="AD10" i="2236"/>
  <c r="AC10" i="2236"/>
  <c r="AB10" i="2236"/>
  <c r="AA10" i="2236"/>
  <c r="Z10" i="2236"/>
  <c r="Y10" i="2236"/>
  <c r="X10" i="2236"/>
  <c r="W10" i="2236"/>
  <c r="V10" i="2236"/>
  <c r="U10" i="2236"/>
  <c r="T10" i="2236"/>
  <c r="S10" i="2236"/>
  <c r="R10" i="2236"/>
  <c r="Q10" i="2236"/>
  <c r="P10" i="2236"/>
  <c r="O10" i="2236"/>
  <c r="N10" i="2236"/>
  <c r="Q33" i="2236" s="1"/>
  <c r="M10" i="2236"/>
  <c r="E33" i="2236" s="1"/>
  <c r="L10" i="2236"/>
  <c r="K10" i="2236"/>
  <c r="J10" i="2236"/>
  <c r="I10" i="2236"/>
  <c r="H10" i="2236"/>
  <c r="G10" i="2236"/>
  <c r="F10" i="2236"/>
  <c r="E10" i="2236"/>
  <c r="D10" i="2236"/>
  <c r="AE7" i="2236"/>
  <c r="AD7" i="2236"/>
  <c r="AC7" i="2236"/>
  <c r="AB7" i="2236"/>
  <c r="AA7" i="2236"/>
  <c r="Z7" i="2236"/>
  <c r="Y7" i="2236"/>
  <c r="X7" i="2236"/>
  <c r="W7" i="2236"/>
  <c r="V7" i="2236"/>
  <c r="U7" i="2236"/>
  <c r="T7" i="2236"/>
  <c r="S7" i="2236"/>
  <c r="R7" i="2236"/>
  <c r="Q7" i="2236"/>
  <c r="P7" i="2236"/>
  <c r="O7" i="2236"/>
  <c r="N7" i="2236"/>
  <c r="M7" i="2236"/>
  <c r="L7" i="2236"/>
  <c r="K7" i="2236"/>
  <c r="J7" i="2236"/>
  <c r="I7" i="2236"/>
  <c r="H7" i="2236"/>
  <c r="G7" i="2236"/>
  <c r="F7" i="2236"/>
  <c r="E7" i="2236"/>
  <c r="D7" i="2236"/>
  <c r="AA33" i="2235"/>
  <c r="X33" i="2235"/>
  <c r="U33" i="2235"/>
  <c r="R33" i="2235"/>
  <c r="F33" i="2235"/>
  <c r="E33" i="2235"/>
  <c r="Y28" i="2235"/>
  <c r="X28" i="2235"/>
  <c r="S33" i="2235" s="1"/>
  <c r="W28" i="2235"/>
  <c r="V28" i="2235"/>
  <c r="U28" i="2235"/>
  <c r="T28" i="2235"/>
  <c r="S28" i="2235"/>
  <c r="R28" i="2235"/>
  <c r="Q28" i="2235"/>
  <c r="P28" i="2235"/>
  <c r="O28" i="2235"/>
  <c r="N28" i="2235"/>
  <c r="M28" i="2235"/>
  <c r="L28" i="2235"/>
  <c r="K28" i="2235"/>
  <c r="J28" i="2235"/>
  <c r="I28" i="2235"/>
  <c r="H28" i="2235"/>
  <c r="G28" i="2235"/>
  <c r="F28" i="2235"/>
  <c r="E28" i="2235"/>
  <c r="D28" i="2235"/>
  <c r="Y25" i="2235"/>
  <c r="X25" i="2235"/>
  <c r="W25" i="2235"/>
  <c r="V25" i="2235"/>
  <c r="U25" i="2235"/>
  <c r="T25" i="2235"/>
  <c r="S25" i="2235"/>
  <c r="R25" i="2235"/>
  <c r="Q25" i="2235"/>
  <c r="P25" i="2235"/>
  <c r="O25" i="2235"/>
  <c r="N25" i="2235"/>
  <c r="M25" i="2235"/>
  <c r="L25" i="2235"/>
  <c r="K25" i="2235"/>
  <c r="J25" i="2235"/>
  <c r="I25" i="2235"/>
  <c r="H25" i="2235"/>
  <c r="G25" i="2235"/>
  <c r="F25" i="2235"/>
  <c r="E25" i="2235"/>
  <c r="D25" i="2235"/>
  <c r="AE19" i="2235"/>
  <c r="AD19" i="2235"/>
  <c r="AC19" i="2235"/>
  <c r="AB19" i="2235"/>
  <c r="AA19" i="2235"/>
  <c r="Z19" i="2235"/>
  <c r="Y19" i="2235"/>
  <c r="X19" i="2235"/>
  <c r="T33" i="2235" s="1"/>
  <c r="W19" i="2235"/>
  <c r="V19" i="2235"/>
  <c r="U19" i="2235"/>
  <c r="T19" i="2235"/>
  <c r="S19" i="2235"/>
  <c r="R19" i="2235"/>
  <c r="Q19" i="2235"/>
  <c r="P19" i="2235"/>
  <c r="O19" i="2235"/>
  <c r="N19" i="2235"/>
  <c r="G33" i="2235" s="1"/>
  <c r="M19" i="2235"/>
  <c r="H33" i="2235" s="1"/>
  <c r="L19" i="2235"/>
  <c r="P33" i="2235" s="1"/>
  <c r="K19" i="2235"/>
  <c r="L33" i="2235" s="1"/>
  <c r="J19" i="2235"/>
  <c r="I19" i="2235"/>
  <c r="AB33" i="2235" s="1"/>
  <c r="H19" i="2235"/>
  <c r="G19" i="2235"/>
  <c r="O33" i="2235" s="1"/>
  <c r="F19" i="2235"/>
  <c r="E19" i="2235"/>
  <c r="D19" i="2235"/>
  <c r="AE16" i="2235"/>
  <c r="AD16" i="2235"/>
  <c r="AC16" i="2235"/>
  <c r="AB16" i="2235"/>
  <c r="AA16" i="2235"/>
  <c r="Z16" i="2235"/>
  <c r="X16" i="2235"/>
  <c r="W16" i="2235"/>
  <c r="V16" i="2235"/>
  <c r="U16" i="2235"/>
  <c r="T16" i="2235"/>
  <c r="S16" i="2235"/>
  <c r="R16" i="2235"/>
  <c r="Q16" i="2235"/>
  <c r="P16" i="2235"/>
  <c r="O16" i="2235"/>
  <c r="N16" i="2235"/>
  <c r="M16" i="2235"/>
  <c r="L16" i="2235"/>
  <c r="K16" i="2235"/>
  <c r="J16" i="2235"/>
  <c r="I16" i="2235"/>
  <c r="H16" i="2235"/>
  <c r="G16" i="2235"/>
  <c r="F16" i="2235"/>
  <c r="E16" i="2235"/>
  <c r="D16" i="2235"/>
  <c r="AE10" i="2235"/>
  <c r="AD10" i="2235"/>
  <c r="AC10" i="2235"/>
  <c r="AB10" i="2235"/>
  <c r="AA10" i="2235"/>
  <c r="Z10" i="2235"/>
  <c r="Y10" i="2235"/>
  <c r="X10" i="2235"/>
  <c r="W10" i="2235"/>
  <c r="V10" i="2235"/>
  <c r="U10" i="2235"/>
  <c r="T10" i="2235"/>
  <c r="S10" i="2235"/>
  <c r="R10" i="2235"/>
  <c r="Q10" i="2235"/>
  <c r="P10" i="2235"/>
  <c r="O10" i="2235"/>
  <c r="N10" i="2235"/>
  <c r="M10" i="2235"/>
  <c r="L10" i="2235"/>
  <c r="K10" i="2235"/>
  <c r="J10" i="2235"/>
  <c r="Q33" i="2235" s="1"/>
  <c r="I10" i="2235"/>
  <c r="H10" i="2235"/>
  <c r="G10" i="2235"/>
  <c r="F10" i="2235"/>
  <c r="J33" i="2235" s="1"/>
  <c r="E10" i="2235"/>
  <c r="D10" i="2235"/>
  <c r="AE7" i="2235"/>
  <c r="AD7" i="2235"/>
  <c r="AC7" i="2235"/>
  <c r="AB7" i="2235"/>
  <c r="AA7" i="2235"/>
  <c r="Z7" i="2235"/>
  <c r="Y7" i="2235"/>
  <c r="X7" i="2235"/>
  <c r="W7" i="2235"/>
  <c r="V7" i="2235"/>
  <c r="U7" i="2235"/>
  <c r="T7" i="2235"/>
  <c r="S7" i="2235"/>
  <c r="R7" i="2235"/>
  <c r="Q7" i="2235"/>
  <c r="P7" i="2235"/>
  <c r="O7" i="2235"/>
  <c r="N7" i="2235"/>
  <c r="M7" i="2235"/>
  <c r="L7" i="2235"/>
  <c r="K7" i="2235"/>
  <c r="J7" i="2235"/>
  <c r="I7" i="2235"/>
  <c r="H7" i="2235"/>
  <c r="G7" i="2235"/>
  <c r="F7" i="2235"/>
  <c r="E7" i="2235"/>
  <c r="D7" i="2235"/>
  <c r="J33" i="2236" l="1"/>
  <c r="N33" i="2236"/>
  <c r="W33" i="2236"/>
  <c r="AC33" i="2236"/>
  <c r="D33" i="2236"/>
  <c r="Z33" i="2236"/>
  <c r="Y33" i="2236"/>
  <c r="K33" i="2236"/>
  <c r="M33" i="2236"/>
  <c r="V33" i="2236"/>
  <c r="N33" i="2235"/>
  <c r="W33" i="2235"/>
  <c r="AC33" i="2235"/>
  <c r="D33" i="2235"/>
  <c r="Z33" i="2235"/>
  <c r="Y33" i="2235"/>
  <c r="K33" i="2235"/>
  <c r="M33" i="2235"/>
  <c r="V33" i="2235"/>
  <c r="AA33" i="2234" l="1"/>
  <c r="X33" i="2234"/>
  <c r="U33" i="2234"/>
  <c r="R33" i="2234"/>
  <c r="F33" i="2234"/>
  <c r="E33" i="2234"/>
  <c r="Y28" i="2234"/>
  <c r="X28" i="2234"/>
  <c r="S33" i="2234" s="1"/>
  <c r="W28" i="2234"/>
  <c r="V28" i="2234"/>
  <c r="U28" i="2234"/>
  <c r="T28" i="2234"/>
  <c r="S28" i="2234"/>
  <c r="R28" i="2234"/>
  <c r="Q28" i="2234"/>
  <c r="P28" i="2234"/>
  <c r="O28" i="2234"/>
  <c r="N28" i="2234"/>
  <c r="M28" i="2234"/>
  <c r="L28" i="2234"/>
  <c r="K28" i="2234"/>
  <c r="J28" i="2234"/>
  <c r="I28" i="2234"/>
  <c r="H28" i="2234"/>
  <c r="G28" i="2234"/>
  <c r="F28" i="2234"/>
  <c r="E28" i="2234"/>
  <c r="D28" i="2234"/>
  <c r="Y25" i="2234"/>
  <c r="X25" i="2234"/>
  <c r="W25" i="2234"/>
  <c r="V25" i="2234"/>
  <c r="U25" i="2234"/>
  <c r="T25" i="2234"/>
  <c r="S25" i="2234"/>
  <c r="R25" i="2234"/>
  <c r="Q25" i="2234"/>
  <c r="P25" i="2234"/>
  <c r="O25" i="2234"/>
  <c r="N25" i="2234"/>
  <c r="M25" i="2234"/>
  <c r="L25" i="2234"/>
  <c r="K25" i="2234"/>
  <c r="J25" i="2234"/>
  <c r="I25" i="2234"/>
  <c r="H25" i="2234"/>
  <c r="G25" i="2234"/>
  <c r="F25" i="2234"/>
  <c r="E25" i="2234"/>
  <c r="D25" i="2234"/>
  <c r="AE19" i="2234"/>
  <c r="AD19" i="2234"/>
  <c r="AC19" i="2234"/>
  <c r="AB19" i="2234"/>
  <c r="AA19" i="2234"/>
  <c r="Z19" i="2234"/>
  <c r="Y19" i="2234"/>
  <c r="X19" i="2234"/>
  <c r="T33" i="2234" s="1"/>
  <c r="W19" i="2234"/>
  <c r="V19" i="2234"/>
  <c r="U19" i="2234"/>
  <c r="T19" i="2234"/>
  <c r="S19" i="2234"/>
  <c r="R19" i="2234"/>
  <c r="Q19" i="2234"/>
  <c r="P19" i="2234"/>
  <c r="O19" i="2234"/>
  <c r="N19" i="2234"/>
  <c r="G33" i="2234" s="1"/>
  <c r="M19" i="2234"/>
  <c r="H33" i="2234" s="1"/>
  <c r="L19" i="2234"/>
  <c r="P33" i="2234" s="1"/>
  <c r="K19" i="2234"/>
  <c r="L33" i="2234" s="1"/>
  <c r="J19" i="2234"/>
  <c r="I19" i="2234"/>
  <c r="AB33" i="2234" s="1"/>
  <c r="H19" i="2234"/>
  <c r="G19" i="2234"/>
  <c r="O33" i="2234" s="1"/>
  <c r="F19" i="2234"/>
  <c r="E19" i="2234"/>
  <c r="D19" i="2234"/>
  <c r="AE16" i="2234"/>
  <c r="AD16" i="2234"/>
  <c r="AC16" i="2234"/>
  <c r="AB16" i="2234"/>
  <c r="AA16" i="2234"/>
  <c r="Z16" i="2234"/>
  <c r="X16" i="2234"/>
  <c r="W16" i="2234"/>
  <c r="V16" i="2234"/>
  <c r="U16" i="2234"/>
  <c r="T16" i="2234"/>
  <c r="S16" i="2234"/>
  <c r="R16" i="2234"/>
  <c r="Q16" i="2234"/>
  <c r="P16" i="2234"/>
  <c r="O16" i="2234"/>
  <c r="N16" i="2234"/>
  <c r="M16" i="2234"/>
  <c r="L16" i="2234"/>
  <c r="K16" i="2234"/>
  <c r="J16" i="2234"/>
  <c r="I16" i="2234"/>
  <c r="H16" i="2234"/>
  <c r="G16" i="2234"/>
  <c r="F16" i="2234"/>
  <c r="E16" i="2234"/>
  <c r="D16" i="2234"/>
  <c r="AE10" i="2234"/>
  <c r="AD10" i="2234"/>
  <c r="AC10" i="2234"/>
  <c r="AB10" i="2234"/>
  <c r="AA10" i="2234"/>
  <c r="Z10" i="2234"/>
  <c r="Y10" i="2234"/>
  <c r="X10" i="2234"/>
  <c r="W10" i="2234"/>
  <c r="V10" i="2234"/>
  <c r="U10" i="2234"/>
  <c r="T10" i="2234"/>
  <c r="S10" i="2234"/>
  <c r="R10" i="2234"/>
  <c r="Q10" i="2234"/>
  <c r="P10" i="2234"/>
  <c r="O10" i="2234"/>
  <c r="N10" i="2234"/>
  <c r="Q33" i="2234" s="1"/>
  <c r="M10" i="2234"/>
  <c r="L10" i="2234"/>
  <c r="K10" i="2234"/>
  <c r="J10" i="2234"/>
  <c r="I10" i="2234"/>
  <c r="H10" i="2234"/>
  <c r="G10" i="2234"/>
  <c r="F10" i="2234"/>
  <c r="E10" i="2234"/>
  <c r="D10" i="2234"/>
  <c r="AE7" i="2234"/>
  <c r="AD7" i="2234"/>
  <c r="AC7" i="2234"/>
  <c r="AB7" i="2234"/>
  <c r="AA7" i="2234"/>
  <c r="Z7" i="2234"/>
  <c r="Y7" i="2234"/>
  <c r="X7" i="2234"/>
  <c r="W7" i="2234"/>
  <c r="V7" i="2234"/>
  <c r="U7" i="2234"/>
  <c r="T7" i="2234"/>
  <c r="S7" i="2234"/>
  <c r="R7" i="2234"/>
  <c r="Q7" i="2234"/>
  <c r="P7" i="2234"/>
  <c r="O7" i="2234"/>
  <c r="N7" i="2234"/>
  <c r="M7" i="2234"/>
  <c r="L7" i="2234"/>
  <c r="K7" i="2234"/>
  <c r="J7" i="2234"/>
  <c r="I7" i="2234"/>
  <c r="H7" i="2234"/>
  <c r="G7" i="2234"/>
  <c r="F7" i="2234"/>
  <c r="E7" i="2234"/>
  <c r="D7" i="2234"/>
  <c r="AA33" i="2233"/>
  <c r="X33" i="2233"/>
  <c r="U33" i="2233"/>
  <c r="R33" i="2233"/>
  <c r="F33" i="2233"/>
  <c r="Y28" i="2233"/>
  <c r="X28" i="2233"/>
  <c r="S33" i="2233" s="1"/>
  <c r="W28" i="2233"/>
  <c r="V28" i="2233"/>
  <c r="U28" i="2233"/>
  <c r="T28" i="2233"/>
  <c r="S28" i="2233"/>
  <c r="R28" i="2233"/>
  <c r="Q28" i="2233"/>
  <c r="P28" i="2233"/>
  <c r="O28" i="2233"/>
  <c r="N28" i="2233"/>
  <c r="M28" i="2233"/>
  <c r="L28" i="2233"/>
  <c r="K28" i="2233"/>
  <c r="J28" i="2233"/>
  <c r="I28" i="2233"/>
  <c r="H28" i="2233"/>
  <c r="G28" i="2233"/>
  <c r="F28" i="2233"/>
  <c r="E28" i="2233"/>
  <c r="D28" i="2233"/>
  <c r="Y25" i="2233"/>
  <c r="X25" i="2233"/>
  <c r="W25" i="2233"/>
  <c r="V25" i="2233"/>
  <c r="U25" i="2233"/>
  <c r="T25" i="2233"/>
  <c r="S25" i="2233"/>
  <c r="R25" i="2233"/>
  <c r="Q25" i="2233"/>
  <c r="P25" i="2233"/>
  <c r="O25" i="2233"/>
  <c r="N25" i="2233"/>
  <c r="M25" i="2233"/>
  <c r="L25" i="2233"/>
  <c r="K25" i="2233"/>
  <c r="J25" i="2233"/>
  <c r="I25" i="2233"/>
  <c r="H25" i="2233"/>
  <c r="G25" i="2233"/>
  <c r="F25" i="2233"/>
  <c r="E25" i="2233"/>
  <c r="D25" i="2233"/>
  <c r="AE19" i="2233"/>
  <c r="AD19" i="2233"/>
  <c r="AC19" i="2233"/>
  <c r="AB19" i="2233"/>
  <c r="AC33" i="2233" s="1"/>
  <c r="AA19" i="2233"/>
  <c r="Z19" i="2233"/>
  <c r="Y19" i="2233"/>
  <c r="X19" i="2233"/>
  <c r="T33" i="2233" s="1"/>
  <c r="W19" i="2233"/>
  <c r="V19" i="2233"/>
  <c r="U19" i="2233"/>
  <c r="T19" i="2233"/>
  <c r="S19" i="2233"/>
  <c r="R19" i="2233"/>
  <c r="Q19" i="2233"/>
  <c r="P19" i="2233"/>
  <c r="O19" i="2233"/>
  <c r="N19" i="2233"/>
  <c r="G33" i="2233" s="1"/>
  <c r="M19" i="2233"/>
  <c r="H33" i="2233" s="1"/>
  <c r="L19" i="2233"/>
  <c r="P33" i="2233" s="1"/>
  <c r="K19" i="2233"/>
  <c r="L33" i="2233" s="1"/>
  <c r="J19" i="2233"/>
  <c r="I19" i="2233"/>
  <c r="AB33" i="2233" s="1"/>
  <c r="H19" i="2233"/>
  <c r="G19" i="2233"/>
  <c r="O33" i="2233" s="1"/>
  <c r="F19" i="2233"/>
  <c r="E19" i="2233"/>
  <c r="D19" i="2233"/>
  <c r="AE16" i="2233"/>
  <c r="AD16" i="2233"/>
  <c r="AC16" i="2233"/>
  <c r="AB16" i="2233"/>
  <c r="AA16" i="2233"/>
  <c r="Z16" i="2233"/>
  <c r="X16" i="2233"/>
  <c r="W16" i="2233"/>
  <c r="V16" i="2233"/>
  <c r="U16" i="2233"/>
  <c r="T16" i="2233"/>
  <c r="S16" i="2233"/>
  <c r="R16" i="2233"/>
  <c r="Q16" i="2233"/>
  <c r="P16" i="2233"/>
  <c r="O16" i="2233"/>
  <c r="N16" i="2233"/>
  <c r="M16" i="2233"/>
  <c r="L16" i="2233"/>
  <c r="K16" i="2233"/>
  <c r="J16" i="2233"/>
  <c r="I16" i="2233"/>
  <c r="H16" i="2233"/>
  <c r="G16" i="2233"/>
  <c r="F16" i="2233"/>
  <c r="E16" i="2233"/>
  <c r="D16" i="2233"/>
  <c r="AE10" i="2233"/>
  <c r="AD10" i="2233"/>
  <c r="AC10" i="2233"/>
  <c r="AB10" i="2233"/>
  <c r="AA10" i="2233"/>
  <c r="Z10" i="2233"/>
  <c r="Y10" i="2233"/>
  <c r="X10" i="2233"/>
  <c r="W10" i="2233"/>
  <c r="V10" i="2233"/>
  <c r="U10" i="2233"/>
  <c r="T10" i="2233"/>
  <c r="S10" i="2233"/>
  <c r="R10" i="2233"/>
  <c r="Q10" i="2233"/>
  <c r="P10" i="2233"/>
  <c r="O10" i="2233"/>
  <c r="N10" i="2233"/>
  <c r="M10" i="2233"/>
  <c r="L10" i="2233"/>
  <c r="K10" i="2233"/>
  <c r="J10" i="2233"/>
  <c r="I10" i="2233"/>
  <c r="H10" i="2233"/>
  <c r="G10" i="2233"/>
  <c r="F10" i="2233"/>
  <c r="E10" i="2233"/>
  <c r="D10" i="2233"/>
  <c r="AE7" i="2233"/>
  <c r="AD7" i="2233"/>
  <c r="AC7" i="2233"/>
  <c r="AB7" i="2233"/>
  <c r="AA7" i="2233"/>
  <c r="Z7" i="2233"/>
  <c r="Y7" i="2233"/>
  <c r="X7" i="2233"/>
  <c r="W7" i="2233"/>
  <c r="V7" i="2233"/>
  <c r="U7" i="2233"/>
  <c r="T7" i="2233"/>
  <c r="S7" i="2233"/>
  <c r="R7" i="2233"/>
  <c r="Q7" i="2233"/>
  <c r="P7" i="2233"/>
  <c r="O7" i="2233"/>
  <c r="N7" i="2233"/>
  <c r="M7" i="2233"/>
  <c r="L7" i="2233"/>
  <c r="K7" i="2233"/>
  <c r="J7" i="2233"/>
  <c r="I7" i="2233"/>
  <c r="H7" i="2233"/>
  <c r="G7" i="2233"/>
  <c r="F7" i="2233"/>
  <c r="E7" i="2233"/>
  <c r="D7" i="2233"/>
  <c r="J33" i="2234" l="1"/>
  <c r="N33" i="2234"/>
  <c r="W33" i="2234"/>
  <c r="AC33" i="2234"/>
  <c r="Z33" i="2234"/>
  <c r="D33" i="2234"/>
  <c r="Y33" i="2234"/>
  <c r="K33" i="2234"/>
  <c r="M33" i="2234"/>
  <c r="V33" i="2234"/>
  <c r="J33" i="2233"/>
  <c r="W33" i="2233"/>
  <c r="K33" i="2233"/>
  <c r="N33" i="2233"/>
  <c r="Z33" i="2233"/>
  <c r="D33" i="2233"/>
  <c r="Y33" i="2233"/>
  <c r="Q33" i="2233"/>
  <c r="E33" i="2233"/>
  <c r="M33" i="2233"/>
  <c r="V33" i="2233"/>
  <c r="AA33" i="2232"/>
  <c r="X33" i="2232"/>
  <c r="U33" i="2232"/>
  <c r="R33" i="2232"/>
  <c r="F33" i="2232"/>
  <c r="Y28" i="2232"/>
  <c r="X28" i="2232"/>
  <c r="S33" i="2232" s="1"/>
  <c r="W28" i="2232"/>
  <c r="V28" i="2232"/>
  <c r="U28" i="2232"/>
  <c r="T28" i="2232"/>
  <c r="S28" i="2232"/>
  <c r="R28" i="2232"/>
  <c r="Q28" i="2232"/>
  <c r="P28" i="2232"/>
  <c r="O28" i="2232"/>
  <c r="N28" i="2232"/>
  <c r="M28" i="2232"/>
  <c r="L28" i="2232"/>
  <c r="K28" i="2232"/>
  <c r="J28" i="2232"/>
  <c r="I28" i="2232"/>
  <c r="H28" i="2232"/>
  <c r="G28" i="2232"/>
  <c r="F28" i="2232"/>
  <c r="E28" i="2232"/>
  <c r="D28" i="2232"/>
  <c r="Y25" i="2232"/>
  <c r="X25" i="2232"/>
  <c r="W25" i="2232"/>
  <c r="V25" i="2232"/>
  <c r="U25" i="2232"/>
  <c r="T25" i="2232"/>
  <c r="S25" i="2232"/>
  <c r="R25" i="2232"/>
  <c r="Q25" i="2232"/>
  <c r="P25" i="2232"/>
  <c r="O25" i="2232"/>
  <c r="N25" i="2232"/>
  <c r="M25" i="2232"/>
  <c r="L25" i="2232"/>
  <c r="K25" i="2232"/>
  <c r="J25" i="2232"/>
  <c r="I25" i="2232"/>
  <c r="H25" i="2232"/>
  <c r="G25" i="2232"/>
  <c r="F25" i="2232"/>
  <c r="E25" i="2232"/>
  <c r="D25" i="2232"/>
  <c r="AE19" i="2232"/>
  <c r="AD19" i="2232"/>
  <c r="AC19" i="2232"/>
  <c r="AB19" i="2232"/>
  <c r="AA19" i="2232"/>
  <c r="Z19" i="2232"/>
  <c r="Y19" i="2232"/>
  <c r="X19" i="2232"/>
  <c r="T33" i="2232" s="1"/>
  <c r="W19" i="2232"/>
  <c r="V19" i="2232"/>
  <c r="U19" i="2232"/>
  <c r="T19" i="2232"/>
  <c r="S19" i="2232"/>
  <c r="R19" i="2232"/>
  <c r="Q19" i="2232"/>
  <c r="P19" i="2232"/>
  <c r="O19" i="2232"/>
  <c r="N19" i="2232"/>
  <c r="G33" i="2232" s="1"/>
  <c r="M19" i="2232"/>
  <c r="H33" i="2232" s="1"/>
  <c r="L19" i="2232"/>
  <c r="P33" i="2232" s="1"/>
  <c r="K19" i="2232"/>
  <c r="L33" i="2232" s="1"/>
  <c r="J19" i="2232"/>
  <c r="I19" i="2232"/>
  <c r="AB33" i="2232" s="1"/>
  <c r="H19" i="2232"/>
  <c r="G19" i="2232"/>
  <c r="O33" i="2232" s="1"/>
  <c r="F19" i="2232"/>
  <c r="E19" i="2232"/>
  <c r="D19" i="2232"/>
  <c r="AE16" i="2232"/>
  <c r="AD16" i="2232"/>
  <c r="AC16" i="2232"/>
  <c r="AB16" i="2232"/>
  <c r="AA16" i="2232"/>
  <c r="Z16" i="2232"/>
  <c r="X16" i="2232"/>
  <c r="W16" i="2232"/>
  <c r="V16" i="2232"/>
  <c r="U16" i="2232"/>
  <c r="T16" i="2232"/>
  <c r="S16" i="2232"/>
  <c r="R16" i="2232"/>
  <c r="Q16" i="2232"/>
  <c r="P16" i="2232"/>
  <c r="O16" i="2232"/>
  <c r="N16" i="2232"/>
  <c r="M16" i="2232"/>
  <c r="L16" i="2232"/>
  <c r="K16" i="2232"/>
  <c r="J16" i="2232"/>
  <c r="I16" i="2232"/>
  <c r="H16" i="2232"/>
  <c r="G16" i="2232"/>
  <c r="F16" i="2232"/>
  <c r="E16" i="2232"/>
  <c r="D16" i="2232"/>
  <c r="AE10" i="2232"/>
  <c r="AD10" i="2232"/>
  <c r="AC10" i="2232"/>
  <c r="AB10" i="2232"/>
  <c r="AA10" i="2232"/>
  <c r="Z10" i="2232"/>
  <c r="Y10" i="2232"/>
  <c r="X10" i="2232"/>
  <c r="W10" i="2232"/>
  <c r="V10" i="2232"/>
  <c r="U10" i="2232"/>
  <c r="T10" i="2232"/>
  <c r="S10" i="2232"/>
  <c r="R10" i="2232"/>
  <c r="Q10" i="2232"/>
  <c r="P10" i="2232"/>
  <c r="O10" i="2232"/>
  <c r="N10" i="2232"/>
  <c r="M10" i="2232"/>
  <c r="E33" i="2232" s="1"/>
  <c r="L10" i="2232"/>
  <c r="K10" i="2232"/>
  <c r="J10" i="2232"/>
  <c r="Q33" i="2232" s="1"/>
  <c r="I10" i="2232"/>
  <c r="H10" i="2232"/>
  <c r="G10" i="2232"/>
  <c r="F10" i="2232"/>
  <c r="E10" i="2232"/>
  <c r="D10" i="2232"/>
  <c r="AE7" i="2232"/>
  <c r="AD7" i="2232"/>
  <c r="AC7" i="2232"/>
  <c r="AB7" i="2232"/>
  <c r="AA7" i="2232"/>
  <c r="Z7" i="2232"/>
  <c r="Y7" i="2232"/>
  <c r="X7" i="2232"/>
  <c r="W7" i="2232"/>
  <c r="V7" i="2232"/>
  <c r="U7" i="2232"/>
  <c r="T7" i="2232"/>
  <c r="S7" i="2232"/>
  <c r="R7" i="2232"/>
  <c r="Q7" i="2232"/>
  <c r="P7" i="2232"/>
  <c r="O7" i="2232"/>
  <c r="N7" i="2232"/>
  <c r="M7" i="2232"/>
  <c r="L7" i="2232"/>
  <c r="K7" i="2232"/>
  <c r="J7" i="2232"/>
  <c r="I7" i="2232"/>
  <c r="H7" i="2232"/>
  <c r="G7" i="2232"/>
  <c r="F7" i="2232"/>
  <c r="E7" i="2232"/>
  <c r="D7" i="2232"/>
  <c r="J33" i="2232" l="1"/>
  <c r="W33" i="2232"/>
  <c r="N33" i="2232"/>
  <c r="AC33" i="2232"/>
  <c r="D33" i="2232"/>
  <c r="Z33" i="2232"/>
  <c r="Y33" i="2232"/>
  <c r="K33" i="2232"/>
  <c r="M33" i="2232"/>
  <c r="V33" i="2232"/>
  <c r="AA33" i="2231"/>
  <c r="X33" i="2231"/>
  <c r="U33" i="2231"/>
  <c r="R33" i="2231"/>
  <c r="O33" i="2231"/>
  <c r="F33" i="2231"/>
  <c r="Y28" i="2231"/>
  <c r="X28" i="2231"/>
  <c r="S33" i="2231" s="1"/>
  <c r="W28" i="2231"/>
  <c r="V28" i="2231"/>
  <c r="U28" i="2231"/>
  <c r="T28" i="2231"/>
  <c r="S28" i="2231"/>
  <c r="R28" i="2231"/>
  <c r="Q28" i="2231"/>
  <c r="P28" i="2231"/>
  <c r="O28" i="2231"/>
  <c r="N28" i="2231"/>
  <c r="M28" i="2231"/>
  <c r="L28" i="2231"/>
  <c r="K28" i="2231"/>
  <c r="J28" i="2231"/>
  <c r="I28" i="2231"/>
  <c r="H28" i="2231"/>
  <c r="G28" i="2231"/>
  <c r="F28" i="2231"/>
  <c r="E28" i="2231"/>
  <c r="D28" i="2231"/>
  <c r="Y25" i="2231"/>
  <c r="X25" i="2231"/>
  <c r="W25" i="2231"/>
  <c r="V25" i="2231"/>
  <c r="U25" i="2231"/>
  <c r="T25" i="2231"/>
  <c r="S25" i="2231"/>
  <c r="R25" i="2231"/>
  <c r="Q25" i="2231"/>
  <c r="P25" i="2231"/>
  <c r="O25" i="2231"/>
  <c r="N25" i="2231"/>
  <c r="M25" i="2231"/>
  <c r="L25" i="2231"/>
  <c r="K25" i="2231"/>
  <c r="J25" i="2231"/>
  <c r="I25" i="2231"/>
  <c r="H25" i="2231"/>
  <c r="G25" i="2231"/>
  <c r="F25" i="2231"/>
  <c r="E25" i="2231"/>
  <c r="D25" i="2231"/>
  <c r="AE19" i="2231"/>
  <c r="AD19" i="2231"/>
  <c r="AC19" i="2231"/>
  <c r="AB19" i="2231"/>
  <c r="AA19" i="2231"/>
  <c r="Z19" i="2231"/>
  <c r="Y19" i="2231"/>
  <c r="X19" i="2231"/>
  <c r="T33" i="2231" s="1"/>
  <c r="W19" i="2231"/>
  <c r="V19" i="2231"/>
  <c r="U19" i="2231"/>
  <c r="T19" i="2231"/>
  <c r="S19" i="2231"/>
  <c r="R19" i="2231"/>
  <c r="Q19" i="2231"/>
  <c r="P19" i="2231"/>
  <c r="O19" i="2231"/>
  <c r="N19" i="2231"/>
  <c r="G33" i="2231" s="1"/>
  <c r="M19" i="2231"/>
  <c r="H33" i="2231" s="1"/>
  <c r="L19" i="2231"/>
  <c r="P33" i="2231" s="1"/>
  <c r="K19" i="2231"/>
  <c r="L33" i="2231" s="1"/>
  <c r="J19" i="2231"/>
  <c r="I19" i="2231"/>
  <c r="AB33" i="2231" s="1"/>
  <c r="H19" i="2231"/>
  <c r="G19" i="2231"/>
  <c r="F19" i="2231"/>
  <c r="E19" i="2231"/>
  <c r="D19" i="2231"/>
  <c r="AE16" i="2231"/>
  <c r="AD16" i="2231"/>
  <c r="AC16" i="2231"/>
  <c r="AB16" i="2231"/>
  <c r="AA16" i="2231"/>
  <c r="Z16" i="2231"/>
  <c r="X16" i="2231"/>
  <c r="W16" i="2231"/>
  <c r="V16" i="2231"/>
  <c r="U16" i="2231"/>
  <c r="T16" i="2231"/>
  <c r="S16" i="2231"/>
  <c r="R16" i="2231"/>
  <c r="Q16" i="2231"/>
  <c r="P16" i="2231"/>
  <c r="O16" i="2231"/>
  <c r="N16" i="2231"/>
  <c r="M16" i="2231"/>
  <c r="L16" i="2231"/>
  <c r="K16" i="2231"/>
  <c r="J16" i="2231"/>
  <c r="I16" i="2231"/>
  <c r="H16" i="2231"/>
  <c r="G16" i="2231"/>
  <c r="F16" i="2231"/>
  <c r="E16" i="2231"/>
  <c r="D16" i="2231"/>
  <c r="AE10" i="2231"/>
  <c r="AD10" i="2231"/>
  <c r="AC10" i="2231"/>
  <c r="AB10" i="2231"/>
  <c r="AA10" i="2231"/>
  <c r="Z10" i="2231"/>
  <c r="Y10" i="2231"/>
  <c r="X10" i="2231"/>
  <c r="W10" i="2231"/>
  <c r="V10" i="2231"/>
  <c r="U10" i="2231"/>
  <c r="T10" i="2231"/>
  <c r="S10" i="2231"/>
  <c r="R10" i="2231"/>
  <c r="Q10" i="2231"/>
  <c r="P10" i="2231"/>
  <c r="O10" i="2231"/>
  <c r="K33" i="2231" s="1"/>
  <c r="N10" i="2231"/>
  <c r="M10" i="2231"/>
  <c r="L10" i="2231"/>
  <c r="K10" i="2231"/>
  <c r="J10" i="2231"/>
  <c r="Q33" i="2231" s="1"/>
  <c r="I10" i="2231"/>
  <c r="E33" i="2231" s="1"/>
  <c r="H10" i="2231"/>
  <c r="G10" i="2231"/>
  <c r="F10" i="2231"/>
  <c r="E10" i="2231"/>
  <c r="D10" i="2231"/>
  <c r="AE7" i="2231"/>
  <c r="AD7" i="2231"/>
  <c r="AC7" i="2231"/>
  <c r="AB7" i="2231"/>
  <c r="AA7" i="2231"/>
  <c r="Z7" i="2231"/>
  <c r="Y7" i="2231"/>
  <c r="X7" i="2231"/>
  <c r="W7" i="2231"/>
  <c r="V7" i="2231"/>
  <c r="U7" i="2231"/>
  <c r="T7" i="2231"/>
  <c r="S7" i="2231"/>
  <c r="R7" i="2231"/>
  <c r="Q7" i="2231"/>
  <c r="P7" i="2231"/>
  <c r="O7" i="2231"/>
  <c r="N7" i="2231"/>
  <c r="M7" i="2231"/>
  <c r="L7" i="2231"/>
  <c r="K7" i="2231"/>
  <c r="J7" i="2231"/>
  <c r="I7" i="2231"/>
  <c r="H7" i="2231"/>
  <c r="G7" i="2231"/>
  <c r="F7" i="2231"/>
  <c r="E7" i="2231"/>
  <c r="D7" i="2231"/>
  <c r="J33" i="2231" l="1"/>
  <c r="W33" i="2231"/>
  <c r="AC33" i="2231"/>
  <c r="D33" i="2231"/>
  <c r="Z33" i="2231"/>
  <c r="Y33" i="2231"/>
  <c r="N33" i="2231"/>
  <c r="M33" i="2231"/>
  <c r="V33" i="2231"/>
  <c r="AA33" i="2230"/>
  <c r="X33" i="2230"/>
  <c r="U33" i="2230"/>
  <c r="R33" i="2230"/>
  <c r="F33" i="2230"/>
  <c r="Y28" i="2230"/>
  <c r="X28" i="2230"/>
  <c r="S33" i="2230" s="1"/>
  <c r="W28" i="2230"/>
  <c r="V28" i="2230"/>
  <c r="U28" i="2230"/>
  <c r="T28" i="2230"/>
  <c r="S28" i="2230"/>
  <c r="R28" i="2230"/>
  <c r="Q28" i="2230"/>
  <c r="P28" i="2230"/>
  <c r="O28" i="2230"/>
  <c r="N28" i="2230"/>
  <c r="M28" i="2230"/>
  <c r="L28" i="2230"/>
  <c r="K28" i="2230"/>
  <c r="J28" i="2230"/>
  <c r="I28" i="2230"/>
  <c r="H28" i="2230"/>
  <c r="G28" i="2230"/>
  <c r="F28" i="2230"/>
  <c r="E28" i="2230"/>
  <c r="D28" i="2230"/>
  <c r="Y25" i="2230"/>
  <c r="X25" i="2230"/>
  <c r="W25" i="2230"/>
  <c r="V25" i="2230"/>
  <c r="U25" i="2230"/>
  <c r="T25" i="2230"/>
  <c r="S25" i="2230"/>
  <c r="R25" i="2230"/>
  <c r="Q25" i="2230"/>
  <c r="P25" i="2230"/>
  <c r="O25" i="2230"/>
  <c r="N25" i="2230"/>
  <c r="M25" i="2230"/>
  <c r="L25" i="2230"/>
  <c r="K25" i="2230"/>
  <c r="J25" i="2230"/>
  <c r="I25" i="2230"/>
  <c r="H25" i="2230"/>
  <c r="G25" i="2230"/>
  <c r="F25" i="2230"/>
  <c r="E25" i="2230"/>
  <c r="D25" i="2230"/>
  <c r="AE19" i="2230"/>
  <c r="AD19" i="2230"/>
  <c r="AC19" i="2230"/>
  <c r="AB19" i="2230"/>
  <c r="AA19" i="2230"/>
  <c r="Z19" i="2230"/>
  <c r="Y19" i="2230"/>
  <c r="X19" i="2230"/>
  <c r="T33" i="2230" s="1"/>
  <c r="W19" i="2230"/>
  <c r="V19" i="2230"/>
  <c r="U19" i="2230"/>
  <c r="T19" i="2230"/>
  <c r="S19" i="2230"/>
  <c r="R19" i="2230"/>
  <c r="Q19" i="2230"/>
  <c r="P19" i="2230"/>
  <c r="O19" i="2230"/>
  <c r="N19" i="2230"/>
  <c r="G33" i="2230" s="1"/>
  <c r="M19" i="2230"/>
  <c r="H33" i="2230" s="1"/>
  <c r="L19" i="2230"/>
  <c r="P33" i="2230" s="1"/>
  <c r="K19" i="2230"/>
  <c r="L33" i="2230" s="1"/>
  <c r="J19" i="2230"/>
  <c r="I19" i="2230"/>
  <c r="AB33" i="2230" s="1"/>
  <c r="H19" i="2230"/>
  <c r="G19" i="2230"/>
  <c r="O33" i="2230" s="1"/>
  <c r="F19" i="2230"/>
  <c r="E19" i="2230"/>
  <c r="D19" i="2230"/>
  <c r="AE16" i="2230"/>
  <c r="AD16" i="2230"/>
  <c r="AC16" i="2230"/>
  <c r="AB16" i="2230"/>
  <c r="AA16" i="2230"/>
  <c r="Z16" i="2230"/>
  <c r="X16" i="2230"/>
  <c r="W16" i="2230"/>
  <c r="V16" i="2230"/>
  <c r="U16" i="2230"/>
  <c r="T16" i="2230"/>
  <c r="S16" i="2230"/>
  <c r="R16" i="2230"/>
  <c r="Q16" i="2230"/>
  <c r="P16" i="2230"/>
  <c r="O16" i="2230"/>
  <c r="N16" i="2230"/>
  <c r="M16" i="2230"/>
  <c r="L16" i="2230"/>
  <c r="K16" i="2230"/>
  <c r="J16" i="2230"/>
  <c r="I16" i="2230"/>
  <c r="H16" i="2230"/>
  <c r="G16" i="2230"/>
  <c r="F16" i="2230"/>
  <c r="E16" i="2230"/>
  <c r="D16" i="2230"/>
  <c r="AE10" i="2230"/>
  <c r="AD10" i="2230"/>
  <c r="AC33" i="2230" s="1"/>
  <c r="AC10" i="2230"/>
  <c r="AB10" i="2230"/>
  <c r="AA10" i="2230"/>
  <c r="Z10" i="2230"/>
  <c r="Y10" i="2230"/>
  <c r="X10" i="2230"/>
  <c r="W10" i="2230"/>
  <c r="V10" i="2230"/>
  <c r="U10" i="2230"/>
  <c r="T10" i="2230"/>
  <c r="S10" i="2230"/>
  <c r="R10" i="2230"/>
  <c r="Q10" i="2230"/>
  <c r="P10" i="2230"/>
  <c r="O10" i="2230"/>
  <c r="N10" i="2230"/>
  <c r="M10" i="2230"/>
  <c r="L10" i="2230"/>
  <c r="K10" i="2230"/>
  <c r="J10" i="2230"/>
  <c r="Q33" i="2230" s="1"/>
  <c r="I10" i="2230"/>
  <c r="E33" i="2230" s="1"/>
  <c r="H10" i="2230"/>
  <c r="G10" i="2230"/>
  <c r="F10" i="2230"/>
  <c r="E10" i="2230"/>
  <c r="D10" i="2230"/>
  <c r="AE7" i="2230"/>
  <c r="AD7" i="2230"/>
  <c r="AC7" i="2230"/>
  <c r="AB7" i="2230"/>
  <c r="AA7" i="2230"/>
  <c r="Z7" i="2230"/>
  <c r="Y7" i="2230"/>
  <c r="X7" i="2230"/>
  <c r="W7" i="2230"/>
  <c r="V7" i="2230"/>
  <c r="U7" i="2230"/>
  <c r="T7" i="2230"/>
  <c r="S7" i="2230"/>
  <c r="R7" i="2230"/>
  <c r="Q7" i="2230"/>
  <c r="P7" i="2230"/>
  <c r="O7" i="2230"/>
  <c r="N7" i="2230"/>
  <c r="M7" i="2230"/>
  <c r="L7" i="2230"/>
  <c r="K7" i="2230"/>
  <c r="J7" i="2230"/>
  <c r="I7" i="2230"/>
  <c r="H7" i="2230"/>
  <c r="G7" i="2230"/>
  <c r="F7" i="2230"/>
  <c r="E7" i="2230"/>
  <c r="D7" i="2230"/>
  <c r="J33" i="2230" l="1"/>
  <c r="W33" i="2230"/>
  <c r="K33" i="2230"/>
  <c r="D33" i="2230"/>
  <c r="Z33" i="2230"/>
  <c r="Y33" i="2230"/>
  <c r="N33" i="2230"/>
  <c r="M33" i="2230"/>
  <c r="V33" i="2230"/>
  <c r="AA33" i="2229" l="1"/>
  <c r="X33" i="2229"/>
  <c r="U33" i="2229"/>
  <c r="R33" i="2229"/>
  <c r="O33" i="2229"/>
  <c r="F33" i="2229"/>
  <c r="Y28" i="2229"/>
  <c r="X28" i="2229"/>
  <c r="S33" i="2229" s="1"/>
  <c r="W28" i="2229"/>
  <c r="V28" i="2229"/>
  <c r="U28" i="2229"/>
  <c r="T28" i="2229"/>
  <c r="S28" i="2229"/>
  <c r="R28" i="2229"/>
  <c r="Q28" i="2229"/>
  <c r="P28" i="2229"/>
  <c r="O28" i="2229"/>
  <c r="N28" i="2229"/>
  <c r="M28" i="2229"/>
  <c r="L28" i="2229"/>
  <c r="K28" i="2229"/>
  <c r="J28" i="2229"/>
  <c r="I28" i="2229"/>
  <c r="H28" i="2229"/>
  <c r="G28" i="2229"/>
  <c r="F28" i="2229"/>
  <c r="E28" i="2229"/>
  <c r="D28" i="2229"/>
  <c r="Y25" i="2229"/>
  <c r="X25" i="2229"/>
  <c r="W25" i="2229"/>
  <c r="V25" i="2229"/>
  <c r="U25" i="2229"/>
  <c r="T25" i="2229"/>
  <c r="S25" i="2229"/>
  <c r="R25" i="2229"/>
  <c r="Q25" i="2229"/>
  <c r="P25" i="2229"/>
  <c r="O25" i="2229"/>
  <c r="N25" i="2229"/>
  <c r="M25" i="2229"/>
  <c r="L25" i="2229"/>
  <c r="K25" i="2229"/>
  <c r="J25" i="2229"/>
  <c r="I25" i="2229"/>
  <c r="H25" i="2229"/>
  <c r="G25" i="2229"/>
  <c r="F25" i="2229"/>
  <c r="E25" i="2229"/>
  <c r="D25" i="2229"/>
  <c r="AE19" i="2229"/>
  <c r="AD19" i="2229"/>
  <c r="AC19" i="2229"/>
  <c r="AB19" i="2229"/>
  <c r="AA19" i="2229"/>
  <c r="Z19" i="2229"/>
  <c r="Y19" i="2229"/>
  <c r="X19" i="2229"/>
  <c r="T33" i="2229" s="1"/>
  <c r="W19" i="2229"/>
  <c r="V19" i="2229"/>
  <c r="U19" i="2229"/>
  <c r="T19" i="2229"/>
  <c r="S19" i="2229"/>
  <c r="R19" i="2229"/>
  <c r="Q19" i="2229"/>
  <c r="P19" i="2229"/>
  <c r="O19" i="2229"/>
  <c r="N19" i="2229"/>
  <c r="G33" i="2229" s="1"/>
  <c r="M19" i="2229"/>
  <c r="H33" i="2229" s="1"/>
  <c r="L19" i="2229"/>
  <c r="P33" i="2229" s="1"/>
  <c r="K19" i="2229"/>
  <c r="L33" i="2229" s="1"/>
  <c r="J19" i="2229"/>
  <c r="I19" i="2229"/>
  <c r="AB33" i="2229" s="1"/>
  <c r="H19" i="2229"/>
  <c r="G19" i="2229"/>
  <c r="F19" i="2229"/>
  <c r="E19" i="2229"/>
  <c r="D19" i="2229"/>
  <c r="AE16" i="2229"/>
  <c r="AD16" i="2229"/>
  <c r="AC16" i="2229"/>
  <c r="AB16" i="2229"/>
  <c r="AA16" i="2229"/>
  <c r="Z16" i="2229"/>
  <c r="X16" i="2229"/>
  <c r="W16" i="2229"/>
  <c r="V16" i="2229"/>
  <c r="U16" i="2229"/>
  <c r="T16" i="2229"/>
  <c r="S16" i="2229"/>
  <c r="R16" i="2229"/>
  <c r="Q16" i="2229"/>
  <c r="P16" i="2229"/>
  <c r="O16" i="2229"/>
  <c r="N16" i="2229"/>
  <c r="M16" i="2229"/>
  <c r="L16" i="2229"/>
  <c r="K16" i="2229"/>
  <c r="J16" i="2229"/>
  <c r="I16" i="2229"/>
  <c r="H16" i="2229"/>
  <c r="G16" i="2229"/>
  <c r="F16" i="2229"/>
  <c r="E16" i="2229"/>
  <c r="D16" i="2229"/>
  <c r="AE10" i="2229"/>
  <c r="AD10" i="2229"/>
  <c r="AC10" i="2229"/>
  <c r="AB10" i="2229"/>
  <c r="AA10" i="2229"/>
  <c r="Z10" i="2229"/>
  <c r="Y10" i="2229"/>
  <c r="X10" i="2229"/>
  <c r="W10" i="2229"/>
  <c r="V10" i="2229"/>
  <c r="U10" i="2229"/>
  <c r="T10" i="2229"/>
  <c r="S10" i="2229"/>
  <c r="R10" i="2229"/>
  <c r="Q10" i="2229"/>
  <c r="P10" i="2229"/>
  <c r="O10" i="2229"/>
  <c r="N10" i="2229"/>
  <c r="M10" i="2229"/>
  <c r="E33" i="2229" s="1"/>
  <c r="L10" i="2229"/>
  <c r="K10" i="2229"/>
  <c r="J10" i="2229"/>
  <c r="I10" i="2229"/>
  <c r="H10" i="2229"/>
  <c r="G10" i="2229"/>
  <c r="F10" i="2229"/>
  <c r="J33" i="2229" s="1"/>
  <c r="E10" i="2229"/>
  <c r="D10" i="2229"/>
  <c r="AE7" i="2229"/>
  <c r="AD7" i="2229"/>
  <c r="AC7" i="2229"/>
  <c r="AB7" i="2229"/>
  <c r="AA7" i="2229"/>
  <c r="Z7" i="2229"/>
  <c r="Y7" i="2229"/>
  <c r="X7" i="2229"/>
  <c r="W7" i="2229"/>
  <c r="V7" i="2229"/>
  <c r="U7" i="2229"/>
  <c r="T7" i="2229"/>
  <c r="S7" i="2229"/>
  <c r="R7" i="2229"/>
  <c r="Q7" i="2229"/>
  <c r="P7" i="2229"/>
  <c r="O7" i="2229"/>
  <c r="N7" i="2229"/>
  <c r="M7" i="2229"/>
  <c r="L7" i="2229"/>
  <c r="K7" i="2229"/>
  <c r="J7" i="2229"/>
  <c r="I7" i="2229"/>
  <c r="H7" i="2229"/>
  <c r="G7" i="2229"/>
  <c r="F7" i="2229"/>
  <c r="E7" i="2229"/>
  <c r="D7" i="2229"/>
  <c r="AA33" i="2228"/>
  <c r="X33" i="2228"/>
  <c r="U33" i="2228"/>
  <c r="R33" i="2228"/>
  <c r="O33" i="2228"/>
  <c r="F33" i="2228"/>
  <c r="Y28" i="2228"/>
  <c r="X28" i="2228"/>
  <c r="S33" i="2228" s="1"/>
  <c r="W28" i="2228"/>
  <c r="V28" i="2228"/>
  <c r="U28" i="2228"/>
  <c r="T28" i="2228"/>
  <c r="S28" i="2228"/>
  <c r="R28" i="2228"/>
  <c r="Q28" i="2228"/>
  <c r="P28" i="2228"/>
  <c r="O28" i="2228"/>
  <c r="N28" i="2228"/>
  <c r="M28" i="2228"/>
  <c r="L28" i="2228"/>
  <c r="K28" i="2228"/>
  <c r="J28" i="2228"/>
  <c r="I28" i="2228"/>
  <c r="H28" i="2228"/>
  <c r="G28" i="2228"/>
  <c r="F28" i="2228"/>
  <c r="E28" i="2228"/>
  <c r="D28" i="2228"/>
  <c r="Y25" i="2228"/>
  <c r="X25" i="2228"/>
  <c r="W25" i="2228"/>
  <c r="V25" i="2228"/>
  <c r="U25" i="2228"/>
  <c r="T25" i="2228"/>
  <c r="S25" i="2228"/>
  <c r="R25" i="2228"/>
  <c r="Q25" i="2228"/>
  <c r="P25" i="2228"/>
  <c r="O25" i="2228"/>
  <c r="N25" i="2228"/>
  <c r="M25" i="2228"/>
  <c r="L25" i="2228"/>
  <c r="K25" i="2228"/>
  <c r="J25" i="2228"/>
  <c r="I25" i="2228"/>
  <c r="H25" i="2228"/>
  <c r="G25" i="2228"/>
  <c r="F25" i="2228"/>
  <c r="E25" i="2228"/>
  <c r="D25" i="2228"/>
  <c r="AE19" i="2228"/>
  <c r="AD19" i="2228"/>
  <c r="AC19" i="2228"/>
  <c r="AB19" i="2228"/>
  <c r="AA19" i="2228"/>
  <c r="Z19" i="2228"/>
  <c r="Y19" i="2228"/>
  <c r="X19" i="2228"/>
  <c r="T33" i="2228" s="1"/>
  <c r="W19" i="2228"/>
  <c r="V19" i="2228"/>
  <c r="U19" i="2228"/>
  <c r="T19" i="2228"/>
  <c r="S19" i="2228"/>
  <c r="R19" i="2228"/>
  <c r="Q19" i="2228"/>
  <c r="P19" i="2228"/>
  <c r="O19" i="2228"/>
  <c r="N19" i="2228"/>
  <c r="G33" i="2228" s="1"/>
  <c r="M19" i="2228"/>
  <c r="H33" i="2228" s="1"/>
  <c r="L19" i="2228"/>
  <c r="P33" i="2228" s="1"/>
  <c r="K19" i="2228"/>
  <c r="L33" i="2228" s="1"/>
  <c r="J19" i="2228"/>
  <c r="I19" i="2228"/>
  <c r="AB33" i="2228" s="1"/>
  <c r="H19" i="2228"/>
  <c r="G19" i="2228"/>
  <c r="F19" i="2228"/>
  <c r="E19" i="2228"/>
  <c r="D19" i="2228"/>
  <c r="AE16" i="2228"/>
  <c r="AD16" i="2228"/>
  <c r="AC16" i="2228"/>
  <c r="AB16" i="2228"/>
  <c r="AA16" i="2228"/>
  <c r="Z16" i="2228"/>
  <c r="X16" i="2228"/>
  <c r="W16" i="2228"/>
  <c r="V16" i="2228"/>
  <c r="U16" i="2228"/>
  <c r="T16" i="2228"/>
  <c r="S16" i="2228"/>
  <c r="R16" i="2228"/>
  <c r="Q16" i="2228"/>
  <c r="P16" i="2228"/>
  <c r="O16" i="2228"/>
  <c r="N16" i="2228"/>
  <c r="M16" i="2228"/>
  <c r="L16" i="2228"/>
  <c r="K16" i="2228"/>
  <c r="J16" i="2228"/>
  <c r="I16" i="2228"/>
  <c r="H16" i="2228"/>
  <c r="G16" i="2228"/>
  <c r="F16" i="2228"/>
  <c r="E16" i="2228"/>
  <c r="D16" i="2228"/>
  <c r="AE10" i="2228"/>
  <c r="AD10" i="2228"/>
  <c r="AC10" i="2228"/>
  <c r="AB10" i="2228"/>
  <c r="AA10" i="2228"/>
  <c r="Z10" i="2228"/>
  <c r="Y10" i="2228"/>
  <c r="X10" i="2228"/>
  <c r="W10" i="2228"/>
  <c r="V10" i="2228"/>
  <c r="U10" i="2228"/>
  <c r="T10" i="2228"/>
  <c r="S10" i="2228"/>
  <c r="R10" i="2228"/>
  <c r="Q10" i="2228"/>
  <c r="P10" i="2228"/>
  <c r="O10" i="2228"/>
  <c r="N10" i="2228"/>
  <c r="M10" i="2228"/>
  <c r="E33" i="2228" s="1"/>
  <c r="L10" i="2228"/>
  <c r="K10" i="2228"/>
  <c r="J10" i="2228"/>
  <c r="I10" i="2228"/>
  <c r="H10" i="2228"/>
  <c r="G10" i="2228"/>
  <c r="F10" i="2228"/>
  <c r="J33" i="2228" s="1"/>
  <c r="E10" i="2228"/>
  <c r="D10" i="2228"/>
  <c r="AE7" i="2228"/>
  <c r="AD7" i="2228"/>
  <c r="AC7" i="2228"/>
  <c r="AB7" i="2228"/>
  <c r="AA7" i="2228"/>
  <c r="Z7" i="2228"/>
  <c r="Y7" i="2228"/>
  <c r="X7" i="2228"/>
  <c r="W7" i="2228"/>
  <c r="V7" i="2228"/>
  <c r="U7" i="2228"/>
  <c r="T7" i="2228"/>
  <c r="S7" i="2228"/>
  <c r="R7" i="2228"/>
  <c r="Q7" i="2228"/>
  <c r="P7" i="2228"/>
  <c r="O7" i="2228"/>
  <c r="N7" i="2228"/>
  <c r="M7" i="2228"/>
  <c r="L7" i="2228"/>
  <c r="K7" i="2228"/>
  <c r="J7" i="2228"/>
  <c r="I7" i="2228"/>
  <c r="H7" i="2228"/>
  <c r="G7" i="2228"/>
  <c r="F7" i="2228"/>
  <c r="E7" i="2228"/>
  <c r="D7" i="2228"/>
  <c r="W33" i="2229" l="1"/>
  <c r="N33" i="2229"/>
  <c r="AC33" i="2229"/>
  <c r="D33" i="2229"/>
  <c r="Z33" i="2229"/>
  <c r="Y33" i="2229"/>
  <c r="Q33" i="2229"/>
  <c r="K33" i="2229"/>
  <c r="M33" i="2229"/>
  <c r="V33" i="2229"/>
  <c r="W33" i="2228"/>
  <c r="N33" i="2228"/>
  <c r="AC33" i="2228"/>
  <c r="D33" i="2228"/>
  <c r="Z33" i="2228"/>
  <c r="Y33" i="2228"/>
  <c r="Q33" i="2228"/>
  <c r="K33" i="2228"/>
  <c r="M33" i="2228"/>
  <c r="V33" i="2228"/>
  <c r="AA33" i="2227" l="1"/>
  <c r="X33" i="2227"/>
  <c r="U33" i="2227"/>
  <c r="R33" i="2227"/>
  <c r="F33" i="2227"/>
  <c r="E33" i="2227"/>
  <c r="Y28" i="2227"/>
  <c r="X28" i="2227"/>
  <c r="S33" i="2227" s="1"/>
  <c r="W28" i="2227"/>
  <c r="V28" i="2227"/>
  <c r="U28" i="2227"/>
  <c r="T28" i="2227"/>
  <c r="S28" i="2227"/>
  <c r="R28" i="2227"/>
  <c r="Q28" i="2227"/>
  <c r="P28" i="2227"/>
  <c r="O28" i="2227"/>
  <c r="N28" i="2227"/>
  <c r="M28" i="2227"/>
  <c r="L28" i="2227"/>
  <c r="K28" i="2227"/>
  <c r="J28" i="2227"/>
  <c r="I28" i="2227"/>
  <c r="H28" i="2227"/>
  <c r="G28" i="2227"/>
  <c r="F28" i="2227"/>
  <c r="E28" i="2227"/>
  <c r="D28" i="2227"/>
  <c r="Y25" i="2227"/>
  <c r="X25" i="2227"/>
  <c r="W25" i="2227"/>
  <c r="V25" i="2227"/>
  <c r="U25" i="2227"/>
  <c r="T25" i="2227"/>
  <c r="S25" i="2227"/>
  <c r="R25" i="2227"/>
  <c r="Q25" i="2227"/>
  <c r="P25" i="2227"/>
  <c r="O25" i="2227"/>
  <c r="N25" i="2227"/>
  <c r="M25" i="2227"/>
  <c r="L25" i="2227"/>
  <c r="K25" i="2227"/>
  <c r="J25" i="2227"/>
  <c r="I25" i="2227"/>
  <c r="H25" i="2227"/>
  <c r="G25" i="2227"/>
  <c r="F25" i="2227"/>
  <c r="E25" i="2227"/>
  <c r="D25" i="2227"/>
  <c r="AE19" i="2227"/>
  <c r="AD19" i="2227"/>
  <c r="AC19" i="2227"/>
  <c r="AB19" i="2227"/>
  <c r="AA19" i="2227"/>
  <c r="Z19" i="2227"/>
  <c r="Y19" i="2227"/>
  <c r="X19" i="2227"/>
  <c r="T33" i="2227" s="1"/>
  <c r="W19" i="2227"/>
  <c r="V19" i="2227"/>
  <c r="U19" i="2227"/>
  <c r="T19" i="2227"/>
  <c r="S19" i="2227"/>
  <c r="R19" i="2227"/>
  <c r="Q19" i="2227"/>
  <c r="P19" i="2227"/>
  <c r="O19" i="2227"/>
  <c r="N19" i="2227"/>
  <c r="G33" i="2227" s="1"/>
  <c r="M19" i="2227"/>
  <c r="H33" i="2227" s="1"/>
  <c r="L19" i="2227"/>
  <c r="P33" i="2227" s="1"/>
  <c r="K19" i="2227"/>
  <c r="L33" i="2227" s="1"/>
  <c r="J19" i="2227"/>
  <c r="I19" i="2227"/>
  <c r="AB33" i="2227" s="1"/>
  <c r="H19" i="2227"/>
  <c r="G19" i="2227"/>
  <c r="O33" i="2227" s="1"/>
  <c r="F19" i="2227"/>
  <c r="E19" i="2227"/>
  <c r="D19" i="2227"/>
  <c r="AE16" i="2227"/>
  <c r="AD16" i="2227"/>
  <c r="AC16" i="2227"/>
  <c r="AB16" i="2227"/>
  <c r="AA16" i="2227"/>
  <c r="Z16" i="2227"/>
  <c r="X16" i="2227"/>
  <c r="W16" i="2227"/>
  <c r="V16" i="2227"/>
  <c r="U16" i="2227"/>
  <c r="T16" i="2227"/>
  <c r="S16" i="2227"/>
  <c r="R16" i="2227"/>
  <c r="Q16" i="2227"/>
  <c r="P16" i="2227"/>
  <c r="O16" i="2227"/>
  <c r="N16" i="2227"/>
  <c r="M16" i="2227"/>
  <c r="L16" i="2227"/>
  <c r="K16" i="2227"/>
  <c r="J16" i="2227"/>
  <c r="I16" i="2227"/>
  <c r="H16" i="2227"/>
  <c r="G16" i="2227"/>
  <c r="F16" i="2227"/>
  <c r="E16" i="2227"/>
  <c r="D16" i="2227"/>
  <c r="AE10" i="2227"/>
  <c r="AD10" i="2227"/>
  <c r="AC10" i="2227"/>
  <c r="AB10" i="2227"/>
  <c r="AA10" i="2227"/>
  <c r="Z10" i="2227"/>
  <c r="Y10" i="2227"/>
  <c r="X10" i="2227"/>
  <c r="W10" i="2227"/>
  <c r="V10" i="2227"/>
  <c r="U10" i="2227"/>
  <c r="T10" i="2227"/>
  <c r="S10" i="2227"/>
  <c r="R10" i="2227"/>
  <c r="Q10" i="2227"/>
  <c r="P10" i="2227"/>
  <c r="O10" i="2227"/>
  <c r="N10" i="2227"/>
  <c r="Q33" i="2227" s="1"/>
  <c r="M10" i="2227"/>
  <c r="L10" i="2227"/>
  <c r="K10" i="2227"/>
  <c r="J10" i="2227"/>
  <c r="I10" i="2227"/>
  <c r="H10" i="2227"/>
  <c r="G10" i="2227"/>
  <c r="F10" i="2227"/>
  <c r="J33" i="2227" s="1"/>
  <c r="E10" i="2227"/>
  <c r="D10" i="2227"/>
  <c r="AE7" i="2227"/>
  <c r="AD7" i="2227"/>
  <c r="AC7" i="2227"/>
  <c r="AB7" i="2227"/>
  <c r="AA7" i="2227"/>
  <c r="Z7" i="2227"/>
  <c r="Y7" i="2227"/>
  <c r="X7" i="2227"/>
  <c r="W7" i="2227"/>
  <c r="V7" i="2227"/>
  <c r="U7" i="2227"/>
  <c r="T7" i="2227"/>
  <c r="S7" i="2227"/>
  <c r="R7" i="2227"/>
  <c r="Q7" i="2227"/>
  <c r="P7" i="2227"/>
  <c r="O7" i="2227"/>
  <c r="N7" i="2227"/>
  <c r="M7" i="2227"/>
  <c r="L7" i="2227"/>
  <c r="K7" i="2227"/>
  <c r="J7" i="2227"/>
  <c r="I7" i="2227"/>
  <c r="H7" i="2227"/>
  <c r="G7" i="2227"/>
  <c r="F7" i="2227"/>
  <c r="E7" i="2227"/>
  <c r="D7" i="2227"/>
  <c r="W33" i="2227" l="1"/>
  <c r="N33" i="2227"/>
  <c r="AC33" i="2227"/>
  <c r="Z33" i="2227"/>
  <c r="D33" i="2227"/>
  <c r="Y33" i="2227"/>
  <c r="K33" i="2227"/>
  <c r="M33" i="2227"/>
  <c r="V33" i="2227"/>
  <c r="AA33" i="2226"/>
  <c r="X33" i="2226"/>
  <c r="U33" i="2226"/>
  <c r="R33" i="2226"/>
  <c r="O33" i="2226"/>
  <c r="F33" i="2226"/>
  <c r="Y28" i="2226"/>
  <c r="X28" i="2226"/>
  <c r="S33" i="2226" s="1"/>
  <c r="W28" i="2226"/>
  <c r="V28" i="2226"/>
  <c r="U28" i="2226"/>
  <c r="T28" i="2226"/>
  <c r="S28" i="2226"/>
  <c r="R28" i="2226"/>
  <c r="Q28" i="2226"/>
  <c r="P28" i="2226"/>
  <c r="O28" i="2226"/>
  <c r="N28" i="2226"/>
  <c r="M28" i="2226"/>
  <c r="L28" i="2226"/>
  <c r="K28" i="2226"/>
  <c r="J28" i="2226"/>
  <c r="I28" i="2226"/>
  <c r="H28" i="2226"/>
  <c r="G28" i="2226"/>
  <c r="F28" i="2226"/>
  <c r="E28" i="2226"/>
  <c r="D28" i="2226"/>
  <c r="Y25" i="2226"/>
  <c r="X25" i="2226"/>
  <c r="W25" i="2226"/>
  <c r="V25" i="2226"/>
  <c r="U25" i="2226"/>
  <c r="T25" i="2226"/>
  <c r="S25" i="2226"/>
  <c r="R25" i="2226"/>
  <c r="Q25" i="2226"/>
  <c r="P25" i="2226"/>
  <c r="O25" i="2226"/>
  <c r="N25" i="2226"/>
  <c r="M25" i="2226"/>
  <c r="L25" i="2226"/>
  <c r="K25" i="2226"/>
  <c r="J25" i="2226"/>
  <c r="I25" i="2226"/>
  <c r="H25" i="2226"/>
  <c r="G25" i="2226"/>
  <c r="F25" i="2226"/>
  <c r="E25" i="2226"/>
  <c r="D25" i="2226"/>
  <c r="AE19" i="2226"/>
  <c r="AD19" i="2226"/>
  <c r="AC19" i="2226"/>
  <c r="AB19" i="2226"/>
  <c r="AA19" i="2226"/>
  <c r="Z19" i="2226"/>
  <c r="Y19" i="2226"/>
  <c r="X19" i="2226"/>
  <c r="T33" i="2226" s="1"/>
  <c r="W19" i="2226"/>
  <c r="V19" i="2226"/>
  <c r="U19" i="2226"/>
  <c r="T19" i="2226"/>
  <c r="S19" i="2226"/>
  <c r="R19" i="2226"/>
  <c r="Q19" i="2226"/>
  <c r="P19" i="2226"/>
  <c r="O19" i="2226"/>
  <c r="N19" i="2226"/>
  <c r="G33" i="2226" s="1"/>
  <c r="M19" i="2226"/>
  <c r="H33" i="2226" s="1"/>
  <c r="L19" i="2226"/>
  <c r="P33" i="2226" s="1"/>
  <c r="K19" i="2226"/>
  <c r="L33" i="2226" s="1"/>
  <c r="J19" i="2226"/>
  <c r="I19" i="2226"/>
  <c r="AB33" i="2226" s="1"/>
  <c r="H19" i="2226"/>
  <c r="G19" i="2226"/>
  <c r="F19" i="2226"/>
  <c r="E19" i="2226"/>
  <c r="D19" i="2226"/>
  <c r="AE16" i="2226"/>
  <c r="AD16" i="2226"/>
  <c r="AC16" i="2226"/>
  <c r="AB16" i="2226"/>
  <c r="AA16" i="2226"/>
  <c r="Z16" i="2226"/>
  <c r="X16" i="2226"/>
  <c r="W16" i="2226"/>
  <c r="V16" i="2226"/>
  <c r="U16" i="2226"/>
  <c r="T16" i="2226"/>
  <c r="S16" i="2226"/>
  <c r="R16" i="2226"/>
  <c r="Q16" i="2226"/>
  <c r="P16" i="2226"/>
  <c r="O16" i="2226"/>
  <c r="N16" i="2226"/>
  <c r="M16" i="2226"/>
  <c r="L16" i="2226"/>
  <c r="K16" i="2226"/>
  <c r="J16" i="2226"/>
  <c r="I16" i="2226"/>
  <c r="H16" i="2226"/>
  <c r="G16" i="2226"/>
  <c r="F16" i="2226"/>
  <c r="E16" i="2226"/>
  <c r="D16" i="2226"/>
  <c r="AE10" i="2226"/>
  <c r="AD10" i="2226"/>
  <c r="AC10" i="2226"/>
  <c r="AB10" i="2226"/>
  <c r="AA10" i="2226"/>
  <c r="Z10" i="2226"/>
  <c r="Y10" i="2226"/>
  <c r="X10" i="2226"/>
  <c r="W10" i="2226"/>
  <c r="V10" i="2226"/>
  <c r="U10" i="2226"/>
  <c r="T10" i="2226"/>
  <c r="S10" i="2226"/>
  <c r="R10" i="2226"/>
  <c r="Q10" i="2226"/>
  <c r="P10" i="2226"/>
  <c r="O10" i="2226"/>
  <c r="N10" i="2226"/>
  <c r="M10" i="2226"/>
  <c r="E33" i="2226" s="1"/>
  <c r="L10" i="2226"/>
  <c r="K10" i="2226"/>
  <c r="J10" i="2226"/>
  <c r="Q33" i="2226" s="1"/>
  <c r="I10" i="2226"/>
  <c r="H10" i="2226"/>
  <c r="G10" i="2226"/>
  <c r="F10" i="2226"/>
  <c r="J33" i="2226" s="1"/>
  <c r="E10" i="2226"/>
  <c r="D10" i="2226"/>
  <c r="AE7" i="2226"/>
  <c r="AD7" i="2226"/>
  <c r="AC7" i="2226"/>
  <c r="AB7" i="2226"/>
  <c r="AA7" i="2226"/>
  <c r="Z7" i="2226"/>
  <c r="Y7" i="2226"/>
  <c r="X7" i="2226"/>
  <c r="W7" i="2226"/>
  <c r="V7" i="2226"/>
  <c r="U7" i="2226"/>
  <c r="T7" i="2226"/>
  <c r="S7" i="2226"/>
  <c r="R7" i="2226"/>
  <c r="Q7" i="2226"/>
  <c r="P7" i="2226"/>
  <c r="O7" i="2226"/>
  <c r="N7" i="2226"/>
  <c r="M7" i="2226"/>
  <c r="L7" i="2226"/>
  <c r="K7" i="2226"/>
  <c r="J7" i="2226"/>
  <c r="I7" i="2226"/>
  <c r="H7" i="2226"/>
  <c r="G7" i="2226"/>
  <c r="F7" i="2226"/>
  <c r="E7" i="2226"/>
  <c r="D7" i="2226"/>
  <c r="W33" i="2226" l="1"/>
  <c r="N33" i="2226"/>
  <c r="AC33" i="2226"/>
  <c r="D33" i="2226"/>
  <c r="Z33" i="2226"/>
  <c r="Y33" i="2226"/>
  <c r="K33" i="2226"/>
  <c r="M33" i="2226"/>
  <c r="V33" i="2226"/>
  <c r="AA33" i="2225"/>
  <c r="Z33" i="2225"/>
  <c r="X33" i="2225"/>
  <c r="U33" i="2225"/>
  <c r="R33" i="2225"/>
  <c r="H33" i="2225"/>
  <c r="F33" i="2225"/>
  <c r="Y28" i="2225"/>
  <c r="X28" i="2225"/>
  <c r="S33" i="2225" s="1"/>
  <c r="W28" i="2225"/>
  <c r="V28" i="2225"/>
  <c r="U28" i="2225"/>
  <c r="T28" i="2225"/>
  <c r="S28" i="2225"/>
  <c r="R28" i="2225"/>
  <c r="Q28" i="2225"/>
  <c r="P28" i="2225"/>
  <c r="O28" i="2225"/>
  <c r="J33" i="2225" s="1"/>
  <c r="N28" i="2225"/>
  <c r="M28" i="2225"/>
  <c r="L28" i="2225"/>
  <c r="K28" i="2225"/>
  <c r="J28" i="2225"/>
  <c r="I28" i="2225"/>
  <c r="H28" i="2225"/>
  <c r="G28" i="2225"/>
  <c r="F28" i="2225"/>
  <c r="E28" i="2225"/>
  <c r="D28" i="2225"/>
  <c r="W33" i="2225" s="1"/>
  <c r="Y25" i="2225"/>
  <c r="X25" i="2225"/>
  <c r="W25" i="2225"/>
  <c r="V25" i="2225"/>
  <c r="U25" i="2225"/>
  <c r="T25" i="2225"/>
  <c r="S25" i="2225"/>
  <c r="R25" i="2225"/>
  <c r="Q25" i="2225"/>
  <c r="P25" i="2225"/>
  <c r="O25" i="2225"/>
  <c r="N25" i="2225"/>
  <c r="M25" i="2225"/>
  <c r="L25" i="2225"/>
  <c r="K25" i="2225"/>
  <c r="J25" i="2225"/>
  <c r="I25" i="2225"/>
  <c r="H25" i="2225"/>
  <c r="G25" i="2225"/>
  <c r="F25" i="2225"/>
  <c r="E25" i="2225"/>
  <c r="D25" i="2225"/>
  <c r="AE19" i="2225"/>
  <c r="AD19" i="2225"/>
  <c r="AC19" i="2225"/>
  <c r="AB19" i="2225"/>
  <c r="AC33" i="2225" s="1"/>
  <c r="AA19" i="2225"/>
  <c r="Z19" i="2225"/>
  <c r="Y19" i="2225"/>
  <c r="X19" i="2225"/>
  <c r="T33" i="2225" s="1"/>
  <c r="W19" i="2225"/>
  <c r="V19" i="2225"/>
  <c r="U19" i="2225"/>
  <c r="T19" i="2225"/>
  <c r="S19" i="2225"/>
  <c r="R19" i="2225"/>
  <c r="Q19" i="2225"/>
  <c r="P19" i="2225"/>
  <c r="V33" i="2225" s="1"/>
  <c r="O19" i="2225"/>
  <c r="N19" i="2225"/>
  <c r="G33" i="2225" s="1"/>
  <c r="M19" i="2225"/>
  <c r="L19" i="2225"/>
  <c r="P33" i="2225" s="1"/>
  <c r="K19" i="2225"/>
  <c r="L33" i="2225" s="1"/>
  <c r="J19" i="2225"/>
  <c r="I19" i="2225"/>
  <c r="AB33" i="2225" s="1"/>
  <c r="H19" i="2225"/>
  <c r="G19" i="2225"/>
  <c r="O33" i="2225" s="1"/>
  <c r="F19" i="2225"/>
  <c r="E19" i="2225"/>
  <c r="D19" i="2225"/>
  <c r="AE16" i="2225"/>
  <c r="AD16" i="2225"/>
  <c r="AC16" i="2225"/>
  <c r="AB16" i="2225"/>
  <c r="AA16" i="2225"/>
  <c r="Z16" i="2225"/>
  <c r="X16" i="2225"/>
  <c r="W16" i="2225"/>
  <c r="V16" i="2225"/>
  <c r="U16" i="2225"/>
  <c r="T16" i="2225"/>
  <c r="S16" i="2225"/>
  <c r="R16" i="2225"/>
  <c r="Q16" i="2225"/>
  <c r="P16" i="2225"/>
  <c r="O16" i="2225"/>
  <c r="N16" i="2225"/>
  <c r="M16" i="2225"/>
  <c r="L16" i="2225"/>
  <c r="K16" i="2225"/>
  <c r="J16" i="2225"/>
  <c r="I16" i="2225"/>
  <c r="H16" i="2225"/>
  <c r="G16" i="2225"/>
  <c r="F16" i="2225"/>
  <c r="E16" i="2225"/>
  <c r="D16" i="2225"/>
  <c r="AE10" i="2225"/>
  <c r="AD10" i="2225"/>
  <c r="AC10" i="2225"/>
  <c r="AB10" i="2225"/>
  <c r="AA10" i="2225"/>
  <c r="Z10" i="2225"/>
  <c r="Y10" i="2225"/>
  <c r="X10" i="2225"/>
  <c r="W10" i="2225"/>
  <c r="V10" i="2225"/>
  <c r="U10" i="2225"/>
  <c r="T10" i="2225"/>
  <c r="S10" i="2225"/>
  <c r="R10" i="2225"/>
  <c r="Q10" i="2225"/>
  <c r="Y33" i="2225" s="1"/>
  <c r="P10" i="2225"/>
  <c r="O10" i="2225"/>
  <c r="K33" i="2225" s="1"/>
  <c r="N10" i="2225"/>
  <c r="M10" i="2225"/>
  <c r="E33" i="2225" s="1"/>
  <c r="L10" i="2225"/>
  <c r="N33" i="2225" s="1"/>
  <c r="K10" i="2225"/>
  <c r="J10" i="2225"/>
  <c r="Q33" i="2225" s="1"/>
  <c r="I10" i="2225"/>
  <c r="H10" i="2225"/>
  <c r="G10" i="2225"/>
  <c r="M33" i="2225" s="1"/>
  <c r="F10" i="2225"/>
  <c r="E10" i="2225"/>
  <c r="D10" i="2225"/>
  <c r="AE7" i="2225"/>
  <c r="AD7" i="2225"/>
  <c r="AC7" i="2225"/>
  <c r="AB7" i="2225"/>
  <c r="AA7" i="2225"/>
  <c r="Z7" i="2225"/>
  <c r="Y7" i="2225"/>
  <c r="X7" i="2225"/>
  <c r="W7" i="2225"/>
  <c r="V7" i="2225"/>
  <c r="U7" i="2225"/>
  <c r="T7" i="2225"/>
  <c r="S7" i="2225"/>
  <c r="R7" i="2225"/>
  <c r="Q7" i="2225"/>
  <c r="P7" i="2225"/>
  <c r="O7" i="2225"/>
  <c r="N7" i="2225"/>
  <c r="M7" i="2225"/>
  <c r="L7" i="2225"/>
  <c r="K7" i="2225"/>
  <c r="J7" i="2225"/>
  <c r="I7" i="2225"/>
  <c r="H7" i="2225"/>
  <c r="G7" i="2225"/>
  <c r="F7" i="2225"/>
  <c r="E7" i="2225"/>
  <c r="D7" i="2225"/>
  <c r="D33" i="2225" l="1"/>
  <c r="AA33" i="2224"/>
  <c r="X33" i="2224"/>
  <c r="U33" i="2224"/>
  <c r="R33" i="2224"/>
  <c r="F33" i="2224"/>
  <c r="E33" i="2224"/>
  <c r="Y28" i="2224"/>
  <c r="X28" i="2224"/>
  <c r="S33" i="2224" s="1"/>
  <c r="W28" i="2224"/>
  <c r="V28" i="2224"/>
  <c r="U28" i="2224"/>
  <c r="T28" i="2224"/>
  <c r="S28" i="2224"/>
  <c r="R28" i="2224"/>
  <c r="Q28" i="2224"/>
  <c r="P28" i="2224"/>
  <c r="O28" i="2224"/>
  <c r="N28" i="2224"/>
  <c r="M28" i="2224"/>
  <c r="L28" i="2224"/>
  <c r="K28" i="2224"/>
  <c r="J28" i="2224"/>
  <c r="I28" i="2224"/>
  <c r="H28" i="2224"/>
  <c r="G28" i="2224"/>
  <c r="F28" i="2224"/>
  <c r="E28" i="2224"/>
  <c r="D28" i="2224"/>
  <c r="Y25" i="2224"/>
  <c r="X25" i="2224"/>
  <c r="W25" i="2224"/>
  <c r="V25" i="2224"/>
  <c r="U25" i="2224"/>
  <c r="T25" i="2224"/>
  <c r="S25" i="2224"/>
  <c r="R25" i="2224"/>
  <c r="Q25" i="2224"/>
  <c r="P25" i="2224"/>
  <c r="O25" i="2224"/>
  <c r="N25" i="2224"/>
  <c r="M25" i="2224"/>
  <c r="L25" i="2224"/>
  <c r="K25" i="2224"/>
  <c r="J25" i="2224"/>
  <c r="I25" i="2224"/>
  <c r="H25" i="2224"/>
  <c r="G25" i="2224"/>
  <c r="F25" i="2224"/>
  <c r="E25" i="2224"/>
  <c r="D25" i="2224"/>
  <c r="AE19" i="2224"/>
  <c r="AD19" i="2224"/>
  <c r="AC19" i="2224"/>
  <c r="AB19" i="2224"/>
  <c r="AA19" i="2224"/>
  <c r="Z19" i="2224"/>
  <c r="Y19" i="2224"/>
  <c r="X19" i="2224"/>
  <c r="T33" i="2224" s="1"/>
  <c r="W19" i="2224"/>
  <c r="V19" i="2224"/>
  <c r="U19" i="2224"/>
  <c r="T19" i="2224"/>
  <c r="S19" i="2224"/>
  <c r="R19" i="2224"/>
  <c r="Q19" i="2224"/>
  <c r="P19" i="2224"/>
  <c r="O19" i="2224"/>
  <c r="N19" i="2224"/>
  <c r="G33" i="2224" s="1"/>
  <c r="M19" i="2224"/>
  <c r="H33" i="2224" s="1"/>
  <c r="L19" i="2224"/>
  <c r="P33" i="2224" s="1"/>
  <c r="K19" i="2224"/>
  <c r="L33" i="2224" s="1"/>
  <c r="J19" i="2224"/>
  <c r="I19" i="2224"/>
  <c r="AB33" i="2224" s="1"/>
  <c r="H19" i="2224"/>
  <c r="G19" i="2224"/>
  <c r="O33" i="2224" s="1"/>
  <c r="F19" i="2224"/>
  <c r="E19" i="2224"/>
  <c r="D19" i="2224"/>
  <c r="AE16" i="2224"/>
  <c r="AD16" i="2224"/>
  <c r="AC16" i="2224"/>
  <c r="AB16" i="2224"/>
  <c r="AA16" i="2224"/>
  <c r="Z16" i="2224"/>
  <c r="X16" i="2224"/>
  <c r="W16" i="2224"/>
  <c r="V16" i="2224"/>
  <c r="U16" i="2224"/>
  <c r="T16" i="2224"/>
  <c r="S16" i="2224"/>
  <c r="R16" i="2224"/>
  <c r="Q16" i="2224"/>
  <c r="P16" i="2224"/>
  <c r="O16" i="2224"/>
  <c r="N16" i="2224"/>
  <c r="M16" i="2224"/>
  <c r="L16" i="2224"/>
  <c r="K16" i="2224"/>
  <c r="J16" i="2224"/>
  <c r="I16" i="2224"/>
  <c r="H16" i="2224"/>
  <c r="G16" i="2224"/>
  <c r="F16" i="2224"/>
  <c r="E16" i="2224"/>
  <c r="D16" i="2224"/>
  <c r="AE10" i="2224"/>
  <c r="AD10" i="2224"/>
  <c r="AC10" i="2224"/>
  <c r="AB10" i="2224"/>
  <c r="AA10" i="2224"/>
  <c r="Z10" i="2224"/>
  <c r="Y10" i="2224"/>
  <c r="X10" i="2224"/>
  <c r="W10" i="2224"/>
  <c r="V10" i="2224"/>
  <c r="U10" i="2224"/>
  <c r="T10" i="2224"/>
  <c r="S10" i="2224"/>
  <c r="R10" i="2224"/>
  <c r="Q10" i="2224"/>
  <c r="P10" i="2224"/>
  <c r="O10" i="2224"/>
  <c r="N10" i="2224"/>
  <c r="Q33" i="2224" s="1"/>
  <c r="M10" i="2224"/>
  <c r="L10" i="2224"/>
  <c r="K10" i="2224"/>
  <c r="J10" i="2224"/>
  <c r="I10" i="2224"/>
  <c r="H10" i="2224"/>
  <c r="G10" i="2224"/>
  <c r="F10" i="2224"/>
  <c r="E10" i="2224"/>
  <c r="D10" i="2224"/>
  <c r="AE7" i="2224"/>
  <c r="AD7" i="2224"/>
  <c r="AC7" i="2224"/>
  <c r="AB7" i="2224"/>
  <c r="AA7" i="2224"/>
  <c r="Z7" i="2224"/>
  <c r="Y7" i="2224"/>
  <c r="X7" i="2224"/>
  <c r="W7" i="2224"/>
  <c r="V7" i="2224"/>
  <c r="U7" i="2224"/>
  <c r="T7" i="2224"/>
  <c r="S7" i="2224"/>
  <c r="R7" i="2224"/>
  <c r="Q7" i="2224"/>
  <c r="P7" i="2224"/>
  <c r="O7" i="2224"/>
  <c r="N7" i="2224"/>
  <c r="M7" i="2224"/>
  <c r="L7" i="2224"/>
  <c r="K7" i="2224"/>
  <c r="J7" i="2224"/>
  <c r="I7" i="2224"/>
  <c r="H7" i="2224"/>
  <c r="G7" i="2224"/>
  <c r="F7" i="2224"/>
  <c r="E7" i="2224"/>
  <c r="D7" i="2224"/>
  <c r="J33" i="2224" l="1"/>
  <c r="W33" i="2224"/>
  <c r="N33" i="2224"/>
  <c r="AC33" i="2224"/>
  <c r="Z33" i="2224"/>
  <c r="D33" i="2224"/>
  <c r="Y33" i="2224"/>
  <c r="K33" i="2224"/>
  <c r="M33" i="2224"/>
  <c r="V33" i="2224"/>
  <c r="S51" i="13" l="1"/>
  <c r="S50" i="13"/>
  <c r="S49" i="13"/>
  <c r="S48" i="13"/>
  <c r="S47" i="13"/>
  <c r="S46" i="13"/>
  <c r="S45" i="13"/>
  <c r="S44" i="13"/>
  <c r="S43" i="13"/>
  <c r="S42" i="13"/>
  <c r="S41" i="13"/>
  <c r="S40" i="13"/>
  <c r="S39" i="13"/>
  <c r="S38" i="13"/>
  <c r="S37" i="13"/>
  <c r="S36" i="13"/>
  <c r="S35" i="13"/>
</calcChain>
</file>

<file path=xl/connections.xml><?xml version="1.0" encoding="utf-8"?>
<connections xmlns="http://schemas.openxmlformats.org/spreadsheetml/2006/main">
  <connection id="1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2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0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3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4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2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5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3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6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4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7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5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8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6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9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7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0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8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1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9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2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2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3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20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4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2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5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22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6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24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7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3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8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4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9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5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20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6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21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7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22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8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23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9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</connections>
</file>

<file path=xl/sharedStrings.xml><?xml version="1.0" encoding="utf-8"?>
<sst xmlns="http://schemas.openxmlformats.org/spreadsheetml/2006/main" count="32012" uniqueCount="648">
  <si>
    <t>空</t>
    <phoneticPr fontId="3" type="noConversion"/>
  </si>
  <si>
    <t>EG</t>
    <phoneticPr fontId="3" type="noConversion"/>
  </si>
  <si>
    <t>GAA</t>
    <phoneticPr fontId="3" type="noConversion"/>
  </si>
  <si>
    <t>EBR</t>
    <phoneticPr fontId="3" type="noConversion"/>
  </si>
  <si>
    <t>原料</t>
    <phoneticPr fontId="3" type="noConversion"/>
  </si>
  <si>
    <t>成品</t>
    <phoneticPr fontId="3" type="noConversion"/>
  </si>
  <si>
    <r>
      <rPr>
        <sz val="12"/>
        <rFont val="細明體"/>
        <family val="3"/>
        <charset val="136"/>
      </rPr>
      <t>產</t>
    </r>
    <r>
      <rPr>
        <sz val="12"/>
        <rFont val="DotumChe"/>
        <family val="3"/>
        <charset val="129"/>
      </rPr>
      <t>品</t>
    </r>
    <r>
      <rPr>
        <sz val="12"/>
        <rFont val="細明體"/>
        <family val="3"/>
        <charset val="136"/>
      </rPr>
      <t xml:space="preserve">      </t>
    </r>
    <r>
      <rPr>
        <sz val="12"/>
        <rFont val="DotumChe"/>
        <family val="3"/>
        <charset val="129"/>
      </rPr>
      <t>比重</t>
    </r>
    <r>
      <rPr>
        <sz val="12"/>
        <rFont val="細明體"/>
        <family val="3"/>
        <charset val="136"/>
      </rPr>
      <t xml:space="preserve">    </t>
    </r>
    <r>
      <rPr>
        <sz val="12"/>
        <rFont val="DotumChe"/>
        <family val="3"/>
        <charset val="129"/>
      </rPr>
      <t>溫度</t>
    </r>
    <phoneticPr fontId="3" type="noConversion"/>
  </si>
  <si>
    <t>IPA</t>
    <phoneticPr fontId="3" type="noConversion"/>
  </si>
  <si>
    <t>EG</t>
    <phoneticPr fontId="3" type="noConversion"/>
  </si>
  <si>
    <t>NMP</t>
    <phoneticPr fontId="3" type="noConversion"/>
  </si>
  <si>
    <t>Acetone</t>
    <phoneticPr fontId="3" type="noConversion"/>
  </si>
  <si>
    <t>SEP05</t>
    <phoneticPr fontId="3" type="noConversion"/>
  </si>
  <si>
    <t>PMA</t>
    <phoneticPr fontId="3" type="noConversion"/>
  </si>
  <si>
    <t>PM</t>
    <phoneticPr fontId="3" type="noConversion"/>
  </si>
  <si>
    <t>GAA</t>
    <phoneticPr fontId="3" type="noConversion"/>
  </si>
  <si>
    <r>
      <t>BDG+MEA
澄</t>
    </r>
    <r>
      <rPr>
        <sz val="14"/>
        <rFont val="細明體"/>
        <family val="3"/>
        <charset val="136"/>
      </rPr>
      <t>清</t>
    </r>
    <r>
      <rPr>
        <sz val="14"/>
        <rFont val="DotumChe"/>
        <family val="3"/>
        <charset val="129"/>
      </rPr>
      <t>液</t>
    </r>
    <phoneticPr fontId="3" type="noConversion"/>
  </si>
  <si>
    <t>ANONE</t>
    <phoneticPr fontId="3" type="noConversion"/>
  </si>
  <si>
    <t>EBR</t>
    <phoneticPr fontId="3" type="noConversion"/>
  </si>
  <si>
    <t>NBAC</t>
    <phoneticPr fontId="3" type="noConversion"/>
  </si>
  <si>
    <t>EBRUPS</t>
    <phoneticPr fontId="3" type="noConversion"/>
  </si>
  <si>
    <t>2SEP73(EBR)</t>
    <phoneticPr fontId="3" type="noConversion"/>
  </si>
  <si>
    <t>SEP11</t>
    <phoneticPr fontId="3" type="noConversion"/>
  </si>
  <si>
    <t>ETOH</t>
    <phoneticPr fontId="3" type="noConversion"/>
  </si>
  <si>
    <t>PG2</t>
    <phoneticPr fontId="3" type="noConversion"/>
  </si>
  <si>
    <t>EEP</t>
    <phoneticPr fontId="3" type="noConversion"/>
  </si>
  <si>
    <t>HEA     DPM</t>
    <phoneticPr fontId="3" type="noConversion"/>
  </si>
  <si>
    <t>C02</t>
  </si>
  <si>
    <t>C03</t>
  </si>
  <si>
    <t>C04</t>
  </si>
  <si>
    <t>C05</t>
  </si>
  <si>
    <t>C06</t>
  </si>
  <si>
    <t>槽號</t>
    <phoneticPr fontId="3" type="noConversion"/>
  </si>
  <si>
    <t>液位</t>
    <phoneticPr fontId="3" type="noConversion"/>
  </si>
  <si>
    <t>溫度</t>
    <phoneticPr fontId="3" type="noConversion"/>
  </si>
  <si>
    <t>DPM</t>
    <phoneticPr fontId="3" type="noConversion"/>
  </si>
  <si>
    <t xml:space="preserve"> </t>
    <phoneticPr fontId="2" type="noConversion"/>
  </si>
  <si>
    <t>品名</t>
    <phoneticPr fontId="3" type="noConversion"/>
  </si>
  <si>
    <t>時間</t>
    <phoneticPr fontId="3" type="noConversion"/>
  </si>
  <si>
    <t>TPM</t>
    <phoneticPr fontId="3" type="noConversion"/>
  </si>
  <si>
    <t>TK-603</t>
    <phoneticPr fontId="4" type="noConversion"/>
  </si>
  <si>
    <t>TK-641</t>
    <phoneticPr fontId="4" type="noConversion"/>
  </si>
  <si>
    <t>ACETONE</t>
    <phoneticPr fontId="3" type="noConversion"/>
  </si>
  <si>
    <t>HEA</t>
    <phoneticPr fontId="3" type="noConversion"/>
  </si>
  <si>
    <t>待處理品</t>
    <phoneticPr fontId="3" type="noConversion"/>
  </si>
  <si>
    <t>TK-601</t>
    <phoneticPr fontId="4" type="noConversion"/>
  </si>
  <si>
    <t>TK-602</t>
    <phoneticPr fontId="4" type="noConversion"/>
  </si>
  <si>
    <t>TK-604A</t>
    <phoneticPr fontId="4" type="noConversion"/>
  </si>
  <si>
    <t>TK-604B</t>
    <phoneticPr fontId="4" type="noConversion"/>
  </si>
  <si>
    <t>TK-612</t>
    <phoneticPr fontId="4" type="noConversion"/>
  </si>
  <si>
    <t>TK-621</t>
    <phoneticPr fontId="4" type="noConversion"/>
  </si>
  <si>
    <t>TK-622</t>
    <phoneticPr fontId="4" type="noConversion"/>
  </si>
  <si>
    <t>TK-631</t>
    <phoneticPr fontId="4" type="noConversion"/>
  </si>
  <si>
    <t>TK-643</t>
    <phoneticPr fontId="3" type="noConversion"/>
  </si>
  <si>
    <t>TK-645</t>
    <phoneticPr fontId="3" type="noConversion"/>
  </si>
  <si>
    <t>NMP-2</t>
    <phoneticPr fontId="3" type="noConversion"/>
  </si>
  <si>
    <t>TK-656</t>
    <phoneticPr fontId="3" type="noConversion"/>
  </si>
  <si>
    <t>TK-660</t>
    <phoneticPr fontId="3" type="noConversion"/>
  </si>
  <si>
    <t>TK-651</t>
    <phoneticPr fontId="3" type="noConversion"/>
  </si>
  <si>
    <t>TK-652</t>
    <phoneticPr fontId="3" type="noConversion"/>
  </si>
  <si>
    <t>TK-654</t>
    <phoneticPr fontId="3" type="noConversion"/>
  </si>
  <si>
    <t>TK-657</t>
    <phoneticPr fontId="3" type="noConversion"/>
  </si>
  <si>
    <t>TK-658</t>
    <phoneticPr fontId="3" type="noConversion"/>
  </si>
  <si>
    <t>TK-661</t>
    <phoneticPr fontId="3" type="noConversion"/>
  </si>
  <si>
    <t>TK-662</t>
    <phoneticPr fontId="3" type="noConversion"/>
  </si>
  <si>
    <t>TK-663</t>
    <phoneticPr fontId="3" type="noConversion"/>
  </si>
  <si>
    <t>TK-664</t>
    <phoneticPr fontId="3" type="noConversion"/>
  </si>
  <si>
    <t>TK-665</t>
    <phoneticPr fontId="3" type="noConversion"/>
  </si>
  <si>
    <t>TK-666</t>
    <phoneticPr fontId="3" type="noConversion"/>
  </si>
  <si>
    <t>TK-670</t>
    <phoneticPr fontId="3" type="noConversion"/>
  </si>
  <si>
    <t>記事欄</t>
    <phoneticPr fontId="3" type="noConversion"/>
  </si>
  <si>
    <r>
      <t>CPN環戊</t>
    </r>
    <r>
      <rPr>
        <sz val="14"/>
        <rFont val="細明體"/>
        <family val="3"/>
        <charset val="136"/>
      </rPr>
      <t>酮</t>
    </r>
    <phoneticPr fontId="3" type="noConversion"/>
  </si>
  <si>
    <t>CPN</t>
    <phoneticPr fontId="3" type="noConversion"/>
  </si>
  <si>
    <t>DPM-B1</t>
    <phoneticPr fontId="3" type="noConversion"/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</si>
  <si>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phoneticPr fontId="2" type="noConversion"/>
  </si>
  <si>
    <t>TK-671</t>
    <phoneticPr fontId="3" type="noConversion"/>
  </si>
  <si>
    <t>MIBC</t>
    <phoneticPr fontId="3" type="noConversion"/>
  </si>
  <si>
    <t>C08</t>
  </si>
  <si>
    <t>C09</t>
  </si>
  <si>
    <t>604A</t>
  </si>
  <si>
    <t>604B</t>
  </si>
  <si>
    <t>C01</t>
  </si>
  <si>
    <t>C07</t>
  </si>
  <si>
    <t>儲槽作業日報表</t>
    <phoneticPr fontId="3" type="noConversion"/>
  </si>
  <si>
    <t>待處理品</t>
    <phoneticPr fontId="2" type="noConversion"/>
  </si>
  <si>
    <t>成品</t>
    <phoneticPr fontId="2" type="noConversion"/>
  </si>
  <si>
    <t>原料</t>
    <phoneticPr fontId="2" type="noConversion"/>
  </si>
  <si>
    <t>TK-677</t>
  </si>
  <si>
    <t>TK-678</t>
  </si>
  <si>
    <t>TK-680</t>
  </si>
  <si>
    <t>TK-681</t>
  </si>
  <si>
    <t>TK-682</t>
  </si>
  <si>
    <t>TK-683</t>
  </si>
  <si>
    <t>TK-684</t>
  </si>
  <si>
    <t>TK-685</t>
  </si>
  <si>
    <t>TK-686</t>
  </si>
  <si>
    <t>TK-687</t>
  </si>
  <si>
    <t>TK-688</t>
  </si>
  <si>
    <t>TK-689</t>
  </si>
  <si>
    <t>TK-690</t>
  </si>
  <si>
    <t>TK-691</t>
  </si>
  <si>
    <t>TK-692</t>
  </si>
  <si>
    <t>TK-693</t>
  </si>
  <si>
    <t>TK-694</t>
  </si>
  <si>
    <t>TK-695</t>
  </si>
  <si>
    <t>TK-696</t>
  </si>
  <si>
    <t>TK-697</t>
  </si>
  <si>
    <t>TK-698</t>
  </si>
  <si>
    <t>EGE4</t>
    <phoneticPr fontId="2" type="noConversion"/>
  </si>
  <si>
    <t>TK-699</t>
  </si>
  <si>
    <t>CPNE4</t>
    <phoneticPr fontId="2" type="noConversion"/>
  </si>
  <si>
    <t>TK-611</t>
    <phoneticPr fontId="4" type="noConversion"/>
  </si>
  <si>
    <t>TK-613</t>
    <phoneticPr fontId="4" type="noConversion"/>
  </si>
  <si>
    <t>TK614</t>
    <phoneticPr fontId="4" type="noConversion"/>
  </si>
  <si>
    <t>TK-623</t>
    <phoneticPr fontId="4" type="noConversion"/>
  </si>
  <si>
    <t>TK-624</t>
    <phoneticPr fontId="4" type="noConversion"/>
  </si>
  <si>
    <t>TK-C01</t>
    <phoneticPr fontId="4" type="noConversion"/>
  </si>
  <si>
    <t>TK-C02</t>
    <phoneticPr fontId="4" type="noConversion"/>
  </si>
  <si>
    <t>TK-C03</t>
    <phoneticPr fontId="4" type="noConversion"/>
  </si>
  <si>
    <t>TK-C04</t>
    <phoneticPr fontId="4" type="noConversion"/>
  </si>
  <si>
    <t>TK-C05</t>
    <phoneticPr fontId="4" type="noConversion"/>
  </si>
  <si>
    <t>TK-C06</t>
    <phoneticPr fontId="4" type="noConversion"/>
  </si>
  <si>
    <t>TK-C07</t>
    <phoneticPr fontId="4" type="noConversion"/>
  </si>
  <si>
    <t>TK-C08</t>
    <phoneticPr fontId="4" type="noConversion"/>
  </si>
  <si>
    <t>TK-C09</t>
    <phoneticPr fontId="4" type="noConversion"/>
  </si>
  <si>
    <t>TK-632</t>
    <phoneticPr fontId="4" type="noConversion"/>
  </si>
  <si>
    <t>TK-633</t>
    <phoneticPr fontId="4" type="noConversion"/>
  </si>
  <si>
    <t>TK-634</t>
    <phoneticPr fontId="4" type="noConversion"/>
  </si>
  <si>
    <t>TK-642</t>
    <phoneticPr fontId="4" type="noConversion"/>
  </si>
  <si>
    <t>TK-653</t>
    <phoneticPr fontId="3" type="noConversion"/>
  </si>
  <si>
    <t>TK-655</t>
    <phoneticPr fontId="3" type="noConversion"/>
  </si>
  <si>
    <t>TK-659</t>
    <phoneticPr fontId="3" type="noConversion"/>
  </si>
  <si>
    <t>TK-667</t>
    <phoneticPr fontId="3" type="noConversion"/>
  </si>
  <si>
    <t>TK-668</t>
    <phoneticPr fontId="3" type="noConversion"/>
  </si>
  <si>
    <t>TK-669</t>
    <phoneticPr fontId="3" type="noConversion"/>
  </si>
  <si>
    <t>TK-672</t>
    <phoneticPr fontId="3" type="noConversion"/>
  </si>
  <si>
    <t xml:space="preserve"> TK-673</t>
    <phoneticPr fontId="3" type="noConversion"/>
  </si>
  <si>
    <t>TK-674</t>
    <phoneticPr fontId="3" type="noConversion"/>
  </si>
  <si>
    <t>TK-675</t>
    <phoneticPr fontId="3" type="noConversion"/>
  </si>
  <si>
    <t>TK-676</t>
    <phoneticPr fontId="3" type="noConversion"/>
  </si>
  <si>
    <t>底面積</t>
    <phoneticPr fontId="2" type="noConversion"/>
  </si>
  <si>
    <t>現為公升還要*密度=公斤KG</t>
    <phoneticPr fontId="2" type="noConversion"/>
  </si>
  <si>
    <t>最高液位</t>
    <phoneticPr fontId="2" type="noConversion"/>
  </si>
  <si>
    <t>675-678</t>
    <phoneticPr fontId="2" type="noConversion"/>
  </si>
  <si>
    <t>1mm</t>
    <phoneticPr fontId="2" type="noConversion"/>
  </si>
  <si>
    <t>4.6L</t>
    <phoneticPr fontId="2" type="noConversion"/>
  </si>
  <si>
    <t>桶底 1566L</t>
    <phoneticPr fontId="2" type="noConversion"/>
  </si>
  <si>
    <t>681-689,691</t>
    <phoneticPr fontId="2" type="noConversion"/>
  </si>
  <si>
    <t>18.322L</t>
    <phoneticPr fontId="2" type="noConversion"/>
  </si>
  <si>
    <t>桶底87L</t>
    <phoneticPr fontId="2" type="noConversion"/>
  </si>
  <si>
    <t>11.702L</t>
    <phoneticPr fontId="2" type="noConversion"/>
  </si>
  <si>
    <t>692-695</t>
    <phoneticPr fontId="2" type="noConversion"/>
  </si>
  <si>
    <t>35.891L</t>
    <phoneticPr fontId="2" type="noConversion"/>
  </si>
  <si>
    <t>696-699</t>
    <phoneticPr fontId="2" type="noConversion"/>
  </si>
  <si>
    <t>47.051L</t>
    <phoneticPr fontId="2" type="noConversion"/>
  </si>
  <si>
    <t>268.26L</t>
    <phoneticPr fontId="2" type="noConversion"/>
  </si>
  <si>
    <t>1026L</t>
    <phoneticPr fontId="2" type="noConversion"/>
  </si>
  <si>
    <t>514.88L</t>
    <phoneticPr fontId="2" type="noConversion"/>
  </si>
  <si>
    <t>2512.3L</t>
    <phoneticPr fontId="2" type="noConversion"/>
  </si>
  <si>
    <t>5453.1L</t>
    <phoneticPr fontId="2" type="noConversion"/>
  </si>
  <si>
    <t>液位</t>
    <phoneticPr fontId="2" type="noConversion"/>
  </si>
  <si>
    <t>CPNE3-R</t>
    <phoneticPr fontId="3" type="noConversion"/>
  </si>
  <si>
    <t xml:space="preserve">鴻勝化學科技股份有限公司                                    </t>
    <phoneticPr fontId="3" type="noConversion"/>
  </si>
  <si>
    <t xml:space="preserve">                                  </t>
    <phoneticPr fontId="2" type="noConversion"/>
  </si>
  <si>
    <t>500KL</t>
    <phoneticPr fontId="2" type="noConversion"/>
  </si>
  <si>
    <t>51.53L</t>
    <phoneticPr fontId="2" type="noConversion"/>
  </si>
  <si>
    <t>250KL</t>
    <phoneticPr fontId="2" type="noConversion"/>
  </si>
  <si>
    <t>33.183L</t>
    <phoneticPr fontId="2" type="noConversion"/>
  </si>
  <si>
    <t>125KL</t>
    <phoneticPr fontId="2" type="noConversion"/>
  </si>
  <si>
    <t>20.428L</t>
    <phoneticPr fontId="2" type="noConversion"/>
  </si>
  <si>
    <t>70KL</t>
    <phoneticPr fontId="2" type="noConversion"/>
  </si>
  <si>
    <t>50KL</t>
    <phoneticPr fontId="2" type="noConversion"/>
  </si>
  <si>
    <t>50KL
C01~C09
643,645</t>
    <phoneticPr fontId="2" type="noConversion"/>
  </si>
  <si>
    <t>上午:</t>
    <phoneticPr fontId="3" type="noConversion"/>
  </si>
  <si>
    <t>年       月       日</t>
    <phoneticPr fontId="3" type="noConversion"/>
  </si>
  <si>
    <t>備    註</t>
    <phoneticPr fontId="3" type="noConversion"/>
  </si>
  <si>
    <t>年         月         日</t>
    <phoneticPr fontId="3" type="noConversion"/>
  </si>
  <si>
    <t>槽　別</t>
    <phoneticPr fontId="3" type="noConversion"/>
  </si>
  <si>
    <t>液位(mm/%)</t>
    <phoneticPr fontId="3" type="noConversion"/>
  </si>
  <si>
    <t>數量(kg)</t>
    <phoneticPr fontId="4" type="noConversion"/>
  </si>
  <si>
    <t>溫度( ℃)</t>
    <phoneticPr fontId="3" type="noConversion"/>
  </si>
  <si>
    <r>
      <t>液位(</t>
    </r>
    <r>
      <rPr>
        <vertAlign val="superscript"/>
        <sz val="8"/>
        <rFont val="微軟正黑體"/>
        <family val="2"/>
        <charset val="136"/>
      </rPr>
      <t>mm</t>
    </r>
    <r>
      <rPr>
        <sz val="8"/>
        <rFont val="微軟正黑體"/>
        <family val="2"/>
        <charset val="136"/>
      </rPr>
      <t>/</t>
    </r>
    <r>
      <rPr>
        <vertAlign val="subscript"/>
        <sz val="8"/>
        <rFont val="微軟正黑體"/>
        <family val="2"/>
        <charset val="136"/>
      </rPr>
      <t>%</t>
    </r>
    <r>
      <rPr>
        <sz val="8"/>
        <rFont val="微軟正黑體"/>
        <family val="2"/>
        <charset val="136"/>
      </rPr>
      <t>)</t>
    </r>
    <phoneticPr fontId="4" type="noConversion"/>
  </si>
  <si>
    <t>總數量
(kg)</t>
    <phoneticPr fontId="3" type="noConversion"/>
  </si>
  <si>
    <t>經(副)理:</t>
    <phoneticPr fontId="4" type="noConversion"/>
  </si>
  <si>
    <t>課長:</t>
    <phoneticPr fontId="4" type="noConversion"/>
  </si>
  <si>
    <t>組(副)長:</t>
    <phoneticPr fontId="4" type="noConversion"/>
  </si>
  <si>
    <t>記錄員:</t>
    <phoneticPr fontId="4" type="noConversion"/>
  </si>
  <si>
    <t>EGHW</t>
    <phoneticPr fontId="3" type="noConversion"/>
  </si>
  <si>
    <t>GAA</t>
    <phoneticPr fontId="2" type="noConversion"/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</si>
  <si>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</si>
  <si>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</si>
  <si>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</si>
  <si>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</si>
  <si>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</si>
  <si>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</si>
  <si>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</si>
  <si>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</si>
  <si>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</si>
  <si>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</si>
  <si>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</si>
  <si>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F13</t>
  </si>
  <si>
    <t>F14</t>
  </si>
  <si>
    <t>F15</t>
  </si>
  <si>
    <t>F16</t>
  </si>
  <si>
    <t>F17</t>
  </si>
  <si>
    <t>F18</t>
  </si>
  <si>
    <t>F20</t>
  </si>
  <si>
    <t>F21</t>
  </si>
  <si>
    <t>F23</t>
  </si>
  <si>
    <t>品名</t>
  </si>
  <si>
    <t>編號</t>
  </si>
  <si>
    <t>日期</t>
  </si>
  <si>
    <t>重量</t>
  </si>
  <si>
    <t>來源</t>
  </si>
  <si>
    <t>小計</t>
  </si>
  <si>
    <t>IPA-R1</t>
  </si>
  <si>
    <t>備註</t>
  </si>
  <si>
    <t>總量</t>
  </si>
  <si>
    <t xml:space="preserve"> </t>
  </si>
  <si>
    <t>20170627</t>
  </si>
  <si>
    <t>80</t>
  </si>
  <si>
    <t>320</t>
  </si>
  <si>
    <t>BDGE</t>
  </si>
  <si>
    <t>50</t>
  </si>
  <si>
    <t>170</t>
  </si>
  <si>
    <t>160</t>
  </si>
  <si>
    <t>30</t>
  </si>
  <si>
    <t>20161229</t>
  </si>
  <si>
    <t>90</t>
  </si>
  <si>
    <t>60</t>
  </si>
  <si>
    <t>150</t>
  </si>
  <si>
    <t>20170126</t>
  </si>
  <si>
    <t>40</t>
  </si>
  <si>
    <t>GAAHW</t>
  </si>
  <si>
    <t>TK-602</t>
  </si>
  <si>
    <t>420</t>
  </si>
  <si>
    <t>ANONEHW</t>
  </si>
  <si>
    <t>220</t>
  </si>
  <si>
    <t>100</t>
  </si>
  <si>
    <t>ACTHW</t>
  </si>
  <si>
    <t>110</t>
  </si>
  <si>
    <t>180</t>
  </si>
  <si>
    <t>GBLHW</t>
  </si>
  <si>
    <t>3/19</t>
  </si>
  <si>
    <t>E-12</t>
  </si>
  <si>
    <t>8/26</t>
  </si>
  <si>
    <t>6/26</t>
  </si>
  <si>
    <t>53GL(20150916送驗)</t>
  </si>
  <si>
    <t>2/10</t>
  </si>
  <si>
    <t>115</t>
  </si>
  <si>
    <t>GB8704</t>
  </si>
  <si>
    <t>9/15</t>
  </si>
  <si>
    <t>6/22</t>
  </si>
  <si>
    <t>11/18</t>
  </si>
  <si>
    <t>5/27</t>
  </si>
  <si>
    <t>10</t>
  </si>
  <si>
    <t>9/27</t>
  </si>
  <si>
    <t>470</t>
  </si>
  <si>
    <t>20160223</t>
  </si>
  <si>
    <t>161126</t>
  </si>
  <si>
    <t>E-39</t>
  </si>
  <si>
    <t>20131211破桶換桶 970(20150916送驗)</t>
  </si>
  <si>
    <t>GB8705</t>
  </si>
  <si>
    <t>5/6</t>
  </si>
  <si>
    <t>230</t>
  </si>
  <si>
    <t>6/9</t>
  </si>
  <si>
    <t>10/15</t>
  </si>
  <si>
    <t>11/15</t>
  </si>
  <si>
    <t>20140409</t>
  </si>
  <si>
    <t>20150304</t>
  </si>
  <si>
    <t>20150511</t>
  </si>
  <si>
    <t>20150709</t>
  </si>
  <si>
    <t>20151214</t>
  </si>
  <si>
    <t>70</t>
  </si>
  <si>
    <t>(20150916送驗)</t>
  </si>
  <si>
    <t>20140521</t>
  </si>
  <si>
    <t>20141030</t>
  </si>
  <si>
    <t>1GAL</t>
  </si>
  <si>
    <t>20141222</t>
  </si>
  <si>
    <t>20141231</t>
  </si>
  <si>
    <t>20160324</t>
  </si>
  <si>
    <t>20160530</t>
  </si>
  <si>
    <t>20160831</t>
  </si>
  <si>
    <t>130</t>
  </si>
  <si>
    <t>GB8706-1</t>
  </si>
  <si>
    <t>GB8706-2</t>
  </si>
  <si>
    <t>53GL*2(20150916送驗)</t>
  </si>
  <si>
    <t>GB8707</t>
  </si>
  <si>
    <t>E39</t>
  </si>
  <si>
    <t>20170223</t>
  </si>
  <si>
    <t>GB8708</t>
  </si>
  <si>
    <t>NMPHW</t>
  </si>
  <si>
    <t>1010</t>
  </si>
  <si>
    <t>670</t>
  </si>
  <si>
    <t>MEK</t>
  </si>
  <si>
    <t>20</t>
  </si>
  <si>
    <t>EGHW</t>
  </si>
  <si>
    <t>140</t>
  </si>
  <si>
    <t>EEP</t>
  </si>
  <si>
    <t>400</t>
  </si>
  <si>
    <t>190</t>
  </si>
  <si>
    <t>120</t>
  </si>
  <si>
    <t>PG</t>
  </si>
  <si>
    <t>-30</t>
  </si>
  <si>
    <t>-20</t>
  </si>
  <si>
    <t>270</t>
  </si>
  <si>
    <t>1DPM-1
(DPM HAV)</t>
  </si>
  <si>
    <t>總量統計</t>
  </si>
  <si>
    <t>IPA</t>
  </si>
  <si>
    <t>EBR</t>
  </si>
  <si>
    <t>SEP05(E2)</t>
  </si>
  <si>
    <t>GAA</t>
  </si>
  <si>
    <t>ANONE</t>
  </si>
  <si>
    <t>#REF!</t>
  </si>
  <si>
    <t>5,609.0</t>
  </si>
  <si>
    <t>50.0</t>
  </si>
  <si>
    <t>ACT</t>
  </si>
  <si>
    <t>GBL</t>
  </si>
  <si>
    <t>NMP</t>
  </si>
  <si>
    <t>EG</t>
  </si>
  <si>
    <t>DPM HAV</t>
  </si>
  <si>
    <t>Sulfolane</t>
  </si>
  <si>
    <t>83.0</t>
  </si>
  <si>
    <t>4,050.0</t>
  </si>
  <si>
    <t>897.0</t>
  </si>
  <si>
    <t>103.0</t>
  </si>
  <si>
    <t>請直接以10進位，謝謝</t>
  </si>
  <si>
    <t>F19</t>
  </si>
  <si>
    <t>F24</t>
  </si>
  <si>
    <t>F25</t>
  </si>
  <si>
    <t>F26</t>
  </si>
  <si>
    <t>F27</t>
  </si>
  <si>
    <t>F28</t>
  </si>
  <si>
    <t>水份</t>
  </si>
  <si>
    <t>I9101</t>
  </si>
  <si>
    <t>20240326</t>
  </si>
  <si>
    <t>TK-604</t>
  </si>
  <si>
    <t>20240424</t>
  </si>
  <si>
    <t>I9102</t>
  </si>
  <si>
    <t>I9103</t>
  </si>
  <si>
    <t>C41</t>
  </si>
  <si>
    <t>I9104</t>
  </si>
  <si>
    <t>I9105</t>
  </si>
  <si>
    <t xml:space="preserve">1EBRHW
</t>
  </si>
  <si>
    <t>I9106</t>
  </si>
  <si>
    <t>I9107</t>
  </si>
  <si>
    <t>I9108</t>
  </si>
  <si>
    <t>I9109</t>
  </si>
  <si>
    <t>I9110</t>
  </si>
  <si>
    <t>I9111</t>
  </si>
  <si>
    <t>I9112</t>
  </si>
  <si>
    <t>I9113</t>
  </si>
  <si>
    <t>I9114</t>
  </si>
  <si>
    <t>I9115</t>
  </si>
  <si>
    <t>CPNE3</t>
  </si>
  <si>
    <t>I9116</t>
  </si>
  <si>
    <t>I9117</t>
  </si>
  <si>
    <t>CPNHW
(OEM)</t>
  </si>
  <si>
    <t>I9118</t>
  </si>
  <si>
    <t>I9119</t>
  </si>
  <si>
    <t>I9120</t>
  </si>
  <si>
    <t>I9121</t>
  </si>
  <si>
    <t>M
I
B
C
H
W</t>
  </si>
  <si>
    <t>R9101</t>
  </si>
  <si>
    <t>TK-601</t>
  </si>
  <si>
    <t>R9102</t>
  </si>
  <si>
    <t>290</t>
  </si>
  <si>
    <t>R9103</t>
  </si>
  <si>
    <t>0</t>
  </si>
  <si>
    <t>R9104</t>
  </si>
  <si>
    <t>R9105</t>
  </si>
  <si>
    <t>R9106</t>
  </si>
  <si>
    <t>R9107</t>
  </si>
  <si>
    <t>R9108</t>
  </si>
  <si>
    <t>R9109</t>
  </si>
  <si>
    <t>R9110</t>
  </si>
  <si>
    <t>G9101</t>
  </si>
  <si>
    <t>G9102</t>
  </si>
  <si>
    <t>G9103</t>
  </si>
  <si>
    <t>G9104</t>
  </si>
  <si>
    <t>G9105</t>
  </si>
  <si>
    <t>G9106</t>
  </si>
  <si>
    <t>G9107</t>
  </si>
  <si>
    <t>G9108</t>
  </si>
  <si>
    <t>AN9101</t>
  </si>
  <si>
    <t>AN9102</t>
  </si>
  <si>
    <t>-</t>
  </si>
  <si>
    <t>A9101</t>
  </si>
  <si>
    <t>20240425</t>
  </si>
  <si>
    <t>690</t>
  </si>
  <si>
    <t>A9102</t>
  </si>
  <si>
    <t>A9103</t>
  </si>
  <si>
    <t>A9104</t>
  </si>
  <si>
    <t>A9105</t>
  </si>
  <si>
    <t>A9106</t>
  </si>
  <si>
    <t>A9107</t>
  </si>
  <si>
    <t>A9108</t>
  </si>
  <si>
    <t>S208</t>
  </si>
  <si>
    <t>GB9101</t>
  </si>
  <si>
    <t>20210315</t>
  </si>
  <si>
    <t>-50</t>
  </si>
  <si>
    <t>換桶</t>
  </si>
  <si>
    <t>910</t>
  </si>
  <si>
    <t>1140</t>
  </si>
  <si>
    <t>20200818</t>
  </si>
  <si>
    <t>1130</t>
  </si>
  <si>
    <t>20161126</t>
  </si>
  <si>
    <t>2020/7/16</t>
  </si>
  <si>
    <t>研發取用</t>
  </si>
  <si>
    <t>1110</t>
  </si>
  <si>
    <t>20170728</t>
  </si>
  <si>
    <t>20170829</t>
  </si>
  <si>
    <t>20170927</t>
  </si>
  <si>
    <t>20171030</t>
  </si>
  <si>
    <t>20171129</t>
  </si>
  <si>
    <t>20171228</t>
  </si>
  <si>
    <t>20180129</t>
  </si>
  <si>
    <t>20180205</t>
  </si>
  <si>
    <t>-40</t>
  </si>
  <si>
    <t>20180328</t>
  </si>
  <si>
    <t>20180426</t>
  </si>
  <si>
    <t>20180530</t>
  </si>
  <si>
    <t>20180628</t>
  </si>
  <si>
    <t>20181130</t>
  </si>
  <si>
    <t>1150</t>
  </si>
  <si>
    <t>20180730</t>
  </si>
  <si>
    <t>20180890</t>
  </si>
  <si>
    <t>20180927</t>
  </si>
  <si>
    <t>20181030</t>
  </si>
  <si>
    <t>20181227</t>
  </si>
  <si>
    <t>20190130</t>
  </si>
  <si>
    <t>20190226</t>
  </si>
  <si>
    <t>20190328</t>
  </si>
  <si>
    <t>20190429</t>
  </si>
  <si>
    <t>20190530</t>
  </si>
  <si>
    <t>20190628</t>
  </si>
  <si>
    <t>20190730</t>
  </si>
  <si>
    <t>20190816</t>
  </si>
  <si>
    <t>GB8709</t>
  </si>
  <si>
    <t>20190829</t>
  </si>
  <si>
    <t>20190927</t>
  </si>
  <si>
    <t>20191029</t>
  </si>
  <si>
    <t>20191128</t>
  </si>
  <si>
    <t>20191226</t>
  </si>
  <si>
    <t>20200130</t>
  </si>
  <si>
    <t>20200226</t>
  </si>
  <si>
    <t>20200326</t>
  </si>
  <si>
    <t>20200430</t>
  </si>
  <si>
    <t>20200529</t>
  </si>
  <si>
    <t>20200629</t>
  </si>
  <si>
    <t>20200730</t>
  </si>
  <si>
    <t>20200827</t>
  </si>
  <si>
    <t>20200928</t>
  </si>
  <si>
    <t>20201028</t>
  </si>
  <si>
    <t>20201127</t>
  </si>
  <si>
    <t>GB9110</t>
  </si>
  <si>
    <t>20201225</t>
  </si>
  <si>
    <t>20210129</t>
  </si>
  <si>
    <t>20210224</t>
  </si>
  <si>
    <t>20210326</t>
  </si>
  <si>
    <t>1090</t>
  </si>
  <si>
    <t>20210427</t>
  </si>
  <si>
    <t>20210527</t>
  </si>
  <si>
    <t>20210629</t>
  </si>
  <si>
    <t>20210728</t>
  </si>
  <si>
    <t>20210826</t>
  </si>
  <si>
    <t>20210928</t>
  </si>
  <si>
    <t>20211027</t>
  </si>
  <si>
    <t>20211130</t>
  </si>
  <si>
    <t>20211229</t>
  </si>
  <si>
    <t>20220117</t>
  </si>
  <si>
    <t>GB9111</t>
  </si>
  <si>
    <t>20220126</t>
  </si>
  <si>
    <t>20220223</t>
  </si>
  <si>
    <t>20220329</t>
  </si>
  <si>
    <t>20220427</t>
  </si>
  <si>
    <t>20220629</t>
  </si>
  <si>
    <t>1080</t>
  </si>
  <si>
    <t>20220725</t>
  </si>
  <si>
    <t>20220826</t>
  </si>
  <si>
    <t>20220928</t>
  </si>
  <si>
    <t>20221025</t>
  </si>
  <si>
    <t>20221229</t>
  </si>
  <si>
    <t>20230130</t>
  </si>
  <si>
    <t>20230222</t>
  </si>
  <si>
    <t>20230327</t>
  </si>
  <si>
    <t>20230425</t>
  </si>
  <si>
    <t>20230529</t>
  </si>
  <si>
    <t>20230628</t>
  </si>
  <si>
    <t>20230725</t>
  </si>
  <si>
    <t>20230828</t>
  </si>
  <si>
    <t>20230926</t>
  </si>
  <si>
    <t>20231025</t>
  </si>
  <si>
    <t>GB9112</t>
  </si>
  <si>
    <t>20231122</t>
  </si>
  <si>
    <t>20231226</t>
  </si>
  <si>
    <t>8,920</t>
  </si>
  <si>
    <t>E9101</t>
  </si>
  <si>
    <t>E9102</t>
  </si>
  <si>
    <t>20240226</t>
  </si>
  <si>
    <t>350</t>
  </si>
  <si>
    <t>TK603</t>
  </si>
  <si>
    <t>E9103</t>
  </si>
  <si>
    <t>E9104</t>
  </si>
  <si>
    <t>E9105</t>
  </si>
  <si>
    <t>990</t>
  </si>
  <si>
    <t>285</t>
  </si>
  <si>
    <t>20240124</t>
  </si>
  <si>
    <t>20240202</t>
  </si>
  <si>
    <t>E9107</t>
  </si>
  <si>
    <t>E9108</t>
  </si>
  <si>
    <t>E9109</t>
  </si>
  <si>
    <t>E9110</t>
  </si>
  <si>
    <t>E9111</t>
  </si>
  <si>
    <t>C9101</t>
  </si>
  <si>
    <t>C9102</t>
  </si>
  <si>
    <t>C9103</t>
  </si>
  <si>
    <t>C9104</t>
  </si>
  <si>
    <t>20240426</t>
  </si>
  <si>
    <t>870</t>
  </si>
  <si>
    <t>C9105</t>
  </si>
  <si>
    <t>C9106</t>
  </si>
  <si>
    <t>C9107</t>
  </si>
  <si>
    <t>C9108</t>
  </si>
  <si>
    <t>C9109</t>
  </si>
  <si>
    <t>C9110</t>
  </si>
  <si>
    <t>C9111</t>
  </si>
  <si>
    <t>C9112</t>
  </si>
  <si>
    <t>C9113</t>
  </si>
  <si>
    <t>C9114</t>
  </si>
  <si>
    <t>C9115</t>
  </si>
  <si>
    <t>N9101</t>
  </si>
  <si>
    <t>20240320</t>
  </si>
  <si>
    <t>930</t>
  </si>
  <si>
    <t>N9102</t>
  </si>
  <si>
    <t>N9103</t>
  </si>
  <si>
    <t>TK611</t>
  </si>
  <si>
    <t>20240401</t>
  </si>
  <si>
    <t>N9104</t>
  </si>
  <si>
    <t>940</t>
  </si>
  <si>
    <t>N9105</t>
  </si>
  <si>
    <t>N9106</t>
  </si>
  <si>
    <t>N9107</t>
  </si>
  <si>
    <t>N9108</t>
  </si>
  <si>
    <t>N9109</t>
  </si>
  <si>
    <t>N9110</t>
  </si>
  <si>
    <t>N9111</t>
  </si>
  <si>
    <t>N9112</t>
  </si>
  <si>
    <t>N9113</t>
  </si>
  <si>
    <t>N9114</t>
  </si>
  <si>
    <t>N9115</t>
  </si>
  <si>
    <t>N9116</t>
  </si>
  <si>
    <t>N
S
E
H
W</t>
  </si>
  <si>
    <t>NS9101</t>
  </si>
  <si>
    <t>NS9102</t>
  </si>
  <si>
    <t>M9101</t>
  </si>
  <si>
    <t>20220407</t>
  </si>
  <si>
    <t>20230428</t>
  </si>
  <si>
    <t>TK667</t>
  </si>
  <si>
    <t>M9102</t>
  </si>
  <si>
    <t>M9103</t>
  </si>
  <si>
    <t>M9104</t>
  </si>
  <si>
    <t>M9105</t>
  </si>
  <si>
    <t>2,030</t>
  </si>
  <si>
    <t>D9101</t>
  </si>
  <si>
    <t>D9102</t>
  </si>
  <si>
    <t>D9103</t>
  </si>
  <si>
    <t>D9104</t>
  </si>
  <si>
    <t>D9105</t>
  </si>
  <si>
    <t>c</t>
  </si>
  <si>
    <t xml:space="preserve"> </t>
    <phoneticPr fontId="3" type="noConversion"/>
  </si>
  <si>
    <t>20240528</t>
  </si>
  <si>
    <t>250</t>
  </si>
  <si>
    <t>20240516</t>
  </si>
  <si>
    <t>840</t>
  </si>
  <si>
    <t>(回收液)</t>
  </si>
  <si>
    <t>1,440</t>
  </si>
  <si>
    <t>310</t>
  </si>
  <si>
    <t>730</t>
  </si>
  <si>
    <t>200</t>
  </si>
  <si>
    <t>890</t>
  </si>
  <si>
    <t>1030</t>
  </si>
  <si>
    <t>E9106
(5/30重驗)</t>
  </si>
  <si>
    <t>360</t>
  </si>
  <si>
    <t>20240523</t>
  </si>
  <si>
    <t>850</t>
  </si>
  <si>
    <t>880</t>
  </si>
  <si>
    <t>630</t>
  </si>
  <si>
    <t>202406XX</t>
  </si>
  <si>
    <t>TK675等單</t>
  </si>
  <si>
    <t>20240619</t>
  </si>
  <si>
    <t>530</t>
  </si>
  <si>
    <t>2024/6/24 14:52</t>
  </si>
  <si>
    <t>標記1</t>
  </si>
  <si>
    <t>標記2</t>
  </si>
  <si>
    <t>960</t>
  </si>
  <si>
    <t>1020</t>
  </si>
  <si>
    <t>7,100</t>
  </si>
  <si>
    <t>20240624</t>
  </si>
  <si>
    <t>810</t>
  </si>
  <si>
    <t>860</t>
  </si>
  <si>
    <t>9310</t>
  </si>
  <si>
    <t>830</t>
  </si>
  <si>
    <t>3,880</t>
  </si>
  <si>
    <t>2,270.0</t>
  </si>
  <si>
    <t>CPNE4R</t>
    <phoneticPr fontId="2" type="noConversion"/>
  </si>
  <si>
    <t>PMUPS</t>
    <phoneticPr fontId="3" type="noConversion"/>
  </si>
  <si>
    <t>待處理廢水</t>
    <phoneticPr fontId="2" type="noConversion"/>
  </si>
  <si>
    <t>EBR-P1R</t>
  </si>
  <si>
    <t>NMPUPS</t>
    <phoneticPr fontId="3" type="noConversion"/>
  </si>
  <si>
    <t>ACTUPS</t>
    <phoneticPr fontId="3" type="noConversion"/>
  </si>
  <si>
    <t>EGUPS</t>
  </si>
  <si>
    <t>EGUPS</t>
    <phoneticPr fontId="3" type="noConversion"/>
  </si>
  <si>
    <t>IPAUPS</t>
  </si>
  <si>
    <t>IPAUPS</t>
    <phoneticPr fontId="3" type="noConversion"/>
  </si>
  <si>
    <t>EBR-P1</t>
    <phoneticPr fontId="3" type="noConversion"/>
  </si>
  <si>
    <t>CPN-P1</t>
    <phoneticPr fontId="3" type="noConversion"/>
  </si>
  <si>
    <t>CPN-P1R</t>
  </si>
  <si>
    <t>IPAHW</t>
    <phoneticPr fontId="3" type="noConversion"/>
  </si>
  <si>
    <t>HEAVY ENDS</t>
    <phoneticPr fontId="3" type="noConversion"/>
  </si>
  <si>
    <t>CPN-R</t>
    <phoneticPr fontId="3" type="noConversion"/>
  </si>
  <si>
    <t>NBAC-P1</t>
    <phoneticPr fontId="3" type="noConversion"/>
  </si>
  <si>
    <t>NBAC-P1R</t>
    <phoneticPr fontId="3" type="noConversion"/>
  </si>
  <si>
    <t>CPNE3</t>
    <phoneticPr fontId="3" type="noConversion"/>
  </si>
  <si>
    <t>CPN</t>
  </si>
  <si>
    <t>SEP73E3</t>
    <phoneticPr fontId="3" type="noConversion"/>
  </si>
  <si>
    <t>GAAUPS</t>
    <phoneticPr fontId="3" type="noConversion"/>
  </si>
  <si>
    <t>IPAHQ</t>
    <phoneticPr fontId="2" type="noConversion"/>
  </si>
  <si>
    <t>CPNE3(T)</t>
    <phoneticPr fontId="2" type="noConversion"/>
  </si>
  <si>
    <t>CPN</t>
    <phoneticPr fontId="2" type="noConversion"/>
  </si>
  <si>
    <t>IPA</t>
    <phoneticPr fontId="2" type="noConversion"/>
  </si>
  <si>
    <t>EBR-P1</t>
    <phoneticPr fontId="2" type="noConversion"/>
  </si>
  <si>
    <t>C50110-INV-01(01)</t>
    <phoneticPr fontId="3" type="noConversion"/>
  </si>
  <si>
    <t>DPM-1</t>
    <phoneticPr fontId="3" type="noConversion"/>
  </si>
  <si>
    <t>CPNE3</t>
    <phoneticPr fontId="2" type="noConversion"/>
  </si>
  <si>
    <t xml:space="preserve"> 液位</t>
  </si>
  <si>
    <t>待處理廢水</t>
    <phoneticPr fontId="3" type="noConversion"/>
  </si>
  <si>
    <r>
      <t>EBR</t>
    </r>
    <r>
      <rPr>
        <sz val="7"/>
        <color rgb="FFC00000"/>
        <rFont val="微軟正黑體"/>
        <family val="2"/>
        <charset val="136"/>
      </rPr>
      <t>廢溶劑</t>
    </r>
    <phoneticPr fontId="3" type="noConversion"/>
  </si>
  <si>
    <t>EBR95</t>
    <phoneticPr fontId="3" type="noConversion"/>
  </si>
  <si>
    <t>PMA-C</t>
    <phoneticPr fontId="3" type="noConversion"/>
  </si>
  <si>
    <t>洪源松</t>
    <phoneticPr fontId="2" type="noConversion"/>
  </si>
  <si>
    <t>1.儲槽集水井是否關閉(雨天時打開)______
2.馬達pump是否關閉________________
3.現場是否有洩漏__________________
4.儲槽壓力是否正常________________ 
5.儲槽周邊是否異常________________ 
6.現場1T桶GHS標示是否脫落或模糊 ______ 
7.蒸氣是否開啟 ______   當天預報最低氣溫 33
蒸氣壓力 ______ (最低氣溫低於16度開啟)</t>
    <phoneticPr fontId="3" type="noConversion"/>
  </si>
  <si>
    <t>許原暢</t>
    <phoneticPr fontId="2" type="noConversion"/>
  </si>
  <si>
    <t>1.儲槽集水井是否關閉(雨天時打開)______
2.馬達pump是否關閉________________
3.現場是否有洩漏__________________
4.儲槽壓力是否正常________________ 
5.儲槽周邊是否異常________________ 
6.現場1T桶GHS標示是否脫落或模糊 ______ 
7.蒸氣是否開啟 ______   當天預報最低氣溫 27
蒸氣壓力 ______ (最低氣溫低於16度開啟)</t>
    <phoneticPr fontId="3" type="noConversion"/>
  </si>
  <si>
    <t>陳志修</t>
    <phoneticPr fontId="2" type="noConversion"/>
  </si>
  <si>
    <t>1.儲槽集水井是否關閉(雨天時打開)______
2.馬達pump是否關閉________________
3.現場是否有洩漏__________________
4.儲槽壓力是否正常________________ 
5.儲槽周邊是否異常________________ 
6.現場1T桶GHS標示是否脫落或模糊 ______ 
7.蒸氣是否開啟 ______   當天預報最低氣溫 28
蒸氣壓力 ______ (最低氣溫低於16度開啟)</t>
    <phoneticPr fontId="3" type="noConversion"/>
  </si>
  <si>
    <t>1.儲槽集水井是否關閉(雨天時打開)______
2.馬達pump是否關閉________________
3.現場是否有洩漏__________________
4.儲槽壓力是否正常________________ 
5.儲槽周邊是否異常________________ 
6.現場1T桶GHS標示是否脫落或模糊 ______ 
7.蒸氣是否開啟 ______   當天預報最低氣溫 34
蒸氣壓力 ______ (最低氣溫低於16度開啟)</t>
    <phoneticPr fontId="3" type="noConversion"/>
  </si>
  <si>
    <t>1.儲槽集水井是否關閉(雨天時打開)______
2.馬達pump是否關閉________________
3.現場是否有洩漏__________________
4.儲槽壓力是否正常________________ 
5.儲槽周邊是否異常________________ 
6.現場1T桶GHS標示是否脫落或模糊 ______ 
7.蒸氣是否開啟 ______   當天預報最低氣溫 26
蒸氣壓力 ______ (最低氣溫低於16度開啟)</t>
    <phoneticPr fontId="3" type="noConversion"/>
  </si>
  <si>
    <r>
      <t>EBR</t>
    </r>
    <r>
      <rPr>
        <sz val="7"/>
        <rFont val="微軟正黑體"/>
        <family val="2"/>
        <charset val="136"/>
      </rPr>
      <t>廢溶劑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</si>
</sst>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76" formatCode="_(&quot;$&quot;* #,##0.00_);_(&quot;$&quot;* \(#,##0.00\);_(&quot;$&quot;* &quot;-&quot;??_);_(@_)"/>
    <numFmt numFmtId="177" formatCode="_(* #,##0.00_);_(* \(#,##0.00\);_(* &quot;-&quot;??_);_(@_)"/>
    <numFmt numFmtId="178" formatCode="0_);[Red]\(0\)"/>
    <numFmt numFmtId="179" formatCode="0_ "/>
    <numFmt numFmtId="180" formatCode="#,##0.0000"/>
    <numFmt numFmtId="181" formatCode="0.0000_ "/>
    <numFmt numFmtId="182" formatCode="0.0000"/>
    <numFmt numFmtId="183" formatCode="[&lt;0]&quot;0&quot;;0"/>
    <numFmt numFmtId="184" formatCode="m&quot;月&quot;d&quot;日&quot;"/>
  </numFmts>
  <fonts count="36">
    <font>
      <sz val="12"/>
      <color theme="1"/>
      <name val="新細明體"/>
      <family val="2"/>
      <scheme val="minor"/>
    </font>
    <font>
      <sz val="12"/>
      <name val="新細明體"/>
      <family val="1"/>
      <charset val="136"/>
    </font>
    <font>
      <sz val="9"/>
      <name val="新細明體"/>
      <family val="3"/>
      <charset val="136"/>
      <scheme val="minor"/>
    </font>
    <font>
      <sz val="9"/>
      <name val="新細明體"/>
      <family val="1"/>
      <charset val="136"/>
    </font>
    <font>
      <sz val="9"/>
      <name val="細明體"/>
      <family val="3"/>
      <charset val="136"/>
    </font>
    <font>
      <sz val="12"/>
      <color theme="1"/>
      <name val="新細明體"/>
      <family val="1"/>
      <charset val="136"/>
      <scheme val="minor"/>
    </font>
    <font>
      <sz val="12"/>
      <name val="DotumChe"/>
      <family val="3"/>
      <charset val="129"/>
    </font>
    <font>
      <sz val="12"/>
      <name val="細明體"/>
      <family val="3"/>
      <charset val="136"/>
    </font>
    <font>
      <sz val="14"/>
      <name val="DotumChe"/>
      <family val="3"/>
      <charset val="129"/>
    </font>
    <font>
      <b/>
      <sz val="14"/>
      <color rgb="FF0000FF"/>
      <name val="DotumChe"/>
      <family val="3"/>
      <charset val="129"/>
    </font>
    <font>
      <sz val="14"/>
      <name val="細明體"/>
      <family val="3"/>
      <charset val="136"/>
    </font>
    <font>
      <sz val="18"/>
      <color rgb="FFFF0000"/>
      <name val="微軟正黑體"/>
      <family val="2"/>
      <charset val="136"/>
    </font>
    <font>
      <b/>
      <sz val="12"/>
      <name val="微軟正黑體"/>
      <family val="2"/>
      <charset val="136"/>
    </font>
    <font>
      <sz val="12"/>
      <name val="微軟正黑體"/>
      <family val="2"/>
      <charset val="136"/>
    </font>
    <font>
      <sz val="14"/>
      <name val="微軟正黑體"/>
      <family val="2"/>
      <charset val="136"/>
    </font>
    <font>
      <sz val="6"/>
      <name val="微軟正黑體"/>
      <family val="2"/>
      <charset val="136"/>
    </font>
    <font>
      <sz val="16"/>
      <name val="微軟正黑體"/>
      <family val="2"/>
      <charset val="136"/>
    </font>
    <font>
      <sz val="10"/>
      <name val="微軟正黑體"/>
      <family val="2"/>
      <charset val="136"/>
    </font>
    <font>
      <sz val="11"/>
      <name val="微軟正黑體"/>
      <family val="2"/>
      <charset val="136"/>
    </font>
    <font>
      <sz val="14"/>
      <color rgb="FFFF0000"/>
      <name val="微軟正黑體"/>
      <family val="2"/>
      <charset val="136"/>
    </font>
    <font>
      <sz val="8"/>
      <name val="微軟正黑體"/>
      <family val="2"/>
      <charset val="136"/>
    </font>
    <font>
      <u/>
      <sz val="16"/>
      <name val="微軟正黑體"/>
      <family val="2"/>
      <charset val="136"/>
    </font>
    <font>
      <sz val="9"/>
      <name val="微軟正黑體"/>
      <family val="2"/>
      <charset val="136"/>
    </font>
    <font>
      <vertAlign val="superscript"/>
      <sz val="8"/>
      <name val="微軟正黑體"/>
      <family val="2"/>
      <charset val="136"/>
    </font>
    <font>
      <vertAlign val="subscript"/>
      <sz val="8"/>
      <name val="微軟正黑體"/>
      <family val="2"/>
      <charset val="136"/>
    </font>
    <font>
      <u/>
      <sz val="9"/>
      <name val="微軟正黑體"/>
      <family val="2"/>
      <charset val="136"/>
    </font>
    <font>
      <sz val="7"/>
      <name val="微軟正黑體"/>
      <family val="2"/>
      <charset val="136"/>
    </font>
    <font>
      <sz val="9"/>
      <color theme="1"/>
      <name val="微軟正黑體"/>
      <family val="2"/>
      <charset val="136"/>
    </font>
    <font>
      <sz val="7.5"/>
      <name val="微軟正黑體"/>
      <family val="2"/>
      <charset val="136"/>
    </font>
    <font>
      <u/>
      <sz val="9"/>
      <color theme="7" tint="-0.499984740745262"/>
      <name val="微軟正黑體"/>
      <family val="2"/>
      <charset val="136"/>
    </font>
    <font>
      <sz val="9"/>
      <color theme="7" tint="-0.499984740745262"/>
      <name val="微軟正黑體"/>
      <family val="2"/>
      <charset val="136"/>
    </font>
    <font>
      <sz val="8.5"/>
      <name val="微軟正黑體"/>
      <family val="2"/>
      <charset val="136"/>
    </font>
    <font>
      <b/>
      <sz val="22"/>
      <name val="微軟正黑體"/>
      <family val="2"/>
      <charset val="136"/>
    </font>
    <font>
      <sz val="8"/>
      <color rgb="FFC00000"/>
      <name val="微軟正黑體"/>
      <family val="2"/>
      <charset val="136"/>
    </font>
    <font>
      <sz val="7"/>
      <color rgb="FFC00000"/>
      <name val="微軟正黑體"/>
      <family val="2"/>
      <charset val="136"/>
    </font>
    <font>
      <sz val="12"/>
      <color rgb="FF000000"/>
      <name val="新細明體"/>
      <family val="1"/>
      <charset val="136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5" tint="0.59999389629810485"/>
        <bgColor indexed="64"/>
      </patternFill>
    </fill>
  </fills>
  <borders count="6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dashed">
        <color indexed="64"/>
      </left>
      <right style="dashed">
        <color indexed="64"/>
      </right>
      <top/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ashed">
        <color indexed="64"/>
      </left>
      <right style="dashed">
        <color indexed="64"/>
      </right>
      <top/>
      <bottom style="double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dashed">
        <color indexed="64"/>
      </left>
      <right style="dashed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dotted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dotted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double">
        <color indexed="64"/>
      </bottom>
      <diagonal/>
    </border>
    <border>
      <left/>
      <right style="dashed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 diagonalDown="1">
      <left style="thin">
        <color indexed="64"/>
      </left>
      <right/>
      <top style="thin">
        <color indexed="64"/>
      </top>
      <bottom/>
      <diagonal style="thin">
        <color indexed="64"/>
      </diagonal>
    </border>
    <border diagonalDown="1">
      <left/>
      <right style="thin">
        <color indexed="64"/>
      </right>
      <top style="thin">
        <color indexed="64"/>
      </top>
      <bottom/>
      <diagonal style="thin">
        <color indexed="64"/>
      </diagonal>
    </border>
    <border diagonalDown="1">
      <left style="thin">
        <color indexed="64"/>
      </left>
      <right/>
      <top/>
      <bottom style="thin">
        <color indexed="64"/>
      </bottom>
      <diagonal style="thin">
        <color indexed="64"/>
      </diagonal>
    </border>
    <border diagonalDown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>
      <left style="double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/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hair">
        <color indexed="64"/>
      </right>
      <top style="hair">
        <color indexed="64"/>
      </top>
      <bottom/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double">
        <color indexed="64"/>
      </left>
      <right/>
      <top/>
      <bottom/>
      <diagonal/>
    </border>
  </borders>
  <cellStyleXfs count="23">
    <xf numFmtId="0" fontId="0" fillId="0" borderId="0"/>
    <xf numFmtId="0" fontId="1" fillId="0" borderId="0"/>
    <xf numFmtId="0" fontId="1" fillId="0" borderId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" fillId="0" borderId="0">
      <alignment vertical="center"/>
    </xf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</cellStyleXfs>
  <cellXfs count="242">
    <xf numFmtId="0" fontId="0" fillId="0" borderId="0" xfId="0"/>
    <xf numFmtId="0" fontId="6" fillId="3" borderId="5" xfId="1" applyFont="1" applyFill="1" applyBorder="1" applyAlignment="1">
      <alignment horizontal="left" vertical="center" wrapText="1"/>
    </xf>
    <xf numFmtId="0" fontId="8" fillId="3" borderId="17" xfId="1" applyFont="1" applyFill="1" applyBorder="1" applyAlignment="1">
      <alignment horizontal="center" vertical="center"/>
    </xf>
    <xf numFmtId="49" fontId="9" fillId="4" borderId="17" xfId="1" applyNumberFormat="1" applyFont="1" applyFill="1" applyBorder="1" applyAlignment="1">
      <alignment horizontal="center" vertical="center"/>
    </xf>
    <xf numFmtId="0" fontId="8" fillId="3" borderId="17" xfId="1" applyFont="1" applyFill="1" applyBorder="1" applyAlignment="1">
      <alignment horizontal="center" vertical="center" wrapText="1"/>
    </xf>
    <xf numFmtId="180" fontId="9" fillId="4" borderId="17" xfId="1" applyNumberFormat="1" applyFont="1" applyFill="1" applyBorder="1" applyAlignment="1">
      <alignment horizontal="center" vertical="center" wrapText="1"/>
    </xf>
    <xf numFmtId="0" fontId="8" fillId="0" borderId="0" xfId="1" applyFont="1" applyAlignment="1">
      <alignment vertical="center"/>
    </xf>
    <xf numFmtId="0" fontId="8" fillId="0" borderId="18" xfId="1" applyFont="1" applyFill="1" applyBorder="1" applyAlignment="1">
      <alignment horizontal="center" vertical="center" wrapText="1"/>
    </xf>
    <xf numFmtId="0" fontId="8" fillId="0" borderId="19" xfId="1" applyFont="1" applyFill="1" applyBorder="1" applyAlignment="1">
      <alignment horizontal="center" vertical="center"/>
    </xf>
    <xf numFmtId="0" fontId="8" fillId="4" borderId="19" xfId="1" applyFont="1" applyFill="1" applyBorder="1" applyAlignment="1">
      <alignment horizontal="center" vertical="center"/>
    </xf>
    <xf numFmtId="0" fontId="8" fillId="0" borderId="19" xfId="1" applyFont="1" applyFill="1" applyBorder="1" applyAlignment="1">
      <alignment horizontal="center" vertical="center" wrapText="1"/>
    </xf>
    <xf numFmtId="181" fontId="8" fillId="0" borderId="19" xfId="1" applyNumberFormat="1" applyFont="1" applyFill="1" applyBorder="1" applyAlignment="1">
      <alignment horizontal="center" vertical="center"/>
    </xf>
    <xf numFmtId="0" fontId="8" fillId="0" borderId="0" xfId="1" applyFont="1" applyFill="1" applyBorder="1" applyAlignment="1">
      <alignment horizontal="center" vertical="center"/>
    </xf>
    <xf numFmtId="0" fontId="8" fillId="0" borderId="0" xfId="1" applyFont="1" applyFill="1" applyAlignment="1">
      <alignment vertical="center"/>
    </xf>
    <xf numFmtId="0" fontId="8" fillId="0" borderId="19" xfId="1" applyNumberFormat="1" applyFont="1" applyFill="1" applyBorder="1" applyAlignment="1">
      <alignment horizontal="center" vertical="center"/>
    </xf>
    <xf numFmtId="0" fontId="8" fillId="0" borderId="20" xfId="1" applyFont="1" applyBorder="1" applyAlignment="1">
      <alignment horizontal="center" vertical="center"/>
    </xf>
    <xf numFmtId="180" fontId="8" fillId="0" borderId="21" xfId="1" applyNumberFormat="1" applyFont="1" applyBorder="1" applyAlignment="1">
      <alignment horizontal="center" vertical="center"/>
    </xf>
    <xf numFmtId="180" fontId="8" fillId="4" borderId="21" xfId="1" applyNumberFormat="1" applyFont="1" applyFill="1" applyBorder="1" applyAlignment="1">
      <alignment horizontal="center" vertical="center"/>
    </xf>
    <xf numFmtId="180" fontId="8" fillId="0" borderId="22" xfId="1" applyNumberFormat="1" applyFont="1" applyBorder="1" applyAlignment="1">
      <alignment horizontal="center" vertical="center"/>
    </xf>
    <xf numFmtId="180" fontId="8" fillId="4" borderId="22" xfId="1" applyNumberFormat="1" applyFont="1" applyFill="1" applyBorder="1" applyAlignment="1">
      <alignment horizontal="center" vertical="center"/>
    </xf>
    <xf numFmtId="180" fontId="8" fillId="0" borderId="23" xfId="1" applyNumberFormat="1" applyFont="1" applyBorder="1" applyAlignment="1">
      <alignment horizontal="center" vertical="center"/>
    </xf>
    <xf numFmtId="0" fontId="8" fillId="0" borderId="24" xfId="1" applyFont="1" applyBorder="1" applyAlignment="1">
      <alignment horizontal="center" vertical="center"/>
    </xf>
    <xf numFmtId="180" fontId="8" fillId="0" borderId="25" xfId="1" applyNumberFormat="1" applyFont="1" applyBorder="1" applyAlignment="1">
      <alignment horizontal="center" vertical="center"/>
    </xf>
    <xf numFmtId="180" fontId="8" fillId="0" borderId="19" xfId="1" applyNumberFormat="1" applyFont="1" applyBorder="1" applyAlignment="1">
      <alignment horizontal="center" vertical="center"/>
    </xf>
    <xf numFmtId="180" fontId="8" fillId="4" borderId="19" xfId="1" applyNumberFormat="1" applyFont="1" applyFill="1" applyBorder="1" applyAlignment="1">
      <alignment horizontal="center" vertical="center"/>
    </xf>
    <xf numFmtId="180" fontId="8" fillId="0" borderId="0" xfId="1" applyNumberFormat="1" applyFont="1" applyAlignment="1">
      <alignment horizontal="center" vertical="center"/>
    </xf>
    <xf numFmtId="0" fontId="8" fillId="0" borderId="26" xfId="1" applyFont="1" applyBorder="1" applyAlignment="1">
      <alignment horizontal="center" vertical="center"/>
    </xf>
    <xf numFmtId="180" fontId="8" fillId="0" borderId="27" xfId="1" applyNumberFormat="1" applyFont="1" applyBorder="1" applyAlignment="1">
      <alignment horizontal="center" vertical="center"/>
    </xf>
    <xf numFmtId="180" fontId="8" fillId="0" borderId="28" xfId="1" applyNumberFormat="1" applyFont="1" applyBorder="1" applyAlignment="1">
      <alignment horizontal="center" vertical="center"/>
    </xf>
    <xf numFmtId="180" fontId="8" fillId="4" borderId="28" xfId="1" applyNumberFormat="1" applyFont="1" applyFill="1" applyBorder="1" applyAlignment="1">
      <alignment horizontal="center" vertical="center"/>
    </xf>
    <xf numFmtId="180" fontId="8" fillId="4" borderId="27" xfId="1" applyNumberFormat="1" applyFont="1" applyFill="1" applyBorder="1" applyAlignment="1">
      <alignment horizontal="center" vertical="center"/>
    </xf>
    <xf numFmtId="180" fontId="8" fillId="0" borderId="25" xfId="1" applyNumberFormat="1" applyFont="1" applyFill="1" applyBorder="1" applyAlignment="1">
      <alignment horizontal="center" vertical="center"/>
    </xf>
    <xf numFmtId="0" fontId="8" fillId="0" borderId="29" xfId="1" applyFont="1" applyBorder="1" applyAlignment="1">
      <alignment horizontal="center" vertical="center"/>
    </xf>
    <xf numFmtId="180" fontId="8" fillId="0" borderId="30" xfId="1" applyNumberFormat="1" applyFont="1" applyBorder="1" applyAlignment="1">
      <alignment horizontal="center" vertical="center"/>
    </xf>
    <xf numFmtId="180" fontId="8" fillId="0" borderId="21" xfId="1" applyNumberFormat="1" applyFont="1" applyBorder="1" applyAlignment="1">
      <alignment horizontal="center" vertical="center" wrapText="1"/>
    </xf>
    <xf numFmtId="180" fontId="8" fillId="0" borderId="25" xfId="1" applyNumberFormat="1" applyFont="1" applyBorder="1" applyAlignment="1">
      <alignment horizontal="center" vertical="center" wrapText="1"/>
    </xf>
    <xf numFmtId="180" fontId="8" fillId="0" borderId="27" xfId="1" applyNumberFormat="1" applyFont="1" applyBorder="1" applyAlignment="1">
      <alignment horizontal="center" vertical="center" wrapText="1"/>
    </xf>
    <xf numFmtId="180" fontId="8" fillId="0" borderId="27" xfId="1" applyNumberFormat="1" applyFont="1" applyFill="1" applyBorder="1" applyAlignment="1">
      <alignment horizontal="center" vertical="center"/>
    </xf>
    <xf numFmtId="0" fontId="8" fillId="0" borderId="31" xfId="1" applyFont="1" applyBorder="1" applyAlignment="1">
      <alignment horizontal="center" vertical="center"/>
    </xf>
    <xf numFmtId="180" fontId="8" fillId="0" borderId="22" xfId="1" applyNumberFormat="1" applyFont="1" applyBorder="1" applyAlignment="1">
      <alignment horizontal="center" vertical="center" wrapText="1"/>
    </xf>
    <xf numFmtId="180" fontId="8" fillId="0" borderId="22" xfId="1" applyNumberFormat="1" applyFont="1" applyBorder="1" applyAlignment="1">
      <alignment horizontal="center" wrapText="1"/>
    </xf>
    <xf numFmtId="180" fontId="8" fillId="0" borderId="22" xfId="1" applyNumberFormat="1" applyFont="1" applyFill="1" applyBorder="1" applyAlignment="1">
      <alignment horizontal="center" vertical="center"/>
    </xf>
    <xf numFmtId="0" fontId="8" fillId="0" borderId="32" xfId="1" applyFont="1" applyBorder="1" applyAlignment="1">
      <alignment horizontal="center" vertical="center"/>
    </xf>
    <xf numFmtId="180" fontId="8" fillId="0" borderId="33" xfId="1" applyNumberFormat="1" applyFont="1" applyBorder="1" applyAlignment="1">
      <alignment horizontal="center" vertical="center"/>
    </xf>
    <xf numFmtId="180" fontId="8" fillId="0" borderId="25" xfId="1" applyNumberFormat="1" applyFont="1" applyBorder="1" applyAlignment="1">
      <alignment horizontal="center" wrapText="1"/>
    </xf>
    <xf numFmtId="180" fontId="8" fillId="0" borderId="27" xfId="1" applyNumberFormat="1" applyFont="1" applyBorder="1" applyAlignment="1">
      <alignment horizontal="center" wrapText="1"/>
    </xf>
    <xf numFmtId="0" fontId="8" fillId="0" borderId="34" xfId="1" applyFont="1" applyBorder="1" applyAlignment="1">
      <alignment horizontal="center" vertical="center"/>
    </xf>
    <xf numFmtId="0" fontId="8" fillId="0" borderId="0" xfId="1" applyFont="1" applyAlignment="1">
      <alignment horizontal="center" vertical="center"/>
    </xf>
    <xf numFmtId="0" fontId="8" fillId="0" borderId="35" xfId="1" applyFont="1" applyBorder="1" applyAlignment="1">
      <alignment horizontal="center" vertical="center"/>
    </xf>
    <xf numFmtId="181" fontId="8" fillId="0" borderId="0" xfId="1" applyNumberFormat="1" applyFont="1" applyAlignment="1">
      <alignment horizontal="center" vertical="center"/>
    </xf>
    <xf numFmtId="0" fontId="8" fillId="0" borderId="36" xfId="1" applyFont="1" applyBorder="1" applyAlignment="1">
      <alignment vertical="center"/>
    </xf>
    <xf numFmtId="180" fontId="8" fillId="0" borderId="0" xfId="1" applyNumberFormat="1" applyFont="1" applyAlignment="1">
      <alignment vertical="center"/>
    </xf>
    <xf numFmtId="182" fontId="8" fillId="0" borderId="19" xfId="1" applyNumberFormat="1" applyFont="1" applyFill="1" applyBorder="1" applyAlignment="1">
      <alignment horizontal="center" vertical="center"/>
    </xf>
    <xf numFmtId="0" fontId="13" fillId="0" borderId="0" xfId="1" applyFont="1" applyAlignment="1">
      <alignment vertical="center"/>
    </xf>
    <xf numFmtId="0" fontId="13" fillId="0" borderId="0" xfId="1" applyFont="1"/>
    <xf numFmtId="0" fontId="13" fillId="0" borderId="0" xfId="1" applyFont="1" applyAlignment="1">
      <alignment horizontal="center" vertical="center"/>
    </xf>
    <xf numFmtId="0" fontId="15" fillId="0" borderId="0" xfId="1" applyFont="1" applyAlignment="1">
      <alignment horizontal="center" vertical="center"/>
    </xf>
    <xf numFmtId="0" fontId="16" fillId="0" borderId="0" xfId="1" applyFont="1" applyAlignment="1">
      <alignment horizontal="center" vertical="center"/>
    </xf>
    <xf numFmtId="0" fontId="17" fillId="0" borderId="0" xfId="1" applyFont="1" applyAlignment="1">
      <alignment vertical="center" wrapText="1"/>
    </xf>
    <xf numFmtId="0" fontId="15" fillId="0" borderId="0" xfId="1" applyFont="1" applyAlignment="1">
      <alignment vertical="center"/>
    </xf>
    <xf numFmtId="0" fontId="18" fillId="0" borderId="0" xfId="1" applyFont="1" applyAlignment="1">
      <alignment horizontal="right" vertical="center"/>
    </xf>
    <xf numFmtId="0" fontId="19" fillId="0" borderId="0" xfId="1" applyFont="1" applyAlignment="1">
      <alignment vertical="center"/>
    </xf>
    <xf numFmtId="3" fontId="11" fillId="0" borderId="0" xfId="1" applyNumberFormat="1" applyFont="1" applyAlignment="1">
      <alignment horizontal="center" vertical="center"/>
    </xf>
    <xf numFmtId="0" fontId="13" fillId="0" borderId="0" xfId="1" applyFont="1" applyAlignment="1">
      <alignment horizontal="center"/>
    </xf>
    <xf numFmtId="0" fontId="13" fillId="2" borderId="0" xfId="1" applyFont="1" applyFill="1"/>
    <xf numFmtId="0" fontId="13" fillId="2" borderId="0" xfId="1" applyFont="1" applyFill="1" applyBorder="1"/>
    <xf numFmtId="0" fontId="14" fillId="2" borderId="0" xfId="1" applyFont="1" applyFill="1"/>
    <xf numFmtId="0" fontId="17" fillId="2" borderId="3" xfId="1" applyFont="1" applyFill="1" applyBorder="1" applyAlignment="1">
      <alignment horizontal="center" vertical="center"/>
    </xf>
    <xf numFmtId="0" fontId="22" fillId="2" borderId="3" xfId="1" applyFont="1" applyFill="1" applyBorder="1" applyAlignment="1">
      <alignment horizontal="center" vertical="center"/>
    </xf>
    <xf numFmtId="0" fontId="13" fillId="2" borderId="3" xfId="1" applyFont="1" applyFill="1" applyBorder="1"/>
    <xf numFmtId="0" fontId="20" fillId="2" borderId="3" xfId="1" applyFont="1" applyFill="1" applyBorder="1" applyAlignment="1">
      <alignment horizontal="center" vertical="top" wrapText="1"/>
    </xf>
    <xf numFmtId="183" fontId="22" fillId="2" borderId="3" xfId="2" applyNumberFormat="1" applyFont="1" applyFill="1" applyBorder="1" applyAlignment="1">
      <alignment horizontal="center" vertical="center"/>
    </xf>
    <xf numFmtId="0" fontId="20" fillId="2" borderId="0" xfId="1" applyFont="1" applyFill="1"/>
    <xf numFmtId="179" fontId="22" fillId="2" borderId="3" xfId="1" applyNumberFormat="1" applyFont="1" applyFill="1" applyBorder="1" applyAlignment="1">
      <alignment horizontal="center" vertical="center"/>
    </xf>
    <xf numFmtId="0" fontId="22" fillId="2" borderId="3" xfId="0" applyFont="1" applyFill="1" applyBorder="1" applyAlignment="1">
      <alignment horizontal="center" vertical="center"/>
    </xf>
    <xf numFmtId="178" fontId="13" fillId="2" borderId="0" xfId="1" applyNumberFormat="1" applyFont="1" applyFill="1"/>
    <xf numFmtId="0" fontId="25" fillId="2" borderId="3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top"/>
    </xf>
    <xf numFmtId="183" fontId="22" fillId="2" borderId="4" xfId="2" applyNumberFormat="1" applyFont="1" applyFill="1" applyBorder="1" applyAlignment="1">
      <alignment horizontal="center" vertical="center"/>
    </xf>
    <xf numFmtId="0" fontId="20" fillId="2" borderId="7" xfId="1" applyFont="1" applyFill="1" applyBorder="1" applyAlignment="1">
      <alignment horizontal="center" vertical="center"/>
    </xf>
    <xf numFmtId="0" fontId="20" fillId="2" borderId="39" xfId="1" applyFont="1" applyFill="1" applyBorder="1" applyAlignment="1">
      <alignment horizontal="center" vertical="center"/>
    </xf>
    <xf numFmtId="0" fontId="22" fillId="2" borderId="2" xfId="0" applyFont="1" applyFill="1" applyBorder="1" applyAlignment="1">
      <alignment horizontal="center" vertical="center"/>
    </xf>
    <xf numFmtId="20" fontId="17" fillId="2" borderId="8" xfId="1" applyNumberFormat="1" applyFont="1" applyFill="1" applyBorder="1" applyAlignment="1">
      <alignment horizontal="center" vertical="center"/>
    </xf>
    <xf numFmtId="0" fontId="20" fillId="2" borderId="8" xfId="1" applyFont="1" applyFill="1" applyBorder="1" applyAlignment="1">
      <alignment horizontal="center" vertical="center"/>
    </xf>
    <xf numFmtId="0" fontId="22" fillId="2" borderId="8" xfId="0" applyFont="1" applyFill="1" applyBorder="1" applyAlignment="1">
      <alignment horizontal="center" vertical="center"/>
    </xf>
    <xf numFmtId="0" fontId="17" fillId="2" borderId="4" xfId="1" applyFont="1" applyFill="1" applyBorder="1" applyAlignment="1">
      <alignment horizontal="center" vertical="center"/>
    </xf>
    <xf numFmtId="0" fontId="22" fillId="2" borderId="40" xfId="1" applyFont="1" applyFill="1" applyBorder="1" applyAlignment="1">
      <alignment horizontal="center" vertical="center"/>
    </xf>
    <xf numFmtId="0" fontId="27" fillId="2" borderId="40" xfId="1" applyFont="1" applyFill="1" applyBorder="1" applyAlignment="1">
      <alignment horizontal="center" vertical="center"/>
    </xf>
    <xf numFmtId="0" fontId="22" fillId="2" borderId="3" xfId="1" applyFont="1" applyFill="1" applyBorder="1" applyAlignment="1">
      <alignment horizontal="center" vertical="top"/>
    </xf>
    <xf numFmtId="0" fontId="27" fillId="2" borderId="3" xfId="1" applyFont="1" applyFill="1" applyBorder="1" applyAlignment="1">
      <alignment horizontal="center" vertical="top"/>
    </xf>
    <xf numFmtId="183" fontId="27" fillId="2" borderId="3" xfId="2" applyNumberFormat="1" applyFont="1" applyFill="1" applyBorder="1" applyAlignment="1">
      <alignment horizontal="center" vertical="center"/>
    </xf>
    <xf numFmtId="183" fontId="22" fillId="2" borderId="3" xfId="1" applyNumberFormat="1" applyFont="1" applyFill="1" applyBorder="1" applyAlignment="1">
      <alignment horizontal="center" vertical="center" wrapText="1"/>
    </xf>
    <xf numFmtId="183" fontId="27" fillId="2" borderId="3" xfId="1" applyNumberFormat="1" applyFont="1" applyFill="1" applyBorder="1" applyAlignment="1">
      <alignment horizontal="center" vertical="center" wrapText="1"/>
    </xf>
    <xf numFmtId="0" fontId="27" fillId="2" borderId="3" xfId="0" applyFont="1" applyFill="1" applyBorder="1" applyAlignment="1">
      <alignment horizontal="center" vertical="center"/>
    </xf>
    <xf numFmtId="0" fontId="28" fillId="2" borderId="1" xfId="1" applyFont="1" applyFill="1" applyBorder="1" applyAlignment="1">
      <alignment horizontal="center" vertical="center"/>
    </xf>
    <xf numFmtId="178" fontId="13" fillId="2" borderId="0" xfId="1" applyNumberFormat="1" applyFont="1" applyFill="1" applyAlignment="1">
      <alignment wrapText="1"/>
    </xf>
    <xf numFmtId="0" fontId="20" fillId="2" borderId="3" xfId="1" applyFont="1" applyFill="1" applyBorder="1" applyAlignment="1">
      <alignment horizontal="center" vertical="center" wrapText="1"/>
    </xf>
    <xf numFmtId="0" fontId="20" fillId="2" borderId="11" xfId="1" applyFont="1" applyFill="1" applyBorder="1" applyAlignment="1">
      <alignment horizontal="center" vertical="center" wrapText="1"/>
    </xf>
    <xf numFmtId="0" fontId="20" fillId="2" borderId="5" xfId="1" applyFont="1" applyFill="1" applyBorder="1" applyAlignment="1">
      <alignment horizontal="center" vertical="center"/>
    </xf>
    <xf numFmtId="0" fontId="15" fillId="2" borderId="12" xfId="1" applyFont="1" applyFill="1" applyBorder="1" applyAlignment="1">
      <alignment horizontal="center" vertical="center" wrapText="1"/>
    </xf>
    <xf numFmtId="178" fontId="20" fillId="2" borderId="11" xfId="1" applyNumberFormat="1" applyFont="1" applyFill="1" applyBorder="1" applyAlignment="1">
      <alignment horizontal="center" vertical="center" wrapText="1"/>
    </xf>
    <xf numFmtId="179" fontId="13" fillId="2" borderId="0" xfId="1" applyNumberFormat="1" applyFont="1" applyFill="1"/>
    <xf numFmtId="9" fontId="13" fillId="2" borderId="0" xfId="5" applyFont="1" applyFill="1"/>
    <xf numFmtId="0" fontId="13" fillId="2" borderId="0" xfId="1" applyFont="1" applyFill="1" applyAlignment="1">
      <alignment horizontal="left" vertical="center"/>
    </xf>
    <xf numFmtId="0" fontId="26" fillId="2" borderId="3" xfId="1" applyFont="1" applyFill="1" applyBorder="1" applyAlignment="1">
      <alignment horizontal="center" vertical="top"/>
    </xf>
    <xf numFmtId="0" fontId="29" fillId="2" borderId="3" xfId="1" applyFont="1" applyFill="1" applyBorder="1" applyAlignment="1">
      <alignment horizontal="center" vertical="center" wrapText="1"/>
    </xf>
    <xf numFmtId="183" fontId="30" fillId="2" borderId="4" xfId="2" applyNumberFormat="1" applyFont="1" applyFill="1" applyBorder="1" applyAlignment="1">
      <alignment horizontal="center" vertical="center"/>
    </xf>
    <xf numFmtId="179" fontId="30" fillId="2" borderId="3" xfId="1" applyNumberFormat="1" applyFont="1" applyFill="1" applyBorder="1" applyAlignment="1">
      <alignment horizontal="center" vertical="center"/>
    </xf>
    <xf numFmtId="0" fontId="30" fillId="2" borderId="3" xfId="0" applyFont="1" applyFill="1" applyBorder="1" applyAlignment="1">
      <alignment horizontal="center" vertical="center"/>
    </xf>
    <xf numFmtId="183" fontId="30" fillId="2" borderId="3" xfId="2" applyNumberFormat="1" applyFont="1" applyFill="1" applyBorder="1" applyAlignment="1">
      <alignment horizontal="center" vertical="center"/>
    </xf>
    <xf numFmtId="0" fontId="30" fillId="2" borderId="2" xfId="0" applyFont="1" applyFill="1" applyBorder="1" applyAlignment="1">
      <alignment horizontal="center" vertical="center"/>
    </xf>
    <xf numFmtId="0" fontId="13" fillId="0" borderId="0" xfId="1" applyFont="1" applyAlignment="1" applyProtection="1">
      <alignment vertical="center"/>
      <protection locked="0"/>
    </xf>
    <xf numFmtId="0" fontId="13" fillId="0" borderId="0" xfId="1" applyFont="1" applyProtection="1">
      <protection locked="0"/>
    </xf>
    <xf numFmtId="0" fontId="12" fillId="0" borderId="23" xfId="1" applyFont="1" applyBorder="1" applyAlignment="1" applyProtection="1">
      <alignment vertical="center"/>
      <protection locked="0"/>
    </xf>
    <xf numFmtId="0" fontId="13" fillId="0" borderId="46" xfId="1" applyFont="1" applyBorder="1" applyAlignment="1" applyProtection="1">
      <alignment horizontal="center" vertical="center"/>
      <protection locked="0"/>
    </xf>
    <xf numFmtId="0" fontId="13" fillId="0" borderId="47" xfId="1" applyFont="1" applyBorder="1" applyAlignment="1" applyProtection="1">
      <alignment horizontal="center" vertical="center"/>
      <protection locked="0"/>
    </xf>
    <xf numFmtId="0" fontId="13" fillId="0" borderId="48" xfId="1" applyFont="1" applyBorder="1" applyAlignment="1" applyProtection="1">
      <alignment horizontal="center" vertical="center"/>
      <protection locked="0"/>
    </xf>
    <xf numFmtId="0" fontId="13" fillId="0" borderId="49" xfId="1" applyFont="1" applyBorder="1" applyAlignment="1" applyProtection="1">
      <alignment horizontal="center" vertical="center"/>
      <protection locked="0"/>
    </xf>
    <xf numFmtId="0" fontId="14" fillId="0" borderId="50" xfId="1" applyFont="1" applyBorder="1" applyAlignment="1" applyProtection="1">
      <alignment horizontal="center" vertical="center"/>
      <protection locked="0"/>
    </xf>
    <xf numFmtId="0" fontId="18" fillId="0" borderId="51" xfId="1" applyFont="1" applyBorder="1" applyAlignment="1" applyProtection="1">
      <alignment horizontal="center" vertical="center"/>
      <protection locked="0"/>
    </xf>
    <xf numFmtId="0" fontId="18" fillId="0" borderId="52" xfId="1" applyFont="1" applyBorder="1" applyAlignment="1" applyProtection="1">
      <alignment vertical="center"/>
      <protection locked="0"/>
    </xf>
    <xf numFmtId="0" fontId="18" fillId="0" borderId="53" xfId="1" applyFont="1" applyBorder="1" applyAlignment="1" applyProtection="1">
      <alignment vertical="center"/>
      <protection locked="0"/>
    </xf>
    <xf numFmtId="0" fontId="18" fillId="0" borderId="51" xfId="1" applyFont="1" applyFill="1" applyBorder="1" applyAlignment="1" applyProtection="1">
      <alignment horizontal="center" vertical="center"/>
      <protection locked="0"/>
    </xf>
    <xf numFmtId="0" fontId="18" fillId="0" borderId="54" xfId="1" applyFont="1" applyBorder="1" applyAlignment="1" applyProtection="1">
      <alignment vertical="center"/>
      <protection locked="0"/>
    </xf>
    <xf numFmtId="0" fontId="18" fillId="2" borderId="54" xfId="1" applyFont="1" applyFill="1" applyBorder="1" applyAlignment="1" applyProtection="1">
      <alignment vertical="center"/>
      <protection locked="0"/>
    </xf>
    <xf numFmtId="0" fontId="18" fillId="2" borderId="52" xfId="1" applyFont="1" applyFill="1" applyBorder="1" applyAlignment="1" applyProtection="1">
      <alignment vertical="center"/>
      <protection locked="0"/>
    </xf>
    <xf numFmtId="0" fontId="18" fillId="2" borderId="53" xfId="1" applyFont="1" applyFill="1" applyBorder="1" applyAlignment="1" applyProtection="1">
      <alignment vertical="center"/>
      <protection locked="0"/>
    </xf>
    <xf numFmtId="0" fontId="18" fillId="2" borderId="51" xfId="1" applyFont="1" applyFill="1" applyBorder="1" applyAlignment="1" applyProtection="1">
      <alignment horizontal="center" vertical="center"/>
      <protection locked="0"/>
    </xf>
    <xf numFmtId="0" fontId="18" fillId="2" borderId="57" xfId="1" applyFont="1" applyFill="1" applyBorder="1" applyAlignment="1" applyProtection="1">
      <alignment horizontal="center" vertical="center"/>
      <protection locked="0"/>
    </xf>
    <xf numFmtId="0" fontId="18" fillId="0" borderId="58" xfId="1" applyFont="1" applyFill="1" applyBorder="1" applyAlignment="1" applyProtection="1">
      <alignment horizontal="center" vertical="center"/>
      <protection locked="0"/>
    </xf>
    <xf numFmtId="0" fontId="18" fillId="0" borderId="59" xfId="1" applyFont="1" applyBorder="1" applyAlignment="1" applyProtection="1">
      <alignment vertical="center"/>
      <protection locked="0"/>
    </xf>
    <xf numFmtId="0" fontId="18" fillId="0" borderId="58" xfId="1" applyFont="1" applyBorder="1" applyAlignment="1" applyProtection="1">
      <alignment horizontal="center" vertical="center"/>
      <protection locked="0"/>
    </xf>
    <xf numFmtId="0" fontId="18" fillId="0" borderId="63" xfId="1" applyFont="1" applyBorder="1" applyAlignment="1" applyProtection="1">
      <alignment vertical="center"/>
      <protection locked="0"/>
    </xf>
    <xf numFmtId="0" fontId="18" fillId="2" borderId="54" xfId="1" applyFont="1" applyFill="1" applyBorder="1" applyAlignment="1" applyProtection="1">
      <alignment vertical="center"/>
    </xf>
    <xf numFmtId="0" fontId="18" fillId="2" borderId="53" xfId="1" applyFont="1" applyFill="1" applyBorder="1" applyAlignment="1" applyProtection="1">
      <alignment vertical="center"/>
    </xf>
    <xf numFmtId="184" fontId="13" fillId="2" borderId="0" xfId="1" applyNumberFormat="1" applyFont="1" applyFill="1"/>
    <xf numFmtId="9" fontId="11" fillId="0" borderId="0" xfId="1" applyNumberFormat="1" applyFont="1" applyAlignment="1">
      <alignment horizontal="center" vertical="center"/>
    </xf>
    <xf numFmtId="0" fontId="11" fillId="0" borderId="0" xfId="1" applyFont="1" applyAlignment="1">
      <alignment horizontal="center" vertical="center"/>
    </xf>
    <xf numFmtId="0" fontId="15" fillId="2" borderId="3" xfId="1" applyFont="1" applyFill="1" applyBorder="1" applyAlignment="1">
      <alignment horizontal="center" vertical="top"/>
    </xf>
    <xf numFmtId="0" fontId="13" fillId="0" borderId="0" xfId="1" applyFont="1" applyAlignment="1">
      <alignment horizontal="right" vertical="center"/>
    </xf>
    <xf numFmtId="0" fontId="32" fillId="0" borderId="0" xfId="1" applyFont="1"/>
    <xf numFmtId="0" fontId="22" fillId="2" borderId="3" xfId="1" applyFont="1" applyFill="1" applyBorder="1" applyAlignment="1">
      <alignment horizontal="center" vertical="top" wrapText="1"/>
    </xf>
    <xf numFmtId="0" fontId="17" fillId="2" borderId="3" xfId="1" applyFont="1" applyFill="1" applyBorder="1" applyAlignment="1">
      <alignment horizontal="center" vertical="top" wrapText="1"/>
    </xf>
    <xf numFmtId="0" fontId="17" fillId="2" borderId="3" xfId="1" applyFont="1" applyFill="1" applyBorder="1" applyAlignment="1">
      <alignment horizontal="center" vertical="top"/>
    </xf>
    <xf numFmtId="0" fontId="33" fillId="2" borderId="3" xfId="1" applyFont="1" applyFill="1" applyBorder="1" applyAlignment="1">
      <alignment horizontal="center" vertical="top"/>
    </xf>
    <xf numFmtId="0" fontId="20" fillId="2" borderId="3" xfId="1" applyFont="1" applyFill="1" applyBorder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13" fillId="2" borderId="0" xfId="1" applyFont="1" applyFill="1" applyAlignment="1">
      <alignment horizontal="center" vertical="center"/>
    </xf>
    <xf numFmtId="0" fontId="20" fillId="2" borderId="3" xfId="1" applyFont="1" applyFill="1" applyBorder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13" fillId="2" borderId="0" xfId="1" applyFont="1" applyFill="1" applyAlignment="1">
      <alignment horizontal="center" vertical="center"/>
    </xf>
    <xf numFmtId="0" fontId="13" fillId="2" borderId="0" xfId="1" applyFont="1" applyFill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center"/>
    </xf>
    <xf numFmtId="0" fontId="20" fillId="2" borderId="3" xfId="1" applyFont="1" applyFill="1" applyBorder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13" fillId="2" borderId="0" xfId="1" applyFont="1" applyFill="1" applyAlignment="1">
      <alignment horizontal="center" vertical="center"/>
    </xf>
    <xf numFmtId="0" fontId="20" fillId="2" borderId="3" xfId="1" applyFont="1" applyFill="1" applyBorder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13" fillId="2" borderId="0" xfId="1" applyFont="1" applyFill="1" applyAlignment="1">
      <alignment horizontal="center" vertical="center"/>
    </xf>
    <xf numFmtId="0" fontId="20" fillId="2" borderId="3" xfId="1" applyFont="1" applyFill="1" applyBorder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13" fillId="2" borderId="0" xfId="1" applyFont="1" applyFill="1" applyAlignment="1">
      <alignment horizontal="center" vertical="center"/>
    </xf>
    <xf numFmtId="0" fontId="19" fillId="0" borderId="0" xfId="1" applyFont="1" applyAlignment="1">
      <alignment horizontal="left" vertical="center"/>
    </xf>
    <xf numFmtId="0" fontId="13" fillId="0" borderId="0" xfId="1" applyFont="1" applyAlignment="1">
      <alignment horizontal="right" vertical="center"/>
    </xf>
    <xf numFmtId="0" fontId="12" fillId="0" borderId="0" xfId="1" applyFont="1" applyBorder="1" applyAlignment="1" applyProtection="1">
      <alignment horizontal="center" vertical="center"/>
      <protection locked="0"/>
    </xf>
    <xf numFmtId="0" fontId="20" fillId="0" borderId="55" xfId="1" applyFont="1" applyBorder="1" applyAlignment="1" applyProtection="1">
      <alignment horizontal="left" vertical="top" wrapText="1"/>
      <protection locked="0"/>
    </xf>
    <xf numFmtId="0" fontId="20" fillId="0" borderId="56" xfId="1" applyFont="1" applyBorder="1" applyAlignment="1" applyProtection="1">
      <alignment horizontal="left" vertical="top" wrapText="1"/>
      <protection locked="0"/>
    </xf>
    <xf numFmtId="0" fontId="20" fillId="0" borderId="60" xfId="1" applyFont="1" applyBorder="1" applyAlignment="1" applyProtection="1">
      <alignment horizontal="left" vertical="top" wrapText="1"/>
      <protection locked="0"/>
    </xf>
    <xf numFmtId="49" fontId="11" fillId="0" borderId="64" xfId="1" applyNumberFormat="1" applyFont="1" applyBorder="1" applyAlignment="1">
      <alignment horizontal="center" vertical="center" wrapText="1"/>
    </xf>
    <xf numFmtId="9" fontId="11" fillId="0" borderId="0" xfId="1" applyNumberFormat="1" applyFont="1" applyAlignment="1">
      <alignment horizontal="center" vertical="center"/>
    </xf>
    <xf numFmtId="0" fontId="11" fillId="0" borderId="0" xfId="1" applyFont="1" applyAlignment="1">
      <alignment horizontal="center" vertical="center"/>
    </xf>
    <xf numFmtId="0" fontId="13" fillId="2" borderId="0" xfId="1" applyFont="1" applyFill="1" applyAlignment="1">
      <alignment horizontal="center" vertical="center"/>
    </xf>
    <xf numFmtId="178" fontId="14" fillId="2" borderId="0" xfId="1" applyNumberFormat="1" applyFont="1" applyFill="1" applyAlignment="1">
      <alignment horizontal="center" vertical="center"/>
    </xf>
    <xf numFmtId="179" fontId="20" fillId="2" borderId="2" xfId="1" applyNumberFormat="1" applyFont="1" applyFill="1" applyBorder="1" applyAlignment="1">
      <alignment horizontal="center" vertical="center"/>
    </xf>
    <xf numFmtId="179" fontId="20" fillId="2" borderId="4" xfId="1" applyNumberFormat="1" applyFont="1" applyFill="1" applyBorder="1" applyAlignment="1">
      <alignment horizontal="center" vertical="center"/>
    </xf>
    <xf numFmtId="179" fontId="20" fillId="2" borderId="13" xfId="1" applyNumberFormat="1" applyFont="1" applyFill="1" applyBorder="1" applyAlignment="1">
      <alignment horizontal="center" vertical="center"/>
    </xf>
    <xf numFmtId="179" fontId="20" fillId="2" borderId="15" xfId="1" applyNumberFormat="1" applyFont="1" applyFill="1" applyBorder="1" applyAlignment="1">
      <alignment horizontal="center" vertical="center"/>
    </xf>
    <xf numFmtId="179" fontId="20" fillId="2" borderId="14" xfId="1" applyNumberFormat="1" applyFont="1" applyFill="1" applyBorder="1" applyAlignment="1">
      <alignment horizontal="center" vertical="center"/>
    </xf>
    <xf numFmtId="179" fontId="20" fillId="2" borderId="16" xfId="1" applyNumberFormat="1" applyFont="1" applyFill="1" applyBorder="1" applyAlignment="1">
      <alignment horizontal="center" vertical="center"/>
    </xf>
    <xf numFmtId="178" fontId="20" fillId="2" borderId="2" xfId="1" applyNumberFormat="1" applyFont="1" applyFill="1" applyBorder="1" applyAlignment="1">
      <alignment horizontal="center" vertical="center"/>
    </xf>
    <xf numFmtId="178" fontId="20" fillId="2" borderId="4" xfId="1" applyNumberFormat="1" applyFont="1" applyFill="1" applyBorder="1" applyAlignment="1">
      <alignment horizontal="center" vertical="center"/>
    </xf>
    <xf numFmtId="179" fontId="20" fillId="2" borderId="37" xfId="1" applyNumberFormat="1" applyFont="1" applyFill="1" applyBorder="1" applyAlignment="1">
      <alignment horizontal="center" vertical="center"/>
    </xf>
    <xf numFmtId="179" fontId="20" fillId="2" borderId="61" xfId="1" applyNumberFormat="1" applyFont="1" applyFill="1" applyBorder="1" applyAlignment="1">
      <alignment horizontal="center" vertical="center"/>
    </xf>
    <xf numFmtId="179" fontId="20" fillId="2" borderId="40" xfId="1" applyNumberFormat="1" applyFont="1" applyFill="1" applyBorder="1" applyAlignment="1">
      <alignment horizontal="center" vertical="center"/>
    </xf>
    <xf numFmtId="179" fontId="20" fillId="2" borderId="62" xfId="1" applyNumberFormat="1" applyFont="1" applyFill="1" applyBorder="1" applyAlignment="1">
      <alignment horizontal="center" vertical="center"/>
    </xf>
    <xf numFmtId="0" fontId="13" fillId="2" borderId="38" xfId="1" applyFont="1" applyFill="1" applyBorder="1" applyAlignment="1">
      <alignment horizontal="center"/>
    </xf>
    <xf numFmtId="179" fontId="20" fillId="2" borderId="2" xfId="1" applyNumberFormat="1" applyFont="1" applyFill="1" applyBorder="1" applyAlignment="1">
      <alignment horizontal="center" vertical="center" wrapText="1"/>
    </xf>
    <xf numFmtId="179" fontId="20" fillId="2" borderId="4" xfId="1" applyNumberFormat="1" applyFont="1" applyFill="1" applyBorder="1" applyAlignment="1">
      <alignment horizontal="center" vertical="center" wrapText="1"/>
    </xf>
    <xf numFmtId="178" fontId="20" fillId="2" borderId="2" xfId="1" applyNumberFormat="1" applyFont="1" applyFill="1" applyBorder="1" applyAlignment="1">
      <alignment horizontal="center" vertical="center" wrapText="1"/>
    </xf>
    <xf numFmtId="178" fontId="20" fillId="2" borderId="4" xfId="1" applyNumberFormat="1" applyFont="1" applyFill="1" applyBorder="1" applyAlignment="1">
      <alignment horizontal="center" vertical="center" wrapText="1"/>
    </xf>
    <xf numFmtId="179" fontId="20" fillId="2" borderId="13" xfId="1" applyNumberFormat="1" applyFont="1" applyFill="1" applyBorder="1" applyAlignment="1">
      <alignment horizontal="center" vertical="center" wrapText="1"/>
    </xf>
    <xf numFmtId="179" fontId="20" fillId="2" borderId="15" xfId="1" applyNumberFormat="1" applyFont="1" applyFill="1" applyBorder="1" applyAlignment="1">
      <alignment horizontal="center" vertical="center" wrapText="1"/>
    </xf>
    <xf numFmtId="178" fontId="20" fillId="2" borderId="14" xfId="1" applyNumberFormat="1" applyFont="1" applyFill="1" applyBorder="1" applyAlignment="1">
      <alignment horizontal="center" vertical="center"/>
    </xf>
    <xf numFmtId="178" fontId="20" fillId="2" borderId="16" xfId="1" applyNumberFormat="1" applyFont="1" applyFill="1" applyBorder="1" applyAlignment="1">
      <alignment horizontal="center" vertical="center"/>
    </xf>
    <xf numFmtId="179" fontId="20" fillId="2" borderId="14" xfId="1" applyNumberFormat="1" applyFont="1" applyFill="1" applyBorder="1" applyAlignment="1">
      <alignment horizontal="center" vertical="center" wrapText="1"/>
    </xf>
    <xf numFmtId="179" fontId="20" fillId="2" borderId="16" xfId="1" applyNumberFormat="1" applyFont="1" applyFill="1" applyBorder="1" applyAlignment="1">
      <alignment horizontal="center" vertical="center" wrapText="1"/>
    </xf>
    <xf numFmtId="179" fontId="20" fillId="2" borderId="13" xfId="4" applyNumberFormat="1" applyFont="1" applyFill="1" applyBorder="1" applyAlignment="1">
      <alignment horizontal="center" vertical="center" wrapText="1"/>
    </xf>
    <xf numFmtId="179" fontId="20" fillId="2" borderId="15" xfId="4" applyNumberFormat="1" applyFont="1" applyFill="1" applyBorder="1" applyAlignment="1">
      <alignment horizontal="center" vertical="center" wrapText="1"/>
    </xf>
    <xf numFmtId="0" fontId="14" fillId="2" borderId="10" xfId="1" applyFont="1" applyFill="1" applyBorder="1" applyAlignment="1">
      <alignment horizontal="center" vertical="center"/>
    </xf>
    <xf numFmtId="0" fontId="14" fillId="2" borderId="8" xfId="1" applyFont="1" applyFill="1" applyBorder="1" applyAlignment="1">
      <alignment horizontal="center" vertical="center"/>
    </xf>
    <xf numFmtId="0" fontId="14" fillId="2" borderId="9" xfId="1" applyFont="1" applyFill="1" applyBorder="1" applyAlignment="1">
      <alignment horizontal="center" vertical="center"/>
    </xf>
    <xf numFmtId="0" fontId="13" fillId="2" borderId="10" xfId="1" applyFont="1" applyFill="1" applyBorder="1" applyAlignment="1">
      <alignment horizontal="center"/>
    </xf>
    <xf numFmtId="0" fontId="13" fillId="2" borderId="8" xfId="1" applyFont="1" applyFill="1" applyBorder="1" applyAlignment="1">
      <alignment horizontal="center"/>
    </xf>
    <xf numFmtId="0" fontId="13" fillId="2" borderId="9" xfId="1" applyFont="1" applyFill="1" applyBorder="1" applyAlignment="1">
      <alignment horizontal="center"/>
    </xf>
    <xf numFmtId="0" fontId="15" fillId="2" borderId="5" xfId="1" applyFont="1" applyFill="1" applyBorder="1" applyAlignment="1">
      <alignment horizontal="center" vertical="center" wrapText="1"/>
    </xf>
    <xf numFmtId="0" fontId="15" fillId="2" borderId="9" xfId="1" applyFont="1" applyFill="1" applyBorder="1" applyAlignment="1">
      <alignment horizontal="center" vertical="center" wrapText="1"/>
    </xf>
    <xf numFmtId="0" fontId="14" fillId="2" borderId="37" xfId="1" applyFont="1" applyFill="1" applyBorder="1" applyAlignment="1">
      <alignment horizontal="center" vertical="center" wrapText="1"/>
    </xf>
    <xf numFmtId="0" fontId="14" fillId="2" borderId="39" xfId="1" applyFont="1" applyFill="1" applyBorder="1" applyAlignment="1">
      <alignment horizontal="center" vertical="center" wrapText="1"/>
    </xf>
    <xf numFmtId="0" fontId="14" fillId="2" borderId="40" xfId="1" applyFont="1" applyFill="1" applyBorder="1" applyAlignment="1">
      <alignment horizontal="center" vertical="center" wrapText="1"/>
    </xf>
    <xf numFmtId="0" fontId="14" fillId="2" borderId="41" xfId="1" applyFont="1" applyFill="1" applyBorder="1" applyAlignment="1">
      <alignment horizontal="center" vertical="center" wrapText="1"/>
    </xf>
    <xf numFmtId="178" fontId="20" fillId="2" borderId="13" xfId="3" applyNumberFormat="1" applyFont="1" applyFill="1" applyBorder="1" applyAlignment="1">
      <alignment horizontal="center" vertical="center"/>
    </xf>
    <xf numFmtId="178" fontId="20" fillId="2" borderId="15" xfId="3" applyNumberFormat="1" applyFont="1" applyFill="1" applyBorder="1" applyAlignment="1">
      <alignment horizontal="center" vertical="center"/>
    </xf>
    <xf numFmtId="178" fontId="20" fillId="2" borderId="14" xfId="3" applyNumberFormat="1" applyFont="1" applyFill="1" applyBorder="1" applyAlignment="1">
      <alignment horizontal="center" vertical="center"/>
    </xf>
    <xf numFmtId="178" fontId="20" fillId="2" borderId="16" xfId="3" applyNumberFormat="1" applyFont="1" applyFill="1" applyBorder="1" applyAlignment="1">
      <alignment horizontal="center" vertical="center"/>
    </xf>
    <xf numFmtId="0" fontId="20" fillId="2" borderId="2" xfId="1" applyFont="1" applyFill="1" applyBorder="1" applyAlignment="1">
      <alignment horizontal="center" vertical="center"/>
    </xf>
    <xf numFmtId="0" fontId="20" fillId="2" borderId="4" xfId="1" applyFont="1" applyFill="1" applyBorder="1" applyAlignment="1">
      <alignment horizontal="center" vertical="center"/>
    </xf>
    <xf numFmtId="20" fontId="17" fillId="2" borderId="2" xfId="1" applyNumberFormat="1" applyFont="1" applyFill="1" applyBorder="1" applyAlignment="1">
      <alignment horizontal="center" vertical="center"/>
    </xf>
    <xf numFmtId="20" fontId="17" fillId="2" borderId="6" xfId="1" applyNumberFormat="1" applyFont="1" applyFill="1" applyBorder="1" applyAlignment="1">
      <alignment horizontal="center" vertical="center"/>
    </xf>
    <xf numFmtId="20" fontId="17" fillId="2" borderId="4" xfId="1" applyNumberFormat="1" applyFont="1" applyFill="1" applyBorder="1" applyAlignment="1">
      <alignment horizontal="center" vertical="center"/>
    </xf>
    <xf numFmtId="0" fontId="20" fillId="2" borderId="3" xfId="1" applyFont="1" applyFill="1" applyBorder="1" applyAlignment="1">
      <alignment horizontal="center" vertical="center"/>
    </xf>
    <xf numFmtId="0" fontId="13" fillId="2" borderId="42" xfId="1" applyFont="1" applyFill="1" applyBorder="1" applyAlignment="1">
      <alignment horizontal="center"/>
    </xf>
    <xf numFmtId="0" fontId="13" fillId="2" borderId="43" xfId="1" applyFont="1" applyFill="1" applyBorder="1" applyAlignment="1">
      <alignment horizontal="center"/>
    </xf>
    <xf numFmtId="0" fontId="13" fillId="2" borderId="44" xfId="1" applyFont="1" applyFill="1" applyBorder="1" applyAlignment="1">
      <alignment horizontal="center"/>
    </xf>
    <xf numFmtId="0" fontId="13" fillId="2" borderId="45" xfId="1" applyFont="1" applyFill="1" applyBorder="1" applyAlignment="1">
      <alignment horizontal="center"/>
    </xf>
    <xf numFmtId="0" fontId="14" fillId="2" borderId="5" xfId="1" applyFont="1" applyFill="1" applyBorder="1" applyAlignment="1">
      <alignment horizontal="center" vertical="center"/>
    </xf>
    <xf numFmtId="0" fontId="17" fillId="2" borderId="40" xfId="1" applyFont="1" applyFill="1" applyBorder="1" applyAlignment="1">
      <alignment horizontal="center" vertical="center"/>
    </xf>
    <xf numFmtId="0" fontId="17" fillId="2" borderId="1" xfId="1" applyFont="1" applyFill="1" applyBorder="1" applyAlignment="1">
      <alignment horizontal="center" vertical="center"/>
    </xf>
    <xf numFmtId="0" fontId="17" fillId="2" borderId="41" xfId="1" applyFont="1" applyFill="1" applyBorder="1" applyAlignment="1">
      <alignment horizontal="center" vertical="center"/>
    </xf>
    <xf numFmtId="0" fontId="20" fillId="2" borderId="37" xfId="1" applyNumberFormat="1" applyFont="1" applyFill="1" applyBorder="1" applyAlignment="1">
      <alignment horizontal="left" vertical="top" wrapText="1"/>
    </xf>
    <xf numFmtId="0" fontId="31" fillId="2" borderId="38" xfId="1" applyNumberFormat="1" applyFont="1" applyFill="1" applyBorder="1" applyAlignment="1">
      <alignment horizontal="left" vertical="top" wrapText="1"/>
    </xf>
    <xf numFmtId="0" fontId="31" fillId="2" borderId="39" xfId="1" applyNumberFormat="1" applyFont="1" applyFill="1" applyBorder="1" applyAlignment="1">
      <alignment horizontal="left" vertical="top" wrapText="1"/>
    </xf>
    <xf numFmtId="0" fontId="31" fillId="2" borderId="18" xfId="1" applyNumberFormat="1" applyFont="1" applyFill="1" applyBorder="1" applyAlignment="1">
      <alignment horizontal="left" vertical="top" wrapText="1"/>
    </xf>
    <xf numFmtId="0" fontId="31" fillId="2" borderId="0" xfId="1" applyNumberFormat="1" applyFont="1" applyFill="1" applyBorder="1" applyAlignment="1">
      <alignment horizontal="left" vertical="top" wrapText="1"/>
    </xf>
    <xf numFmtId="0" fontId="31" fillId="2" borderId="36" xfId="1" applyNumberFormat="1" applyFont="1" applyFill="1" applyBorder="1" applyAlignment="1">
      <alignment horizontal="left" vertical="top" wrapText="1"/>
    </xf>
    <xf numFmtId="0" fontId="31" fillId="2" borderId="40" xfId="1" applyNumberFormat="1" applyFont="1" applyFill="1" applyBorder="1" applyAlignment="1">
      <alignment horizontal="left" vertical="top" wrapText="1"/>
    </xf>
    <xf numFmtId="0" fontId="31" fillId="2" borderId="1" xfId="1" applyNumberFormat="1" applyFont="1" applyFill="1" applyBorder="1" applyAlignment="1">
      <alignment horizontal="left" vertical="top" wrapText="1"/>
    </xf>
    <xf numFmtId="0" fontId="31" fillId="2" borderId="41" xfId="1" applyNumberFormat="1" applyFont="1" applyFill="1" applyBorder="1" applyAlignment="1">
      <alignment horizontal="left" vertical="top" wrapText="1"/>
    </xf>
    <xf numFmtId="20" fontId="17" fillId="2" borderId="3" xfId="1" applyNumberFormat="1" applyFont="1" applyFill="1" applyBorder="1" applyAlignment="1">
      <alignment horizontal="center" vertical="center"/>
    </xf>
    <xf numFmtId="0" fontId="16" fillId="2" borderId="0" xfId="1" applyFont="1" applyFill="1" applyAlignment="1">
      <alignment horizontal="center"/>
    </xf>
    <xf numFmtId="0" fontId="21" fillId="2" borderId="0" xfId="1" applyFont="1" applyFill="1" applyBorder="1" applyAlignment="1">
      <alignment horizontal="center"/>
    </xf>
    <xf numFmtId="31" fontId="13" fillId="2" borderId="1" xfId="1" applyNumberFormat="1" applyFont="1" applyFill="1" applyBorder="1" applyAlignment="1">
      <alignment horizontal="right"/>
    </xf>
  </cellXfs>
  <cellStyles count="23">
    <cellStyle name="一般" xfId="0" builtinId="0"/>
    <cellStyle name="一般 2" xfId="1"/>
    <cellStyle name="一般 2 2" xfId="6"/>
    <cellStyle name="一般 3" xfId="2"/>
    <cellStyle name="千分位 2" xfId="3"/>
    <cellStyle name="千分位 2 2" xfId="7"/>
    <cellStyle name="千分位 2 2 2" xfId="9"/>
    <cellStyle name="千分位 2 2 2 2" xfId="13"/>
    <cellStyle name="千分位 2 2 2 2 2" xfId="21"/>
    <cellStyle name="千分位 2 2 2 3" xfId="17"/>
    <cellStyle name="千分位 2 2 3" xfId="11"/>
    <cellStyle name="千分位 2 2 3 2" xfId="19"/>
    <cellStyle name="千分位 2 2 4" xfId="15"/>
    <cellStyle name="百分比 2" xfId="5"/>
    <cellStyle name="貨幣 2" xfId="4"/>
    <cellStyle name="貨幣 2 2" xfId="8"/>
    <cellStyle name="貨幣 2 2 2" xfId="10"/>
    <cellStyle name="貨幣 2 2 2 2" xfId="14"/>
    <cellStyle name="貨幣 2 2 2 2 2" xfId="22"/>
    <cellStyle name="貨幣 2 2 2 3" xfId="18"/>
    <cellStyle name="貨幣 2 2 3" xfId="12"/>
    <cellStyle name="貨幣 2 2 3 2" xfId="20"/>
    <cellStyle name="貨幣 2 2 4" xfId="16"/>
  </cellStyles>
  <dxfs count="304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Medium9"/>
  <colors>
    <mruColors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onnections" Target="connections.xml"/><Relationship Id="rId30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30480</xdr:colOff>
          <xdr:row>15</xdr:row>
          <xdr:rowOff>198120</xdr:rowOff>
        </xdr:from>
        <xdr:to>
          <xdr:col>15</xdr:col>
          <xdr:colOff>495300</xdr:colOff>
          <xdr:row>22</xdr:row>
          <xdr:rowOff>388620</xdr:rowOff>
        </xdr:to>
        <xdr:sp macro="" textlink="">
          <xdr:nvSpPr>
            <xdr:cNvPr id="2247681" name="CommandButton1" hidden="1">
              <a:extLst>
                <a:ext uri="{63B3BB69-23CF-44E3-9099-C40C66FF867C}">
                  <a14:compatExt spid="_x0000_s2247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22860</xdr:colOff>
          <xdr:row>25</xdr:row>
          <xdr:rowOff>60960</xdr:rowOff>
        </xdr:from>
        <xdr:to>
          <xdr:col>15</xdr:col>
          <xdr:colOff>548640</xdr:colOff>
          <xdr:row>32</xdr:row>
          <xdr:rowOff>0</xdr:rowOff>
        </xdr:to>
        <xdr:sp macro="" textlink="">
          <xdr:nvSpPr>
            <xdr:cNvPr id="2247682" name="CommandButton2" hidden="1">
              <a:extLst>
                <a:ext uri="{63B3BB69-23CF-44E3-9099-C40C66FF867C}">
                  <a14:compatExt spid="_x0000_s2247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922497" name="Button 1" hidden="1">
              <a:extLst>
                <a:ext uri="{63B3BB69-23CF-44E3-9099-C40C66FF867C}">
                  <a14:compatExt spid="_x0000_s29224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924545" name="Button 1" hidden="1">
              <a:extLst>
                <a:ext uri="{63B3BB69-23CF-44E3-9099-C40C66FF867C}">
                  <a14:compatExt spid="_x0000_s29245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925569" name="Button 1" hidden="1">
              <a:extLst>
                <a:ext uri="{63B3BB69-23CF-44E3-9099-C40C66FF867C}">
                  <a14:compatExt spid="_x0000_s2925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927617" name="Button 1" hidden="1">
              <a:extLst>
                <a:ext uri="{63B3BB69-23CF-44E3-9099-C40C66FF867C}">
                  <a14:compatExt spid="_x0000_s29276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928641" name="Button 1" hidden="1">
              <a:extLst>
                <a:ext uri="{63B3BB69-23CF-44E3-9099-C40C66FF867C}">
                  <a14:compatExt spid="_x0000_s29286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929665" name="Button 1" hidden="1">
              <a:extLst>
                <a:ext uri="{63B3BB69-23CF-44E3-9099-C40C66FF867C}">
                  <a14:compatExt spid="_x0000_s29296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931713" name="Button 1" hidden="1">
              <a:extLst>
                <a:ext uri="{63B3BB69-23CF-44E3-9099-C40C66FF867C}">
                  <a14:compatExt spid="_x0000_s2931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932737" name="Button 1" hidden="1">
              <a:extLst>
                <a:ext uri="{63B3BB69-23CF-44E3-9099-C40C66FF867C}">
                  <a14:compatExt spid="_x0000_s2932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933761" name="Button 1" hidden="1">
              <a:extLst>
                <a:ext uri="{63B3BB69-23CF-44E3-9099-C40C66FF867C}">
                  <a14:compatExt spid="_x0000_s29337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934785" name="Button 1" hidden="1">
              <a:extLst>
                <a:ext uri="{63B3BB69-23CF-44E3-9099-C40C66FF867C}">
                  <a14:compatExt spid="_x0000_s29347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936833" name="Button 1" hidden="1">
              <a:extLst>
                <a:ext uri="{63B3BB69-23CF-44E3-9099-C40C66FF867C}">
                  <a14:compatExt spid="_x0000_s2936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937857" name="Button 1" hidden="1">
              <a:extLst>
                <a:ext uri="{63B3BB69-23CF-44E3-9099-C40C66FF867C}">
                  <a14:compatExt spid="_x0000_s2937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938881" name="Button 1" hidden="1">
              <a:extLst>
                <a:ext uri="{63B3BB69-23CF-44E3-9099-C40C66FF867C}">
                  <a14:compatExt spid="_x0000_s2938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939905" name="Button 1" hidden="1">
              <a:extLst>
                <a:ext uri="{63B3BB69-23CF-44E3-9099-C40C66FF867C}">
                  <a14:compatExt spid="_x0000_s2939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940929" name="Button 1" hidden="1">
              <a:extLst>
                <a:ext uri="{63B3BB69-23CF-44E3-9099-C40C66FF867C}">
                  <a14:compatExt spid="_x0000_s2940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941953" name="Button 1" hidden="1">
              <a:extLst>
                <a:ext uri="{63B3BB69-23CF-44E3-9099-C40C66FF867C}">
                  <a14:compatExt spid="_x0000_s29419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942977" name="Button 1" hidden="1">
              <a:extLst>
                <a:ext uri="{63B3BB69-23CF-44E3-9099-C40C66FF867C}">
                  <a14:compatExt spid="_x0000_s29429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946049" name="Button 1" hidden="1">
              <a:extLst>
                <a:ext uri="{63B3BB69-23CF-44E3-9099-C40C66FF867C}">
                  <a14:compatExt spid="_x0000_s2946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947073" name="Button 1" hidden="1">
              <a:extLst>
                <a:ext uri="{63B3BB69-23CF-44E3-9099-C40C66FF867C}">
                  <a14:compatExt spid="_x0000_s2947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948097" name="Button 1" hidden="1">
              <a:extLst>
                <a:ext uri="{63B3BB69-23CF-44E3-9099-C40C66FF867C}">
                  <a14:compatExt spid="_x0000_s2948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949121" name="Button 1" hidden="1">
              <a:extLst>
                <a:ext uri="{63B3BB69-23CF-44E3-9099-C40C66FF867C}">
                  <a14:compatExt spid="_x0000_s2949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950145" name="Button 1" hidden="1">
              <a:extLst>
                <a:ext uri="{63B3BB69-23CF-44E3-9099-C40C66FF867C}">
                  <a14:compatExt spid="_x0000_s2950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951169" name="Button 1" hidden="1">
              <a:extLst>
                <a:ext uri="{63B3BB69-23CF-44E3-9099-C40C66FF867C}">
                  <a14:compatExt spid="_x0000_s2951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取樣回收每月庫存表 0620更新" connectionId="16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2.xml><?xml version="1.0" encoding="utf-8"?>
<queryTable xmlns="http://schemas.openxmlformats.org/spreadsheetml/2006/main" name="取樣回收每月庫存表 0620更新" connectionId="1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3.xml><?xml version="1.0" encoding="utf-8"?>
<queryTable xmlns="http://schemas.openxmlformats.org/spreadsheetml/2006/main" name="取樣回收每月庫存表 0620更新" connectionId="12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4.xml><?xml version="1.0" encoding="utf-8"?>
<queryTable xmlns="http://schemas.openxmlformats.org/spreadsheetml/2006/main" name="取樣回收每月庫存表 0620更新" connectionId="17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5.xml><?xml version="1.0" encoding="utf-8"?>
<queryTable xmlns="http://schemas.openxmlformats.org/spreadsheetml/2006/main" name="取樣回收每月庫存表 0620更新" connectionId="18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6.xml><?xml version="1.0" encoding="utf-8"?>
<queryTable xmlns="http://schemas.openxmlformats.org/spreadsheetml/2006/main" name="取樣回收每月庫存表 0620更新" connectionId="19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7.xml><?xml version="1.0" encoding="utf-8"?>
<queryTable xmlns="http://schemas.openxmlformats.org/spreadsheetml/2006/main" name="取樣回收每月庫存表 0620更新" connectionId="20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8.xml><?xml version="1.0" encoding="utf-8"?>
<queryTable xmlns="http://schemas.openxmlformats.org/spreadsheetml/2006/main" name="取樣回收每月庫存表 0620更新" connectionId="21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9.xml><?xml version="1.0" encoding="utf-8"?>
<queryTable xmlns="http://schemas.openxmlformats.org/spreadsheetml/2006/main" name="取樣回收每月庫存表 0620更新" connectionId="22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0.xml><?xml version="1.0" encoding="utf-8"?>
<queryTable xmlns="http://schemas.openxmlformats.org/spreadsheetml/2006/main" name="取樣回收每月庫存表 0620更新" connectionId="23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1.xml><?xml version="1.0" encoding="utf-8"?>
<queryTable xmlns="http://schemas.openxmlformats.org/spreadsheetml/2006/main" name="取樣回收每月庫存表 0620更新" connectionId="2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2.xml><?xml version="1.0" encoding="utf-8"?>
<queryTable xmlns="http://schemas.openxmlformats.org/spreadsheetml/2006/main" name="取樣回收每月庫存表 0620更新" connectionId="3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3.xml><?xml version="1.0" encoding="utf-8"?>
<queryTable xmlns="http://schemas.openxmlformats.org/spreadsheetml/2006/main" name="取樣回收每月庫存表 0620更新" connectionId="4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4.xml><?xml version="1.0" encoding="utf-8"?>
<queryTable xmlns="http://schemas.openxmlformats.org/spreadsheetml/2006/main" name="取樣回收每月庫存表 0620更新" connectionId="5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5.xml><?xml version="1.0" encoding="utf-8"?>
<queryTable xmlns="http://schemas.openxmlformats.org/spreadsheetml/2006/main" name="取樣回收每月庫存表 0620更新" connectionId="6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6.xml><?xml version="1.0" encoding="utf-8"?>
<queryTable xmlns="http://schemas.openxmlformats.org/spreadsheetml/2006/main" name="取樣回收每月庫存表 0620更新" connectionId="7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7.xml><?xml version="1.0" encoding="utf-8"?>
<queryTable xmlns="http://schemas.openxmlformats.org/spreadsheetml/2006/main" name="取樣回收每月庫存表 0620更新" connectionId="8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8.xml><?xml version="1.0" encoding="utf-8"?>
<queryTable xmlns="http://schemas.openxmlformats.org/spreadsheetml/2006/main" name="取樣回收每月庫存表 0620更新" connectionId="9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9.xml><?xml version="1.0" encoding="utf-8"?>
<queryTable xmlns="http://schemas.openxmlformats.org/spreadsheetml/2006/main" name="取樣回收每月庫存表 0620更新" connectionId="10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20.xml><?xml version="1.0" encoding="utf-8"?>
<queryTable xmlns="http://schemas.openxmlformats.org/spreadsheetml/2006/main" name="取樣回收每月庫存表 0620更新" connectionId="11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21.xml><?xml version="1.0" encoding="utf-8"?>
<queryTable xmlns="http://schemas.openxmlformats.org/spreadsheetml/2006/main" name="取樣回收每月庫存表 0620更新" connectionId="13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22.xml><?xml version="1.0" encoding="utf-8"?>
<queryTable xmlns="http://schemas.openxmlformats.org/spreadsheetml/2006/main" name="取樣回收每月庫存表 0620更新" connectionId="14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23.xml><?xml version="1.0" encoding="utf-8"?>
<queryTable xmlns="http://schemas.openxmlformats.org/spreadsheetml/2006/main" name="取樣回收每月庫存表 0620更新" connectionId="15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tables/_rels/table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3.xml"/></Relationships>
</file>

<file path=xl/tables/table1.xml><?xml version="1.0" encoding="utf-8"?>
<table xmlns="http://schemas.openxmlformats.org/spreadsheetml/2006/main" id="24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3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3" ref="AG13:BH189" tableType="queryTable" totalsRowShown="0" headerRowDxfId="2939" dataDxfId="2938" headerRowCellStyle="一般 2" dataCellStyle="一般 2">
  <autoFilter ref="AG13:BH189"/>
  <tableColumns count="28">
    <tableColumn id="1" uniqueName="1" name="請直接以10進位，謝謝" queryTableFieldId="1" dataDxfId="2937" dataCellStyle="一般 2"/>
    <tableColumn id="2" uniqueName="2" name="F2" queryTableFieldId="2" dataDxfId="2936" dataCellStyle="一般 2"/>
    <tableColumn id="3" uniqueName="3" name="F3" queryTableFieldId="3" dataDxfId="2935" dataCellStyle="一般 2"/>
    <tableColumn id="4" uniqueName="4" name="F4" queryTableFieldId="4" dataDxfId="2934" dataCellStyle="一般 2"/>
    <tableColumn id="5" uniqueName="5" name="F5" queryTableFieldId="5" dataDxfId="2933" dataCellStyle="一般 2"/>
    <tableColumn id="6" uniqueName="6" name="F6" queryTableFieldId="6" dataDxfId="2932" dataCellStyle="一般 2"/>
    <tableColumn id="7" uniqueName="7" name="F7" queryTableFieldId="7" dataDxfId="2931" dataCellStyle="一般 2"/>
    <tableColumn id="8" uniqueName="8" name="F8" queryTableFieldId="8" dataDxfId="2930" dataCellStyle="一般 2"/>
    <tableColumn id="9" uniqueName="9" name="F9" queryTableFieldId="9" dataDxfId="2929" dataCellStyle="一般 2"/>
    <tableColumn id="10" uniqueName="10" name="F10" queryTableFieldId="10" dataDxfId="2928" dataCellStyle="一般 2"/>
    <tableColumn id="11" uniqueName="11" name="F11" queryTableFieldId="11" dataDxfId="2927" dataCellStyle="一般 2"/>
    <tableColumn id="12" uniqueName="12" name="F12" queryTableFieldId="12" dataDxfId="2926" dataCellStyle="一般 2"/>
    <tableColumn id="13" uniqueName="13" name="F13" queryTableFieldId="13" dataDxfId="2925" dataCellStyle="一般 2"/>
    <tableColumn id="14" uniqueName="14" name="F14" queryTableFieldId="14" dataDxfId="2924" dataCellStyle="一般 2"/>
    <tableColumn id="15" uniqueName="15" name="F15" queryTableFieldId="15" dataDxfId="2923" dataCellStyle="一般 2"/>
    <tableColumn id="16" uniqueName="16" name="F16" queryTableFieldId="16" dataDxfId="2922" dataCellStyle="一般 2"/>
    <tableColumn id="17" uniqueName="17" name="F17" queryTableFieldId="17" dataDxfId="2921" dataCellStyle="一般 2"/>
    <tableColumn id="18" uniqueName="18" name="F18" queryTableFieldId="18" dataDxfId="2920" dataCellStyle="一般 2"/>
    <tableColumn id="19" uniqueName="19" name="F19" queryTableFieldId="19" dataDxfId="2919" dataCellStyle="一般 2"/>
    <tableColumn id="20" uniqueName="20" name="F20" queryTableFieldId="20" dataDxfId="2918" dataCellStyle="一般 2"/>
    <tableColumn id="21" uniqueName="21" name="F21" queryTableFieldId="21" dataDxfId="2917" dataCellStyle="一般 2"/>
    <tableColumn id="22" uniqueName="22" name="2024/6/24 14:52" queryTableFieldId="22" dataDxfId="2916" dataCellStyle="一般 2"/>
    <tableColumn id="23" uniqueName="23" name="F23" queryTableFieldId="23" dataDxfId="2915" dataCellStyle="一般 2"/>
    <tableColumn id="24" uniqueName="24" name="F24" queryTableFieldId="24" dataDxfId="2914" dataCellStyle="一般 2"/>
    <tableColumn id="25" uniqueName="25" name="F25" queryTableFieldId="25" dataDxfId="2913" dataCellStyle="一般 2"/>
    <tableColumn id="26" uniqueName="26" name="F26" queryTableFieldId="26" dataDxfId="2912" dataCellStyle="一般 2"/>
    <tableColumn id="27" uniqueName="27" name="F27" queryTableFieldId="27" dataDxfId="2911" dataCellStyle="一般 2"/>
    <tableColumn id="28" uniqueName="28" name="F28" queryTableFieldId="28" dataDxfId="2910" dataCellStyle="一般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2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2" ref="AG13:BH189" tableType="queryTable" totalsRowShown="0" headerRowDxfId="2807" dataDxfId="2806" headerRowCellStyle="一般 2" dataCellStyle="一般 2">
  <autoFilter ref="AG13:BH189"/>
  <tableColumns count="28">
    <tableColumn id="1" uniqueName="1" name="請直接以10進位，謝謝" queryTableFieldId="1" dataDxfId="2805" dataCellStyle="一般 2"/>
    <tableColumn id="2" uniqueName="2" name="F2" queryTableFieldId="2" dataDxfId="2804" dataCellStyle="一般 2"/>
    <tableColumn id="3" uniqueName="3" name="F3" queryTableFieldId="3" dataDxfId="2803" dataCellStyle="一般 2"/>
    <tableColumn id="4" uniqueName="4" name="F4" queryTableFieldId="4" dataDxfId="2802" dataCellStyle="一般 2"/>
    <tableColumn id="5" uniqueName="5" name="F5" queryTableFieldId="5" dataDxfId="2801" dataCellStyle="一般 2"/>
    <tableColumn id="6" uniqueName="6" name="F6" queryTableFieldId="6" dataDxfId="2800" dataCellStyle="一般 2"/>
    <tableColumn id="7" uniqueName="7" name="F7" queryTableFieldId="7" dataDxfId="2799" dataCellStyle="一般 2"/>
    <tableColumn id="8" uniqueName="8" name="F8" queryTableFieldId="8" dataDxfId="2798" dataCellStyle="一般 2"/>
    <tableColumn id="9" uniqueName="9" name="F9" queryTableFieldId="9" dataDxfId="2797" dataCellStyle="一般 2"/>
    <tableColumn id="10" uniqueName="10" name="F10" queryTableFieldId="10" dataDxfId="2796" dataCellStyle="一般 2"/>
    <tableColumn id="11" uniqueName="11" name="F11" queryTableFieldId="11" dataDxfId="2795" dataCellStyle="一般 2"/>
    <tableColumn id="12" uniqueName="12" name="F12" queryTableFieldId="12" dataDxfId="2794" dataCellStyle="一般 2"/>
    <tableColumn id="13" uniqueName="13" name="F13" queryTableFieldId="13" dataDxfId="2793" dataCellStyle="一般 2"/>
    <tableColumn id="14" uniqueName="14" name="F14" queryTableFieldId="14" dataDxfId="2792" dataCellStyle="一般 2"/>
    <tableColumn id="15" uniqueName="15" name="F15" queryTableFieldId="15" dataDxfId="2791" dataCellStyle="一般 2"/>
    <tableColumn id="16" uniqueName="16" name="F16" queryTableFieldId="16" dataDxfId="2790" dataCellStyle="一般 2"/>
    <tableColumn id="17" uniqueName="17" name="F17" queryTableFieldId="17" dataDxfId="2789" dataCellStyle="一般 2"/>
    <tableColumn id="18" uniqueName="18" name="F18" queryTableFieldId="18" dataDxfId="2788" dataCellStyle="一般 2"/>
    <tableColumn id="19" uniqueName="19" name="F19" queryTableFieldId="19" dataDxfId="2787" dataCellStyle="一般 2"/>
    <tableColumn id="20" uniqueName="20" name="F20" queryTableFieldId="20" dataDxfId="2786" dataCellStyle="一般 2"/>
    <tableColumn id="21" uniqueName="21" name="F21" queryTableFieldId="21" dataDxfId="2785" dataCellStyle="一般 2"/>
    <tableColumn id="22" uniqueName="22" name="2024/6/24 14:52" queryTableFieldId="22" dataDxfId="2784" dataCellStyle="一般 2"/>
    <tableColumn id="23" uniqueName="23" name="F23" queryTableFieldId="23" dataDxfId="2783" dataCellStyle="一般 2"/>
    <tableColumn id="24" uniqueName="24" name="F24" queryTableFieldId="24" dataDxfId="2782" dataCellStyle="一般 2"/>
    <tableColumn id="25" uniqueName="25" name="F25" queryTableFieldId="25" dataDxfId="2781" dataCellStyle="一般 2"/>
    <tableColumn id="26" uniqueName="26" name="F26" queryTableFieldId="26" dataDxfId="2780" dataCellStyle="一般 2"/>
    <tableColumn id="27" uniqueName="27" name="F27" queryTableFieldId="27" dataDxfId="2779" dataCellStyle="一般 2"/>
    <tableColumn id="28" uniqueName="28" name="F28" queryTableFieldId="28" dataDxfId="2778" dataCellStyle="一般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4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4" ref="AG13:BH189" tableType="queryTable" totalsRowShown="0" headerRowDxfId="2675" dataDxfId="2674" headerRowCellStyle="一般 2" dataCellStyle="一般 2">
  <autoFilter ref="AG13:BH189"/>
  <tableColumns count="28">
    <tableColumn id="1" uniqueName="1" name="請直接以10進位，謝謝" queryTableFieldId="1" dataDxfId="2673" dataCellStyle="一般 2"/>
    <tableColumn id="2" uniqueName="2" name="F2" queryTableFieldId="2" dataDxfId="2672" dataCellStyle="一般 2"/>
    <tableColumn id="3" uniqueName="3" name="F3" queryTableFieldId="3" dataDxfId="2671" dataCellStyle="一般 2"/>
    <tableColumn id="4" uniqueName="4" name="F4" queryTableFieldId="4" dataDxfId="2670" dataCellStyle="一般 2"/>
    <tableColumn id="5" uniqueName="5" name="F5" queryTableFieldId="5" dataDxfId="2669" dataCellStyle="一般 2"/>
    <tableColumn id="6" uniqueName="6" name="F6" queryTableFieldId="6" dataDxfId="2668" dataCellStyle="一般 2"/>
    <tableColumn id="7" uniqueName="7" name="F7" queryTableFieldId="7" dataDxfId="2667" dataCellStyle="一般 2"/>
    <tableColumn id="8" uniqueName="8" name="F8" queryTableFieldId="8" dataDxfId="2666" dataCellStyle="一般 2"/>
    <tableColumn id="9" uniqueName="9" name="F9" queryTableFieldId="9" dataDxfId="2665" dataCellStyle="一般 2"/>
    <tableColumn id="10" uniqueName="10" name="F10" queryTableFieldId="10" dataDxfId="2664" dataCellStyle="一般 2"/>
    <tableColumn id="11" uniqueName="11" name="F11" queryTableFieldId="11" dataDxfId="2663" dataCellStyle="一般 2"/>
    <tableColumn id="12" uniqueName="12" name="F12" queryTableFieldId="12" dataDxfId="2662" dataCellStyle="一般 2"/>
    <tableColumn id="13" uniqueName="13" name="F13" queryTableFieldId="13" dataDxfId="2661" dataCellStyle="一般 2"/>
    <tableColumn id="14" uniqueName="14" name="F14" queryTableFieldId="14" dataDxfId="2660" dataCellStyle="一般 2"/>
    <tableColumn id="15" uniqueName="15" name="F15" queryTableFieldId="15" dataDxfId="2659" dataCellStyle="一般 2"/>
    <tableColumn id="16" uniqueName="16" name="F16" queryTableFieldId="16" dataDxfId="2658" dataCellStyle="一般 2"/>
    <tableColumn id="17" uniqueName="17" name="F17" queryTableFieldId="17" dataDxfId="2657" dataCellStyle="一般 2"/>
    <tableColumn id="18" uniqueName="18" name="F18" queryTableFieldId="18" dataDxfId="2656" dataCellStyle="一般 2"/>
    <tableColumn id="19" uniqueName="19" name="F19" queryTableFieldId="19" dataDxfId="2655" dataCellStyle="一般 2"/>
    <tableColumn id="20" uniqueName="20" name="F20" queryTableFieldId="20" dataDxfId="2654" dataCellStyle="一般 2"/>
    <tableColumn id="21" uniqueName="21" name="F21" queryTableFieldId="21" dataDxfId="2653" dataCellStyle="一般 2"/>
    <tableColumn id="22" uniqueName="22" name="2024/6/24 14:52" queryTableFieldId="22" dataDxfId="2652" dataCellStyle="一般 2"/>
    <tableColumn id="23" uniqueName="23" name="F23" queryTableFieldId="23" dataDxfId="2651" dataCellStyle="一般 2"/>
    <tableColumn id="24" uniqueName="24" name="F24" queryTableFieldId="24" dataDxfId="2650" dataCellStyle="一般 2"/>
    <tableColumn id="25" uniqueName="25" name="F25" queryTableFieldId="25" dataDxfId="2649" dataCellStyle="一般 2"/>
    <tableColumn id="26" uniqueName="26" name="F26" queryTableFieldId="26" dataDxfId="2648" dataCellStyle="一般 2"/>
    <tableColumn id="27" uniqueName="27" name="F27" queryTableFieldId="27" dataDxfId="2647" dataCellStyle="一般 2"/>
    <tableColumn id="28" uniqueName="28" name="F28" queryTableFieldId="28" dataDxfId="2646" dataCellStyle="一般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5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5" ref="AG13:BH189" tableType="queryTable" totalsRowShown="0" headerRowDxfId="2543" dataDxfId="2542" headerRowCellStyle="一般 2" dataCellStyle="一般 2">
  <autoFilter ref="AG13:BH189"/>
  <tableColumns count="28">
    <tableColumn id="1" uniqueName="1" name="請直接以10進位，謝謝" queryTableFieldId="1" dataDxfId="2541" dataCellStyle="一般 2"/>
    <tableColumn id="2" uniqueName="2" name="F2" queryTableFieldId="2" dataDxfId="2540" dataCellStyle="一般 2"/>
    <tableColumn id="3" uniqueName="3" name="F3" queryTableFieldId="3" dataDxfId="2539" dataCellStyle="一般 2"/>
    <tableColumn id="4" uniqueName="4" name="F4" queryTableFieldId="4" dataDxfId="2538" dataCellStyle="一般 2"/>
    <tableColumn id="5" uniqueName="5" name="F5" queryTableFieldId="5" dataDxfId="2537" dataCellStyle="一般 2"/>
    <tableColumn id="6" uniqueName="6" name="F6" queryTableFieldId="6" dataDxfId="2536" dataCellStyle="一般 2"/>
    <tableColumn id="7" uniqueName="7" name="F7" queryTableFieldId="7" dataDxfId="2535" dataCellStyle="一般 2"/>
    <tableColumn id="8" uniqueName="8" name="F8" queryTableFieldId="8" dataDxfId="2534" dataCellStyle="一般 2"/>
    <tableColumn id="9" uniqueName="9" name="F9" queryTableFieldId="9" dataDxfId="2533" dataCellStyle="一般 2"/>
    <tableColumn id="10" uniqueName="10" name="F10" queryTableFieldId="10" dataDxfId="2532" dataCellStyle="一般 2"/>
    <tableColumn id="11" uniqueName="11" name="F11" queryTableFieldId="11" dataDxfId="2531" dataCellStyle="一般 2"/>
    <tableColumn id="12" uniqueName="12" name="F12" queryTableFieldId="12" dataDxfId="2530" dataCellStyle="一般 2"/>
    <tableColumn id="13" uniqueName="13" name="F13" queryTableFieldId="13" dataDxfId="2529" dataCellStyle="一般 2"/>
    <tableColumn id="14" uniqueName="14" name="F14" queryTableFieldId="14" dataDxfId="2528" dataCellStyle="一般 2"/>
    <tableColumn id="15" uniqueName="15" name="F15" queryTableFieldId="15" dataDxfId="2527" dataCellStyle="一般 2"/>
    <tableColumn id="16" uniqueName="16" name="F16" queryTableFieldId="16" dataDxfId="2526" dataCellStyle="一般 2"/>
    <tableColumn id="17" uniqueName="17" name="F17" queryTableFieldId="17" dataDxfId="2525" dataCellStyle="一般 2"/>
    <tableColumn id="18" uniqueName="18" name="F18" queryTableFieldId="18" dataDxfId="2524" dataCellStyle="一般 2"/>
    <tableColumn id="19" uniqueName="19" name="F19" queryTableFieldId="19" dataDxfId="2523" dataCellStyle="一般 2"/>
    <tableColumn id="20" uniqueName="20" name="F20" queryTableFieldId="20" dataDxfId="2522" dataCellStyle="一般 2"/>
    <tableColumn id="21" uniqueName="21" name="F21" queryTableFieldId="21" dataDxfId="2521" dataCellStyle="一般 2"/>
    <tableColumn id="22" uniqueName="22" name="2024/6/24 14:52" queryTableFieldId="22" dataDxfId="2520" dataCellStyle="一般 2"/>
    <tableColumn id="23" uniqueName="23" name="F23" queryTableFieldId="23" dataDxfId="2519" dataCellStyle="一般 2"/>
    <tableColumn id="24" uniqueName="24" name="F24" queryTableFieldId="24" dataDxfId="2518" dataCellStyle="一般 2"/>
    <tableColumn id="25" uniqueName="25" name="F25" queryTableFieldId="25" dataDxfId="2517" dataCellStyle="一般 2"/>
    <tableColumn id="26" uniqueName="26" name="F26" queryTableFieldId="26" dataDxfId="2516" dataCellStyle="一般 2"/>
    <tableColumn id="27" uniqueName="27" name="F27" queryTableFieldId="27" dataDxfId="2515" dataCellStyle="一般 2"/>
    <tableColumn id="28" uniqueName="28" name="F28" queryTableFieldId="28" dataDxfId="2514" dataCellStyle="一般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4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6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6" ref="AG13:BH189" tableType="queryTable" totalsRowShown="0" headerRowDxfId="2411" dataDxfId="2410" headerRowCellStyle="一般 2" dataCellStyle="一般 2">
  <autoFilter ref="AG13:BH189"/>
  <tableColumns count="28">
    <tableColumn id="1" uniqueName="1" name="請直接以10進位，謝謝" queryTableFieldId="1" dataDxfId="2409" dataCellStyle="一般 2"/>
    <tableColumn id="2" uniqueName="2" name="F2" queryTableFieldId="2" dataDxfId="2408" dataCellStyle="一般 2"/>
    <tableColumn id="3" uniqueName="3" name="F3" queryTableFieldId="3" dataDxfId="2407" dataCellStyle="一般 2"/>
    <tableColumn id="4" uniqueName="4" name="F4" queryTableFieldId="4" dataDxfId="2406" dataCellStyle="一般 2"/>
    <tableColumn id="5" uniqueName="5" name="F5" queryTableFieldId="5" dataDxfId="2405" dataCellStyle="一般 2"/>
    <tableColumn id="6" uniqueName="6" name="F6" queryTableFieldId="6" dataDxfId="2404" dataCellStyle="一般 2"/>
    <tableColumn id="7" uniqueName="7" name="F7" queryTableFieldId="7" dataDxfId="2403" dataCellStyle="一般 2"/>
    <tableColumn id="8" uniqueName="8" name="F8" queryTableFieldId="8" dataDxfId="2402" dataCellStyle="一般 2"/>
    <tableColumn id="9" uniqueName="9" name="F9" queryTableFieldId="9" dataDxfId="2401" dataCellStyle="一般 2"/>
    <tableColumn id="10" uniqueName="10" name="F10" queryTableFieldId="10" dataDxfId="2400" dataCellStyle="一般 2"/>
    <tableColumn id="11" uniqueName="11" name="F11" queryTableFieldId="11" dataDxfId="2399" dataCellStyle="一般 2"/>
    <tableColumn id="12" uniqueName="12" name="F12" queryTableFieldId="12" dataDxfId="2398" dataCellStyle="一般 2"/>
    <tableColumn id="13" uniqueName="13" name="F13" queryTableFieldId="13" dataDxfId="2397" dataCellStyle="一般 2"/>
    <tableColumn id="14" uniqueName="14" name="F14" queryTableFieldId="14" dataDxfId="2396" dataCellStyle="一般 2"/>
    <tableColumn id="15" uniqueName="15" name="F15" queryTableFieldId="15" dataDxfId="2395" dataCellStyle="一般 2"/>
    <tableColumn id="16" uniqueName="16" name="F16" queryTableFieldId="16" dataDxfId="2394" dataCellStyle="一般 2"/>
    <tableColumn id="17" uniqueName="17" name="F17" queryTableFieldId="17" dataDxfId="2393" dataCellStyle="一般 2"/>
    <tableColumn id="18" uniqueName="18" name="F18" queryTableFieldId="18" dataDxfId="2392" dataCellStyle="一般 2"/>
    <tableColumn id="19" uniqueName="19" name="F19" queryTableFieldId="19" dataDxfId="2391" dataCellStyle="一般 2"/>
    <tableColumn id="20" uniqueName="20" name="F20" queryTableFieldId="20" dataDxfId="2390" dataCellStyle="一般 2"/>
    <tableColumn id="21" uniqueName="21" name="F21" queryTableFieldId="21" dataDxfId="2389" dataCellStyle="一般 2"/>
    <tableColumn id="22" uniqueName="22" name="2024/6/24 14:52" queryTableFieldId="22" dataDxfId="2388" dataCellStyle="一般 2"/>
    <tableColumn id="23" uniqueName="23" name="F23" queryTableFieldId="23" dataDxfId="2387" dataCellStyle="一般 2"/>
    <tableColumn id="24" uniqueName="24" name="F24" queryTableFieldId="24" dataDxfId="2386" dataCellStyle="一般 2"/>
    <tableColumn id="25" uniqueName="25" name="F25" queryTableFieldId="25" dataDxfId="2385" dataCellStyle="一般 2"/>
    <tableColumn id="26" uniqueName="26" name="F26" queryTableFieldId="26" dataDxfId="2384" dataCellStyle="一般 2"/>
    <tableColumn id="27" uniqueName="27" name="F27" queryTableFieldId="27" dataDxfId="2383" dataCellStyle="一般 2"/>
    <tableColumn id="28" uniqueName="28" name="F28" queryTableFieldId="28" dataDxfId="2382" dataCellStyle="一般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5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7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7" ref="AG13:BH189" tableType="queryTable" totalsRowShown="0" headerRowDxfId="2279" dataDxfId="2278" headerRowCellStyle="一般 2" dataCellStyle="一般 2">
  <autoFilter ref="AG13:BH189"/>
  <tableColumns count="28">
    <tableColumn id="1" uniqueName="1" name="請直接以10進位，謝謝" queryTableFieldId="1" dataDxfId="2277" dataCellStyle="一般 2"/>
    <tableColumn id="2" uniqueName="2" name="F2" queryTableFieldId="2" dataDxfId="2276" dataCellStyle="一般 2"/>
    <tableColumn id="3" uniqueName="3" name="F3" queryTableFieldId="3" dataDxfId="2275" dataCellStyle="一般 2"/>
    <tableColumn id="4" uniqueName="4" name="F4" queryTableFieldId="4" dataDxfId="2274" dataCellStyle="一般 2"/>
    <tableColumn id="5" uniqueName="5" name="F5" queryTableFieldId="5" dataDxfId="2273" dataCellStyle="一般 2"/>
    <tableColumn id="6" uniqueName="6" name="F6" queryTableFieldId="6" dataDxfId="2272" dataCellStyle="一般 2"/>
    <tableColumn id="7" uniqueName="7" name="F7" queryTableFieldId="7" dataDxfId="2271" dataCellStyle="一般 2"/>
    <tableColumn id="8" uniqueName="8" name="F8" queryTableFieldId="8" dataDxfId="2270" dataCellStyle="一般 2"/>
    <tableColumn id="9" uniqueName="9" name="F9" queryTableFieldId="9" dataDxfId="2269" dataCellStyle="一般 2"/>
    <tableColumn id="10" uniqueName="10" name="F10" queryTableFieldId="10" dataDxfId="2268" dataCellStyle="一般 2"/>
    <tableColumn id="11" uniqueName="11" name="F11" queryTableFieldId="11" dataDxfId="2267" dataCellStyle="一般 2"/>
    <tableColumn id="12" uniqueName="12" name="F12" queryTableFieldId="12" dataDxfId="2266" dataCellStyle="一般 2"/>
    <tableColumn id="13" uniqueName="13" name="F13" queryTableFieldId="13" dataDxfId="2265" dataCellStyle="一般 2"/>
    <tableColumn id="14" uniqueName="14" name="F14" queryTableFieldId="14" dataDxfId="2264" dataCellStyle="一般 2"/>
    <tableColumn id="15" uniqueName="15" name="F15" queryTableFieldId="15" dataDxfId="2263" dataCellStyle="一般 2"/>
    <tableColumn id="16" uniqueName="16" name="F16" queryTableFieldId="16" dataDxfId="2262" dataCellStyle="一般 2"/>
    <tableColumn id="17" uniqueName="17" name="F17" queryTableFieldId="17" dataDxfId="2261" dataCellStyle="一般 2"/>
    <tableColumn id="18" uniqueName="18" name="F18" queryTableFieldId="18" dataDxfId="2260" dataCellStyle="一般 2"/>
    <tableColumn id="19" uniqueName="19" name="F19" queryTableFieldId="19" dataDxfId="2259" dataCellStyle="一般 2"/>
    <tableColumn id="20" uniqueName="20" name="F20" queryTableFieldId="20" dataDxfId="2258" dataCellStyle="一般 2"/>
    <tableColumn id="21" uniqueName="21" name="F21" queryTableFieldId="21" dataDxfId="2257" dataCellStyle="一般 2"/>
    <tableColumn id="22" uniqueName="22" name="2024/6/24 14:52" queryTableFieldId="22" dataDxfId="2256" dataCellStyle="一般 2"/>
    <tableColumn id="23" uniqueName="23" name="F23" queryTableFieldId="23" dataDxfId="2255" dataCellStyle="一般 2"/>
    <tableColumn id="24" uniqueName="24" name="F24" queryTableFieldId="24" dataDxfId="2254" dataCellStyle="一般 2"/>
    <tableColumn id="25" uniqueName="25" name="F25" queryTableFieldId="25" dataDxfId="2253" dataCellStyle="一般 2"/>
    <tableColumn id="26" uniqueName="26" name="F26" queryTableFieldId="26" dataDxfId="2252" dataCellStyle="一般 2"/>
    <tableColumn id="27" uniqueName="27" name="F27" queryTableFieldId="27" dataDxfId="2251" dataCellStyle="一般 2"/>
    <tableColumn id="28" uniqueName="28" name="F28" queryTableFieldId="28" dataDxfId="2250" dataCellStyle="一般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6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8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8" ref="AG13:BH189" tableType="queryTable" totalsRowShown="0" headerRowDxfId="2147" dataDxfId="2146" headerRowCellStyle="一般 2" dataCellStyle="一般 2">
  <autoFilter ref="AG13:BH189"/>
  <tableColumns count="28">
    <tableColumn id="1" uniqueName="1" name="請直接以10進位，謝謝" queryTableFieldId="1" dataDxfId="2145" dataCellStyle="一般 2"/>
    <tableColumn id="2" uniqueName="2" name="F2" queryTableFieldId="2" dataDxfId="2144" dataCellStyle="一般 2"/>
    <tableColumn id="3" uniqueName="3" name="F3" queryTableFieldId="3" dataDxfId="2143" dataCellStyle="一般 2"/>
    <tableColumn id="4" uniqueName="4" name="F4" queryTableFieldId="4" dataDxfId="2142" dataCellStyle="一般 2"/>
    <tableColumn id="5" uniqueName="5" name="F5" queryTableFieldId="5" dataDxfId="2141" dataCellStyle="一般 2"/>
    <tableColumn id="6" uniqueName="6" name="F6" queryTableFieldId="6" dataDxfId="2140" dataCellStyle="一般 2"/>
    <tableColumn id="7" uniqueName="7" name="F7" queryTableFieldId="7" dataDxfId="2139" dataCellStyle="一般 2"/>
    <tableColumn id="8" uniqueName="8" name="F8" queryTableFieldId="8" dataDxfId="2138" dataCellStyle="一般 2"/>
    <tableColumn id="9" uniqueName="9" name="F9" queryTableFieldId="9" dataDxfId="2137" dataCellStyle="一般 2"/>
    <tableColumn id="10" uniqueName="10" name="F10" queryTableFieldId="10" dataDxfId="2136" dataCellStyle="一般 2"/>
    <tableColumn id="11" uniqueName="11" name="F11" queryTableFieldId="11" dataDxfId="2135" dataCellStyle="一般 2"/>
    <tableColumn id="12" uniqueName="12" name="F12" queryTableFieldId="12" dataDxfId="2134" dataCellStyle="一般 2"/>
    <tableColumn id="13" uniqueName="13" name="F13" queryTableFieldId="13" dataDxfId="2133" dataCellStyle="一般 2"/>
    <tableColumn id="14" uniqueName="14" name="F14" queryTableFieldId="14" dataDxfId="2132" dataCellStyle="一般 2"/>
    <tableColumn id="15" uniqueName="15" name="F15" queryTableFieldId="15" dataDxfId="2131" dataCellStyle="一般 2"/>
    <tableColumn id="16" uniqueName="16" name="F16" queryTableFieldId="16" dataDxfId="2130" dataCellStyle="一般 2"/>
    <tableColumn id="17" uniqueName="17" name="F17" queryTableFieldId="17" dataDxfId="2129" dataCellStyle="一般 2"/>
    <tableColumn id="18" uniqueName="18" name="F18" queryTableFieldId="18" dataDxfId="2128" dataCellStyle="一般 2"/>
    <tableColumn id="19" uniqueName="19" name="F19" queryTableFieldId="19" dataDxfId="2127" dataCellStyle="一般 2"/>
    <tableColumn id="20" uniqueName="20" name="F20" queryTableFieldId="20" dataDxfId="2126" dataCellStyle="一般 2"/>
    <tableColumn id="21" uniqueName="21" name="F21" queryTableFieldId="21" dataDxfId="2125" dataCellStyle="一般 2"/>
    <tableColumn id="22" uniqueName="22" name="2024/6/24 14:52" queryTableFieldId="22" dataDxfId="2124" dataCellStyle="一般 2"/>
    <tableColumn id="23" uniqueName="23" name="F23" queryTableFieldId="23" dataDxfId="2123" dataCellStyle="一般 2"/>
    <tableColumn id="24" uniqueName="24" name="F24" queryTableFieldId="24" dataDxfId="2122" dataCellStyle="一般 2"/>
    <tableColumn id="25" uniqueName="25" name="F25" queryTableFieldId="25" dataDxfId="2121" dataCellStyle="一般 2"/>
    <tableColumn id="26" uniqueName="26" name="F26" queryTableFieldId="26" dataDxfId="2120" dataCellStyle="一般 2"/>
    <tableColumn id="27" uniqueName="27" name="F27" queryTableFieldId="27" dataDxfId="2119" dataCellStyle="一般 2"/>
    <tableColumn id="28" uniqueName="28" name="F28" queryTableFieldId="28" dataDxfId="2118" dataCellStyle="一般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9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9" ref="AG13:BH189" tableType="queryTable" totalsRowShown="0" headerRowDxfId="2015" dataDxfId="2014" headerRowCellStyle="一般 2" dataCellStyle="一般 2">
  <autoFilter ref="AG13:BH189"/>
  <tableColumns count="28">
    <tableColumn id="1" uniqueName="1" name="請直接以10進位，謝謝" queryTableFieldId="1" dataDxfId="2013" dataCellStyle="一般 2"/>
    <tableColumn id="2" uniqueName="2" name="F2" queryTableFieldId="2" dataDxfId="2012" dataCellStyle="一般 2"/>
    <tableColumn id="3" uniqueName="3" name="F3" queryTableFieldId="3" dataDxfId="2011" dataCellStyle="一般 2"/>
    <tableColumn id="4" uniqueName="4" name="F4" queryTableFieldId="4" dataDxfId="2010" dataCellStyle="一般 2"/>
    <tableColumn id="5" uniqueName="5" name="F5" queryTableFieldId="5" dataDxfId="2009" dataCellStyle="一般 2"/>
    <tableColumn id="6" uniqueName="6" name="F6" queryTableFieldId="6" dataDxfId="2008" dataCellStyle="一般 2"/>
    <tableColumn id="7" uniqueName="7" name="F7" queryTableFieldId="7" dataDxfId="2007" dataCellStyle="一般 2"/>
    <tableColumn id="8" uniqueName="8" name="F8" queryTableFieldId="8" dataDxfId="2006" dataCellStyle="一般 2"/>
    <tableColumn id="9" uniqueName="9" name="F9" queryTableFieldId="9" dataDxfId="2005" dataCellStyle="一般 2"/>
    <tableColumn id="10" uniqueName="10" name="F10" queryTableFieldId="10" dataDxfId="2004" dataCellStyle="一般 2"/>
    <tableColumn id="11" uniqueName="11" name="F11" queryTableFieldId="11" dataDxfId="2003" dataCellStyle="一般 2"/>
    <tableColumn id="12" uniqueName="12" name="F12" queryTableFieldId="12" dataDxfId="2002" dataCellStyle="一般 2"/>
    <tableColumn id="13" uniqueName="13" name="F13" queryTableFieldId="13" dataDxfId="2001" dataCellStyle="一般 2"/>
    <tableColumn id="14" uniqueName="14" name="F14" queryTableFieldId="14" dataDxfId="2000" dataCellStyle="一般 2"/>
    <tableColumn id="15" uniqueName="15" name="F15" queryTableFieldId="15" dataDxfId="1999" dataCellStyle="一般 2"/>
    <tableColumn id="16" uniqueName="16" name="F16" queryTableFieldId="16" dataDxfId="1998" dataCellStyle="一般 2"/>
    <tableColumn id="17" uniqueName="17" name="F17" queryTableFieldId="17" dataDxfId="1997" dataCellStyle="一般 2"/>
    <tableColumn id="18" uniqueName="18" name="F18" queryTableFieldId="18" dataDxfId="1996" dataCellStyle="一般 2"/>
    <tableColumn id="19" uniqueName="19" name="F19" queryTableFieldId="19" dataDxfId="1995" dataCellStyle="一般 2"/>
    <tableColumn id="20" uniqueName="20" name="F20" queryTableFieldId="20" dataDxfId="1994" dataCellStyle="一般 2"/>
    <tableColumn id="21" uniqueName="21" name="F21" queryTableFieldId="21" dataDxfId="1993" dataCellStyle="一般 2"/>
    <tableColumn id="22" uniqueName="22" name="2024/6/24 14:52" queryTableFieldId="22" dataDxfId="1992" dataCellStyle="一般 2"/>
    <tableColumn id="23" uniqueName="23" name="F23" queryTableFieldId="23" dataDxfId="1991" dataCellStyle="一般 2"/>
    <tableColumn id="24" uniqueName="24" name="F24" queryTableFieldId="24" dataDxfId="1990" dataCellStyle="一般 2"/>
    <tableColumn id="25" uniqueName="25" name="F25" queryTableFieldId="25" dataDxfId="1989" dataCellStyle="一般 2"/>
    <tableColumn id="26" uniqueName="26" name="F26" queryTableFieldId="26" dataDxfId="1988" dataCellStyle="一般 2"/>
    <tableColumn id="27" uniqueName="27" name="F27" queryTableFieldId="27" dataDxfId="1987" dataCellStyle="一般 2"/>
    <tableColumn id="28" uniqueName="28" name="F28" queryTableFieldId="28" dataDxfId="1986" dataCellStyle="一般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8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0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0" ref="AG13:BH189" tableType="queryTable" totalsRowShown="0" headerRowDxfId="1883" dataDxfId="1882" headerRowCellStyle="一般 2" dataCellStyle="一般 2">
  <autoFilter ref="AG13:BH189"/>
  <tableColumns count="28">
    <tableColumn id="1" uniqueName="1" name="請直接以10進位，謝謝" queryTableFieldId="1" dataDxfId="1881" dataCellStyle="一般 2"/>
    <tableColumn id="2" uniqueName="2" name="F2" queryTableFieldId="2" dataDxfId="1880" dataCellStyle="一般 2"/>
    <tableColumn id="3" uniqueName="3" name="F3" queryTableFieldId="3" dataDxfId="1879" dataCellStyle="一般 2"/>
    <tableColumn id="4" uniqueName="4" name="F4" queryTableFieldId="4" dataDxfId="1878" dataCellStyle="一般 2"/>
    <tableColumn id="5" uniqueName="5" name="F5" queryTableFieldId="5" dataDxfId="1877" dataCellStyle="一般 2"/>
    <tableColumn id="6" uniqueName="6" name="F6" queryTableFieldId="6" dataDxfId="1876" dataCellStyle="一般 2"/>
    <tableColumn id="7" uniqueName="7" name="F7" queryTableFieldId="7" dataDxfId="1875" dataCellStyle="一般 2"/>
    <tableColumn id="8" uniqueName="8" name="F8" queryTableFieldId="8" dataDxfId="1874" dataCellStyle="一般 2"/>
    <tableColumn id="9" uniqueName="9" name="F9" queryTableFieldId="9" dataDxfId="1873" dataCellStyle="一般 2"/>
    <tableColumn id="10" uniqueName="10" name="F10" queryTableFieldId="10" dataDxfId="1872" dataCellStyle="一般 2"/>
    <tableColumn id="11" uniqueName="11" name="F11" queryTableFieldId="11" dataDxfId="1871" dataCellStyle="一般 2"/>
    <tableColumn id="12" uniqueName="12" name="F12" queryTableFieldId="12" dataDxfId="1870" dataCellStyle="一般 2"/>
    <tableColumn id="13" uniqueName="13" name="F13" queryTableFieldId="13" dataDxfId="1869" dataCellStyle="一般 2"/>
    <tableColumn id="14" uniqueName="14" name="F14" queryTableFieldId="14" dataDxfId="1868" dataCellStyle="一般 2"/>
    <tableColumn id="15" uniqueName="15" name="F15" queryTableFieldId="15" dataDxfId="1867" dataCellStyle="一般 2"/>
    <tableColumn id="16" uniqueName="16" name="F16" queryTableFieldId="16" dataDxfId="1866" dataCellStyle="一般 2"/>
    <tableColumn id="17" uniqueName="17" name="F17" queryTableFieldId="17" dataDxfId="1865" dataCellStyle="一般 2"/>
    <tableColumn id="18" uniqueName="18" name="F18" queryTableFieldId="18" dataDxfId="1864" dataCellStyle="一般 2"/>
    <tableColumn id="19" uniqueName="19" name="F19" queryTableFieldId="19" dataDxfId="1863" dataCellStyle="一般 2"/>
    <tableColumn id="20" uniqueName="20" name="F20" queryTableFieldId="20" dataDxfId="1862" dataCellStyle="一般 2"/>
    <tableColumn id="21" uniqueName="21" name="F21" queryTableFieldId="21" dataDxfId="1861" dataCellStyle="一般 2"/>
    <tableColumn id="22" uniqueName="22" name="2024/6/24 14:52" queryTableFieldId="22" dataDxfId="1860" dataCellStyle="一般 2"/>
    <tableColumn id="23" uniqueName="23" name="F23" queryTableFieldId="23" dataDxfId="1859" dataCellStyle="一般 2"/>
    <tableColumn id="24" uniqueName="24" name="F24" queryTableFieldId="24" dataDxfId="1858" dataCellStyle="一般 2"/>
    <tableColumn id="25" uniqueName="25" name="F25" queryTableFieldId="25" dataDxfId="1857" dataCellStyle="一般 2"/>
    <tableColumn id="26" uniqueName="26" name="F26" queryTableFieldId="26" dataDxfId="1856" dataCellStyle="一般 2"/>
    <tableColumn id="27" uniqueName="27" name="F27" queryTableFieldId="27" dataDxfId="1855" dataCellStyle="一般 2"/>
    <tableColumn id="28" uniqueName="28" name="F28" queryTableFieldId="28" dataDxfId="1854" dataCellStyle="一般 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1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1" ref="AG13:BH189" tableType="queryTable" totalsRowShown="0" headerRowDxfId="1751" dataDxfId="1750" headerRowCellStyle="一般 2" dataCellStyle="一般 2">
  <autoFilter ref="AG13:BH189"/>
  <tableColumns count="28">
    <tableColumn id="1" uniqueName="1" name="請直接以10進位，謝謝" queryTableFieldId="1" dataDxfId="1749" dataCellStyle="一般 2"/>
    <tableColumn id="2" uniqueName="2" name="F2" queryTableFieldId="2" dataDxfId="1748" dataCellStyle="一般 2"/>
    <tableColumn id="3" uniqueName="3" name="F3" queryTableFieldId="3" dataDxfId="1747" dataCellStyle="一般 2"/>
    <tableColumn id="4" uniqueName="4" name="F4" queryTableFieldId="4" dataDxfId="1746" dataCellStyle="一般 2"/>
    <tableColumn id="5" uniqueName="5" name="F5" queryTableFieldId="5" dataDxfId="1745" dataCellStyle="一般 2"/>
    <tableColumn id="6" uniqueName="6" name="F6" queryTableFieldId="6" dataDxfId="1744" dataCellStyle="一般 2"/>
    <tableColumn id="7" uniqueName="7" name="F7" queryTableFieldId="7" dataDxfId="1743" dataCellStyle="一般 2"/>
    <tableColumn id="8" uniqueName="8" name="F8" queryTableFieldId="8" dataDxfId="1742" dataCellStyle="一般 2"/>
    <tableColumn id="9" uniqueName="9" name="F9" queryTableFieldId="9" dataDxfId="1741" dataCellStyle="一般 2"/>
    <tableColumn id="10" uniqueName="10" name="F10" queryTableFieldId="10" dataDxfId="1740" dataCellStyle="一般 2"/>
    <tableColumn id="11" uniqueName="11" name="F11" queryTableFieldId="11" dataDxfId="1739" dataCellStyle="一般 2"/>
    <tableColumn id="12" uniqueName="12" name="F12" queryTableFieldId="12" dataDxfId="1738" dataCellStyle="一般 2"/>
    <tableColumn id="13" uniqueName="13" name="F13" queryTableFieldId="13" dataDxfId="1737" dataCellStyle="一般 2"/>
    <tableColumn id="14" uniqueName="14" name="F14" queryTableFieldId="14" dataDxfId="1736" dataCellStyle="一般 2"/>
    <tableColumn id="15" uniqueName="15" name="F15" queryTableFieldId="15" dataDxfId="1735" dataCellStyle="一般 2"/>
    <tableColumn id="16" uniqueName="16" name="F16" queryTableFieldId="16" dataDxfId="1734" dataCellStyle="一般 2"/>
    <tableColumn id="17" uniqueName="17" name="F17" queryTableFieldId="17" dataDxfId="1733" dataCellStyle="一般 2"/>
    <tableColumn id="18" uniqueName="18" name="F18" queryTableFieldId="18" dataDxfId="1732" dataCellStyle="一般 2"/>
    <tableColumn id="19" uniqueName="19" name="F19" queryTableFieldId="19" dataDxfId="1731" dataCellStyle="一般 2"/>
    <tableColumn id="20" uniqueName="20" name="F20" queryTableFieldId="20" dataDxfId="1730" dataCellStyle="一般 2"/>
    <tableColumn id="21" uniqueName="21" name="F21" queryTableFieldId="21" dataDxfId="1729" dataCellStyle="一般 2"/>
    <tableColumn id="22" uniqueName="22" name="2024/6/24 14:52" queryTableFieldId="22" dataDxfId="1728" dataCellStyle="一般 2"/>
    <tableColumn id="23" uniqueName="23" name="F23" queryTableFieldId="23" dataDxfId="1727" dataCellStyle="一般 2"/>
    <tableColumn id="24" uniqueName="24" name="F24" queryTableFieldId="24" dataDxfId="1726" dataCellStyle="一般 2"/>
    <tableColumn id="25" uniqueName="25" name="F25" queryTableFieldId="25" dataDxfId="1725" dataCellStyle="一般 2"/>
    <tableColumn id="26" uniqueName="26" name="F26" queryTableFieldId="26" dataDxfId="1724" dataCellStyle="一般 2"/>
    <tableColumn id="27" uniqueName="27" name="F27" queryTableFieldId="27" dataDxfId="1723" dataCellStyle="一般 2"/>
    <tableColumn id="28" uniqueName="28" name="F28" queryTableFieldId="28" dataDxfId="1722" dataCellStyle="一般 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0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2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2" ref="AG13:BH189" tableType="queryTable" totalsRowShown="0" headerRowDxfId="1619" dataDxfId="1618" headerRowCellStyle="一般 2" dataCellStyle="一般 2">
  <autoFilter ref="AG13:BH189"/>
  <tableColumns count="28">
    <tableColumn id="1" uniqueName="1" name="請直接以10進位，謝謝" queryTableFieldId="1" dataDxfId="1617" dataCellStyle="一般 2"/>
    <tableColumn id="2" uniqueName="2" name="F2" queryTableFieldId="2" dataDxfId="1616" dataCellStyle="一般 2"/>
    <tableColumn id="3" uniqueName="3" name="F3" queryTableFieldId="3" dataDxfId="1615" dataCellStyle="一般 2"/>
    <tableColumn id="4" uniqueName="4" name="F4" queryTableFieldId="4" dataDxfId="1614" dataCellStyle="一般 2"/>
    <tableColumn id="5" uniqueName="5" name="F5" queryTableFieldId="5" dataDxfId="1613" dataCellStyle="一般 2"/>
    <tableColumn id="6" uniqueName="6" name="F6" queryTableFieldId="6" dataDxfId="1612" dataCellStyle="一般 2"/>
    <tableColumn id="7" uniqueName="7" name="F7" queryTableFieldId="7" dataDxfId="1611" dataCellStyle="一般 2"/>
    <tableColumn id="8" uniqueName="8" name="F8" queryTableFieldId="8" dataDxfId="1610" dataCellStyle="一般 2"/>
    <tableColumn id="9" uniqueName="9" name="F9" queryTableFieldId="9" dataDxfId="1609" dataCellStyle="一般 2"/>
    <tableColumn id="10" uniqueName="10" name="F10" queryTableFieldId="10" dataDxfId="1608" dataCellStyle="一般 2"/>
    <tableColumn id="11" uniqueName="11" name="F11" queryTableFieldId="11" dataDxfId="1607" dataCellStyle="一般 2"/>
    <tableColumn id="12" uniqueName="12" name="F12" queryTableFieldId="12" dataDxfId="1606" dataCellStyle="一般 2"/>
    <tableColumn id="13" uniqueName="13" name="F13" queryTableFieldId="13" dataDxfId="1605" dataCellStyle="一般 2"/>
    <tableColumn id="14" uniqueName="14" name="F14" queryTableFieldId="14" dataDxfId="1604" dataCellStyle="一般 2"/>
    <tableColumn id="15" uniqueName="15" name="F15" queryTableFieldId="15" dataDxfId="1603" dataCellStyle="一般 2"/>
    <tableColumn id="16" uniqueName="16" name="F16" queryTableFieldId="16" dataDxfId="1602" dataCellStyle="一般 2"/>
    <tableColumn id="17" uniqueName="17" name="F17" queryTableFieldId="17" dataDxfId="1601" dataCellStyle="一般 2"/>
    <tableColumn id="18" uniqueName="18" name="F18" queryTableFieldId="18" dataDxfId="1600" dataCellStyle="一般 2"/>
    <tableColumn id="19" uniqueName="19" name="F19" queryTableFieldId="19" dataDxfId="1599" dataCellStyle="一般 2"/>
    <tableColumn id="20" uniqueName="20" name="F20" queryTableFieldId="20" dataDxfId="1598" dataCellStyle="一般 2"/>
    <tableColumn id="21" uniqueName="21" name="F21" queryTableFieldId="21" dataDxfId="1597" dataCellStyle="一般 2"/>
    <tableColumn id="22" uniqueName="22" name="2024/6/24 14:52" queryTableFieldId="22" dataDxfId="1596" dataCellStyle="一般 2"/>
    <tableColumn id="23" uniqueName="23" name="F23" queryTableFieldId="23" dataDxfId="1595" dataCellStyle="一般 2"/>
    <tableColumn id="24" uniqueName="24" name="F24" queryTableFieldId="24" dataDxfId="1594" dataCellStyle="一般 2"/>
    <tableColumn id="25" uniqueName="25" name="F25" queryTableFieldId="25" dataDxfId="1593" dataCellStyle="一般 2"/>
    <tableColumn id="26" uniqueName="26" name="F26" queryTableFieldId="26" dataDxfId="1592" dataCellStyle="一般 2"/>
    <tableColumn id="27" uniqueName="27" name="F27" queryTableFieldId="27" dataDxfId="1591" dataCellStyle="一般 2"/>
    <tableColumn id="28" uniqueName="28" name="F28" queryTableFieldId="28" dataDxfId="1590" dataCellStyle="一般 2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1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3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3" ref="AG13:BH189" tableType="queryTable" totalsRowShown="0" headerRowDxfId="1487" dataDxfId="1486" headerRowCellStyle="一般 2" dataCellStyle="一般 2">
  <autoFilter ref="AG13:BH189"/>
  <tableColumns count="28">
    <tableColumn id="1" uniqueName="1" name="請直接以10進位，謝謝" queryTableFieldId="1" dataDxfId="1485" dataCellStyle="一般 2"/>
    <tableColumn id="2" uniqueName="2" name="F2" queryTableFieldId="2" dataDxfId="1484" dataCellStyle="一般 2"/>
    <tableColumn id="3" uniqueName="3" name="F3" queryTableFieldId="3" dataDxfId="1483" dataCellStyle="一般 2"/>
    <tableColumn id="4" uniqueName="4" name="F4" queryTableFieldId="4" dataDxfId="1482" dataCellStyle="一般 2"/>
    <tableColumn id="5" uniqueName="5" name="F5" queryTableFieldId="5" dataDxfId="1481" dataCellStyle="一般 2"/>
    <tableColumn id="6" uniqueName="6" name="F6" queryTableFieldId="6" dataDxfId="1480" dataCellStyle="一般 2"/>
    <tableColumn id="7" uniqueName="7" name="F7" queryTableFieldId="7" dataDxfId="1479" dataCellStyle="一般 2"/>
    <tableColumn id="8" uniqueName="8" name="F8" queryTableFieldId="8" dataDxfId="1478" dataCellStyle="一般 2"/>
    <tableColumn id="9" uniqueName="9" name="F9" queryTableFieldId="9" dataDxfId="1477" dataCellStyle="一般 2"/>
    <tableColumn id="10" uniqueName="10" name="F10" queryTableFieldId="10" dataDxfId="1476" dataCellStyle="一般 2"/>
    <tableColumn id="11" uniqueName="11" name="F11" queryTableFieldId="11" dataDxfId="1475" dataCellStyle="一般 2"/>
    <tableColumn id="12" uniqueName="12" name="F12" queryTableFieldId="12" dataDxfId="1474" dataCellStyle="一般 2"/>
    <tableColumn id="13" uniqueName="13" name="F13" queryTableFieldId="13" dataDxfId="1473" dataCellStyle="一般 2"/>
    <tableColumn id="14" uniqueName="14" name="F14" queryTableFieldId="14" dataDxfId="1472" dataCellStyle="一般 2"/>
    <tableColumn id="15" uniqueName="15" name="F15" queryTableFieldId="15" dataDxfId="1471" dataCellStyle="一般 2"/>
    <tableColumn id="16" uniqueName="16" name="F16" queryTableFieldId="16" dataDxfId="1470" dataCellStyle="一般 2"/>
    <tableColumn id="17" uniqueName="17" name="F17" queryTableFieldId="17" dataDxfId="1469" dataCellStyle="一般 2"/>
    <tableColumn id="18" uniqueName="18" name="F18" queryTableFieldId="18" dataDxfId="1468" dataCellStyle="一般 2"/>
    <tableColumn id="19" uniqueName="19" name="F19" queryTableFieldId="19" dataDxfId="1467" dataCellStyle="一般 2"/>
    <tableColumn id="20" uniqueName="20" name="F20" queryTableFieldId="20" dataDxfId="1466" dataCellStyle="一般 2"/>
    <tableColumn id="21" uniqueName="21" name="F21" queryTableFieldId="21" dataDxfId="1465" dataCellStyle="一般 2"/>
    <tableColumn id="22" uniqueName="22" name="2024/6/24 14:52" queryTableFieldId="22" dataDxfId="1464" dataCellStyle="一般 2"/>
    <tableColumn id="23" uniqueName="23" name="F23" queryTableFieldId="23" dataDxfId="1463" dataCellStyle="一般 2"/>
    <tableColumn id="24" uniqueName="24" name="F24" queryTableFieldId="24" dataDxfId="1462" dataCellStyle="一般 2"/>
    <tableColumn id="25" uniqueName="25" name="F25" queryTableFieldId="25" dataDxfId="1461" dataCellStyle="一般 2"/>
    <tableColumn id="26" uniqueName="26" name="F26" queryTableFieldId="26" dataDxfId="1460" dataCellStyle="一般 2"/>
    <tableColumn id="27" uniqueName="27" name="F27" queryTableFieldId="27" dataDxfId="1459" dataCellStyle="一般 2"/>
    <tableColumn id="28" uniqueName="28" name="F28" queryTableFieldId="28" dataDxfId="1458" dataCellStyle="一般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2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4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4" ref="AG13:BH189" tableType="queryTable" totalsRowShown="0" headerRowDxfId="1355" dataDxfId="1354" headerRowCellStyle="一般 2" dataCellStyle="一般 2">
  <autoFilter ref="AG13:BH189"/>
  <tableColumns count="28">
    <tableColumn id="1" uniqueName="1" name="請直接以10進位，謝謝" queryTableFieldId="1" dataDxfId="1353" dataCellStyle="一般 2"/>
    <tableColumn id="2" uniqueName="2" name="F2" queryTableFieldId="2" dataDxfId="1352" dataCellStyle="一般 2"/>
    <tableColumn id="3" uniqueName="3" name="F3" queryTableFieldId="3" dataDxfId="1351" dataCellStyle="一般 2"/>
    <tableColumn id="4" uniqueName="4" name="F4" queryTableFieldId="4" dataDxfId="1350" dataCellStyle="一般 2"/>
    <tableColumn id="5" uniqueName="5" name="F5" queryTableFieldId="5" dataDxfId="1349" dataCellStyle="一般 2"/>
    <tableColumn id="6" uniqueName="6" name="F6" queryTableFieldId="6" dataDxfId="1348" dataCellStyle="一般 2"/>
    <tableColumn id="7" uniqueName="7" name="F7" queryTableFieldId="7" dataDxfId="1347" dataCellStyle="一般 2"/>
    <tableColumn id="8" uniqueName="8" name="F8" queryTableFieldId="8" dataDxfId="1346" dataCellStyle="一般 2"/>
    <tableColumn id="9" uniqueName="9" name="F9" queryTableFieldId="9" dataDxfId="1345" dataCellStyle="一般 2"/>
    <tableColumn id="10" uniqueName="10" name="F10" queryTableFieldId="10" dataDxfId="1344" dataCellStyle="一般 2"/>
    <tableColumn id="11" uniqueName="11" name="F11" queryTableFieldId="11" dataDxfId="1343" dataCellStyle="一般 2"/>
    <tableColumn id="12" uniqueName="12" name="F12" queryTableFieldId="12" dataDxfId="1342" dataCellStyle="一般 2"/>
    <tableColumn id="13" uniqueName="13" name="F13" queryTableFieldId="13" dataDxfId="1341" dataCellStyle="一般 2"/>
    <tableColumn id="14" uniqueName="14" name="F14" queryTableFieldId="14" dataDxfId="1340" dataCellStyle="一般 2"/>
    <tableColumn id="15" uniqueName="15" name="F15" queryTableFieldId="15" dataDxfId="1339" dataCellStyle="一般 2"/>
    <tableColumn id="16" uniqueName="16" name="F16" queryTableFieldId="16" dataDxfId="1338" dataCellStyle="一般 2"/>
    <tableColumn id="17" uniqueName="17" name="F17" queryTableFieldId="17" dataDxfId="1337" dataCellStyle="一般 2"/>
    <tableColumn id="18" uniqueName="18" name="F18" queryTableFieldId="18" dataDxfId="1336" dataCellStyle="一般 2"/>
    <tableColumn id="19" uniqueName="19" name="F19" queryTableFieldId="19" dataDxfId="1335" dataCellStyle="一般 2"/>
    <tableColumn id="20" uniqueName="20" name="F20" queryTableFieldId="20" dataDxfId="1334" dataCellStyle="一般 2"/>
    <tableColumn id="21" uniqueName="21" name="F21" queryTableFieldId="21" dataDxfId="1333" dataCellStyle="一般 2"/>
    <tableColumn id="22" uniqueName="22" name="2024/6/24 14:52" queryTableFieldId="22" dataDxfId="1332" dataCellStyle="一般 2"/>
    <tableColumn id="23" uniqueName="23" name="F23" queryTableFieldId="23" dataDxfId="1331" dataCellStyle="一般 2"/>
    <tableColumn id="24" uniqueName="24" name="F24" queryTableFieldId="24" dataDxfId="1330" dataCellStyle="一般 2"/>
    <tableColumn id="25" uniqueName="25" name="F25" queryTableFieldId="25" dataDxfId="1329" dataCellStyle="一般 2"/>
    <tableColumn id="26" uniqueName="26" name="F26" queryTableFieldId="26" dataDxfId="1328" dataCellStyle="一般 2"/>
    <tableColumn id="27" uniqueName="27" name="F27" queryTableFieldId="27" dataDxfId="1327" dataCellStyle="一般 2"/>
    <tableColumn id="28" uniqueName="28" name="F28" queryTableFieldId="28" dataDxfId="1326" dataCellStyle="一般 2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3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5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5" ref="AG13:BH189" tableType="queryTable" totalsRowShown="0" headerRowDxfId="1223" dataDxfId="1222" headerRowCellStyle="一般 2" dataCellStyle="一般 2">
  <autoFilter ref="AG13:BH189"/>
  <tableColumns count="28">
    <tableColumn id="1" uniqueName="1" name="請直接以10進位，謝謝" queryTableFieldId="1" dataDxfId="1221" dataCellStyle="一般 2"/>
    <tableColumn id="2" uniqueName="2" name="F2" queryTableFieldId="2" dataDxfId="1220" dataCellStyle="一般 2"/>
    <tableColumn id="3" uniqueName="3" name="F3" queryTableFieldId="3" dataDxfId="1219" dataCellStyle="一般 2"/>
    <tableColumn id="4" uniqueName="4" name="F4" queryTableFieldId="4" dataDxfId="1218" dataCellStyle="一般 2"/>
    <tableColumn id="5" uniqueName="5" name="F5" queryTableFieldId="5" dataDxfId="1217" dataCellStyle="一般 2"/>
    <tableColumn id="6" uniqueName="6" name="F6" queryTableFieldId="6" dataDxfId="1216" dataCellStyle="一般 2"/>
    <tableColumn id="7" uniqueName="7" name="F7" queryTableFieldId="7" dataDxfId="1215" dataCellStyle="一般 2"/>
    <tableColumn id="8" uniqueName="8" name="F8" queryTableFieldId="8" dataDxfId="1214" dataCellStyle="一般 2"/>
    <tableColumn id="9" uniqueName="9" name="F9" queryTableFieldId="9" dataDxfId="1213" dataCellStyle="一般 2"/>
    <tableColumn id="10" uniqueName="10" name="F10" queryTableFieldId="10" dataDxfId="1212" dataCellStyle="一般 2"/>
    <tableColumn id="11" uniqueName="11" name="F11" queryTableFieldId="11" dataDxfId="1211" dataCellStyle="一般 2"/>
    <tableColumn id="12" uniqueName="12" name="F12" queryTableFieldId="12" dataDxfId="1210" dataCellStyle="一般 2"/>
    <tableColumn id="13" uniqueName="13" name="F13" queryTableFieldId="13" dataDxfId="1209" dataCellStyle="一般 2"/>
    <tableColumn id="14" uniqueName="14" name="F14" queryTableFieldId="14" dataDxfId="1208" dataCellStyle="一般 2"/>
    <tableColumn id="15" uniqueName="15" name="F15" queryTableFieldId="15" dataDxfId="1207" dataCellStyle="一般 2"/>
    <tableColumn id="16" uniqueName="16" name="F16" queryTableFieldId="16" dataDxfId="1206" dataCellStyle="一般 2"/>
    <tableColumn id="17" uniqueName="17" name="F17" queryTableFieldId="17" dataDxfId="1205" dataCellStyle="一般 2"/>
    <tableColumn id="18" uniqueName="18" name="F18" queryTableFieldId="18" dataDxfId="1204" dataCellStyle="一般 2"/>
    <tableColumn id="19" uniqueName="19" name="F19" queryTableFieldId="19" dataDxfId="1203" dataCellStyle="一般 2"/>
    <tableColumn id="20" uniqueName="20" name="F20" queryTableFieldId="20" dataDxfId="1202" dataCellStyle="一般 2"/>
    <tableColumn id="21" uniqueName="21" name="F21" queryTableFieldId="21" dataDxfId="1201" dataCellStyle="一般 2"/>
    <tableColumn id="22" uniqueName="22" name="2024/6/24 14:52" queryTableFieldId="22" dataDxfId="1200" dataCellStyle="一般 2"/>
    <tableColumn id="23" uniqueName="23" name="F23" queryTableFieldId="23" dataDxfId="1199" dataCellStyle="一般 2"/>
    <tableColumn id="24" uniqueName="24" name="F24" queryTableFieldId="24" dataDxfId="1198" dataCellStyle="一般 2"/>
    <tableColumn id="25" uniqueName="25" name="F25" queryTableFieldId="25" dataDxfId="1197" dataCellStyle="一般 2"/>
    <tableColumn id="26" uniqueName="26" name="F26" queryTableFieldId="26" dataDxfId="1196" dataCellStyle="一般 2"/>
    <tableColumn id="27" uniqueName="27" name="F27" queryTableFieldId="27" dataDxfId="1195" dataCellStyle="一般 2"/>
    <tableColumn id="28" uniqueName="28" name="F28" queryTableFieldId="28" dataDxfId="1194" dataCellStyle="一般 2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4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6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6" ref="AG13:BH189" tableType="queryTable" totalsRowShown="0" headerRowDxfId="1091" dataDxfId="1090" headerRowCellStyle="一般 2" dataCellStyle="一般 2">
  <autoFilter ref="AG13:BH189"/>
  <tableColumns count="28">
    <tableColumn id="1" uniqueName="1" name="請直接以10進位，謝謝" queryTableFieldId="1" dataDxfId="1089" dataCellStyle="一般 2"/>
    <tableColumn id="2" uniqueName="2" name="F2" queryTableFieldId="2" dataDxfId="1088" dataCellStyle="一般 2"/>
    <tableColumn id="3" uniqueName="3" name="F3" queryTableFieldId="3" dataDxfId="1087" dataCellStyle="一般 2"/>
    <tableColumn id="4" uniqueName="4" name="F4" queryTableFieldId="4" dataDxfId="1086" dataCellStyle="一般 2"/>
    <tableColumn id="5" uniqueName="5" name="F5" queryTableFieldId="5" dataDxfId="1085" dataCellStyle="一般 2"/>
    <tableColumn id="6" uniqueName="6" name="F6" queryTableFieldId="6" dataDxfId="1084" dataCellStyle="一般 2"/>
    <tableColumn id="7" uniqueName="7" name="F7" queryTableFieldId="7" dataDxfId="1083" dataCellStyle="一般 2"/>
    <tableColumn id="8" uniqueName="8" name="F8" queryTableFieldId="8" dataDxfId="1082" dataCellStyle="一般 2"/>
    <tableColumn id="9" uniqueName="9" name="F9" queryTableFieldId="9" dataDxfId="1081" dataCellStyle="一般 2"/>
    <tableColumn id="10" uniqueName="10" name="F10" queryTableFieldId="10" dataDxfId="1080" dataCellStyle="一般 2"/>
    <tableColumn id="11" uniqueName="11" name="F11" queryTableFieldId="11" dataDxfId="1079" dataCellStyle="一般 2"/>
    <tableColumn id="12" uniqueName="12" name="F12" queryTableFieldId="12" dataDxfId="1078" dataCellStyle="一般 2"/>
    <tableColumn id="13" uniqueName="13" name="F13" queryTableFieldId="13" dataDxfId="1077" dataCellStyle="一般 2"/>
    <tableColumn id="14" uniqueName="14" name="F14" queryTableFieldId="14" dataDxfId="1076" dataCellStyle="一般 2"/>
    <tableColumn id="15" uniqueName="15" name="F15" queryTableFieldId="15" dataDxfId="1075" dataCellStyle="一般 2"/>
    <tableColumn id="16" uniqueName="16" name="F16" queryTableFieldId="16" dataDxfId="1074" dataCellStyle="一般 2"/>
    <tableColumn id="17" uniqueName="17" name="F17" queryTableFieldId="17" dataDxfId="1073" dataCellStyle="一般 2"/>
    <tableColumn id="18" uniqueName="18" name="F18" queryTableFieldId="18" dataDxfId="1072" dataCellStyle="一般 2"/>
    <tableColumn id="19" uniqueName="19" name="F19" queryTableFieldId="19" dataDxfId="1071" dataCellStyle="一般 2"/>
    <tableColumn id="20" uniqueName="20" name="F20" queryTableFieldId="20" dataDxfId="1070" dataCellStyle="一般 2"/>
    <tableColumn id="21" uniqueName="21" name="F21" queryTableFieldId="21" dataDxfId="1069" dataCellStyle="一般 2"/>
    <tableColumn id="22" uniqueName="22" name="2024/6/24 14:52" queryTableFieldId="22" dataDxfId="1068" dataCellStyle="一般 2"/>
    <tableColumn id="23" uniqueName="23" name="F23" queryTableFieldId="23" dataDxfId="1067" dataCellStyle="一般 2"/>
    <tableColumn id="24" uniqueName="24" name="F24" queryTableFieldId="24" dataDxfId="1066" dataCellStyle="一般 2"/>
    <tableColumn id="25" uniqueName="25" name="F25" queryTableFieldId="25" dataDxfId="1065" dataCellStyle="一般 2"/>
    <tableColumn id="26" uniqueName="26" name="F26" queryTableFieldId="26" dataDxfId="1064" dataCellStyle="一般 2"/>
    <tableColumn id="27" uniqueName="27" name="F27" queryTableFieldId="27" dataDxfId="1063" dataCellStyle="一般 2"/>
    <tableColumn id="28" uniqueName="28" name="F28" queryTableFieldId="28" dataDxfId="1062" dataCellStyle="一般 2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15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7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7" ref="AG13:BH189" tableType="queryTable" totalsRowShown="0" headerRowDxfId="959" dataDxfId="958" headerRowCellStyle="一般 2" dataCellStyle="一般 2">
  <autoFilter ref="AG13:BH189"/>
  <tableColumns count="28">
    <tableColumn id="1" uniqueName="1" name="請直接以10進位，謝謝" queryTableFieldId="1" dataDxfId="957" dataCellStyle="一般 2"/>
    <tableColumn id="2" uniqueName="2" name="F2" queryTableFieldId="2" dataDxfId="956" dataCellStyle="一般 2"/>
    <tableColumn id="3" uniqueName="3" name="F3" queryTableFieldId="3" dataDxfId="955" dataCellStyle="一般 2"/>
    <tableColumn id="4" uniqueName="4" name="F4" queryTableFieldId="4" dataDxfId="954" dataCellStyle="一般 2"/>
    <tableColumn id="5" uniqueName="5" name="F5" queryTableFieldId="5" dataDxfId="953" dataCellStyle="一般 2"/>
    <tableColumn id="6" uniqueName="6" name="F6" queryTableFieldId="6" dataDxfId="952" dataCellStyle="一般 2"/>
    <tableColumn id="7" uniqueName="7" name="F7" queryTableFieldId="7" dataDxfId="951" dataCellStyle="一般 2"/>
    <tableColumn id="8" uniqueName="8" name="F8" queryTableFieldId="8" dataDxfId="950" dataCellStyle="一般 2"/>
    <tableColumn id="9" uniqueName="9" name="F9" queryTableFieldId="9" dataDxfId="949" dataCellStyle="一般 2"/>
    <tableColumn id="10" uniqueName="10" name="F10" queryTableFieldId="10" dataDxfId="948" dataCellStyle="一般 2"/>
    <tableColumn id="11" uniqueName="11" name="F11" queryTableFieldId="11" dataDxfId="947" dataCellStyle="一般 2"/>
    <tableColumn id="12" uniqueName="12" name="F12" queryTableFieldId="12" dataDxfId="946" dataCellStyle="一般 2"/>
    <tableColumn id="13" uniqueName="13" name="F13" queryTableFieldId="13" dataDxfId="945" dataCellStyle="一般 2"/>
    <tableColumn id="14" uniqueName="14" name="F14" queryTableFieldId="14" dataDxfId="944" dataCellStyle="一般 2"/>
    <tableColumn id="15" uniqueName="15" name="F15" queryTableFieldId="15" dataDxfId="943" dataCellStyle="一般 2"/>
    <tableColumn id="16" uniqueName="16" name="F16" queryTableFieldId="16" dataDxfId="942" dataCellStyle="一般 2"/>
    <tableColumn id="17" uniqueName="17" name="F17" queryTableFieldId="17" dataDxfId="941" dataCellStyle="一般 2"/>
    <tableColumn id="18" uniqueName="18" name="F18" queryTableFieldId="18" dataDxfId="940" dataCellStyle="一般 2"/>
    <tableColumn id="19" uniqueName="19" name="F19" queryTableFieldId="19" dataDxfId="939" dataCellStyle="一般 2"/>
    <tableColumn id="20" uniqueName="20" name="F20" queryTableFieldId="20" dataDxfId="938" dataCellStyle="一般 2"/>
    <tableColumn id="21" uniqueName="21" name="F21" queryTableFieldId="21" dataDxfId="937" dataCellStyle="一般 2"/>
    <tableColumn id="22" uniqueName="22" name="2024/6/24 14:52" queryTableFieldId="22" dataDxfId="936" dataCellStyle="一般 2"/>
    <tableColumn id="23" uniqueName="23" name="F23" queryTableFieldId="23" dataDxfId="935" dataCellStyle="一般 2"/>
    <tableColumn id="24" uniqueName="24" name="F24" queryTableFieldId="24" dataDxfId="934" dataCellStyle="一般 2"/>
    <tableColumn id="25" uniqueName="25" name="F25" queryTableFieldId="25" dataDxfId="933" dataCellStyle="一般 2"/>
    <tableColumn id="26" uniqueName="26" name="F26" queryTableFieldId="26" dataDxfId="932" dataCellStyle="一般 2"/>
    <tableColumn id="27" uniqueName="27" name="F27" queryTableFieldId="27" dataDxfId="931" dataCellStyle="一般 2"/>
    <tableColumn id="28" uniqueName="28" name="F28" queryTableFieldId="28" dataDxfId="930" dataCellStyle="一般 2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16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8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8" ref="AG13:BH189" tableType="queryTable" totalsRowShown="0" headerRowDxfId="827" dataDxfId="826" headerRowCellStyle="一般 2" dataCellStyle="一般 2">
  <autoFilter ref="AG13:BH189"/>
  <tableColumns count="28">
    <tableColumn id="1" uniqueName="1" name="請直接以10進位，謝謝" queryTableFieldId="1" dataDxfId="825" dataCellStyle="一般 2"/>
    <tableColumn id="2" uniqueName="2" name="F2" queryTableFieldId="2" dataDxfId="824" dataCellStyle="一般 2"/>
    <tableColumn id="3" uniqueName="3" name="F3" queryTableFieldId="3" dataDxfId="823" dataCellStyle="一般 2"/>
    <tableColumn id="4" uniqueName="4" name="F4" queryTableFieldId="4" dataDxfId="822" dataCellStyle="一般 2"/>
    <tableColumn id="5" uniqueName="5" name="F5" queryTableFieldId="5" dataDxfId="821" dataCellStyle="一般 2"/>
    <tableColumn id="6" uniqueName="6" name="F6" queryTableFieldId="6" dataDxfId="820" dataCellStyle="一般 2"/>
    <tableColumn id="7" uniqueName="7" name="F7" queryTableFieldId="7" dataDxfId="819" dataCellStyle="一般 2"/>
    <tableColumn id="8" uniqueName="8" name="F8" queryTableFieldId="8" dataDxfId="818" dataCellStyle="一般 2"/>
    <tableColumn id="9" uniqueName="9" name="F9" queryTableFieldId="9" dataDxfId="817" dataCellStyle="一般 2"/>
    <tableColumn id="10" uniqueName="10" name="F10" queryTableFieldId="10" dataDxfId="816" dataCellStyle="一般 2"/>
    <tableColumn id="11" uniqueName="11" name="F11" queryTableFieldId="11" dataDxfId="815" dataCellStyle="一般 2"/>
    <tableColumn id="12" uniqueName="12" name="F12" queryTableFieldId="12" dataDxfId="814" dataCellStyle="一般 2"/>
    <tableColumn id="13" uniqueName="13" name="F13" queryTableFieldId="13" dataDxfId="813" dataCellStyle="一般 2"/>
    <tableColumn id="14" uniqueName="14" name="F14" queryTableFieldId="14" dataDxfId="812" dataCellStyle="一般 2"/>
    <tableColumn id="15" uniqueName="15" name="F15" queryTableFieldId="15" dataDxfId="811" dataCellStyle="一般 2"/>
    <tableColumn id="16" uniqueName="16" name="F16" queryTableFieldId="16" dataDxfId="810" dataCellStyle="一般 2"/>
    <tableColumn id="17" uniqueName="17" name="F17" queryTableFieldId="17" dataDxfId="809" dataCellStyle="一般 2"/>
    <tableColumn id="18" uniqueName="18" name="F18" queryTableFieldId="18" dataDxfId="808" dataCellStyle="一般 2"/>
    <tableColumn id="19" uniqueName="19" name="F19" queryTableFieldId="19" dataDxfId="807" dataCellStyle="一般 2"/>
    <tableColumn id="20" uniqueName="20" name="F20" queryTableFieldId="20" dataDxfId="806" dataCellStyle="一般 2"/>
    <tableColumn id="21" uniqueName="21" name="F21" queryTableFieldId="21" dataDxfId="805" dataCellStyle="一般 2"/>
    <tableColumn id="22" uniqueName="22" name="2024/6/24 14:52" queryTableFieldId="22" dataDxfId="804" dataCellStyle="一般 2"/>
    <tableColumn id="23" uniqueName="23" name="F23" queryTableFieldId="23" dataDxfId="803" dataCellStyle="一般 2"/>
    <tableColumn id="24" uniqueName="24" name="F24" queryTableFieldId="24" dataDxfId="802" dataCellStyle="一般 2"/>
    <tableColumn id="25" uniqueName="25" name="F25" queryTableFieldId="25" dataDxfId="801" dataCellStyle="一般 2"/>
    <tableColumn id="26" uniqueName="26" name="F26" queryTableFieldId="26" dataDxfId="800" dataCellStyle="一般 2"/>
    <tableColumn id="27" uniqueName="27" name="F27" queryTableFieldId="27" dataDxfId="799" dataCellStyle="一般 2"/>
    <tableColumn id="28" uniqueName="28" name="F28" queryTableFieldId="28" dataDxfId="798" dataCellStyle="一般 2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18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9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9" ref="AG13:BH189" tableType="queryTable" totalsRowShown="0" headerRowDxfId="695" dataDxfId="694" headerRowCellStyle="一般 2" dataCellStyle="一般 2">
  <autoFilter ref="AG13:BH189"/>
  <tableColumns count="28">
    <tableColumn id="1" uniqueName="1" name="請直接以10進位，謝謝" queryTableFieldId="1" dataDxfId="693" dataCellStyle="一般 2"/>
    <tableColumn id="2" uniqueName="2" name="F2" queryTableFieldId="2" dataDxfId="692" dataCellStyle="一般 2"/>
    <tableColumn id="3" uniqueName="3" name="F3" queryTableFieldId="3" dataDxfId="691" dataCellStyle="一般 2"/>
    <tableColumn id="4" uniqueName="4" name="F4" queryTableFieldId="4" dataDxfId="690" dataCellStyle="一般 2"/>
    <tableColumn id="5" uniqueName="5" name="F5" queryTableFieldId="5" dataDxfId="689" dataCellStyle="一般 2"/>
    <tableColumn id="6" uniqueName="6" name="F6" queryTableFieldId="6" dataDxfId="688" dataCellStyle="一般 2"/>
    <tableColumn id="7" uniqueName="7" name="F7" queryTableFieldId="7" dataDxfId="687" dataCellStyle="一般 2"/>
    <tableColumn id="8" uniqueName="8" name="F8" queryTableFieldId="8" dataDxfId="686" dataCellStyle="一般 2"/>
    <tableColumn id="9" uniqueName="9" name="F9" queryTableFieldId="9" dataDxfId="685" dataCellStyle="一般 2"/>
    <tableColumn id="10" uniqueName="10" name="F10" queryTableFieldId="10" dataDxfId="684" dataCellStyle="一般 2"/>
    <tableColumn id="11" uniqueName="11" name="F11" queryTableFieldId="11" dataDxfId="683" dataCellStyle="一般 2"/>
    <tableColumn id="12" uniqueName="12" name="F12" queryTableFieldId="12" dataDxfId="682" dataCellStyle="一般 2"/>
    <tableColumn id="13" uniqueName="13" name="F13" queryTableFieldId="13" dataDxfId="681" dataCellStyle="一般 2"/>
    <tableColumn id="14" uniqueName="14" name="F14" queryTableFieldId="14" dataDxfId="680" dataCellStyle="一般 2"/>
    <tableColumn id="15" uniqueName="15" name="F15" queryTableFieldId="15" dataDxfId="679" dataCellStyle="一般 2"/>
    <tableColumn id="16" uniqueName="16" name="F16" queryTableFieldId="16" dataDxfId="678" dataCellStyle="一般 2"/>
    <tableColumn id="17" uniqueName="17" name="F17" queryTableFieldId="17" dataDxfId="677" dataCellStyle="一般 2"/>
    <tableColumn id="18" uniqueName="18" name="F18" queryTableFieldId="18" dataDxfId="676" dataCellStyle="一般 2"/>
    <tableColumn id="19" uniqueName="19" name="F19" queryTableFieldId="19" dataDxfId="675" dataCellStyle="一般 2"/>
    <tableColumn id="20" uniqueName="20" name="F20" queryTableFieldId="20" dataDxfId="674" dataCellStyle="一般 2"/>
    <tableColumn id="21" uniqueName="21" name="F21" queryTableFieldId="21" dataDxfId="673" dataCellStyle="一般 2"/>
    <tableColumn id="22" uniqueName="22" name="2024/6/24 14:52" queryTableFieldId="22" dataDxfId="672" dataCellStyle="一般 2"/>
    <tableColumn id="23" uniqueName="23" name="F23" queryTableFieldId="23" dataDxfId="671" dataCellStyle="一般 2"/>
    <tableColumn id="24" uniqueName="24" name="F24" queryTableFieldId="24" dataDxfId="670" dataCellStyle="一般 2"/>
    <tableColumn id="25" uniqueName="25" name="F25" queryTableFieldId="25" dataDxfId="669" dataCellStyle="一般 2"/>
    <tableColumn id="26" uniqueName="26" name="F26" queryTableFieldId="26" dataDxfId="668" dataCellStyle="一般 2"/>
    <tableColumn id="27" uniqueName="27" name="F27" queryTableFieldId="27" dataDxfId="667" dataCellStyle="一般 2"/>
    <tableColumn id="28" uniqueName="28" name="F28" queryTableFieldId="28" dataDxfId="666" dataCellStyle="一般 2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19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0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0" ref="AG13:BH189" tableType="queryTable" totalsRowShown="0" headerRowDxfId="562" dataDxfId="561" headerRowCellStyle="一般 2" dataCellStyle="一般 2">
  <autoFilter ref="AG13:BH189"/>
  <tableColumns count="28">
    <tableColumn id="1" uniqueName="1" name="請直接以10進位，謝謝" queryTableFieldId="1" dataDxfId="560" dataCellStyle="一般 2"/>
    <tableColumn id="2" uniqueName="2" name="F2" queryTableFieldId="2" dataDxfId="559" dataCellStyle="一般 2"/>
    <tableColumn id="3" uniqueName="3" name="F3" queryTableFieldId="3" dataDxfId="558" dataCellStyle="一般 2"/>
    <tableColumn id="4" uniqueName="4" name="F4" queryTableFieldId="4" dataDxfId="557" dataCellStyle="一般 2"/>
    <tableColumn id="5" uniqueName="5" name="F5" queryTableFieldId="5" dataDxfId="556" dataCellStyle="一般 2"/>
    <tableColumn id="6" uniqueName="6" name="F6" queryTableFieldId="6" dataDxfId="555" dataCellStyle="一般 2"/>
    <tableColumn id="7" uniqueName="7" name="F7" queryTableFieldId="7" dataDxfId="554" dataCellStyle="一般 2"/>
    <tableColumn id="8" uniqueName="8" name="F8" queryTableFieldId="8" dataDxfId="553" dataCellStyle="一般 2"/>
    <tableColumn id="9" uniqueName="9" name="F9" queryTableFieldId="9" dataDxfId="552" dataCellStyle="一般 2"/>
    <tableColumn id="10" uniqueName="10" name="F10" queryTableFieldId="10" dataDxfId="551" dataCellStyle="一般 2"/>
    <tableColumn id="11" uniqueName="11" name="F11" queryTableFieldId="11" dataDxfId="550" dataCellStyle="一般 2"/>
    <tableColumn id="12" uniqueName="12" name="F12" queryTableFieldId="12" dataDxfId="549" dataCellStyle="一般 2"/>
    <tableColumn id="13" uniqueName="13" name="F13" queryTableFieldId="13" dataDxfId="548" dataCellStyle="一般 2"/>
    <tableColumn id="14" uniqueName="14" name="F14" queryTableFieldId="14" dataDxfId="547" dataCellStyle="一般 2"/>
    <tableColumn id="15" uniqueName="15" name="F15" queryTableFieldId="15" dataDxfId="546" dataCellStyle="一般 2"/>
    <tableColumn id="16" uniqueName="16" name="F16" queryTableFieldId="16" dataDxfId="545" dataCellStyle="一般 2"/>
    <tableColumn id="17" uniqueName="17" name="F17" queryTableFieldId="17" dataDxfId="544" dataCellStyle="一般 2"/>
    <tableColumn id="18" uniqueName="18" name="F18" queryTableFieldId="18" dataDxfId="543" dataCellStyle="一般 2"/>
    <tableColumn id="19" uniqueName="19" name="F19" queryTableFieldId="19" dataDxfId="542" dataCellStyle="一般 2"/>
    <tableColumn id="20" uniqueName="20" name="F20" queryTableFieldId="20" dataDxfId="541" dataCellStyle="一般 2"/>
    <tableColumn id="21" uniqueName="21" name="F21" queryTableFieldId="21" dataDxfId="540" dataCellStyle="一般 2"/>
    <tableColumn id="22" uniqueName="22" name="2024/6/24 14:52" queryTableFieldId="22" dataDxfId="539" dataCellStyle="一般 2"/>
    <tableColumn id="23" uniqueName="23" name="F23" queryTableFieldId="23" dataDxfId="538" dataCellStyle="一般 2"/>
    <tableColumn id="24" uniqueName="24" name="F24" queryTableFieldId="24" dataDxfId="537" dataCellStyle="一般 2"/>
    <tableColumn id="25" uniqueName="25" name="F25" queryTableFieldId="25" dataDxfId="536" dataCellStyle="一般 2"/>
    <tableColumn id="26" uniqueName="26" name="F26" queryTableFieldId="26" dataDxfId="535" dataCellStyle="一般 2"/>
    <tableColumn id="27" uniqueName="27" name="F27" queryTableFieldId="27" dataDxfId="534" dataCellStyle="一般 2"/>
    <tableColumn id="28" uniqueName="28" name="F28" queryTableFieldId="28" dataDxfId="533" dataCellStyle="一般 2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20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1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1" ref="AG13:BH189" tableType="queryTable" totalsRowShown="0" headerRowDxfId="428" dataDxfId="427" headerRowCellStyle="一般 2" dataCellStyle="一般 2">
  <autoFilter ref="AG13:BH189"/>
  <tableColumns count="28">
    <tableColumn id="1" uniqueName="1" name="請直接以10進位，謝謝" queryTableFieldId="1" dataDxfId="426" dataCellStyle="一般 2"/>
    <tableColumn id="2" uniqueName="2" name="F2" queryTableFieldId="2" dataDxfId="425" dataCellStyle="一般 2"/>
    <tableColumn id="3" uniqueName="3" name="F3" queryTableFieldId="3" dataDxfId="424" dataCellStyle="一般 2"/>
    <tableColumn id="4" uniqueName="4" name="F4" queryTableFieldId="4" dataDxfId="423" dataCellStyle="一般 2"/>
    <tableColumn id="5" uniqueName="5" name="F5" queryTableFieldId="5" dataDxfId="422" dataCellStyle="一般 2"/>
    <tableColumn id="6" uniqueName="6" name="F6" queryTableFieldId="6" dataDxfId="421" dataCellStyle="一般 2"/>
    <tableColumn id="7" uniqueName="7" name="F7" queryTableFieldId="7" dataDxfId="420" dataCellStyle="一般 2"/>
    <tableColumn id="8" uniqueName="8" name="F8" queryTableFieldId="8" dataDxfId="419" dataCellStyle="一般 2"/>
    <tableColumn id="9" uniqueName="9" name="F9" queryTableFieldId="9" dataDxfId="418" dataCellStyle="一般 2"/>
    <tableColumn id="10" uniqueName="10" name="F10" queryTableFieldId="10" dataDxfId="417" dataCellStyle="一般 2"/>
    <tableColumn id="11" uniqueName="11" name="F11" queryTableFieldId="11" dataDxfId="416" dataCellStyle="一般 2"/>
    <tableColumn id="12" uniqueName="12" name="F12" queryTableFieldId="12" dataDxfId="415" dataCellStyle="一般 2"/>
    <tableColumn id="13" uniqueName="13" name="F13" queryTableFieldId="13" dataDxfId="414" dataCellStyle="一般 2"/>
    <tableColumn id="14" uniqueName="14" name="F14" queryTableFieldId="14" dataDxfId="413" dataCellStyle="一般 2"/>
    <tableColumn id="15" uniqueName="15" name="F15" queryTableFieldId="15" dataDxfId="412" dataCellStyle="一般 2"/>
    <tableColumn id="16" uniqueName="16" name="F16" queryTableFieldId="16" dataDxfId="411" dataCellStyle="一般 2"/>
    <tableColumn id="17" uniqueName="17" name="F17" queryTableFieldId="17" dataDxfId="410" dataCellStyle="一般 2"/>
    <tableColumn id="18" uniqueName="18" name="F18" queryTableFieldId="18" dataDxfId="409" dataCellStyle="一般 2"/>
    <tableColumn id="19" uniqueName="19" name="F19" queryTableFieldId="19" dataDxfId="408" dataCellStyle="一般 2"/>
    <tableColumn id="20" uniqueName="20" name="F20" queryTableFieldId="20" dataDxfId="407" dataCellStyle="一般 2"/>
    <tableColumn id="21" uniqueName="21" name="F21" queryTableFieldId="21" dataDxfId="406" dataCellStyle="一般 2"/>
    <tableColumn id="22" uniqueName="22" name="2024/6/24 14:52" queryTableFieldId="22" dataDxfId="405" dataCellStyle="一般 2"/>
    <tableColumn id="23" uniqueName="23" name="F23" queryTableFieldId="23" dataDxfId="404" dataCellStyle="一般 2"/>
    <tableColumn id="24" uniqueName="24" name="F24" queryTableFieldId="24" dataDxfId="403" dataCellStyle="一般 2"/>
    <tableColumn id="25" uniqueName="25" name="F25" queryTableFieldId="25" dataDxfId="402" dataCellStyle="一般 2"/>
    <tableColumn id="26" uniqueName="26" name="F26" queryTableFieldId="26" dataDxfId="401" dataCellStyle="一般 2"/>
    <tableColumn id="27" uniqueName="27" name="F27" queryTableFieldId="27" dataDxfId="400" dataCellStyle="一般 2"/>
    <tableColumn id="28" uniqueName="28" name="F28" queryTableFieldId="28" dataDxfId="399" dataCellStyle="一般 2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21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2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2" ref="AG13:BH189" tableType="queryTable" totalsRowShown="0" headerRowDxfId="295" dataDxfId="294" headerRowCellStyle="一般 2" dataCellStyle="一般 2">
  <autoFilter ref="AG13:BH189"/>
  <tableColumns count="28">
    <tableColumn id="1" uniqueName="1" name="請直接以10進位，謝謝" queryTableFieldId="1" dataDxfId="293" dataCellStyle="一般 2"/>
    <tableColumn id="2" uniqueName="2" name="F2" queryTableFieldId="2" dataDxfId="292" dataCellStyle="一般 2"/>
    <tableColumn id="3" uniqueName="3" name="F3" queryTableFieldId="3" dataDxfId="291" dataCellStyle="一般 2"/>
    <tableColumn id="4" uniqueName="4" name="F4" queryTableFieldId="4" dataDxfId="290" dataCellStyle="一般 2"/>
    <tableColumn id="5" uniqueName="5" name="F5" queryTableFieldId="5" dataDxfId="289" dataCellStyle="一般 2"/>
    <tableColumn id="6" uniqueName="6" name="F6" queryTableFieldId="6" dataDxfId="288" dataCellStyle="一般 2"/>
    <tableColumn id="7" uniqueName="7" name="F7" queryTableFieldId="7" dataDxfId="287" dataCellStyle="一般 2"/>
    <tableColumn id="8" uniqueName="8" name="F8" queryTableFieldId="8" dataDxfId="286" dataCellStyle="一般 2"/>
    <tableColumn id="9" uniqueName="9" name="F9" queryTableFieldId="9" dataDxfId="285" dataCellStyle="一般 2"/>
    <tableColumn id="10" uniqueName="10" name="F10" queryTableFieldId="10" dataDxfId="284" dataCellStyle="一般 2"/>
    <tableColumn id="11" uniqueName="11" name="F11" queryTableFieldId="11" dataDxfId="283" dataCellStyle="一般 2"/>
    <tableColumn id="12" uniqueName="12" name="F12" queryTableFieldId="12" dataDxfId="282" dataCellStyle="一般 2"/>
    <tableColumn id="13" uniqueName="13" name="F13" queryTableFieldId="13" dataDxfId="281" dataCellStyle="一般 2"/>
    <tableColumn id="14" uniqueName="14" name="F14" queryTableFieldId="14" dataDxfId="280" dataCellStyle="一般 2"/>
    <tableColumn id="15" uniqueName="15" name="F15" queryTableFieldId="15" dataDxfId="279" dataCellStyle="一般 2"/>
    <tableColumn id="16" uniqueName="16" name="F16" queryTableFieldId="16" dataDxfId="278" dataCellStyle="一般 2"/>
    <tableColumn id="17" uniqueName="17" name="F17" queryTableFieldId="17" dataDxfId="277" dataCellStyle="一般 2"/>
    <tableColumn id="18" uniqueName="18" name="F18" queryTableFieldId="18" dataDxfId="276" dataCellStyle="一般 2"/>
    <tableColumn id="19" uniqueName="19" name="F19" queryTableFieldId="19" dataDxfId="275" dataCellStyle="一般 2"/>
    <tableColumn id="20" uniqueName="20" name="F20" queryTableFieldId="20" dataDxfId="274" dataCellStyle="一般 2"/>
    <tableColumn id="21" uniqueName="21" name="F21" queryTableFieldId="21" dataDxfId="273" dataCellStyle="一般 2"/>
    <tableColumn id="22" uniqueName="22" name="2024/6/24 14:52" queryTableFieldId="22" dataDxfId="272" dataCellStyle="一般 2"/>
    <tableColumn id="23" uniqueName="23" name="F23" queryTableFieldId="23" dataDxfId="271" dataCellStyle="一般 2"/>
    <tableColumn id="24" uniqueName="24" name="F24" queryTableFieldId="24" dataDxfId="270" dataCellStyle="一般 2"/>
    <tableColumn id="25" uniqueName="25" name="F25" queryTableFieldId="25" dataDxfId="269" dataCellStyle="一般 2"/>
    <tableColumn id="26" uniqueName="26" name="F26" queryTableFieldId="26" dataDxfId="268" dataCellStyle="一般 2"/>
    <tableColumn id="27" uniqueName="27" name="F27" queryTableFieldId="27" dataDxfId="267" dataCellStyle="一般 2"/>
    <tableColumn id="28" uniqueName="28" name="F28" queryTableFieldId="28" dataDxfId="266" dataCellStyle="一般 2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22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3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3" ref="AG13:BH189" tableType="queryTable" totalsRowShown="0" headerRowDxfId="162" dataDxfId="161" headerRowCellStyle="一般 2" dataCellStyle="一般 2">
  <autoFilter ref="AG13:BH189"/>
  <tableColumns count="28">
    <tableColumn id="1" uniqueName="1" name="請直接以10進位，謝謝" queryTableFieldId="1" dataDxfId="160" dataCellStyle="一般 2"/>
    <tableColumn id="2" uniqueName="2" name="F2" queryTableFieldId="2" dataDxfId="159" dataCellStyle="一般 2"/>
    <tableColumn id="3" uniqueName="3" name="F3" queryTableFieldId="3" dataDxfId="158" dataCellStyle="一般 2"/>
    <tableColumn id="4" uniqueName="4" name="F4" queryTableFieldId="4" dataDxfId="157" dataCellStyle="一般 2"/>
    <tableColumn id="5" uniqueName="5" name="F5" queryTableFieldId="5" dataDxfId="156" dataCellStyle="一般 2"/>
    <tableColumn id="6" uniqueName="6" name="F6" queryTableFieldId="6" dataDxfId="155" dataCellStyle="一般 2"/>
    <tableColumn id="7" uniqueName="7" name="F7" queryTableFieldId="7" dataDxfId="154" dataCellStyle="一般 2"/>
    <tableColumn id="8" uniqueName="8" name="F8" queryTableFieldId="8" dataDxfId="153" dataCellStyle="一般 2"/>
    <tableColumn id="9" uniqueName="9" name="F9" queryTableFieldId="9" dataDxfId="152" dataCellStyle="一般 2"/>
    <tableColumn id="10" uniqueName="10" name="F10" queryTableFieldId="10" dataDxfId="151" dataCellStyle="一般 2"/>
    <tableColumn id="11" uniqueName="11" name="F11" queryTableFieldId="11" dataDxfId="150" dataCellStyle="一般 2"/>
    <tableColumn id="12" uniqueName="12" name="F12" queryTableFieldId="12" dataDxfId="149" dataCellStyle="一般 2"/>
    <tableColumn id="13" uniqueName="13" name="F13" queryTableFieldId="13" dataDxfId="148" dataCellStyle="一般 2"/>
    <tableColumn id="14" uniqueName="14" name="F14" queryTableFieldId="14" dataDxfId="147" dataCellStyle="一般 2"/>
    <tableColumn id="15" uniqueName="15" name="F15" queryTableFieldId="15" dataDxfId="146" dataCellStyle="一般 2"/>
    <tableColumn id="16" uniqueName="16" name="F16" queryTableFieldId="16" dataDxfId="145" dataCellStyle="一般 2"/>
    <tableColumn id="17" uniqueName="17" name="F17" queryTableFieldId="17" dataDxfId="144" dataCellStyle="一般 2"/>
    <tableColumn id="18" uniqueName="18" name="F18" queryTableFieldId="18" dataDxfId="143" dataCellStyle="一般 2"/>
    <tableColumn id="19" uniqueName="19" name="F19" queryTableFieldId="19" dataDxfId="142" dataCellStyle="一般 2"/>
    <tableColumn id="20" uniqueName="20" name="F20" queryTableFieldId="20" dataDxfId="141" dataCellStyle="一般 2"/>
    <tableColumn id="21" uniqueName="21" name="F21" queryTableFieldId="21" dataDxfId="140" dataCellStyle="一般 2"/>
    <tableColumn id="22" uniqueName="22" name="2024/6/24 14:52" queryTableFieldId="22" dataDxfId="139" dataCellStyle="一般 2"/>
    <tableColumn id="23" uniqueName="23" name="F23" queryTableFieldId="23" dataDxfId="138" dataCellStyle="一般 2"/>
    <tableColumn id="24" uniqueName="24" name="F24" queryTableFieldId="24" dataDxfId="137" dataCellStyle="一般 2"/>
    <tableColumn id="25" uniqueName="25" name="F25" queryTableFieldId="25" dataDxfId="136" dataCellStyle="一般 2"/>
    <tableColumn id="26" uniqueName="26" name="F26" queryTableFieldId="26" dataDxfId="135" dataCellStyle="一般 2"/>
    <tableColumn id="27" uniqueName="27" name="F27" queryTableFieldId="27" dataDxfId="134" dataCellStyle="一般 2"/>
    <tableColumn id="28" uniqueName="28" name="F28" queryTableFieldId="28" dataDxfId="133" dataCellStyle="一般 2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23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4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4" ref="AG13:BH189" tableType="queryTable" totalsRowShown="0" headerRowDxfId="29" dataDxfId="28" headerRowCellStyle="一般 2" dataCellStyle="一般 2">
  <autoFilter ref="AG13:BH189"/>
  <tableColumns count="28">
    <tableColumn id="1" uniqueName="1" name="請直接以10進位，謝謝" queryTableFieldId="1" dataDxfId="27" dataCellStyle="一般 2"/>
    <tableColumn id="2" uniqueName="2" name="F2" queryTableFieldId="2" dataDxfId="26" dataCellStyle="一般 2"/>
    <tableColumn id="3" uniqueName="3" name="F3" queryTableFieldId="3" dataDxfId="25" dataCellStyle="一般 2"/>
    <tableColumn id="4" uniqueName="4" name="F4" queryTableFieldId="4" dataDxfId="24" dataCellStyle="一般 2"/>
    <tableColumn id="5" uniqueName="5" name="F5" queryTableFieldId="5" dataDxfId="23" dataCellStyle="一般 2"/>
    <tableColumn id="6" uniqueName="6" name="F6" queryTableFieldId="6" dataDxfId="22" dataCellStyle="一般 2"/>
    <tableColumn id="7" uniqueName="7" name="F7" queryTableFieldId="7" dataDxfId="21" dataCellStyle="一般 2"/>
    <tableColumn id="8" uniqueName="8" name="F8" queryTableFieldId="8" dataDxfId="20" dataCellStyle="一般 2"/>
    <tableColumn id="9" uniqueName="9" name="F9" queryTableFieldId="9" dataDxfId="19" dataCellStyle="一般 2"/>
    <tableColumn id="10" uniqueName="10" name="F10" queryTableFieldId="10" dataDxfId="18" dataCellStyle="一般 2"/>
    <tableColumn id="11" uniqueName="11" name="F11" queryTableFieldId="11" dataDxfId="17" dataCellStyle="一般 2"/>
    <tableColumn id="12" uniqueName="12" name="F12" queryTableFieldId="12" dataDxfId="16" dataCellStyle="一般 2"/>
    <tableColumn id="13" uniqueName="13" name="F13" queryTableFieldId="13" dataDxfId="15" dataCellStyle="一般 2"/>
    <tableColumn id="14" uniqueName="14" name="F14" queryTableFieldId="14" dataDxfId="14" dataCellStyle="一般 2"/>
    <tableColumn id="15" uniqueName="15" name="F15" queryTableFieldId="15" dataDxfId="13" dataCellStyle="一般 2"/>
    <tableColumn id="16" uniqueName="16" name="F16" queryTableFieldId="16" dataDxfId="12" dataCellStyle="一般 2"/>
    <tableColumn id="17" uniqueName="17" name="F17" queryTableFieldId="17" dataDxfId="11" dataCellStyle="一般 2"/>
    <tableColumn id="18" uniqueName="18" name="F18" queryTableFieldId="18" dataDxfId="10" dataCellStyle="一般 2"/>
    <tableColumn id="19" uniqueName="19" name="F19" queryTableFieldId="19" dataDxfId="9" dataCellStyle="一般 2"/>
    <tableColumn id="20" uniqueName="20" name="F20" queryTableFieldId="20" dataDxfId="8" dataCellStyle="一般 2"/>
    <tableColumn id="21" uniqueName="21" name="F21" queryTableFieldId="21" dataDxfId="7" dataCellStyle="一般 2"/>
    <tableColumn id="22" uniqueName="22" name="2024/6/24 14:52" queryTableFieldId="22" dataDxfId="6" dataCellStyle="一般 2"/>
    <tableColumn id="23" uniqueName="23" name="F23" queryTableFieldId="23" dataDxfId="5" dataCellStyle="一般 2"/>
    <tableColumn id="24" uniqueName="24" name="F24" queryTableFieldId="24" dataDxfId="4" dataCellStyle="一般 2"/>
    <tableColumn id="25" uniqueName="25" name="F25" queryTableFieldId="25" dataDxfId="3" dataCellStyle="一般 2"/>
    <tableColumn id="26" uniqueName="26" name="F26" queryTableFieldId="26" dataDxfId="2" dataCellStyle="一般 2"/>
    <tableColumn id="27" uniqueName="27" name="F27" queryTableFieldId="27" dataDxfId="1" dataCellStyle="一般 2"/>
    <tableColumn id="28" uniqueName="28" name="F28" queryTableFieldId="28" dataDxfId="0" dataCellStyle="一般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C8357890-2BA6-4CC5-90A2-87AD6187BD32}">
  <we:reference id="wa104381026" version="1.2.0.0" store="zh-TW" storeType="OMEX"/>
  <we:alternateReferences>
    <we:reference id="WA104381026" version="1.2.0.0" store="WA104381026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4.xml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5" Type="http://schemas.openxmlformats.org/officeDocument/2006/relationships/table" Target="../tables/table6.xml"/><Relationship Id="rId4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5" Type="http://schemas.openxmlformats.org/officeDocument/2006/relationships/table" Target="../tables/table7.xml"/><Relationship Id="rId4" Type="http://schemas.openxmlformats.org/officeDocument/2006/relationships/ctrlProp" Target="../ctrlProps/ctrlProp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5" Type="http://schemas.openxmlformats.org/officeDocument/2006/relationships/table" Target="../tables/table8.xml"/><Relationship Id="rId4" Type="http://schemas.openxmlformats.org/officeDocument/2006/relationships/ctrlProp" Target="../ctrlProps/ctrlProp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5" Type="http://schemas.openxmlformats.org/officeDocument/2006/relationships/table" Target="../tables/table9.xml"/><Relationship Id="rId4" Type="http://schemas.openxmlformats.org/officeDocument/2006/relationships/ctrlProp" Target="../ctrlProps/ctrlProp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10.xml"/><Relationship Id="rId4" Type="http://schemas.openxmlformats.org/officeDocument/2006/relationships/ctrlProp" Target="../ctrlProps/ctrlProp1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5" Type="http://schemas.openxmlformats.org/officeDocument/2006/relationships/table" Target="../tables/table11.xml"/><Relationship Id="rId4" Type="http://schemas.openxmlformats.org/officeDocument/2006/relationships/ctrlProp" Target="../ctrlProps/ctrlProp1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5" Type="http://schemas.openxmlformats.org/officeDocument/2006/relationships/table" Target="../tables/table12.xml"/><Relationship Id="rId4" Type="http://schemas.openxmlformats.org/officeDocument/2006/relationships/ctrlProp" Target="../ctrlProps/ctrlProp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5" Type="http://schemas.openxmlformats.org/officeDocument/2006/relationships/table" Target="../tables/table13.xml"/><Relationship Id="rId4" Type="http://schemas.openxmlformats.org/officeDocument/2006/relationships/ctrlProp" Target="../ctrlProps/ctrlProp1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5" Type="http://schemas.openxmlformats.org/officeDocument/2006/relationships/table" Target="../tables/table14.xml"/><Relationship Id="rId4" Type="http://schemas.openxmlformats.org/officeDocument/2006/relationships/ctrlProp" Target="../ctrlProps/ctrlProp1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Relationship Id="rId5" Type="http://schemas.openxmlformats.org/officeDocument/2006/relationships/table" Target="../tables/table15.xml"/><Relationship Id="rId4" Type="http://schemas.openxmlformats.org/officeDocument/2006/relationships/ctrlProp" Target="../ctrlProps/ctrlProp1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5" Type="http://schemas.openxmlformats.org/officeDocument/2006/relationships/table" Target="../tables/table16.xml"/><Relationship Id="rId4" Type="http://schemas.openxmlformats.org/officeDocument/2006/relationships/ctrlProp" Target="../ctrlProps/ctrlProp16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Relationship Id="rId5" Type="http://schemas.openxmlformats.org/officeDocument/2006/relationships/table" Target="../tables/table17.xml"/><Relationship Id="rId4" Type="http://schemas.openxmlformats.org/officeDocument/2006/relationships/ctrlProp" Target="../ctrlProps/ctrlProp17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Relationship Id="rId5" Type="http://schemas.openxmlformats.org/officeDocument/2006/relationships/table" Target="../tables/table18.xml"/><Relationship Id="rId4" Type="http://schemas.openxmlformats.org/officeDocument/2006/relationships/ctrlProp" Target="../ctrlProps/ctrlProp18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Relationship Id="rId5" Type="http://schemas.openxmlformats.org/officeDocument/2006/relationships/table" Target="../tables/table19.xml"/><Relationship Id="rId4" Type="http://schemas.openxmlformats.org/officeDocument/2006/relationships/ctrlProp" Target="../ctrlProps/ctrlProp19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Relationship Id="rId5" Type="http://schemas.openxmlformats.org/officeDocument/2006/relationships/table" Target="../tables/table20.xml"/><Relationship Id="rId4" Type="http://schemas.openxmlformats.org/officeDocument/2006/relationships/ctrlProp" Target="../ctrlProps/ctrlProp20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Relationship Id="rId5" Type="http://schemas.openxmlformats.org/officeDocument/2006/relationships/table" Target="../tables/table21.xml"/><Relationship Id="rId4" Type="http://schemas.openxmlformats.org/officeDocument/2006/relationships/ctrlProp" Target="../ctrlProps/ctrlProp21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4.bin"/><Relationship Id="rId5" Type="http://schemas.openxmlformats.org/officeDocument/2006/relationships/table" Target="../tables/table22.xml"/><Relationship Id="rId4" Type="http://schemas.openxmlformats.org/officeDocument/2006/relationships/ctrlProp" Target="../ctrlProps/ctrlProp2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5.bin"/><Relationship Id="rId5" Type="http://schemas.openxmlformats.org/officeDocument/2006/relationships/table" Target="../tables/table23.xml"/><Relationship Id="rId4" Type="http://schemas.openxmlformats.org/officeDocument/2006/relationships/ctrlProp" Target="../ctrlProps/ctrlProp2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1">
    <pageSetUpPr fitToPage="1"/>
  </sheetPr>
  <dimension ref="A1:X100"/>
  <sheetViews>
    <sheetView view="pageBreakPreview" topLeftCell="A25" zoomScale="85" zoomScaleNormal="100" zoomScaleSheetLayoutView="85" workbookViewId="0">
      <selection activeCell="L44" sqref="L44"/>
    </sheetView>
  </sheetViews>
  <sheetFormatPr defaultColWidth="9" defaultRowHeight="15.6"/>
  <cols>
    <col min="1" max="1" width="7.33203125" style="54" customWidth="1"/>
    <col min="2" max="2" width="8.6640625" style="54" customWidth="1"/>
    <col min="3" max="3" width="6.6640625" style="54" customWidth="1"/>
    <col min="4" max="4" width="7.33203125" style="54" customWidth="1"/>
    <col min="5" max="5" width="8.6640625" style="54" customWidth="1"/>
    <col min="6" max="6" width="6.6640625" style="54" customWidth="1"/>
    <col min="7" max="7" width="7.33203125" style="54" customWidth="1"/>
    <col min="8" max="8" width="8.6640625" style="54" customWidth="1"/>
    <col min="9" max="9" width="6.6640625" style="54" customWidth="1"/>
    <col min="10" max="10" width="7.33203125" style="54" customWidth="1"/>
    <col min="11" max="11" width="8.6640625" style="54" customWidth="1"/>
    <col min="12" max="12" width="6.6640625" style="54" customWidth="1"/>
    <col min="13" max="13" width="23.88671875" style="54" customWidth="1"/>
    <col min="14" max="14" width="17.6640625" style="54" customWidth="1"/>
    <col min="15" max="16" width="11.88671875" style="54" customWidth="1"/>
    <col min="17" max="17" width="17.44140625" style="63" customWidth="1"/>
    <col min="18" max="18" width="13.6640625" style="63" customWidth="1"/>
    <col min="19" max="19" width="14.33203125" style="63" customWidth="1"/>
    <col min="20" max="20" width="9" style="54"/>
    <col min="21" max="21" width="20.77734375" style="54" bestFit="1" customWidth="1"/>
    <col min="22" max="22" width="9" style="54"/>
    <col min="23" max="23" width="13.77734375" style="54" bestFit="1" customWidth="1"/>
    <col min="24" max="16384" width="9" style="54"/>
  </cols>
  <sheetData>
    <row r="1" spans="1:24" s="53" customFormat="1" ht="21" customHeight="1" thickBot="1">
      <c r="A1" s="165" t="s">
        <v>172</v>
      </c>
      <c r="B1" s="165"/>
      <c r="C1" s="111"/>
      <c r="D1" s="111"/>
      <c r="E1" s="112"/>
      <c r="F1" s="111"/>
      <c r="G1" s="113"/>
      <c r="H1" s="113"/>
      <c r="I1" s="113"/>
      <c r="J1" s="113"/>
      <c r="K1" s="113"/>
      <c r="L1" s="113"/>
      <c r="M1" s="113" t="s">
        <v>173</v>
      </c>
      <c r="Q1" s="55"/>
      <c r="R1" s="55"/>
      <c r="S1" s="55"/>
    </row>
    <row r="2" spans="1:24" s="59" customFormat="1" ht="25.65" customHeight="1" thickTop="1" thickBot="1">
      <c r="A2" s="114" t="s">
        <v>31</v>
      </c>
      <c r="B2" s="115" t="s">
        <v>159</v>
      </c>
      <c r="C2" s="116" t="s">
        <v>33</v>
      </c>
      <c r="D2" s="114" t="s">
        <v>31</v>
      </c>
      <c r="E2" s="115" t="s">
        <v>159</v>
      </c>
      <c r="F2" s="117" t="s">
        <v>33</v>
      </c>
      <c r="G2" s="114" t="s">
        <v>31</v>
      </c>
      <c r="H2" s="115" t="s">
        <v>32</v>
      </c>
      <c r="I2" s="117" t="s">
        <v>33</v>
      </c>
      <c r="J2" s="114" t="s">
        <v>31</v>
      </c>
      <c r="K2" s="115" t="s">
        <v>32</v>
      </c>
      <c r="L2" s="117" t="s">
        <v>33</v>
      </c>
      <c r="M2" s="118" t="s">
        <v>174</v>
      </c>
      <c r="N2" s="56"/>
      <c r="O2" s="56"/>
      <c r="P2" s="57" t="s">
        <v>139</v>
      </c>
      <c r="Q2" s="58" t="s">
        <v>140</v>
      </c>
      <c r="S2" s="60" t="s">
        <v>141</v>
      </c>
      <c r="U2" s="137" t="s">
        <v>142</v>
      </c>
      <c r="V2" s="136">
        <v>0.01</v>
      </c>
      <c r="W2" s="137" t="s">
        <v>154</v>
      </c>
      <c r="X2" s="61" t="s">
        <v>145</v>
      </c>
    </row>
    <row r="3" spans="1:24" s="53" customFormat="1" ht="22.2" customHeight="1" thickTop="1">
      <c r="A3" s="119">
        <v>601</v>
      </c>
      <c r="B3" s="120">
        <v>4563</v>
      </c>
      <c r="C3" s="121">
        <v>28</v>
      </c>
      <c r="D3" s="122" t="s">
        <v>76</v>
      </c>
      <c r="E3" s="120">
        <v>0</v>
      </c>
      <c r="F3" s="121">
        <v>20</v>
      </c>
      <c r="G3" s="119">
        <v>661</v>
      </c>
      <c r="H3" s="120">
        <v>5008</v>
      </c>
      <c r="I3" s="123">
        <v>28</v>
      </c>
      <c r="J3" s="119">
        <v>681</v>
      </c>
      <c r="K3" s="120">
        <v>3117</v>
      </c>
      <c r="L3" s="124">
        <v>27</v>
      </c>
      <c r="M3" s="166" t="s">
        <v>569</v>
      </c>
      <c r="N3" s="137" t="s">
        <v>142</v>
      </c>
      <c r="O3" s="137" t="s">
        <v>143</v>
      </c>
      <c r="P3" s="137" t="s">
        <v>144</v>
      </c>
      <c r="Q3" s="61" t="s">
        <v>145</v>
      </c>
      <c r="S3" s="53">
        <v>5900</v>
      </c>
      <c r="U3" s="137" t="s">
        <v>146</v>
      </c>
      <c r="V3" s="136">
        <v>0.01</v>
      </c>
      <c r="W3" s="137" t="s">
        <v>155</v>
      </c>
      <c r="X3" s="61" t="s">
        <v>148</v>
      </c>
    </row>
    <row r="4" spans="1:24" s="53" customFormat="1" ht="22.2" customHeight="1">
      <c r="A4" s="119">
        <v>602</v>
      </c>
      <c r="B4" s="120">
        <v>3573</v>
      </c>
      <c r="C4" s="121">
        <v>27</v>
      </c>
      <c r="D4" s="122" t="s">
        <v>77</v>
      </c>
      <c r="E4" s="120">
        <v>0</v>
      </c>
      <c r="F4" s="121">
        <v>27</v>
      </c>
      <c r="G4" s="119">
        <v>662</v>
      </c>
      <c r="H4" s="120">
        <v>551</v>
      </c>
      <c r="I4" s="123">
        <v>25</v>
      </c>
      <c r="J4" s="119">
        <v>682</v>
      </c>
      <c r="K4" s="120">
        <v>3075</v>
      </c>
      <c r="L4" s="133">
        <v>28</v>
      </c>
      <c r="M4" s="167"/>
      <c r="N4" s="137" t="s">
        <v>146</v>
      </c>
      <c r="O4" s="137" t="s">
        <v>143</v>
      </c>
      <c r="P4" s="137" t="s">
        <v>147</v>
      </c>
      <c r="Q4" s="61" t="s">
        <v>148</v>
      </c>
      <c r="S4" s="53">
        <v>5600</v>
      </c>
      <c r="U4" s="62">
        <v>680690</v>
      </c>
      <c r="V4" s="136">
        <v>0.01</v>
      </c>
      <c r="W4" s="137" t="s">
        <v>156</v>
      </c>
      <c r="X4" s="61" t="s">
        <v>148</v>
      </c>
    </row>
    <row r="5" spans="1:24" s="53" customFormat="1" ht="22.2" customHeight="1">
      <c r="A5" s="119">
        <v>603</v>
      </c>
      <c r="B5" s="120">
        <v>4662</v>
      </c>
      <c r="C5" s="121">
        <v>25</v>
      </c>
      <c r="D5" s="122">
        <v>631</v>
      </c>
      <c r="E5" s="120">
        <v>4708</v>
      </c>
      <c r="F5" s="121">
        <v>24</v>
      </c>
      <c r="G5" s="119">
        <v>663</v>
      </c>
      <c r="H5" s="120">
        <v>0</v>
      </c>
      <c r="I5" s="123">
        <v>28</v>
      </c>
      <c r="J5" s="119">
        <v>683</v>
      </c>
      <c r="K5" s="120">
        <v>1042</v>
      </c>
      <c r="L5" s="133">
        <v>27</v>
      </c>
      <c r="M5" s="167"/>
      <c r="N5" s="62">
        <v>680690</v>
      </c>
      <c r="O5" s="137" t="s">
        <v>143</v>
      </c>
      <c r="P5" s="137" t="s">
        <v>149</v>
      </c>
      <c r="Q5" s="61" t="s">
        <v>148</v>
      </c>
      <c r="S5" s="53">
        <v>4100</v>
      </c>
      <c r="U5" s="137" t="s">
        <v>150</v>
      </c>
      <c r="V5" s="136">
        <v>0.01</v>
      </c>
      <c r="W5" s="137" t="s">
        <v>157</v>
      </c>
      <c r="X5" s="61" t="s">
        <v>148</v>
      </c>
    </row>
    <row r="6" spans="1:24" s="53" customFormat="1" ht="22.2" customHeight="1">
      <c r="A6" s="119" t="s">
        <v>78</v>
      </c>
      <c r="B6" s="125">
        <v>44</v>
      </c>
      <c r="C6" s="126">
        <v>26</v>
      </c>
      <c r="D6" s="127">
        <v>632</v>
      </c>
      <c r="E6" s="125">
        <v>1302</v>
      </c>
      <c r="F6" s="126">
        <v>26</v>
      </c>
      <c r="G6" s="127">
        <v>664</v>
      </c>
      <c r="H6" s="120">
        <v>189</v>
      </c>
      <c r="I6" s="124">
        <v>25</v>
      </c>
      <c r="J6" s="127">
        <v>684</v>
      </c>
      <c r="K6" s="125">
        <v>297</v>
      </c>
      <c r="L6" s="133">
        <v>26</v>
      </c>
      <c r="M6" s="167"/>
      <c r="N6" s="137" t="s">
        <v>150</v>
      </c>
      <c r="O6" s="137" t="s">
        <v>143</v>
      </c>
      <c r="P6" s="137" t="s">
        <v>151</v>
      </c>
      <c r="Q6" s="61" t="s">
        <v>148</v>
      </c>
      <c r="S6" s="53">
        <v>7000</v>
      </c>
      <c r="U6" s="137" t="s">
        <v>152</v>
      </c>
      <c r="V6" s="136">
        <v>0.01</v>
      </c>
      <c r="W6" s="137" t="s">
        <v>158</v>
      </c>
      <c r="X6" s="61" t="s">
        <v>148</v>
      </c>
    </row>
    <row r="7" spans="1:24" s="53" customFormat="1" ht="22.2" customHeight="1">
      <c r="A7" s="119" t="s">
        <v>79</v>
      </c>
      <c r="B7" s="125">
        <v>5395</v>
      </c>
      <c r="C7" s="126">
        <v>26</v>
      </c>
      <c r="D7" s="127">
        <v>633</v>
      </c>
      <c r="E7" s="125">
        <v>2044</v>
      </c>
      <c r="F7" s="126">
        <v>23</v>
      </c>
      <c r="G7" s="127">
        <v>665</v>
      </c>
      <c r="H7" s="125">
        <v>1687</v>
      </c>
      <c r="I7" s="124">
        <v>28</v>
      </c>
      <c r="J7" s="127">
        <v>685</v>
      </c>
      <c r="K7" s="125">
        <v>209</v>
      </c>
      <c r="L7" s="133">
        <v>26</v>
      </c>
      <c r="M7" s="167"/>
      <c r="N7" s="137" t="s">
        <v>152</v>
      </c>
      <c r="O7" s="137" t="s">
        <v>143</v>
      </c>
      <c r="P7" s="137" t="s">
        <v>153</v>
      </c>
      <c r="Q7" s="61" t="s">
        <v>148</v>
      </c>
      <c r="S7" s="53">
        <v>11590</v>
      </c>
      <c r="X7" s="55"/>
    </row>
    <row r="8" spans="1:24" s="53" customFormat="1" ht="22.2" customHeight="1">
      <c r="A8" s="119">
        <v>611</v>
      </c>
      <c r="B8" s="125">
        <v>17.54</v>
      </c>
      <c r="C8" s="134">
        <v>25</v>
      </c>
      <c r="D8" s="127">
        <v>634</v>
      </c>
      <c r="E8" s="125">
        <v>5858</v>
      </c>
      <c r="F8" s="126">
        <v>26</v>
      </c>
      <c r="G8" s="127">
        <v>666</v>
      </c>
      <c r="H8" s="125">
        <v>3888</v>
      </c>
      <c r="I8" s="124">
        <v>26</v>
      </c>
      <c r="J8" s="127">
        <v>686</v>
      </c>
      <c r="K8" s="125">
        <v>301</v>
      </c>
      <c r="L8" s="133">
        <v>27</v>
      </c>
      <c r="M8" s="167"/>
      <c r="N8" s="137" t="s">
        <v>163</v>
      </c>
      <c r="O8" s="137" t="s">
        <v>143</v>
      </c>
      <c r="P8" s="137" t="s">
        <v>164</v>
      </c>
      <c r="Q8" s="61" t="s">
        <v>148</v>
      </c>
      <c r="S8" s="53">
        <v>9200</v>
      </c>
    </row>
    <row r="9" spans="1:24" s="53" customFormat="1" ht="22.2" customHeight="1">
      <c r="A9" s="119">
        <v>612</v>
      </c>
      <c r="B9" s="125">
        <v>76.739999999999995</v>
      </c>
      <c r="C9" s="134">
        <v>25</v>
      </c>
      <c r="D9" s="127">
        <v>641</v>
      </c>
      <c r="E9" s="125">
        <v>3108</v>
      </c>
      <c r="F9" s="126">
        <v>28</v>
      </c>
      <c r="G9" s="127">
        <v>667</v>
      </c>
      <c r="H9" s="125">
        <v>1548</v>
      </c>
      <c r="I9" s="124">
        <v>26</v>
      </c>
      <c r="J9" s="127">
        <v>687</v>
      </c>
      <c r="K9" s="125">
        <v>325</v>
      </c>
      <c r="L9" s="133">
        <v>25</v>
      </c>
      <c r="M9" s="167"/>
      <c r="N9" s="137" t="s">
        <v>165</v>
      </c>
      <c r="O9" s="137" t="s">
        <v>143</v>
      </c>
      <c r="P9" s="137" t="s">
        <v>166</v>
      </c>
      <c r="Q9" s="61" t="s">
        <v>148</v>
      </c>
      <c r="S9" s="53">
        <v>6800</v>
      </c>
    </row>
    <row r="10" spans="1:24" s="53" customFormat="1" ht="22.2" customHeight="1">
      <c r="A10" s="119">
        <v>613</v>
      </c>
      <c r="B10" s="125">
        <v>78.39</v>
      </c>
      <c r="C10" s="134">
        <v>25</v>
      </c>
      <c r="D10" s="127">
        <v>642</v>
      </c>
      <c r="E10" s="125">
        <v>5610</v>
      </c>
      <c r="F10" s="126">
        <v>28</v>
      </c>
      <c r="G10" s="127">
        <v>668</v>
      </c>
      <c r="H10" s="125">
        <v>-151</v>
      </c>
      <c r="I10" s="124">
        <v>28</v>
      </c>
      <c r="J10" s="127">
        <v>688</v>
      </c>
      <c r="K10" s="125">
        <v>319</v>
      </c>
      <c r="L10" s="133">
        <v>27</v>
      </c>
      <c r="M10" s="167"/>
      <c r="N10" s="137" t="s">
        <v>167</v>
      </c>
      <c r="O10" s="136" t="s">
        <v>143</v>
      </c>
      <c r="P10" s="137" t="s">
        <v>168</v>
      </c>
      <c r="Q10" s="61" t="s">
        <v>148</v>
      </c>
      <c r="S10" s="53">
        <v>5500</v>
      </c>
    </row>
    <row r="11" spans="1:24" s="53" customFormat="1" ht="22.2" customHeight="1">
      <c r="A11" s="119">
        <v>614</v>
      </c>
      <c r="B11" s="125">
        <v>6.69</v>
      </c>
      <c r="C11" s="134">
        <v>25</v>
      </c>
      <c r="D11" s="127">
        <v>643</v>
      </c>
      <c r="E11" s="125">
        <v>0</v>
      </c>
      <c r="F11" s="126">
        <v>25</v>
      </c>
      <c r="G11" s="127">
        <v>669</v>
      </c>
      <c r="H11" s="125">
        <v>857</v>
      </c>
      <c r="I11" s="124">
        <v>28</v>
      </c>
      <c r="J11" s="127">
        <v>689</v>
      </c>
      <c r="K11" s="125">
        <v>617</v>
      </c>
      <c r="L11" s="133">
        <v>26</v>
      </c>
      <c r="M11" s="167"/>
      <c r="N11" s="137" t="s">
        <v>169</v>
      </c>
      <c r="O11" s="136" t="s">
        <v>143</v>
      </c>
      <c r="P11" s="137">
        <v>9.0746000000000002</v>
      </c>
      <c r="Q11" s="61" t="s">
        <v>148</v>
      </c>
      <c r="S11" s="53">
        <v>7100</v>
      </c>
    </row>
    <row r="12" spans="1:24" s="53" customFormat="1" ht="22.2" customHeight="1">
      <c r="A12" s="119">
        <v>621</v>
      </c>
      <c r="B12" s="125">
        <v>3650</v>
      </c>
      <c r="C12" s="126">
        <v>26</v>
      </c>
      <c r="D12" s="127">
        <v>645</v>
      </c>
      <c r="E12" s="125">
        <v>4391</v>
      </c>
      <c r="F12" s="126">
        <v>25</v>
      </c>
      <c r="G12" s="127">
        <v>670</v>
      </c>
      <c r="H12" s="125">
        <v>-9907</v>
      </c>
      <c r="I12" s="124">
        <v>28</v>
      </c>
      <c r="J12" s="127">
        <v>690</v>
      </c>
      <c r="K12" s="125">
        <v>377</v>
      </c>
      <c r="L12" s="124">
        <v>26</v>
      </c>
      <c r="M12" s="167"/>
      <c r="N12" s="62" t="s">
        <v>170</v>
      </c>
      <c r="O12" s="136" t="s">
        <v>143</v>
      </c>
      <c r="P12" s="137">
        <v>9.0746000000000002</v>
      </c>
      <c r="Q12" s="61" t="s">
        <v>148</v>
      </c>
      <c r="S12" s="53">
        <v>5500</v>
      </c>
    </row>
    <row r="13" spans="1:24" s="53" customFormat="1" ht="22.2" customHeight="1">
      <c r="A13" s="119">
        <v>622</v>
      </c>
      <c r="B13" s="125">
        <v>2191</v>
      </c>
      <c r="C13" s="126">
        <v>28</v>
      </c>
      <c r="D13" s="127">
        <v>651</v>
      </c>
      <c r="E13" s="125">
        <v>2510</v>
      </c>
      <c r="F13" s="126">
        <v>28</v>
      </c>
      <c r="G13" s="127">
        <v>671</v>
      </c>
      <c r="H13" s="125">
        <v>0</v>
      </c>
      <c r="I13" s="124">
        <v>28</v>
      </c>
      <c r="J13" s="127">
        <v>691</v>
      </c>
      <c r="K13" s="125">
        <v>2900</v>
      </c>
      <c r="L13" s="133">
        <v>26</v>
      </c>
      <c r="M13" s="167"/>
      <c r="N13" s="169" t="s">
        <v>171</v>
      </c>
      <c r="O13" s="170" t="s">
        <v>143</v>
      </c>
      <c r="P13" s="171">
        <v>7.0686</v>
      </c>
      <c r="Q13" s="163" t="s">
        <v>148</v>
      </c>
      <c r="S13" s="164">
        <v>7000</v>
      </c>
    </row>
    <row r="14" spans="1:24" s="53" customFormat="1" ht="22.2" customHeight="1">
      <c r="A14" s="119">
        <v>623</v>
      </c>
      <c r="B14" s="125">
        <v>5422</v>
      </c>
      <c r="C14" s="126">
        <v>31</v>
      </c>
      <c r="D14" s="127">
        <v>652</v>
      </c>
      <c r="E14" s="125">
        <v>3018</v>
      </c>
      <c r="F14" s="126">
        <v>25</v>
      </c>
      <c r="G14" s="127">
        <v>672</v>
      </c>
      <c r="H14" s="125">
        <v>2473</v>
      </c>
      <c r="I14" s="124">
        <v>25</v>
      </c>
      <c r="J14" s="127">
        <v>692</v>
      </c>
      <c r="K14" s="125">
        <v>289</v>
      </c>
      <c r="L14" s="133">
        <v>25</v>
      </c>
      <c r="M14" s="167"/>
      <c r="N14" s="169"/>
      <c r="O14" s="170"/>
      <c r="P14" s="171"/>
      <c r="Q14" s="163"/>
      <c r="S14" s="164"/>
    </row>
    <row r="15" spans="1:24" s="53" customFormat="1" ht="22.2" customHeight="1">
      <c r="A15" s="122">
        <v>624</v>
      </c>
      <c r="B15" s="125">
        <v>1177</v>
      </c>
      <c r="C15" s="126">
        <v>26</v>
      </c>
      <c r="D15" s="128">
        <v>653</v>
      </c>
      <c r="E15" s="125">
        <v>2185</v>
      </c>
      <c r="F15" s="126">
        <v>22</v>
      </c>
      <c r="G15" s="127">
        <v>673</v>
      </c>
      <c r="H15" s="125">
        <v>8</v>
      </c>
      <c r="I15" s="124">
        <v>26</v>
      </c>
      <c r="J15" s="127">
        <v>693</v>
      </c>
      <c r="K15" s="125">
        <v>433</v>
      </c>
      <c r="L15" s="133">
        <v>25</v>
      </c>
      <c r="M15" s="167"/>
      <c r="N15" s="169"/>
      <c r="O15" s="170"/>
      <c r="P15" s="171"/>
      <c r="Q15" s="163"/>
      <c r="R15" s="55"/>
      <c r="S15" s="139">
        <v>6000</v>
      </c>
    </row>
    <row r="16" spans="1:24" s="53" customFormat="1" ht="22.2" customHeight="1">
      <c r="A16" s="122" t="s">
        <v>80</v>
      </c>
      <c r="B16" s="125">
        <v>7185</v>
      </c>
      <c r="C16" s="126">
        <v>28</v>
      </c>
      <c r="D16" s="127">
        <v>654</v>
      </c>
      <c r="E16" s="125">
        <v>213</v>
      </c>
      <c r="F16" s="126">
        <v>24</v>
      </c>
      <c r="G16" s="127">
        <v>674</v>
      </c>
      <c r="H16" s="125">
        <v>0</v>
      </c>
      <c r="I16" s="124">
        <v>27</v>
      </c>
      <c r="J16" s="127">
        <v>694</v>
      </c>
      <c r="K16" s="125">
        <v>10</v>
      </c>
      <c r="L16" s="133">
        <v>27</v>
      </c>
      <c r="M16" s="167"/>
      <c r="Q16" s="55"/>
      <c r="R16" s="55"/>
      <c r="S16" s="55"/>
    </row>
    <row r="17" spans="1:19" s="53" customFormat="1" ht="22.2" customHeight="1">
      <c r="A17" s="122" t="s">
        <v>26</v>
      </c>
      <c r="B17" s="125">
        <v>7083</v>
      </c>
      <c r="C17" s="126">
        <v>32</v>
      </c>
      <c r="D17" s="128">
        <v>655</v>
      </c>
      <c r="E17" s="125">
        <v>4134</v>
      </c>
      <c r="F17" s="126">
        <v>26</v>
      </c>
      <c r="G17" s="127">
        <v>675</v>
      </c>
      <c r="H17" s="125">
        <v>5.44</v>
      </c>
      <c r="I17" s="133">
        <v>25</v>
      </c>
      <c r="J17" s="127">
        <v>695</v>
      </c>
      <c r="K17" s="125">
        <v>5104</v>
      </c>
      <c r="L17" s="133">
        <v>28</v>
      </c>
      <c r="M17" s="167"/>
      <c r="Q17" s="55"/>
      <c r="R17" s="55"/>
      <c r="S17" s="55"/>
    </row>
    <row r="18" spans="1:19" s="53" customFormat="1" ht="22.2" customHeight="1">
      <c r="A18" s="122" t="s">
        <v>27</v>
      </c>
      <c r="B18" s="125">
        <v>5373</v>
      </c>
      <c r="C18" s="126">
        <v>25</v>
      </c>
      <c r="D18" s="127">
        <v>656</v>
      </c>
      <c r="E18" s="125">
        <v>3654</v>
      </c>
      <c r="F18" s="126">
        <v>26</v>
      </c>
      <c r="G18" s="127">
        <v>676</v>
      </c>
      <c r="H18" s="125">
        <v>47.34</v>
      </c>
      <c r="I18" s="133">
        <v>25</v>
      </c>
      <c r="J18" s="127">
        <v>696</v>
      </c>
      <c r="K18" s="125">
        <v>737</v>
      </c>
      <c r="L18" s="133">
        <v>28</v>
      </c>
      <c r="M18" s="167"/>
      <c r="Q18" s="55"/>
      <c r="R18" s="55"/>
      <c r="S18" s="55"/>
    </row>
    <row r="19" spans="1:19" s="53" customFormat="1" ht="22.2" customHeight="1">
      <c r="A19" s="122" t="s">
        <v>28</v>
      </c>
      <c r="B19" s="125">
        <v>7033</v>
      </c>
      <c r="C19" s="126">
        <v>26</v>
      </c>
      <c r="D19" s="127">
        <v>657</v>
      </c>
      <c r="E19" s="125">
        <v>7216</v>
      </c>
      <c r="F19" s="126">
        <v>28</v>
      </c>
      <c r="G19" s="127">
        <v>677</v>
      </c>
      <c r="H19" s="125">
        <v>3.35</v>
      </c>
      <c r="I19" s="133">
        <v>25</v>
      </c>
      <c r="J19" s="127">
        <v>697</v>
      </c>
      <c r="K19" s="125">
        <v>432</v>
      </c>
      <c r="L19" s="133">
        <v>26</v>
      </c>
      <c r="M19" s="167"/>
      <c r="Q19" s="55"/>
      <c r="R19" s="55"/>
      <c r="S19" s="55"/>
    </row>
    <row r="20" spans="1:19" s="53" customFormat="1" ht="22.2" customHeight="1">
      <c r="A20" s="122" t="s">
        <v>29</v>
      </c>
      <c r="B20" s="125">
        <v>3332</v>
      </c>
      <c r="C20" s="126">
        <v>26</v>
      </c>
      <c r="D20" s="128">
        <v>658</v>
      </c>
      <c r="E20" s="125">
        <v>213</v>
      </c>
      <c r="F20" s="126">
        <v>28</v>
      </c>
      <c r="G20" s="127">
        <v>678</v>
      </c>
      <c r="H20" s="125">
        <v>5.18</v>
      </c>
      <c r="I20" s="133">
        <v>25</v>
      </c>
      <c r="J20" s="127">
        <v>698</v>
      </c>
      <c r="K20" s="125">
        <v>4413</v>
      </c>
      <c r="L20" s="133">
        <v>27</v>
      </c>
      <c r="M20" s="167"/>
      <c r="Q20" s="55"/>
      <c r="R20" s="55"/>
      <c r="S20" s="55"/>
    </row>
    <row r="21" spans="1:19" s="53" customFormat="1" ht="22.2" customHeight="1">
      <c r="A21" s="122" t="s">
        <v>30</v>
      </c>
      <c r="B21" s="125">
        <v>3674</v>
      </c>
      <c r="C21" s="126">
        <v>27</v>
      </c>
      <c r="D21" s="127">
        <v>659</v>
      </c>
      <c r="E21" s="125">
        <v>2644</v>
      </c>
      <c r="F21" s="126">
        <v>25</v>
      </c>
      <c r="G21" s="127">
        <v>680</v>
      </c>
      <c r="H21" s="125">
        <v>2570</v>
      </c>
      <c r="I21" s="133">
        <v>27</v>
      </c>
      <c r="J21" s="127">
        <v>699</v>
      </c>
      <c r="K21" s="125">
        <v>5016</v>
      </c>
      <c r="L21" s="133">
        <v>27</v>
      </c>
      <c r="M21" s="167"/>
      <c r="Q21" s="55"/>
      <c r="R21" s="55"/>
      <c r="S21" s="55"/>
    </row>
    <row r="22" spans="1:19" s="53" customFormat="1" ht="22.2" customHeight="1" thickBot="1">
      <c r="A22" s="129" t="s">
        <v>81</v>
      </c>
      <c r="B22" s="130">
        <v>0</v>
      </c>
      <c r="C22" s="130">
        <v>27</v>
      </c>
      <c r="D22" s="131">
        <v>660</v>
      </c>
      <c r="E22" s="130">
        <v>1907</v>
      </c>
      <c r="F22" s="132">
        <v>28</v>
      </c>
      <c r="G22" s="131"/>
      <c r="H22" s="130"/>
      <c r="I22" s="132"/>
      <c r="J22" s="131"/>
      <c r="K22" s="130"/>
      <c r="L22" s="132"/>
      <c r="M22" s="168"/>
      <c r="Q22" s="55"/>
      <c r="R22" s="55"/>
      <c r="S22" s="55"/>
    </row>
    <row r="23" spans="1:19" ht="36.6" customHeight="1" thickTop="1">
      <c r="A23" s="112"/>
      <c r="B23" s="112"/>
      <c r="C23" s="112"/>
      <c r="D23" s="112"/>
      <c r="E23" s="112"/>
      <c r="F23" s="112"/>
      <c r="G23" s="112"/>
      <c r="H23" s="112"/>
      <c r="I23" s="112"/>
      <c r="J23" s="112"/>
      <c r="K23" s="112"/>
      <c r="L23" s="112"/>
      <c r="M23" s="112"/>
    </row>
    <row r="24" spans="1:19" ht="21" customHeight="1" thickBot="1">
      <c r="A24" s="165"/>
      <c r="B24" s="165"/>
      <c r="C24" s="111"/>
      <c r="D24" s="111"/>
      <c r="E24" s="111"/>
      <c r="F24" s="111"/>
      <c r="G24" s="111"/>
      <c r="H24" s="111"/>
      <c r="I24" s="113"/>
      <c r="J24" s="111"/>
      <c r="K24" s="111"/>
      <c r="L24" s="113"/>
      <c r="M24" s="113" t="s">
        <v>175</v>
      </c>
    </row>
    <row r="25" spans="1:19" ht="20.100000000000001" customHeight="1" thickTop="1" thickBot="1">
      <c r="A25" s="114" t="s">
        <v>31</v>
      </c>
      <c r="B25" s="115" t="s">
        <v>159</v>
      </c>
      <c r="C25" s="116" t="s">
        <v>33</v>
      </c>
      <c r="D25" s="114" t="s">
        <v>31</v>
      </c>
      <c r="E25" s="115" t="s">
        <v>159</v>
      </c>
      <c r="F25" s="117" t="s">
        <v>33</v>
      </c>
      <c r="G25" s="114" t="s">
        <v>31</v>
      </c>
      <c r="H25" s="115" t="s">
        <v>32</v>
      </c>
      <c r="I25" s="117" t="s">
        <v>33</v>
      </c>
      <c r="J25" s="114" t="s">
        <v>31</v>
      </c>
      <c r="K25" s="115" t="s">
        <v>32</v>
      </c>
      <c r="L25" s="117" t="s">
        <v>33</v>
      </c>
      <c r="M25" s="118" t="s">
        <v>174</v>
      </c>
    </row>
    <row r="26" spans="1:19" ht="21.75" customHeight="1" thickTop="1">
      <c r="A26" s="119">
        <v>601</v>
      </c>
      <c r="B26" s="120">
        <v>4016</v>
      </c>
      <c r="C26" s="121">
        <v>27</v>
      </c>
      <c r="D26" s="122" t="s">
        <v>76</v>
      </c>
      <c r="E26" s="120">
        <v>2567</v>
      </c>
      <c r="F26" s="121">
        <v>18</v>
      </c>
      <c r="G26" s="119">
        <v>661</v>
      </c>
      <c r="H26" s="120">
        <v>6017</v>
      </c>
      <c r="I26" s="123">
        <v>29</v>
      </c>
      <c r="J26" s="119">
        <v>681</v>
      </c>
      <c r="K26" s="120">
        <v>2676</v>
      </c>
      <c r="L26" s="124">
        <v>28</v>
      </c>
      <c r="M26" s="166"/>
    </row>
    <row r="27" spans="1:19" ht="21.75" customHeight="1">
      <c r="A27" s="119">
        <v>602</v>
      </c>
      <c r="B27" s="120">
        <v>3573</v>
      </c>
      <c r="C27" s="121">
        <v>24</v>
      </c>
      <c r="D27" s="122" t="s">
        <v>77</v>
      </c>
      <c r="E27" s="120">
        <v>0</v>
      </c>
      <c r="F27" s="121">
        <v>29</v>
      </c>
      <c r="G27" s="119">
        <v>662</v>
      </c>
      <c r="H27" s="120">
        <v>551</v>
      </c>
      <c r="I27" s="123">
        <v>29</v>
      </c>
      <c r="J27" s="119">
        <v>682</v>
      </c>
      <c r="K27" s="120">
        <v>2664</v>
      </c>
      <c r="L27" s="133">
        <v>29</v>
      </c>
      <c r="M27" s="167"/>
    </row>
    <row r="28" spans="1:19" ht="21.75" customHeight="1">
      <c r="A28" s="119">
        <v>603</v>
      </c>
      <c r="B28" s="120">
        <v>4663</v>
      </c>
      <c r="C28" s="121">
        <v>25</v>
      </c>
      <c r="D28" s="122">
        <v>631</v>
      </c>
      <c r="E28" s="120">
        <v>6706</v>
      </c>
      <c r="F28" s="121">
        <v>24</v>
      </c>
      <c r="G28" s="119">
        <v>663</v>
      </c>
      <c r="H28" s="120">
        <v>0</v>
      </c>
      <c r="I28" s="123">
        <v>30</v>
      </c>
      <c r="J28" s="119">
        <v>683</v>
      </c>
      <c r="K28" s="120">
        <v>165</v>
      </c>
      <c r="L28" s="133">
        <v>29</v>
      </c>
      <c r="M28" s="167"/>
    </row>
    <row r="29" spans="1:19" ht="21.75" customHeight="1">
      <c r="A29" s="119" t="s">
        <v>78</v>
      </c>
      <c r="B29" s="125">
        <v>465</v>
      </c>
      <c r="C29" s="126">
        <v>27</v>
      </c>
      <c r="D29" s="127">
        <v>632</v>
      </c>
      <c r="E29" s="125">
        <v>1304</v>
      </c>
      <c r="F29" s="126">
        <v>24</v>
      </c>
      <c r="G29" s="127">
        <v>664</v>
      </c>
      <c r="H29" s="120">
        <v>188</v>
      </c>
      <c r="I29" s="124">
        <v>30</v>
      </c>
      <c r="J29" s="127">
        <v>684</v>
      </c>
      <c r="K29" s="125">
        <v>296</v>
      </c>
      <c r="L29" s="133">
        <v>28</v>
      </c>
      <c r="M29" s="167"/>
    </row>
    <row r="30" spans="1:19" ht="21.75" customHeight="1">
      <c r="A30" s="119" t="s">
        <v>79</v>
      </c>
      <c r="B30" s="125">
        <v>5140</v>
      </c>
      <c r="C30" s="126">
        <v>26</v>
      </c>
      <c r="D30" s="127">
        <v>633</v>
      </c>
      <c r="E30" s="125">
        <v>1915</v>
      </c>
      <c r="F30" s="126">
        <v>23</v>
      </c>
      <c r="G30" s="127">
        <v>665</v>
      </c>
      <c r="H30" s="125">
        <v>1675</v>
      </c>
      <c r="I30" s="124">
        <v>28</v>
      </c>
      <c r="J30" s="127">
        <v>685</v>
      </c>
      <c r="K30" s="125">
        <v>209</v>
      </c>
      <c r="L30" s="133">
        <v>27</v>
      </c>
      <c r="M30" s="167"/>
    </row>
    <row r="31" spans="1:19" ht="21.75" customHeight="1">
      <c r="A31" s="119">
        <v>611</v>
      </c>
      <c r="B31" s="125">
        <v>17.57</v>
      </c>
      <c r="C31" s="134">
        <v>25</v>
      </c>
      <c r="D31" s="127">
        <v>634</v>
      </c>
      <c r="E31" s="125">
        <v>5860</v>
      </c>
      <c r="F31" s="126">
        <v>28</v>
      </c>
      <c r="G31" s="127">
        <v>666</v>
      </c>
      <c r="H31" s="125">
        <v>3885</v>
      </c>
      <c r="I31" s="124">
        <v>27</v>
      </c>
      <c r="J31" s="127">
        <v>686</v>
      </c>
      <c r="K31" s="125">
        <v>300</v>
      </c>
      <c r="L31" s="133">
        <v>30</v>
      </c>
      <c r="M31" s="167"/>
    </row>
    <row r="32" spans="1:19" ht="21.75" customHeight="1">
      <c r="A32" s="119">
        <v>612</v>
      </c>
      <c r="B32" s="125">
        <v>76.819999999999993</v>
      </c>
      <c r="C32" s="134">
        <v>25</v>
      </c>
      <c r="D32" s="127">
        <v>641</v>
      </c>
      <c r="E32" s="125">
        <v>3108</v>
      </c>
      <c r="F32" s="126">
        <v>30</v>
      </c>
      <c r="G32" s="127">
        <v>667</v>
      </c>
      <c r="H32" s="125">
        <v>2004</v>
      </c>
      <c r="I32" s="124">
        <v>29</v>
      </c>
      <c r="J32" s="127">
        <v>687</v>
      </c>
      <c r="K32" s="125">
        <v>325</v>
      </c>
      <c r="L32" s="133">
        <v>30</v>
      </c>
      <c r="M32" s="167"/>
    </row>
    <row r="33" spans="1:13" ht="21.75" customHeight="1">
      <c r="A33" s="119">
        <v>613</v>
      </c>
      <c r="B33" s="125">
        <v>87.84</v>
      </c>
      <c r="C33" s="134">
        <v>25</v>
      </c>
      <c r="D33" s="127">
        <v>642</v>
      </c>
      <c r="E33" s="125">
        <v>5685</v>
      </c>
      <c r="F33" s="126">
        <v>28</v>
      </c>
      <c r="G33" s="127">
        <v>668</v>
      </c>
      <c r="H33" s="125">
        <v>-152</v>
      </c>
      <c r="I33" s="124">
        <v>30</v>
      </c>
      <c r="J33" s="127">
        <v>688</v>
      </c>
      <c r="K33" s="125">
        <v>319</v>
      </c>
      <c r="L33" s="133">
        <v>28</v>
      </c>
      <c r="M33" s="167"/>
    </row>
    <row r="34" spans="1:13" ht="21.75" customHeight="1">
      <c r="A34" s="119">
        <v>614</v>
      </c>
      <c r="B34" s="125">
        <v>65.06</v>
      </c>
      <c r="C34" s="134">
        <v>25</v>
      </c>
      <c r="D34" s="127">
        <v>643</v>
      </c>
      <c r="E34" s="125">
        <v>0</v>
      </c>
      <c r="F34" s="126">
        <v>29</v>
      </c>
      <c r="G34" s="127">
        <v>669</v>
      </c>
      <c r="H34" s="125">
        <v>858</v>
      </c>
      <c r="I34" s="124">
        <v>30</v>
      </c>
      <c r="J34" s="127">
        <v>689</v>
      </c>
      <c r="K34" s="125">
        <v>3081</v>
      </c>
      <c r="L34" s="133">
        <v>28</v>
      </c>
      <c r="M34" s="167"/>
    </row>
    <row r="35" spans="1:13" ht="21.75" customHeight="1">
      <c r="A35" s="119">
        <v>621</v>
      </c>
      <c r="B35" s="125">
        <v>3650</v>
      </c>
      <c r="C35" s="126">
        <v>27</v>
      </c>
      <c r="D35" s="127">
        <v>645</v>
      </c>
      <c r="E35" s="125">
        <v>5523</v>
      </c>
      <c r="F35" s="126">
        <v>29</v>
      </c>
      <c r="G35" s="127">
        <v>670</v>
      </c>
      <c r="H35" s="125">
        <v>-9907</v>
      </c>
      <c r="I35" s="124">
        <v>30</v>
      </c>
      <c r="J35" s="127">
        <v>690</v>
      </c>
      <c r="K35" s="125">
        <v>377</v>
      </c>
      <c r="L35" s="124">
        <v>30</v>
      </c>
      <c r="M35" s="167"/>
    </row>
    <row r="36" spans="1:13" ht="21.75" customHeight="1">
      <c r="A36" s="119">
        <v>622</v>
      </c>
      <c r="B36" s="125">
        <v>2194</v>
      </c>
      <c r="C36" s="126">
        <v>29</v>
      </c>
      <c r="D36" s="127">
        <v>651</v>
      </c>
      <c r="E36" s="125">
        <v>3180</v>
      </c>
      <c r="F36" s="126">
        <v>31</v>
      </c>
      <c r="G36" s="127">
        <v>671</v>
      </c>
      <c r="H36" s="125">
        <v>0</v>
      </c>
      <c r="I36" s="124">
        <v>28</v>
      </c>
      <c r="J36" s="127">
        <v>691</v>
      </c>
      <c r="K36" s="125">
        <v>3090</v>
      </c>
      <c r="L36" s="133">
        <v>30</v>
      </c>
      <c r="M36" s="167"/>
    </row>
    <row r="37" spans="1:13" ht="21.75" customHeight="1">
      <c r="A37" s="119">
        <v>623</v>
      </c>
      <c r="B37" s="125">
        <v>3915</v>
      </c>
      <c r="C37" s="126">
        <v>33</v>
      </c>
      <c r="D37" s="127">
        <v>652</v>
      </c>
      <c r="E37" s="125">
        <v>3165</v>
      </c>
      <c r="F37" s="126">
        <v>27</v>
      </c>
      <c r="G37" s="127">
        <v>672</v>
      </c>
      <c r="H37" s="125">
        <v>2474</v>
      </c>
      <c r="I37" s="124">
        <v>26</v>
      </c>
      <c r="J37" s="127">
        <v>692</v>
      </c>
      <c r="K37" s="125">
        <v>288</v>
      </c>
      <c r="L37" s="133">
        <v>28</v>
      </c>
      <c r="M37" s="167"/>
    </row>
    <row r="38" spans="1:13" ht="21.75" customHeight="1">
      <c r="A38" s="122">
        <v>624</v>
      </c>
      <c r="B38" s="125">
        <v>1079</v>
      </c>
      <c r="C38" s="126">
        <v>27</v>
      </c>
      <c r="D38" s="128">
        <v>653</v>
      </c>
      <c r="E38" s="125">
        <v>2185</v>
      </c>
      <c r="F38" s="126">
        <v>26</v>
      </c>
      <c r="G38" s="127">
        <v>673</v>
      </c>
      <c r="H38" s="125">
        <v>0</v>
      </c>
      <c r="I38" s="124">
        <v>27</v>
      </c>
      <c r="J38" s="127">
        <v>693</v>
      </c>
      <c r="K38" s="125">
        <v>432</v>
      </c>
      <c r="L38" s="133">
        <v>28</v>
      </c>
      <c r="M38" s="167"/>
    </row>
    <row r="39" spans="1:13" ht="21.75" customHeight="1">
      <c r="A39" s="122" t="s">
        <v>80</v>
      </c>
      <c r="B39" s="125">
        <v>7187</v>
      </c>
      <c r="C39" s="126">
        <v>32</v>
      </c>
      <c r="D39" s="127">
        <v>654</v>
      </c>
      <c r="E39" s="125">
        <v>213</v>
      </c>
      <c r="F39" s="126">
        <v>29</v>
      </c>
      <c r="G39" s="127">
        <v>674</v>
      </c>
      <c r="H39" s="125">
        <v>0</v>
      </c>
      <c r="I39" s="124">
        <v>27</v>
      </c>
      <c r="J39" s="127">
        <v>694</v>
      </c>
      <c r="K39" s="125">
        <v>11</v>
      </c>
      <c r="L39" s="133">
        <v>29</v>
      </c>
      <c r="M39" s="167"/>
    </row>
    <row r="40" spans="1:13" ht="21.75" customHeight="1">
      <c r="A40" s="122" t="s">
        <v>26</v>
      </c>
      <c r="B40" s="125">
        <v>7086</v>
      </c>
      <c r="C40" s="126">
        <v>35</v>
      </c>
      <c r="D40" s="128">
        <v>655</v>
      </c>
      <c r="E40" s="125">
        <v>4634</v>
      </c>
      <c r="F40" s="126">
        <v>34</v>
      </c>
      <c r="G40" s="127">
        <v>675</v>
      </c>
      <c r="H40" s="125">
        <v>13.57</v>
      </c>
      <c r="I40" s="133">
        <v>25</v>
      </c>
      <c r="J40" s="127">
        <v>695</v>
      </c>
      <c r="K40" s="125">
        <v>5061</v>
      </c>
      <c r="L40" s="133">
        <v>29</v>
      </c>
      <c r="M40" s="167"/>
    </row>
    <row r="41" spans="1:13" ht="21.75" customHeight="1">
      <c r="A41" s="122" t="s">
        <v>27</v>
      </c>
      <c r="B41" s="125">
        <v>5375</v>
      </c>
      <c r="C41" s="126">
        <v>28</v>
      </c>
      <c r="D41" s="127">
        <v>656</v>
      </c>
      <c r="E41" s="125">
        <v>3654</v>
      </c>
      <c r="F41" s="126">
        <v>29</v>
      </c>
      <c r="G41" s="127">
        <v>676</v>
      </c>
      <c r="H41" s="125">
        <v>84.56</v>
      </c>
      <c r="I41" s="133">
        <v>25</v>
      </c>
      <c r="J41" s="127">
        <v>696</v>
      </c>
      <c r="K41" s="125">
        <v>737</v>
      </c>
      <c r="L41" s="133">
        <v>29</v>
      </c>
      <c r="M41" s="167"/>
    </row>
    <row r="42" spans="1:13" ht="21.75" customHeight="1">
      <c r="A42" s="122" t="s">
        <v>28</v>
      </c>
      <c r="B42" s="125">
        <v>7036</v>
      </c>
      <c r="C42" s="126">
        <v>24</v>
      </c>
      <c r="D42" s="127">
        <v>657</v>
      </c>
      <c r="E42" s="125">
        <v>7220</v>
      </c>
      <c r="F42" s="126">
        <v>29</v>
      </c>
      <c r="G42" s="127">
        <v>677</v>
      </c>
      <c r="H42" s="125">
        <v>3.18</v>
      </c>
      <c r="I42" s="133">
        <v>25</v>
      </c>
      <c r="J42" s="127">
        <v>697</v>
      </c>
      <c r="K42" s="125">
        <v>431</v>
      </c>
      <c r="L42" s="133">
        <v>27</v>
      </c>
      <c r="M42" s="167"/>
    </row>
    <row r="43" spans="1:13" ht="21.75" customHeight="1">
      <c r="A43" s="122" t="s">
        <v>29</v>
      </c>
      <c r="B43" s="125">
        <v>5950</v>
      </c>
      <c r="C43" s="126">
        <v>25</v>
      </c>
      <c r="D43" s="128">
        <v>658</v>
      </c>
      <c r="E43" s="125">
        <v>2344</v>
      </c>
      <c r="F43" s="126">
        <v>30</v>
      </c>
      <c r="G43" s="127">
        <v>678</v>
      </c>
      <c r="H43" s="125">
        <v>24.92</v>
      </c>
      <c r="I43" s="133">
        <v>25</v>
      </c>
      <c r="J43" s="127">
        <v>698</v>
      </c>
      <c r="K43" s="125">
        <v>4288</v>
      </c>
      <c r="L43" s="133">
        <v>27</v>
      </c>
      <c r="M43" s="167"/>
    </row>
    <row r="44" spans="1:13" ht="21.75" customHeight="1">
      <c r="A44" s="122" t="s">
        <v>30</v>
      </c>
      <c r="B44" s="125">
        <v>5963</v>
      </c>
      <c r="C44" s="126">
        <v>28</v>
      </c>
      <c r="D44" s="127">
        <v>659</v>
      </c>
      <c r="E44" s="125">
        <v>558</v>
      </c>
      <c r="F44" s="126">
        <v>26</v>
      </c>
      <c r="G44" s="127">
        <v>680</v>
      </c>
      <c r="H44" s="125">
        <v>2582</v>
      </c>
      <c r="I44" s="133">
        <v>27</v>
      </c>
      <c r="J44" s="127">
        <v>699</v>
      </c>
      <c r="K44" s="125">
        <v>2859</v>
      </c>
      <c r="L44" s="133">
        <v>26</v>
      </c>
      <c r="M44" s="167"/>
    </row>
    <row r="45" spans="1:13" ht="21.75" customHeight="1" thickBot="1">
      <c r="A45" s="129" t="s">
        <v>81</v>
      </c>
      <c r="B45" s="130">
        <v>2978</v>
      </c>
      <c r="C45" s="130">
        <v>25</v>
      </c>
      <c r="D45" s="131">
        <v>660</v>
      </c>
      <c r="E45" s="130">
        <v>1907</v>
      </c>
      <c r="F45" s="132">
        <v>29</v>
      </c>
      <c r="G45" s="131"/>
      <c r="H45" s="130"/>
      <c r="I45" s="132"/>
      <c r="J45" s="131"/>
      <c r="K45" s="130"/>
      <c r="L45" s="132"/>
      <c r="M45" s="168"/>
    </row>
    <row r="46" spans="1:13" ht="16.2" thickTop="1"/>
    <row r="100" spans="1:1" ht="25.5" customHeight="1">
      <c r="A100" s="140" t="s">
        <v>634</v>
      </c>
    </row>
  </sheetData>
  <sheetProtection selectLockedCells="1"/>
  <mergeCells count="9">
    <mergeCell ref="Q13:Q15"/>
    <mergeCell ref="S13:S14"/>
    <mergeCell ref="A24:B24"/>
    <mergeCell ref="M26:M45"/>
    <mergeCell ref="A1:B1"/>
    <mergeCell ref="M3:M22"/>
    <mergeCell ref="N13:N15"/>
    <mergeCell ref="O13:O15"/>
    <mergeCell ref="P13:P15"/>
  </mergeCells>
  <phoneticPr fontId="2" type="noConversion"/>
  <dataValidations count="11">
    <dataValidation type="custom" errorStyle="warning" allowBlank="1" showInputMessage="1" showErrorMessage="1" error="***你在睡喔,醒醒好嗎" sqref="E8 B6:B7 B4 B15 E31 B29:B30 B27 B38">
      <formula1>B4&lt;=9100</formula1>
    </dataValidation>
    <dataValidation type="custom" errorStyle="warning" allowBlank="1" showInputMessage="1" showErrorMessage="1" error="***你在睡喔,醒醒好嗎" sqref="B8:B11 H17:H20 B31:B34 H40:H43">
      <formula1>B8&lt;=100</formula1>
    </dataValidation>
    <dataValidation type="custom" errorStyle="warning" allowBlank="1" showInputMessage="1" showErrorMessage="1" error="***你在睡喔,醒醒好嗎" sqref="E3:E4 B16:B22 E20:E22 H3:H16 E26:E27 B39:B45 E43:E45 H26:H39 E19 E42">
      <formula1>B3&lt;=7400</formula1>
    </dataValidation>
    <dataValidation type="custom" errorStyle="warning" allowBlank="1" showInputMessage="1" showErrorMessage="1" error="***你在睡喔,醒醒好嗎" sqref="E14:E18 E37:E41">
      <formula1>E14&lt;=5500</formula1>
    </dataValidation>
    <dataValidation type="custom" errorStyle="warning" allowBlank="1" showInputMessage="1" showErrorMessage="1" error="***你在睡喔,醒醒好嗎" sqref="H21 K12 H44 K35">
      <formula1>H12&lt;=4100</formula1>
    </dataValidation>
    <dataValidation type="custom" errorStyle="warning" allowBlank="1" showInputMessage="1" showErrorMessage="1" error="***你在睡喔,醒醒好嗎" sqref="E5:E6 B5 K14:K17 B12:B13 B3 E28:E29 B28 K37:K40 B35:B36 B26">
      <formula1>B3&lt;=7000</formula1>
    </dataValidation>
    <dataValidation type="custom" errorStyle="warning" allowBlank="1" showInputMessage="1" showErrorMessage="1" error="***你在睡喔,醒醒好嗎" sqref="K18:K21 K41:K44">
      <formula1>K18&lt;=12000</formula1>
    </dataValidation>
    <dataValidation type="custom" errorStyle="warning" allowBlank="1" showInputMessage="1" showErrorMessage="1" error="***你在睡喔,醒醒好嗎" sqref="B14 E7 K13 E9:E10 E13 K3:K7 K9:K10 B37 E30 E36 K26:K30 K32:K33 K36 E32:E33">
      <formula1>B3&lt;=5600</formula1>
    </dataValidation>
    <dataValidation type="custom" errorStyle="warning" allowBlank="1" showInputMessage="1" showErrorMessage="1" error="***你在睡喔,醒醒好嗎" sqref="K11 K8 K34 K31">
      <formula1>K8&lt;=5700</formula1>
    </dataValidation>
    <dataValidation type="custom" errorStyle="warning" allowBlank="1" showInputMessage="1" showErrorMessage="1" error="***你在睡喔,醒醒好嗎" sqref="E12 E34:E35">
      <formula1>E12&lt;=6000</formula1>
    </dataValidation>
    <dataValidation type="custom" errorStyle="warning" allowBlank="1" showInputMessage="1" showErrorMessage="1" error="***你在睡喔,醒醒好嗎" sqref="E11">
      <formula1>E11&lt;=6000</formula1>
    </dataValidation>
  </dataValidations>
  <printOptions horizontalCentered="1"/>
  <pageMargins left="0.39370078740157483" right="0.19685039370078741" top="0.19685039370078741" bottom="0" header="0" footer="0"/>
  <pageSetup paperSize="9" scale="84" pageOrder="overThenDown" orientation="portrait" horizontalDpi="180" verticalDpi="18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247681" r:id="rId4" name="CommandButton1">
          <controlPr autoLine="0" r:id="rId5">
            <anchor moveWithCells="1">
              <from>
                <xdr:col>13</xdr:col>
                <xdr:colOff>30480</xdr:colOff>
                <xdr:row>15</xdr:row>
                <xdr:rowOff>198120</xdr:rowOff>
              </from>
              <to>
                <xdr:col>15</xdr:col>
                <xdr:colOff>495300</xdr:colOff>
                <xdr:row>22</xdr:row>
                <xdr:rowOff>388620</xdr:rowOff>
              </to>
            </anchor>
          </controlPr>
        </control>
      </mc:Choice>
      <mc:Fallback>
        <control shapeId="2247681" r:id="rId4" name="CommandButton1"/>
      </mc:Fallback>
    </mc:AlternateContent>
    <mc:AlternateContent xmlns:mc="http://schemas.openxmlformats.org/markup-compatibility/2006">
      <mc:Choice Requires="x14">
        <control shapeId="2247682" r:id="rId6" name="CommandButton2">
          <controlPr autoLine="0" r:id="rId7">
            <anchor moveWithCells="1">
              <from>
                <xdr:col>13</xdr:col>
                <xdr:colOff>22860</xdr:colOff>
                <xdr:row>25</xdr:row>
                <xdr:rowOff>60960</xdr:rowOff>
              </from>
              <to>
                <xdr:col>15</xdr:col>
                <xdr:colOff>548640</xdr:colOff>
                <xdr:row>32</xdr:row>
                <xdr:rowOff>0</xdr:rowOff>
              </to>
            </anchor>
          </controlPr>
        </control>
      </mc:Choice>
      <mc:Fallback>
        <control shapeId="2247682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>
    <pageSetUpPr fitToPage="1"/>
  </sheetPr>
  <dimension ref="A1:X93"/>
  <sheetViews>
    <sheetView showRuler="0" view="pageBreakPreview" zoomScale="60" zoomScaleNormal="60" workbookViewId="0">
      <pane ySplit="1" topLeftCell="A14" activePane="bottomLeft" state="frozen"/>
      <selection activeCell="AA15" sqref="AA15"/>
      <selection pane="bottomLeft" activeCell="AA15" sqref="AA15"/>
    </sheetView>
  </sheetViews>
  <sheetFormatPr defaultColWidth="9" defaultRowHeight="16.2"/>
  <cols>
    <col min="1" max="1" width="9.44140625" style="47" customWidth="1"/>
    <col min="2" max="10" width="10.6640625" style="47" customWidth="1"/>
    <col min="11" max="12" width="10.6640625" style="6" customWidth="1"/>
    <col min="13" max="13" width="10.6640625" style="50" customWidth="1"/>
    <col min="14" max="16" width="10.6640625" style="6" customWidth="1"/>
    <col min="17" max="17" width="12.88671875" style="47" customWidth="1"/>
    <col min="18" max="18" width="10.6640625" style="6" customWidth="1"/>
    <col min="19" max="19" width="10.6640625" style="47" customWidth="1"/>
    <col min="20" max="20" width="10.6640625" style="6" customWidth="1"/>
    <col min="21" max="21" width="10.6640625" style="51" customWidth="1"/>
    <col min="22" max="23" width="9.88671875" style="6" bestFit="1" customWidth="1"/>
    <col min="24" max="24" width="15.44140625" style="6" bestFit="1" customWidth="1"/>
    <col min="25" max="16384" width="9" style="6"/>
  </cols>
  <sheetData>
    <row r="1" spans="1:24" ht="49.2" customHeight="1">
      <c r="A1" s="1" t="s">
        <v>6</v>
      </c>
      <c r="B1" s="2" t="s">
        <v>7</v>
      </c>
      <c r="C1" s="2" t="s">
        <v>8</v>
      </c>
      <c r="D1" s="2" t="s">
        <v>9</v>
      </c>
      <c r="E1" s="2" t="s">
        <v>10</v>
      </c>
      <c r="F1" s="3" t="s">
        <v>11</v>
      </c>
      <c r="G1" s="2" t="s">
        <v>12</v>
      </c>
      <c r="H1" s="2" t="s">
        <v>13</v>
      </c>
      <c r="I1" s="2" t="s">
        <v>14</v>
      </c>
      <c r="J1" s="4" t="s">
        <v>15</v>
      </c>
      <c r="K1" s="2" t="s">
        <v>16</v>
      </c>
      <c r="L1" s="2" t="s">
        <v>17</v>
      </c>
      <c r="M1" s="2" t="s">
        <v>18</v>
      </c>
      <c r="N1" s="2" t="s">
        <v>19</v>
      </c>
      <c r="O1" s="4" t="s">
        <v>20</v>
      </c>
      <c r="P1" s="3" t="s">
        <v>21</v>
      </c>
      <c r="Q1" s="2" t="s">
        <v>70</v>
      </c>
      <c r="R1" s="2" t="s">
        <v>22</v>
      </c>
      <c r="S1" s="2" t="s">
        <v>23</v>
      </c>
      <c r="T1" s="2" t="s">
        <v>24</v>
      </c>
      <c r="U1" s="5" t="s">
        <v>25</v>
      </c>
      <c r="V1" s="5" t="s">
        <v>34</v>
      </c>
      <c r="W1" s="5" t="s">
        <v>38</v>
      </c>
      <c r="X1" s="5" t="s">
        <v>75</v>
      </c>
    </row>
    <row r="2" spans="1:24" s="13" customFormat="1" ht="26.4" customHeight="1" thickBot="1">
      <c r="A2" s="7">
        <v>1</v>
      </c>
      <c r="B2" s="8">
        <v>0.80020000000000002</v>
      </c>
      <c r="C2" s="8">
        <v>1.1264000000000001</v>
      </c>
      <c r="D2" s="8">
        <v>1.0450999999999999</v>
      </c>
      <c r="E2" s="8">
        <v>0.81089999999999995</v>
      </c>
      <c r="F2" s="9"/>
      <c r="G2" s="8">
        <v>0.80520000000000003</v>
      </c>
      <c r="H2" s="8">
        <v>0.93820000000000003</v>
      </c>
      <c r="I2" s="8">
        <v>1.0691999999999999</v>
      </c>
      <c r="J2" s="10">
        <v>0.98939999999999995</v>
      </c>
      <c r="K2" s="8">
        <v>0.96160000000000001</v>
      </c>
      <c r="L2" s="11">
        <v>0.95099999999999996</v>
      </c>
      <c r="M2" s="8"/>
      <c r="N2" s="11">
        <v>0.94899999999999995</v>
      </c>
      <c r="O2" s="11">
        <v>0.93500000000000005</v>
      </c>
      <c r="P2" s="9"/>
      <c r="Q2" s="27">
        <v>0.95454000000000006</v>
      </c>
      <c r="R2" s="8">
        <v>0.82220000000000004</v>
      </c>
      <c r="S2" s="12">
        <v>1.0519000000000001</v>
      </c>
      <c r="T2" s="8">
        <v>0.96960000000000002</v>
      </c>
      <c r="U2" s="8">
        <v>1.028</v>
      </c>
      <c r="V2" s="16">
        <v>0.96399999999999997</v>
      </c>
      <c r="W2" s="16">
        <v>0.97658999999999996</v>
      </c>
      <c r="X2" s="16">
        <v>0.81481000000000003</v>
      </c>
    </row>
    <row r="3" spans="1:24" s="13" customFormat="1" ht="26.4" customHeight="1" thickTop="1" thickBot="1">
      <c r="A3" s="7">
        <v>2</v>
      </c>
      <c r="B3" s="8">
        <v>0.79930000000000001</v>
      </c>
      <c r="C3" s="8">
        <v>1.1257999999999999</v>
      </c>
      <c r="D3" s="8">
        <v>1.0471999999999999</v>
      </c>
      <c r="E3" s="14">
        <v>0.81</v>
      </c>
      <c r="F3" s="9"/>
      <c r="G3" s="8">
        <v>0.80420000000000003</v>
      </c>
      <c r="H3" s="8">
        <v>0.93730000000000002</v>
      </c>
      <c r="I3" s="8">
        <v>1.0681</v>
      </c>
      <c r="J3" s="10">
        <v>0.98939999999999995</v>
      </c>
      <c r="K3" s="8">
        <v>0.9607</v>
      </c>
      <c r="L3" s="11">
        <v>0.96</v>
      </c>
      <c r="M3" s="8"/>
      <c r="N3" s="11">
        <v>0.94899999999999995</v>
      </c>
      <c r="O3" s="11">
        <v>0.93500000000000005</v>
      </c>
      <c r="P3" s="9"/>
      <c r="Q3" s="27">
        <v>0.95454000000000006</v>
      </c>
      <c r="R3" s="8">
        <v>0.82120000000000004</v>
      </c>
      <c r="S3" s="12">
        <v>1.0511999999999999</v>
      </c>
      <c r="T3" s="8">
        <v>0.96870000000000001</v>
      </c>
      <c r="U3" s="8">
        <v>1.028</v>
      </c>
      <c r="V3" s="16">
        <v>0.96399999999999997</v>
      </c>
      <c r="W3" s="16">
        <v>0.97658999999999996</v>
      </c>
      <c r="X3" s="16">
        <v>0.81481000000000003</v>
      </c>
    </row>
    <row r="4" spans="1:24" s="13" customFormat="1" ht="26.4" customHeight="1" thickTop="1" thickBot="1">
      <c r="A4" s="7">
        <v>3</v>
      </c>
      <c r="B4" s="8">
        <v>0.7984</v>
      </c>
      <c r="C4" s="8">
        <v>1.1251</v>
      </c>
      <c r="D4" s="8">
        <v>1.0463</v>
      </c>
      <c r="E4" s="8">
        <v>0.80910000000000004</v>
      </c>
      <c r="F4" s="9"/>
      <c r="G4" s="8">
        <v>0.80320000000000003</v>
      </c>
      <c r="H4" s="8">
        <v>0.93630000000000002</v>
      </c>
      <c r="I4" s="14">
        <v>1.0669999999999999</v>
      </c>
      <c r="J4" s="10">
        <v>0.98939999999999995</v>
      </c>
      <c r="K4" s="8">
        <v>0.95989999999999998</v>
      </c>
      <c r="L4" s="11">
        <v>0.95899999999999996</v>
      </c>
      <c r="M4" s="8"/>
      <c r="N4" s="11">
        <v>0.94899999999999995</v>
      </c>
      <c r="O4" s="11">
        <v>0.93500000000000005</v>
      </c>
      <c r="P4" s="9"/>
      <c r="Q4" s="27">
        <v>0.95454000000000006</v>
      </c>
      <c r="R4" s="8">
        <v>0.82020000000000004</v>
      </c>
      <c r="S4" s="12">
        <v>1.0504</v>
      </c>
      <c r="T4" s="8">
        <v>0.96789999999999998</v>
      </c>
      <c r="U4" s="8">
        <v>1.028</v>
      </c>
      <c r="V4" s="16">
        <v>0.96399999999999997</v>
      </c>
      <c r="W4" s="16">
        <v>0.97658999999999996</v>
      </c>
      <c r="X4" s="16">
        <v>0.81481000000000003</v>
      </c>
    </row>
    <row r="5" spans="1:24" s="13" customFormat="1" ht="24" customHeight="1" thickTop="1" thickBot="1">
      <c r="A5" s="7">
        <v>4</v>
      </c>
      <c r="B5" s="8">
        <v>0.79749999999999999</v>
      </c>
      <c r="C5" s="8">
        <v>1.1245000000000001</v>
      </c>
      <c r="D5" s="8">
        <v>1.0454000000000001</v>
      </c>
      <c r="E5" s="8">
        <v>0.80820000000000003</v>
      </c>
      <c r="F5" s="9"/>
      <c r="G5" s="8">
        <v>0.80220000000000002</v>
      </c>
      <c r="H5" s="8">
        <v>0.93530000000000002</v>
      </c>
      <c r="I5" s="8">
        <v>1.0658000000000001</v>
      </c>
      <c r="J5" s="10">
        <v>0.98939999999999995</v>
      </c>
      <c r="K5" s="8">
        <v>0.95899999999999996</v>
      </c>
      <c r="L5" s="11">
        <v>0.95799999999999996</v>
      </c>
      <c r="M5" s="8"/>
      <c r="N5" s="11">
        <v>0.94899999999999995</v>
      </c>
      <c r="O5" s="11">
        <v>0.93500000000000005</v>
      </c>
      <c r="P5" s="9"/>
      <c r="Q5" s="27">
        <v>0.95454000000000006</v>
      </c>
      <c r="R5" s="8">
        <v>0.81920000000000004</v>
      </c>
      <c r="S5" s="12">
        <v>1.0497000000000001</v>
      </c>
      <c r="T5" s="8">
        <v>0.96699999999999997</v>
      </c>
      <c r="U5" s="8">
        <v>1.028</v>
      </c>
      <c r="V5" s="16">
        <v>0.96399999999999997</v>
      </c>
      <c r="W5" s="16">
        <v>0.97658999999999996</v>
      </c>
      <c r="X5" s="16">
        <v>0.81481000000000003</v>
      </c>
    </row>
    <row r="6" spans="1:24" ht="22.5" customHeight="1" thickTop="1" thickBot="1">
      <c r="A6" s="15">
        <v>5</v>
      </c>
      <c r="B6" s="16">
        <v>0.79659999999999997</v>
      </c>
      <c r="C6" s="16">
        <v>1.1237999999999999</v>
      </c>
      <c r="D6" s="16">
        <v>1.0445</v>
      </c>
      <c r="E6" s="16">
        <v>0.80730000000000002</v>
      </c>
      <c r="F6" s="17"/>
      <c r="G6" s="16">
        <v>0.80120000000000002</v>
      </c>
      <c r="H6" s="16">
        <v>0.93440000000000001</v>
      </c>
      <c r="I6" s="16">
        <v>1.0647</v>
      </c>
      <c r="J6" s="16">
        <v>0.98939999999999995</v>
      </c>
      <c r="K6" s="16">
        <v>0.95820000000000005</v>
      </c>
      <c r="L6" s="16">
        <v>0.95699999999999996</v>
      </c>
      <c r="M6" s="18"/>
      <c r="N6" s="18">
        <v>0.94899999999999995</v>
      </c>
      <c r="O6" s="18">
        <v>0.93500000000000005</v>
      </c>
      <c r="P6" s="19"/>
      <c r="Q6" s="27">
        <v>0.95454000000000006</v>
      </c>
      <c r="R6" s="18">
        <v>0.81820000000000004</v>
      </c>
      <c r="S6" s="20">
        <v>1.0488</v>
      </c>
      <c r="T6" s="16">
        <v>0.96609999999999996</v>
      </c>
      <c r="U6" s="16">
        <v>1.028</v>
      </c>
      <c r="V6" s="16">
        <v>0.96399999999999997</v>
      </c>
      <c r="W6" s="16">
        <v>0.97658999999999996</v>
      </c>
      <c r="X6" s="16">
        <v>0.81481000000000003</v>
      </c>
    </row>
    <row r="7" spans="1:24" ht="22.5" customHeight="1" thickTop="1" thickBot="1">
      <c r="A7" s="21">
        <v>6</v>
      </c>
      <c r="B7" s="22">
        <v>0.79569999999999996</v>
      </c>
      <c r="C7" s="22">
        <v>1.123</v>
      </c>
      <c r="D7" s="22">
        <v>1.0436000000000001</v>
      </c>
      <c r="E7" s="22">
        <v>0.80620000000000003</v>
      </c>
      <c r="F7" s="22"/>
      <c r="G7" s="22">
        <v>0.80020000000000002</v>
      </c>
      <c r="H7" s="22">
        <v>0.93340000000000001</v>
      </c>
      <c r="I7" s="22">
        <v>1.0636000000000001</v>
      </c>
      <c r="J7" s="22">
        <v>0.98939999999999995</v>
      </c>
      <c r="K7" s="22">
        <v>0.95730000000000004</v>
      </c>
      <c r="L7" s="22">
        <v>0.95599999999999996</v>
      </c>
      <c r="M7" s="16">
        <v>0.88029999999999997</v>
      </c>
      <c r="N7" s="23">
        <v>0.94799999999999995</v>
      </c>
      <c r="O7" s="23">
        <v>0.93500000000000005</v>
      </c>
      <c r="P7" s="24"/>
      <c r="Q7" s="27">
        <v>0.95454000000000006</v>
      </c>
      <c r="R7" s="23">
        <v>0.81720000000000004</v>
      </c>
      <c r="S7" s="25">
        <v>1.0481</v>
      </c>
      <c r="T7" s="22">
        <v>0.96509999999999996</v>
      </c>
      <c r="U7" s="8">
        <v>1.028</v>
      </c>
      <c r="V7" s="16">
        <v>0.96399999999999997</v>
      </c>
      <c r="W7" s="16">
        <v>0.9758</v>
      </c>
      <c r="X7" s="16">
        <v>0.81481000000000003</v>
      </c>
    </row>
    <row r="8" spans="1:24" ht="22.5" customHeight="1" thickTop="1" thickBot="1">
      <c r="A8" s="26">
        <v>7</v>
      </c>
      <c r="B8" s="27">
        <v>0.79479999999999995</v>
      </c>
      <c r="C8" s="27">
        <v>1.1222000000000001</v>
      </c>
      <c r="D8" s="27">
        <v>1.0427</v>
      </c>
      <c r="E8" s="27">
        <v>0.80510000000000004</v>
      </c>
      <c r="F8" s="27"/>
      <c r="G8" s="28">
        <v>0.79920000000000002</v>
      </c>
      <c r="H8" s="28">
        <v>0.9325</v>
      </c>
      <c r="I8" s="28">
        <v>1.0625</v>
      </c>
      <c r="J8" s="28">
        <v>0.98939999999999995</v>
      </c>
      <c r="K8" s="28">
        <v>0.95640000000000003</v>
      </c>
      <c r="L8" s="28">
        <v>0.95499999999999996</v>
      </c>
      <c r="M8" s="22">
        <v>0.88029999999999997</v>
      </c>
      <c r="N8" s="28">
        <v>0.94799999999999995</v>
      </c>
      <c r="O8" s="28">
        <v>0.93500000000000005</v>
      </c>
      <c r="P8" s="29"/>
      <c r="Q8" s="27">
        <v>0.95454000000000006</v>
      </c>
      <c r="R8" s="28">
        <v>0.81620000000000004</v>
      </c>
      <c r="S8" s="25">
        <v>1.0472999999999999</v>
      </c>
      <c r="T8" s="22">
        <v>0.96430000000000005</v>
      </c>
      <c r="U8" s="8">
        <v>1.028</v>
      </c>
      <c r="V8" s="16">
        <v>0.96399999999999997</v>
      </c>
      <c r="W8" s="16">
        <v>0.97501000000000004</v>
      </c>
      <c r="X8" s="16">
        <v>0.81481000000000003</v>
      </c>
    </row>
    <row r="9" spans="1:24" ht="22.5" customHeight="1" thickTop="1" thickBot="1">
      <c r="A9" s="26">
        <v>8</v>
      </c>
      <c r="B9" s="27">
        <v>0.79400000000000004</v>
      </c>
      <c r="C9" s="27">
        <v>1.1214</v>
      </c>
      <c r="D9" s="27">
        <v>1.0418000000000001</v>
      </c>
      <c r="E9" s="27">
        <v>0.80389999999999995</v>
      </c>
      <c r="F9" s="27"/>
      <c r="G9" s="27">
        <v>0.79820000000000002</v>
      </c>
      <c r="H9" s="27">
        <v>0.93149999999999999</v>
      </c>
      <c r="I9" s="27">
        <v>1.0613999999999999</v>
      </c>
      <c r="J9" s="27">
        <v>0.98939999999999995</v>
      </c>
      <c r="K9" s="27">
        <v>0.9556</v>
      </c>
      <c r="L9" s="27">
        <v>0.95399999999999996</v>
      </c>
      <c r="M9" s="27">
        <v>0.88029999999999997</v>
      </c>
      <c r="N9" s="28">
        <v>0.94799999999999995</v>
      </c>
      <c r="O9" s="28">
        <v>0.93500000000000005</v>
      </c>
      <c r="P9" s="29"/>
      <c r="Q9" s="27">
        <v>0.95454000000000006</v>
      </c>
      <c r="R9" s="28">
        <v>0.81520000000000004</v>
      </c>
      <c r="S9" s="27">
        <v>1.0465</v>
      </c>
      <c r="T9" s="22">
        <v>0.96330000000000005</v>
      </c>
      <c r="U9" s="8">
        <v>1.028</v>
      </c>
      <c r="V9" s="16">
        <v>0.96399999999999997</v>
      </c>
      <c r="W9" s="16">
        <v>0.97422000000000009</v>
      </c>
      <c r="X9" s="16">
        <v>0.81481000000000003</v>
      </c>
    </row>
    <row r="10" spans="1:24" ht="22.5" customHeight="1" thickTop="1" thickBot="1">
      <c r="A10" s="26">
        <v>9</v>
      </c>
      <c r="B10" s="27">
        <v>0.79310000000000003</v>
      </c>
      <c r="C10" s="27">
        <v>1.1206</v>
      </c>
      <c r="D10" s="27">
        <v>1.0408999999999999</v>
      </c>
      <c r="E10" s="27">
        <v>0.80269999999999997</v>
      </c>
      <c r="F10" s="27"/>
      <c r="G10" s="27">
        <v>0.79720000000000002</v>
      </c>
      <c r="H10" s="27">
        <v>0.93059999999999998</v>
      </c>
      <c r="I10" s="27">
        <v>1.0602</v>
      </c>
      <c r="J10" s="27">
        <v>0.98939999999999995</v>
      </c>
      <c r="K10" s="27">
        <v>0.95469999999999999</v>
      </c>
      <c r="L10" s="27">
        <v>0.95299999999999996</v>
      </c>
      <c r="M10" s="27">
        <v>0.88029999999999997</v>
      </c>
      <c r="N10" s="27">
        <v>0.94799999999999995</v>
      </c>
      <c r="O10" s="27">
        <v>0.93400000000000005</v>
      </c>
      <c r="P10" s="30"/>
      <c r="Q10" s="27">
        <v>0.95454000000000006</v>
      </c>
      <c r="R10" s="27">
        <v>0.81420000000000003</v>
      </c>
      <c r="S10" s="27">
        <v>1.0458000000000001</v>
      </c>
      <c r="T10" s="27">
        <v>0.96230000000000004</v>
      </c>
      <c r="U10" s="8">
        <v>1.028</v>
      </c>
      <c r="V10" s="16">
        <v>0.96399999999999997</v>
      </c>
      <c r="W10" s="16">
        <v>0.97343000000000013</v>
      </c>
      <c r="X10" s="16">
        <v>0.81481000000000003</v>
      </c>
    </row>
    <row r="11" spans="1:24" ht="22.5" customHeight="1" thickTop="1" thickBot="1">
      <c r="A11" s="15">
        <v>10</v>
      </c>
      <c r="B11" s="16">
        <v>0.7923</v>
      </c>
      <c r="C11" s="16">
        <v>1.1197999999999999</v>
      </c>
      <c r="D11" s="16">
        <v>1.04</v>
      </c>
      <c r="E11" s="16">
        <v>0.80159999999999998</v>
      </c>
      <c r="F11" s="16">
        <v>0.94240000000000002</v>
      </c>
      <c r="G11" s="16">
        <v>0.97619999999999996</v>
      </c>
      <c r="H11" s="16">
        <v>0.92969999999999997</v>
      </c>
      <c r="I11" s="16">
        <v>1.0590999999999999</v>
      </c>
      <c r="J11" s="16">
        <v>0.98850000000000005</v>
      </c>
      <c r="K11" s="16">
        <v>0.95379999999999998</v>
      </c>
      <c r="L11" s="16">
        <v>0.95199999999999996</v>
      </c>
      <c r="M11" s="16">
        <v>0.88029999999999997</v>
      </c>
      <c r="N11" s="16">
        <v>0.94799999999999995</v>
      </c>
      <c r="O11" s="16">
        <v>0.93400000000000005</v>
      </c>
      <c r="P11" s="16">
        <v>0.94511999999999996</v>
      </c>
      <c r="Q11" s="27">
        <v>0.95454000000000006</v>
      </c>
      <c r="R11" s="16">
        <v>0.81320000000000003</v>
      </c>
      <c r="S11" s="16">
        <v>1.0449999999999999</v>
      </c>
      <c r="T11" s="16">
        <v>0.96140000000000003</v>
      </c>
      <c r="U11" s="16">
        <v>1.028</v>
      </c>
      <c r="V11" s="16">
        <v>0.96399999999999997</v>
      </c>
      <c r="W11" s="16">
        <v>0.97264000000000017</v>
      </c>
      <c r="X11" s="16">
        <v>0.81481000000000003</v>
      </c>
    </row>
    <row r="12" spans="1:24" ht="22.5" customHeight="1" thickTop="1" thickBot="1">
      <c r="A12" s="21">
        <v>11</v>
      </c>
      <c r="B12" s="22">
        <v>0.79139999999999999</v>
      </c>
      <c r="C12" s="22">
        <v>1.119</v>
      </c>
      <c r="D12" s="22">
        <v>1.0390999999999999</v>
      </c>
      <c r="E12" s="22">
        <v>0.8004</v>
      </c>
      <c r="F12" s="22">
        <v>0.94155</v>
      </c>
      <c r="G12" s="22">
        <v>0.97519999999999996</v>
      </c>
      <c r="H12" s="22">
        <v>0.92869999999999997</v>
      </c>
      <c r="I12" s="22">
        <v>1.0580000000000001</v>
      </c>
      <c r="J12" s="22">
        <v>0.98770000000000002</v>
      </c>
      <c r="K12" s="22">
        <v>0.95299999999999996</v>
      </c>
      <c r="L12" s="22">
        <v>0.95099999999999996</v>
      </c>
      <c r="M12" s="22">
        <v>0.88029999999999997</v>
      </c>
      <c r="N12" s="22">
        <v>0.94</v>
      </c>
      <c r="O12" s="22">
        <v>0.93400000000000005</v>
      </c>
      <c r="P12" s="22">
        <v>0.94420000000000004</v>
      </c>
      <c r="Q12" s="27">
        <v>0.95454000000000006</v>
      </c>
      <c r="R12" s="31">
        <v>0.81220000000000003</v>
      </c>
      <c r="S12" s="22">
        <v>1.0442</v>
      </c>
      <c r="T12" s="22">
        <v>0.96040000000000003</v>
      </c>
      <c r="U12" s="8">
        <v>1.028</v>
      </c>
      <c r="V12" s="16">
        <v>0.96399999999999997</v>
      </c>
      <c r="W12" s="16">
        <v>0.97192000000000012</v>
      </c>
      <c r="X12" s="16">
        <v>0.8145</v>
      </c>
    </row>
    <row r="13" spans="1:24" ht="22.5" customHeight="1" thickTop="1" thickBot="1">
      <c r="A13" s="26">
        <v>12</v>
      </c>
      <c r="B13" s="27">
        <v>0.79059999999999997</v>
      </c>
      <c r="C13" s="27">
        <v>1.1182000000000001</v>
      </c>
      <c r="D13" s="27">
        <v>1.0383</v>
      </c>
      <c r="E13" s="27">
        <v>0.79930000000000001</v>
      </c>
      <c r="F13" s="27">
        <v>0.94059999999999999</v>
      </c>
      <c r="G13" s="27">
        <v>0.97419999999999995</v>
      </c>
      <c r="H13" s="27">
        <v>0.92769999999999997</v>
      </c>
      <c r="I13" s="27">
        <v>1.0569</v>
      </c>
      <c r="J13" s="27">
        <v>0.9869</v>
      </c>
      <c r="K13" s="27">
        <v>0.95209999999999995</v>
      </c>
      <c r="L13" s="27">
        <v>0.95</v>
      </c>
      <c r="M13" s="27">
        <v>0.88029999999999997</v>
      </c>
      <c r="N13" s="27">
        <v>0.94</v>
      </c>
      <c r="O13" s="27">
        <v>0.93400000000000005</v>
      </c>
      <c r="P13" s="27">
        <v>0.94320999999999999</v>
      </c>
      <c r="Q13" s="27">
        <v>0.95454000000000006</v>
      </c>
      <c r="R13" s="27">
        <v>0.81120000000000003</v>
      </c>
      <c r="S13" s="27">
        <v>1.0434000000000001</v>
      </c>
      <c r="T13" s="22">
        <v>0.96050000000000002</v>
      </c>
      <c r="U13" s="8">
        <v>1.028</v>
      </c>
      <c r="V13" s="16">
        <v>0.96399999999999997</v>
      </c>
      <c r="W13" s="16">
        <v>0.97120000000000006</v>
      </c>
      <c r="X13" s="16">
        <v>0.81410000000000005</v>
      </c>
    </row>
    <row r="14" spans="1:24" ht="22.5" customHeight="1" thickTop="1" thickBot="1">
      <c r="A14" s="26">
        <v>13</v>
      </c>
      <c r="B14" s="27">
        <v>0.78969999999999996</v>
      </c>
      <c r="C14" s="27">
        <v>1.1173999999999999</v>
      </c>
      <c r="D14" s="27">
        <v>1.0374000000000001</v>
      </c>
      <c r="E14" s="27">
        <v>0.79810000000000003</v>
      </c>
      <c r="F14" s="27">
        <v>0.93964999999999999</v>
      </c>
      <c r="G14" s="27">
        <v>0.97319999999999995</v>
      </c>
      <c r="H14" s="27">
        <v>0.92669999999999997</v>
      </c>
      <c r="I14" s="27">
        <v>1.0558000000000001</v>
      </c>
      <c r="J14" s="27">
        <v>0.98609999999999998</v>
      </c>
      <c r="K14" s="27">
        <v>0.95130000000000003</v>
      </c>
      <c r="L14" s="27">
        <v>0.94899999999999995</v>
      </c>
      <c r="M14" s="27">
        <v>0.88029999999999997</v>
      </c>
      <c r="N14" s="27">
        <v>0.94</v>
      </c>
      <c r="O14" s="27">
        <v>0.93400000000000005</v>
      </c>
      <c r="P14" s="27">
        <v>0.94220999999999999</v>
      </c>
      <c r="Q14" s="27">
        <v>0.95454000000000006</v>
      </c>
      <c r="R14" s="27">
        <v>0.81020000000000003</v>
      </c>
      <c r="S14" s="27">
        <v>1.0427</v>
      </c>
      <c r="T14" s="22">
        <v>0.95950000000000002</v>
      </c>
      <c r="U14" s="8">
        <v>1.028</v>
      </c>
      <c r="V14" s="16">
        <v>0.96399999999999997</v>
      </c>
      <c r="W14" s="16">
        <v>0.97048000000000001</v>
      </c>
      <c r="X14" s="16">
        <v>0.81369999999999998</v>
      </c>
    </row>
    <row r="15" spans="1:24" ht="22.5" customHeight="1" thickTop="1" thickBot="1">
      <c r="A15" s="32">
        <v>14</v>
      </c>
      <c r="B15" s="33">
        <v>0.78890000000000005</v>
      </c>
      <c r="C15" s="33">
        <v>1.1166</v>
      </c>
      <c r="D15" s="33">
        <v>1.0365</v>
      </c>
      <c r="E15" s="27">
        <v>0.79700000000000004</v>
      </c>
      <c r="F15" s="27">
        <v>0.93937999999999999</v>
      </c>
      <c r="G15" s="27">
        <v>0.97219999999999995</v>
      </c>
      <c r="H15" s="27">
        <v>0.92569999999999997</v>
      </c>
      <c r="I15" s="27">
        <v>1.0546</v>
      </c>
      <c r="J15" s="27">
        <v>0.98529999999999995</v>
      </c>
      <c r="K15" s="27">
        <v>0.95040000000000002</v>
      </c>
      <c r="L15" s="27">
        <v>0.94799999999999995</v>
      </c>
      <c r="M15" s="27">
        <v>0.88029999999999997</v>
      </c>
      <c r="N15" s="27">
        <v>0.94</v>
      </c>
      <c r="O15" s="27">
        <v>0.93400000000000005</v>
      </c>
      <c r="P15" s="27">
        <v>0.94116999999999995</v>
      </c>
      <c r="Q15" s="27">
        <v>0.95454000000000006</v>
      </c>
      <c r="R15" s="27">
        <v>0.80920000000000003</v>
      </c>
      <c r="S15" s="27">
        <v>1.0419</v>
      </c>
      <c r="T15" s="27">
        <v>0.95850000000000002</v>
      </c>
      <c r="U15" s="8">
        <v>1.028</v>
      </c>
      <c r="V15" s="16">
        <v>0.96399999999999997</v>
      </c>
      <c r="W15" s="16">
        <v>0.96975999999999996</v>
      </c>
      <c r="X15" s="16">
        <v>0.81330000000000002</v>
      </c>
    </row>
    <row r="16" spans="1:24" ht="22.5" customHeight="1" thickTop="1" thickBot="1">
      <c r="A16" s="15">
        <v>15</v>
      </c>
      <c r="B16" s="16">
        <v>0.78800000000000003</v>
      </c>
      <c r="C16" s="16">
        <v>1.1157999999999999</v>
      </c>
      <c r="D16" s="16">
        <v>1.0356000000000001</v>
      </c>
      <c r="E16" s="16">
        <v>0.79469999999999996</v>
      </c>
      <c r="F16" s="16">
        <v>0.93791999999999998</v>
      </c>
      <c r="G16" s="16">
        <v>0.97119999999999995</v>
      </c>
      <c r="H16" s="16">
        <v>0.92469999999999997</v>
      </c>
      <c r="I16" s="16">
        <v>1.0535000000000001</v>
      </c>
      <c r="J16" s="16">
        <v>0.98450000000000004</v>
      </c>
      <c r="K16" s="34">
        <v>0.94950000000000001</v>
      </c>
      <c r="L16" s="16">
        <v>0.94699999999999995</v>
      </c>
      <c r="M16" s="16">
        <v>0.88029999999999997</v>
      </c>
      <c r="N16" s="16">
        <v>0.94</v>
      </c>
      <c r="O16" s="16">
        <v>0.93400000000000005</v>
      </c>
      <c r="P16" s="16">
        <v>0.94037000000000004</v>
      </c>
      <c r="Q16" s="27">
        <v>0.95454000000000006</v>
      </c>
      <c r="R16" s="16">
        <v>0.80830000000000002</v>
      </c>
      <c r="S16" s="16">
        <v>1.0411999999999999</v>
      </c>
      <c r="T16" s="16">
        <v>0.95750000000000002</v>
      </c>
      <c r="U16" s="16">
        <v>1.028</v>
      </c>
      <c r="V16" s="16">
        <v>0.96399999999999997</v>
      </c>
      <c r="W16" s="16">
        <v>0.9690399999999999</v>
      </c>
      <c r="X16" s="16">
        <v>0.81293000000000004</v>
      </c>
    </row>
    <row r="17" spans="1:24" ht="22.5" customHeight="1" thickTop="1" thickBot="1">
      <c r="A17" s="21">
        <v>16</v>
      </c>
      <c r="B17" s="22">
        <v>0.78720000000000001</v>
      </c>
      <c r="C17" s="22">
        <v>1.1152</v>
      </c>
      <c r="D17" s="22">
        <v>1.0347999999999999</v>
      </c>
      <c r="E17" s="22">
        <v>0.79359999999999997</v>
      </c>
      <c r="F17" s="22">
        <v>0.93676999999999999</v>
      </c>
      <c r="G17" s="22">
        <v>0.97</v>
      </c>
      <c r="H17" s="22">
        <v>0.92369999999999997</v>
      </c>
      <c r="I17" s="22">
        <v>1.0524</v>
      </c>
      <c r="J17" s="22">
        <v>0.98370000000000002</v>
      </c>
      <c r="K17" s="35">
        <v>0.9486</v>
      </c>
      <c r="L17" s="22">
        <v>0.94599999999999995</v>
      </c>
      <c r="M17" s="22">
        <v>0.88029999999999997</v>
      </c>
      <c r="N17" s="22">
        <v>0.94</v>
      </c>
      <c r="O17" s="22">
        <v>0.93400000000000005</v>
      </c>
      <c r="P17" s="22">
        <v>0.93915999999999999</v>
      </c>
      <c r="Q17" s="27">
        <v>0.9536</v>
      </c>
      <c r="R17" s="22">
        <v>0.80740000000000001</v>
      </c>
      <c r="S17" s="22">
        <v>1.0404</v>
      </c>
      <c r="T17" s="22">
        <v>0.95650000000000002</v>
      </c>
      <c r="U17" s="8">
        <v>1.028</v>
      </c>
      <c r="V17" s="16">
        <v>0.96399999999999997</v>
      </c>
      <c r="W17" s="16">
        <v>0.96829999999999994</v>
      </c>
      <c r="X17" s="16">
        <v>0.81200000000000006</v>
      </c>
    </row>
    <row r="18" spans="1:24" ht="22.5" customHeight="1" thickTop="1" thickBot="1">
      <c r="A18" s="26">
        <v>17</v>
      </c>
      <c r="B18" s="27">
        <v>0.78639999999999999</v>
      </c>
      <c r="C18" s="27">
        <v>1.1145</v>
      </c>
      <c r="D18" s="27">
        <v>1.0339</v>
      </c>
      <c r="E18" s="27">
        <v>0.79249999999999998</v>
      </c>
      <c r="F18" s="27">
        <v>0.93696999999999997</v>
      </c>
      <c r="G18" s="27">
        <v>0.96899999999999997</v>
      </c>
      <c r="H18" s="27">
        <v>0.92269999999999996</v>
      </c>
      <c r="I18" s="27">
        <v>1.0512999999999999</v>
      </c>
      <c r="J18" s="27">
        <v>0.98260000000000003</v>
      </c>
      <c r="K18" s="36">
        <v>0.94779999999999998</v>
      </c>
      <c r="L18" s="27">
        <v>0.94499999999999995</v>
      </c>
      <c r="M18" s="27">
        <v>0.88029999999999997</v>
      </c>
      <c r="N18" s="27">
        <v>0.94</v>
      </c>
      <c r="O18" s="27">
        <v>0.93400000000000005</v>
      </c>
      <c r="P18" s="27">
        <v>0.93815000000000004</v>
      </c>
      <c r="Q18" s="27">
        <v>0.95279999999999998</v>
      </c>
      <c r="R18" s="27">
        <v>0.80649999999999999</v>
      </c>
      <c r="S18" s="27">
        <v>1.0397000000000001</v>
      </c>
      <c r="T18" s="22">
        <v>0.95489999999999997</v>
      </c>
      <c r="U18" s="8">
        <v>1.028</v>
      </c>
      <c r="V18" s="16">
        <v>0.96399999999999997</v>
      </c>
      <c r="W18" s="16">
        <v>0.96755999999999998</v>
      </c>
      <c r="X18" s="16">
        <v>0.81110000000000004</v>
      </c>
    </row>
    <row r="19" spans="1:24" ht="22.5" customHeight="1" thickTop="1" thickBot="1">
      <c r="A19" s="26">
        <v>18</v>
      </c>
      <c r="B19" s="27">
        <v>0.78569999999999995</v>
      </c>
      <c r="C19" s="27">
        <v>1.1138999999999999</v>
      </c>
      <c r="D19" s="27">
        <v>1.0330999999999999</v>
      </c>
      <c r="E19" s="27">
        <v>0.79139999999999999</v>
      </c>
      <c r="F19" s="27">
        <v>0.93486000000000002</v>
      </c>
      <c r="G19" s="27">
        <v>0.96799999999999997</v>
      </c>
      <c r="H19" s="27">
        <v>0.92169999999999996</v>
      </c>
      <c r="I19" s="27">
        <v>1.0502</v>
      </c>
      <c r="J19" s="27">
        <v>0.98209999999999997</v>
      </c>
      <c r="K19" s="36">
        <v>0.94689999999999996</v>
      </c>
      <c r="L19" s="27">
        <v>0.94399999999999995</v>
      </c>
      <c r="M19" s="27">
        <v>0.88029999999999997</v>
      </c>
      <c r="N19" s="27">
        <v>0.94</v>
      </c>
      <c r="O19" s="27">
        <v>0.93400000000000005</v>
      </c>
      <c r="P19" s="27">
        <v>0.93713999999999997</v>
      </c>
      <c r="Q19" s="27">
        <v>0.95201000000000002</v>
      </c>
      <c r="R19" s="37">
        <v>0.80569999999999997</v>
      </c>
      <c r="S19" s="27">
        <v>1.0389999999999999</v>
      </c>
      <c r="T19" s="22">
        <v>0.95320000000000005</v>
      </c>
      <c r="U19" s="8">
        <v>1.028</v>
      </c>
      <c r="V19" s="16">
        <v>0.96399999999999997</v>
      </c>
      <c r="W19" s="16">
        <v>0.96682000000000001</v>
      </c>
      <c r="X19" s="16">
        <v>0.81020000000000003</v>
      </c>
    </row>
    <row r="20" spans="1:24" ht="22.5" customHeight="1" thickTop="1" thickBot="1">
      <c r="A20" s="26">
        <v>19</v>
      </c>
      <c r="B20" s="27">
        <v>0.78490000000000004</v>
      </c>
      <c r="C20" s="27">
        <v>1.1132</v>
      </c>
      <c r="D20" s="27">
        <v>1.0322</v>
      </c>
      <c r="E20" s="27">
        <v>0.7903</v>
      </c>
      <c r="F20" s="27">
        <v>0.93391000000000002</v>
      </c>
      <c r="G20" s="27">
        <v>0.96699999999999997</v>
      </c>
      <c r="H20" s="27">
        <v>0.92069999999999996</v>
      </c>
      <c r="I20" s="27">
        <v>1.0489999999999999</v>
      </c>
      <c r="J20" s="27">
        <v>0.98129999999999995</v>
      </c>
      <c r="K20" s="36">
        <v>0.94599999999999995</v>
      </c>
      <c r="L20" s="27">
        <v>0.94299999999999995</v>
      </c>
      <c r="M20" s="27">
        <v>0.88029999999999997</v>
      </c>
      <c r="N20" s="27">
        <v>0.94</v>
      </c>
      <c r="O20" s="27">
        <v>0.93400000000000005</v>
      </c>
      <c r="P20" s="27">
        <v>0.93613000000000002</v>
      </c>
      <c r="Q20" s="27">
        <v>0.95123000000000002</v>
      </c>
      <c r="R20" s="37">
        <v>0.80479999999999996</v>
      </c>
      <c r="S20" s="27">
        <v>1.0371999999999999</v>
      </c>
      <c r="T20" s="22">
        <v>0.9516</v>
      </c>
      <c r="U20" s="8">
        <v>1.028</v>
      </c>
      <c r="V20" s="16">
        <v>0.96399999999999997</v>
      </c>
      <c r="W20" s="16">
        <v>0.96608000000000005</v>
      </c>
      <c r="X20" s="16">
        <v>0.80920000000000003</v>
      </c>
    </row>
    <row r="21" spans="1:24" ht="22.5" customHeight="1" thickTop="1" thickBot="1">
      <c r="A21" s="38">
        <v>20</v>
      </c>
      <c r="B21" s="28">
        <v>0.78410000000000002</v>
      </c>
      <c r="C21" s="28">
        <v>1.1126</v>
      </c>
      <c r="D21" s="28">
        <v>1.0314000000000001</v>
      </c>
      <c r="E21" s="18">
        <v>0.78920000000000001</v>
      </c>
      <c r="F21" s="16">
        <v>0.93288000000000004</v>
      </c>
      <c r="G21" s="18">
        <v>0.96589999999999998</v>
      </c>
      <c r="H21" s="18">
        <v>0.91969999999999996</v>
      </c>
      <c r="I21" s="18">
        <v>1.0479000000000001</v>
      </c>
      <c r="J21" s="18">
        <v>0.98050000000000004</v>
      </c>
      <c r="K21" s="39">
        <v>0.94520000000000004</v>
      </c>
      <c r="L21" s="18">
        <v>0.94199999999999995</v>
      </c>
      <c r="M21" s="40">
        <v>0.88029999999999997</v>
      </c>
      <c r="N21" s="18">
        <v>0.94</v>
      </c>
      <c r="O21" s="18">
        <v>0.93</v>
      </c>
      <c r="P21" s="16">
        <v>0.93506</v>
      </c>
      <c r="Q21" s="27">
        <v>0.95038</v>
      </c>
      <c r="R21" s="41">
        <v>0.80369999999999997</v>
      </c>
      <c r="S21" s="18">
        <v>1.0363899999999999</v>
      </c>
      <c r="T21" s="16">
        <v>0.95</v>
      </c>
      <c r="U21" s="16">
        <v>1.028</v>
      </c>
      <c r="V21" s="16">
        <v>0.96399999999999997</v>
      </c>
      <c r="W21" s="16">
        <v>0.96534000000000009</v>
      </c>
      <c r="X21" s="16">
        <v>0.80813999999999997</v>
      </c>
    </row>
    <row r="22" spans="1:24" ht="22.5" customHeight="1" thickTop="1" thickBot="1">
      <c r="A22" s="42">
        <v>21</v>
      </c>
      <c r="B22" s="43">
        <v>0.78320000000000001</v>
      </c>
      <c r="C22" s="43">
        <v>1.1119000000000001</v>
      </c>
      <c r="D22" s="43">
        <v>1.0305</v>
      </c>
      <c r="E22" s="22">
        <v>0.78800000000000003</v>
      </c>
      <c r="F22" s="22">
        <v>0.93198000000000003</v>
      </c>
      <c r="G22" s="22">
        <v>0.96489999999999998</v>
      </c>
      <c r="H22" s="22">
        <v>0.91879999999999995</v>
      </c>
      <c r="I22" s="22">
        <v>1.0468</v>
      </c>
      <c r="J22" s="22">
        <v>0.97960000000000003</v>
      </c>
      <c r="K22" s="35">
        <v>0.94430000000000003</v>
      </c>
      <c r="L22" s="22">
        <v>0.94099999999999995</v>
      </c>
      <c r="M22" s="44">
        <v>0.87909999999999999</v>
      </c>
      <c r="N22" s="22">
        <v>0.94</v>
      </c>
      <c r="O22" s="22">
        <v>0.93</v>
      </c>
      <c r="P22" s="16">
        <v>0.93506</v>
      </c>
      <c r="Q22" s="27">
        <v>0.94969000000000003</v>
      </c>
      <c r="R22" s="31">
        <v>0.80289999999999995</v>
      </c>
      <c r="S22" s="22">
        <v>1.03566</v>
      </c>
      <c r="T22" s="22">
        <v>0.94889999999999997</v>
      </c>
      <c r="U22" s="8">
        <v>1.028</v>
      </c>
      <c r="V22" s="8">
        <v>0.96079999999999999</v>
      </c>
      <c r="W22" s="52">
        <v>0.96470000000000011</v>
      </c>
      <c r="X22" s="52">
        <v>0.80730000000000002</v>
      </c>
    </row>
    <row r="23" spans="1:24" ht="22.5" customHeight="1" thickTop="1">
      <c r="A23" s="26">
        <v>22</v>
      </c>
      <c r="B23" s="27">
        <v>0.7823</v>
      </c>
      <c r="C23" s="27">
        <v>1.1111</v>
      </c>
      <c r="D23" s="27">
        <v>1.0295000000000001</v>
      </c>
      <c r="E23" s="27">
        <v>0.78680000000000005</v>
      </c>
      <c r="F23" s="27">
        <v>0.93115999999999999</v>
      </c>
      <c r="G23" s="27">
        <v>0.96379999999999999</v>
      </c>
      <c r="H23" s="27">
        <v>0.91779999999999995</v>
      </c>
      <c r="I23" s="27">
        <v>1.0457000000000001</v>
      </c>
      <c r="J23" s="27">
        <v>0.9788</v>
      </c>
      <c r="K23" s="36">
        <v>0.94330000000000003</v>
      </c>
      <c r="L23" s="27">
        <v>0.94</v>
      </c>
      <c r="M23" s="45">
        <v>0.878</v>
      </c>
      <c r="N23" s="27">
        <v>0.93200000000000005</v>
      </c>
      <c r="O23" s="27">
        <v>0.93</v>
      </c>
      <c r="P23" s="27">
        <v>0.93327000000000004</v>
      </c>
      <c r="Q23" s="27">
        <v>0.94908999999999999</v>
      </c>
      <c r="R23" s="37">
        <v>0.80179999999999996</v>
      </c>
      <c r="S23" s="27">
        <v>1.0349299999999999</v>
      </c>
      <c r="T23" s="22">
        <v>0.94730000000000003</v>
      </c>
      <c r="U23" s="8">
        <v>1.028</v>
      </c>
      <c r="V23" s="8">
        <v>0.96079999999999999</v>
      </c>
      <c r="W23" s="52">
        <v>0.96406000000000014</v>
      </c>
      <c r="X23" s="52">
        <v>0.80669999999999997</v>
      </c>
    </row>
    <row r="24" spans="1:24" ht="22.5" customHeight="1">
      <c r="A24" s="26">
        <v>23</v>
      </c>
      <c r="B24" s="27">
        <v>0.78139999999999998</v>
      </c>
      <c r="C24" s="27">
        <v>1.1104000000000001</v>
      </c>
      <c r="D24" s="27">
        <v>1.0286</v>
      </c>
      <c r="E24" s="27">
        <v>0.78559999999999997</v>
      </c>
      <c r="F24" s="27">
        <v>0.93006999999999995</v>
      </c>
      <c r="G24" s="27">
        <v>0.96220000000000006</v>
      </c>
      <c r="H24" s="27">
        <v>0.91669999999999996</v>
      </c>
      <c r="I24" s="27">
        <v>1.0446</v>
      </c>
      <c r="J24" s="27">
        <v>0.97799999999999998</v>
      </c>
      <c r="K24" s="36">
        <v>0.94240000000000002</v>
      </c>
      <c r="L24" s="27">
        <v>0.93899999999999995</v>
      </c>
      <c r="M24" s="45">
        <v>0.877</v>
      </c>
      <c r="N24" s="27">
        <v>0.93200000000000005</v>
      </c>
      <c r="O24" s="27">
        <v>0.93</v>
      </c>
      <c r="P24" s="27">
        <v>0.93208999999999997</v>
      </c>
      <c r="Q24" s="27">
        <v>0.94820000000000004</v>
      </c>
      <c r="R24" s="37">
        <v>0.80089999999999995</v>
      </c>
      <c r="S24" s="27">
        <v>1.0341899999999999</v>
      </c>
      <c r="T24" s="22">
        <v>0.94599999999999995</v>
      </c>
      <c r="U24" s="8">
        <v>1.0269999999999999</v>
      </c>
      <c r="V24" s="8">
        <v>0.96079999999999999</v>
      </c>
      <c r="W24" s="52">
        <v>0.96342000000000017</v>
      </c>
      <c r="X24" s="52">
        <v>0.80610000000000004</v>
      </c>
    </row>
    <row r="25" spans="1:24" ht="22.5" customHeight="1">
      <c r="A25" s="26">
        <v>24</v>
      </c>
      <c r="B25" s="27">
        <v>0.78049999999999997</v>
      </c>
      <c r="C25" s="27">
        <v>1.1095999999999999</v>
      </c>
      <c r="D25" s="27">
        <v>1.0276000000000001</v>
      </c>
      <c r="E25" s="27">
        <v>0.78439999999999999</v>
      </c>
      <c r="F25" s="27">
        <v>0.92910000000000004</v>
      </c>
      <c r="G25" s="27">
        <v>0.96120000000000005</v>
      </c>
      <c r="H25" s="27">
        <v>0.91569999999999996</v>
      </c>
      <c r="I25" s="27">
        <v>1.0434000000000001</v>
      </c>
      <c r="J25" s="27">
        <v>0.97719999999999996</v>
      </c>
      <c r="K25" s="36">
        <v>0.9415</v>
      </c>
      <c r="L25" s="27">
        <v>0.93799999999999994</v>
      </c>
      <c r="M25" s="45">
        <v>0.87590000000000001</v>
      </c>
      <c r="N25" s="27">
        <v>0.93200000000000005</v>
      </c>
      <c r="O25" s="27">
        <v>0.93</v>
      </c>
      <c r="P25" s="27">
        <v>0.93159999999999998</v>
      </c>
      <c r="Q25" s="27">
        <v>0.94747000000000003</v>
      </c>
      <c r="R25" s="37">
        <v>0.8</v>
      </c>
      <c r="S25" s="27">
        <v>1.03346</v>
      </c>
      <c r="T25" s="22">
        <v>0.9446</v>
      </c>
      <c r="U25" s="8">
        <v>1.026</v>
      </c>
      <c r="V25" s="8">
        <v>0.96079999999999999</v>
      </c>
      <c r="W25" s="52">
        <v>0.96278000000000019</v>
      </c>
      <c r="X25" s="52">
        <v>0.80549999999999999</v>
      </c>
    </row>
    <row r="26" spans="1:24" ht="22.5" customHeight="1" thickBot="1">
      <c r="A26" s="46">
        <v>25</v>
      </c>
      <c r="B26" s="18">
        <v>0.77959999999999996</v>
      </c>
      <c r="C26" s="18">
        <v>1.1089</v>
      </c>
      <c r="D26" s="18">
        <v>1.0266999999999999</v>
      </c>
      <c r="E26" s="18">
        <v>0.78320000000000001</v>
      </c>
      <c r="F26" s="16">
        <v>0.92813000000000001</v>
      </c>
      <c r="G26" s="18">
        <v>0.96020000000000005</v>
      </c>
      <c r="H26" s="18">
        <v>0.91469999999999996</v>
      </c>
      <c r="I26" s="18">
        <v>1.0423</v>
      </c>
      <c r="J26" s="18">
        <v>0.97640000000000005</v>
      </c>
      <c r="K26" s="39">
        <v>0.9405</v>
      </c>
      <c r="L26" s="18">
        <v>0.93700000000000006</v>
      </c>
      <c r="M26" s="40">
        <v>0.87509999999999999</v>
      </c>
      <c r="N26" s="18">
        <v>0.93</v>
      </c>
      <c r="O26" s="18">
        <v>0.92600000000000005</v>
      </c>
      <c r="P26" s="16">
        <v>0.93084</v>
      </c>
      <c r="Q26" s="27">
        <v>0.94674000000000003</v>
      </c>
      <c r="R26" s="41">
        <v>0.79910000000000003</v>
      </c>
      <c r="S26" s="18">
        <v>1.0327299999999999</v>
      </c>
      <c r="T26" s="16">
        <v>0.94330000000000003</v>
      </c>
      <c r="U26" s="16">
        <v>1.0249999999999999</v>
      </c>
      <c r="V26" s="8">
        <v>0.96079999999999999</v>
      </c>
      <c r="W26" s="52">
        <v>0.96214000000000022</v>
      </c>
      <c r="X26" s="52">
        <v>0.80493999999999999</v>
      </c>
    </row>
    <row r="27" spans="1:24" ht="22.5" customHeight="1" thickTop="1" thickBot="1">
      <c r="A27" s="21">
        <v>26</v>
      </c>
      <c r="B27" s="22">
        <v>0.77869999999999995</v>
      </c>
      <c r="C27" s="22">
        <v>1.1081000000000001</v>
      </c>
      <c r="D27" s="22">
        <v>1.0258</v>
      </c>
      <c r="E27" s="22">
        <v>0.78210000000000002</v>
      </c>
      <c r="F27" s="22">
        <v>0.92717000000000005</v>
      </c>
      <c r="G27" s="22">
        <v>0.95899999999999996</v>
      </c>
      <c r="H27" s="22">
        <v>0.91390000000000005</v>
      </c>
      <c r="I27" s="22">
        <v>1.0411999999999999</v>
      </c>
      <c r="J27" s="22">
        <v>0.97550000000000003</v>
      </c>
      <c r="K27" s="35">
        <v>0.93959999999999999</v>
      </c>
      <c r="L27" s="22">
        <v>0.93600000000000005</v>
      </c>
      <c r="M27" s="44">
        <v>0.87409999999999999</v>
      </c>
      <c r="N27" s="22">
        <v>0.93</v>
      </c>
      <c r="O27" s="22">
        <v>0.92600000000000005</v>
      </c>
      <c r="P27" s="22">
        <v>0.92906</v>
      </c>
      <c r="Q27" s="27">
        <v>0.94603000000000004</v>
      </c>
      <c r="R27" s="31">
        <v>0.79820000000000002</v>
      </c>
      <c r="S27" s="22">
        <v>1.031998</v>
      </c>
      <c r="T27" s="22">
        <v>0.94220000000000004</v>
      </c>
      <c r="U27" s="8">
        <v>1.024</v>
      </c>
      <c r="V27" s="16">
        <v>0.95760000000000001</v>
      </c>
      <c r="W27" s="52">
        <v>0.96155000000000024</v>
      </c>
      <c r="X27" s="52">
        <v>0.80459999999999998</v>
      </c>
    </row>
    <row r="28" spans="1:24" ht="22.5" customHeight="1" thickTop="1" thickBot="1">
      <c r="A28" s="26">
        <v>27</v>
      </c>
      <c r="B28" s="27">
        <v>0.77790000000000004</v>
      </c>
      <c r="C28" s="27">
        <v>1.1073999999999999</v>
      </c>
      <c r="D28" s="27">
        <v>1.0247999999999999</v>
      </c>
      <c r="E28" s="27">
        <v>0.78100000000000003</v>
      </c>
      <c r="F28" s="27">
        <v>0.92620999999999998</v>
      </c>
      <c r="G28" s="27">
        <v>0.95799999999999996</v>
      </c>
      <c r="H28" s="27">
        <v>0.91290000000000004</v>
      </c>
      <c r="I28" s="27">
        <v>1.0401</v>
      </c>
      <c r="J28" s="27">
        <v>0.97470000000000001</v>
      </c>
      <c r="K28" s="36">
        <v>0.93869999999999998</v>
      </c>
      <c r="L28" s="27">
        <v>0.93500000000000005</v>
      </c>
      <c r="M28" s="45">
        <v>0.87309999999999999</v>
      </c>
      <c r="N28" s="27">
        <v>0.93</v>
      </c>
      <c r="O28" s="27">
        <v>0.92600000000000005</v>
      </c>
      <c r="P28" s="27">
        <v>0.92805000000000004</v>
      </c>
      <c r="Q28" s="27">
        <v>0.94532000000000005</v>
      </c>
      <c r="R28" s="37">
        <v>0.79720000000000002</v>
      </c>
      <c r="S28" s="27">
        <v>1.031266</v>
      </c>
      <c r="T28" s="22">
        <v>0.94120000000000004</v>
      </c>
      <c r="U28" s="8">
        <v>1.0229999999999999</v>
      </c>
      <c r="V28" s="16">
        <v>0.95760000000000001</v>
      </c>
      <c r="W28" s="52">
        <v>0.96096000000000026</v>
      </c>
      <c r="X28" s="52">
        <v>0.80430000000000001</v>
      </c>
    </row>
    <row r="29" spans="1:24" ht="22.5" customHeight="1" thickTop="1" thickBot="1">
      <c r="A29" s="26">
        <v>28</v>
      </c>
      <c r="B29" s="27">
        <v>0.77700000000000002</v>
      </c>
      <c r="C29" s="27">
        <v>1.1066</v>
      </c>
      <c r="D29" s="27">
        <v>1.0239</v>
      </c>
      <c r="E29" s="27">
        <v>0.77980000000000005</v>
      </c>
      <c r="F29" s="27">
        <v>0.92527000000000004</v>
      </c>
      <c r="G29" s="27">
        <v>0.95699999999999996</v>
      </c>
      <c r="H29" s="27">
        <v>0.91200000000000003</v>
      </c>
      <c r="I29" s="27">
        <v>1.0389999999999999</v>
      </c>
      <c r="J29" s="27">
        <v>0.97389999999999999</v>
      </c>
      <c r="K29" s="36">
        <v>0.93779999999999997</v>
      </c>
      <c r="L29" s="27">
        <v>0.93400000000000005</v>
      </c>
      <c r="M29" s="45">
        <v>0.872</v>
      </c>
      <c r="N29" s="27">
        <v>0.93</v>
      </c>
      <c r="O29" s="27">
        <v>0.92600000000000005</v>
      </c>
      <c r="P29" s="27">
        <v>0.92706</v>
      </c>
      <c r="Q29" s="27">
        <v>0.94462000000000002</v>
      </c>
      <c r="R29" s="37">
        <v>0.79630000000000001</v>
      </c>
      <c r="S29" s="27">
        <v>1.0305340000000001</v>
      </c>
      <c r="T29" s="22">
        <v>0.94010000000000005</v>
      </c>
      <c r="U29" s="8">
        <v>1.022</v>
      </c>
      <c r="V29" s="16">
        <v>0.95760000000000001</v>
      </c>
      <c r="W29" s="52">
        <v>0.96037000000000028</v>
      </c>
      <c r="X29" s="52">
        <v>0.80400000000000005</v>
      </c>
    </row>
    <row r="30" spans="1:24" ht="22.5" customHeight="1" thickTop="1" thickBot="1">
      <c r="A30" s="26">
        <v>29</v>
      </c>
      <c r="B30" s="27">
        <v>0.7762</v>
      </c>
      <c r="C30" s="27">
        <v>1.1059000000000001</v>
      </c>
      <c r="D30" s="27">
        <v>1.0228999999999999</v>
      </c>
      <c r="E30" s="27">
        <v>0.77869999999999995</v>
      </c>
      <c r="F30" s="27">
        <v>0.92430000000000001</v>
      </c>
      <c r="G30" s="27">
        <v>0.95589999999999997</v>
      </c>
      <c r="H30" s="27">
        <v>0.91100000000000003</v>
      </c>
      <c r="I30" s="27">
        <v>1.0378000000000001</v>
      </c>
      <c r="J30" s="27">
        <v>0.97309999999999997</v>
      </c>
      <c r="K30" s="36">
        <v>0.93689999999999996</v>
      </c>
      <c r="L30" s="27">
        <v>0.93300000000000005</v>
      </c>
      <c r="M30" s="45">
        <v>0.871</v>
      </c>
      <c r="N30" s="27">
        <v>0.93</v>
      </c>
      <c r="O30" s="27">
        <v>0.92600000000000005</v>
      </c>
      <c r="P30" s="27">
        <v>0.92603000000000002</v>
      </c>
      <c r="Q30" s="27">
        <v>0.94393000000000005</v>
      </c>
      <c r="R30" s="37">
        <v>0.79549999999999998</v>
      </c>
      <c r="S30" s="27">
        <v>1.0298020000000001</v>
      </c>
      <c r="T30" s="22">
        <v>0.93910000000000005</v>
      </c>
      <c r="U30" s="8">
        <v>1.0209999999999999</v>
      </c>
      <c r="V30" s="16">
        <v>0.95760000000000001</v>
      </c>
      <c r="W30" s="52">
        <v>0.9597800000000003</v>
      </c>
      <c r="X30" s="52">
        <v>0.80369999999999997</v>
      </c>
    </row>
    <row r="31" spans="1:24" ht="22.5" customHeight="1" thickTop="1" thickBot="1">
      <c r="A31" s="38">
        <v>30</v>
      </c>
      <c r="B31" s="28">
        <v>0.77529999999999999</v>
      </c>
      <c r="C31" s="28">
        <v>1.1051</v>
      </c>
      <c r="D31" s="28">
        <v>1.022</v>
      </c>
      <c r="E31" s="18">
        <v>0.77759999999999996</v>
      </c>
      <c r="F31" s="16">
        <v>0.92340999999999995</v>
      </c>
      <c r="G31" s="18">
        <v>0.95469999999999999</v>
      </c>
      <c r="H31" s="18">
        <v>0.91</v>
      </c>
      <c r="I31" s="18">
        <v>1.0367</v>
      </c>
      <c r="J31" s="18">
        <v>0.97230000000000005</v>
      </c>
      <c r="K31" s="39">
        <v>0.93600000000000005</v>
      </c>
      <c r="L31" s="18">
        <v>0.93200000000000005</v>
      </c>
      <c r="M31" s="40">
        <v>0.86990000000000001</v>
      </c>
      <c r="N31" s="18">
        <v>0.93</v>
      </c>
      <c r="O31" s="18">
        <v>0.92200000000000004</v>
      </c>
      <c r="P31" s="16">
        <v>0.92508999999999997</v>
      </c>
      <c r="Q31" s="27">
        <v>0.94333</v>
      </c>
      <c r="R31" s="41">
        <v>0.79459999999999997</v>
      </c>
      <c r="S31" s="18">
        <v>1.0289999999999999</v>
      </c>
      <c r="T31" s="16">
        <v>0.93810000000000004</v>
      </c>
      <c r="U31" s="16">
        <v>1.02</v>
      </c>
      <c r="V31" s="16">
        <v>0.95760000000000001</v>
      </c>
      <c r="W31" s="52">
        <v>0.95919000000000032</v>
      </c>
      <c r="X31" s="52">
        <v>0.80335999999999996</v>
      </c>
    </row>
    <row r="32" spans="1:24" ht="22.5" customHeight="1" thickTop="1" thickBot="1">
      <c r="A32" s="42">
        <v>31</v>
      </c>
      <c r="B32" s="43">
        <v>0.77439999999999998</v>
      </c>
      <c r="C32" s="43">
        <v>1.1041000000000001</v>
      </c>
      <c r="D32" s="43">
        <v>1.0210999999999999</v>
      </c>
      <c r="E32" s="22">
        <v>0.77644999999999997</v>
      </c>
      <c r="F32" s="22">
        <v>0.92235</v>
      </c>
      <c r="G32" s="22">
        <v>0.95370999999999995</v>
      </c>
      <c r="H32" s="22">
        <v>0.90905000000000002</v>
      </c>
      <c r="I32" s="22">
        <v>1.0356000000000001</v>
      </c>
      <c r="J32" s="22">
        <v>0.97140000000000004</v>
      </c>
      <c r="K32" s="35">
        <v>0.93510000000000004</v>
      </c>
      <c r="L32" s="22">
        <v>0.93100000000000005</v>
      </c>
      <c r="M32" s="44">
        <v>0.86887000000000003</v>
      </c>
      <c r="N32" s="22">
        <v>0.93</v>
      </c>
      <c r="O32" s="22">
        <v>0.92279999999999995</v>
      </c>
      <c r="P32" s="22">
        <v>0.92406999999999995</v>
      </c>
      <c r="Q32" s="27">
        <v>0.94257999999999997</v>
      </c>
      <c r="R32" s="31">
        <v>0.79379999999999995</v>
      </c>
      <c r="S32" s="22">
        <v>1.028268</v>
      </c>
      <c r="T32" s="22">
        <v>0.93710000000000004</v>
      </c>
      <c r="U32" s="8">
        <v>1.0189999999999999</v>
      </c>
      <c r="V32" s="16">
        <v>0.95760000000000001</v>
      </c>
      <c r="W32" s="52">
        <v>0.95860000000000034</v>
      </c>
      <c r="X32" s="52">
        <v>0.80249999999999999</v>
      </c>
    </row>
    <row r="33" spans="1:24" ht="22.5" customHeight="1" thickTop="1" thickBot="1">
      <c r="A33" s="26">
        <v>32</v>
      </c>
      <c r="B33" s="27">
        <v>0.77349999999999997</v>
      </c>
      <c r="C33" s="27">
        <v>1.103</v>
      </c>
      <c r="D33" s="27">
        <v>1.0202</v>
      </c>
      <c r="E33" s="27">
        <v>0.77532000000000001</v>
      </c>
      <c r="F33" s="27">
        <v>0.9214</v>
      </c>
      <c r="G33" s="27">
        <v>0.95264000000000004</v>
      </c>
      <c r="H33" s="27">
        <v>0.90808</v>
      </c>
      <c r="I33" s="27">
        <v>1.0345</v>
      </c>
      <c r="J33" s="27">
        <v>0.97060000000000002</v>
      </c>
      <c r="K33" s="36">
        <v>0.93420000000000003</v>
      </c>
      <c r="L33" s="27">
        <v>0.93</v>
      </c>
      <c r="M33" s="45">
        <v>0.86782000000000004</v>
      </c>
      <c r="N33" s="27">
        <v>0.93</v>
      </c>
      <c r="O33" s="27">
        <v>0.92200000000000004</v>
      </c>
      <c r="P33" s="27">
        <v>0.92298000000000002</v>
      </c>
      <c r="Q33" s="27">
        <v>0.94189999999999996</v>
      </c>
      <c r="R33" s="37">
        <v>0.79300000000000004</v>
      </c>
      <c r="S33" s="27">
        <v>1.027536</v>
      </c>
      <c r="T33" s="22">
        <v>0.93600000000000005</v>
      </c>
      <c r="U33" s="8">
        <v>1.018</v>
      </c>
      <c r="V33" s="16">
        <v>0.95760000000000001</v>
      </c>
      <c r="W33" s="52">
        <v>0.95801000000000036</v>
      </c>
      <c r="X33" s="52">
        <v>0.80159999999999998</v>
      </c>
    </row>
    <row r="34" spans="1:24" ht="22.5" customHeight="1" thickTop="1" thickBot="1">
      <c r="A34" s="26">
        <v>33</v>
      </c>
      <c r="B34" s="27">
        <v>0.77270000000000005</v>
      </c>
      <c r="C34" s="27">
        <v>1.1020000000000001</v>
      </c>
      <c r="D34" s="27">
        <v>1.0194000000000001</v>
      </c>
      <c r="E34" s="27">
        <v>0.77419000000000004</v>
      </c>
      <c r="F34" s="27">
        <v>0.92042999999999997</v>
      </c>
      <c r="G34" s="27">
        <v>0.95157000000000003</v>
      </c>
      <c r="H34" s="27">
        <v>0.90710999999999997</v>
      </c>
      <c r="I34" s="27">
        <v>1.0334000000000001</v>
      </c>
      <c r="J34" s="27">
        <v>0.9698</v>
      </c>
      <c r="K34" s="36">
        <v>0.93330000000000002</v>
      </c>
      <c r="L34" s="27">
        <v>0.92900000000000005</v>
      </c>
      <c r="M34" s="45">
        <v>0.86677000000000004</v>
      </c>
      <c r="N34" s="27">
        <v>0.93</v>
      </c>
      <c r="O34" s="27">
        <v>0.92120000000000002</v>
      </c>
      <c r="P34" s="27">
        <v>0.92198999999999998</v>
      </c>
      <c r="Q34" s="27">
        <v>0.94125000000000003</v>
      </c>
      <c r="R34" s="37">
        <v>0.7923</v>
      </c>
      <c r="S34" s="27">
        <v>1.0268040000000001</v>
      </c>
      <c r="T34" s="22">
        <v>0.93500000000000005</v>
      </c>
      <c r="U34" s="8">
        <v>1.0169999999999999</v>
      </c>
      <c r="V34" s="16">
        <v>0.95760000000000001</v>
      </c>
      <c r="W34" s="52">
        <v>0.95742000000000038</v>
      </c>
      <c r="X34" s="52">
        <v>0.80069999999999997</v>
      </c>
    </row>
    <row r="35" spans="1:24" ht="22.5" customHeight="1" thickTop="1" thickBot="1">
      <c r="A35" s="26">
        <v>34</v>
      </c>
      <c r="B35" s="27">
        <v>0.77180000000000004</v>
      </c>
      <c r="C35" s="27">
        <v>1.1009</v>
      </c>
      <c r="D35" s="27">
        <v>1.0185</v>
      </c>
      <c r="E35" s="27">
        <v>0.77305999999999997</v>
      </c>
      <c r="F35" s="27">
        <v>0.91946000000000006</v>
      </c>
      <c r="G35" s="27">
        <v>0.95050000000000001</v>
      </c>
      <c r="H35" s="27">
        <v>0.90613999999999995</v>
      </c>
      <c r="I35" s="27">
        <v>1.0322</v>
      </c>
      <c r="J35" s="27">
        <v>0.96899999999999997</v>
      </c>
      <c r="K35" s="36">
        <v>0.93240000000000001</v>
      </c>
      <c r="L35" s="27">
        <v>0.92800000000000005</v>
      </c>
      <c r="M35" s="45">
        <v>0.86572000000000005</v>
      </c>
      <c r="N35" s="27">
        <v>0.93</v>
      </c>
      <c r="O35" s="27">
        <v>0.9204</v>
      </c>
      <c r="P35" s="27">
        <v>0.92093999999999998</v>
      </c>
      <c r="Q35" s="27">
        <v>0.94059000000000004</v>
      </c>
      <c r="R35" s="37">
        <v>0.79159999999999997</v>
      </c>
      <c r="S35" s="27">
        <f>S34-0.000732</f>
        <v>1.0260720000000001</v>
      </c>
      <c r="T35" s="22">
        <v>0.93400000000000005</v>
      </c>
      <c r="U35" s="8">
        <v>1.016</v>
      </c>
      <c r="V35" s="16">
        <v>0.95760000000000001</v>
      </c>
      <c r="W35" s="52">
        <v>0.9568300000000004</v>
      </c>
      <c r="X35" s="52">
        <v>0.79979999999999996</v>
      </c>
    </row>
    <row r="36" spans="1:24" ht="22.5" customHeight="1" thickTop="1" thickBot="1">
      <c r="A36" s="46">
        <v>35</v>
      </c>
      <c r="B36" s="18">
        <v>0.77090000000000003</v>
      </c>
      <c r="C36" s="18">
        <v>1.0999000000000001</v>
      </c>
      <c r="D36" s="18">
        <v>1.0176000000000001</v>
      </c>
      <c r="E36" s="18">
        <v>0.77193000000000001</v>
      </c>
      <c r="F36" s="16">
        <v>0.91851000000000005</v>
      </c>
      <c r="G36" s="18">
        <v>0.94943</v>
      </c>
      <c r="H36" s="18">
        <v>0.90517000000000003</v>
      </c>
      <c r="I36" s="18">
        <v>1.0310999999999999</v>
      </c>
      <c r="J36" s="18">
        <v>0.96819999999999995</v>
      </c>
      <c r="K36" s="39">
        <v>0.93149999999999999</v>
      </c>
      <c r="L36" s="18">
        <v>0.92700000000000005</v>
      </c>
      <c r="M36" s="40">
        <v>0.86467000000000005</v>
      </c>
      <c r="N36" s="18">
        <v>0.93</v>
      </c>
      <c r="O36" s="18">
        <v>0.91959999999999997</v>
      </c>
      <c r="P36" s="16">
        <v>0.91995000000000005</v>
      </c>
      <c r="Q36" s="27">
        <v>0.93994</v>
      </c>
      <c r="R36" s="41">
        <v>0.79079999999999995</v>
      </c>
      <c r="S36" s="18">
        <f>S35-0.000732</f>
        <v>1.0253400000000001</v>
      </c>
      <c r="T36" s="16">
        <v>0.93300000000000005</v>
      </c>
      <c r="U36" s="16">
        <v>1.0149999999999999</v>
      </c>
      <c r="V36" s="16">
        <v>0.95760000000000001</v>
      </c>
      <c r="W36" s="52">
        <v>0.95624000000000042</v>
      </c>
      <c r="X36" s="52">
        <v>0.79900000000000004</v>
      </c>
    </row>
    <row r="37" spans="1:24" ht="22.5" customHeight="1" thickTop="1" thickBot="1">
      <c r="A37" s="21">
        <v>36</v>
      </c>
      <c r="B37" s="22">
        <v>0.77</v>
      </c>
      <c r="C37" s="22">
        <v>1.0988</v>
      </c>
      <c r="D37" s="22">
        <v>1.0166999999999999</v>
      </c>
      <c r="E37" s="22">
        <v>0.77080000000000004</v>
      </c>
      <c r="F37" s="22">
        <v>0.91754999999999998</v>
      </c>
      <c r="G37" s="22">
        <v>0.94835999999999998</v>
      </c>
      <c r="H37" s="22">
        <v>0.9042</v>
      </c>
      <c r="I37" s="22">
        <v>1.03</v>
      </c>
      <c r="J37" s="22">
        <v>0.96730000000000005</v>
      </c>
      <c r="K37" s="35">
        <v>0.93059999999999998</v>
      </c>
      <c r="L37" s="22">
        <v>0.92600000000000005</v>
      </c>
      <c r="M37" s="44">
        <v>0.86362000000000005</v>
      </c>
      <c r="N37" s="22">
        <v>0.93</v>
      </c>
      <c r="O37" s="22">
        <v>0.91879999999999995</v>
      </c>
      <c r="P37" s="22">
        <v>0.91888999999999998</v>
      </c>
      <c r="Q37" s="27">
        <v>0.93930000000000002</v>
      </c>
      <c r="R37" s="31">
        <v>0.79008</v>
      </c>
      <c r="S37" s="22">
        <f t="shared" ref="S37:S51" si="0">S36-0.000732</f>
        <v>1.0246080000000002</v>
      </c>
      <c r="T37" s="22">
        <v>0.93194666666666703</v>
      </c>
      <c r="U37" s="8">
        <v>1.0142</v>
      </c>
      <c r="V37" s="16">
        <v>0.95760000000000001</v>
      </c>
      <c r="W37" s="52">
        <v>0.95565000000000044</v>
      </c>
      <c r="X37" s="52">
        <v>0.7984</v>
      </c>
    </row>
    <row r="38" spans="1:24" ht="22.5" customHeight="1" thickTop="1" thickBot="1">
      <c r="A38" s="26">
        <v>37</v>
      </c>
      <c r="B38" s="27">
        <v>0.76910000000000001</v>
      </c>
      <c r="C38" s="27">
        <v>1.0978000000000001</v>
      </c>
      <c r="D38" s="27">
        <v>1.0158</v>
      </c>
      <c r="E38" s="27">
        <v>0.76929999999999998</v>
      </c>
      <c r="F38" s="27">
        <v>0.91654000000000002</v>
      </c>
      <c r="G38" s="27">
        <v>0.94699999999999995</v>
      </c>
      <c r="H38" s="27">
        <v>0.90310000000000001</v>
      </c>
      <c r="I38" s="27">
        <v>1.0288999999999999</v>
      </c>
      <c r="J38" s="27">
        <v>0.96650000000000003</v>
      </c>
      <c r="K38" s="36">
        <v>0.92979999999999996</v>
      </c>
      <c r="L38" s="27">
        <v>0.92500000000000004</v>
      </c>
      <c r="M38" s="45">
        <v>0.86270000000000002</v>
      </c>
      <c r="N38" s="27">
        <v>0.92600000000000005</v>
      </c>
      <c r="O38" s="27">
        <v>0.92200000000000004</v>
      </c>
      <c r="P38" s="27">
        <v>0.91785000000000005</v>
      </c>
      <c r="Q38" s="27">
        <v>0.93864999999999998</v>
      </c>
      <c r="R38" s="37">
        <v>0.78934000000000004</v>
      </c>
      <c r="S38" s="27">
        <f t="shared" si="0"/>
        <v>1.0238760000000002</v>
      </c>
      <c r="T38" s="22">
        <v>0.930922424242424</v>
      </c>
      <c r="U38" s="8">
        <v>1.0134000000000001</v>
      </c>
      <c r="V38" s="16">
        <v>0.95760000000000001</v>
      </c>
      <c r="W38" s="52">
        <v>0.95506000000000046</v>
      </c>
      <c r="X38" s="52">
        <v>0.79779999999999995</v>
      </c>
    </row>
    <row r="39" spans="1:24" ht="22.5" customHeight="1" thickTop="1" thickBot="1">
      <c r="A39" s="26">
        <v>38</v>
      </c>
      <c r="B39" s="27">
        <v>0.76829999999999998</v>
      </c>
      <c r="C39" s="27">
        <v>1.0967</v>
      </c>
      <c r="D39" s="27">
        <v>1.0149999999999999</v>
      </c>
      <c r="E39" s="27">
        <v>0.7681</v>
      </c>
      <c r="F39" s="27">
        <v>0.91556999999999999</v>
      </c>
      <c r="G39" s="27">
        <v>0.94589999999999996</v>
      </c>
      <c r="H39" s="27">
        <v>0.90210000000000001</v>
      </c>
      <c r="I39" s="27">
        <v>1.0278</v>
      </c>
      <c r="J39" s="27">
        <v>0.9657</v>
      </c>
      <c r="K39" s="36">
        <v>0.92889999999999995</v>
      </c>
      <c r="L39" s="27">
        <v>0.92400000000000004</v>
      </c>
      <c r="M39" s="45">
        <v>0.86170000000000002</v>
      </c>
      <c r="N39" s="27">
        <v>0.92600000000000005</v>
      </c>
      <c r="O39" s="27">
        <v>0.92200000000000004</v>
      </c>
      <c r="P39" s="27">
        <v>0.91686000000000001</v>
      </c>
      <c r="Q39" s="27">
        <v>0.93801999999999996</v>
      </c>
      <c r="R39" s="37">
        <v>0.78859999999999997</v>
      </c>
      <c r="S39" s="27">
        <f t="shared" si="0"/>
        <v>1.0231440000000003</v>
      </c>
      <c r="T39" s="22">
        <v>0.92989818181818196</v>
      </c>
      <c r="U39" s="8">
        <v>1.0125999999999999</v>
      </c>
      <c r="V39" s="16">
        <v>0.95760000000000001</v>
      </c>
      <c r="W39" s="52">
        <v>0.95447000000000048</v>
      </c>
      <c r="X39" s="52">
        <v>0.79720000000000002</v>
      </c>
    </row>
    <row r="40" spans="1:24" ht="22.5" customHeight="1" thickTop="1" thickBot="1">
      <c r="A40" s="26">
        <v>39</v>
      </c>
      <c r="B40" s="27">
        <v>0.76739999999999997</v>
      </c>
      <c r="C40" s="27">
        <v>1.0956999999999999</v>
      </c>
      <c r="D40" s="27">
        <v>1.0141</v>
      </c>
      <c r="E40" s="27">
        <v>0.76700000000000002</v>
      </c>
      <c r="F40" s="27">
        <v>0.91459999999999997</v>
      </c>
      <c r="G40" s="27">
        <v>0.94489999999999996</v>
      </c>
      <c r="H40" s="27">
        <v>0.90110000000000001</v>
      </c>
      <c r="I40" s="27">
        <v>1.0266</v>
      </c>
      <c r="J40" s="27">
        <v>0.96489999999999998</v>
      </c>
      <c r="K40" s="36">
        <v>0.92810000000000004</v>
      </c>
      <c r="L40" s="27">
        <v>0.92300000000000004</v>
      </c>
      <c r="M40" s="45">
        <v>0.86070000000000002</v>
      </c>
      <c r="N40" s="27">
        <v>0.92600000000000005</v>
      </c>
      <c r="O40" s="27">
        <v>0.92200000000000004</v>
      </c>
      <c r="P40" s="27">
        <v>0.91579999999999995</v>
      </c>
      <c r="Q40" s="27">
        <v>0.93740000000000001</v>
      </c>
      <c r="R40" s="37">
        <v>0.78786</v>
      </c>
      <c r="S40" s="27">
        <f t="shared" si="0"/>
        <v>1.0224120000000003</v>
      </c>
      <c r="T40" s="22">
        <v>0.92887393939393903</v>
      </c>
      <c r="U40" s="8">
        <v>1.0118</v>
      </c>
      <c r="V40" s="16">
        <v>0.95760000000000001</v>
      </c>
      <c r="W40" s="52">
        <v>0.95388000000000051</v>
      </c>
      <c r="X40" s="52">
        <v>0.79659999999999997</v>
      </c>
    </row>
    <row r="41" spans="1:24" ht="22.5" customHeight="1" thickTop="1" thickBot="1">
      <c r="A41" s="46">
        <v>40</v>
      </c>
      <c r="B41" s="18">
        <v>0.76649999999999996</v>
      </c>
      <c r="C41" s="18">
        <v>1.0946</v>
      </c>
      <c r="D41" s="18">
        <v>1.0132000000000001</v>
      </c>
      <c r="E41" s="18">
        <v>0.76580000000000004</v>
      </c>
      <c r="F41" s="16">
        <v>0.91366000000000003</v>
      </c>
      <c r="G41" s="18">
        <v>0.94389999999999996</v>
      </c>
      <c r="H41" s="18">
        <v>0.9002</v>
      </c>
      <c r="I41" s="18">
        <v>1.0255000000000001</v>
      </c>
      <c r="J41" s="18">
        <v>0.96409999999999996</v>
      </c>
      <c r="K41" s="39">
        <v>0.92720000000000002</v>
      </c>
      <c r="L41" s="18">
        <v>0.92200000000000004</v>
      </c>
      <c r="M41" s="40">
        <v>0.85970000000000002</v>
      </c>
      <c r="N41" s="18">
        <v>0.92600000000000005</v>
      </c>
      <c r="O41" s="18">
        <v>0.92200000000000004</v>
      </c>
      <c r="P41" s="16">
        <v>0.91478000000000004</v>
      </c>
      <c r="Q41" s="27">
        <v>0.93681999999999999</v>
      </c>
      <c r="R41" s="41">
        <v>0.78712000000000004</v>
      </c>
      <c r="S41" s="18">
        <f t="shared" si="0"/>
        <v>1.0216800000000004</v>
      </c>
      <c r="T41" s="16">
        <v>0.92784969696969699</v>
      </c>
      <c r="U41" s="16">
        <v>1.0109999999999999</v>
      </c>
      <c r="V41" s="16">
        <v>0.95760000000000001</v>
      </c>
      <c r="W41" s="52">
        <v>0.95329000000000053</v>
      </c>
      <c r="X41" s="52">
        <v>0.79620000000000002</v>
      </c>
    </row>
    <row r="42" spans="1:24" ht="22.5" customHeight="1" thickTop="1" thickBot="1">
      <c r="A42" s="21">
        <v>41</v>
      </c>
      <c r="B42" s="22">
        <v>0.76559999999999995</v>
      </c>
      <c r="C42" s="22">
        <v>1.0935999999999999</v>
      </c>
      <c r="D42" s="22">
        <v>1.0123</v>
      </c>
      <c r="E42" s="22">
        <v>0.76459999999999995</v>
      </c>
      <c r="F42" s="22">
        <v>0.91269</v>
      </c>
      <c r="G42" s="22">
        <v>0.94289999999999996</v>
      </c>
      <c r="H42" s="22">
        <v>0.8992</v>
      </c>
      <c r="I42" s="22">
        <v>1.0244</v>
      </c>
      <c r="J42" s="22">
        <v>0.96330000000000005</v>
      </c>
      <c r="K42" s="22">
        <v>0.9264</v>
      </c>
      <c r="L42" s="22">
        <v>0.92100000000000004</v>
      </c>
      <c r="M42" s="44">
        <v>0.85870000000000002</v>
      </c>
      <c r="N42" s="22">
        <v>0.92600000000000005</v>
      </c>
      <c r="O42" s="22">
        <v>0.92200000000000004</v>
      </c>
      <c r="P42" s="22">
        <v>0.91374999999999995</v>
      </c>
      <c r="Q42" s="27">
        <v>0.93681999999999999</v>
      </c>
      <c r="R42" s="31">
        <v>0.78637999999999997</v>
      </c>
      <c r="S42" s="22">
        <f t="shared" si="0"/>
        <v>1.0209480000000004</v>
      </c>
      <c r="T42" s="22">
        <v>0.92682545454545395</v>
      </c>
      <c r="U42" s="8">
        <v>1.0098</v>
      </c>
      <c r="V42" s="16">
        <v>0.95760000000000001</v>
      </c>
      <c r="W42" s="52">
        <v>0.95329000000000053</v>
      </c>
      <c r="X42" s="52">
        <v>0.79620000000000002</v>
      </c>
    </row>
    <row r="43" spans="1:24" ht="22.5" customHeight="1" thickTop="1" thickBot="1">
      <c r="A43" s="26">
        <v>42</v>
      </c>
      <c r="B43" s="27">
        <v>0.76470000000000005</v>
      </c>
      <c r="C43" s="27">
        <v>1.0925</v>
      </c>
      <c r="D43" s="27">
        <v>1.0114000000000001</v>
      </c>
      <c r="E43" s="27">
        <v>0.76349999999999996</v>
      </c>
      <c r="F43" s="27">
        <v>0.91171999999999997</v>
      </c>
      <c r="G43" s="22">
        <v>0.94189999999999996</v>
      </c>
      <c r="H43" s="22">
        <v>0.8982</v>
      </c>
      <c r="I43" s="22">
        <v>1.0233000000000001</v>
      </c>
      <c r="J43" s="27">
        <v>0.96250000000000002</v>
      </c>
      <c r="K43" s="22">
        <v>0.92549999999999999</v>
      </c>
      <c r="L43" s="22">
        <v>0.92</v>
      </c>
      <c r="M43" s="45">
        <v>0.85770000000000002</v>
      </c>
      <c r="N43" s="22">
        <v>0.92600000000000005</v>
      </c>
      <c r="O43" s="27">
        <v>0.92200000000000004</v>
      </c>
      <c r="P43" s="27">
        <v>0.91273000000000004</v>
      </c>
      <c r="Q43" s="27">
        <v>0.93681999999999999</v>
      </c>
      <c r="R43" s="37">
        <v>0.78564000000000001</v>
      </c>
      <c r="S43" s="27">
        <f t="shared" si="0"/>
        <v>1.0202160000000005</v>
      </c>
      <c r="T43" s="22">
        <v>0.92580121212121202</v>
      </c>
      <c r="U43" s="8">
        <v>1.0085999999999999</v>
      </c>
      <c r="V43" s="16">
        <v>0.95760000000000001</v>
      </c>
      <c r="W43" s="52">
        <v>0.95329000000000053</v>
      </c>
      <c r="X43" s="52">
        <v>0.79620000000000002</v>
      </c>
    </row>
    <row r="44" spans="1:24" ht="22.5" customHeight="1" thickTop="1" thickBot="1">
      <c r="A44" s="26">
        <v>43</v>
      </c>
      <c r="B44" s="27">
        <v>0.76390000000000002</v>
      </c>
      <c r="C44" s="27">
        <v>1.0914999999999999</v>
      </c>
      <c r="D44" s="27">
        <v>1.0105999999999999</v>
      </c>
      <c r="E44" s="27">
        <v>0.76229999999999998</v>
      </c>
      <c r="F44" s="27">
        <v>0.91073000000000004</v>
      </c>
      <c r="G44" s="27">
        <v>0.94089999999999996</v>
      </c>
      <c r="H44" s="27">
        <v>0.8972</v>
      </c>
      <c r="I44" s="27">
        <v>1.0222</v>
      </c>
      <c r="J44" s="27">
        <v>0.9617</v>
      </c>
      <c r="K44" s="27">
        <v>0.92459999999999998</v>
      </c>
      <c r="L44" s="27">
        <v>0.91900000000000004</v>
      </c>
      <c r="M44" s="45">
        <v>0.85670000000000002</v>
      </c>
      <c r="N44" s="22">
        <v>0.92600000000000005</v>
      </c>
      <c r="O44" s="27">
        <v>0.92200000000000004</v>
      </c>
      <c r="P44" s="27">
        <v>0.91168000000000005</v>
      </c>
      <c r="Q44" s="27">
        <v>0.93681999999999999</v>
      </c>
      <c r="R44" s="37">
        <v>0.78490000000000004</v>
      </c>
      <c r="S44" s="27">
        <f t="shared" si="0"/>
        <v>1.0194840000000005</v>
      </c>
      <c r="T44" s="22">
        <v>0.92477696969696899</v>
      </c>
      <c r="U44" s="8">
        <v>1.0074000000000001</v>
      </c>
      <c r="V44" s="16">
        <v>0.95760000000000001</v>
      </c>
      <c r="W44" s="52">
        <v>0.95329000000000053</v>
      </c>
      <c r="X44" s="52">
        <v>0.79620000000000002</v>
      </c>
    </row>
    <row r="45" spans="1:24" ht="22.5" customHeight="1" thickTop="1" thickBot="1">
      <c r="A45" s="26">
        <v>44</v>
      </c>
      <c r="B45" s="27">
        <v>0.76300000000000001</v>
      </c>
      <c r="C45" s="27">
        <v>1.0904</v>
      </c>
      <c r="D45" s="27">
        <v>1.0097</v>
      </c>
      <c r="E45" s="27">
        <v>0.76119999999999999</v>
      </c>
      <c r="F45" s="27">
        <v>0.90983999999999998</v>
      </c>
      <c r="G45" s="27">
        <v>0.93389999999999995</v>
      </c>
      <c r="H45" s="22">
        <v>0.8962</v>
      </c>
      <c r="I45" s="22">
        <v>1.0209999999999999</v>
      </c>
      <c r="J45" s="27">
        <v>0.96089999999999998</v>
      </c>
      <c r="K45" s="27">
        <v>0.92369999999999997</v>
      </c>
      <c r="L45" s="27">
        <v>0.91800000000000004</v>
      </c>
      <c r="M45" s="45">
        <v>0.85570000000000002</v>
      </c>
      <c r="N45" s="22">
        <v>0.92600000000000005</v>
      </c>
      <c r="O45" s="27">
        <v>0.92200000000000004</v>
      </c>
      <c r="P45" s="27">
        <v>0.91064999999999996</v>
      </c>
      <c r="Q45" s="27">
        <v>0.93681999999999999</v>
      </c>
      <c r="R45" s="37">
        <v>0.78415999999999997</v>
      </c>
      <c r="S45" s="27">
        <f t="shared" si="0"/>
        <v>1.0187520000000005</v>
      </c>
      <c r="T45" s="22">
        <v>0.92375272727272695</v>
      </c>
      <c r="U45" s="8">
        <v>1.0062</v>
      </c>
      <c r="V45" s="16">
        <v>0.95760000000000001</v>
      </c>
      <c r="W45" s="52">
        <v>0.95329000000000053</v>
      </c>
      <c r="X45" s="52">
        <v>0.79620000000000002</v>
      </c>
    </row>
    <row r="46" spans="1:24" ht="22.5" customHeight="1" thickTop="1" thickBot="1">
      <c r="A46" s="46">
        <v>45</v>
      </c>
      <c r="B46" s="18">
        <v>0.7621</v>
      </c>
      <c r="C46" s="18">
        <v>1.0893999999999999</v>
      </c>
      <c r="D46" s="18">
        <v>1.0087999999999999</v>
      </c>
      <c r="E46" s="18">
        <v>0.76</v>
      </c>
      <c r="F46" s="16">
        <v>0.90878000000000003</v>
      </c>
      <c r="G46" s="18">
        <v>0.93889999999999996</v>
      </c>
      <c r="H46" s="18">
        <v>0.8952</v>
      </c>
      <c r="I46" s="18">
        <v>1.0199</v>
      </c>
      <c r="J46" s="18">
        <v>0.96009999999999995</v>
      </c>
      <c r="K46" s="18">
        <v>0.92279999999999995</v>
      </c>
      <c r="L46" s="18">
        <v>0.91700000000000004</v>
      </c>
      <c r="M46" s="40">
        <v>0.85470000000000002</v>
      </c>
      <c r="N46" s="16">
        <v>0.92600000000000005</v>
      </c>
      <c r="O46" s="18">
        <v>0.92200000000000004</v>
      </c>
      <c r="P46" s="16">
        <v>0.90963000000000005</v>
      </c>
      <c r="Q46" s="27">
        <v>0.93681999999999999</v>
      </c>
      <c r="R46" s="41">
        <v>0.78342000000000001</v>
      </c>
      <c r="S46" s="18">
        <f t="shared" si="0"/>
        <v>1.0180200000000006</v>
      </c>
      <c r="T46" s="16">
        <v>0.92272848484848502</v>
      </c>
      <c r="U46" s="16">
        <v>1.0049999999999999</v>
      </c>
      <c r="V46" s="16">
        <v>0.95760000000000001</v>
      </c>
      <c r="W46" s="52">
        <v>0.95329000000000053</v>
      </c>
      <c r="X46" s="52">
        <v>0.79620000000000002</v>
      </c>
    </row>
    <row r="47" spans="1:24" ht="17.399999999999999" thickTop="1" thickBot="1">
      <c r="A47" s="47">
        <v>46</v>
      </c>
      <c r="B47" s="22">
        <v>0.76124999999999998</v>
      </c>
      <c r="C47" s="22">
        <v>1.08833</v>
      </c>
      <c r="D47" s="22">
        <v>1.0079499999999999</v>
      </c>
      <c r="E47" s="22">
        <v>0.75887000000000004</v>
      </c>
      <c r="F47" s="22">
        <v>0.90781999999999996</v>
      </c>
      <c r="G47" s="22">
        <v>0.93489999999999995</v>
      </c>
      <c r="H47" s="22">
        <v>0.89419999999999999</v>
      </c>
      <c r="I47" s="22">
        <v>1.0187999999999999</v>
      </c>
      <c r="J47" s="22">
        <v>0.95930000000000004</v>
      </c>
      <c r="K47" s="22">
        <v>0.92190000000000005</v>
      </c>
      <c r="L47" s="22">
        <v>0.91600000000000004</v>
      </c>
      <c r="M47" s="44">
        <v>0.85370000000000001</v>
      </c>
      <c r="N47" s="22">
        <v>0.92600000000000005</v>
      </c>
      <c r="O47" s="22">
        <v>0.92200000000000004</v>
      </c>
      <c r="P47" s="22">
        <v>0.90856000000000003</v>
      </c>
      <c r="Q47" s="27">
        <v>0.93681999999999999</v>
      </c>
      <c r="R47" s="31">
        <v>0.78268000000000004</v>
      </c>
      <c r="S47" s="22">
        <f t="shared" si="0"/>
        <v>1.0172880000000006</v>
      </c>
      <c r="T47" s="22">
        <v>0.92170424242424398</v>
      </c>
      <c r="U47" s="8">
        <v>1.0038</v>
      </c>
      <c r="V47" s="16">
        <v>0.95760000000000001</v>
      </c>
      <c r="W47" s="52">
        <v>0.95329000000000053</v>
      </c>
      <c r="X47" s="52">
        <v>0.79620000000000002</v>
      </c>
    </row>
    <row r="48" spans="1:24" ht="17.399999999999999" thickTop="1" thickBot="1">
      <c r="A48" s="47">
        <v>47</v>
      </c>
      <c r="B48" s="27">
        <v>0.76037999999999994</v>
      </c>
      <c r="C48" s="27">
        <v>1.08728</v>
      </c>
      <c r="D48" s="27">
        <v>1.00708</v>
      </c>
      <c r="E48" s="27">
        <v>0.75771999999999995</v>
      </c>
      <c r="F48" s="27">
        <v>0.90683000000000002</v>
      </c>
      <c r="G48" s="22">
        <v>0.93330000000000002</v>
      </c>
      <c r="H48" s="22">
        <v>0.89319999999999999</v>
      </c>
      <c r="I48" s="22">
        <v>1.0177</v>
      </c>
      <c r="J48" s="27">
        <v>0.95850000000000002</v>
      </c>
      <c r="K48" s="22">
        <v>0.92100000000000004</v>
      </c>
      <c r="L48" s="22">
        <v>0.91500000000000004</v>
      </c>
      <c r="M48" s="45">
        <v>0.85270000000000001</v>
      </c>
      <c r="N48" s="22">
        <v>0.92600000000000005</v>
      </c>
      <c r="O48" s="27">
        <v>0.92200000000000004</v>
      </c>
      <c r="P48" s="27">
        <v>0.90751999999999999</v>
      </c>
      <c r="Q48" s="27">
        <v>0.93681999999999999</v>
      </c>
      <c r="R48" s="37">
        <v>0.78193999999999997</v>
      </c>
      <c r="S48" s="27">
        <f t="shared" si="0"/>
        <v>1.0165560000000007</v>
      </c>
      <c r="T48" s="22">
        <v>0.92068000000000205</v>
      </c>
      <c r="U48" s="8">
        <v>1.0025999999999999</v>
      </c>
      <c r="V48" s="16">
        <v>0.95760000000000001</v>
      </c>
      <c r="W48" s="52">
        <v>0.95329000000000053</v>
      </c>
      <c r="X48" s="52">
        <v>0.79620000000000002</v>
      </c>
    </row>
    <row r="49" spans="1:24" ht="17.399999999999999" thickTop="1" thickBot="1">
      <c r="A49" s="47">
        <v>48</v>
      </c>
      <c r="B49" s="27">
        <v>0.75951000000000002</v>
      </c>
      <c r="C49" s="27">
        <v>1.08623</v>
      </c>
      <c r="D49" s="27">
        <v>1.00621</v>
      </c>
      <c r="E49" s="27">
        <v>0.75656999999999996</v>
      </c>
      <c r="F49" s="27">
        <v>0.90585000000000004</v>
      </c>
      <c r="G49" s="27">
        <v>0.93169999999999997</v>
      </c>
      <c r="H49" s="27">
        <v>0.89219999999999999</v>
      </c>
      <c r="I49" s="27">
        <v>1.0165999999999999</v>
      </c>
      <c r="J49" s="27">
        <v>0.9577</v>
      </c>
      <c r="K49" s="27">
        <v>0.92010000000000003</v>
      </c>
      <c r="L49" s="27">
        <v>0.91400000000000003</v>
      </c>
      <c r="M49" s="45">
        <v>0.85170000000000001</v>
      </c>
      <c r="N49" s="22">
        <v>0.92600000000000005</v>
      </c>
      <c r="O49" s="27">
        <v>0.92200000000000004</v>
      </c>
      <c r="P49" s="27">
        <v>0.90647999999999995</v>
      </c>
      <c r="Q49" s="27">
        <v>0.93681999999999999</v>
      </c>
      <c r="R49" s="37">
        <v>0.78120000000000001</v>
      </c>
      <c r="S49" s="27">
        <f t="shared" si="0"/>
        <v>1.0158240000000007</v>
      </c>
      <c r="T49" s="22">
        <v>0.91965575757576001</v>
      </c>
      <c r="U49" s="8">
        <v>1.0014000000000001</v>
      </c>
      <c r="V49" s="16">
        <v>0.95760000000000001</v>
      </c>
      <c r="W49" s="52">
        <v>0.95329000000000053</v>
      </c>
      <c r="X49" s="52">
        <v>0.79620000000000002</v>
      </c>
    </row>
    <row r="50" spans="1:24" ht="17.399999999999999" thickTop="1" thickBot="1">
      <c r="A50" s="47">
        <v>49</v>
      </c>
      <c r="B50" s="27">
        <v>0.75863999999999998</v>
      </c>
      <c r="C50" s="27">
        <v>1.08518</v>
      </c>
      <c r="D50" s="27">
        <v>1.0053399999999999</v>
      </c>
      <c r="E50" s="27">
        <v>0.75541999999999998</v>
      </c>
      <c r="F50" s="27">
        <v>0.90488000000000002</v>
      </c>
      <c r="G50" s="27">
        <v>0.93010000000000004</v>
      </c>
      <c r="H50" s="22">
        <v>0.89119999999999999</v>
      </c>
      <c r="I50" s="22">
        <v>1.0154000000000001</v>
      </c>
      <c r="J50" s="27">
        <v>0.95689999999999997</v>
      </c>
      <c r="K50" s="27">
        <v>0.91920000000000002</v>
      </c>
      <c r="L50" s="27">
        <v>0.91300000000000003</v>
      </c>
      <c r="M50" s="45">
        <v>0.85070000000000001</v>
      </c>
      <c r="N50" s="22">
        <v>0.92600000000000005</v>
      </c>
      <c r="O50" s="27">
        <v>0.92200000000000004</v>
      </c>
      <c r="P50" s="27">
        <v>0.90542999999999996</v>
      </c>
      <c r="Q50" s="27">
        <v>0.93681999999999999</v>
      </c>
      <c r="R50" s="37">
        <v>0.78046000000000004</v>
      </c>
      <c r="S50" s="27">
        <f t="shared" si="0"/>
        <v>1.0150920000000008</v>
      </c>
      <c r="T50" s="22">
        <v>0.91863151515151897</v>
      </c>
      <c r="U50" s="8">
        <v>1.0002</v>
      </c>
      <c r="V50" s="16">
        <v>0.95760000000000001</v>
      </c>
      <c r="W50" s="52">
        <v>0.95329000000000053</v>
      </c>
      <c r="X50" s="52">
        <v>0.79620000000000002</v>
      </c>
    </row>
    <row r="51" spans="1:24" ht="17.399999999999999" thickTop="1" thickBot="1">
      <c r="A51" s="48">
        <v>50</v>
      </c>
      <c r="B51" s="18">
        <v>0.75777000000000005</v>
      </c>
      <c r="C51" s="18">
        <v>1.08413</v>
      </c>
      <c r="D51" s="18">
        <v>1.00447</v>
      </c>
      <c r="E51" s="18">
        <v>0.75427</v>
      </c>
      <c r="F51" s="16">
        <v>0.90390999999999999</v>
      </c>
      <c r="G51" s="18">
        <v>0.92849999999999999</v>
      </c>
      <c r="H51" s="18">
        <v>0.89019999999999999</v>
      </c>
      <c r="I51" s="18">
        <v>1.0143</v>
      </c>
      <c r="J51" s="18">
        <v>0.95609999999999995</v>
      </c>
      <c r="K51" s="18">
        <v>0.91830000000000001</v>
      </c>
      <c r="L51" s="18">
        <v>0.91200000000000003</v>
      </c>
      <c r="M51" s="40">
        <v>0.84970000000000001</v>
      </c>
      <c r="N51" s="16">
        <v>0.92600000000000005</v>
      </c>
      <c r="O51" s="18">
        <v>0.92200000000000004</v>
      </c>
      <c r="P51" s="16">
        <v>0.90439000000000003</v>
      </c>
      <c r="Q51" s="27">
        <v>0.93681999999999999</v>
      </c>
      <c r="R51" s="41">
        <v>0.77971999999999997</v>
      </c>
      <c r="S51" s="18">
        <f t="shared" si="0"/>
        <v>1.0143600000000008</v>
      </c>
      <c r="T51" s="16">
        <v>0.91760727272727705</v>
      </c>
      <c r="U51" s="16">
        <v>0.999</v>
      </c>
      <c r="V51" s="16">
        <v>0.95760000000000001</v>
      </c>
      <c r="W51" s="52">
        <v>0.95329000000000053</v>
      </c>
      <c r="X51" s="52">
        <v>0.79620000000000002</v>
      </c>
    </row>
    <row r="52" spans="1:24" ht="17.399999999999999" thickTop="1" thickBot="1">
      <c r="A52" s="48">
        <v>51</v>
      </c>
      <c r="B52" s="49"/>
      <c r="C52" s="49"/>
      <c r="D52" s="49"/>
      <c r="E52" s="49"/>
      <c r="F52" s="49"/>
      <c r="G52" s="49"/>
      <c r="H52" s="49"/>
      <c r="I52" s="49">
        <v>1.0132000000000001</v>
      </c>
      <c r="J52" s="49"/>
      <c r="U52" s="8"/>
    </row>
    <row r="53" spans="1:24" ht="17.399999999999999" thickTop="1" thickBot="1">
      <c r="A53" s="48">
        <v>52</v>
      </c>
      <c r="I53" s="47">
        <v>1.0121</v>
      </c>
      <c r="U53" s="8"/>
    </row>
    <row r="54" spans="1:24" ht="17.399999999999999" thickTop="1" thickBot="1">
      <c r="A54" s="48">
        <v>53</v>
      </c>
      <c r="I54" s="47">
        <v>1.0109999999999999</v>
      </c>
      <c r="U54" s="8"/>
    </row>
    <row r="55" spans="1:24" ht="17.399999999999999" thickTop="1" thickBot="1">
      <c r="A55" s="48">
        <v>54</v>
      </c>
      <c r="I55" s="47">
        <v>1.0098</v>
      </c>
      <c r="U55" s="8"/>
    </row>
    <row r="56" spans="1:24" ht="17.399999999999999" thickTop="1" thickBot="1">
      <c r="A56" s="48">
        <v>55</v>
      </c>
      <c r="I56" s="47">
        <v>1.0086999999999999</v>
      </c>
      <c r="U56" s="8"/>
    </row>
    <row r="57" spans="1:24" ht="17.399999999999999" thickTop="1" thickBot="1">
      <c r="A57" s="48">
        <v>56</v>
      </c>
      <c r="I57" s="47">
        <v>1.0076000000000001</v>
      </c>
      <c r="U57" s="8"/>
    </row>
    <row r="58" spans="1:24" ht="17.399999999999999" thickTop="1" thickBot="1">
      <c r="A58" s="48">
        <v>57</v>
      </c>
      <c r="I58" s="47">
        <v>1.0065</v>
      </c>
      <c r="U58" s="8"/>
    </row>
    <row r="59" spans="1:24" ht="17.399999999999999" thickTop="1" thickBot="1">
      <c r="A59" s="48">
        <v>58</v>
      </c>
      <c r="I59" s="47">
        <v>1.0054000000000001</v>
      </c>
      <c r="U59" s="8"/>
    </row>
    <row r="60" spans="1:24" ht="17.399999999999999" thickTop="1" thickBot="1">
      <c r="A60" s="48">
        <v>59</v>
      </c>
      <c r="I60" s="47">
        <v>1.0042</v>
      </c>
      <c r="U60" s="8"/>
    </row>
    <row r="61" spans="1:24" ht="17.399999999999999" thickTop="1" thickBot="1">
      <c r="A61" s="48">
        <v>60</v>
      </c>
      <c r="I61" s="47">
        <v>1.0031000000000001</v>
      </c>
      <c r="U61" s="8"/>
    </row>
    <row r="62" spans="1:24" ht="16.8" thickTop="1">
      <c r="U62" s="8"/>
    </row>
    <row r="63" spans="1:24">
      <c r="U63" s="8"/>
    </row>
    <row r="64" spans="1:24">
      <c r="U64" s="8"/>
    </row>
    <row r="65" spans="21:21">
      <c r="U65" s="8"/>
    </row>
    <row r="66" spans="21:21">
      <c r="U66" s="8"/>
    </row>
    <row r="67" spans="21:21">
      <c r="U67" s="8"/>
    </row>
    <row r="68" spans="21:21">
      <c r="U68" s="8"/>
    </row>
    <row r="69" spans="21:21">
      <c r="U69" s="8"/>
    </row>
    <row r="70" spans="21:21">
      <c r="U70" s="8"/>
    </row>
    <row r="71" spans="21:21">
      <c r="U71" s="8"/>
    </row>
    <row r="72" spans="21:21">
      <c r="U72" s="8"/>
    </row>
    <row r="73" spans="21:21">
      <c r="U73" s="8"/>
    </row>
    <row r="74" spans="21:21">
      <c r="U74" s="8"/>
    </row>
    <row r="75" spans="21:21">
      <c r="U75" s="8"/>
    </row>
    <row r="76" spans="21:21">
      <c r="U76" s="8"/>
    </row>
    <row r="77" spans="21:21">
      <c r="U77" s="8"/>
    </row>
    <row r="78" spans="21:21">
      <c r="U78" s="8"/>
    </row>
    <row r="79" spans="21:21">
      <c r="U79" s="8"/>
    </row>
    <row r="80" spans="21:21">
      <c r="U80" s="8"/>
    </row>
    <row r="81" spans="21:21">
      <c r="U81" s="8"/>
    </row>
    <row r="82" spans="21:21">
      <c r="U82" s="8"/>
    </row>
    <row r="83" spans="21:21">
      <c r="U83" s="8"/>
    </row>
    <row r="84" spans="21:21">
      <c r="U84" s="8"/>
    </row>
    <row r="85" spans="21:21">
      <c r="U85" s="8"/>
    </row>
    <row r="86" spans="21:21">
      <c r="U86" s="8"/>
    </row>
    <row r="87" spans="21:21">
      <c r="U87" s="8"/>
    </row>
    <row r="88" spans="21:21">
      <c r="U88" s="8"/>
    </row>
    <row r="89" spans="21:21">
      <c r="U89" s="8"/>
    </row>
    <row r="90" spans="21:21">
      <c r="U90" s="8"/>
    </row>
    <row r="91" spans="21:21">
      <c r="U91" s="8"/>
    </row>
    <row r="92" spans="21:21">
      <c r="U92" s="8"/>
    </row>
    <row r="93" spans="21:21">
      <c r="U93" s="8"/>
    </row>
  </sheetData>
  <phoneticPr fontId="2" type="noConversion"/>
  <pageMargins left="0.42" right="0.2" top="0.36" bottom="0.43" header="0.5" footer="0.5"/>
  <pageSetup paperSize="9" scale="41" orientation="landscape" verticalDpi="18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943">
    <pageSetUpPr fitToPage="1"/>
  </sheetPr>
  <dimension ref="A1:CU223"/>
  <sheetViews>
    <sheetView view="pageBreakPreview" zoomScale="70" zoomScaleNormal="100" zoomScaleSheetLayoutView="70" workbookViewId="0">
      <selection activeCell="AA18" sqref="AA18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39" t="s" ph="1">
        <v>161</v>
      </c>
      <c r="C1" s="239" ph="1"/>
      <c r="D1" s="239" ph="1"/>
      <c r="E1" s="239" ph="1"/>
      <c r="F1" s="239" ph="1"/>
      <c r="G1" s="239" ph="1"/>
      <c r="H1" s="239" ph="1"/>
      <c r="I1" s="239" ph="1"/>
      <c r="J1" s="239" ph="1"/>
      <c r="K1" s="239" ph="1"/>
      <c r="L1" s="239" ph="1"/>
      <c r="M1" s="239" ph="1"/>
      <c r="N1" s="239" ph="1"/>
      <c r="O1" s="239" ph="1"/>
      <c r="P1" s="239" ph="1"/>
      <c r="Q1" s="239" ph="1"/>
      <c r="R1" s="239" ph="1"/>
      <c r="S1" s="239" ph="1"/>
      <c r="T1" s="239" ph="1"/>
      <c r="U1" s="239" ph="1"/>
      <c r="V1" s="239" ph="1"/>
      <c r="W1" s="239" ph="1"/>
      <c r="X1" s="239" ph="1"/>
      <c r="Y1" s="239" ph="1"/>
      <c r="Z1" s="239" ph="1"/>
      <c r="AA1" s="239" ph="1"/>
      <c r="AB1" s="239" ph="1"/>
      <c r="AC1" s="239" ph="1"/>
      <c r="AD1" s="239" ph="1"/>
      <c r="AE1" s="239" ph="1"/>
    </row>
    <row r="2" spans="1:99" s="66" customFormat="1" ht="24" customHeight="1" ph="1">
      <c r="B2" s="240" t="s" ph="1">
        <v>82</v>
      </c>
      <c r="C2" s="240" ph="1"/>
      <c r="D2" s="240" ph="1"/>
      <c r="E2" s="240" ph="1"/>
      <c r="F2" s="240" ph="1"/>
      <c r="G2" s="240" ph="1"/>
      <c r="H2" s="240" ph="1"/>
      <c r="I2" s="240" ph="1"/>
      <c r="J2" s="240" ph="1"/>
      <c r="K2" s="240" ph="1"/>
      <c r="L2" s="240" ph="1"/>
      <c r="M2" s="240" ph="1"/>
      <c r="N2" s="240" ph="1"/>
      <c r="O2" s="240" ph="1"/>
      <c r="P2" s="240" ph="1"/>
      <c r="Q2" s="240" ph="1"/>
      <c r="R2" s="240" ph="1"/>
      <c r="S2" s="240" ph="1"/>
      <c r="T2" s="240" ph="1"/>
      <c r="U2" s="240" ph="1"/>
      <c r="V2" s="240" ph="1"/>
      <c r="W2" s="240" ph="1"/>
      <c r="X2" s="240" ph="1"/>
      <c r="Y2" s="240" ph="1"/>
      <c r="Z2" s="240" ph="1"/>
      <c r="AA2" s="240" ph="1"/>
      <c r="AB2" s="240" ph="1"/>
      <c r="AC2" s="240" ph="1"/>
      <c r="AD2" s="240" ph="1"/>
      <c r="AE2" s="240" ph="1"/>
    </row>
    <row r="3" spans="1:99" ht="21" customHeight="1" ph="1">
      <c r="B3" s="241" ph="1">
        <v>46234</v>
      </c>
      <c r="C3" s="241"/>
      <c r="D3" s="241"/>
      <c r="E3" s="241"/>
      <c r="F3" s="241"/>
      <c r="G3" s="241"/>
      <c r="H3" s="241"/>
      <c r="I3" s="241"/>
      <c r="J3" s="241"/>
      <c r="K3" s="241"/>
      <c r="L3" s="241"/>
      <c r="M3" s="241"/>
      <c r="N3" s="241"/>
      <c r="O3" s="241"/>
      <c r="P3" s="241"/>
      <c r="Q3" s="241"/>
      <c r="R3" s="241"/>
      <c r="S3" s="241"/>
      <c r="T3" s="241"/>
      <c r="U3" s="241"/>
      <c r="V3" s="241"/>
      <c r="W3" s="241"/>
      <c r="X3" s="241"/>
      <c r="Y3" s="241"/>
      <c r="Z3" s="241"/>
      <c r="AA3" s="241"/>
      <c r="AB3" s="241"/>
      <c r="AC3" s="241"/>
      <c r="AD3" s="241"/>
      <c r="AE3" s="241"/>
    </row>
    <row r="4" spans="1:99" s="69" customFormat="1" ph="1">
      <c r="A4" s="65" ph="1"/>
      <c r="B4" s="220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0" ph="1"/>
      <c r="C5" s="67" t="s" ph="1">
        <v>36</v>
      </c>
      <c r="D5" s="70" t="s" ph="1">
        <v>160</v>
      </c>
      <c r="E5" s="142" t="s" ph="1">
        <v>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8" ph="1">
        <v>0.33333333333333331</v>
      </c>
      <c r="C6" s="145" t="s" ph="1">
        <v>177</v>
      </c>
      <c r="D6" s="71">
        <v>142</v>
      </c>
      <c r="E6" s="71">
        <v>278</v>
      </c>
      <c r="F6" s="71">
        <v>5784</v>
      </c>
      <c r="G6" s="71">
        <v>1169</v>
      </c>
      <c r="H6" s="71">
        <v>3966</v>
      </c>
      <c r="I6" s="71">
        <v>38.71</v>
      </c>
      <c r="J6" s="71">
        <v>77.02</v>
      </c>
      <c r="K6" s="71">
        <v>49.61</v>
      </c>
      <c r="L6" s="71">
        <v>7.33</v>
      </c>
      <c r="M6" s="71">
        <v>4253</v>
      </c>
      <c r="N6" s="71">
        <v>3963</v>
      </c>
      <c r="O6" s="71">
        <v>4619</v>
      </c>
      <c r="P6" s="71">
        <v>1888</v>
      </c>
      <c r="Q6" s="71">
        <v>7181</v>
      </c>
      <c r="R6" s="71">
        <v>7169</v>
      </c>
      <c r="S6" s="71">
        <v>659</v>
      </c>
      <c r="T6" s="71">
        <v>0</v>
      </c>
      <c r="U6" s="71">
        <v>0</v>
      </c>
      <c r="V6" s="71">
        <v>0</v>
      </c>
      <c r="W6" s="71">
        <v>4972</v>
      </c>
      <c r="X6" s="71">
        <v>5805</v>
      </c>
      <c r="Y6" s="71">
        <v>5689</v>
      </c>
      <c r="Z6" s="71">
        <v>5200</v>
      </c>
      <c r="AA6" s="71">
        <v>1099</v>
      </c>
      <c r="AB6" s="71">
        <v>3859</v>
      </c>
      <c r="AC6" s="71">
        <v>8678</v>
      </c>
      <c r="AD6" s="71">
        <v>3381</v>
      </c>
      <c r="AE6" s="71">
        <v>3955</v>
      </c>
    </row>
    <row r="7" spans="1:99" s="72" customFormat="1" ht="22.2" ph="1">
      <c r="B7" s="238" ph="1"/>
      <c r="C7" s="68" t="s" ph="1">
        <v>178</v>
      </c>
      <c r="D7" s="73" ph="1">
        <f>D6*33.183*LOOKUP(D8,密度!$A$2:$A$50,密度!$Q$2:$Q$50)</f>
        <v>4454.33460552</v>
      </c>
      <c r="E7" s="73" ph="1">
        <f>E6*51.53*LOOKUP(E8,密度!$A$2:$A$50,密度!$B$2:$B$50)</f>
        <v>11143.681986000001</v>
      </c>
      <c r="F7" s="73" ph="1">
        <f>F6*33.183*LOOKUP(F8,密度!$A$2:$A$50,密度!$C$2:$C$50)</f>
        <v>212543.80469280001</v>
      </c>
      <c r="G7" s="73" ph="1">
        <f xml:space="preserve"> (G6+2)*51.53*LOOKUP(G8,密度!$A$2:$A$50,密度!$B$2:$B$50)</f>
        <v>46837.173206000007</v>
      </c>
      <c r="H7" s="73" ph="1">
        <f>(H6)*51.53*LOOKUP(H8,密度!$A$2:$A$50,密度!$B$2:$B$50)</f>
        <v>158977.85164200002</v>
      </c>
      <c r="I7" s="73" ph="1">
        <f>I6*290.8*1.0267</f>
        <v>11557.4263756</v>
      </c>
      <c r="J7" s="73" ph="1">
        <f>J6*290.8*0.7892</f>
        <v>17676.040707200002</v>
      </c>
      <c r="K7" s="73" ph="1">
        <f>K6*290.8*1.1126</f>
        <v>16051.0218088</v>
      </c>
      <c r="L7" s="73" ph="1">
        <f>L6*290.8*0.777</f>
        <v>1656.2252280000002</v>
      </c>
      <c r="M7" s="73" ph="1">
        <f>M6*33.183*LOOKUP(M8,密度!$A$2:$A$50,密度!$D$2:$D$50)</f>
        <v>144232.09957799999</v>
      </c>
      <c r="N7" s="73" ph="1">
        <f>N6*33.183*LOOKUP(N8,密度!$A$2:$A$50,密度!$E$2:$E$50)</f>
        <v>102257.68847039998</v>
      </c>
      <c r="O7" s="73" ph="1">
        <f>O6*20.428*LOOKUP(O8,密度!$A$2:$A$50,密度!$C$2:$C$50)</f>
        <v>103877.5464388</v>
      </c>
      <c r="P7" s="73" ph="1">
        <f>P6*51.53*LOOKUP(P8,密度!$A$2:$A$50,密度!$B$2:$B$50)</f>
        <v>75593.273280000009</v>
      </c>
      <c r="Q7" s="73" ph="1">
        <f>Q6*1.5*1.5*3.1416*LOOKUP(W8,密度!$A$2:$A$50,密度!$L$2:$L$50)</f>
        <v>47409.481904400003</v>
      </c>
      <c r="R7" s="73" ph="1">
        <f>R6*1.5*1.5*3.1416*LOOKUP(R8,密度!$A$2:$A$50,密度!$L$2:$L$50)</f>
        <v>47026.208275200006</v>
      </c>
      <c r="S7" s="73" ph="1">
        <f>S6*1.5*1.5*3.1416*LOOKUP(S8,密度!$A$2:$A$50,密度!$L$2:$L$50)</f>
        <v>4364.7403338000004</v>
      </c>
      <c r="T7" s="73" ph="1">
        <f>T6*1.5*1.5*3.1416*LOOKUP(T8,密度!$A$2:$A$50,密度!$L$2:$L$50)</f>
        <v>0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32825.503972800005</v>
      </c>
      <c r="X7" s="73" ph="1">
        <f>X6*1.5*1.5*3.1416*LOOKUP(X8,密度!$A$2:$A$50,密度!$L$2:$L$50)</f>
        <v>38407.096728000004</v>
      </c>
      <c r="Y7" s="73" ph="1">
        <f>Y6*1.5*1.5*3.1416*LOOKUP(Y8,密度!$A$2:$A$50,密度!$L$2:$L$50)</f>
        <v>37518.976618200002</v>
      </c>
      <c r="Z7" s="73" ph="1">
        <f>Z6*33.183*LOOKUP(Z8,密度!$A$2:$A$50,密度!$L$2:$L$50)</f>
        <v>161163.19440000001</v>
      </c>
      <c r="AA7" s="73" ph="1">
        <f>AA6*33.183*LOOKUP(AA8,密度!$A$2:$A$50,密度!$D$2:$D$50)</f>
        <v>37109.955859200003</v>
      </c>
      <c r="AB7" s="73" ph="1">
        <f>AB6*20.428*LOOKUP(AB8,密度!$A$2:$A$50,密度!$D$2:$D$50)</f>
        <v>81086.237247199999</v>
      </c>
      <c r="AC7" s="73" ph="1">
        <f>AC6*51.53*LOOKUP(AC8,密度!$A$2:$A$50,密度!$Q$2:$Q$50)</f>
        <v>422412.6589108</v>
      </c>
      <c r="AD7" s="73" ph="1">
        <f>AD6*20.428*LOOKUP(AD8,密度!$A$2:$A$50,密度!$V$2:$V$50)</f>
        <v>66138.624316799993</v>
      </c>
      <c r="AE7" s="73" ph="1">
        <f>AE6*20.428</f>
        <v>80792.740000000005</v>
      </c>
    </row>
    <row r="8" spans="1:99" ph="1">
      <c r="B8" s="238" ph="1"/>
      <c r="C8" s="68" t="s" ph="1">
        <v>179</v>
      </c>
      <c r="D8" s="74">
        <v>27</v>
      </c>
      <c r="E8" s="74">
        <v>27</v>
      </c>
      <c r="F8" s="74">
        <v>27</v>
      </c>
      <c r="G8" s="74">
        <v>29</v>
      </c>
      <c r="H8" s="74">
        <v>27</v>
      </c>
      <c r="I8" s="74">
        <v>25</v>
      </c>
      <c r="J8" s="74">
        <v>25</v>
      </c>
      <c r="K8" s="74">
        <v>25</v>
      </c>
      <c r="L8" s="74">
        <v>25</v>
      </c>
      <c r="M8" s="74">
        <v>30</v>
      </c>
      <c r="N8" s="74">
        <v>30</v>
      </c>
      <c r="O8" s="74">
        <v>34</v>
      </c>
      <c r="P8" s="74">
        <v>28</v>
      </c>
      <c r="Q8" s="74">
        <v>29</v>
      </c>
      <c r="R8" s="74">
        <v>34</v>
      </c>
      <c r="S8" s="74">
        <v>25</v>
      </c>
      <c r="T8" s="74">
        <v>25</v>
      </c>
      <c r="U8" s="74">
        <v>29</v>
      </c>
      <c r="V8" s="74">
        <v>29</v>
      </c>
      <c r="W8" s="74">
        <v>28</v>
      </c>
      <c r="X8" s="74">
        <v>26</v>
      </c>
      <c r="Y8" s="74">
        <v>29</v>
      </c>
      <c r="Z8" s="74">
        <v>28</v>
      </c>
      <c r="AA8" s="74">
        <v>35</v>
      </c>
      <c r="AB8" s="74">
        <v>23</v>
      </c>
      <c r="AC8" s="74">
        <v>28</v>
      </c>
      <c r="AD8" s="74">
        <v>27</v>
      </c>
      <c r="AE8" s="74">
        <v>28</v>
      </c>
    </row>
    <row r="9" spans="1:99" ht="26.4" ph="1">
      <c r="B9" s="238" ph="1">
        <v>0.66666666666666663</v>
      </c>
      <c r="C9" s="145" t="s" ph="1">
        <v>180</v>
      </c>
      <c r="D9" s="71">
        <v>142</v>
      </c>
      <c r="E9" s="71">
        <v>278</v>
      </c>
      <c r="F9" s="71">
        <v>6344</v>
      </c>
      <c r="G9" s="71">
        <v>895</v>
      </c>
      <c r="H9" s="71">
        <v>5288</v>
      </c>
      <c r="I9" s="71">
        <v>38.72</v>
      </c>
      <c r="J9" s="71">
        <v>77.13</v>
      </c>
      <c r="K9" s="71">
        <v>20.02</v>
      </c>
      <c r="L9" s="71">
        <v>49.31</v>
      </c>
      <c r="M9" s="71">
        <v>4253</v>
      </c>
      <c r="N9" s="71">
        <v>3963</v>
      </c>
      <c r="O9" s="71">
        <v>4570</v>
      </c>
      <c r="P9" s="71">
        <v>1231</v>
      </c>
      <c r="Q9" s="71">
        <v>7186</v>
      </c>
      <c r="R9" s="71">
        <v>7175</v>
      </c>
      <c r="S9" s="71">
        <v>3735</v>
      </c>
      <c r="T9" s="71">
        <v>6027</v>
      </c>
      <c r="U9" s="71">
        <v>0</v>
      </c>
      <c r="V9" s="71">
        <v>2837</v>
      </c>
      <c r="W9" s="71">
        <v>416</v>
      </c>
      <c r="X9" s="71">
        <v>5808</v>
      </c>
      <c r="Y9" s="71">
        <v>5693</v>
      </c>
      <c r="Z9" s="71">
        <v>2356</v>
      </c>
      <c r="AA9" s="71">
        <v>1099</v>
      </c>
      <c r="AB9" s="71">
        <v>3859</v>
      </c>
      <c r="AC9" s="71">
        <v>8955</v>
      </c>
      <c r="AD9" s="71">
        <v>3381</v>
      </c>
      <c r="AE9" s="71">
        <v>3965</v>
      </c>
    </row>
    <row r="10" spans="1:99" s="72" customFormat="1" ht="22.2" ph="1">
      <c r="B10" s="238" ph="1"/>
      <c r="C10" s="145" t="s" ph="1">
        <v>178</v>
      </c>
      <c r="D10" s="73" ph="1">
        <f>D9*33.183*LOOKUP(D11,密度!$A$2:$A$50,密度!$Q$2:$Q$50)</f>
        <v>4441.4237638799996</v>
      </c>
      <c r="E10" s="73" ph="1">
        <f>E9*51.53*LOOKUP(E11,密度!$A$2:$A$50,密度!$B$2:$B$50)</f>
        <v>11069.190218000002</v>
      </c>
      <c r="F10" s="73" ph="1">
        <f>F9*33.183*LOOKUP(F11,密度!$A$2:$A$50,密度!$C$2:$C$50)</f>
        <v>232953.6326832</v>
      </c>
      <c r="G10" s="73" ph="1">
        <f xml:space="preserve"> (G9+2)*51.53*LOOKUP(G11,密度!$A$2:$A$50,密度!$B$2:$B$50)</f>
        <v>35794.634303999999</v>
      </c>
      <c r="H10" s="73" ph="1">
        <f>(H9)*51.53*LOOKUP(H11,密度!$A$2:$A$50,密度!$B$2:$B$50)</f>
        <v>211507.23476800002</v>
      </c>
      <c r="I10" s="73" ph="1">
        <f>I9*290.8*1.0267</f>
        <v>11560.412019199999</v>
      </c>
      <c r="J10" s="73" ph="1">
        <f>J9*290.8*0.7892</f>
        <v>17701.285636799999</v>
      </c>
      <c r="K10" s="73" ph="1">
        <f>K9*290.8*1.1126</f>
        <v>6477.3524815999999</v>
      </c>
      <c r="L10" s="73" ph="1">
        <f>L9*290.8*0.777</f>
        <v>11141.673396000002</v>
      </c>
      <c r="M10" s="73" ph="1">
        <f>M9*33.183*LOOKUP(M11,密度!$A$2:$A$50,密度!$D$2:$D$50)</f>
        <v>143978.07043980001</v>
      </c>
      <c r="N10" s="73" ph="1">
        <f>N9*33.183*LOOKUP(N11,密度!$A$2:$A$50,密度!$E$2:$E$50)</f>
        <v>102257.68847039998</v>
      </c>
      <c r="O10" s="73" ph="1">
        <f>O9*20.428*LOOKUP(O11,密度!$A$2:$A$50,密度!$C$2:$C$50)</f>
        <v>103242.35616400001</v>
      </c>
      <c r="P10" s="73" ph="1">
        <f>P9*51.53*LOOKUP(P11,密度!$A$2:$A$50,密度!$B$2:$B$50)</f>
        <v>49122.848191999998</v>
      </c>
      <c r="Q10" s="73" ph="1">
        <f>Q9*1.5*1.5*3.1416*LOOKUP(W11,密度!$A$2:$A$50,密度!$L$2:$L$50)</f>
        <v>47290.107387600001</v>
      </c>
      <c r="R10" s="73" ph="1">
        <f>R9*1.5*1.5*3.1416*LOOKUP(R11,密度!$A$2:$A$50,密度!$L$2:$L$50)</f>
        <v>47014.849035000007</v>
      </c>
      <c r="S10" s="73" ph="1">
        <f>S9*1.5*1.5*3.1416*LOOKUP(S11,密度!$A$2:$A$50,密度!$L$2:$L$50)</f>
        <v>24711.542856000004</v>
      </c>
      <c r="T10" s="73" ph="1">
        <f>T9*1.5*1.5*3.1416*LOOKUP(T11,密度!$A$2:$A$50,密度!$L$2:$L$50)</f>
        <v>40003.702615800001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18710.025780600001</v>
      </c>
      <c r="W10" s="73" ph="1">
        <f>W9*1.5*1.5*3.1416*LOOKUP(W11,密度!$A$2:$A$50,密度!$L$2:$L$50)</f>
        <v>2737.6405056000003</v>
      </c>
      <c r="X10" s="73" ph="1">
        <f>X9*1.5*1.5*3.1416*LOOKUP(X11,密度!$A$2:$A$50,密度!$L$2:$L$50)</f>
        <v>38385.890928000001</v>
      </c>
      <c r="Y10" s="73" ph="1">
        <f>Y9*1.5*1.5*3.1416*LOOKUP(Y11,密度!$A$2:$A$50,密度!$L$2:$L$50)</f>
        <v>37505.115093599998</v>
      </c>
      <c r="Z10" s="73" ph="1">
        <f>Z9*33.183*LOOKUP(Z11,密度!$A$2:$A$50,密度!$L$2:$L$50)</f>
        <v>72941.145084000003</v>
      </c>
      <c r="AA10" s="73" ph="1">
        <f>AA9*33.183*LOOKUP(AA11,密度!$A$2:$A$50,密度!$D$2:$D$50)</f>
        <v>37015.138754999993</v>
      </c>
      <c r="AB10" s="73" ph="1">
        <f>AB9*20.428*LOOKUP(AB11,密度!$A$2:$A$50,密度!$D$2:$D$50)</f>
        <v>81007.405595200005</v>
      </c>
      <c r="AC10" s="73" ph="1">
        <f>AC9*51.53*LOOKUP(AC11,密度!$A$2:$A$50,密度!$Q$2:$Q$50)</f>
        <v>434640.838185</v>
      </c>
      <c r="AD10" s="73" ph="1">
        <f>AD9*20.428*LOOKUP(AD11,密度!$A$2:$A$50,密度!$V$2:$V$50)</f>
        <v>66138.624316799993</v>
      </c>
      <c r="AE10" s="73" ph="1">
        <f>AE9*20.428</f>
        <v>80997.02</v>
      </c>
    </row>
    <row r="11" spans="1:99" ph="1">
      <c r="A11" s="64" t="s" ph="1">
        <v>162</v>
      </c>
      <c r="B11" s="238" ph="1"/>
      <c r="C11" s="145" t="s" ph="1">
        <v>179</v>
      </c>
      <c r="D11" s="74">
        <v>31</v>
      </c>
      <c r="E11" s="74">
        <v>33</v>
      </c>
      <c r="F11" s="74">
        <v>28</v>
      </c>
      <c r="G11" s="74">
        <v>31</v>
      </c>
      <c r="H11" s="74">
        <v>29</v>
      </c>
      <c r="I11" s="74">
        <v>25</v>
      </c>
      <c r="J11" s="74">
        <v>25</v>
      </c>
      <c r="K11" s="74">
        <v>25</v>
      </c>
      <c r="L11" s="74">
        <v>25</v>
      </c>
      <c r="M11" s="74">
        <v>32</v>
      </c>
      <c r="N11" s="74">
        <v>30</v>
      </c>
      <c r="O11" s="74">
        <v>29</v>
      </c>
      <c r="P11" s="74">
        <v>31</v>
      </c>
      <c r="Q11" s="74">
        <v>32</v>
      </c>
      <c r="R11" s="74">
        <v>35</v>
      </c>
      <c r="S11" s="74">
        <v>26</v>
      </c>
      <c r="T11" s="74">
        <v>23</v>
      </c>
      <c r="U11" s="74">
        <v>30</v>
      </c>
      <c r="V11" s="74">
        <v>29</v>
      </c>
      <c r="W11" s="74">
        <v>31</v>
      </c>
      <c r="X11" s="74">
        <v>27</v>
      </c>
      <c r="Y11" s="74">
        <v>30</v>
      </c>
      <c r="Z11" s="74">
        <v>29</v>
      </c>
      <c r="AA11" s="74">
        <v>38</v>
      </c>
      <c r="AB11" s="74">
        <v>24</v>
      </c>
      <c r="AC11" s="74">
        <v>32</v>
      </c>
      <c r="AD11" s="74">
        <v>29</v>
      </c>
      <c r="AE11" s="74">
        <v>30</v>
      </c>
    </row>
    <row r="12" spans="1:99" ht="9.9" customHeight="1" ph="1"/>
    <row r="13" spans="1:99" s="72" customFormat="1" ht="29.25" customHeight="1" ph="1">
      <c r="B13" s="215" t="s" ph="1">
        <v>37</v>
      </c>
      <c r="C13" s="145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6" ph="1"/>
      <c r="C14" s="67" t="s" ph="1">
        <v>36</v>
      </c>
      <c r="D14" s="77" t="s" ph="1">
        <v>616</v>
      </c>
      <c r="E14" s="77" t="s" ph="1">
        <v>616</v>
      </c>
      <c r="F14" s="144" t="s" ph="1">
        <v>636</v>
      </c>
      <c r="G14" s="77" t="s" ph="1">
        <v>617</v>
      </c>
      <c r="H14" s="77" t="s" ph="1">
        <v>637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638</v>
      </c>
      <c r="P14" s="77" t="s" ph="1">
        <v>622</v>
      </c>
      <c r="Q14" s="77" t="s" ph="1">
        <v>622</v>
      </c>
      <c r="R14" s="88" t="s" ph="1">
        <v>7</v>
      </c>
      <c r="S14" s="77" t="s" ph="1">
        <v>622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17" ph="1">
        <v>0.33333333333333331</v>
      </c>
      <c r="C15" s="145" t="s" ph="1">
        <v>177</v>
      </c>
      <c r="D15" s="78">
        <v>2290</v>
      </c>
      <c r="E15" s="78">
        <v>63</v>
      </c>
      <c r="F15" s="78">
        <v>459</v>
      </c>
      <c r="G15" s="78">
        <v>3871</v>
      </c>
      <c r="H15" s="78">
        <v>4366</v>
      </c>
      <c r="I15" s="78">
        <v>3128</v>
      </c>
      <c r="J15" s="78">
        <v>4933</v>
      </c>
      <c r="K15" s="78">
        <v>4696</v>
      </c>
      <c r="L15" s="78">
        <v>6015</v>
      </c>
      <c r="M15" s="78">
        <v>4088</v>
      </c>
      <c r="N15" s="78">
        <v>552</v>
      </c>
      <c r="O15" s="78">
        <v>2500</v>
      </c>
      <c r="P15" s="78">
        <v>5276</v>
      </c>
      <c r="Q15" s="78">
        <v>6710</v>
      </c>
      <c r="R15" s="78">
        <v>0</v>
      </c>
      <c r="S15" s="78">
        <v>913</v>
      </c>
      <c r="T15" s="78">
        <v>4712</v>
      </c>
      <c r="U15" s="78">
        <v>0</v>
      </c>
      <c r="V15" s="78">
        <v>-817</v>
      </c>
      <c r="W15" s="71">
        <v>-817</v>
      </c>
      <c r="X15" s="78">
        <v>1034</v>
      </c>
      <c r="Y15" s="106">
        <v>-9909</v>
      </c>
      <c r="Z15" s="78">
        <v>0</v>
      </c>
      <c r="AA15" s="78">
        <v>2508</v>
      </c>
      <c r="AB15" s="78" ph="1">
        <v>0</v>
      </c>
      <c r="AC15" s="78" ph="1">
        <v>0</v>
      </c>
      <c r="AD15" s="78">
        <v>5.72</v>
      </c>
      <c r="AE15" s="78">
        <v>41.42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18" ph="1"/>
      <c r="C16" s="145" t="s" ph="1">
        <v>178</v>
      </c>
      <c r="D16" s="73" ph="1">
        <f>D15*7.0686*LOOKUP(D17,密度!$A$2:$A$50,密度!$L$2:$L$50)</f>
        <v>15102.558702</v>
      </c>
      <c r="E16" s="73" ph="1">
        <f>E15*7.0686*LOOKUP(E17,密度!$A$2:$A$50,密度!$L$2:$L$50)</f>
        <v>415.9305612</v>
      </c>
      <c r="F16" s="73" ph="1">
        <f>F15*9.0746*LOOKUP(F17,密度!$A$2:$A$50,密度!$L$2:$L$50)</f>
        <v>3886.1702261999999</v>
      </c>
      <c r="G16" s="73" ph="1">
        <f>G15*9.0746*LOOKUP(G17,密度!$A$2:$A$50,密度!$B$2:$B$50)</f>
        <v>27234.565197979999</v>
      </c>
      <c r="H16" s="73" ph="1">
        <f>H15*9.0746*LOOKUP(H17,密度!$A$2:$A$50,密度!$L$2:$L$50)</f>
        <v>37084.042569600002</v>
      </c>
      <c r="I16" s="73" ph="1">
        <f>I15*9.0746*LOOKUP(I17,密度!$A$2:$A$50,密度!$U$2:$U$50)</f>
        <v>29009.826473600002</v>
      </c>
      <c r="J16" s="73" ph="1">
        <f>J15*9.0746*LOOKUP(J17,密度!$A$2:$A$50,密度!$L$2:$L$50)</f>
        <v>41720.981677600001</v>
      </c>
      <c r="K16" s="73" ph="1">
        <f>K15*9.0746*LOOKUP(K17,密度!$A$2:$A$50,密度!$C$2:$C$50)</f>
        <v>47157.008282560004</v>
      </c>
      <c r="L16" s="73" ph="1">
        <f>L15*9.0746*LOOKUP(L17,密度!$A$2:$A$50,密度!$E$2:$E$50)</f>
        <v>42444.299894399999</v>
      </c>
      <c r="M16" s="73" ph="1">
        <f>M15*9.0746*LOOKUP(M17,密度!$A$2:$A$50,密度!$M$2:$M$50)</f>
        <v>32270.64967952</v>
      </c>
      <c r="N16" s="73" ph="1">
        <f>N15*9.0746*LOOKUP(N17,密度!$A$2:$A$50,密度!$M$2:$M$50)</f>
        <v>4378.52353872</v>
      </c>
      <c r="O16" s="73" ph="1">
        <f>O15*9.0746*LOOKUP(O17,密度!$A$2:$A$50,密度!$G$2:$G$50)</f>
        <v>21658.80155</v>
      </c>
      <c r="P16" s="73" ph="1">
        <f ca="1">P15*9.0746*LOOKUP(P17,密度!$A$2:$A$51,密度!$Q$2:$Q$50)</f>
        <v>45193.093151128</v>
      </c>
      <c r="Q16" s="73" ph="1">
        <f>Q15*9.0746*LOOKUP(Q17,密度!$A$2:$A$50,密度!$Q$2:$Q$50)</f>
        <v>57439.897624780002</v>
      </c>
      <c r="R16" s="73" ph="1">
        <f>MAX(R15*9.0746*LOOKUP(R17,密度!$A$2:$A$50,密度!$B$2:$B$50),0)</f>
        <v>0</v>
      </c>
      <c r="S16" s="73" ph="1">
        <f>S15*9.0746*LOOKUP(S17,密度!$A$2:$A$50,密度!$Q$2:$Q$50)</f>
        <v>7826.2804192760004</v>
      </c>
      <c r="T16" s="73" ph="1">
        <f>T15*9.0746*LOOKUP(T17,密度!$A$2:$A$50,密度!$O$2:$O$50)</f>
        <v>39595.311075200007</v>
      </c>
      <c r="U16" s="73" ph="1">
        <f>U15*9.0746*LOOKUP(U17,密度!$A$2:$A$50,密度!$H$2:$H$50)</f>
        <v>0</v>
      </c>
      <c r="V16" s="73" ph="1">
        <f>MAX(5600*LOOKUP(V17,密度!$A$2:$A$50,密度!$Q$2:$Q$50)+V15*9.0476*LOOKUP(V17,密度!$A$2:$A$50,密度!$Q$2:$Q$50),0)</f>
        <v>0</v>
      </c>
      <c r="W16" s="73" ph="1">
        <f>MAX(5600*LOOKUP(W17,密度!$A$2:$A$50,密度!$Q$2:$Q$50)+W15*9.0476*LOOKUP(W17,密度!$A$2:$A$50,密度!$Q$2:$Q$50),0)</f>
        <v>0</v>
      </c>
      <c r="X16" s="73" ph="1">
        <f>MAX(5600*LOOKUP(X17,密度!$A$2:$A$50,密度!$I$2:$I$50)+X15*9.0476*LOOKUP(X17,密度!$A$2:$A$50,密度!$I$2:$I$50),0)</f>
        <v>15504.074915279998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17683.8182136</v>
      </c>
      <c r="AB16" s="73" ph="1">
        <f>AB15*9.0746*LOOKUP(AB17,密度!$A$2:$A$50,密度!$L$2:$L$50)</f>
        <v>0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2418.9815481599999</v>
      </c>
      <c r="AE16" s="73" ph="1">
        <f>AE15*268.68*LOOKUP(AE17,密度!$A$2:$A$50,密度!B2:B50)+IF(AE15&lt;=0,0,1566*LOOKUP(AE17,密度!$A$2:$A$50,密度!B2:B50))</f>
        <v>9896.8080777600007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19" ph="1"/>
      <c r="C17" s="79" t="s" ph="1">
        <v>179</v>
      </c>
      <c r="D17" s="74">
        <v>29</v>
      </c>
      <c r="E17" s="74">
        <v>28</v>
      </c>
      <c r="F17" s="74">
        <v>29</v>
      </c>
      <c r="G17" s="74">
        <v>30</v>
      </c>
      <c r="H17" s="74">
        <v>26</v>
      </c>
      <c r="I17" s="74">
        <v>28</v>
      </c>
      <c r="J17" s="74">
        <v>30</v>
      </c>
      <c r="K17" s="74">
        <v>28</v>
      </c>
      <c r="L17" s="74">
        <v>30</v>
      </c>
      <c r="M17" s="74">
        <v>30</v>
      </c>
      <c r="N17" s="74">
        <v>26</v>
      </c>
      <c r="O17" s="74">
        <v>30</v>
      </c>
      <c r="P17" s="74">
        <v>29</v>
      </c>
      <c r="Q17" s="74">
        <v>30</v>
      </c>
      <c r="R17" s="74">
        <v>29</v>
      </c>
      <c r="S17" s="74">
        <v>28</v>
      </c>
      <c r="T17" s="74">
        <v>28</v>
      </c>
      <c r="U17" s="74">
        <v>28</v>
      </c>
      <c r="V17" s="74">
        <v>29</v>
      </c>
      <c r="W17" s="74">
        <v>29</v>
      </c>
      <c r="X17" s="74">
        <v>30</v>
      </c>
      <c r="Y17" s="108">
        <v>30</v>
      </c>
      <c r="Z17" s="74">
        <v>28</v>
      </c>
      <c r="AA17" s="74">
        <v>28</v>
      </c>
      <c r="AB17" s="74">
        <v>28</v>
      </c>
      <c r="AC17" s="74">
        <v>27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17" ph="1">
        <v>0.66666666666666663</v>
      </c>
      <c r="C18" s="79" t="s" ph="1">
        <v>180</v>
      </c>
      <c r="D18" s="71">
        <v>177</v>
      </c>
      <c r="E18" s="71">
        <v>2840</v>
      </c>
      <c r="F18" s="71">
        <v>458</v>
      </c>
      <c r="G18" s="71">
        <v>4000</v>
      </c>
      <c r="H18" s="71">
        <v>4367</v>
      </c>
      <c r="I18" s="71">
        <v>3129</v>
      </c>
      <c r="J18" s="71">
        <v>4936</v>
      </c>
      <c r="K18" s="71">
        <v>4709</v>
      </c>
      <c r="L18" s="71">
        <v>6020</v>
      </c>
      <c r="M18" s="71">
        <v>2738</v>
      </c>
      <c r="N18" s="71">
        <v>3914</v>
      </c>
      <c r="O18" s="71">
        <v>2500</v>
      </c>
      <c r="P18" s="71">
        <v>5280</v>
      </c>
      <c r="Q18" s="71">
        <v>5481</v>
      </c>
      <c r="R18" s="71">
        <v>0</v>
      </c>
      <c r="S18" s="71">
        <v>1013</v>
      </c>
      <c r="T18" s="71">
        <v>4215</v>
      </c>
      <c r="U18" s="71">
        <v>0</v>
      </c>
      <c r="V18" s="71">
        <v>-817</v>
      </c>
      <c r="W18" s="71">
        <v>-815</v>
      </c>
      <c r="X18" s="71">
        <v>1032</v>
      </c>
      <c r="Y18" s="109">
        <v>-9909</v>
      </c>
      <c r="Z18" s="71">
        <v>0</v>
      </c>
      <c r="AA18" s="71">
        <v>2509</v>
      </c>
      <c r="AB18" s="71">
        <v>0</v>
      </c>
      <c r="AC18" s="71">
        <v>0</v>
      </c>
      <c r="AD18" s="71">
        <v>11.22</v>
      </c>
      <c r="AE18" s="71">
        <v>84.71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18" ph="1"/>
      <c r="C19" s="145" t="s" ph="1">
        <v>178</v>
      </c>
      <c r="D19" s="73" ph="1">
        <f>D18*7.0686*LOOKUP(D20,密度!$A$2:$A$50,密度!$L$2:$L$50)</f>
        <v>1166.0645304</v>
      </c>
      <c r="E19" s="73" ph="1">
        <f>E18*7.0686*LOOKUP(E20,密度!$A$2:$A$50,密度!$L$2:$L$50)</f>
        <v>18689.661144000002</v>
      </c>
      <c r="F19" s="73" ph="1">
        <f>F18*9.0746*LOOKUP(F20,密度!$A$2:$A$50,密度!$L$2:$L$50)</f>
        <v>3856.9227903999999</v>
      </c>
      <c r="G19" s="73" ph="1">
        <f>G18*9.0746*LOOKUP(G20,密度!$A$2:$A$50,密度!$B$2:$B$50)</f>
        <v>28142.149519999999</v>
      </c>
      <c r="H19" s="73" ph="1">
        <f>H18*9.0746*LOOKUP(H20,密度!$A$2:$A$50,密度!$L$2:$L$50)</f>
        <v>37052.907617000004</v>
      </c>
      <c r="I19" s="73" ph="1">
        <f>I18*9.0746*LOOKUP(I20,密度!$A$2:$A$50,密度!$U$2:$U$50)</f>
        <v>28877.128597799998</v>
      </c>
      <c r="J19" s="73" ph="1">
        <f>J18*9.0746*LOOKUP(J20,密度!$A$2:$A$50,密度!$L$2:$L$50)</f>
        <v>41656.769807999997</v>
      </c>
      <c r="K19" s="73" ph="1">
        <f>K18*9.0746*LOOKUP(K20,密度!$A$2:$A$50,密度!$C$2:$C$50)</f>
        <v>47223.455226140002</v>
      </c>
      <c r="L19" s="73" ph="1">
        <f>L18*9.0746*LOOKUP(L20,密度!$A$2:$A$50,密度!$E$2:$E$50)</f>
        <v>42479.581939199998</v>
      </c>
      <c r="M19" s="73" ph="1">
        <f>M18*9.0746*LOOKUP(M20,密度!$A$2:$A$50,密度!$M$2:$M$50)</f>
        <v>21509.899705455999</v>
      </c>
      <c r="N19" s="73" ph="1">
        <f>N18*9.0746*LOOKUP(N20,密度!$A$2:$A$50,密度!$M$2:$M$50)</f>
        <v>30936.164412400001</v>
      </c>
      <c r="O19" s="73" ph="1">
        <f>O18*9.0746*LOOKUP(O20,密度!$A$2:$A$50,密度!$G$2:$G$50)</f>
        <v>21612.067360000001</v>
      </c>
      <c r="P19" s="73" ph="1">
        <f ca="1">P18*9.0746*LOOKUP(P20,密度!$A$2:$A$51,密度!$Q$2:$Q$50)</f>
        <v>45198.607967039999</v>
      </c>
      <c r="Q19" s="73" ph="1">
        <f>Q18*9.0746*LOOKUP(Q20,密度!$A$2:$A$50,密度!$Q$2:$Q$50)</f>
        <v>46848.111620939999</v>
      </c>
      <c r="R19" s="73" ph="1">
        <f>MAX(R18*9.0746*LOOKUP(R20,密度!$A$2:$A$50,密度!$B$2:$B$50),0)</f>
        <v>0</v>
      </c>
      <c r="S19" s="73" ph="1">
        <f>S18*9.0746*LOOKUP(S20,密度!$A$2:$A$50,密度!$Q$2:$Q$50)</f>
        <v>8652.5063242500019</v>
      </c>
      <c r="T19" s="73" ph="1">
        <f>T18*9.0746*LOOKUP(T20,密度!$A$2:$A$50,密度!$O$2:$O$50)</f>
        <v>35235.383206799997</v>
      </c>
      <c r="U19" s="73" ph="1">
        <f>U18*9.0746*LOOKUP(U20,密度!$A$2:$A$50,密度!$H$2:$H$50)</f>
        <v>0</v>
      </c>
      <c r="V19" s="73" ph="1">
        <f>MAX(5600*LOOKUP(V20,密度!$A$2:$A$50,密度!$Q$2:$Q$50)+V18*9.0476*LOOKUP(V20,密度!$A$2:$A$50,密度!$Q$2:$Q$50),0)</f>
        <v>0</v>
      </c>
      <c r="W19" s="73" ph="1">
        <f>MAX(5600*LOOKUP(W20,密度!$A$2:$A$50,密度!$Q$2:$Q$50)+W18*9.0476*LOOKUP(W20,密度!$A$2:$A$50,密度!$Q$2:$Q$50),0)</f>
        <v>0</v>
      </c>
      <c r="X19" s="73" ph="1">
        <f>MAX(5600*LOOKUP(X20,密度!$A$2:$A$50,密度!$I$2:$I$50)+X18*9.0476*LOOKUP(X20,密度!$A$2:$A$50,密度!$I$2:$I$50),0)</f>
        <v>15452.453950399999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17592.96604078</v>
      </c>
      <c r="AB19" s="73" ph="1">
        <f>AB18*9.0746*LOOKUP(AB20,密度!$A$2:$A$50,密度!$L$2:$L$50)</f>
        <v>0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3559.1181192000004</v>
      </c>
      <c r="AE19" s="73" ph="1">
        <f>AE18*268.68*LOOKUP(AE20,密度!$A$2:$A$50,密度!B5:B53)+IF(AE18&lt;=0,0,1566*LOOKUP(AE20,密度!$A$2:$A$50,密度!B5:B53))</f>
        <v>18901.2109356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18" ph="1"/>
      <c r="C20" s="80" t="s" ph="1">
        <v>179</v>
      </c>
      <c r="D20" s="81">
        <v>30</v>
      </c>
      <c r="E20" s="81">
        <v>31</v>
      </c>
      <c r="F20" s="81">
        <v>34</v>
      </c>
      <c r="G20" s="81">
        <v>30</v>
      </c>
      <c r="H20" s="81">
        <v>27</v>
      </c>
      <c r="I20" s="81">
        <v>33</v>
      </c>
      <c r="J20" s="81">
        <v>32</v>
      </c>
      <c r="K20" s="81">
        <v>30</v>
      </c>
      <c r="L20" s="81">
        <v>30</v>
      </c>
      <c r="M20" s="81">
        <v>34</v>
      </c>
      <c r="N20" s="81">
        <v>29</v>
      </c>
      <c r="O20" s="81">
        <v>32</v>
      </c>
      <c r="P20" s="81">
        <v>30</v>
      </c>
      <c r="Q20" s="81">
        <v>32</v>
      </c>
      <c r="R20" s="81">
        <v>34</v>
      </c>
      <c r="S20" s="81">
        <v>33</v>
      </c>
      <c r="T20" s="81">
        <v>33</v>
      </c>
      <c r="U20" s="81">
        <v>32</v>
      </c>
      <c r="V20" s="81">
        <v>33</v>
      </c>
      <c r="W20" s="81">
        <v>34</v>
      </c>
      <c r="X20" s="81">
        <v>32</v>
      </c>
      <c r="Y20" s="110">
        <v>32</v>
      </c>
      <c r="Z20" s="81">
        <v>32</v>
      </c>
      <c r="AA20" s="81">
        <v>33</v>
      </c>
      <c r="AB20" s="81">
        <v>32</v>
      </c>
      <c r="AC20" s="81">
        <v>32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6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6" t="s" ph="1">
        <v>69</v>
      </c>
      <c r="AA22" s="227"/>
      <c r="AB22" s="227"/>
      <c r="AC22" s="227"/>
      <c r="AD22" s="227"/>
      <c r="AE22" s="228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0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610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229" t="s" ph="1">
        <v>640</v>
      </c>
      <c r="AA23" s="230"/>
      <c r="AB23" s="230"/>
      <c r="AC23" s="230"/>
      <c r="AD23" s="230"/>
      <c r="AE23" s="231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38" ph="1">
        <v>0.33333333333333331</v>
      </c>
      <c r="C24" s="145" t="s" ph="1">
        <v>177</v>
      </c>
      <c r="D24" s="71">
        <v>2.73</v>
      </c>
      <c r="E24" s="71">
        <v>5.81</v>
      </c>
      <c r="F24" s="71">
        <v>542</v>
      </c>
      <c r="G24" s="71">
        <v>3920</v>
      </c>
      <c r="H24" s="71">
        <v>3271</v>
      </c>
      <c r="I24" s="71">
        <v>2756</v>
      </c>
      <c r="J24" s="71">
        <v>306</v>
      </c>
      <c r="K24" s="71">
        <v>303</v>
      </c>
      <c r="L24" s="71">
        <v>302</v>
      </c>
      <c r="M24" s="71">
        <v>327</v>
      </c>
      <c r="N24" s="71">
        <v>320</v>
      </c>
      <c r="O24" s="71">
        <v>343</v>
      </c>
      <c r="P24" s="71">
        <v>374</v>
      </c>
      <c r="Q24" s="90">
        <v>2348</v>
      </c>
      <c r="R24" s="71">
        <v>350</v>
      </c>
      <c r="S24" s="71">
        <v>3225</v>
      </c>
      <c r="T24" s="71">
        <v>402</v>
      </c>
      <c r="U24" s="71">
        <v>3934</v>
      </c>
      <c r="V24" s="71">
        <v>741</v>
      </c>
      <c r="W24" s="71">
        <v>3310</v>
      </c>
      <c r="X24" s="71">
        <v>4165</v>
      </c>
      <c r="Y24" s="71">
        <v>1766</v>
      </c>
      <c r="Z24" s="232"/>
      <c r="AA24" s="233"/>
      <c r="AB24" s="233"/>
      <c r="AC24" s="233"/>
      <c r="AD24" s="233"/>
      <c r="AE24" s="234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38" ph="1"/>
      <c r="C25" s="68" t="s" ph="1">
        <v>178</v>
      </c>
      <c r="D25" s="91" ph="1">
        <f>D24*268.68*LOOKUP(D26,密度!$A$2:$A$50,密度!$Q$2:$Q$50)+IF(D24&lt;=0,0,1566*LOOKUP(D26,密度!$A$2:$A$50,密度!$Q$2:$Q$50))</f>
        <v>2177.0252217359998</v>
      </c>
      <c r="E25" s="91" ph="1">
        <f>E24*268.68*LOOKUP(E26,密度!$A$2:$A$50,密度!$C$2:$C$50)+IF(E24&lt;=0,0,1566*LOOKUP(E26,密度!$A$2:$A$50,密度!$C$2:$C$50))</f>
        <v>3467.5644541199999</v>
      </c>
      <c r="F25" s="91" ph="1">
        <f>F24*11.702*LOOKUP(F26,密度!$A$2:$A$50,密度!$Q$2:$Q$50)</f>
        <v>5995.6769748800007</v>
      </c>
      <c r="G25" s="91" ph="1">
        <f>G24*18.322*LOOKUP(G26,密度!$A$2:$A$50,密度!$B$2:$B$50)</f>
        <v>55805.880479999993</v>
      </c>
      <c r="H25" s="91" ph="1">
        <f>H24*18.322*LOOKUP(H26,密度!$A$2:$A$50,密度!$B$2:$B$50)</f>
        <v>46620.528709799997</v>
      </c>
      <c r="I25" s="91" ph="1">
        <f>I24*18.322*LOOKUP(I26,密度!$A$2:$A$50,密度!$Q$2:$Q$50)</f>
        <v>47770.193534960003</v>
      </c>
      <c r="J25" s="91" ph="1">
        <f>J24*18.322*LOOKUP(J26,密度!$A$2:$A$50,密度!$Q$2:$Q$50)</f>
        <v>5299.9668302400005</v>
      </c>
      <c r="K25" s="91" ph="1">
        <f>K24*18.322*LOOKUP(K26,密度!$A$2:$A$50,密度!$Q$2:$Q$50)</f>
        <v>5248.00637112</v>
      </c>
      <c r="L25" s="91" ph="1">
        <f>L24*18.322*LOOKUP(L26,密度!$A$2:$A$50,密度!$Q$2:$Q$50)</f>
        <v>5234.6148213199995</v>
      </c>
      <c r="M25" s="91" ph="1">
        <f>M24*18.322*LOOKUP(M26,密度!$A$2:$A$50,密度!$Q$2:$Q$50)</f>
        <v>5659.4961382800002</v>
      </c>
      <c r="N25" s="91" ph="1">
        <f>N24*18.322*LOOKUP(N26,密度!$A$2:$A$50,密度!$Q$2:$Q$50)</f>
        <v>5542.4489727999999</v>
      </c>
      <c r="O25" s="91" ph="1">
        <f>O24*18.322*LOOKUP(O26,密度!$A$2:$A$50,密度!$C$2:$C$50)</f>
        <v>6963.7946126000006</v>
      </c>
      <c r="P25" s="91" ph="1">
        <f>P24*11.702*LOOKUP(P26,密度!$A$2:$A$50,密度!$B$2:$B$50)</f>
        <v>3404.5166892000002</v>
      </c>
      <c r="Q25" s="92" ph="1">
        <f>Q24*18.322*LOOKUP(Q26,密度!$A$2:$A$50,密度!$B$2:$B$50)</f>
        <v>33465.301562399996</v>
      </c>
      <c r="R25" s="91" ph="1">
        <f>R24*35.891*LOOKUP(R26,密度!$A$2:$A$50,密度!$C$2:$C$50)</f>
        <v>13900.943209999999</v>
      </c>
      <c r="S25" s="91" ph="1">
        <f>S24*35.891*LOOKUP(S26,密度!$A$2:$A$50,密度!$B$2:$B$50)</f>
        <v>89936.565074999991</v>
      </c>
      <c r="T25" s="91" ph="1">
        <f>T24*35.891*LOOKUP(T26,密度!$A$2:$A$50,密度!$Q$2:$Q$50)</f>
        <v>13639.24900824</v>
      </c>
      <c r="U25" s="91" ph="1">
        <f>U24*35.891</f>
        <v>141195.19399999999</v>
      </c>
      <c r="V25" s="91" ph="1">
        <f>V24*47.051*LOOKUP(V26,密度!$A$2:$A$50,密度!$B$2:$B$50)</f>
        <v>27089.942607000005</v>
      </c>
      <c r="W25" s="91" ph="1">
        <f>W24*47.051*LOOKUP(W26,密度!$A$2:$A$50,密度!$B$2:$B$50)</f>
        <v>120884.464322</v>
      </c>
      <c r="X25" s="91" ph="1">
        <f>X24*47.051*LOOKUP(X26,密度!$A$2:$A$61,密度!$I$2:$I$61)</f>
        <v>202277.56576300002</v>
      </c>
      <c r="Y25" s="91" ph="1">
        <f>Y24*47.051*LOOKUP(Y26,密度!$A$2:$A$50,密度!$L$2:$L$50)</f>
        <v>77691.081710000013</v>
      </c>
      <c r="Z25" s="232"/>
      <c r="AA25" s="233"/>
      <c r="AB25" s="233"/>
      <c r="AC25" s="233"/>
      <c r="AD25" s="233"/>
      <c r="AE25" s="234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38" ph="1"/>
      <c r="C26" s="68" t="s" ph="1">
        <v>179</v>
      </c>
      <c r="D26" s="74">
        <v>25</v>
      </c>
      <c r="E26" s="74">
        <v>25</v>
      </c>
      <c r="F26" s="74">
        <v>27</v>
      </c>
      <c r="G26" s="74">
        <v>28</v>
      </c>
      <c r="H26" s="74">
        <v>27</v>
      </c>
      <c r="I26" s="74">
        <v>26</v>
      </c>
      <c r="J26" s="74">
        <v>27</v>
      </c>
      <c r="K26" s="74">
        <v>27</v>
      </c>
      <c r="L26" s="74">
        <v>26</v>
      </c>
      <c r="M26" s="74">
        <v>28</v>
      </c>
      <c r="N26" s="74">
        <v>27</v>
      </c>
      <c r="O26" s="74">
        <v>26</v>
      </c>
      <c r="P26" s="74">
        <v>27</v>
      </c>
      <c r="Q26" s="93">
        <v>27</v>
      </c>
      <c r="R26" s="74">
        <v>28</v>
      </c>
      <c r="S26" s="74">
        <v>28</v>
      </c>
      <c r="T26" s="74">
        <v>27</v>
      </c>
      <c r="U26" s="74">
        <v>28</v>
      </c>
      <c r="V26" s="74">
        <v>28</v>
      </c>
      <c r="W26" s="74">
        <v>29</v>
      </c>
      <c r="X26" s="74">
        <v>34</v>
      </c>
      <c r="Y26" s="74">
        <v>27</v>
      </c>
      <c r="Z26" s="232"/>
      <c r="AA26" s="233"/>
      <c r="AB26" s="233"/>
      <c r="AC26" s="233"/>
      <c r="AD26" s="233"/>
      <c r="AE26" s="234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38" ph="1">
        <v>0.66666666666666663</v>
      </c>
      <c r="C27" s="145" t="s" ph="1">
        <v>180</v>
      </c>
      <c r="D27" s="71">
        <v>2.73</v>
      </c>
      <c r="E27" s="71">
        <v>5.81</v>
      </c>
      <c r="F27" s="71">
        <v>540</v>
      </c>
      <c r="G27" s="71">
        <v>3504</v>
      </c>
      <c r="H27" s="71">
        <v>2871</v>
      </c>
      <c r="I27" s="71">
        <v>1607</v>
      </c>
      <c r="J27" s="71">
        <v>302</v>
      </c>
      <c r="K27" s="71">
        <v>1411</v>
      </c>
      <c r="L27" s="71">
        <v>299</v>
      </c>
      <c r="M27" s="71">
        <v>324</v>
      </c>
      <c r="N27" s="71">
        <v>2531</v>
      </c>
      <c r="O27" s="71">
        <v>340</v>
      </c>
      <c r="P27" s="71">
        <v>372</v>
      </c>
      <c r="Q27" s="90">
        <v>2553</v>
      </c>
      <c r="R27" s="71">
        <v>348</v>
      </c>
      <c r="S27" s="71">
        <v>3222</v>
      </c>
      <c r="T27" s="71">
        <v>400</v>
      </c>
      <c r="U27" s="71">
        <v>3899</v>
      </c>
      <c r="V27" s="71">
        <v>737</v>
      </c>
      <c r="W27" s="71">
        <v>3308</v>
      </c>
      <c r="X27" s="71">
        <v>3694</v>
      </c>
      <c r="Y27" s="71">
        <v>1763</v>
      </c>
      <c r="Z27" s="232"/>
      <c r="AA27" s="233"/>
      <c r="AB27" s="233"/>
      <c r="AC27" s="233"/>
      <c r="AD27" s="233"/>
      <c r="AE27" s="234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38" ph="1"/>
      <c r="C28" s="145" t="s" ph="1">
        <v>178</v>
      </c>
      <c r="D28" s="91" ph="1">
        <f>D27*268.68*LOOKUP(D29,密度!$A$2:$A$50,密度!$Q$2:$Q$50)+IF(D27&lt;=0,0,1566*LOOKUP(D29,密度!$A$2:$A$50,密度!$Q$2:$Q$50))</f>
        <v>2177.0252217359998</v>
      </c>
      <c r="E28" s="91" ph="1">
        <f>E27*268.68*LOOKUP(E29,密度!$A$2:$A$50,密度!$C$2:$C$50)+IF(E27&lt;=0,0,1566*LOOKUP(E29,密度!$A$2:$A$50,密度!$C$2:$C$50))</f>
        <v>3467.5644541199999</v>
      </c>
      <c r="F28" s="91" ph="1">
        <f>F27*11.702*LOOKUP(F29,密度!$A$2:$A$50,密度!$Q$2:$Q$50)</f>
        <v>5960.9777364000001</v>
      </c>
      <c r="G28" s="91" ph="1">
        <f>G27*18.322*LOOKUP(G29,密度!$A$2:$A$50,密度!$B$2:$B$50)</f>
        <v>49716.703027199997</v>
      </c>
      <c r="H28" s="91" ph="1">
        <f>H27*18.322*LOOKUP(H29,密度!$A$2:$A$50,密度!$B$2:$B$50)</f>
        <v>40782.688788599997</v>
      </c>
      <c r="I28" s="91" ph="1">
        <f>I27*18.322*LOOKUP(I29,密度!$A$2:$A$50,密度!$Q$2:$Q$50)</f>
        <v>27732.789322599998</v>
      </c>
      <c r="J28" s="91" ph="1">
        <f>J27*18.322*LOOKUP(J29,密度!$A$2:$A$50,密度!$Q$2:$Q$50)</f>
        <v>5211.7625235999994</v>
      </c>
      <c r="K28" s="91" ph="1">
        <f>K27*18.322*LOOKUP(K29,密度!$A$2:$A$50,密度!$Q$2:$Q$50)</f>
        <v>24367.90052236</v>
      </c>
      <c r="L28" s="91" ph="1">
        <f>L27*18.322*LOOKUP(L29,密度!$A$2:$A$50,密度!$Q$2:$Q$50)</f>
        <v>5167.8239857399994</v>
      </c>
      <c r="M28" s="91" ph="1">
        <f>M27*18.322*LOOKUP(M29,密度!$A$2:$A$50,密度!$Q$2:$Q$50)</f>
        <v>5595.4640462399993</v>
      </c>
      <c r="N28" s="91" ph="1">
        <f>N27*18.322*LOOKUP(N29,密度!$A$2:$A$50,密度!$Q$2:$Q$50)</f>
        <v>43678.711745799992</v>
      </c>
      <c r="O28" s="91" ph="1">
        <f>O27*18.322*LOOKUP(O29,密度!$A$2:$A$50,密度!$C$2:$C$50)</f>
        <v>6877.9688679999999</v>
      </c>
      <c r="P28" s="91" ph="1">
        <f>P27*11.702*LOOKUP(P29,密度!$A$2:$A$50,密度!$B$2:$B$50)</f>
        <v>3374.9925432</v>
      </c>
      <c r="Q28" s="92" ph="1">
        <f>Q27*18.322*LOOKUP(Q29,密度!$A$2:$A$50,密度!$B$2:$B$50)</f>
        <v>36223.385510399996</v>
      </c>
      <c r="R28" s="91" ph="1">
        <f>R27*35.891*LOOKUP(R29,密度!$A$2:$A$50,密度!$C$2:$C$50)</f>
        <v>13802.774146799999</v>
      </c>
      <c r="S28" s="91" ph="1">
        <f>S27*35.891*LOOKUP(S29,密度!$A$2:$A$50,密度!$B$2:$B$50)</f>
        <v>89448.160346999997</v>
      </c>
      <c r="T28" s="91" ph="1">
        <f>T27*35.891*LOOKUP(T29,密度!$A$2:$A$50,密度!$Q$2:$Q$50)</f>
        <v>13532.055511999999</v>
      </c>
      <c r="U28" s="91" ph="1">
        <f>U27*35.891</f>
        <v>139939.00899999999</v>
      </c>
      <c r="V28" s="91" ph="1">
        <f>V27*47.051*LOOKUP(V29,密度!$A$2:$A$50,密度!$B$2:$B$50)</f>
        <v>26822.340044499997</v>
      </c>
      <c r="W28" s="91" ph="1">
        <f>W27*47.051*LOOKUP(W29,密度!$A$2:$A$50,密度!$B$2:$B$50)</f>
        <v>120531.26187520001</v>
      </c>
      <c r="X28" s="91" ph="1">
        <f>X27*47.051*LOOKUP(X29,密度!$A$2:$A$61,密度!$I$2:$I$61)</f>
        <v>179211.77285339998</v>
      </c>
      <c r="Y28" s="91" ph="1">
        <f>Y27*47.051*LOOKUP(Y29,密度!$A$2:$A$50,密度!$L$2:$L$50)</f>
        <v>77227.300003000011</v>
      </c>
      <c r="Z28" s="232"/>
      <c r="AA28" s="233"/>
      <c r="AB28" s="233"/>
      <c r="AC28" s="233"/>
      <c r="AD28" s="233"/>
      <c r="AE28" s="234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38" ph="1"/>
      <c r="C29" s="145" t="s" ph="1">
        <v>179</v>
      </c>
      <c r="D29" s="74">
        <v>25</v>
      </c>
      <c r="E29" s="74">
        <v>25</v>
      </c>
      <c r="F29" s="74">
        <v>30</v>
      </c>
      <c r="G29" s="74">
        <v>31</v>
      </c>
      <c r="H29" s="74">
        <v>30</v>
      </c>
      <c r="I29" s="74">
        <v>32</v>
      </c>
      <c r="J29" s="74">
        <v>32</v>
      </c>
      <c r="K29" s="74">
        <v>31</v>
      </c>
      <c r="L29" s="74">
        <v>30</v>
      </c>
      <c r="M29" s="74">
        <v>31</v>
      </c>
      <c r="N29" s="74">
        <v>32</v>
      </c>
      <c r="O29" s="74">
        <v>31</v>
      </c>
      <c r="P29" s="74">
        <v>30</v>
      </c>
      <c r="Q29" s="93">
        <v>31</v>
      </c>
      <c r="R29" s="74">
        <v>30</v>
      </c>
      <c r="S29" s="74">
        <v>32</v>
      </c>
      <c r="T29" s="74">
        <v>31</v>
      </c>
      <c r="U29" s="74">
        <v>30</v>
      </c>
      <c r="V29" s="74">
        <v>32</v>
      </c>
      <c r="W29" s="74">
        <v>31</v>
      </c>
      <c r="X29" s="74">
        <v>35</v>
      </c>
      <c r="Y29" s="74">
        <v>31</v>
      </c>
      <c r="Z29" s="235"/>
      <c r="AA29" s="236"/>
      <c r="AB29" s="236"/>
      <c r="AC29" s="236"/>
      <c r="AD29" s="236"/>
      <c r="AE29" s="237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1" t="s" ph="1">
        <v>35</v>
      </c>
      <c r="C31" s="222" ph="1"/>
      <c r="D31" s="225" t="s" ph="1">
        <v>9</v>
      </c>
      <c r="E31" s="200" ph="1"/>
      <c r="F31" s="201" ph="1"/>
      <c r="G31" s="225" t="s" ph="1">
        <v>18</v>
      </c>
      <c r="H31" s="200" ph="1"/>
      <c r="I31" s="201" ph="1"/>
      <c r="J31" s="199" t="s" ph="1">
        <v>1</v>
      </c>
      <c r="K31" s="200" ph="1"/>
      <c r="L31" s="201" ph="1"/>
      <c r="M31" s="199" t="s" ph="1">
        <v>7</v>
      </c>
      <c r="N31" s="200" ph="1"/>
      <c r="O31" s="201" ph="1"/>
      <c r="P31" s="199" t="s" ph="1">
        <v>41</v>
      </c>
      <c r="Q31" s="200"/>
      <c r="R31" s="201"/>
      <c r="S31" s="199" t="s" ph="1">
        <v>2</v>
      </c>
      <c r="T31" s="200"/>
      <c r="U31" s="201"/>
      <c r="V31" s="199" t="s" ph="1">
        <v>71</v>
      </c>
      <c r="W31" s="200" ph="1"/>
      <c r="X31" s="201" ph="1"/>
      <c r="Y31" s="199" t="s" ph="1">
        <v>3</v>
      </c>
      <c r="Z31" s="200" ph="1"/>
      <c r="AA31" s="201" ph="1"/>
      <c r="AB31" s="202" t="s">
        <v>42</v>
      </c>
      <c r="AC31" s="203"/>
      <c r="AD31" s="203"/>
      <c r="AE31" s="204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3" ph="1"/>
      <c r="C32" s="224" ph="1"/>
      <c r="D32" s="96" t="s" ph="1">
        <v>4</v>
      </c>
      <c r="E32" s="145" t="s" ph="1">
        <v>5</v>
      </c>
      <c r="F32" s="146" t="s" ph="1">
        <v>43</v>
      </c>
      <c r="G32" s="97" t="s" ph="1">
        <v>4</v>
      </c>
      <c r="H32" s="145" t="s" ph="1">
        <v>5</v>
      </c>
      <c r="I32" s="146" t="s" ph="1">
        <v>43</v>
      </c>
      <c r="J32" s="97" t="s" ph="1">
        <v>4</v>
      </c>
      <c r="K32" s="145" t="s" ph="1">
        <v>5</v>
      </c>
      <c r="L32" s="146" t="s" ph="1">
        <v>43</v>
      </c>
      <c r="M32" s="97" t="s" ph="1">
        <v>4</v>
      </c>
      <c r="N32" s="145" t="s" ph="1">
        <v>5</v>
      </c>
      <c r="O32" s="146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45" t="s" ph="1">
        <v>5</v>
      </c>
      <c r="U32" s="99" t="s" ph="1">
        <v>43</v>
      </c>
      <c r="V32" s="97" t="s" ph="1">
        <v>4</v>
      </c>
      <c r="W32" s="145" t="s" ph="1">
        <v>5</v>
      </c>
      <c r="X32" s="99" t="s" ph="1">
        <v>43</v>
      </c>
      <c r="Y32" s="100" t="s" ph="1">
        <v>4</v>
      </c>
      <c r="Z32" s="145" t="s" ph="1">
        <v>5</v>
      </c>
      <c r="AA32" s="146" t="s" ph="1">
        <v>43</v>
      </c>
      <c r="AB32" s="97" t="s" ph="1">
        <v>85</v>
      </c>
      <c r="AC32" s="145" t="s" ph="1">
        <v>84</v>
      </c>
      <c r="AD32" s="205" t="s" ph="1">
        <v>83</v>
      </c>
      <c r="AE32" s="206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7" t="s" ph="1">
        <v>181</v>
      </c>
      <c r="C33" s="208" ph="1"/>
      <c r="D33" s="187" ph="1">
        <f>AA10+AB10+Z19</f>
        <v>118022.5443502</v>
      </c>
      <c r="E33" s="187" ph="1">
        <f>M10+I10</f>
        <v>155538.48245900002</v>
      </c>
      <c r="F33" s="211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1522252632456786910111213141516171819202123456789101112131415161718192022232424356789101112131415161718192021222345678910111213141516171819202345678910111213149101516171819222123234567891012131415161711181920212224252345678910111213133[[#This Row],[F25]]</f>
        <v>3880</v>
      </c>
      <c r="G33" s="213" ph="1">
        <f>N19</f>
        <v>30936.164412400001</v>
      </c>
      <c r="H33" s="187" ph="1">
        <f>M19</f>
        <v>21509.899705455999</v>
      </c>
      <c r="I33" s="191" ph="1">
        <v>0</v>
      </c>
      <c r="J33" s="195" ph="1">
        <f>F10+O28</f>
        <v>239831.6015512</v>
      </c>
      <c r="K33" s="187" ph="1">
        <f>O10+K10+E28+R28</f>
        <v>126990.04724652001</v>
      </c>
      <c r="L33" s="197" ph="1">
        <f>K19</f>
        <v>47223.455226140002</v>
      </c>
      <c r="M33" s="195" ph="1">
        <f>G10+H10+W28+S28+V28+E10+R19+P28+Q28</f>
        <v>534771.19961030001</v>
      </c>
      <c r="N33" s="187" ph="1">
        <f>L10+P10++G28+H28+AD19+AE19</f>
        <v>173224.24245859997</v>
      </c>
      <c r="O33" s="191" ph="1">
        <f>G19</f>
        <v>28142.149519999999</v>
      </c>
      <c r="P33" s="195" ph="1">
        <f>L19</f>
        <v>42479.581939199998</v>
      </c>
      <c r="Q33" s="187" ph="1">
        <f>J10+N10</f>
        <v>119958.97410719999</v>
      </c>
      <c r="R33" s="191" ph="1">
        <f>BE23</f>
        <v>890</v>
      </c>
      <c r="S33" s="195" ph="1">
        <f>X28</f>
        <v>179211.77285339998</v>
      </c>
      <c r="T33" s="187" ph="1">
        <f>X19</f>
        <v>15452.453950399999</v>
      </c>
      <c r="U33" s="176" ph="1">
        <f>BE21</f>
        <v>730</v>
      </c>
      <c r="V33" s="189" ph="1">
        <f ca="1">P19+Q19+S19+M28+N28+J28+D10+AC10+D19+E19+H19+J19+O19+V19+W19+K28+L28</f>
        <v>743980.62114424992</v>
      </c>
      <c r="W33" s="189" ph="1">
        <f>D28+F28+T28+I28</f>
        <v>49402.847792735993</v>
      </c>
      <c r="X33" s="191" ph="1">
        <f>BE29+BE31</f>
        <v>10200</v>
      </c>
      <c r="Y33" s="193" ph="1">
        <f>+Q10+R10+S10+T10+U10+V10+W10+X10+Y10</f>
        <v>256358.87420220001</v>
      </c>
      <c r="Z33" s="174" ph="1">
        <f>T19+U19+Y28+Z10</f>
        <v>185403.8282938</v>
      </c>
      <c r="AA33" s="176" ph="1">
        <f>BE19</f>
        <v>1440</v>
      </c>
      <c r="AB33" s="178" ph="1">
        <f>I19</f>
        <v>28877.128597799998</v>
      </c>
      <c r="AC33" s="180" ph="1">
        <f>AD10+AB19</f>
        <v>66138.624316799993</v>
      </c>
      <c r="AD33" s="182" ph="1">
        <v>0</v>
      </c>
      <c r="AE33" s="183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9" ph="1"/>
      <c r="C34" s="210" ph="1"/>
      <c r="D34" s="188" ph="1"/>
      <c r="E34" s="188" ph="1"/>
      <c r="F34" s="212" ph="1"/>
      <c r="G34" s="214" ph="1"/>
      <c r="H34" s="188" ph="1"/>
      <c r="I34" s="192" ph="1"/>
      <c r="J34" s="196" ph="1"/>
      <c r="K34" s="188" ph="1"/>
      <c r="L34" s="198" ph="1"/>
      <c r="M34" s="196" ph="1"/>
      <c r="N34" s="188" ph="1"/>
      <c r="O34" s="192" ph="1"/>
      <c r="P34" s="196" ph="1"/>
      <c r="Q34" s="188" ph="1"/>
      <c r="R34" s="192" ph="1"/>
      <c r="S34" s="196" ph="1"/>
      <c r="T34" s="188"/>
      <c r="U34" s="177"/>
      <c r="V34" s="190" ph="1"/>
      <c r="W34" s="190" ph="1"/>
      <c r="X34" s="192" ph="1"/>
      <c r="Y34" s="194" ph="1"/>
      <c r="Z34" s="175" ph="1"/>
      <c r="AA34" s="177" ph="1"/>
      <c r="AB34" s="179"/>
      <c r="AC34" s="181"/>
      <c r="AD34" s="184"/>
      <c r="AE34" s="185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6" t="s" ph="1">
        <v>631</v>
      </c>
      <c r="AD35" s="186"/>
      <c r="AE35" s="186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2" t="s" ph="1">
        <v>183</v>
      </c>
      <c r="J36" s="172" ph="1"/>
      <c r="K36" s="101" ph="1"/>
      <c r="P36" s="101" ph="1"/>
      <c r="R36" s="172" t="s" ph="1">
        <v>184</v>
      </c>
      <c r="S36" s="172" ph="1"/>
      <c r="Y36" s="102" ph="1"/>
      <c r="Z36" s="147" t="s" ph="1">
        <v>185</v>
      </c>
      <c r="AA36" s="147" ph="1"/>
      <c r="AB36" s="173" t="s" ph="1">
        <v>639</v>
      </c>
      <c r="AC36" s="173" ph="1"/>
      <c r="AD36" s="173" ph="1"/>
      <c r="AE36" s="173" ph="1"/>
      <c r="BA36" s="64" ph="1">
        <v>2270</v>
      </c>
    </row>
    <row r="37" spans="1:57" s="147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47" t="s" ph="1">
        <v>342</v>
      </c>
      <c r="AI37" s="147" t="s" ph="1">
        <v>209</v>
      </c>
      <c r="AJ37" s="147" t="s" ph="1">
        <v>210</v>
      </c>
      <c r="AK37" s="147" t="s" ph="1">
        <v>211</v>
      </c>
      <c r="AM37" s="147" t="s" ph="1">
        <v>210</v>
      </c>
      <c r="AN37" s="147" t="s" ph="1">
        <v>211</v>
      </c>
      <c r="AO37" s="147" t="s" ph="1">
        <v>212</v>
      </c>
      <c r="AP37" s="147" t="s" ph="1">
        <v>210</v>
      </c>
      <c r="AQ37" s="147" t="s" ph="1">
        <v>211</v>
      </c>
      <c r="AR37" s="147" t="s" ph="1">
        <v>212</v>
      </c>
      <c r="AS37" s="147" t="s" ph="1">
        <v>210</v>
      </c>
      <c r="AT37" s="147" t="s" ph="1">
        <v>211</v>
      </c>
      <c r="AU37" s="147" t="s" ph="1">
        <v>212</v>
      </c>
      <c r="AV37" s="147" t="s" ph="1">
        <v>210</v>
      </c>
      <c r="AW37" s="147" t="s" ph="1">
        <v>211</v>
      </c>
      <c r="AX37" s="147" t="s" ph="1">
        <v>212</v>
      </c>
      <c r="AY37" s="147" t="s" ph="1">
        <v>211</v>
      </c>
      <c r="AZ37" s="147" t="s" ph="1">
        <v>213</v>
      </c>
      <c r="BD37" s="147" t="s" ph="1">
        <v>305</v>
      </c>
      <c r="BE37" s="147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3041" priority="102">
      <formula>ABS(D$7-D$10)&gt;=1000</formula>
    </cfRule>
  </conditionalFormatting>
  <conditionalFormatting sqref="E4 E6:E11">
    <cfRule type="expression" dxfId="3040" priority="101">
      <formula>ABS(E$7-E$10)&gt;=1000</formula>
    </cfRule>
  </conditionalFormatting>
  <conditionalFormatting sqref="F4:F11">
    <cfRule type="expression" dxfId="3039" priority="100">
      <formula>ABS(F$7-F$10)&gt;=1000</formula>
    </cfRule>
  </conditionalFormatting>
  <conditionalFormatting sqref="G4:G11">
    <cfRule type="expression" dxfId="3038" priority="99">
      <formula>ABS(G$7-G$10)&gt;=1000</formula>
    </cfRule>
  </conditionalFormatting>
  <conditionalFormatting sqref="H4:H11">
    <cfRule type="expression" dxfId="3037" priority="98">
      <formula>ABS(H$7-H$10)&gt;=1000</formula>
    </cfRule>
  </conditionalFormatting>
  <conditionalFormatting sqref="I4:I11">
    <cfRule type="expression" dxfId="3036" priority="97">
      <formula>ABS(I$7-I$10)&gt;=1000</formula>
    </cfRule>
  </conditionalFormatting>
  <conditionalFormatting sqref="J4:J11">
    <cfRule type="expression" dxfId="3035" priority="96">
      <formula>ABS(J$7-J$10)&gt;=1000</formula>
    </cfRule>
  </conditionalFormatting>
  <conditionalFormatting sqref="K4:K11">
    <cfRule type="expression" dxfId="3034" priority="95">
      <formula>ABS(K$7-K$10)&gt;=1000</formula>
    </cfRule>
  </conditionalFormatting>
  <conditionalFormatting sqref="L4:L11">
    <cfRule type="expression" dxfId="3033" priority="94">
      <formula>ABS(L$7-L$10)&gt;=1000</formula>
    </cfRule>
  </conditionalFormatting>
  <conditionalFormatting sqref="M4 M6:M11">
    <cfRule type="expression" dxfId="3032" priority="93">
      <formula>ABS(M$7-M$10)&gt;=1000</formula>
    </cfRule>
  </conditionalFormatting>
  <conditionalFormatting sqref="N4 N6:N11">
    <cfRule type="expression" dxfId="3031" priority="92">
      <formula>ABS(N$7-N$10)&gt;=1000</formula>
    </cfRule>
  </conditionalFormatting>
  <conditionalFormatting sqref="O4 O6:O11">
    <cfRule type="expression" dxfId="3030" priority="91">
      <formula>ABS(O$7-O$10)&gt;=1000</formula>
    </cfRule>
  </conditionalFormatting>
  <conditionalFormatting sqref="P4 P6:P11">
    <cfRule type="expression" dxfId="3029" priority="90">
      <formula>ABS(P$7-P$10)&gt;=1000</formula>
    </cfRule>
  </conditionalFormatting>
  <conditionalFormatting sqref="Q4:Q11">
    <cfRule type="expression" dxfId="3028" priority="89">
      <formula>ABS(Q$7-Q$10)&gt;=1000</formula>
    </cfRule>
  </conditionalFormatting>
  <conditionalFormatting sqref="R4:R11">
    <cfRule type="expression" dxfId="3027" priority="88">
      <formula>ABS(R$7-R$10)&gt;=1000</formula>
    </cfRule>
  </conditionalFormatting>
  <conditionalFormatting sqref="S4:S11">
    <cfRule type="expression" dxfId="3026" priority="87">
      <formula>ABS(S$7-S$10)&gt;=1000</formula>
    </cfRule>
  </conditionalFormatting>
  <conditionalFormatting sqref="T4:T9 T11">
    <cfRule type="expression" dxfId="3025" priority="86">
      <formula>ABS(T$7-T$10)&gt;=1000</formula>
    </cfRule>
  </conditionalFormatting>
  <conditionalFormatting sqref="U4:U9 U11">
    <cfRule type="expression" dxfId="3024" priority="85">
      <formula>ABS(U$7-U$10)&gt;=1000</formula>
    </cfRule>
  </conditionalFormatting>
  <conditionalFormatting sqref="V4:V9 V11">
    <cfRule type="expression" dxfId="3023" priority="84">
      <formula>ABS(V$7-V$10)&gt;=1000</formula>
    </cfRule>
  </conditionalFormatting>
  <conditionalFormatting sqref="W4:W9 W11">
    <cfRule type="expression" dxfId="3022" priority="83">
      <formula>ABS(W$7-W$10)&gt;=1000</formula>
    </cfRule>
  </conditionalFormatting>
  <conditionalFormatting sqref="X4:X9 X11">
    <cfRule type="expression" dxfId="3021" priority="82">
      <formula>ABS(X$7-X$10)&gt;=1000</formula>
    </cfRule>
  </conditionalFormatting>
  <conditionalFormatting sqref="Y4:Y9 Y11">
    <cfRule type="expression" dxfId="3020" priority="81">
      <formula>ABS(Y$7-Y$10)&gt;=1000</formula>
    </cfRule>
  </conditionalFormatting>
  <conditionalFormatting sqref="Z4:Z11">
    <cfRule type="expression" dxfId="3019" priority="80">
      <formula>ABS(Z$7-Z$10)&gt;=1000</formula>
    </cfRule>
  </conditionalFormatting>
  <conditionalFormatting sqref="AA4:AA11">
    <cfRule type="expression" dxfId="3018" priority="79">
      <formula>ABS(AA$7-AA$10)&gt;=1000</formula>
    </cfRule>
  </conditionalFormatting>
  <conditionalFormatting sqref="AB4:AB11">
    <cfRule type="expression" dxfId="3017" priority="78">
      <formula>ABS(AB$7-AB$10)&gt;=1000</formula>
    </cfRule>
  </conditionalFormatting>
  <conditionalFormatting sqref="AC4 AC6:AC11">
    <cfRule type="expression" dxfId="3016" priority="77">
      <formula>ABS(AC$7-AC$10)&gt;=1000</formula>
    </cfRule>
  </conditionalFormatting>
  <conditionalFormatting sqref="AD4 AD6:AD11">
    <cfRule type="expression" dxfId="3015" priority="76">
      <formula>ABS(AD$7-AD$10)&gt;=1000</formula>
    </cfRule>
  </conditionalFormatting>
  <conditionalFormatting sqref="AE4 AE6:AE11">
    <cfRule type="expression" dxfId="3014" priority="75">
      <formula>ABS(AE$7-AE$10)&gt;=1000</formula>
    </cfRule>
  </conditionalFormatting>
  <conditionalFormatting sqref="D13:D20">
    <cfRule type="expression" dxfId="3013" priority="74">
      <formula>ABS(D$16-D$19)&gt;=1000</formula>
    </cfRule>
  </conditionalFormatting>
  <conditionalFormatting sqref="E13:E20">
    <cfRule type="expression" dxfId="3012" priority="73">
      <formula>ABS(E$16-E$19)&gt;=1000</formula>
    </cfRule>
  </conditionalFormatting>
  <conditionalFormatting sqref="F13 F15:F20">
    <cfRule type="expression" dxfId="3011" priority="72">
      <formula>ABS(F$16-F$19)&gt;=1000</formula>
    </cfRule>
  </conditionalFormatting>
  <conditionalFormatting sqref="G13:G20">
    <cfRule type="expression" dxfId="3010" priority="71">
      <formula>ABS(G$16-G$19)&gt;=1000</formula>
    </cfRule>
  </conditionalFormatting>
  <conditionalFormatting sqref="H13 H15:H20">
    <cfRule type="expression" dxfId="3009" priority="70">
      <formula>ABS(H$16-H$19)&gt;=1000</formula>
    </cfRule>
  </conditionalFormatting>
  <conditionalFormatting sqref="I13:I20">
    <cfRule type="expression" dxfId="3008" priority="69">
      <formula>ABS(I$16-I$19)&gt;=1000</formula>
    </cfRule>
  </conditionalFormatting>
  <conditionalFormatting sqref="J13:J20">
    <cfRule type="expression" dxfId="3007" priority="68">
      <formula>ABS(J$16-J$19)&gt;=1000</formula>
    </cfRule>
  </conditionalFormatting>
  <conditionalFormatting sqref="L13:L20">
    <cfRule type="expression" dxfId="3006" priority="67">
      <formula>ABS(L$16-L$19)&gt;=1000</formula>
    </cfRule>
  </conditionalFormatting>
  <conditionalFormatting sqref="M13 M15 M17:M18 M20">
    <cfRule type="expression" dxfId="3005" priority="66">
      <formula>ABS(M$16-M$19)&gt;=1000</formula>
    </cfRule>
  </conditionalFormatting>
  <conditionalFormatting sqref="N13:N20">
    <cfRule type="expression" dxfId="3004" priority="65">
      <formula>ABS(N$16-N$19)&gt;=1000</formula>
    </cfRule>
  </conditionalFormatting>
  <conditionalFormatting sqref="O13:O20">
    <cfRule type="expression" dxfId="3003" priority="64">
      <formula>ABS(O$16-O$19)&gt;=1000</formula>
    </cfRule>
  </conditionalFormatting>
  <conditionalFormatting sqref="P13:P20">
    <cfRule type="expression" dxfId="3002" priority="63">
      <formula>ABS(P$16-P$19)&gt;=1000</formula>
    </cfRule>
  </conditionalFormatting>
  <conditionalFormatting sqref="Q13 Q15:Q20">
    <cfRule type="expression" dxfId="3001" priority="62">
      <formula>ABS(Q$16-Q$19)&gt;=1000</formula>
    </cfRule>
  </conditionalFormatting>
  <conditionalFormatting sqref="R13:R20">
    <cfRule type="expression" dxfId="3000" priority="61">
      <formula>ABS(R$16-R$19)&gt;=1000</formula>
    </cfRule>
  </conditionalFormatting>
  <conditionalFormatting sqref="S13:S20">
    <cfRule type="expression" dxfId="2999" priority="60">
      <formula>ABS(S$16-S$19)&gt;=1000</formula>
    </cfRule>
  </conditionalFormatting>
  <conditionalFormatting sqref="T13:T15 T17:T20">
    <cfRule type="expression" dxfId="2998" priority="59">
      <formula>ABS(T$16-T$19)&gt;=1000</formula>
    </cfRule>
  </conditionalFormatting>
  <conditionalFormatting sqref="U13:U20">
    <cfRule type="expression" dxfId="2997" priority="58">
      <formula>ABS(U$16-U$19)&gt;=1000</formula>
    </cfRule>
  </conditionalFormatting>
  <conditionalFormatting sqref="V13:V20">
    <cfRule type="expression" dxfId="2996" priority="57">
      <formula>ABS(V$16-V$19)&gt;=1000</formula>
    </cfRule>
  </conditionalFormatting>
  <conditionalFormatting sqref="W13 W20 W15:W18">
    <cfRule type="expression" dxfId="2995" priority="56">
      <formula>ABS(W$16-W$19)&gt;=1000</formula>
    </cfRule>
  </conditionalFormatting>
  <conditionalFormatting sqref="X13 X15:X20 Y19">
    <cfRule type="expression" dxfId="2994" priority="55">
      <formula>ABS(X$16-X$19)&gt;=1000</formula>
    </cfRule>
  </conditionalFormatting>
  <conditionalFormatting sqref="Y13 Y15:Y18 Y20">
    <cfRule type="expression" dxfId="2993" priority="54">
      <formula>ABS(Y$16-Y$19)&gt;=1000</formula>
    </cfRule>
  </conditionalFormatting>
  <conditionalFormatting sqref="Z13:Z20">
    <cfRule type="expression" dxfId="2992" priority="53">
      <formula>ABS(Z$16-Z$19)&gt;=1000</formula>
    </cfRule>
  </conditionalFormatting>
  <conditionalFormatting sqref="AA13:AA20">
    <cfRule type="expression" dxfId="2991" priority="52">
      <formula>ABS(AA$16-AA$19)&gt;=1000</formula>
    </cfRule>
  </conditionalFormatting>
  <conditionalFormatting sqref="AB13 AB15:AB20">
    <cfRule type="expression" dxfId="2990" priority="51">
      <formula>ABS(AB$16-AB$19)&gt;=1000</formula>
    </cfRule>
  </conditionalFormatting>
  <conditionalFormatting sqref="AC13 AC15:AC20">
    <cfRule type="expression" dxfId="2989" priority="50">
      <formula>ABS(AC$16-AC$19)&gt;=1000</formula>
    </cfRule>
  </conditionalFormatting>
  <conditionalFormatting sqref="AD13:AD20">
    <cfRule type="expression" dxfId="2988" priority="49">
      <formula>ABS(AD$16-AD$19)&gt;=1000</formula>
    </cfRule>
  </conditionalFormatting>
  <conditionalFormatting sqref="AE13:AE20">
    <cfRule type="expression" dxfId="2987" priority="48">
      <formula>ABS(AE$16-AE$19)&gt;=1000</formula>
    </cfRule>
  </conditionalFormatting>
  <conditionalFormatting sqref="D22:D29">
    <cfRule type="expression" dxfId="2986" priority="47">
      <formula>ABS(D$25-D$28)&gt;=1000</formula>
    </cfRule>
  </conditionalFormatting>
  <conditionalFormatting sqref="E22:E29">
    <cfRule type="expression" dxfId="2985" priority="46">
      <formula>ABS(E$25-E$28)&gt;=1000</formula>
    </cfRule>
  </conditionalFormatting>
  <conditionalFormatting sqref="F22:F29">
    <cfRule type="expression" dxfId="2984" priority="45">
      <formula>ABS(F$25-F$28)&gt;=1000</formula>
    </cfRule>
  </conditionalFormatting>
  <conditionalFormatting sqref="G22:G29">
    <cfRule type="expression" dxfId="2983" priority="44">
      <formula>ABS(G$25-G$28)&gt;=1000</formula>
    </cfRule>
  </conditionalFormatting>
  <conditionalFormatting sqref="H22:H29">
    <cfRule type="expression" dxfId="2982" priority="43">
      <formula>ABS(H$25-H$28)&gt;=1000</formula>
    </cfRule>
  </conditionalFormatting>
  <conditionalFormatting sqref="I22 I24:I29">
    <cfRule type="expression" dxfId="2981" priority="42">
      <formula>ABS(I$25-I$28)&gt;=1000</formula>
    </cfRule>
  </conditionalFormatting>
  <conditionalFormatting sqref="J22:J29 K22">
    <cfRule type="expression" dxfId="2980" priority="41">
      <formula>ABS(J$25-J$28)&gt;=1000</formula>
    </cfRule>
  </conditionalFormatting>
  <conditionalFormatting sqref="K23:K29 L25 L28">
    <cfRule type="expression" dxfId="2979" priority="40">
      <formula>ABS(K$25-K$28)&gt;=1000</formula>
    </cfRule>
  </conditionalFormatting>
  <conditionalFormatting sqref="L22 L26:L27 L29 L24">
    <cfRule type="expression" dxfId="2978" priority="39">
      <formula>ABS(L$25-L$28)&gt;=1000</formula>
    </cfRule>
  </conditionalFormatting>
  <conditionalFormatting sqref="M22:M29">
    <cfRule type="expression" dxfId="2977" priority="38">
      <formula>ABS(M$25-M$28)&gt;=1000</formula>
    </cfRule>
  </conditionalFormatting>
  <conditionalFormatting sqref="N22:N29">
    <cfRule type="expression" dxfId="2976" priority="37">
      <formula>ABS(N$25-N$28)&gt;=1000</formula>
    </cfRule>
  </conditionalFormatting>
  <conditionalFormatting sqref="O22 O24:O29">
    <cfRule type="expression" dxfId="2975" priority="36">
      <formula>ABS(O$25-O$28)&gt;=1000</formula>
    </cfRule>
  </conditionalFormatting>
  <conditionalFormatting sqref="P22:P29">
    <cfRule type="expression" dxfId="2974" priority="35">
      <formula>ABS(P$25-P$28)&gt;=1000</formula>
    </cfRule>
  </conditionalFormatting>
  <conditionalFormatting sqref="Q22:Q29">
    <cfRule type="expression" dxfId="2973" priority="34">
      <formula>ABS(Q$25-Q$28)&gt;=1000</formula>
    </cfRule>
  </conditionalFormatting>
  <conditionalFormatting sqref="R22:R29">
    <cfRule type="expression" dxfId="2972" priority="33">
      <formula>ABS(R$25-R$28)&gt;=1000</formula>
    </cfRule>
  </conditionalFormatting>
  <conditionalFormatting sqref="S22:S29">
    <cfRule type="expression" dxfId="2971" priority="32">
      <formula>ABS(S$25-S$28)&gt;=1000</formula>
    </cfRule>
  </conditionalFormatting>
  <conditionalFormatting sqref="T22:T29">
    <cfRule type="expression" dxfId="2970" priority="31">
      <formula>ABS(T$25-T$28)&gt;=1000</formula>
    </cfRule>
  </conditionalFormatting>
  <conditionalFormatting sqref="U22:U29">
    <cfRule type="expression" dxfId="2969" priority="30">
      <formula>ABS(U$25-U$28)&gt;=1000</formula>
    </cfRule>
  </conditionalFormatting>
  <conditionalFormatting sqref="V22:V29">
    <cfRule type="expression" dxfId="2968" priority="29">
      <formula>ABS(V$25-V$28)&gt;=1000</formula>
    </cfRule>
  </conditionalFormatting>
  <conditionalFormatting sqref="W22:W29">
    <cfRule type="expression" dxfId="2967" priority="28">
      <formula>ABS(W$25-W$28)&gt;=1000</formula>
    </cfRule>
  </conditionalFormatting>
  <conditionalFormatting sqref="X22:X29">
    <cfRule type="expression" dxfId="2966" priority="27">
      <formula>ABS(X$25-X$28)&gt;=1000</formula>
    </cfRule>
  </conditionalFormatting>
  <conditionalFormatting sqref="Y22:Y29">
    <cfRule type="expression" dxfId="2965" priority="26">
      <formula>ABS(Y$25-Y$28)&gt;=1000</formula>
    </cfRule>
  </conditionalFormatting>
  <conditionalFormatting sqref="I23">
    <cfRule type="expression" dxfId="2964" priority="25">
      <formula>ABS(I$25-I$28)&gt;=1000</formula>
    </cfRule>
  </conditionalFormatting>
  <conditionalFormatting sqref="Q14">
    <cfRule type="expression" dxfId="2963" priority="24">
      <formula>ABS(Q$16-Q$19)&gt;=1000</formula>
    </cfRule>
  </conditionalFormatting>
  <conditionalFormatting sqref="W14">
    <cfRule type="expression" dxfId="2962" priority="23">
      <formula>ABS(W$16-W$19)&gt;=1000</formula>
    </cfRule>
  </conditionalFormatting>
  <conditionalFormatting sqref="X14">
    <cfRule type="expression" dxfId="2961" priority="22">
      <formula>ABS(X$16-X$19)&gt;=1000</formula>
    </cfRule>
  </conditionalFormatting>
  <conditionalFormatting sqref="T10:Y10">
    <cfRule type="expression" dxfId="2960" priority="21">
      <formula>ABS(T$7-T$10)&gt;=1000</formula>
    </cfRule>
  </conditionalFormatting>
  <conditionalFormatting sqref="W19">
    <cfRule type="expression" dxfId="2959" priority="20">
      <formula>ABS(W$16-W$19)&gt;=1000</formula>
    </cfRule>
  </conditionalFormatting>
  <conditionalFormatting sqref="AC5">
    <cfRule type="expression" dxfId="2958" priority="19">
      <formula>ABS(AC$7-AC$10)&gt;=1000</formula>
    </cfRule>
  </conditionalFormatting>
  <conditionalFormatting sqref="M14">
    <cfRule type="expression" dxfId="2957" priority="18">
      <formula>ABS(M$16-M$19)&gt;=1000</formula>
    </cfRule>
  </conditionalFormatting>
  <conditionalFormatting sqref="M16">
    <cfRule type="expression" dxfId="2956" priority="17">
      <formula>ABS(M$16-M$19)&gt;=1000</formula>
    </cfRule>
  </conditionalFormatting>
  <conditionalFormatting sqref="M19">
    <cfRule type="expression" dxfId="2955" priority="16">
      <formula>ABS(M$16-M$19)&gt;=1000</formula>
    </cfRule>
  </conditionalFormatting>
  <conditionalFormatting sqref="K13:K20">
    <cfRule type="expression" dxfId="2954" priority="15">
      <formula>ABS(K$16-K$19)&gt;=1000</formula>
    </cfRule>
  </conditionalFormatting>
  <conditionalFormatting sqref="E5">
    <cfRule type="expression" dxfId="2953" priority="14">
      <formula>ABS(E$7-E$10)&gt;=1000</formula>
    </cfRule>
  </conditionalFormatting>
  <conditionalFormatting sqref="AB14:AC14">
    <cfRule type="expression" dxfId="2952" priority="13">
      <formula>ABS(AB$16-AB$19)&gt;=1000</formula>
    </cfRule>
  </conditionalFormatting>
  <conditionalFormatting sqref="M5">
    <cfRule type="expression" dxfId="2951" priority="12">
      <formula>ABS(M$7-M$10)&gt;=1000</formula>
    </cfRule>
  </conditionalFormatting>
  <conditionalFormatting sqref="N5">
    <cfRule type="expression" dxfId="2950" priority="11">
      <formula>ABS(N$7-N$10)&gt;=1000</formula>
    </cfRule>
  </conditionalFormatting>
  <conditionalFormatting sqref="O5">
    <cfRule type="expression" dxfId="2949" priority="10">
      <formula>ABS(O$7-O$10)&gt;=1000</formula>
    </cfRule>
  </conditionalFormatting>
  <conditionalFormatting sqref="P5">
    <cfRule type="expression" dxfId="2948" priority="9">
      <formula>ABS(P$7-P$10)&gt;=1000</formula>
    </cfRule>
  </conditionalFormatting>
  <conditionalFormatting sqref="L23">
    <cfRule type="expression" dxfId="2947" priority="8">
      <formula>ABS(L$25-L$28)&gt;=1000</formula>
    </cfRule>
  </conditionalFormatting>
  <conditionalFormatting sqref="Y14">
    <cfRule type="expression" dxfId="2946" priority="7">
      <formula>ABS(Y$16-Y$19)&gt;=1000</formula>
    </cfRule>
  </conditionalFormatting>
  <conditionalFormatting sqref="F14">
    <cfRule type="expression" dxfId="2945" priority="6">
      <formula>ABS(F$16-F$19)&gt;=1000</formula>
    </cfRule>
  </conditionalFormatting>
  <conditionalFormatting sqref="H14">
    <cfRule type="expression" dxfId="2944" priority="5">
      <formula>ABS(H$16-H$19)&gt;=1000</formula>
    </cfRule>
  </conditionalFormatting>
  <conditionalFormatting sqref="AD5">
    <cfRule type="expression" dxfId="2943" priority="4">
      <formula>ABS(AD$7-AD$10)&gt;=1000</formula>
    </cfRule>
  </conditionalFormatting>
  <conditionalFormatting sqref="AE5">
    <cfRule type="expression" dxfId="2942" priority="3">
      <formula>ABS(AE$7-AE$10)&gt;=1000</formula>
    </cfRule>
  </conditionalFormatting>
  <conditionalFormatting sqref="T16">
    <cfRule type="expression" dxfId="2941" priority="2">
      <formula>ABS(T$16-T$19)&gt;=1000</formula>
    </cfRule>
  </conditionalFormatting>
  <conditionalFormatting sqref="O23">
    <cfRule type="expression" dxfId="2940" priority="1">
      <formula>ABS(O$25-O$28)&gt;=1000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22497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944">
    <pageSetUpPr fitToPage="1"/>
  </sheetPr>
  <dimension ref="A1:CU223"/>
  <sheetViews>
    <sheetView view="pageBreakPreview" zoomScale="70" zoomScaleNormal="100" zoomScaleSheetLayoutView="70" workbookViewId="0">
      <selection activeCell="AB6" sqref="AB6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39" t="s" ph="1">
        <v>161</v>
      </c>
      <c r="C1" s="239" ph="1"/>
      <c r="D1" s="239" ph="1"/>
      <c r="E1" s="239" ph="1"/>
      <c r="F1" s="239" ph="1"/>
      <c r="G1" s="239" ph="1"/>
      <c r="H1" s="239" ph="1"/>
      <c r="I1" s="239" ph="1"/>
      <c r="J1" s="239" ph="1"/>
      <c r="K1" s="239" ph="1"/>
      <c r="L1" s="239" ph="1"/>
      <c r="M1" s="239" ph="1"/>
      <c r="N1" s="239" ph="1"/>
      <c r="O1" s="239" ph="1"/>
      <c r="P1" s="239" ph="1"/>
      <c r="Q1" s="239" ph="1"/>
      <c r="R1" s="239" ph="1"/>
      <c r="S1" s="239" ph="1"/>
      <c r="T1" s="239" ph="1"/>
      <c r="U1" s="239" ph="1"/>
      <c r="V1" s="239" ph="1"/>
      <c r="W1" s="239" ph="1"/>
      <c r="X1" s="239" ph="1"/>
      <c r="Y1" s="239" ph="1"/>
      <c r="Z1" s="239" ph="1"/>
      <c r="AA1" s="239" ph="1"/>
      <c r="AB1" s="239" ph="1"/>
      <c r="AC1" s="239" ph="1"/>
      <c r="AD1" s="239" ph="1"/>
      <c r="AE1" s="239" ph="1"/>
    </row>
    <row r="2" spans="1:99" s="66" customFormat="1" ht="24" customHeight="1" ph="1">
      <c r="B2" s="240" t="s" ph="1">
        <v>82</v>
      </c>
      <c r="C2" s="240" ph="1"/>
      <c r="D2" s="240" ph="1"/>
      <c r="E2" s="240" ph="1"/>
      <c r="F2" s="240" ph="1"/>
      <c r="G2" s="240" ph="1"/>
      <c r="H2" s="240" ph="1"/>
      <c r="I2" s="240" ph="1"/>
      <c r="J2" s="240" ph="1"/>
      <c r="K2" s="240" ph="1"/>
      <c r="L2" s="240" ph="1"/>
      <c r="M2" s="240" ph="1"/>
      <c r="N2" s="240" ph="1"/>
      <c r="O2" s="240" ph="1"/>
      <c r="P2" s="240" ph="1"/>
      <c r="Q2" s="240" ph="1"/>
      <c r="R2" s="240" ph="1"/>
      <c r="S2" s="240" ph="1"/>
      <c r="T2" s="240" ph="1"/>
      <c r="U2" s="240" ph="1"/>
      <c r="V2" s="240" ph="1"/>
      <c r="W2" s="240" ph="1"/>
      <c r="X2" s="240" ph="1"/>
      <c r="Y2" s="240" ph="1"/>
      <c r="Z2" s="240" ph="1"/>
      <c r="AA2" s="240" ph="1"/>
      <c r="AB2" s="240" ph="1"/>
      <c r="AC2" s="240" ph="1"/>
      <c r="AD2" s="240" ph="1"/>
      <c r="AE2" s="240" ph="1"/>
    </row>
    <row r="3" spans="1:99" ht="21" customHeight="1" ph="1">
      <c r="B3" s="241" ph="1">
        <v>46235</v>
      </c>
      <c r="C3" s="241"/>
      <c r="D3" s="241"/>
      <c r="E3" s="241"/>
      <c r="F3" s="241"/>
      <c r="G3" s="241"/>
      <c r="H3" s="241"/>
      <c r="I3" s="241"/>
      <c r="J3" s="241"/>
      <c r="K3" s="241"/>
      <c r="L3" s="241"/>
      <c r="M3" s="241"/>
      <c r="N3" s="241"/>
      <c r="O3" s="241"/>
      <c r="P3" s="241"/>
      <c r="Q3" s="241"/>
      <c r="R3" s="241"/>
      <c r="S3" s="241"/>
      <c r="T3" s="241"/>
      <c r="U3" s="241"/>
      <c r="V3" s="241"/>
      <c r="W3" s="241"/>
      <c r="X3" s="241"/>
      <c r="Y3" s="241"/>
      <c r="Z3" s="241"/>
      <c r="AA3" s="241"/>
      <c r="AB3" s="241"/>
      <c r="AC3" s="241"/>
      <c r="AD3" s="241"/>
      <c r="AE3" s="241"/>
    </row>
    <row r="4" spans="1:99" s="69" customFormat="1" ph="1">
      <c r="A4" s="65" ph="1"/>
      <c r="B4" s="220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0" ph="1"/>
      <c r="C5" s="67" t="s" ph="1">
        <v>36</v>
      </c>
      <c r="D5" s="70" t="s" ph="1">
        <v>160</v>
      </c>
      <c r="E5" s="142" t="s" ph="1">
        <v>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8" ph="1">
        <v>0.33333333333333331</v>
      </c>
      <c r="C6" s="148" t="s" ph="1">
        <v>177</v>
      </c>
      <c r="D6" s="71">
        <v>139</v>
      </c>
      <c r="E6" s="71">
        <v>278</v>
      </c>
      <c r="F6" s="71">
        <v>5768</v>
      </c>
      <c r="G6" s="71">
        <v>292</v>
      </c>
      <c r="H6" s="71">
        <v>5284</v>
      </c>
      <c r="I6" s="71">
        <v>38.6</v>
      </c>
      <c r="J6" s="71">
        <v>77</v>
      </c>
      <c r="K6" s="71">
        <v>56.1</v>
      </c>
      <c r="L6" s="71">
        <v>6.9</v>
      </c>
      <c r="M6" s="71">
        <v>4251</v>
      </c>
      <c r="N6" s="71">
        <v>3960</v>
      </c>
      <c r="O6" s="71">
        <v>4990</v>
      </c>
      <c r="P6" s="71">
        <v>1498</v>
      </c>
      <c r="Q6" s="71">
        <v>7186</v>
      </c>
      <c r="R6" s="71">
        <v>7177</v>
      </c>
      <c r="S6" s="71">
        <v>6043</v>
      </c>
      <c r="T6" s="71">
        <v>7120</v>
      </c>
      <c r="U6" s="71">
        <v>0</v>
      </c>
      <c r="V6" s="71">
        <v>0</v>
      </c>
      <c r="W6" s="71">
        <v>0</v>
      </c>
      <c r="X6" s="71">
        <v>1686</v>
      </c>
      <c r="Y6" s="71">
        <v>5692</v>
      </c>
      <c r="Z6" s="71">
        <v>4570</v>
      </c>
      <c r="AA6" s="71">
        <v>1098</v>
      </c>
      <c r="AB6" s="71">
        <v>3857</v>
      </c>
      <c r="AC6" s="71">
        <v>9151</v>
      </c>
      <c r="AD6" s="71">
        <v>3379</v>
      </c>
      <c r="AE6" s="71">
        <v>3966</v>
      </c>
    </row>
    <row r="7" spans="1:99" s="72" customFormat="1" ht="22.2" ph="1">
      <c r="B7" s="238" ph="1"/>
      <c r="C7" s="68" t="s" ph="1">
        <v>178</v>
      </c>
      <c r="D7" s="73" ph="1">
        <f>D6*33.183*LOOKUP(D8,密度!$A$2:$A$50,密度!$Q$2:$Q$50)</f>
        <v>4347.5908674599996</v>
      </c>
      <c r="E7" s="73" ph="1">
        <f>E6*51.53*LOOKUP(E8,密度!$A$2:$A$50,密度!$B$2:$B$50)</f>
        <v>11106.436102</v>
      </c>
      <c r="F7" s="73" ph="1">
        <f>F6*33.183*LOOKUP(F8,密度!$A$2:$A$50,密度!$C$2:$C$50)</f>
        <v>211515.63607439998</v>
      </c>
      <c r="G7" s="73" ph="1">
        <f xml:space="preserve"> (G6+2)*51.53*LOOKUP(G8,密度!$A$2:$A$50,密度!$B$2:$B$50)</f>
        <v>11745.655445999999</v>
      </c>
      <c r="H7" s="73" ph="1">
        <f>(H6)*51.53*LOOKUP(H8,密度!$A$2:$A$50,密度!$B$2:$B$50)</f>
        <v>211565.07204000003</v>
      </c>
      <c r="I7" s="73" ph="1">
        <f>I6*290.8*1.0267</f>
        <v>11524.584296000001</v>
      </c>
      <c r="J7" s="73" ph="1">
        <f>J6*290.8*0.7892</f>
        <v>17671.450720000001</v>
      </c>
      <c r="K7" s="73" ph="1">
        <f>K6*290.8*1.1126</f>
        <v>18150.822888000002</v>
      </c>
      <c r="L7" s="73" ph="1">
        <f>L6*290.8*0.777</f>
        <v>1559.0660400000002</v>
      </c>
      <c r="M7" s="73" ph="1">
        <f>M6*33.183*LOOKUP(M8,密度!$A$2:$A$50,密度!$D$2:$D$50)</f>
        <v>143797.51510019999</v>
      </c>
      <c r="N7" s="73" ph="1">
        <f>N6*33.183*LOOKUP(N8,密度!$A$2:$A$50,密度!$E$2:$E$50)</f>
        <v>102029.16378599999</v>
      </c>
      <c r="O7" s="73" ph="1">
        <f>O6*20.428*LOOKUP(O8,密度!$A$2:$A$50,密度!$C$2:$C$50)</f>
        <v>112221.03414800001</v>
      </c>
      <c r="P7" s="73" ph="1">
        <f>P6*51.53*LOOKUP(P8,密度!$A$2:$A$50,密度!$B$2:$B$50)</f>
        <v>59846.911081999999</v>
      </c>
      <c r="Q7" s="73" ph="1">
        <f>Q6*1.5*1.5*3.1416*LOOKUP(W8,密度!$A$2:$A$50,密度!$L$2:$L$50)</f>
        <v>47340.902347200004</v>
      </c>
      <c r="R7" s="73" ph="1">
        <f>R6*1.5*1.5*3.1416*LOOKUP(R8,密度!$A$2:$A$50,密度!$L$2:$L$50)</f>
        <v>47027.954219400002</v>
      </c>
      <c r="S7" s="73" ph="1">
        <f>S6*1.5*1.5*3.1416*LOOKUP(S8,密度!$A$2:$A$50,密度!$L$2:$L$50)</f>
        <v>40024.470162600002</v>
      </c>
      <c r="T7" s="73" ph="1">
        <f>T6*1.5*1.5*3.1416*LOOKUP(T8,密度!$A$2:$A$50,密度!$L$2:$L$50)</f>
        <v>47308.72608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11107.2587472</v>
      </c>
      <c r="Y7" s="73" ph="1">
        <f>Y6*1.5*1.5*3.1416*LOOKUP(Y8,密度!$A$2:$A$50,密度!$L$2:$L$50)</f>
        <v>37498.5271584</v>
      </c>
      <c r="Z7" s="73" ph="1">
        <f>Z6*33.183*LOOKUP(Z8,密度!$A$2:$A$50,密度!$L$2:$L$50)</f>
        <v>141334.36092000001</v>
      </c>
      <c r="AA7" s="73" ph="1">
        <f>AA6*33.183*LOOKUP(AA8,密度!$A$2:$A$50,密度!$D$2:$D$50)</f>
        <v>37170.9196668</v>
      </c>
      <c r="AB7" s="73" ph="1">
        <f>AB6*20.428*LOOKUP(AB8,密度!$A$2:$A$50,密度!$D$2:$D$50)</f>
        <v>80673.896024400005</v>
      </c>
      <c r="AC7" s="73" ph="1">
        <f>AC6*51.53*LOOKUP(AC8,密度!$A$2:$A$50,密度!$Q$2:$Q$50)</f>
        <v>444474.56985740003</v>
      </c>
      <c r="AD7" s="73" ph="1">
        <f>AD6*20.428*LOOKUP(AD8,密度!$A$2:$A$50,密度!$V$2:$V$50)</f>
        <v>66099.500611199997</v>
      </c>
      <c r="AE7" s="73" ph="1">
        <f>AE6*20.428</f>
        <v>81017.448000000004</v>
      </c>
    </row>
    <row r="8" spans="1:99" ph="1">
      <c r="B8" s="238" ph="1"/>
      <c r="C8" s="68" t="s" ph="1">
        <v>179</v>
      </c>
      <c r="D8" s="74">
        <v>31</v>
      </c>
      <c r="E8" s="74">
        <v>30</v>
      </c>
      <c r="F8" s="74">
        <v>30</v>
      </c>
      <c r="G8" s="74">
        <v>30</v>
      </c>
      <c r="H8" s="74">
        <v>28</v>
      </c>
      <c r="I8" s="74">
        <v>25</v>
      </c>
      <c r="J8" s="74">
        <v>25</v>
      </c>
      <c r="K8" s="74">
        <v>25</v>
      </c>
      <c r="L8" s="74">
        <v>25</v>
      </c>
      <c r="M8" s="74">
        <v>33</v>
      </c>
      <c r="N8" s="74">
        <v>31</v>
      </c>
      <c r="O8" s="74">
        <v>34</v>
      </c>
      <c r="P8" s="74">
        <v>30</v>
      </c>
      <c r="Q8" s="74">
        <v>31</v>
      </c>
      <c r="R8" s="74">
        <v>35</v>
      </c>
      <c r="S8" s="74">
        <v>25</v>
      </c>
      <c r="T8" s="74">
        <v>22</v>
      </c>
      <c r="U8" s="74">
        <v>30</v>
      </c>
      <c r="V8" s="74">
        <v>30</v>
      </c>
      <c r="W8" s="74">
        <v>30</v>
      </c>
      <c r="X8" s="74">
        <v>30</v>
      </c>
      <c r="Y8" s="74">
        <v>30</v>
      </c>
      <c r="Z8" s="74">
        <v>30</v>
      </c>
      <c r="AA8" s="74">
        <v>32</v>
      </c>
      <c r="AB8" s="74">
        <v>28</v>
      </c>
      <c r="AC8" s="74">
        <v>31</v>
      </c>
      <c r="AD8" s="74">
        <v>29</v>
      </c>
      <c r="AE8" s="74">
        <v>30</v>
      </c>
    </row>
    <row r="9" spans="1:99" ht="26.4" ph="1">
      <c r="B9" s="238" ph="1">
        <v>0.66666666666666663</v>
      </c>
      <c r="C9" s="148" t="s" ph="1">
        <v>180</v>
      </c>
      <c r="D9" s="71">
        <v>142</v>
      </c>
      <c r="E9" s="71">
        <v>278</v>
      </c>
      <c r="F9" s="71">
        <v>6344</v>
      </c>
      <c r="G9" s="71">
        <v>895</v>
      </c>
      <c r="H9" s="71">
        <v>5288</v>
      </c>
      <c r="I9" s="71">
        <v>38.72</v>
      </c>
      <c r="J9" s="71">
        <v>77.13</v>
      </c>
      <c r="K9" s="71">
        <v>20.02</v>
      </c>
      <c r="L9" s="71">
        <v>49.31</v>
      </c>
      <c r="M9" s="71">
        <v>4253</v>
      </c>
      <c r="N9" s="71">
        <v>3963</v>
      </c>
      <c r="O9" s="71">
        <v>4570</v>
      </c>
      <c r="P9" s="71">
        <v>1231</v>
      </c>
      <c r="Q9" s="71">
        <v>7186</v>
      </c>
      <c r="R9" s="71">
        <v>7175</v>
      </c>
      <c r="S9" s="71">
        <v>3735</v>
      </c>
      <c r="T9" s="71">
        <v>6027</v>
      </c>
      <c r="U9" s="71">
        <v>0</v>
      </c>
      <c r="V9" s="71">
        <v>2837</v>
      </c>
      <c r="W9" s="71">
        <v>416</v>
      </c>
      <c r="X9" s="71">
        <v>5808</v>
      </c>
      <c r="Y9" s="71">
        <v>5693</v>
      </c>
      <c r="Z9" s="71">
        <v>2356</v>
      </c>
      <c r="AA9" s="71">
        <v>1099</v>
      </c>
      <c r="AB9" s="71">
        <v>3859</v>
      </c>
      <c r="AC9" s="71">
        <v>8955</v>
      </c>
      <c r="AD9" s="71">
        <v>3381</v>
      </c>
      <c r="AE9" s="71">
        <v>3965</v>
      </c>
    </row>
    <row r="10" spans="1:99" s="72" customFormat="1" ht="22.2" ph="1">
      <c r="B10" s="238" ph="1"/>
      <c r="C10" s="148" t="s" ph="1">
        <v>178</v>
      </c>
      <c r="D10" s="73" ph="1">
        <f>D9*33.183*LOOKUP(D11,密度!$A$2:$A$50,密度!$Q$2:$Q$50)</f>
        <v>4441.4237638799996</v>
      </c>
      <c r="E10" s="73" ph="1">
        <f>E9*51.53*LOOKUP(E11,密度!$A$2:$A$50,密度!$B$2:$B$50)</f>
        <v>11069.190218000002</v>
      </c>
      <c r="F10" s="73" ph="1">
        <f>F9*33.183*LOOKUP(F11,密度!$A$2:$A$50,密度!$C$2:$C$50)</f>
        <v>232953.6326832</v>
      </c>
      <c r="G10" s="73" ph="1">
        <f xml:space="preserve"> (G9+2)*51.53*LOOKUP(G11,密度!$A$2:$A$50,密度!$B$2:$B$50)</f>
        <v>35794.634303999999</v>
      </c>
      <c r="H10" s="73" ph="1">
        <f>(H9)*51.53*LOOKUP(H11,密度!$A$2:$A$50,密度!$B$2:$B$50)</f>
        <v>211507.23476800002</v>
      </c>
      <c r="I10" s="73" ph="1">
        <f>I9*290.8*1.0267</f>
        <v>11560.412019199999</v>
      </c>
      <c r="J10" s="73" ph="1">
        <f>J9*290.8*0.7892</f>
        <v>17701.285636799999</v>
      </c>
      <c r="K10" s="73" ph="1">
        <f>K9*290.8*1.1126</f>
        <v>6477.3524815999999</v>
      </c>
      <c r="L10" s="73" ph="1">
        <f>L9*290.8*0.777</f>
        <v>11141.673396000002</v>
      </c>
      <c r="M10" s="73" ph="1">
        <f>M9*33.183*LOOKUP(M11,密度!$A$2:$A$50,密度!$D$2:$D$50)</f>
        <v>143978.07043980001</v>
      </c>
      <c r="N10" s="73" ph="1">
        <f>N9*33.183*LOOKUP(N11,密度!$A$2:$A$50,密度!$E$2:$E$50)</f>
        <v>102257.68847039998</v>
      </c>
      <c r="O10" s="73" ph="1">
        <f>O9*20.428*LOOKUP(O11,密度!$A$2:$A$50,密度!$C$2:$C$50)</f>
        <v>103242.35616400001</v>
      </c>
      <c r="P10" s="73" ph="1">
        <f>P9*51.53*LOOKUP(P11,密度!$A$2:$A$50,密度!$B$2:$B$50)</f>
        <v>49122.848191999998</v>
      </c>
      <c r="Q10" s="73" ph="1">
        <f>Q9*1.5*1.5*3.1416*LOOKUP(W11,密度!$A$2:$A$50,密度!$L$2:$L$50)</f>
        <v>47290.107387600001</v>
      </c>
      <c r="R10" s="73" ph="1">
        <f>R9*1.5*1.5*3.1416*LOOKUP(R11,密度!$A$2:$A$50,密度!$L$2:$L$50)</f>
        <v>47014.849035000007</v>
      </c>
      <c r="S10" s="73" ph="1">
        <f>S9*1.5*1.5*3.1416*LOOKUP(S11,密度!$A$2:$A$50,密度!$L$2:$L$50)</f>
        <v>24711.542856000004</v>
      </c>
      <c r="T10" s="73" ph="1">
        <f>T9*1.5*1.5*3.1416*LOOKUP(T11,密度!$A$2:$A$50,密度!$L$2:$L$50)</f>
        <v>40003.702615800001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18710.025780600001</v>
      </c>
      <c r="W10" s="73" ph="1">
        <f>W9*1.5*1.5*3.1416*LOOKUP(W11,密度!$A$2:$A$50,密度!$L$2:$L$50)</f>
        <v>2737.6405056000003</v>
      </c>
      <c r="X10" s="73" ph="1">
        <f>X9*1.5*1.5*3.1416*LOOKUP(X11,密度!$A$2:$A$50,密度!$L$2:$L$50)</f>
        <v>38385.890928000001</v>
      </c>
      <c r="Y10" s="73" ph="1">
        <f>Y9*1.5*1.5*3.1416*LOOKUP(Y11,密度!$A$2:$A$50,密度!$L$2:$L$50)</f>
        <v>37505.115093599998</v>
      </c>
      <c r="Z10" s="73" ph="1">
        <f>Z9*33.183*LOOKUP(Z11,密度!$A$2:$A$50,密度!$L$2:$L$50)</f>
        <v>72941.145084000003</v>
      </c>
      <c r="AA10" s="73" ph="1">
        <f>AA9*33.183*LOOKUP(AA11,密度!$A$2:$A$50,密度!$D$2:$D$50)</f>
        <v>37015.138754999993</v>
      </c>
      <c r="AB10" s="73" ph="1">
        <f>AB9*20.428*LOOKUP(AB11,密度!$A$2:$A$50,密度!$D$2:$D$50)</f>
        <v>81007.405595200005</v>
      </c>
      <c r="AC10" s="73" ph="1">
        <f>AC9*51.53*LOOKUP(AC11,密度!$A$2:$A$50,密度!$Q$2:$Q$50)</f>
        <v>434640.838185</v>
      </c>
      <c r="AD10" s="73" ph="1">
        <f>AD9*20.428*LOOKUP(AD11,密度!$A$2:$A$50,密度!$V$2:$V$50)</f>
        <v>66138.624316799993</v>
      </c>
      <c r="AE10" s="73" ph="1">
        <f>AE9*20.428</f>
        <v>80997.02</v>
      </c>
    </row>
    <row r="11" spans="1:99" ph="1">
      <c r="A11" s="64" t="s" ph="1">
        <v>162</v>
      </c>
      <c r="B11" s="238" ph="1"/>
      <c r="C11" s="148" t="s" ph="1">
        <v>179</v>
      </c>
      <c r="D11" s="74">
        <v>31</v>
      </c>
      <c r="E11" s="74">
        <v>33</v>
      </c>
      <c r="F11" s="74">
        <v>28</v>
      </c>
      <c r="G11" s="74">
        <v>31</v>
      </c>
      <c r="H11" s="74">
        <v>29</v>
      </c>
      <c r="I11" s="74">
        <v>25</v>
      </c>
      <c r="J11" s="74">
        <v>25</v>
      </c>
      <c r="K11" s="74">
        <v>25</v>
      </c>
      <c r="L11" s="74">
        <v>25</v>
      </c>
      <c r="M11" s="74">
        <v>32</v>
      </c>
      <c r="N11" s="74">
        <v>30</v>
      </c>
      <c r="O11" s="74">
        <v>29</v>
      </c>
      <c r="P11" s="74">
        <v>31</v>
      </c>
      <c r="Q11" s="74">
        <v>32</v>
      </c>
      <c r="R11" s="74">
        <v>35</v>
      </c>
      <c r="S11" s="74">
        <v>26</v>
      </c>
      <c r="T11" s="74">
        <v>23</v>
      </c>
      <c r="U11" s="74">
        <v>30</v>
      </c>
      <c r="V11" s="74">
        <v>29</v>
      </c>
      <c r="W11" s="74">
        <v>31</v>
      </c>
      <c r="X11" s="74">
        <v>27</v>
      </c>
      <c r="Y11" s="74">
        <v>30</v>
      </c>
      <c r="Z11" s="74">
        <v>29</v>
      </c>
      <c r="AA11" s="74">
        <v>38</v>
      </c>
      <c r="AB11" s="74">
        <v>24</v>
      </c>
      <c r="AC11" s="74">
        <v>32</v>
      </c>
      <c r="AD11" s="74">
        <v>29</v>
      </c>
      <c r="AE11" s="74">
        <v>30</v>
      </c>
    </row>
    <row r="12" spans="1:99" ht="9.9" customHeight="1" ph="1"/>
    <row r="13" spans="1:99" s="72" customFormat="1" ht="29.25" customHeight="1" ph="1">
      <c r="B13" s="215" t="s" ph="1">
        <v>37</v>
      </c>
      <c r="C13" s="148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6" ph="1"/>
      <c r="C14" s="67" t="s" ph="1">
        <v>36</v>
      </c>
      <c r="D14" s="77" t="s" ph="1">
        <v>616</v>
      </c>
      <c r="E14" s="77" t="s" ph="1">
        <v>616</v>
      </c>
      <c r="F14" s="144" t="s" ph="1">
        <v>636</v>
      </c>
      <c r="G14" s="77" t="s" ph="1">
        <v>617</v>
      </c>
      <c r="H14" s="77" t="s" ph="1">
        <v>637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638</v>
      </c>
      <c r="P14" s="77" t="s" ph="1">
        <v>622</v>
      </c>
      <c r="Q14" s="77" t="s" ph="1">
        <v>622</v>
      </c>
      <c r="R14" s="88" t="s" ph="1">
        <v>7</v>
      </c>
      <c r="S14" s="77" t="s" ph="1">
        <v>622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17" ph="1">
        <v>0.33333333333333331</v>
      </c>
      <c r="C15" s="148" t="s" ph="1">
        <v>177</v>
      </c>
      <c r="D15" s="78">
        <v>0</v>
      </c>
      <c r="E15" s="78">
        <v>1332</v>
      </c>
      <c r="F15" s="78">
        <v>457</v>
      </c>
      <c r="G15" s="78">
        <v>4288</v>
      </c>
      <c r="H15" s="78">
        <v>4365</v>
      </c>
      <c r="I15" s="78">
        <v>3128</v>
      </c>
      <c r="J15" s="78">
        <v>4931</v>
      </c>
      <c r="K15" s="78">
        <v>4711</v>
      </c>
      <c r="L15" s="78">
        <v>6015</v>
      </c>
      <c r="M15" s="78">
        <v>6052</v>
      </c>
      <c r="N15" s="78">
        <v>814</v>
      </c>
      <c r="O15" s="78">
        <v>2499</v>
      </c>
      <c r="P15" s="78">
        <v>4004</v>
      </c>
      <c r="Q15" s="78">
        <v>3998</v>
      </c>
      <c r="R15" s="78">
        <v>8</v>
      </c>
      <c r="S15" s="78">
        <v>1220</v>
      </c>
      <c r="T15" s="78">
        <v>4123</v>
      </c>
      <c r="U15" s="78">
        <v>0</v>
      </c>
      <c r="V15" s="78">
        <v>-817</v>
      </c>
      <c r="W15" s="71">
        <v>-816</v>
      </c>
      <c r="X15" s="78">
        <v>1030</v>
      </c>
      <c r="Y15" s="106">
        <v>-9909</v>
      </c>
      <c r="Z15" s="78">
        <v>15</v>
      </c>
      <c r="AA15" s="78">
        <v>2506</v>
      </c>
      <c r="AB15" s="78" ph="1">
        <v>22</v>
      </c>
      <c r="AC15" s="78" ph="1">
        <v>0</v>
      </c>
      <c r="AD15" s="78">
        <v>5.8</v>
      </c>
      <c r="AE15" s="78">
        <v>40.6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18" ph="1"/>
      <c r="C16" s="148" t="s" ph="1">
        <v>178</v>
      </c>
      <c r="D16" s="73" ph="1">
        <f>D15*7.0686*LOOKUP(D17,密度!$A$2:$A$50,密度!$L$2:$L$50)</f>
        <v>0</v>
      </c>
      <c r="E16" s="73" ph="1">
        <f>E15*7.0686*LOOKUP(E17,密度!$A$2:$A$50,密度!$L$2:$L$50)</f>
        <v>8765.7143112000012</v>
      </c>
      <c r="F16" s="73" ph="1">
        <f>F15*9.0746*LOOKUP(F17,密度!$A$2:$A$50,密度!$L$2:$L$50)</f>
        <v>3865.0899304000004</v>
      </c>
      <c r="G16" s="73" ph="1">
        <f>G15*9.0746*LOOKUP(G17,密度!$A$2:$A$50,密度!$B$2:$B$50)</f>
        <v>30168.384285439999</v>
      </c>
      <c r="H16" s="73" ph="1">
        <f>H15*9.0746*LOOKUP(H17,密度!$A$2:$A$50,密度!$L$2:$L$50)</f>
        <v>36917.106228000004</v>
      </c>
      <c r="I16" s="73" ph="1">
        <f>I15*9.0746*LOOKUP(I17,密度!$A$2:$A$50,密度!$U$2:$U$50)</f>
        <v>28811.129031999997</v>
      </c>
      <c r="J16" s="73" ph="1">
        <f>J15*9.0746*LOOKUP(J17,密度!$A$2:$A$50,密度!$L$2:$L$50)</f>
        <v>41525.079212800003</v>
      </c>
      <c r="K16" s="73" ph="1">
        <f>K15*9.0746*LOOKUP(K17,密度!$A$2:$A$50,密度!$C$2:$C$50)</f>
        <v>47200.761466460004</v>
      </c>
      <c r="L16" s="73" ph="1">
        <f>L15*9.0746*LOOKUP(L17,密度!$A$2:$A$50,密度!$E$2:$E$50)</f>
        <v>42444.299894399999</v>
      </c>
      <c r="M16" s="73" ph="1">
        <f>M15*9.0746*LOOKUP(M17,密度!$A$2:$A$50,密度!$M$2:$M$50)</f>
        <v>47602.556986184005</v>
      </c>
      <c r="N16" s="73" ph="1">
        <f>N15*9.0746*LOOKUP(N17,密度!$A$2:$A$50,密度!$M$2:$M$50)</f>
        <v>6425.7115555600003</v>
      </c>
      <c r="O16" s="73" ph="1">
        <f>O15*9.0746*LOOKUP(O17,密度!$A$2:$A$50,密度!$G$2:$G$50)</f>
        <v>21650.138029379999</v>
      </c>
      <c r="P16" s="73" ph="1">
        <f ca="1">P15*9.0746*LOOKUP(P17,密度!$A$2:$A$51,密度!$Q$2:$Q$50)</f>
        <v>34275.611041672004</v>
      </c>
      <c r="Q16" s="73" ph="1">
        <f>Q15*9.0746*LOOKUP(Q17,密度!$A$2:$A$50,密度!$Q$2:$Q$50)</f>
        <v>34197.038799064001</v>
      </c>
      <c r="R16" s="73" ph="1">
        <f>MAX(R15*9.0746*LOOKUP(R17,密度!$A$2:$A$50,密度!$B$2:$B$50),0)</f>
        <v>56.095547360000005</v>
      </c>
      <c r="S16" s="73" ph="1">
        <f>S15*9.0746*LOOKUP(S17,密度!$A$2:$A$50,密度!$Q$2:$Q$50)</f>
        <v>10443.61774996</v>
      </c>
      <c r="T16" s="73" ph="1">
        <f>T15*9.0746*LOOKUP(T17,密度!$A$2:$A$50,密度!$O$2:$O$50)</f>
        <v>34496.238887599997</v>
      </c>
      <c r="U16" s="73" ph="1">
        <f>U15*9.0746*LOOKUP(U17,密度!$A$2:$A$50,密度!$H$2:$H$50)</f>
        <v>0</v>
      </c>
      <c r="V16" s="73" ph="1">
        <f>MAX(5600*LOOKUP(V17,密度!$A$2:$A$50,密度!$Q$2:$Q$50)+V15*9.0476*LOOKUP(V17,密度!$A$2:$A$50,密度!$Q$2:$Q$50),0)</f>
        <v>0</v>
      </c>
      <c r="W16" s="73" ph="1">
        <f>MAX(5600*LOOKUP(W17,密度!$A$2:$A$50,密度!$Q$2:$Q$50)+W15*9.0476*LOOKUP(W17,密度!$A$2:$A$50,密度!$Q$2:$Q$50),0)</f>
        <v>0</v>
      </c>
      <c r="X16" s="73" ph="1">
        <f>MAX(5600*LOOKUP(X17,密度!$A$2:$A$50,密度!$I$2:$I$50)+X15*9.0476*LOOKUP(X17,密度!$A$2:$A$50,密度!$I$2:$I$50),0)</f>
        <v>15466.556327599996</v>
      </c>
      <c r="Y16" s="107" ph="1">
        <v>0</v>
      </c>
      <c r="Z16" s="73" ph="1">
        <f>Z15*9.0746*LOOKUP(Z17,密度!$A$2:$A$50,密度!$D$2:$D$50)</f>
        <v>138.86860379999999</v>
      </c>
      <c r="AA16" s="73" ph="1">
        <f>AA15*9.0746*LOOKUP(AA17,密度!$A$2:$A$50,密度!$B$2:$B$50)</f>
        <v>17631.05667428</v>
      </c>
      <c r="AB16" s="73" ph="1">
        <f>AB15*9.0746*LOOKUP(AB17,密度!$A$2:$A$50,密度!$L$2:$L$50)</f>
        <v>185.66631599999999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2435.7385823999998</v>
      </c>
      <c r="AE16" s="73" ph="1">
        <f>AE15*268.68*LOOKUP(AE17,密度!$A$2:$A$50,密度!B2:B50)+IF(AE15&lt;=0,0,1566*LOOKUP(AE17,密度!$A$2:$A$50,密度!B2:B50))</f>
        <v>9725.0484768000006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19" ph="1"/>
      <c r="C17" s="79" t="s" ph="1">
        <v>179</v>
      </c>
      <c r="D17" s="74">
        <v>30</v>
      </c>
      <c r="E17" s="74">
        <v>31</v>
      </c>
      <c r="F17" s="74">
        <v>30</v>
      </c>
      <c r="G17" s="74">
        <v>30</v>
      </c>
      <c r="H17" s="74">
        <v>30</v>
      </c>
      <c r="I17" s="74">
        <v>35</v>
      </c>
      <c r="J17" s="74">
        <v>34</v>
      </c>
      <c r="K17" s="74">
        <v>31</v>
      </c>
      <c r="L17" s="74">
        <v>30</v>
      </c>
      <c r="M17" s="74">
        <v>33</v>
      </c>
      <c r="N17" s="74">
        <v>30</v>
      </c>
      <c r="O17" s="74">
        <v>30</v>
      </c>
      <c r="P17" s="74">
        <v>30</v>
      </c>
      <c r="Q17" s="74">
        <v>31</v>
      </c>
      <c r="R17" s="74">
        <v>33</v>
      </c>
      <c r="S17" s="74">
        <v>30</v>
      </c>
      <c r="T17" s="74">
        <v>30</v>
      </c>
      <c r="U17" s="74">
        <v>30</v>
      </c>
      <c r="V17" s="74">
        <v>33</v>
      </c>
      <c r="W17" s="74">
        <v>33</v>
      </c>
      <c r="X17" s="74">
        <v>30</v>
      </c>
      <c r="Y17" s="108">
        <v>30</v>
      </c>
      <c r="Z17" s="74">
        <v>32</v>
      </c>
      <c r="AA17" s="74">
        <v>30</v>
      </c>
      <c r="AB17" s="74">
        <v>32</v>
      </c>
      <c r="AC17" s="74">
        <v>32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17" ph="1">
        <v>0.66666666666666663</v>
      </c>
      <c r="C18" s="79" t="s" ph="1">
        <v>180</v>
      </c>
      <c r="D18" s="71">
        <v>177</v>
      </c>
      <c r="E18" s="71">
        <v>2840</v>
      </c>
      <c r="F18" s="71">
        <v>458</v>
      </c>
      <c r="G18" s="71">
        <v>4000</v>
      </c>
      <c r="H18" s="71">
        <v>4367</v>
      </c>
      <c r="I18" s="71">
        <v>3129</v>
      </c>
      <c r="J18" s="71">
        <v>4936</v>
      </c>
      <c r="K18" s="71">
        <v>4709</v>
      </c>
      <c r="L18" s="71">
        <v>6020</v>
      </c>
      <c r="M18" s="71">
        <v>2738</v>
      </c>
      <c r="N18" s="71">
        <v>3914</v>
      </c>
      <c r="O18" s="71">
        <v>2500</v>
      </c>
      <c r="P18" s="71">
        <v>5280</v>
      </c>
      <c r="Q18" s="71">
        <v>5481</v>
      </c>
      <c r="R18" s="71">
        <v>0</v>
      </c>
      <c r="S18" s="71">
        <v>1013</v>
      </c>
      <c r="T18" s="71">
        <v>4215</v>
      </c>
      <c r="U18" s="71">
        <v>0</v>
      </c>
      <c r="V18" s="71">
        <v>-817</v>
      </c>
      <c r="W18" s="71">
        <v>-815</v>
      </c>
      <c r="X18" s="71">
        <v>1032</v>
      </c>
      <c r="Y18" s="109">
        <v>-9909</v>
      </c>
      <c r="Z18" s="71">
        <v>0</v>
      </c>
      <c r="AA18" s="71">
        <v>2509</v>
      </c>
      <c r="AB18" s="71">
        <v>0</v>
      </c>
      <c r="AC18" s="71">
        <v>0</v>
      </c>
      <c r="AD18" s="71">
        <v>11.22</v>
      </c>
      <c r="AE18" s="71">
        <v>84.71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18" ph="1"/>
      <c r="C19" s="148" t="s" ph="1">
        <v>178</v>
      </c>
      <c r="D19" s="73" ph="1">
        <f>D18*7.0686*LOOKUP(D20,密度!$A$2:$A$50,密度!$L$2:$L$50)</f>
        <v>1166.0645304</v>
      </c>
      <c r="E19" s="73" ph="1">
        <f>E18*7.0686*LOOKUP(E20,密度!$A$2:$A$50,密度!$L$2:$L$50)</f>
        <v>18689.661144000002</v>
      </c>
      <c r="F19" s="73" ph="1">
        <f>F18*9.0746*LOOKUP(F20,密度!$A$2:$A$50,密度!$L$2:$L$50)</f>
        <v>3856.9227903999999</v>
      </c>
      <c r="G19" s="73" ph="1">
        <f>G18*9.0746*LOOKUP(G20,密度!$A$2:$A$50,密度!$B$2:$B$50)</f>
        <v>28142.149519999999</v>
      </c>
      <c r="H19" s="73" ph="1">
        <f>H18*9.0746*LOOKUP(H20,密度!$A$2:$A$50,密度!$L$2:$L$50)</f>
        <v>37052.907617000004</v>
      </c>
      <c r="I19" s="73" ph="1">
        <f>I18*9.0746*LOOKUP(I20,密度!$A$2:$A$50,密度!$U$2:$U$50)</f>
        <v>28877.128597799998</v>
      </c>
      <c r="J19" s="73" ph="1">
        <f>J18*9.0746*LOOKUP(J20,密度!$A$2:$A$50,密度!$L$2:$L$50)</f>
        <v>41656.769807999997</v>
      </c>
      <c r="K19" s="73" ph="1">
        <f>K18*9.0746*LOOKUP(K20,密度!$A$2:$A$50,密度!$C$2:$C$50)</f>
        <v>47223.455226140002</v>
      </c>
      <c r="L19" s="73" ph="1">
        <f>L18*9.0746*LOOKUP(L20,密度!$A$2:$A$50,密度!$E$2:$E$50)</f>
        <v>42479.581939199998</v>
      </c>
      <c r="M19" s="73" ph="1">
        <f>M18*9.0746*LOOKUP(M20,密度!$A$2:$A$50,密度!$M$2:$M$50)</f>
        <v>21509.899705455999</v>
      </c>
      <c r="N19" s="73" ph="1">
        <f>N18*9.0746*LOOKUP(N20,密度!$A$2:$A$50,密度!$M$2:$M$50)</f>
        <v>30936.164412400001</v>
      </c>
      <c r="O19" s="73" ph="1">
        <f>O18*9.0746*LOOKUP(O20,密度!$A$2:$A$50,密度!$G$2:$G$50)</f>
        <v>21612.067360000001</v>
      </c>
      <c r="P19" s="73" ph="1">
        <f ca="1">P18*9.0746*LOOKUP(P20,密度!$A$2:$A$51,密度!$Q$2:$Q$50)</f>
        <v>45198.607967039999</v>
      </c>
      <c r="Q19" s="73" ph="1">
        <f>Q18*9.0746*LOOKUP(Q20,密度!$A$2:$A$50,密度!$Q$2:$Q$50)</f>
        <v>46848.111620939999</v>
      </c>
      <c r="R19" s="73" ph="1">
        <f>MAX(R18*9.0746*LOOKUP(R20,密度!$A$2:$A$50,密度!$B$2:$B$50),0)</f>
        <v>0</v>
      </c>
      <c r="S19" s="73" ph="1">
        <f>S18*9.0746*LOOKUP(S20,密度!$A$2:$A$50,密度!$Q$2:$Q$50)</f>
        <v>8652.5063242500019</v>
      </c>
      <c r="T19" s="73" ph="1">
        <f>T18*9.0746*LOOKUP(T20,密度!$A$2:$A$50,密度!$O$2:$O$50)</f>
        <v>35235.383206799997</v>
      </c>
      <c r="U19" s="73" ph="1">
        <f>U18*9.0746*LOOKUP(U20,密度!$A$2:$A$50,密度!$H$2:$H$50)</f>
        <v>0</v>
      </c>
      <c r="V19" s="73" ph="1">
        <f>MAX(5600*LOOKUP(V20,密度!$A$2:$A$50,密度!$Q$2:$Q$50)+V18*9.0476*LOOKUP(V20,密度!$A$2:$A$50,密度!$Q$2:$Q$50),0)</f>
        <v>0</v>
      </c>
      <c r="W19" s="73" ph="1">
        <f>MAX(5600*LOOKUP(W20,密度!$A$2:$A$50,密度!$Q$2:$Q$50)+W18*9.0476*LOOKUP(W20,密度!$A$2:$A$50,密度!$Q$2:$Q$50),0)</f>
        <v>0</v>
      </c>
      <c r="X19" s="73" ph="1">
        <f>MAX(5600*LOOKUP(X20,密度!$A$2:$A$50,密度!$I$2:$I$50)+X18*9.0476*LOOKUP(X20,密度!$A$2:$A$50,密度!$I$2:$I$50),0)</f>
        <v>15452.453950399999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17592.96604078</v>
      </c>
      <c r="AB19" s="73" ph="1">
        <f>AB18*9.0746*LOOKUP(AB20,密度!$A$2:$A$50,密度!$L$2:$L$50)</f>
        <v>0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3559.1181192000004</v>
      </c>
      <c r="AE19" s="73" ph="1">
        <f>AE18*268.68*LOOKUP(AE20,密度!$A$2:$A$50,密度!B5:B53)+IF(AE18&lt;=0,0,1566*LOOKUP(AE20,密度!$A$2:$A$50,密度!B5:B53))</f>
        <v>18901.2109356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18" ph="1"/>
      <c r="C20" s="80" t="s" ph="1">
        <v>179</v>
      </c>
      <c r="D20" s="81">
        <v>30</v>
      </c>
      <c r="E20" s="81">
        <v>31</v>
      </c>
      <c r="F20" s="81">
        <v>34</v>
      </c>
      <c r="G20" s="81">
        <v>30</v>
      </c>
      <c r="H20" s="81">
        <v>27</v>
      </c>
      <c r="I20" s="81">
        <v>33</v>
      </c>
      <c r="J20" s="81">
        <v>32</v>
      </c>
      <c r="K20" s="81">
        <v>30</v>
      </c>
      <c r="L20" s="81">
        <v>30</v>
      </c>
      <c r="M20" s="81">
        <v>34</v>
      </c>
      <c r="N20" s="81">
        <v>29</v>
      </c>
      <c r="O20" s="81">
        <v>32</v>
      </c>
      <c r="P20" s="81">
        <v>30</v>
      </c>
      <c r="Q20" s="81">
        <v>32</v>
      </c>
      <c r="R20" s="81">
        <v>34</v>
      </c>
      <c r="S20" s="81">
        <v>33</v>
      </c>
      <c r="T20" s="81">
        <v>33</v>
      </c>
      <c r="U20" s="81">
        <v>32</v>
      </c>
      <c r="V20" s="81">
        <v>33</v>
      </c>
      <c r="W20" s="81">
        <v>34</v>
      </c>
      <c r="X20" s="81">
        <v>32</v>
      </c>
      <c r="Y20" s="110">
        <v>32</v>
      </c>
      <c r="Z20" s="81">
        <v>32</v>
      </c>
      <c r="AA20" s="81">
        <v>33</v>
      </c>
      <c r="AB20" s="81">
        <v>32</v>
      </c>
      <c r="AC20" s="81">
        <v>32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6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6" t="s" ph="1">
        <v>69</v>
      </c>
      <c r="AA22" s="227"/>
      <c r="AB22" s="227"/>
      <c r="AC22" s="227"/>
      <c r="AD22" s="227"/>
      <c r="AE22" s="228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0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610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229" t="s" ph="1">
        <v>640</v>
      </c>
      <c r="AA23" s="230"/>
      <c r="AB23" s="230"/>
      <c r="AC23" s="230"/>
      <c r="AD23" s="230"/>
      <c r="AE23" s="231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38" ph="1">
        <v>0.33333333333333331</v>
      </c>
      <c r="C24" s="148" t="s" ph="1">
        <v>177</v>
      </c>
      <c r="D24" s="71">
        <v>2.7</v>
      </c>
      <c r="E24" s="71">
        <v>5.8</v>
      </c>
      <c r="F24" s="71">
        <v>540</v>
      </c>
      <c r="G24" s="71">
        <v>3536</v>
      </c>
      <c r="H24" s="71">
        <v>3308</v>
      </c>
      <c r="I24" s="71">
        <v>2782</v>
      </c>
      <c r="J24" s="71">
        <v>302</v>
      </c>
      <c r="K24" s="71">
        <v>1410</v>
      </c>
      <c r="L24" s="71">
        <v>298</v>
      </c>
      <c r="M24" s="71">
        <v>324</v>
      </c>
      <c r="N24" s="71">
        <v>2542</v>
      </c>
      <c r="O24" s="71">
        <v>340</v>
      </c>
      <c r="P24" s="71">
        <v>371</v>
      </c>
      <c r="Q24" s="90">
        <v>2775</v>
      </c>
      <c r="R24" s="71">
        <v>347</v>
      </c>
      <c r="S24" s="71">
        <v>3222</v>
      </c>
      <c r="T24" s="71">
        <v>399</v>
      </c>
      <c r="U24" s="71">
        <v>4067</v>
      </c>
      <c r="V24" s="71">
        <v>737</v>
      </c>
      <c r="W24" s="71">
        <v>3306</v>
      </c>
      <c r="X24" s="71">
        <v>3694</v>
      </c>
      <c r="Y24" s="71">
        <v>1309</v>
      </c>
      <c r="Z24" s="232"/>
      <c r="AA24" s="233"/>
      <c r="AB24" s="233"/>
      <c r="AC24" s="233"/>
      <c r="AD24" s="233"/>
      <c r="AE24" s="234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38" ph="1"/>
      <c r="C25" s="68" t="s" ph="1">
        <v>178</v>
      </c>
      <c r="D25" s="91" ph="1">
        <f>D24*268.68*LOOKUP(D26,密度!$A$2:$A$50,密度!$Q$2:$Q$50)+IF(D24&lt;=0,0,1566*LOOKUP(D26,密度!$A$2:$A$50,密度!$Q$2:$Q$50))</f>
        <v>2169.3941186399998</v>
      </c>
      <c r="E25" s="91" ph="1">
        <f>E24*268.68*LOOKUP(E26,密度!$A$2:$A$50,密度!$C$2:$C$50)+IF(E24&lt;=0,0,1566*LOOKUP(E26,密度!$A$2:$A$50,密度!$C$2:$C$50))</f>
        <v>3464.5850615999998</v>
      </c>
      <c r="F25" s="91" ph="1">
        <f>F24*11.702*LOOKUP(F26,密度!$A$2:$A$50,密度!$Q$2:$Q$50)</f>
        <v>5973.5527056000001</v>
      </c>
      <c r="G25" s="91" ph="1">
        <f>G24*18.322*LOOKUP(G26,密度!$A$2:$A$50,密度!$B$2:$B$50)</f>
        <v>50397.489916799997</v>
      </c>
      <c r="H25" s="91" ph="1">
        <f>H24*18.322*LOOKUP(H26,密度!$A$2:$A$50,密度!$B$2:$B$50)</f>
        <v>47147.878010400003</v>
      </c>
      <c r="I25" s="91" ph="1">
        <f>I24*18.322*LOOKUP(I26,密度!$A$2:$A$50,密度!$Q$2:$Q$50)</f>
        <v>48220.855738120001</v>
      </c>
      <c r="J25" s="91" ph="1">
        <f>J24*18.322*LOOKUP(J26,密度!$A$2:$A$50,密度!$Q$2:$Q$50)</f>
        <v>5234.6148213199995</v>
      </c>
      <c r="K25" s="91" ph="1">
        <f>K24*18.322*LOOKUP(K26,密度!$A$2:$A$50,密度!$Q$2:$Q$50)</f>
        <v>24439.7579406</v>
      </c>
      <c r="L25" s="91" ph="1">
        <f>L24*18.322*LOOKUP(L26,密度!$A$2:$A$50,密度!$Q$2:$Q$50)</f>
        <v>5161.4056059200002</v>
      </c>
      <c r="M25" s="91" ph="1">
        <f>M24*18.322*LOOKUP(M26,密度!$A$2:$A$50,密度!$Q$2:$Q$50)</f>
        <v>5607.5741553600001</v>
      </c>
      <c r="N25" s="91" ph="1">
        <f>N24*18.322*LOOKUP(N26,密度!$A$2:$A$50,密度!$Q$2:$Q$50)</f>
        <v>43995.22686088</v>
      </c>
      <c r="O25" s="91" ph="1">
        <f>O24*18.322*LOOKUP(O26,密度!$A$2:$A$50,密度!$C$2:$C$50)</f>
        <v>6898.5261519999995</v>
      </c>
      <c r="P25" s="91" ph="1">
        <f>P24*11.702*LOOKUP(P26,密度!$A$2:$A$50,密度!$B$2:$B$50)</f>
        <v>3373.3004340000002</v>
      </c>
      <c r="Q25" s="92" ph="1">
        <f>Q24*18.322*LOOKUP(Q26,密度!$A$2:$A$50,密度!$B$2:$B$50)</f>
        <v>39505.438349999997</v>
      </c>
      <c r="R25" s="91" ph="1">
        <f>R24*35.891*LOOKUP(R26,密度!$A$2:$A$50,密度!$C$2:$C$50)</f>
        <v>13791.755609799999</v>
      </c>
      <c r="S25" s="91" ph="1">
        <f>S24*35.891*LOOKUP(S26,密度!$A$2:$A$50,密度!$B$2:$B$50)</f>
        <v>89956.979875799996</v>
      </c>
      <c r="T25" s="91" ph="1">
        <f>T24*35.891*LOOKUP(T26,密度!$A$2:$A$50,密度!$Q$2:$Q$50)</f>
        <v>13527.43921158</v>
      </c>
      <c r="U25" s="91" ph="1">
        <f>U24*35.891</f>
        <v>145968.69699999999</v>
      </c>
      <c r="V25" s="91" ph="1">
        <f>V24*47.051*LOOKUP(V26,密度!$A$2:$A$50,密度!$B$2:$B$50)</f>
        <v>26974.917027300002</v>
      </c>
      <c r="W25" s="91" ph="1">
        <f>W24*47.051*LOOKUP(W26,密度!$A$2:$A$50,密度!$B$2:$B$50)</f>
        <v>121002.81640740001</v>
      </c>
      <c r="X25" s="91" ph="1">
        <f>X24*47.051*LOOKUP(X26,密度!$A$2:$A$61,密度!$I$2:$I$61)</f>
        <v>180185.08865979998</v>
      </c>
      <c r="Y25" s="91" ph="1">
        <f>Y24*47.051*LOOKUP(Y26,密度!$A$2:$A$50,密度!$L$2:$L$50)</f>
        <v>57401.655388000006</v>
      </c>
      <c r="Z25" s="232"/>
      <c r="AA25" s="233"/>
      <c r="AB25" s="233"/>
      <c r="AC25" s="233"/>
      <c r="AD25" s="233"/>
      <c r="AE25" s="234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38" ph="1"/>
      <c r="C26" s="68" t="s" ph="1">
        <v>179</v>
      </c>
      <c r="D26" s="74">
        <v>25</v>
      </c>
      <c r="E26" s="74">
        <v>25</v>
      </c>
      <c r="F26" s="74">
        <v>27</v>
      </c>
      <c r="G26" s="74">
        <v>27</v>
      </c>
      <c r="H26" s="74">
        <v>27</v>
      </c>
      <c r="I26" s="74">
        <v>26</v>
      </c>
      <c r="J26" s="74">
        <v>26</v>
      </c>
      <c r="K26" s="74">
        <v>26</v>
      </c>
      <c r="L26" s="74">
        <v>27</v>
      </c>
      <c r="M26" s="74">
        <v>28</v>
      </c>
      <c r="N26" s="74">
        <v>28</v>
      </c>
      <c r="O26" s="74">
        <v>27</v>
      </c>
      <c r="P26" s="74">
        <v>28</v>
      </c>
      <c r="Q26" s="93">
        <v>28</v>
      </c>
      <c r="R26" s="74">
        <v>27</v>
      </c>
      <c r="S26" s="74">
        <v>27</v>
      </c>
      <c r="T26" s="74">
        <v>28</v>
      </c>
      <c r="U26" s="74">
        <v>27</v>
      </c>
      <c r="V26" s="74">
        <v>27</v>
      </c>
      <c r="W26" s="74">
        <v>27</v>
      </c>
      <c r="X26" s="74">
        <v>30</v>
      </c>
      <c r="Y26" s="74">
        <v>30</v>
      </c>
      <c r="Z26" s="232"/>
      <c r="AA26" s="233"/>
      <c r="AB26" s="233"/>
      <c r="AC26" s="233"/>
      <c r="AD26" s="233"/>
      <c r="AE26" s="234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38" ph="1">
        <v>0.66666666666666663</v>
      </c>
      <c r="C27" s="148" t="s" ph="1">
        <v>180</v>
      </c>
      <c r="D27" s="71">
        <v>2.73</v>
      </c>
      <c r="E27" s="71">
        <v>5.81</v>
      </c>
      <c r="F27" s="71">
        <v>540</v>
      </c>
      <c r="G27" s="71">
        <v>3504</v>
      </c>
      <c r="H27" s="71">
        <v>2871</v>
      </c>
      <c r="I27" s="71">
        <v>1607</v>
      </c>
      <c r="J27" s="71">
        <v>302</v>
      </c>
      <c r="K27" s="71">
        <v>1411</v>
      </c>
      <c r="L27" s="71">
        <v>299</v>
      </c>
      <c r="M27" s="71">
        <v>324</v>
      </c>
      <c r="N27" s="71">
        <v>2531</v>
      </c>
      <c r="O27" s="71">
        <v>340</v>
      </c>
      <c r="P27" s="71">
        <v>372</v>
      </c>
      <c r="Q27" s="90">
        <v>2553</v>
      </c>
      <c r="R27" s="71">
        <v>348</v>
      </c>
      <c r="S27" s="71">
        <v>3222</v>
      </c>
      <c r="T27" s="71">
        <v>400</v>
      </c>
      <c r="U27" s="71">
        <v>3899</v>
      </c>
      <c r="V27" s="71">
        <v>737</v>
      </c>
      <c r="W27" s="71">
        <v>3308</v>
      </c>
      <c r="X27" s="71">
        <v>3694</v>
      </c>
      <c r="Y27" s="71">
        <v>1763</v>
      </c>
      <c r="Z27" s="232"/>
      <c r="AA27" s="233"/>
      <c r="AB27" s="233"/>
      <c r="AC27" s="233"/>
      <c r="AD27" s="233"/>
      <c r="AE27" s="234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38" ph="1"/>
      <c r="C28" s="148" t="s" ph="1">
        <v>178</v>
      </c>
      <c r="D28" s="91" ph="1">
        <f>D27*268.68*LOOKUP(D29,密度!$A$2:$A$50,密度!$Q$2:$Q$50)+IF(D27&lt;=0,0,1566*LOOKUP(D29,密度!$A$2:$A$50,密度!$Q$2:$Q$50))</f>
        <v>2177.0252217359998</v>
      </c>
      <c r="E28" s="91" ph="1">
        <f>E27*268.68*LOOKUP(E29,密度!$A$2:$A$50,密度!$C$2:$C$50)+IF(E27&lt;=0,0,1566*LOOKUP(E29,密度!$A$2:$A$50,密度!$C$2:$C$50))</f>
        <v>3467.5644541199999</v>
      </c>
      <c r="F28" s="91" ph="1">
        <f>F27*11.702*LOOKUP(F29,密度!$A$2:$A$50,密度!$Q$2:$Q$50)</f>
        <v>5960.9777364000001</v>
      </c>
      <c r="G28" s="91" ph="1">
        <f>G27*18.322*LOOKUP(G29,密度!$A$2:$A$50,密度!$B$2:$B$50)</f>
        <v>49716.703027199997</v>
      </c>
      <c r="H28" s="91" ph="1">
        <f>H27*18.322*LOOKUP(H29,密度!$A$2:$A$50,密度!$B$2:$B$50)</f>
        <v>40782.688788599997</v>
      </c>
      <c r="I28" s="91" ph="1">
        <f>I27*18.322*LOOKUP(I29,密度!$A$2:$A$50,密度!$Q$2:$Q$50)</f>
        <v>27732.789322599998</v>
      </c>
      <c r="J28" s="91" ph="1">
        <f>J27*18.322*LOOKUP(J29,密度!$A$2:$A$50,密度!$Q$2:$Q$50)</f>
        <v>5211.7625235999994</v>
      </c>
      <c r="K28" s="91" ph="1">
        <f>K27*18.322*LOOKUP(K29,密度!$A$2:$A$50,密度!$Q$2:$Q$50)</f>
        <v>24367.90052236</v>
      </c>
      <c r="L28" s="91" ph="1">
        <f>L27*18.322*LOOKUP(L29,密度!$A$2:$A$50,密度!$Q$2:$Q$50)</f>
        <v>5167.8239857399994</v>
      </c>
      <c r="M28" s="91" ph="1">
        <f>M27*18.322*LOOKUP(M29,密度!$A$2:$A$50,密度!$Q$2:$Q$50)</f>
        <v>5595.4640462399993</v>
      </c>
      <c r="N28" s="91" ph="1">
        <f>N27*18.322*LOOKUP(N29,密度!$A$2:$A$50,密度!$Q$2:$Q$50)</f>
        <v>43678.711745799992</v>
      </c>
      <c r="O28" s="91" ph="1">
        <f>O27*18.322*LOOKUP(O29,密度!$A$2:$A$50,密度!$C$2:$C$50)</f>
        <v>6877.9688679999999</v>
      </c>
      <c r="P28" s="91" ph="1">
        <f>P27*11.702*LOOKUP(P29,密度!$A$2:$A$50,密度!$B$2:$B$50)</f>
        <v>3374.9925432</v>
      </c>
      <c r="Q28" s="92" ph="1">
        <f>Q27*18.322*LOOKUP(Q29,密度!$A$2:$A$50,密度!$B$2:$B$50)</f>
        <v>36223.385510399996</v>
      </c>
      <c r="R28" s="91" ph="1">
        <f>R27*35.891*LOOKUP(R29,密度!$A$2:$A$50,密度!$C$2:$C$50)</f>
        <v>13802.774146799999</v>
      </c>
      <c r="S28" s="91" ph="1">
        <f>S27*35.891*LOOKUP(S29,密度!$A$2:$A$50,密度!$B$2:$B$50)</f>
        <v>89448.160346999997</v>
      </c>
      <c r="T28" s="91" ph="1">
        <f>T27*35.891*LOOKUP(T29,密度!$A$2:$A$50,密度!$Q$2:$Q$50)</f>
        <v>13532.055511999999</v>
      </c>
      <c r="U28" s="91" ph="1">
        <f>U27*35.891</f>
        <v>139939.00899999999</v>
      </c>
      <c r="V28" s="91" ph="1">
        <f>V27*47.051*LOOKUP(V29,密度!$A$2:$A$50,密度!$B$2:$B$50)</f>
        <v>26822.340044499997</v>
      </c>
      <c r="W28" s="91" ph="1">
        <f>W27*47.051*LOOKUP(W29,密度!$A$2:$A$50,密度!$B$2:$B$50)</f>
        <v>120531.26187520001</v>
      </c>
      <c r="X28" s="91" ph="1">
        <f>X27*47.051*LOOKUP(X29,密度!$A$2:$A$61,密度!$I$2:$I$61)</f>
        <v>179211.77285339998</v>
      </c>
      <c r="Y28" s="91" ph="1">
        <f>Y27*47.051*LOOKUP(Y29,密度!$A$2:$A$50,密度!$L$2:$L$50)</f>
        <v>77227.300003000011</v>
      </c>
      <c r="Z28" s="232"/>
      <c r="AA28" s="233"/>
      <c r="AB28" s="233"/>
      <c r="AC28" s="233"/>
      <c r="AD28" s="233"/>
      <c r="AE28" s="234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38" ph="1"/>
      <c r="C29" s="148" t="s" ph="1">
        <v>179</v>
      </c>
      <c r="D29" s="74">
        <v>25</v>
      </c>
      <c r="E29" s="74">
        <v>25</v>
      </c>
      <c r="F29" s="74">
        <v>30</v>
      </c>
      <c r="G29" s="74">
        <v>31</v>
      </c>
      <c r="H29" s="74">
        <v>30</v>
      </c>
      <c r="I29" s="74">
        <v>32</v>
      </c>
      <c r="J29" s="74">
        <v>32</v>
      </c>
      <c r="K29" s="74">
        <v>31</v>
      </c>
      <c r="L29" s="74">
        <v>30</v>
      </c>
      <c r="M29" s="74">
        <v>31</v>
      </c>
      <c r="N29" s="74">
        <v>32</v>
      </c>
      <c r="O29" s="74">
        <v>31</v>
      </c>
      <c r="P29" s="74">
        <v>30</v>
      </c>
      <c r="Q29" s="93">
        <v>31</v>
      </c>
      <c r="R29" s="74">
        <v>30</v>
      </c>
      <c r="S29" s="74">
        <v>32</v>
      </c>
      <c r="T29" s="74">
        <v>31</v>
      </c>
      <c r="U29" s="74">
        <v>30</v>
      </c>
      <c r="V29" s="74">
        <v>32</v>
      </c>
      <c r="W29" s="74">
        <v>31</v>
      </c>
      <c r="X29" s="74">
        <v>35</v>
      </c>
      <c r="Y29" s="74">
        <v>31</v>
      </c>
      <c r="Z29" s="235"/>
      <c r="AA29" s="236"/>
      <c r="AB29" s="236"/>
      <c r="AC29" s="236"/>
      <c r="AD29" s="236"/>
      <c r="AE29" s="237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1" t="s" ph="1">
        <v>35</v>
      </c>
      <c r="C31" s="222" ph="1"/>
      <c r="D31" s="225" t="s" ph="1">
        <v>9</v>
      </c>
      <c r="E31" s="200" ph="1"/>
      <c r="F31" s="201" ph="1"/>
      <c r="G31" s="225" t="s" ph="1">
        <v>18</v>
      </c>
      <c r="H31" s="200" ph="1"/>
      <c r="I31" s="201" ph="1"/>
      <c r="J31" s="199" t="s" ph="1">
        <v>1</v>
      </c>
      <c r="K31" s="200" ph="1"/>
      <c r="L31" s="201" ph="1"/>
      <c r="M31" s="199" t="s" ph="1">
        <v>7</v>
      </c>
      <c r="N31" s="200" ph="1"/>
      <c r="O31" s="201" ph="1"/>
      <c r="P31" s="199" t="s" ph="1">
        <v>41</v>
      </c>
      <c r="Q31" s="200"/>
      <c r="R31" s="201"/>
      <c r="S31" s="199" t="s" ph="1">
        <v>2</v>
      </c>
      <c r="T31" s="200"/>
      <c r="U31" s="201"/>
      <c r="V31" s="199" t="s" ph="1">
        <v>71</v>
      </c>
      <c r="W31" s="200" ph="1"/>
      <c r="X31" s="201" ph="1"/>
      <c r="Y31" s="199" t="s" ph="1">
        <v>3</v>
      </c>
      <c r="Z31" s="200" ph="1"/>
      <c r="AA31" s="201" ph="1"/>
      <c r="AB31" s="202" t="s">
        <v>42</v>
      </c>
      <c r="AC31" s="203"/>
      <c r="AD31" s="203"/>
      <c r="AE31" s="204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3" ph="1"/>
      <c r="C32" s="224" ph="1"/>
      <c r="D32" s="96" t="s" ph="1">
        <v>4</v>
      </c>
      <c r="E32" s="148" t="s" ph="1">
        <v>5</v>
      </c>
      <c r="F32" s="149" t="s" ph="1">
        <v>43</v>
      </c>
      <c r="G32" s="97" t="s" ph="1">
        <v>4</v>
      </c>
      <c r="H32" s="148" t="s" ph="1">
        <v>5</v>
      </c>
      <c r="I32" s="149" t="s" ph="1">
        <v>43</v>
      </c>
      <c r="J32" s="97" t="s" ph="1">
        <v>4</v>
      </c>
      <c r="K32" s="148" t="s" ph="1">
        <v>5</v>
      </c>
      <c r="L32" s="149" t="s" ph="1">
        <v>43</v>
      </c>
      <c r="M32" s="97" t="s" ph="1">
        <v>4</v>
      </c>
      <c r="N32" s="148" t="s" ph="1">
        <v>5</v>
      </c>
      <c r="O32" s="149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48" t="s" ph="1">
        <v>5</v>
      </c>
      <c r="U32" s="99" t="s" ph="1">
        <v>43</v>
      </c>
      <c r="V32" s="97" t="s" ph="1">
        <v>4</v>
      </c>
      <c r="W32" s="148" t="s" ph="1">
        <v>5</v>
      </c>
      <c r="X32" s="99" t="s" ph="1">
        <v>43</v>
      </c>
      <c r="Y32" s="100" t="s" ph="1">
        <v>4</v>
      </c>
      <c r="Z32" s="148" t="s" ph="1">
        <v>5</v>
      </c>
      <c r="AA32" s="149" t="s" ph="1">
        <v>43</v>
      </c>
      <c r="AB32" s="97" t="s" ph="1">
        <v>85</v>
      </c>
      <c r="AC32" s="148" t="s" ph="1">
        <v>84</v>
      </c>
      <c r="AD32" s="205" t="s" ph="1">
        <v>83</v>
      </c>
      <c r="AE32" s="206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7" t="s" ph="1">
        <v>181</v>
      </c>
      <c r="C33" s="208" ph="1"/>
      <c r="D33" s="187" ph="1">
        <f>AA10+AB10+Z19</f>
        <v>118022.5443502</v>
      </c>
      <c r="E33" s="187" ph="1">
        <f>M10+I10</f>
        <v>155538.48245900002</v>
      </c>
      <c r="F33" s="211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1522252632456786910111213141516171819202123456789101112131415161718192022232424356789101112131415161718192021222345678910111213141516171819202345678910111213149101516171819222123234567891012131415161711181920212224252345678910111213132[[#This Row],[F25]]</f>
        <v>3880</v>
      </c>
      <c r="G33" s="213" ph="1">
        <f>N19</f>
        <v>30936.164412400001</v>
      </c>
      <c r="H33" s="187" ph="1">
        <f>M19</f>
        <v>21509.899705455999</v>
      </c>
      <c r="I33" s="191" ph="1">
        <v>0</v>
      </c>
      <c r="J33" s="195" ph="1">
        <f>F10+O28</f>
        <v>239831.6015512</v>
      </c>
      <c r="K33" s="187" ph="1">
        <f>O10+K10+E28+R28</f>
        <v>126990.04724652001</v>
      </c>
      <c r="L33" s="197" ph="1">
        <f>K19</f>
        <v>47223.455226140002</v>
      </c>
      <c r="M33" s="195" ph="1">
        <f>G10+H10+W28+S28+V28+E10+R19+P28+Q28</f>
        <v>534771.19961030001</v>
      </c>
      <c r="N33" s="187" ph="1">
        <f>L10+P10++G28+H28+AD19+AE19</f>
        <v>173224.24245859997</v>
      </c>
      <c r="O33" s="191" ph="1">
        <f>G19</f>
        <v>28142.149519999999</v>
      </c>
      <c r="P33" s="195" ph="1">
        <f>L19</f>
        <v>42479.581939199998</v>
      </c>
      <c r="Q33" s="187" ph="1">
        <f>J10+N10</f>
        <v>119958.97410719999</v>
      </c>
      <c r="R33" s="191" ph="1">
        <f>BE23</f>
        <v>890</v>
      </c>
      <c r="S33" s="195" ph="1">
        <f>X28</f>
        <v>179211.77285339998</v>
      </c>
      <c r="T33" s="187" ph="1">
        <f>X19</f>
        <v>15452.453950399999</v>
      </c>
      <c r="U33" s="176" ph="1">
        <f>BE21</f>
        <v>730</v>
      </c>
      <c r="V33" s="189" ph="1">
        <f ca="1">P19+Q19+S19+M28+N28+J28+D10+AC10+D19+E19+H19+J19+O19+V19+W19+K28+L28</f>
        <v>743980.62114424992</v>
      </c>
      <c r="W33" s="189" ph="1">
        <f>D28+F28+T28+I28</f>
        <v>49402.847792735993</v>
      </c>
      <c r="X33" s="191" ph="1">
        <f>BE29+BE31</f>
        <v>10200</v>
      </c>
      <c r="Y33" s="193" ph="1">
        <f>+Q10+R10+S10+T10+U10+V10+W10+X10+Y10</f>
        <v>256358.87420220001</v>
      </c>
      <c r="Z33" s="174" ph="1">
        <f>T19+U19+Y28+Z10</f>
        <v>185403.8282938</v>
      </c>
      <c r="AA33" s="176" ph="1">
        <f>BE19</f>
        <v>1440</v>
      </c>
      <c r="AB33" s="178" ph="1">
        <f>I19</f>
        <v>28877.128597799998</v>
      </c>
      <c r="AC33" s="180" ph="1">
        <f>AD10+AB19</f>
        <v>66138.624316799993</v>
      </c>
      <c r="AD33" s="182" ph="1">
        <v>0</v>
      </c>
      <c r="AE33" s="183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9" ph="1"/>
      <c r="C34" s="210" ph="1"/>
      <c r="D34" s="188" ph="1"/>
      <c r="E34" s="188" ph="1"/>
      <c r="F34" s="212" ph="1"/>
      <c r="G34" s="214" ph="1"/>
      <c r="H34" s="188" ph="1"/>
      <c r="I34" s="192" ph="1"/>
      <c r="J34" s="196" ph="1"/>
      <c r="K34" s="188" ph="1"/>
      <c r="L34" s="198" ph="1"/>
      <c r="M34" s="196" ph="1"/>
      <c r="N34" s="188" ph="1"/>
      <c r="O34" s="192" ph="1"/>
      <c r="P34" s="196" ph="1"/>
      <c r="Q34" s="188" ph="1"/>
      <c r="R34" s="192" ph="1"/>
      <c r="S34" s="196" ph="1"/>
      <c r="T34" s="188"/>
      <c r="U34" s="177"/>
      <c r="V34" s="190" ph="1"/>
      <c r="W34" s="190" ph="1"/>
      <c r="X34" s="192" ph="1"/>
      <c r="Y34" s="194" ph="1"/>
      <c r="Z34" s="175" ph="1"/>
      <c r="AA34" s="177" ph="1"/>
      <c r="AB34" s="179"/>
      <c r="AC34" s="181"/>
      <c r="AD34" s="184"/>
      <c r="AE34" s="185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6" t="s" ph="1">
        <v>631</v>
      </c>
      <c r="AD35" s="186"/>
      <c r="AE35" s="186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2" t="s" ph="1">
        <v>183</v>
      </c>
      <c r="J36" s="172" ph="1"/>
      <c r="K36" s="101" ph="1"/>
      <c r="P36" s="101" ph="1"/>
      <c r="R36" s="172" t="s" ph="1">
        <v>184</v>
      </c>
      <c r="S36" s="172" ph="1"/>
      <c r="Y36" s="102" ph="1"/>
      <c r="Z36" s="150" t="s" ph="1">
        <v>185</v>
      </c>
      <c r="AA36" s="150" ph="1"/>
      <c r="AB36" s="173" t="s" ph="1">
        <v>641</v>
      </c>
      <c r="AC36" s="173" ph="1"/>
      <c r="AD36" s="173" ph="1"/>
      <c r="AE36" s="173" ph="1"/>
      <c r="BA36" s="64" ph="1">
        <v>2270</v>
      </c>
    </row>
    <row r="37" spans="1:57" s="150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0" t="s" ph="1">
        <v>342</v>
      </c>
      <c r="AI37" s="150" t="s" ph="1">
        <v>209</v>
      </c>
      <c r="AJ37" s="150" t="s" ph="1">
        <v>210</v>
      </c>
      <c r="AK37" s="150" t="s" ph="1">
        <v>211</v>
      </c>
      <c r="AM37" s="150" t="s" ph="1">
        <v>210</v>
      </c>
      <c r="AN37" s="150" t="s" ph="1">
        <v>211</v>
      </c>
      <c r="AO37" s="150" t="s" ph="1">
        <v>212</v>
      </c>
      <c r="AP37" s="150" t="s" ph="1">
        <v>210</v>
      </c>
      <c r="AQ37" s="150" t="s" ph="1">
        <v>211</v>
      </c>
      <c r="AR37" s="150" t="s" ph="1">
        <v>212</v>
      </c>
      <c r="AS37" s="150" t="s" ph="1">
        <v>210</v>
      </c>
      <c r="AT37" s="150" t="s" ph="1">
        <v>211</v>
      </c>
      <c r="AU37" s="150" t="s" ph="1">
        <v>212</v>
      </c>
      <c r="AV37" s="150" t="s" ph="1">
        <v>210</v>
      </c>
      <c r="AW37" s="150" t="s" ph="1">
        <v>211</v>
      </c>
      <c r="AX37" s="150" t="s" ph="1">
        <v>212</v>
      </c>
      <c r="AY37" s="150" t="s" ph="1">
        <v>211</v>
      </c>
      <c r="AZ37" s="150" t="s" ph="1">
        <v>213</v>
      </c>
      <c r="BD37" s="150" t="s" ph="1">
        <v>305</v>
      </c>
      <c r="BE37" s="150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2909" priority="102">
      <formula>ABS(D$7-D$10)&gt;=1000</formula>
    </cfRule>
  </conditionalFormatting>
  <conditionalFormatting sqref="E4 E6:E11">
    <cfRule type="expression" dxfId="2908" priority="101">
      <formula>ABS(E$7-E$10)&gt;=1000</formula>
    </cfRule>
  </conditionalFormatting>
  <conditionalFormatting sqref="F4:F11">
    <cfRule type="expression" dxfId="2907" priority="100">
      <formula>ABS(F$7-F$10)&gt;=1000</formula>
    </cfRule>
  </conditionalFormatting>
  <conditionalFormatting sqref="G4:G11">
    <cfRule type="expression" dxfId="2906" priority="99">
      <formula>ABS(G$7-G$10)&gt;=1000</formula>
    </cfRule>
  </conditionalFormatting>
  <conditionalFormatting sqref="H4:H11">
    <cfRule type="expression" dxfId="2905" priority="98">
      <formula>ABS(H$7-H$10)&gt;=1000</formula>
    </cfRule>
  </conditionalFormatting>
  <conditionalFormatting sqref="I4:I11">
    <cfRule type="expression" dxfId="2904" priority="97">
      <formula>ABS(I$7-I$10)&gt;=1000</formula>
    </cfRule>
  </conditionalFormatting>
  <conditionalFormatting sqref="J4:J11">
    <cfRule type="expression" dxfId="2903" priority="96">
      <formula>ABS(J$7-J$10)&gt;=1000</formula>
    </cfRule>
  </conditionalFormatting>
  <conditionalFormatting sqref="K4:K11">
    <cfRule type="expression" dxfId="2902" priority="95">
      <formula>ABS(K$7-K$10)&gt;=1000</formula>
    </cfRule>
  </conditionalFormatting>
  <conditionalFormatting sqref="L4:L11">
    <cfRule type="expression" dxfId="2901" priority="94">
      <formula>ABS(L$7-L$10)&gt;=1000</formula>
    </cfRule>
  </conditionalFormatting>
  <conditionalFormatting sqref="M4 M6:M11">
    <cfRule type="expression" dxfId="2900" priority="93">
      <formula>ABS(M$7-M$10)&gt;=1000</formula>
    </cfRule>
  </conditionalFormatting>
  <conditionalFormatting sqref="N4 N6:N11">
    <cfRule type="expression" dxfId="2899" priority="92">
      <formula>ABS(N$7-N$10)&gt;=1000</formula>
    </cfRule>
  </conditionalFormatting>
  <conditionalFormatting sqref="O4 O6:O11">
    <cfRule type="expression" dxfId="2898" priority="91">
      <formula>ABS(O$7-O$10)&gt;=1000</formula>
    </cfRule>
  </conditionalFormatting>
  <conditionalFormatting sqref="P4 P6:P11">
    <cfRule type="expression" dxfId="2897" priority="90">
      <formula>ABS(P$7-P$10)&gt;=1000</formula>
    </cfRule>
  </conditionalFormatting>
  <conditionalFormatting sqref="Q4:Q11">
    <cfRule type="expression" dxfId="2896" priority="89">
      <formula>ABS(Q$7-Q$10)&gt;=1000</formula>
    </cfRule>
  </conditionalFormatting>
  <conditionalFormatting sqref="R4:R11">
    <cfRule type="expression" dxfId="2895" priority="88">
      <formula>ABS(R$7-R$10)&gt;=1000</formula>
    </cfRule>
  </conditionalFormatting>
  <conditionalFormatting sqref="S4:S11">
    <cfRule type="expression" dxfId="2894" priority="87">
      <formula>ABS(S$7-S$10)&gt;=1000</formula>
    </cfRule>
  </conditionalFormatting>
  <conditionalFormatting sqref="T4:T9 T11">
    <cfRule type="expression" dxfId="2893" priority="86">
      <formula>ABS(T$7-T$10)&gt;=1000</formula>
    </cfRule>
  </conditionalFormatting>
  <conditionalFormatting sqref="U4:U9 U11">
    <cfRule type="expression" dxfId="2892" priority="85">
      <formula>ABS(U$7-U$10)&gt;=1000</formula>
    </cfRule>
  </conditionalFormatting>
  <conditionalFormatting sqref="V4:V9 V11">
    <cfRule type="expression" dxfId="2891" priority="84">
      <formula>ABS(V$7-V$10)&gt;=1000</formula>
    </cfRule>
  </conditionalFormatting>
  <conditionalFormatting sqref="W4:W9 W11">
    <cfRule type="expression" dxfId="2890" priority="83">
      <formula>ABS(W$7-W$10)&gt;=1000</formula>
    </cfRule>
  </conditionalFormatting>
  <conditionalFormatting sqref="X4:X9 X11">
    <cfRule type="expression" dxfId="2889" priority="82">
      <formula>ABS(X$7-X$10)&gt;=1000</formula>
    </cfRule>
  </conditionalFormatting>
  <conditionalFormatting sqref="Y4:Y9 Y11">
    <cfRule type="expression" dxfId="2888" priority="81">
      <formula>ABS(Y$7-Y$10)&gt;=1000</formula>
    </cfRule>
  </conditionalFormatting>
  <conditionalFormatting sqref="Z4:Z11">
    <cfRule type="expression" dxfId="2887" priority="80">
      <formula>ABS(Z$7-Z$10)&gt;=1000</formula>
    </cfRule>
  </conditionalFormatting>
  <conditionalFormatting sqref="AA4:AA11">
    <cfRule type="expression" dxfId="2886" priority="79">
      <formula>ABS(AA$7-AA$10)&gt;=1000</formula>
    </cfRule>
  </conditionalFormatting>
  <conditionalFormatting sqref="AB4:AB11">
    <cfRule type="expression" dxfId="2885" priority="78">
      <formula>ABS(AB$7-AB$10)&gt;=1000</formula>
    </cfRule>
  </conditionalFormatting>
  <conditionalFormatting sqref="AC4 AC6:AC11">
    <cfRule type="expression" dxfId="2884" priority="77">
      <formula>ABS(AC$7-AC$10)&gt;=1000</formula>
    </cfRule>
  </conditionalFormatting>
  <conditionalFormatting sqref="AD4 AD6:AD11">
    <cfRule type="expression" dxfId="2883" priority="76">
      <formula>ABS(AD$7-AD$10)&gt;=1000</formula>
    </cfRule>
  </conditionalFormatting>
  <conditionalFormatting sqref="AE4 AE6:AE11">
    <cfRule type="expression" dxfId="2882" priority="75">
      <formula>ABS(AE$7-AE$10)&gt;=1000</formula>
    </cfRule>
  </conditionalFormatting>
  <conditionalFormatting sqref="D13:D20">
    <cfRule type="expression" dxfId="2881" priority="74">
      <formula>ABS(D$16-D$19)&gt;=1000</formula>
    </cfRule>
  </conditionalFormatting>
  <conditionalFormatting sqref="E13:E20">
    <cfRule type="expression" dxfId="2880" priority="73">
      <formula>ABS(E$16-E$19)&gt;=1000</formula>
    </cfRule>
  </conditionalFormatting>
  <conditionalFormatting sqref="F13 F15:F20">
    <cfRule type="expression" dxfId="2879" priority="72">
      <formula>ABS(F$16-F$19)&gt;=1000</formula>
    </cfRule>
  </conditionalFormatting>
  <conditionalFormatting sqref="G13:G20">
    <cfRule type="expression" dxfId="2878" priority="71">
      <formula>ABS(G$16-G$19)&gt;=1000</formula>
    </cfRule>
  </conditionalFormatting>
  <conditionalFormatting sqref="H13 H15:H20">
    <cfRule type="expression" dxfId="2877" priority="70">
      <formula>ABS(H$16-H$19)&gt;=1000</formula>
    </cfRule>
  </conditionalFormatting>
  <conditionalFormatting sqref="I13:I20">
    <cfRule type="expression" dxfId="2876" priority="69">
      <formula>ABS(I$16-I$19)&gt;=1000</formula>
    </cfRule>
  </conditionalFormatting>
  <conditionalFormatting sqref="J13:J20">
    <cfRule type="expression" dxfId="2875" priority="68">
      <formula>ABS(J$16-J$19)&gt;=1000</formula>
    </cfRule>
  </conditionalFormatting>
  <conditionalFormatting sqref="L13:L20">
    <cfRule type="expression" dxfId="2874" priority="67">
      <formula>ABS(L$16-L$19)&gt;=1000</formula>
    </cfRule>
  </conditionalFormatting>
  <conditionalFormatting sqref="M13 M15 M17:M18 M20">
    <cfRule type="expression" dxfId="2873" priority="66">
      <formula>ABS(M$16-M$19)&gt;=1000</formula>
    </cfRule>
  </conditionalFormatting>
  <conditionalFormatting sqref="N13:N20">
    <cfRule type="expression" dxfId="2872" priority="65">
      <formula>ABS(N$16-N$19)&gt;=1000</formula>
    </cfRule>
  </conditionalFormatting>
  <conditionalFormatting sqref="O13:O20">
    <cfRule type="expression" dxfId="2871" priority="64">
      <formula>ABS(O$16-O$19)&gt;=1000</formula>
    </cfRule>
  </conditionalFormatting>
  <conditionalFormatting sqref="P13:P20">
    <cfRule type="expression" dxfId="2870" priority="63">
      <formula>ABS(P$16-P$19)&gt;=1000</formula>
    </cfRule>
  </conditionalFormatting>
  <conditionalFormatting sqref="Q13 Q15:Q20">
    <cfRule type="expression" dxfId="2869" priority="62">
      <formula>ABS(Q$16-Q$19)&gt;=1000</formula>
    </cfRule>
  </conditionalFormatting>
  <conditionalFormatting sqref="R13:R20">
    <cfRule type="expression" dxfId="2868" priority="61">
      <formula>ABS(R$16-R$19)&gt;=1000</formula>
    </cfRule>
  </conditionalFormatting>
  <conditionalFormatting sqref="S13:S20">
    <cfRule type="expression" dxfId="2867" priority="60">
      <formula>ABS(S$16-S$19)&gt;=1000</formula>
    </cfRule>
  </conditionalFormatting>
  <conditionalFormatting sqref="T13:T15 T17:T20">
    <cfRule type="expression" dxfId="2866" priority="59">
      <formula>ABS(T$16-T$19)&gt;=1000</formula>
    </cfRule>
  </conditionalFormatting>
  <conditionalFormatting sqref="U13:U20">
    <cfRule type="expression" dxfId="2865" priority="58">
      <formula>ABS(U$16-U$19)&gt;=1000</formula>
    </cfRule>
  </conditionalFormatting>
  <conditionalFormatting sqref="V13:V20">
    <cfRule type="expression" dxfId="2864" priority="57">
      <formula>ABS(V$16-V$19)&gt;=1000</formula>
    </cfRule>
  </conditionalFormatting>
  <conditionalFormatting sqref="W13 W20 W15:W18">
    <cfRule type="expression" dxfId="2863" priority="56">
      <formula>ABS(W$16-W$19)&gt;=1000</formula>
    </cfRule>
  </conditionalFormatting>
  <conditionalFormatting sqref="X13 X15:X20 Y19">
    <cfRule type="expression" dxfId="2862" priority="55">
      <formula>ABS(X$16-X$19)&gt;=1000</formula>
    </cfRule>
  </conditionalFormatting>
  <conditionalFormatting sqref="Y13 Y15:Y18 Y20">
    <cfRule type="expression" dxfId="2861" priority="54">
      <formula>ABS(Y$16-Y$19)&gt;=1000</formula>
    </cfRule>
  </conditionalFormatting>
  <conditionalFormatting sqref="Z13:Z20">
    <cfRule type="expression" dxfId="2860" priority="53">
      <formula>ABS(Z$16-Z$19)&gt;=1000</formula>
    </cfRule>
  </conditionalFormatting>
  <conditionalFormatting sqref="AA13:AA20">
    <cfRule type="expression" dxfId="2859" priority="52">
      <formula>ABS(AA$16-AA$19)&gt;=1000</formula>
    </cfRule>
  </conditionalFormatting>
  <conditionalFormatting sqref="AB13 AB15:AB20">
    <cfRule type="expression" dxfId="2858" priority="51">
      <formula>ABS(AB$16-AB$19)&gt;=1000</formula>
    </cfRule>
  </conditionalFormatting>
  <conditionalFormatting sqref="AC13 AC15:AC20">
    <cfRule type="expression" dxfId="2857" priority="50">
      <formula>ABS(AC$16-AC$19)&gt;=1000</formula>
    </cfRule>
  </conditionalFormatting>
  <conditionalFormatting sqref="AD13:AD20">
    <cfRule type="expression" dxfId="2856" priority="49">
      <formula>ABS(AD$16-AD$19)&gt;=1000</formula>
    </cfRule>
  </conditionalFormatting>
  <conditionalFormatting sqref="AE13:AE20">
    <cfRule type="expression" dxfId="2855" priority="48">
      <formula>ABS(AE$16-AE$19)&gt;=1000</formula>
    </cfRule>
  </conditionalFormatting>
  <conditionalFormatting sqref="D22:D29">
    <cfRule type="expression" dxfId="2854" priority="47">
      <formula>ABS(D$25-D$28)&gt;=1000</formula>
    </cfRule>
  </conditionalFormatting>
  <conditionalFormatting sqref="E22:E29">
    <cfRule type="expression" dxfId="2853" priority="46">
      <formula>ABS(E$25-E$28)&gt;=1000</formula>
    </cfRule>
  </conditionalFormatting>
  <conditionalFormatting sqref="F22:F29">
    <cfRule type="expression" dxfId="2852" priority="45">
      <formula>ABS(F$25-F$28)&gt;=1000</formula>
    </cfRule>
  </conditionalFormatting>
  <conditionalFormatting sqref="G22:G29">
    <cfRule type="expression" dxfId="2851" priority="44">
      <formula>ABS(G$25-G$28)&gt;=1000</formula>
    </cfRule>
  </conditionalFormatting>
  <conditionalFormatting sqref="H22:H29">
    <cfRule type="expression" dxfId="2850" priority="43">
      <formula>ABS(H$25-H$28)&gt;=1000</formula>
    </cfRule>
  </conditionalFormatting>
  <conditionalFormatting sqref="I22 I24:I29">
    <cfRule type="expression" dxfId="2849" priority="42">
      <formula>ABS(I$25-I$28)&gt;=1000</formula>
    </cfRule>
  </conditionalFormatting>
  <conditionalFormatting sqref="J22:J29 K22">
    <cfRule type="expression" dxfId="2848" priority="41">
      <formula>ABS(J$25-J$28)&gt;=1000</formula>
    </cfRule>
  </conditionalFormatting>
  <conditionalFormatting sqref="K23:K29 L25 L28">
    <cfRule type="expression" dxfId="2847" priority="40">
      <formula>ABS(K$25-K$28)&gt;=1000</formula>
    </cfRule>
  </conditionalFormatting>
  <conditionalFormatting sqref="L22 L26:L27 L29 L24">
    <cfRule type="expression" dxfId="2846" priority="39">
      <formula>ABS(L$25-L$28)&gt;=1000</formula>
    </cfRule>
  </conditionalFormatting>
  <conditionalFormatting sqref="M22:M29">
    <cfRule type="expression" dxfId="2845" priority="38">
      <formula>ABS(M$25-M$28)&gt;=1000</formula>
    </cfRule>
  </conditionalFormatting>
  <conditionalFormatting sqref="N22:N29">
    <cfRule type="expression" dxfId="2844" priority="37">
      <formula>ABS(N$25-N$28)&gt;=1000</formula>
    </cfRule>
  </conditionalFormatting>
  <conditionalFormatting sqref="O22 O24:O29">
    <cfRule type="expression" dxfId="2843" priority="36">
      <formula>ABS(O$25-O$28)&gt;=1000</formula>
    </cfRule>
  </conditionalFormatting>
  <conditionalFormatting sqref="P22:P29">
    <cfRule type="expression" dxfId="2842" priority="35">
      <formula>ABS(P$25-P$28)&gt;=1000</formula>
    </cfRule>
  </conditionalFormatting>
  <conditionalFormatting sqref="Q22:Q29">
    <cfRule type="expression" dxfId="2841" priority="34">
      <formula>ABS(Q$25-Q$28)&gt;=1000</formula>
    </cfRule>
  </conditionalFormatting>
  <conditionalFormatting sqref="R22:R29">
    <cfRule type="expression" dxfId="2840" priority="33">
      <formula>ABS(R$25-R$28)&gt;=1000</formula>
    </cfRule>
  </conditionalFormatting>
  <conditionalFormatting sqref="S22:S29">
    <cfRule type="expression" dxfId="2839" priority="32">
      <formula>ABS(S$25-S$28)&gt;=1000</formula>
    </cfRule>
  </conditionalFormatting>
  <conditionalFormatting sqref="T22:T29">
    <cfRule type="expression" dxfId="2838" priority="31">
      <formula>ABS(T$25-T$28)&gt;=1000</formula>
    </cfRule>
  </conditionalFormatting>
  <conditionalFormatting sqref="U22:U29">
    <cfRule type="expression" dxfId="2837" priority="30">
      <formula>ABS(U$25-U$28)&gt;=1000</formula>
    </cfRule>
  </conditionalFormatting>
  <conditionalFormatting sqref="V22:V29">
    <cfRule type="expression" dxfId="2836" priority="29">
      <formula>ABS(V$25-V$28)&gt;=1000</formula>
    </cfRule>
  </conditionalFormatting>
  <conditionalFormatting sqref="W22:W29">
    <cfRule type="expression" dxfId="2835" priority="28">
      <formula>ABS(W$25-W$28)&gt;=1000</formula>
    </cfRule>
  </conditionalFormatting>
  <conditionalFormatting sqref="X22:X29">
    <cfRule type="expression" dxfId="2834" priority="27">
      <formula>ABS(X$25-X$28)&gt;=1000</formula>
    </cfRule>
  </conditionalFormatting>
  <conditionalFormatting sqref="Y22:Y29">
    <cfRule type="expression" dxfId="2833" priority="26">
      <formula>ABS(Y$25-Y$28)&gt;=1000</formula>
    </cfRule>
  </conditionalFormatting>
  <conditionalFormatting sqref="I23">
    <cfRule type="expression" dxfId="2832" priority="25">
      <formula>ABS(I$25-I$28)&gt;=1000</formula>
    </cfRule>
  </conditionalFormatting>
  <conditionalFormatting sqref="Q14">
    <cfRule type="expression" dxfId="2831" priority="24">
      <formula>ABS(Q$16-Q$19)&gt;=1000</formula>
    </cfRule>
  </conditionalFormatting>
  <conditionalFormatting sqref="W14">
    <cfRule type="expression" dxfId="2830" priority="23">
      <formula>ABS(W$16-W$19)&gt;=1000</formula>
    </cfRule>
  </conditionalFormatting>
  <conditionalFormatting sqref="X14">
    <cfRule type="expression" dxfId="2829" priority="22">
      <formula>ABS(X$16-X$19)&gt;=1000</formula>
    </cfRule>
  </conditionalFormatting>
  <conditionalFormatting sqref="T10:Y10">
    <cfRule type="expression" dxfId="2828" priority="21">
      <formula>ABS(T$7-T$10)&gt;=1000</formula>
    </cfRule>
  </conditionalFormatting>
  <conditionalFormatting sqref="W19">
    <cfRule type="expression" dxfId="2827" priority="20">
      <formula>ABS(W$16-W$19)&gt;=1000</formula>
    </cfRule>
  </conditionalFormatting>
  <conditionalFormatting sqref="AC5">
    <cfRule type="expression" dxfId="2826" priority="19">
      <formula>ABS(AC$7-AC$10)&gt;=1000</formula>
    </cfRule>
  </conditionalFormatting>
  <conditionalFormatting sqref="M14">
    <cfRule type="expression" dxfId="2825" priority="18">
      <formula>ABS(M$16-M$19)&gt;=1000</formula>
    </cfRule>
  </conditionalFormatting>
  <conditionalFormatting sqref="M16">
    <cfRule type="expression" dxfId="2824" priority="17">
      <formula>ABS(M$16-M$19)&gt;=1000</formula>
    </cfRule>
  </conditionalFormatting>
  <conditionalFormatting sqref="M19">
    <cfRule type="expression" dxfId="2823" priority="16">
      <formula>ABS(M$16-M$19)&gt;=1000</formula>
    </cfRule>
  </conditionalFormatting>
  <conditionalFormatting sqref="K13:K20">
    <cfRule type="expression" dxfId="2822" priority="15">
      <formula>ABS(K$16-K$19)&gt;=1000</formula>
    </cfRule>
  </conditionalFormatting>
  <conditionalFormatting sqref="E5">
    <cfRule type="expression" dxfId="2821" priority="14">
      <formula>ABS(E$7-E$10)&gt;=1000</formula>
    </cfRule>
  </conditionalFormatting>
  <conditionalFormatting sqref="AB14:AC14">
    <cfRule type="expression" dxfId="2820" priority="13">
      <formula>ABS(AB$16-AB$19)&gt;=1000</formula>
    </cfRule>
  </conditionalFormatting>
  <conditionalFormatting sqref="M5">
    <cfRule type="expression" dxfId="2819" priority="12">
      <formula>ABS(M$7-M$10)&gt;=1000</formula>
    </cfRule>
  </conditionalFormatting>
  <conditionalFormatting sqref="N5">
    <cfRule type="expression" dxfId="2818" priority="11">
      <formula>ABS(N$7-N$10)&gt;=1000</formula>
    </cfRule>
  </conditionalFormatting>
  <conditionalFormatting sqref="O5">
    <cfRule type="expression" dxfId="2817" priority="10">
      <formula>ABS(O$7-O$10)&gt;=1000</formula>
    </cfRule>
  </conditionalFormatting>
  <conditionalFormatting sqref="P5">
    <cfRule type="expression" dxfId="2816" priority="9">
      <formula>ABS(P$7-P$10)&gt;=1000</formula>
    </cfRule>
  </conditionalFormatting>
  <conditionalFormatting sqref="L23">
    <cfRule type="expression" dxfId="2815" priority="8">
      <formula>ABS(L$25-L$28)&gt;=1000</formula>
    </cfRule>
  </conditionalFormatting>
  <conditionalFormatting sqref="Y14">
    <cfRule type="expression" dxfId="2814" priority="7">
      <formula>ABS(Y$16-Y$19)&gt;=1000</formula>
    </cfRule>
  </conditionalFormatting>
  <conditionalFormatting sqref="F14">
    <cfRule type="expression" dxfId="2813" priority="6">
      <formula>ABS(F$16-F$19)&gt;=1000</formula>
    </cfRule>
  </conditionalFormatting>
  <conditionalFormatting sqref="H14">
    <cfRule type="expression" dxfId="2812" priority="5">
      <formula>ABS(H$16-H$19)&gt;=1000</formula>
    </cfRule>
  </conditionalFormatting>
  <conditionalFormatting sqref="AD5">
    <cfRule type="expression" dxfId="2811" priority="4">
      <formula>ABS(AD$7-AD$10)&gt;=1000</formula>
    </cfRule>
  </conditionalFormatting>
  <conditionalFormatting sqref="AE5">
    <cfRule type="expression" dxfId="2810" priority="3">
      <formula>ABS(AE$7-AE$10)&gt;=1000</formula>
    </cfRule>
  </conditionalFormatting>
  <conditionalFormatting sqref="T16">
    <cfRule type="expression" dxfId="2809" priority="2">
      <formula>ABS(T$16-T$19)&gt;=1000</formula>
    </cfRule>
  </conditionalFormatting>
  <conditionalFormatting sqref="O23">
    <cfRule type="expression" dxfId="2808" priority="1">
      <formula>ABS(O$25-O$28)&gt;=1000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24545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945">
    <pageSetUpPr fitToPage="1"/>
  </sheetPr>
  <dimension ref="A1:CU223"/>
  <sheetViews>
    <sheetView view="pageBreakPreview" zoomScale="70" zoomScaleNormal="100" zoomScaleSheetLayoutView="70" workbookViewId="0">
      <selection activeCell="AD13" sqref="AD13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39" t="s" ph="1">
        <v>161</v>
      </c>
      <c r="C1" s="239" ph="1"/>
      <c r="D1" s="239" ph="1"/>
      <c r="E1" s="239" ph="1"/>
      <c r="F1" s="239" ph="1"/>
      <c r="G1" s="239" ph="1"/>
      <c r="H1" s="239" ph="1"/>
      <c r="I1" s="239" ph="1"/>
      <c r="J1" s="239" ph="1"/>
      <c r="K1" s="239" ph="1"/>
      <c r="L1" s="239" ph="1"/>
      <c r="M1" s="239" ph="1"/>
      <c r="N1" s="239" ph="1"/>
      <c r="O1" s="239" ph="1"/>
      <c r="P1" s="239" ph="1"/>
      <c r="Q1" s="239" ph="1"/>
      <c r="R1" s="239" ph="1"/>
      <c r="S1" s="239" ph="1"/>
      <c r="T1" s="239" ph="1"/>
      <c r="U1" s="239" ph="1"/>
      <c r="V1" s="239" ph="1"/>
      <c r="W1" s="239" ph="1"/>
      <c r="X1" s="239" ph="1"/>
      <c r="Y1" s="239" ph="1"/>
      <c r="Z1" s="239" ph="1"/>
      <c r="AA1" s="239" ph="1"/>
      <c r="AB1" s="239" ph="1"/>
      <c r="AC1" s="239" ph="1"/>
      <c r="AD1" s="239" ph="1"/>
      <c r="AE1" s="239" ph="1"/>
    </row>
    <row r="2" spans="1:99" s="66" customFormat="1" ht="24" customHeight="1" ph="1">
      <c r="B2" s="240" t="s" ph="1">
        <v>82</v>
      </c>
      <c r="C2" s="240" ph="1"/>
      <c r="D2" s="240" ph="1"/>
      <c r="E2" s="240" ph="1"/>
      <c r="F2" s="240" ph="1"/>
      <c r="G2" s="240" ph="1"/>
      <c r="H2" s="240" ph="1"/>
      <c r="I2" s="240" ph="1"/>
      <c r="J2" s="240" ph="1"/>
      <c r="K2" s="240" ph="1"/>
      <c r="L2" s="240" ph="1"/>
      <c r="M2" s="240" ph="1"/>
      <c r="N2" s="240" ph="1"/>
      <c r="O2" s="240" ph="1"/>
      <c r="P2" s="240" ph="1"/>
      <c r="Q2" s="240" ph="1"/>
      <c r="R2" s="240" ph="1"/>
      <c r="S2" s="240" ph="1"/>
      <c r="T2" s="240" ph="1"/>
      <c r="U2" s="240" ph="1"/>
      <c r="V2" s="240" ph="1"/>
      <c r="W2" s="240" ph="1"/>
      <c r="X2" s="240" ph="1"/>
      <c r="Y2" s="240" ph="1"/>
      <c r="Z2" s="240" ph="1"/>
      <c r="AA2" s="240" ph="1"/>
      <c r="AB2" s="240" ph="1"/>
      <c r="AC2" s="240" ph="1"/>
      <c r="AD2" s="240" ph="1"/>
      <c r="AE2" s="240" ph="1"/>
    </row>
    <row r="3" spans="1:99" ht="21" customHeight="1" ph="1">
      <c r="B3" s="241" ph="1">
        <v>46237</v>
      </c>
      <c r="C3" s="241"/>
      <c r="D3" s="241"/>
      <c r="E3" s="241"/>
      <c r="F3" s="241"/>
      <c r="G3" s="241"/>
      <c r="H3" s="241"/>
      <c r="I3" s="241"/>
      <c r="J3" s="241"/>
      <c r="K3" s="241"/>
      <c r="L3" s="241"/>
      <c r="M3" s="241"/>
      <c r="N3" s="241"/>
      <c r="O3" s="241"/>
      <c r="P3" s="241"/>
      <c r="Q3" s="241"/>
      <c r="R3" s="241"/>
      <c r="S3" s="241"/>
      <c r="T3" s="241"/>
      <c r="U3" s="241"/>
      <c r="V3" s="241"/>
      <c r="W3" s="241"/>
      <c r="X3" s="241"/>
      <c r="Y3" s="241"/>
      <c r="Z3" s="241"/>
      <c r="AA3" s="241"/>
      <c r="AB3" s="241"/>
      <c r="AC3" s="241"/>
      <c r="AD3" s="241"/>
      <c r="AE3" s="241"/>
    </row>
    <row r="4" spans="1:99" s="69" customFormat="1" ph="1">
      <c r="A4" s="65" ph="1"/>
      <c r="B4" s="220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0" ph="1"/>
      <c r="C5" s="67" t="s" ph="1">
        <v>36</v>
      </c>
      <c r="D5" s="70" t="s" ph="1">
        <v>160</v>
      </c>
      <c r="E5" s="142" t="s" ph="1">
        <v>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8" ph="1">
        <v>0.33333333333333331</v>
      </c>
      <c r="C6" s="148" t="s" ph="1">
        <v>177</v>
      </c>
      <c r="D6" s="71">
        <v>1996</v>
      </c>
      <c r="E6" s="71">
        <v>278</v>
      </c>
      <c r="F6" s="71">
        <v>5230</v>
      </c>
      <c r="G6" s="71">
        <v>108</v>
      </c>
      <c r="H6" s="71">
        <v>3876</v>
      </c>
      <c r="I6" s="71">
        <v>38.700000000000003</v>
      </c>
      <c r="J6" s="71">
        <v>77.02</v>
      </c>
      <c r="K6" s="71">
        <v>84.77</v>
      </c>
      <c r="L6" s="71">
        <v>7.12</v>
      </c>
      <c r="M6" s="71">
        <v>4253</v>
      </c>
      <c r="N6" s="71">
        <v>3962</v>
      </c>
      <c r="O6" s="71">
        <v>5452</v>
      </c>
      <c r="P6" s="71">
        <v>1546</v>
      </c>
      <c r="Q6" s="71">
        <v>7187</v>
      </c>
      <c r="R6" s="71">
        <v>7188</v>
      </c>
      <c r="S6" s="71">
        <v>6055</v>
      </c>
      <c r="T6" s="71">
        <v>7174</v>
      </c>
      <c r="U6" s="71">
        <v>6611</v>
      </c>
      <c r="V6" s="71">
        <v>5307</v>
      </c>
      <c r="W6" s="71">
        <v>0</v>
      </c>
      <c r="X6" s="71">
        <v>0</v>
      </c>
      <c r="Y6" s="71">
        <v>0</v>
      </c>
      <c r="Z6" s="71">
        <v>4668</v>
      </c>
      <c r="AA6" s="71">
        <v>1099</v>
      </c>
      <c r="AB6" s="71">
        <v>3859</v>
      </c>
      <c r="AC6" s="71">
        <v>9010</v>
      </c>
      <c r="AD6" s="71">
        <v>3381</v>
      </c>
      <c r="AE6" s="71">
        <v>3992</v>
      </c>
    </row>
    <row r="7" spans="1:99" s="72" customFormat="1" ht="22.2" ph="1">
      <c r="B7" s="238" ph="1"/>
      <c r="C7" s="68" t="s" ph="1">
        <v>178</v>
      </c>
      <c r="D7" s="73" ph="1">
        <f>D6*33.183*LOOKUP(D8,密度!$A$2:$A$50,密度!$Q$2:$Q$50)</f>
        <v>62430.153751439997</v>
      </c>
      <c r="E7" s="73" ph="1">
        <f>E6*51.53*LOOKUP(E8,密度!$A$2:$A$50,密度!$B$2:$B$50)</f>
        <v>11043.404606</v>
      </c>
      <c r="F7" s="73" ph="1">
        <f>F6*33.183*LOOKUP(F8,密度!$A$2:$A$50,密度!$C$2:$C$50)</f>
        <v>191925.72683100001</v>
      </c>
      <c r="G7" s="73" ph="1">
        <f xml:space="preserve"> (G6+2)*51.53*LOOKUP(G8,密度!$A$2:$A$50,密度!$B$2:$B$50)</f>
        <v>4399.7344600000006</v>
      </c>
      <c r="H7" s="73" ph="1">
        <f>(H6)*51.53*LOOKUP(H8,密度!$A$2:$A$50,密度!$B$2:$B$50)</f>
        <v>155190.42756000001</v>
      </c>
      <c r="I7" s="73" ph="1">
        <f>I6*290.8*1.0267</f>
        <v>11554.440732000001</v>
      </c>
      <c r="J7" s="73" ph="1">
        <f>J6*290.8*0.7892</f>
        <v>17676.040707200002</v>
      </c>
      <c r="K7" s="73" ph="1">
        <f>K6*290.8*1.1126</f>
        <v>27426.831661599997</v>
      </c>
      <c r="L7" s="73" ph="1">
        <f>L6*290.8*0.777</f>
        <v>1608.775392</v>
      </c>
      <c r="M7" s="73" ph="1">
        <f>M6*33.183*LOOKUP(M8,密度!$A$2:$A$50,密度!$D$2:$D$50)</f>
        <v>144232.09957799999</v>
      </c>
      <c r="N7" s="73" ph="1">
        <f>N6*33.183*LOOKUP(N8,密度!$A$2:$A$50,密度!$E$2:$E$50)</f>
        <v>102231.8853696</v>
      </c>
      <c r="O7" s="73" ph="1">
        <f>O6*20.428*LOOKUP(O8,密度!$A$2:$A$50,密度!$C$2:$C$50)</f>
        <v>123579.9867776</v>
      </c>
      <c r="P7" s="73" ph="1">
        <f>P6*51.53*LOOKUP(P8,密度!$A$2:$A$50,密度!$B$2:$B$50)</f>
        <v>61836.267956000003</v>
      </c>
      <c r="Q7" s="73" ph="1">
        <f>Q6*1.5*1.5*3.1416*LOOKUP(W8,密度!$A$2:$A$50,密度!$L$2:$L$50)</f>
        <v>47398.292310600002</v>
      </c>
      <c r="R7" s="73" ph="1">
        <f>R6*1.5*1.5*3.1416*LOOKUP(R8,密度!$A$2:$A$50,密度!$L$2:$L$50)</f>
        <v>47100.032733600005</v>
      </c>
      <c r="S7" s="73" ph="1">
        <f>S6*1.5*1.5*3.1416*LOOKUP(S8,密度!$A$2:$A$50,密度!$L$2:$L$50)</f>
        <v>40103.949501000003</v>
      </c>
      <c r="T7" s="73" ph="1">
        <f>T6*1.5*1.5*3.1416*LOOKUP(T8,密度!$A$2:$A$50,密度!$L$2:$L$50)</f>
        <v>47566.10794319999</v>
      </c>
      <c r="U7" s="73" ph="1">
        <f>U6*1.5*1.5*3.1416*LOOKUP(U8,密度!$A$2:$A$50,密度!$L$2:$L$50)</f>
        <v>43646.300636400003</v>
      </c>
      <c r="V7" s="73" ph="1">
        <f>V6*1.5*1.5*3.1416*LOOKUP(V8,密度!$A$2:$A$50,密度!$L$2:$L$50)</f>
        <v>35037.198226799999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144829.85814000003</v>
      </c>
      <c r="AA7" s="73" ph="1">
        <f>AA6*33.183*LOOKUP(AA8,密度!$A$2:$A$50,密度!$D$2:$D$50)</f>
        <v>37270.415573999999</v>
      </c>
      <c r="AB7" s="73" ph="1">
        <f>AB6*20.428*LOOKUP(AB8,密度!$A$2:$A$50,密度!$D$2:$D$50)</f>
        <v>81086.237247199999</v>
      </c>
      <c r="AC7" s="73" ph="1">
        <f>AC6*51.53*LOOKUP(AC8,密度!$A$2:$A$50,密度!$Q$2:$Q$50)</f>
        <v>438252.82322900003</v>
      </c>
      <c r="AD7" s="73" ph="1">
        <f>AD6*20.428*LOOKUP(AD8,密度!$A$2:$A$50,密度!$V$2:$V$50)</f>
        <v>66138.624316799993</v>
      </c>
      <c r="AE7" s="73" ph="1">
        <f>AE6*20.428</f>
        <v>81548.576000000001</v>
      </c>
    </row>
    <row r="8" spans="1:99" ph="1">
      <c r="B8" s="238" ph="1"/>
      <c r="C8" s="68" t="s" ph="1">
        <v>179</v>
      </c>
      <c r="D8" s="74">
        <v>31</v>
      </c>
      <c r="E8" s="74">
        <v>35</v>
      </c>
      <c r="F8" s="74">
        <v>29</v>
      </c>
      <c r="G8" s="74">
        <v>29</v>
      </c>
      <c r="H8" s="74">
        <v>28</v>
      </c>
      <c r="I8" s="74">
        <v>25</v>
      </c>
      <c r="J8" s="74">
        <v>25</v>
      </c>
      <c r="K8" s="74">
        <v>25</v>
      </c>
      <c r="L8" s="74">
        <v>25</v>
      </c>
      <c r="M8" s="74">
        <v>30</v>
      </c>
      <c r="N8" s="74">
        <v>30</v>
      </c>
      <c r="O8" s="74">
        <v>24</v>
      </c>
      <c r="P8" s="74">
        <v>29</v>
      </c>
      <c r="Q8" s="74">
        <v>32</v>
      </c>
      <c r="R8" s="74">
        <v>35</v>
      </c>
      <c r="S8" s="74">
        <v>25</v>
      </c>
      <c r="T8" s="74">
        <v>24</v>
      </c>
      <c r="U8" s="74">
        <v>28</v>
      </c>
      <c r="V8" s="74">
        <v>28</v>
      </c>
      <c r="W8" s="74">
        <v>29</v>
      </c>
      <c r="X8" s="74">
        <v>20</v>
      </c>
      <c r="Y8" s="74">
        <v>30</v>
      </c>
      <c r="Z8" s="74">
        <v>27</v>
      </c>
      <c r="AA8" s="74">
        <v>30</v>
      </c>
      <c r="AB8" s="74">
        <v>23</v>
      </c>
      <c r="AC8" s="74">
        <v>29</v>
      </c>
      <c r="AD8" s="74">
        <v>27</v>
      </c>
      <c r="AE8" s="74">
        <v>30</v>
      </c>
    </row>
    <row r="9" spans="1:99" ht="26.4" ph="1">
      <c r="B9" s="238" ph="1">
        <v>0.66666666666666663</v>
      </c>
      <c r="C9" s="148" t="s" ph="1">
        <v>180</v>
      </c>
      <c r="D9" s="71">
        <v>2302</v>
      </c>
      <c r="E9" s="71">
        <v>278</v>
      </c>
      <c r="F9" s="71">
        <v>4966</v>
      </c>
      <c r="G9" s="71">
        <v>547</v>
      </c>
      <c r="H9" s="71">
        <v>3605</v>
      </c>
      <c r="I9" s="71">
        <v>38.71</v>
      </c>
      <c r="J9" s="71">
        <v>77.12</v>
      </c>
      <c r="K9" s="71">
        <v>84.71</v>
      </c>
      <c r="L9" s="71">
        <v>82.31</v>
      </c>
      <c r="M9" s="71">
        <v>4254</v>
      </c>
      <c r="N9" s="71">
        <v>3965</v>
      </c>
      <c r="O9" s="71">
        <v>4512</v>
      </c>
      <c r="P9" s="71">
        <v>991</v>
      </c>
      <c r="Q9" s="71">
        <v>6540</v>
      </c>
      <c r="R9" s="71">
        <v>7194</v>
      </c>
      <c r="S9" s="71">
        <v>6062</v>
      </c>
      <c r="T9" s="71">
        <v>7180</v>
      </c>
      <c r="U9" s="71">
        <v>6616</v>
      </c>
      <c r="V9" s="71">
        <v>5315</v>
      </c>
      <c r="W9" s="71">
        <v>2472</v>
      </c>
      <c r="X9" s="71">
        <v>2897</v>
      </c>
      <c r="Y9" s="71">
        <v>0</v>
      </c>
      <c r="Z9" s="71">
        <v>1603</v>
      </c>
      <c r="AA9" s="71">
        <v>1099</v>
      </c>
      <c r="AB9" s="71">
        <v>3740</v>
      </c>
      <c r="AC9" s="71">
        <v>8868</v>
      </c>
      <c r="AD9" s="71">
        <v>3383</v>
      </c>
      <c r="AE9" s="71">
        <v>4014</v>
      </c>
    </row>
    <row r="10" spans="1:99" s="72" customFormat="1" ht="22.2" ph="1">
      <c r="B10" s="238" ph="1"/>
      <c r="C10" s="148" t="s" ph="1">
        <v>178</v>
      </c>
      <c r="D10" s="73" ph="1">
        <f>D9*33.183*LOOKUP(D11,密度!$A$2:$A$50,密度!$Q$2:$Q$50)</f>
        <v>71899.514122500012</v>
      </c>
      <c r="E10" s="73" ph="1">
        <f>E9*51.53*LOOKUP(E11,密度!$A$2:$A$50,密度!$B$2:$B$50)</f>
        <v>11056.297412</v>
      </c>
      <c r="F10" s="73" ph="1">
        <f>F9*33.183*LOOKUP(F11,密度!$A$2:$A$50,密度!$C$2:$C$50)</f>
        <v>182105.86836779999</v>
      </c>
      <c r="G10" s="73" ph="1">
        <f xml:space="preserve"> (G9+2)*51.53*LOOKUP(G11,密度!$A$2:$A$50,密度!$B$2:$B$50)</f>
        <v>21808.737873000002</v>
      </c>
      <c r="H10" s="73" ph="1">
        <f>(H9)*51.53*LOOKUP(H11,密度!$A$2:$A$50,密度!$B$2:$B$50)</f>
        <v>143373.92866999999</v>
      </c>
      <c r="I10" s="73" ph="1">
        <f>I9*290.8*1.0267</f>
        <v>11557.4263756</v>
      </c>
      <c r="J10" s="73" ph="1">
        <f>J9*290.8*0.7892</f>
        <v>17698.990643200003</v>
      </c>
      <c r="K10" s="73" ph="1">
        <f>K9*290.8*1.1126</f>
        <v>27407.419016799999</v>
      </c>
      <c r="L10" s="73" ph="1">
        <f>L9*290.8*0.777</f>
        <v>18598.076196000002</v>
      </c>
      <c r="M10" s="73" ph="1">
        <f>M9*33.183*LOOKUP(M11,密度!$A$2:$A$50,密度!$D$2:$D$50)</f>
        <v>144011.9237364</v>
      </c>
      <c r="N10" s="73" ph="1">
        <f>N9*33.183*LOOKUP(N11,密度!$A$2:$A$50,密度!$E$2:$E$50)</f>
        <v>102009.3137154</v>
      </c>
      <c r="O10" s="73" ph="1">
        <f>O9*20.428*LOOKUP(O11,密度!$A$2:$A$50,密度!$C$2:$C$50)</f>
        <v>101185.47310080001</v>
      </c>
      <c r="P10" s="73" ph="1">
        <f>P9*51.53*LOOKUP(P11,密度!$A$2:$A$50,密度!$B$2:$B$50)</f>
        <v>39545.688512000001</v>
      </c>
      <c r="Q10" s="73" ph="1">
        <f>Q9*1.5*1.5*3.1416*LOOKUP(W11,密度!$A$2:$A$50,密度!$L$2:$L$50)</f>
        <v>43223.782140000003</v>
      </c>
      <c r="R10" s="73" ph="1">
        <f>R9*1.5*1.5*3.1416*LOOKUP(R11,密度!$A$2:$A$50,密度!$L$2:$L$50)</f>
        <v>46986.793761599998</v>
      </c>
      <c r="S10" s="73" ph="1">
        <f>S9*1.5*1.5*3.1416*LOOKUP(S11,密度!$A$2:$A$50,密度!$L$2:$L$50)</f>
        <v>40021.762888800004</v>
      </c>
      <c r="T10" s="73" ph="1">
        <f>T9*1.5*1.5*3.1416*LOOKUP(T11,密度!$A$2:$A$50,密度!$L$2:$L$50)</f>
        <v>47504.384928000007</v>
      </c>
      <c r="U10" s="73" ph="1">
        <f>U9*1.5*1.5*3.1416*LOOKUP(U11,密度!$A$2:$A$50,密度!$L$2:$L$50)</f>
        <v>43679.310998399997</v>
      </c>
      <c r="V10" s="73" ph="1">
        <f>V9*1.5*1.5*3.1416*LOOKUP(V11,密度!$A$2:$A$50,密度!$L$2:$L$50)</f>
        <v>35014.875587999995</v>
      </c>
      <c r="W10" s="73" ph="1">
        <f>W9*1.5*1.5*3.1416*LOOKUP(W11,密度!$A$2:$A$50,密度!$L$2:$L$50)</f>
        <v>16337.796552000002</v>
      </c>
      <c r="X10" s="73" ph="1">
        <f>X9*1.5*1.5*3.1416*LOOKUP(X11,密度!$A$2:$A$50,密度!$L$2:$L$50)</f>
        <v>19290.025616399998</v>
      </c>
      <c r="Y10" s="73" ph="1">
        <f>Y9*1.5*1.5*3.1416*LOOKUP(Y11,密度!$A$2:$A$50,密度!$L$2:$L$50)</f>
        <v>0</v>
      </c>
      <c r="Z10" s="73" ph="1">
        <f>Z9*33.183*LOOKUP(Z11,密度!$A$2:$A$50,密度!$L$2:$L$50)</f>
        <v>49628.461617000008</v>
      </c>
      <c r="AA10" s="73" ph="1">
        <f>AA9*33.183*LOOKUP(AA11,密度!$A$2:$A$50,密度!$D$2:$D$50)</f>
        <v>37109.955859200003</v>
      </c>
      <c r="AB10" s="73" ph="1">
        <f>AB9*20.428*LOOKUP(AB11,密度!$A$2:$A$50,密度!$D$2:$D$50)</f>
        <v>78371.858575999999</v>
      </c>
      <c r="AC10" s="73" ph="1">
        <f>AC9*51.53*LOOKUP(AC11,密度!$A$2:$A$50,密度!$Q$2:$Q$50)</f>
        <v>430728.93514320004</v>
      </c>
      <c r="AD10" s="73" ph="1">
        <f>AD9*20.428*LOOKUP(AD11,密度!$A$2:$A$50,密度!$V$2:$V$50)</f>
        <v>66177.748022400003</v>
      </c>
      <c r="AE10" s="73" ph="1">
        <f>AE9*20.428</f>
        <v>81997.991999999998</v>
      </c>
    </row>
    <row r="11" spans="1:99" ph="1">
      <c r="A11" s="64" t="s" ph="1">
        <v>162</v>
      </c>
      <c r="B11" s="238" ph="1"/>
      <c r="C11" s="148" t="s" ph="1">
        <v>179</v>
      </c>
      <c r="D11" s="74">
        <v>33</v>
      </c>
      <c r="E11" s="74">
        <v>34</v>
      </c>
      <c r="F11" s="74">
        <v>30</v>
      </c>
      <c r="G11" s="74">
        <v>35</v>
      </c>
      <c r="H11" s="74">
        <v>34</v>
      </c>
      <c r="I11" s="74">
        <v>25</v>
      </c>
      <c r="J11" s="74">
        <v>25</v>
      </c>
      <c r="K11" s="74">
        <v>25</v>
      </c>
      <c r="L11" s="74">
        <v>25</v>
      </c>
      <c r="M11" s="74">
        <v>32</v>
      </c>
      <c r="N11" s="74">
        <v>32</v>
      </c>
      <c r="O11" s="74">
        <v>37</v>
      </c>
      <c r="P11" s="74">
        <v>31</v>
      </c>
      <c r="Q11" s="74">
        <v>33</v>
      </c>
      <c r="R11" s="74">
        <v>38</v>
      </c>
      <c r="S11" s="74">
        <v>28</v>
      </c>
      <c r="T11" s="74">
        <v>26</v>
      </c>
      <c r="U11" s="74">
        <v>28</v>
      </c>
      <c r="V11" s="74">
        <v>30</v>
      </c>
      <c r="W11" s="74">
        <v>27</v>
      </c>
      <c r="X11" s="74">
        <v>20</v>
      </c>
      <c r="Y11" s="74">
        <v>33</v>
      </c>
      <c r="Z11" s="74">
        <v>29</v>
      </c>
      <c r="AA11" s="74">
        <v>35</v>
      </c>
      <c r="AB11" s="74">
        <v>26</v>
      </c>
      <c r="AC11" s="74">
        <v>31</v>
      </c>
      <c r="AD11" s="74">
        <v>33</v>
      </c>
      <c r="AE11" s="74">
        <v>31</v>
      </c>
    </row>
    <row r="12" spans="1:99" ht="9.9" customHeight="1" ph="1"/>
    <row r="13" spans="1:99" s="72" customFormat="1" ht="29.25" customHeight="1" ph="1">
      <c r="B13" s="215" t="s" ph="1">
        <v>37</v>
      </c>
      <c r="C13" s="148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6" ph="1"/>
      <c r="C14" s="67" t="s" ph="1">
        <v>36</v>
      </c>
      <c r="D14" s="77" t="s" ph="1">
        <v>616</v>
      </c>
      <c r="E14" s="77" t="s" ph="1">
        <v>616</v>
      </c>
      <c r="F14" s="144" t="s" ph="1">
        <v>636</v>
      </c>
      <c r="G14" s="77" t="s" ph="1">
        <v>617</v>
      </c>
      <c r="H14" s="77" t="s" ph="1">
        <v>637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638</v>
      </c>
      <c r="P14" s="77" t="s" ph="1">
        <v>622</v>
      </c>
      <c r="Q14" s="77" t="s" ph="1">
        <v>622</v>
      </c>
      <c r="R14" s="88" t="s" ph="1">
        <v>7</v>
      </c>
      <c r="S14" s="77" t="s" ph="1">
        <v>622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17" ph="1">
        <v>0.33333333333333331</v>
      </c>
      <c r="C15" s="148" t="s" ph="1">
        <v>177</v>
      </c>
      <c r="D15" s="78">
        <v>0</v>
      </c>
      <c r="E15" s="78">
        <v>3218</v>
      </c>
      <c r="F15" s="78">
        <v>715</v>
      </c>
      <c r="G15" s="78">
        <v>5016</v>
      </c>
      <c r="H15" s="78">
        <v>4367</v>
      </c>
      <c r="I15" s="78">
        <v>3129</v>
      </c>
      <c r="J15" s="78">
        <v>0</v>
      </c>
      <c r="K15" s="78">
        <v>4782</v>
      </c>
      <c r="L15" s="78">
        <v>6020</v>
      </c>
      <c r="M15" s="78">
        <v>6059</v>
      </c>
      <c r="N15" s="78">
        <v>3988</v>
      </c>
      <c r="O15" s="78">
        <v>2969</v>
      </c>
      <c r="P15" s="78">
        <v>4005</v>
      </c>
      <c r="Q15" s="78">
        <v>4000</v>
      </c>
      <c r="R15" s="78">
        <v>0</v>
      </c>
      <c r="S15" s="78">
        <v>0</v>
      </c>
      <c r="T15" s="78">
        <v>4125</v>
      </c>
      <c r="U15" s="78">
        <v>0</v>
      </c>
      <c r="V15" s="78">
        <v>-817</v>
      </c>
      <c r="W15" s="71">
        <v>-795</v>
      </c>
      <c r="X15" s="78">
        <v>1033</v>
      </c>
      <c r="Y15" s="106">
        <v>-9907</v>
      </c>
      <c r="Z15" s="78">
        <v>0</v>
      </c>
      <c r="AA15" s="78">
        <v>2506</v>
      </c>
      <c r="AB15" s="78" ph="1">
        <v>6</v>
      </c>
      <c r="AC15" s="78" ph="1">
        <v>0</v>
      </c>
      <c r="AD15" s="78">
        <v>5.73</v>
      </c>
      <c r="AE15" s="78">
        <v>29.61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18" ph="1"/>
      <c r="C16" s="148" t="s" ph="1">
        <v>178</v>
      </c>
      <c r="D16" s="73" ph="1">
        <f>D15*7.0686*LOOKUP(D17,密度!$A$2:$A$50,密度!$L$2:$L$50)</f>
        <v>0</v>
      </c>
      <c r="E16" s="73" ph="1">
        <f>E15*7.0686*LOOKUP(E17,密度!$A$2:$A$50,密度!$L$2:$L$50)</f>
        <v>21199.9754736</v>
      </c>
      <c r="F16" s="73" ph="1">
        <f>F15*9.0746*LOOKUP(F17,密度!$A$2:$A$50,密度!$L$2:$L$50)</f>
        <v>6053.6202870000006</v>
      </c>
      <c r="G16" s="73" ph="1">
        <f>G15*9.0746*LOOKUP(G17,密度!$A$2:$A$50,密度!$B$2:$B$50)</f>
        <v>35331.221872319999</v>
      </c>
      <c r="H16" s="73" ph="1">
        <f>H15*9.0746*LOOKUP(H17,密度!$A$2:$A$50,密度!$L$2:$L$50)</f>
        <v>36735.877391400005</v>
      </c>
      <c r="I16" s="73" ph="1">
        <f>I15*9.0746*LOOKUP(I17,密度!$A$2:$A$50,密度!$U$2:$U$50)</f>
        <v>28990.706291399998</v>
      </c>
      <c r="J16" s="73" ph="1">
        <f>J15*9.0746*LOOKUP(J17,密度!$A$2:$A$50,密度!$L$2:$L$50)</f>
        <v>0</v>
      </c>
      <c r="K16" s="73" ph="1">
        <f>K15*9.0746*LOOKUP(K17,密度!$A$2:$A$50,密度!$C$2:$C$50)</f>
        <v>47990.239869480007</v>
      </c>
      <c r="L16" s="73" ph="1">
        <f>L15*9.0746*LOOKUP(L17,密度!$A$2:$A$50,密度!$E$2:$E$50)</f>
        <v>42416.758483400001</v>
      </c>
      <c r="M16" s="73" ph="1">
        <f>M15*9.0746*LOOKUP(M17,密度!$A$2:$A$50,密度!$M$2:$M$50)</f>
        <v>47715.348274948003</v>
      </c>
      <c r="N16" s="73" ph="1">
        <f>N15*9.0746*LOOKUP(N17,密度!$A$2:$A$50,密度!$M$2:$M$50)</f>
        <v>31557.248185600001</v>
      </c>
      <c r="O16" s="73" ph="1">
        <f>O15*9.0746*LOOKUP(O17,密度!$A$2:$A$50,密度!$G$2:$G$50)</f>
        <v>25721.992720780003</v>
      </c>
      <c r="P16" s="73" ph="1">
        <f ca="1">P15*9.0746*LOOKUP(P17,密度!$A$2:$A$51,密度!$Q$2:$Q$50)</f>
        <v>34284.171384089997</v>
      </c>
      <c r="Q16" s="73" ph="1">
        <f>Q15*9.0746*LOOKUP(Q17,密度!$A$2:$A$50,密度!$Q$2:$Q$50)</f>
        <v>34241.369672000001</v>
      </c>
      <c r="R16" s="73" ph="1">
        <f>MAX(R15*9.0746*LOOKUP(R17,密度!$A$2:$A$50,密度!$B$2:$B$50),0)</f>
        <v>0</v>
      </c>
      <c r="S16" s="73" ph="1">
        <f>S15*9.0746*LOOKUP(S17,密度!$A$2:$A$50,密度!$Q$2:$Q$50)</f>
        <v>0</v>
      </c>
      <c r="T16" s="73" ph="1">
        <f>T15*9.0746*LOOKUP(T17,密度!$A$2:$A$50,密度!$O$2:$O$50)</f>
        <v>34512.972450000001</v>
      </c>
      <c r="U16" s="73" ph="1">
        <f>U15*9.0746*LOOKUP(U17,密度!$A$2:$A$50,密度!$H$2:$H$50)</f>
        <v>0</v>
      </c>
      <c r="V16" s="73" ph="1">
        <f>MAX(5600*LOOKUP(V17,密度!$A$2:$A$50,密度!$Q$2:$Q$50)+V15*9.0476*LOOKUP(V17,密度!$A$2:$A$50,密度!$Q$2:$Q$50),0)</f>
        <v>0</v>
      </c>
      <c r="W16" s="73" ph="1">
        <f>MAX(5600*LOOKUP(W17,密度!$A$2:$A$50,密度!$Q$2:$Q$50)+W15*9.0476*LOOKUP(W17,密度!$A$2:$A$50,密度!$Q$2:$Q$50),0)</f>
        <v>0</v>
      </c>
      <c r="X16" s="73" ph="1">
        <f>MAX(5600*LOOKUP(X17,密度!$A$2:$A$50,密度!$I$2:$I$50)+X15*9.0476*LOOKUP(X17,密度!$A$2:$A$50,密度!$I$2:$I$50),0)</f>
        <v>15494.695268359999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17651.52352712</v>
      </c>
      <c r="AB16" s="73" ph="1">
        <f>AB15*9.0746*LOOKUP(AB17,密度!$A$2:$A$50,密度!$L$2:$L$50)</f>
        <v>50.799610800000004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2421.0761774399998</v>
      </c>
      <c r="AE16" s="73" ph="1">
        <f>AE15*268.68*LOOKUP(AE17,密度!$A$2:$A$50,密度!B2:B50)+IF(AE15&lt;=0,0,1566*LOOKUP(AE17,密度!$A$2:$A$50,密度!B2:B50))</f>
        <v>7423.0508980800005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19" ph="1"/>
      <c r="C17" s="79" t="s" ph="1">
        <v>179</v>
      </c>
      <c r="D17" s="74">
        <v>30</v>
      </c>
      <c r="E17" s="74">
        <v>30</v>
      </c>
      <c r="F17" s="74">
        <v>29</v>
      </c>
      <c r="G17" s="74">
        <v>29</v>
      </c>
      <c r="H17" s="74">
        <v>35</v>
      </c>
      <c r="I17" s="74">
        <v>29</v>
      </c>
      <c r="J17" s="74">
        <v>28</v>
      </c>
      <c r="K17" s="74">
        <v>29</v>
      </c>
      <c r="L17" s="74">
        <v>31</v>
      </c>
      <c r="M17" s="74">
        <v>32</v>
      </c>
      <c r="N17" s="74">
        <v>28</v>
      </c>
      <c r="O17" s="74">
        <v>30</v>
      </c>
      <c r="P17" s="74">
        <v>30</v>
      </c>
      <c r="Q17" s="74">
        <v>30</v>
      </c>
      <c r="R17" s="74">
        <v>30</v>
      </c>
      <c r="S17" s="74">
        <v>29</v>
      </c>
      <c r="T17" s="74">
        <v>30</v>
      </c>
      <c r="U17" s="74">
        <v>29</v>
      </c>
      <c r="V17" s="74">
        <v>30</v>
      </c>
      <c r="W17" s="74">
        <v>32</v>
      </c>
      <c r="X17" s="74">
        <v>30</v>
      </c>
      <c r="Y17" s="108">
        <v>30</v>
      </c>
      <c r="Z17" s="74">
        <v>29</v>
      </c>
      <c r="AA17" s="74">
        <v>29</v>
      </c>
      <c r="AB17" s="74">
        <v>29</v>
      </c>
      <c r="AC17" s="74">
        <v>28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17" ph="1">
        <v>0.66666666666666663</v>
      </c>
      <c r="C18" s="79" t="s" ph="1">
        <v>180</v>
      </c>
      <c r="D18" s="71">
        <v>2580</v>
      </c>
      <c r="E18" s="71">
        <v>3231</v>
      </c>
      <c r="F18" s="71">
        <v>1365</v>
      </c>
      <c r="G18" s="71">
        <v>3258</v>
      </c>
      <c r="H18" s="71">
        <v>4371</v>
      </c>
      <c r="I18" s="71">
        <v>3131</v>
      </c>
      <c r="J18" s="71">
        <v>0</v>
      </c>
      <c r="K18" s="71">
        <v>4786</v>
      </c>
      <c r="L18" s="71">
        <v>6030</v>
      </c>
      <c r="M18" s="71">
        <v>6069</v>
      </c>
      <c r="N18" s="71">
        <v>3995</v>
      </c>
      <c r="O18" s="71">
        <v>3301</v>
      </c>
      <c r="P18" s="71">
        <v>4008</v>
      </c>
      <c r="Q18" s="71">
        <v>4002</v>
      </c>
      <c r="R18" s="71">
        <v>0</v>
      </c>
      <c r="S18" s="71">
        <v>0</v>
      </c>
      <c r="T18" s="71">
        <v>4126</v>
      </c>
      <c r="U18" s="71">
        <v>0</v>
      </c>
      <c r="V18" s="71">
        <v>-817</v>
      </c>
      <c r="W18" s="71">
        <v>350</v>
      </c>
      <c r="X18" s="71">
        <v>863</v>
      </c>
      <c r="Y18" s="109">
        <v>-9907</v>
      </c>
      <c r="Z18" s="71">
        <v>0</v>
      </c>
      <c r="AA18" s="71">
        <v>2507</v>
      </c>
      <c r="AB18" s="71">
        <v>11</v>
      </c>
      <c r="AC18" s="71">
        <v>8</v>
      </c>
      <c r="AD18" s="71">
        <v>5.61</v>
      </c>
      <c r="AE18" s="71">
        <v>79.209999999999994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18" ph="1"/>
      <c r="C19" s="148" t="s" ph="1">
        <v>178</v>
      </c>
      <c r="D19" s="73" ph="1">
        <f>D18*7.0686*LOOKUP(D20,密度!$A$2:$A$50,密度!$L$2:$L$50)</f>
        <v>16978.635828000002</v>
      </c>
      <c r="E19" s="73" ph="1">
        <f>E18*7.0686*LOOKUP(E20,密度!$A$2:$A$50,密度!$L$2:$L$50)</f>
        <v>21262.779984600002</v>
      </c>
      <c r="F19" s="73" ph="1">
        <f>F18*9.0746*LOOKUP(F20,密度!$A$2:$A$50,密度!$L$2:$L$50)</f>
        <v>11309.174876999999</v>
      </c>
      <c r="G19" s="73" ph="1">
        <f>G18*9.0746*LOOKUP(G20,密度!$A$2:$A$50,密度!$B$2:$B$50)</f>
        <v>22921.780784039998</v>
      </c>
      <c r="H19" s="73" ph="1">
        <f>H18*9.0746*LOOKUP(H20,密度!$A$2:$A$50,密度!$L$2:$L$50)</f>
        <v>36650.530778400003</v>
      </c>
      <c r="I19" s="73" ph="1">
        <f>I18*9.0746*LOOKUP(I20,密度!$A$2:$A$50,密度!$U$2:$U$50)</f>
        <v>28867.173761599999</v>
      </c>
      <c r="J19" s="73" ph="1">
        <f>J18*9.0746*LOOKUP(J20,密度!$A$2:$A$50,密度!$L$2:$L$50)</f>
        <v>0</v>
      </c>
      <c r="K19" s="73" ph="1">
        <f>K18*9.0746*LOOKUP(K20,密度!$A$2:$A$50,密度!$C$2:$C$50)</f>
        <v>47995.63744156</v>
      </c>
      <c r="L19" s="73" ph="1">
        <f>L18*9.0746*LOOKUP(L20,密度!$A$2:$A$50,密度!$E$2:$E$50)</f>
        <v>42487.218215100002</v>
      </c>
      <c r="M19" s="73" ph="1">
        <f>M18*9.0746*LOOKUP(M20,密度!$A$2:$A$50,密度!$M$2:$M$50)</f>
        <v>47678.444599128001</v>
      </c>
      <c r="N19" s="73" ph="1">
        <f>N18*9.0746*LOOKUP(N20,密度!$A$2:$A$50,密度!$M$2:$M$50)</f>
        <v>31536.508187300002</v>
      </c>
      <c r="O19" s="73" ph="1">
        <f>O18*9.0746*LOOKUP(O20,密度!$A$2:$A$50,密度!$G$2:$G$50)</f>
        <v>28536.573742144003</v>
      </c>
      <c r="P19" s="73" ph="1">
        <f ca="1">P18*9.0746*LOOKUP(P20,密度!$A$2:$A$51,密度!$Q$2:$Q$50)</f>
        <v>34309.852411344</v>
      </c>
      <c r="Q19" s="73" ph="1">
        <f>Q18*9.0746*LOOKUP(Q20,密度!$A$2:$A$50,密度!$Q$2:$Q$50)</f>
        <v>34231.252944936001</v>
      </c>
      <c r="R19" s="73" ph="1">
        <f>MAX(R18*9.0746*LOOKUP(R20,密度!$A$2:$A$50,密度!$B$2:$B$50),0)</f>
        <v>0</v>
      </c>
      <c r="S19" s="73" ph="1">
        <f>S18*9.0746*LOOKUP(S20,密度!$A$2:$A$50,密度!$Q$2:$Q$50)</f>
        <v>0</v>
      </c>
      <c r="T19" s="73" ph="1">
        <f>T18*9.0746*LOOKUP(T20,密度!$A$2:$A$50,密度!$O$2:$O$50)</f>
        <v>34521.3392312</v>
      </c>
      <c r="U19" s="73" ph="1">
        <f>U18*9.0746*LOOKUP(U20,密度!$A$2:$A$50,密度!$H$2:$H$50)</f>
        <v>0</v>
      </c>
      <c r="V19" s="73" ph="1">
        <f>MAX(5600*LOOKUP(V20,密度!$A$2:$A$50,密度!$Q$2:$Q$50)+V18*9.0476*LOOKUP(V20,密度!$A$2:$A$50,密度!$Q$2:$Q$50),0)</f>
        <v>0</v>
      </c>
      <c r="W19" s="73" ph="1">
        <f>MAX(5600*LOOKUP(W20,密度!$A$2:$A$50,密度!$Q$2:$Q$50)+W18*9.0476*LOOKUP(W20,密度!$A$2:$A$50,密度!$Q$2:$Q$50),0)</f>
        <v>8240.1344004000002</v>
      </c>
      <c r="X19" s="73" ph="1">
        <f>MAX(5600*LOOKUP(X20,密度!$A$2:$A$50,密度!$I$2:$I$50)+X18*9.0476*LOOKUP(X20,密度!$A$2:$A$50,密度!$I$2:$I$50),0)</f>
        <v>13870.657518599999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17597.142171699998</v>
      </c>
      <c r="AB19" s="73" ph="1">
        <f>AB18*9.0746*LOOKUP(AB20,密度!$A$2:$A$50,密度!$L$2:$L$50)</f>
        <v>92.833157999999997</v>
      </c>
      <c r="AC19" s="73" ph="1">
        <f>AC18*9.0746*LOOKUP(AC20,密度!$A$2:$A$50,密度!$L$2:$L$50)</f>
        <v>67.515024000000011</v>
      </c>
      <c r="AD19" s="73" ph="1">
        <f>AD18*268.68*LOOKUP(AD20,密度!$A$2:$A$50,密度!B5:B53)+IF(AD18&lt;=0,0,1566*LOOKUP(AD20,密度!$A$2:$A$50,密度!B5:B53))</f>
        <v>2387.9500595999998</v>
      </c>
      <c r="AE19" s="73" ph="1">
        <f>AE18*268.68*LOOKUP(AE20,密度!$A$2:$A$50,密度!B5:B53)+IF(AE18&lt;=0,0,1566*LOOKUP(AE20,密度!$A$2:$A$50,密度!B5:B53))</f>
        <v>17753.006955599998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18" ph="1"/>
      <c r="C20" s="80" t="s" ph="1">
        <v>179</v>
      </c>
      <c r="D20" s="81">
        <v>31</v>
      </c>
      <c r="E20" s="81">
        <v>31</v>
      </c>
      <c r="F20" s="81">
        <v>56</v>
      </c>
      <c r="G20" s="81">
        <v>30</v>
      </c>
      <c r="H20" s="81">
        <v>38</v>
      </c>
      <c r="I20" s="81">
        <v>34</v>
      </c>
      <c r="J20" s="81">
        <v>34</v>
      </c>
      <c r="K20" s="81">
        <v>30</v>
      </c>
      <c r="L20" s="81">
        <v>31</v>
      </c>
      <c r="M20" s="81">
        <v>34</v>
      </c>
      <c r="N20" s="81">
        <v>30</v>
      </c>
      <c r="O20" s="81">
        <v>32</v>
      </c>
      <c r="P20" s="81">
        <v>30</v>
      </c>
      <c r="Q20" s="81">
        <v>31</v>
      </c>
      <c r="R20" s="81">
        <v>35</v>
      </c>
      <c r="S20" s="81">
        <v>34</v>
      </c>
      <c r="T20" s="81">
        <v>32</v>
      </c>
      <c r="U20" s="81">
        <v>33</v>
      </c>
      <c r="V20" s="81">
        <v>36</v>
      </c>
      <c r="W20" s="81">
        <v>35</v>
      </c>
      <c r="X20" s="81">
        <v>32</v>
      </c>
      <c r="Y20" s="110">
        <v>32</v>
      </c>
      <c r="Z20" s="81">
        <v>34</v>
      </c>
      <c r="AA20" s="81">
        <v>32</v>
      </c>
      <c r="AB20" s="81">
        <v>32</v>
      </c>
      <c r="AC20" s="81">
        <v>32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6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6" t="s" ph="1">
        <v>69</v>
      </c>
      <c r="AA22" s="227"/>
      <c r="AB22" s="227"/>
      <c r="AC22" s="227"/>
      <c r="AD22" s="227"/>
      <c r="AE22" s="228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0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610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229" t="s" ph="1">
        <v>642</v>
      </c>
      <c r="AA23" s="230"/>
      <c r="AB23" s="230"/>
      <c r="AC23" s="230"/>
      <c r="AD23" s="230"/>
      <c r="AE23" s="231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38" ph="1">
        <v>0.33333333333333331</v>
      </c>
      <c r="C24" s="148" t="s" ph="1">
        <v>177</v>
      </c>
      <c r="D24" s="71">
        <v>2.7</v>
      </c>
      <c r="E24" s="71">
        <v>49.07</v>
      </c>
      <c r="F24" s="71">
        <v>542</v>
      </c>
      <c r="G24" s="71">
        <v>3302</v>
      </c>
      <c r="H24" s="71">
        <v>3415</v>
      </c>
      <c r="I24" s="71">
        <v>2812</v>
      </c>
      <c r="J24" s="71">
        <v>305</v>
      </c>
      <c r="K24" s="71">
        <v>2526</v>
      </c>
      <c r="L24" s="71">
        <v>301</v>
      </c>
      <c r="M24" s="71">
        <v>326</v>
      </c>
      <c r="N24" s="71">
        <v>4774</v>
      </c>
      <c r="O24" s="71">
        <v>341</v>
      </c>
      <c r="P24" s="71">
        <v>373</v>
      </c>
      <c r="Q24" s="90">
        <v>3403</v>
      </c>
      <c r="R24" s="71">
        <v>925</v>
      </c>
      <c r="S24" s="71">
        <v>3225</v>
      </c>
      <c r="T24" s="71">
        <v>401</v>
      </c>
      <c r="U24" s="71">
        <v>4097</v>
      </c>
      <c r="V24" s="71">
        <v>739</v>
      </c>
      <c r="W24" s="71">
        <v>3311</v>
      </c>
      <c r="X24" s="71">
        <v>3694</v>
      </c>
      <c r="Y24" s="71">
        <v>1312</v>
      </c>
      <c r="Z24" s="232"/>
      <c r="AA24" s="233"/>
      <c r="AB24" s="233"/>
      <c r="AC24" s="233"/>
      <c r="AD24" s="233"/>
      <c r="AE24" s="234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38" ph="1"/>
      <c r="C25" s="68" t="s" ph="1">
        <v>178</v>
      </c>
      <c r="D25" s="91" ph="1">
        <f>D24*268.68*LOOKUP(D26,密度!$A$2:$A$50,密度!$Q$2:$Q$50)+IF(D24&lt;=0,0,1566*LOOKUP(D26,密度!$A$2:$A$50,密度!$Q$2:$Q$50))</f>
        <v>2169.3941186399998</v>
      </c>
      <c r="E25" s="91" ph="1">
        <f>E24*268.68*LOOKUP(E26,密度!$A$2:$A$50,密度!$C$2:$C$50)+IF(E24&lt;=0,0,1566*LOOKUP(E26,密度!$A$2:$A$50,密度!$C$2:$C$50))</f>
        <v>16356.416495639998</v>
      </c>
      <c r="F25" s="91" ph="1">
        <f>F24*11.702*LOOKUP(F26,密度!$A$2:$A$50,密度!$Q$2:$Q$50)</f>
        <v>5986.8609221200004</v>
      </c>
      <c r="G25" s="91" ph="1">
        <f>G24*18.322*LOOKUP(G26,密度!$A$2:$A$50,密度!$B$2:$B$50)</f>
        <v>46959.513192799997</v>
      </c>
      <c r="H25" s="91" ph="1">
        <f>H24*18.322*LOOKUP(H26,密度!$A$2:$A$50,密度!$B$2:$B$50)</f>
        <v>48566.546805999998</v>
      </c>
      <c r="I25" s="91" ph="1">
        <f>I24*18.322*LOOKUP(I26,密度!$A$2:$A$50,密度!$Q$2:$Q$50)</f>
        <v>48601.742635119997</v>
      </c>
      <c r="J25" s="91" ph="1">
        <f>J24*18.322*LOOKUP(J26,密度!$A$2:$A$50,密度!$Q$2:$Q$50)</f>
        <v>5271.5261393000001</v>
      </c>
      <c r="K25" s="91" ph="1">
        <f>K24*18.322*LOOKUP(K26,密度!$A$2:$A$50,密度!$Q$2:$Q$50)</f>
        <v>43658.606648759996</v>
      </c>
      <c r="L25" s="91" ph="1">
        <f>L24*18.322*LOOKUP(L26,密度!$A$2:$A$50,密度!$Q$2:$Q$50)</f>
        <v>5209.5056196400001</v>
      </c>
      <c r="M25" s="91" ph="1">
        <f>M24*18.322*LOOKUP(M26,密度!$A$2:$A$50,密度!$Q$2:$Q$50)</f>
        <v>5634.48367676</v>
      </c>
      <c r="N25" s="91" ph="1">
        <f>N24*18.322*LOOKUP(N26,密度!$A$2:$A$50,密度!$Q$2:$Q$50)</f>
        <v>82512.346849239999</v>
      </c>
      <c r="O25" s="91" ph="1">
        <f>O24*18.322*LOOKUP(O26,密度!$A$2:$A$50,密度!$C$2:$C$50)</f>
        <v>6909.4442318000001</v>
      </c>
      <c r="P25" s="91" ph="1">
        <f>P24*11.702*LOOKUP(P26,密度!$A$2:$A$50,密度!$B$2:$B$50)</f>
        <v>3384.0651037999996</v>
      </c>
      <c r="Q25" s="92" ph="1">
        <f>Q24*18.322*LOOKUP(Q26,密度!$A$2:$A$50,密度!$B$2:$B$50)</f>
        <v>48339.773579799999</v>
      </c>
      <c r="R25" s="91" ph="1">
        <f>R24*35.891*LOOKUP(R26,密度!$A$2:$A$50,密度!$C$2:$C$50)</f>
        <v>36688.408292499997</v>
      </c>
      <c r="S25" s="91" ph="1">
        <f>S24*35.891*LOOKUP(S26,密度!$A$2:$A$50,密度!$B$2:$B$50)</f>
        <v>89843.966294999991</v>
      </c>
      <c r="T25" s="91" ph="1">
        <f>T24*35.891*LOOKUP(T26,密度!$A$2:$A$50,密度!$Q$2:$Q$50)</f>
        <v>13585.315243630001</v>
      </c>
      <c r="U25" s="91" ph="1">
        <f>U24*35.891</f>
        <v>147045.427</v>
      </c>
      <c r="V25" s="91" ph="1">
        <f>V24*47.051*LOOKUP(V26,密度!$A$2:$A$50,密度!$B$2:$B$50)</f>
        <v>27016.825353</v>
      </c>
      <c r="W25" s="91" ph="1">
        <f>W24*47.051*LOOKUP(W26,密度!$A$2:$A$50,密度!$B$2:$B$50)</f>
        <v>120920.9853082</v>
      </c>
      <c r="X25" s="91" ph="1">
        <f>X24*47.051*LOOKUP(X26,密度!$A$2:$A$61,密度!$I$2:$I$61)</f>
        <v>180376.2756932</v>
      </c>
      <c r="Y25" s="91" ph="1">
        <f>Y24*47.051*LOOKUP(Y26,密度!$A$2:$A$50,密度!$L$2:$L$50)</f>
        <v>57594.940896000007</v>
      </c>
      <c r="Z25" s="232"/>
      <c r="AA25" s="233"/>
      <c r="AB25" s="233"/>
      <c r="AC25" s="233"/>
      <c r="AD25" s="233"/>
      <c r="AE25" s="234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38" ph="1"/>
      <c r="C26" s="68" t="s" ph="1">
        <v>179</v>
      </c>
      <c r="D26" s="74">
        <v>25</v>
      </c>
      <c r="E26" s="74">
        <v>25</v>
      </c>
      <c r="F26" s="74">
        <v>29</v>
      </c>
      <c r="G26" s="74">
        <v>29</v>
      </c>
      <c r="H26" s="74">
        <v>29</v>
      </c>
      <c r="I26" s="74">
        <v>30</v>
      </c>
      <c r="J26" s="74">
        <v>30</v>
      </c>
      <c r="K26" s="74">
        <v>30</v>
      </c>
      <c r="L26" s="74">
        <v>28</v>
      </c>
      <c r="M26" s="74">
        <v>30</v>
      </c>
      <c r="N26" s="74">
        <v>30</v>
      </c>
      <c r="O26" s="74">
        <v>29</v>
      </c>
      <c r="P26" s="74">
        <v>30</v>
      </c>
      <c r="Q26" s="93">
        <v>30</v>
      </c>
      <c r="R26" s="74">
        <v>30</v>
      </c>
      <c r="S26" s="74">
        <v>29</v>
      </c>
      <c r="T26" s="74">
        <v>29</v>
      </c>
      <c r="U26" s="74">
        <v>28</v>
      </c>
      <c r="V26" s="74">
        <v>28</v>
      </c>
      <c r="W26" s="74">
        <v>29</v>
      </c>
      <c r="X26" s="74">
        <v>29</v>
      </c>
      <c r="Y26" s="74">
        <v>29</v>
      </c>
      <c r="Z26" s="232"/>
      <c r="AA26" s="233"/>
      <c r="AB26" s="233"/>
      <c r="AC26" s="233"/>
      <c r="AD26" s="233"/>
      <c r="AE26" s="234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38" ph="1">
        <v>0.66666666666666663</v>
      </c>
      <c r="C27" s="148" t="s" ph="1">
        <v>180</v>
      </c>
      <c r="D27" s="71">
        <v>2.71</v>
      </c>
      <c r="E27" s="71">
        <v>14.02</v>
      </c>
      <c r="F27" s="71">
        <v>541</v>
      </c>
      <c r="G27" s="71">
        <v>2794</v>
      </c>
      <c r="H27" s="71">
        <v>2974</v>
      </c>
      <c r="I27" s="71">
        <v>2812</v>
      </c>
      <c r="J27" s="71">
        <v>301</v>
      </c>
      <c r="K27" s="71">
        <v>2524</v>
      </c>
      <c r="L27" s="71">
        <v>297</v>
      </c>
      <c r="M27" s="71">
        <v>321</v>
      </c>
      <c r="N27" s="71">
        <v>4773</v>
      </c>
      <c r="O27" s="71">
        <v>338</v>
      </c>
      <c r="P27" s="71">
        <v>370</v>
      </c>
      <c r="Q27" s="90">
        <v>3709</v>
      </c>
      <c r="R27" s="71">
        <v>1425</v>
      </c>
      <c r="S27" s="71">
        <v>3224</v>
      </c>
      <c r="T27" s="71">
        <v>400</v>
      </c>
      <c r="U27" s="71">
        <v>4100</v>
      </c>
      <c r="V27" s="71">
        <v>736</v>
      </c>
      <c r="W27" s="71">
        <v>4275</v>
      </c>
      <c r="X27" s="71">
        <v>3572</v>
      </c>
      <c r="Y27" s="71">
        <v>1311</v>
      </c>
      <c r="Z27" s="232"/>
      <c r="AA27" s="233"/>
      <c r="AB27" s="233"/>
      <c r="AC27" s="233"/>
      <c r="AD27" s="233"/>
      <c r="AE27" s="234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38" ph="1"/>
      <c r="C28" s="148" t="s" ph="1">
        <v>178</v>
      </c>
      <c r="D28" s="91" ph="1">
        <f>D27*268.68*LOOKUP(D29,密度!$A$2:$A$50,密度!$Q$2:$Q$50)+IF(D27&lt;=0,0,1566*LOOKUP(D29,密度!$A$2:$A$50,密度!$Q$2:$Q$50))</f>
        <v>2171.9378196719999</v>
      </c>
      <c r="E28" s="91" ph="1">
        <f>E27*268.68*LOOKUP(E29,密度!$A$2:$A$50,密度!$C$2:$C$50)+IF(E27&lt;=0,0,1566*LOOKUP(E29,密度!$A$2:$A$50,密度!$C$2:$C$50))</f>
        <v>5913.6457130400004</v>
      </c>
      <c r="F28" s="91" ph="1">
        <f>F27*11.702*LOOKUP(F29,密度!$A$2:$A$50,密度!$Q$2:$Q$50)</f>
        <v>5972.0165840600002</v>
      </c>
      <c r="G28" s="91" ph="1">
        <f>G27*18.322*LOOKUP(G29,密度!$A$2:$A$50,密度!$B$2:$B$50)</f>
        <v>39596.755197999999</v>
      </c>
      <c r="H28" s="91" ph="1">
        <f>H27*18.322*LOOKUP(H29,密度!$A$2:$A$50,密度!$B$2:$B$50)</f>
        <v>42147.727257999999</v>
      </c>
      <c r="I28" s="91" ph="1">
        <f>I27*18.322*LOOKUP(I29,密度!$A$2:$A$50,密度!$Q$2:$Q$50)</f>
        <v>48601.742635119997</v>
      </c>
      <c r="J28" s="91" ph="1">
        <f>J27*18.322*LOOKUP(J29,密度!$A$2:$A$50,密度!$Q$2:$Q$50)</f>
        <v>5183.6957846799996</v>
      </c>
      <c r="K28" s="91" ph="1">
        <f>K27*18.322*LOOKUP(K29,密度!$A$2:$A$50,密度!$Q$2:$Q$50)</f>
        <v>43624.039264239997</v>
      </c>
      <c r="L28" s="91" ph="1">
        <f>L27*18.322*LOOKUP(L29,密度!$A$2:$A$50,密度!$Q$2:$Q$50)</f>
        <v>5118.3465240599999</v>
      </c>
      <c r="M28" s="91" ph="1">
        <f>M27*18.322*LOOKUP(M29,密度!$A$2:$A$50,密度!$Q$2:$Q$50)</f>
        <v>5528.1273982800003</v>
      </c>
      <c r="N28" s="91" ph="1">
        <f>N27*18.322*LOOKUP(N29,密度!$A$2:$A$50,密度!$Q$2:$Q$50)</f>
        <v>82495.063156980003</v>
      </c>
      <c r="O28" s="91" ph="1">
        <f>O27*18.322*LOOKUP(O29,密度!$A$2:$A$50,密度!$C$2:$C$50)</f>
        <v>6830.6981079999996</v>
      </c>
      <c r="P28" s="91" ph="1">
        <f>P27*11.702*LOOKUP(P29,密度!$A$2:$A$50,密度!$B$2:$B$50)</f>
        <v>3356.8474219999998</v>
      </c>
      <c r="Q28" s="92" ph="1">
        <f>Q27*18.322*LOOKUP(Q29,密度!$A$2:$A$50,密度!$B$2:$B$50)</f>
        <v>52686.517839399996</v>
      </c>
      <c r="R28" s="91" ph="1">
        <f>R27*35.891*LOOKUP(R29,密度!$A$2:$A$50,密度!$C$2:$C$50)</f>
        <v>56519.980342499992</v>
      </c>
      <c r="S28" s="91" ph="1">
        <f>S27*35.891*LOOKUP(S29,密度!$A$2:$A$50,密度!$B$2:$B$50)</f>
        <v>89503.683723999988</v>
      </c>
      <c r="T28" s="91" ph="1">
        <f>T27*35.891*LOOKUP(T29,密度!$A$2:$A$50,密度!$Q$2:$Q$50)</f>
        <v>13503.486276</v>
      </c>
      <c r="U28" s="91" ph="1">
        <f>U27*35.891</f>
        <v>147153.1</v>
      </c>
      <c r="V28" s="91" ph="1">
        <f>V27*47.051*LOOKUP(V29,密度!$A$2:$A$50,密度!$B$2:$B$50)</f>
        <v>26758.242467200002</v>
      </c>
      <c r="W28" s="91" ph="1">
        <f>W27*47.051*LOOKUP(W29,密度!$A$2:$A$50,密度!$B$2:$B$50)</f>
        <v>155584.12983749999</v>
      </c>
      <c r="X28" s="91" ph="1">
        <f>X27*47.051*LOOKUP(X29,密度!$A$2:$A$61,密度!$I$2:$I$61)</f>
        <v>174234.20051240001</v>
      </c>
      <c r="Y28" s="91" ph="1">
        <f>Y27*47.051*LOOKUP(Y29,密度!$A$2:$A$50,密度!$L$2:$L$50)</f>
        <v>57304.306869000007</v>
      </c>
      <c r="Z28" s="232"/>
      <c r="AA28" s="233"/>
      <c r="AB28" s="233"/>
      <c r="AC28" s="233"/>
      <c r="AD28" s="233"/>
      <c r="AE28" s="234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38" ph="1"/>
      <c r="C29" s="148" t="s" ph="1">
        <v>179</v>
      </c>
      <c r="D29" s="74">
        <v>25</v>
      </c>
      <c r="E29" s="74">
        <v>25</v>
      </c>
      <c r="F29" s="74">
        <v>30</v>
      </c>
      <c r="G29" s="74">
        <v>32</v>
      </c>
      <c r="H29" s="74">
        <v>32</v>
      </c>
      <c r="I29" s="74">
        <v>30</v>
      </c>
      <c r="J29" s="74">
        <v>35</v>
      </c>
      <c r="K29" s="74">
        <v>30</v>
      </c>
      <c r="L29" s="74">
        <v>34</v>
      </c>
      <c r="M29" s="74">
        <v>35</v>
      </c>
      <c r="N29" s="74">
        <v>30</v>
      </c>
      <c r="O29" s="74">
        <v>32</v>
      </c>
      <c r="P29" s="74">
        <v>30</v>
      </c>
      <c r="Q29" s="93">
        <v>30</v>
      </c>
      <c r="R29" s="74">
        <v>30</v>
      </c>
      <c r="S29" s="74">
        <v>32</v>
      </c>
      <c r="T29" s="74">
        <v>34</v>
      </c>
      <c r="U29" s="74">
        <v>32</v>
      </c>
      <c r="V29" s="74">
        <v>33</v>
      </c>
      <c r="W29" s="74">
        <v>32</v>
      </c>
      <c r="X29" s="74">
        <v>30</v>
      </c>
      <c r="Y29" s="74">
        <v>33</v>
      </c>
      <c r="Z29" s="235"/>
      <c r="AA29" s="236"/>
      <c r="AB29" s="236"/>
      <c r="AC29" s="236"/>
      <c r="AD29" s="236"/>
      <c r="AE29" s="237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1" t="s" ph="1">
        <v>35</v>
      </c>
      <c r="C31" s="222" ph="1"/>
      <c r="D31" s="225" t="s" ph="1">
        <v>9</v>
      </c>
      <c r="E31" s="200" ph="1"/>
      <c r="F31" s="201" ph="1"/>
      <c r="G31" s="225" t="s" ph="1">
        <v>18</v>
      </c>
      <c r="H31" s="200" ph="1"/>
      <c r="I31" s="201" ph="1"/>
      <c r="J31" s="199" t="s" ph="1">
        <v>1</v>
      </c>
      <c r="K31" s="200" ph="1"/>
      <c r="L31" s="201" ph="1"/>
      <c r="M31" s="199" t="s" ph="1">
        <v>7</v>
      </c>
      <c r="N31" s="200" ph="1"/>
      <c r="O31" s="201" ph="1"/>
      <c r="P31" s="199" t="s" ph="1">
        <v>41</v>
      </c>
      <c r="Q31" s="200"/>
      <c r="R31" s="201"/>
      <c r="S31" s="199" t="s" ph="1">
        <v>2</v>
      </c>
      <c r="T31" s="200"/>
      <c r="U31" s="201"/>
      <c r="V31" s="199" t="s" ph="1">
        <v>71</v>
      </c>
      <c r="W31" s="200" ph="1"/>
      <c r="X31" s="201" ph="1"/>
      <c r="Y31" s="199" t="s" ph="1">
        <v>3</v>
      </c>
      <c r="Z31" s="200" ph="1"/>
      <c r="AA31" s="201" ph="1"/>
      <c r="AB31" s="202" t="s">
        <v>42</v>
      </c>
      <c r="AC31" s="203"/>
      <c r="AD31" s="203"/>
      <c r="AE31" s="204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3" ph="1"/>
      <c r="C32" s="224" ph="1"/>
      <c r="D32" s="96" t="s" ph="1">
        <v>4</v>
      </c>
      <c r="E32" s="148" t="s" ph="1">
        <v>5</v>
      </c>
      <c r="F32" s="149" t="s" ph="1">
        <v>43</v>
      </c>
      <c r="G32" s="97" t="s" ph="1">
        <v>4</v>
      </c>
      <c r="H32" s="148" t="s" ph="1">
        <v>5</v>
      </c>
      <c r="I32" s="149" t="s" ph="1">
        <v>43</v>
      </c>
      <c r="J32" s="97" t="s" ph="1">
        <v>4</v>
      </c>
      <c r="K32" s="148" t="s" ph="1">
        <v>5</v>
      </c>
      <c r="L32" s="149" t="s" ph="1">
        <v>43</v>
      </c>
      <c r="M32" s="97" t="s" ph="1">
        <v>4</v>
      </c>
      <c r="N32" s="148" t="s" ph="1">
        <v>5</v>
      </c>
      <c r="O32" s="149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48" t="s" ph="1">
        <v>5</v>
      </c>
      <c r="U32" s="99" t="s" ph="1">
        <v>43</v>
      </c>
      <c r="V32" s="97" t="s" ph="1">
        <v>4</v>
      </c>
      <c r="W32" s="148" t="s" ph="1">
        <v>5</v>
      </c>
      <c r="X32" s="99" t="s" ph="1">
        <v>43</v>
      </c>
      <c r="Y32" s="100" t="s" ph="1">
        <v>4</v>
      </c>
      <c r="Z32" s="148" t="s" ph="1">
        <v>5</v>
      </c>
      <c r="AA32" s="149" t="s" ph="1">
        <v>43</v>
      </c>
      <c r="AB32" s="97" t="s" ph="1">
        <v>85</v>
      </c>
      <c r="AC32" s="148" t="s" ph="1">
        <v>84</v>
      </c>
      <c r="AD32" s="205" t="s" ph="1">
        <v>83</v>
      </c>
      <c r="AE32" s="206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7" t="s" ph="1">
        <v>181</v>
      </c>
      <c r="C33" s="208" ph="1"/>
      <c r="D33" s="187" ph="1">
        <f>AA10+AB10+Z19</f>
        <v>115481.81443520001</v>
      </c>
      <c r="E33" s="187" ph="1">
        <f>M10+I10</f>
        <v>155569.35011200001</v>
      </c>
      <c r="F33" s="211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1522252632456786910111213141516171819202123456789101112131415161718192022232424356789101112131415161718192021222345678910111213141516171819202345678910111213149101516171819222123234567891012131415161711181920212224252345678910111213134[[#This Row],[F25]]</f>
        <v>3880</v>
      </c>
      <c r="G33" s="213" ph="1">
        <f>N19</f>
        <v>31536.508187300002</v>
      </c>
      <c r="H33" s="187" ph="1">
        <f>M19</f>
        <v>47678.444599128001</v>
      </c>
      <c r="I33" s="191" ph="1">
        <v>0</v>
      </c>
      <c r="J33" s="195" ph="1">
        <f>F10+O28</f>
        <v>188936.56647580001</v>
      </c>
      <c r="K33" s="187" ph="1">
        <f>O10+K10+E28+R28</f>
        <v>191026.51817314001</v>
      </c>
      <c r="L33" s="197" ph="1">
        <f>K19</f>
        <v>47995.63744156</v>
      </c>
      <c r="M33" s="195" ph="1">
        <f>G10+H10+W28+S28+V28+E10+R19+P28+Q28</f>
        <v>504128.38524509995</v>
      </c>
      <c r="N33" s="187" ph="1">
        <f>L10+P10++G28+H28+AD19+AE19</f>
        <v>160029.20417919999</v>
      </c>
      <c r="O33" s="191" ph="1">
        <f>G19</f>
        <v>22921.780784039998</v>
      </c>
      <c r="P33" s="195" ph="1">
        <f>L19</f>
        <v>42487.218215100002</v>
      </c>
      <c r="Q33" s="187" ph="1">
        <f>J10+N10</f>
        <v>119708.3043586</v>
      </c>
      <c r="R33" s="191" ph="1">
        <f>BE23</f>
        <v>890</v>
      </c>
      <c r="S33" s="195" ph="1">
        <f>X28</f>
        <v>174234.20051240001</v>
      </c>
      <c r="T33" s="187" ph="1">
        <f>X19</f>
        <v>13870.657518599999</v>
      </c>
      <c r="U33" s="176" ph="1">
        <f>BE21</f>
        <v>730</v>
      </c>
      <c r="V33" s="189" ph="1">
        <f ca="1">P19+Q19+S19+M28+N28+J28+D10+AC10+D19+E19+H19+J19+O19+V19+W19+K28+L28</f>
        <v>824787.48148376402</v>
      </c>
      <c r="W33" s="189" ph="1">
        <f>D28+F28+T28+I28</f>
        <v>70249.183314851995</v>
      </c>
      <c r="X33" s="191" ph="1">
        <f>BE29+BE31</f>
        <v>10200</v>
      </c>
      <c r="Y33" s="193" ph="1">
        <f>+Q10+R10+S10+T10+U10+V10+W10+X10+Y10</f>
        <v>292058.73247320001</v>
      </c>
      <c r="Z33" s="174" ph="1">
        <f>T19+U19+Y28+Z10</f>
        <v>141454.10771720001</v>
      </c>
      <c r="AA33" s="176" ph="1">
        <f>BE19</f>
        <v>1440</v>
      </c>
      <c r="AB33" s="178" ph="1">
        <f>I19</f>
        <v>28867.173761599999</v>
      </c>
      <c r="AC33" s="180" ph="1">
        <f>AD10+AB19</f>
        <v>66270.581180399997</v>
      </c>
      <c r="AD33" s="182" ph="1">
        <v>0</v>
      </c>
      <c r="AE33" s="183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9" ph="1"/>
      <c r="C34" s="210" ph="1"/>
      <c r="D34" s="188" ph="1"/>
      <c r="E34" s="188" ph="1"/>
      <c r="F34" s="212" ph="1"/>
      <c r="G34" s="214" ph="1"/>
      <c r="H34" s="188" ph="1"/>
      <c r="I34" s="192" ph="1"/>
      <c r="J34" s="196" ph="1"/>
      <c r="K34" s="188" ph="1"/>
      <c r="L34" s="198" ph="1"/>
      <c r="M34" s="196" ph="1"/>
      <c r="N34" s="188" ph="1"/>
      <c r="O34" s="192" ph="1"/>
      <c r="P34" s="196" ph="1"/>
      <c r="Q34" s="188" ph="1"/>
      <c r="R34" s="192" ph="1"/>
      <c r="S34" s="196" ph="1"/>
      <c r="T34" s="188"/>
      <c r="U34" s="177"/>
      <c r="V34" s="190" ph="1"/>
      <c r="W34" s="190" ph="1"/>
      <c r="X34" s="192" ph="1"/>
      <c r="Y34" s="194" ph="1"/>
      <c r="Z34" s="175" ph="1"/>
      <c r="AA34" s="177" ph="1"/>
      <c r="AB34" s="179"/>
      <c r="AC34" s="181"/>
      <c r="AD34" s="184"/>
      <c r="AE34" s="185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6" t="s" ph="1">
        <v>631</v>
      </c>
      <c r="AD35" s="186"/>
      <c r="AE35" s="186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2" t="s" ph="1">
        <v>183</v>
      </c>
      <c r="J36" s="172" ph="1"/>
      <c r="K36" s="101" ph="1"/>
      <c r="P36" s="101" ph="1"/>
      <c r="R36" s="172" t="s" ph="1">
        <v>184</v>
      </c>
      <c r="S36" s="172" ph="1"/>
      <c r="Y36" s="102" ph="1"/>
      <c r="Z36" s="150" t="s" ph="1">
        <v>185</v>
      </c>
      <c r="AA36" s="150" ph="1"/>
      <c r="AB36" s="173" t="s" ph="1">
        <v>643</v>
      </c>
      <c r="AC36" s="173" ph="1"/>
      <c r="AD36" s="173" ph="1"/>
      <c r="AE36" s="173" ph="1"/>
      <c r="BA36" s="64" ph="1">
        <v>2270</v>
      </c>
    </row>
    <row r="37" spans="1:57" s="150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0" t="s" ph="1">
        <v>342</v>
      </c>
      <c r="AI37" s="150" t="s" ph="1">
        <v>209</v>
      </c>
      <c r="AJ37" s="150" t="s" ph="1">
        <v>210</v>
      </c>
      <c r="AK37" s="150" t="s" ph="1">
        <v>211</v>
      </c>
      <c r="AM37" s="150" t="s" ph="1">
        <v>210</v>
      </c>
      <c r="AN37" s="150" t="s" ph="1">
        <v>211</v>
      </c>
      <c r="AO37" s="150" t="s" ph="1">
        <v>212</v>
      </c>
      <c r="AP37" s="150" t="s" ph="1">
        <v>210</v>
      </c>
      <c r="AQ37" s="150" t="s" ph="1">
        <v>211</v>
      </c>
      <c r="AR37" s="150" t="s" ph="1">
        <v>212</v>
      </c>
      <c r="AS37" s="150" t="s" ph="1">
        <v>210</v>
      </c>
      <c r="AT37" s="150" t="s" ph="1">
        <v>211</v>
      </c>
      <c r="AU37" s="150" t="s" ph="1">
        <v>212</v>
      </c>
      <c r="AV37" s="150" t="s" ph="1">
        <v>210</v>
      </c>
      <c r="AW37" s="150" t="s" ph="1">
        <v>211</v>
      </c>
      <c r="AX37" s="150" t="s" ph="1">
        <v>212</v>
      </c>
      <c r="AY37" s="150" t="s" ph="1">
        <v>211</v>
      </c>
      <c r="AZ37" s="150" t="s" ph="1">
        <v>213</v>
      </c>
      <c r="BD37" s="150" t="s" ph="1">
        <v>305</v>
      </c>
      <c r="BE37" s="150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2777" priority="102">
      <formula>ABS(D$7-D$10)&gt;=1000</formula>
    </cfRule>
  </conditionalFormatting>
  <conditionalFormatting sqref="E4 E6:E11">
    <cfRule type="expression" dxfId="2776" priority="101">
      <formula>ABS(E$7-E$10)&gt;=1000</formula>
    </cfRule>
  </conditionalFormatting>
  <conditionalFormatting sqref="F4:F11">
    <cfRule type="expression" dxfId="2775" priority="100">
      <formula>ABS(F$7-F$10)&gt;=1000</formula>
    </cfRule>
  </conditionalFormatting>
  <conditionalFormatting sqref="G4:G11">
    <cfRule type="expression" dxfId="2774" priority="99">
      <formula>ABS(G$7-G$10)&gt;=1000</formula>
    </cfRule>
  </conditionalFormatting>
  <conditionalFormatting sqref="H4:H11">
    <cfRule type="expression" dxfId="2773" priority="98">
      <formula>ABS(H$7-H$10)&gt;=1000</formula>
    </cfRule>
  </conditionalFormatting>
  <conditionalFormatting sqref="I4:I11">
    <cfRule type="expression" dxfId="2772" priority="97">
      <formula>ABS(I$7-I$10)&gt;=1000</formula>
    </cfRule>
  </conditionalFormatting>
  <conditionalFormatting sqref="J4:J11">
    <cfRule type="expression" dxfId="2771" priority="96">
      <formula>ABS(J$7-J$10)&gt;=1000</formula>
    </cfRule>
  </conditionalFormatting>
  <conditionalFormatting sqref="K4:K11">
    <cfRule type="expression" dxfId="2770" priority="95">
      <formula>ABS(K$7-K$10)&gt;=1000</formula>
    </cfRule>
  </conditionalFormatting>
  <conditionalFormatting sqref="L4:L11">
    <cfRule type="expression" dxfId="2769" priority="94">
      <formula>ABS(L$7-L$10)&gt;=1000</formula>
    </cfRule>
  </conditionalFormatting>
  <conditionalFormatting sqref="M4 M6:M11">
    <cfRule type="expression" dxfId="2768" priority="93">
      <formula>ABS(M$7-M$10)&gt;=1000</formula>
    </cfRule>
  </conditionalFormatting>
  <conditionalFormatting sqref="N4 N6:N11">
    <cfRule type="expression" dxfId="2767" priority="92">
      <formula>ABS(N$7-N$10)&gt;=1000</formula>
    </cfRule>
  </conditionalFormatting>
  <conditionalFormatting sqref="O4 O6:O11">
    <cfRule type="expression" dxfId="2766" priority="91">
      <formula>ABS(O$7-O$10)&gt;=1000</formula>
    </cfRule>
  </conditionalFormatting>
  <conditionalFormatting sqref="P4 P6:P11">
    <cfRule type="expression" dxfId="2765" priority="90">
      <formula>ABS(P$7-P$10)&gt;=1000</formula>
    </cfRule>
  </conditionalFormatting>
  <conditionalFormatting sqref="Q4:Q11">
    <cfRule type="expression" dxfId="2764" priority="89">
      <formula>ABS(Q$7-Q$10)&gt;=1000</formula>
    </cfRule>
  </conditionalFormatting>
  <conditionalFormatting sqref="R4:R11">
    <cfRule type="expression" dxfId="2763" priority="88">
      <formula>ABS(R$7-R$10)&gt;=1000</formula>
    </cfRule>
  </conditionalFormatting>
  <conditionalFormatting sqref="S4:S11">
    <cfRule type="expression" dxfId="2762" priority="87">
      <formula>ABS(S$7-S$10)&gt;=1000</formula>
    </cfRule>
  </conditionalFormatting>
  <conditionalFormatting sqref="T4:T9 T11">
    <cfRule type="expression" dxfId="2761" priority="86">
      <formula>ABS(T$7-T$10)&gt;=1000</formula>
    </cfRule>
  </conditionalFormatting>
  <conditionalFormatting sqref="U4:U9 U11">
    <cfRule type="expression" dxfId="2760" priority="85">
      <formula>ABS(U$7-U$10)&gt;=1000</formula>
    </cfRule>
  </conditionalFormatting>
  <conditionalFormatting sqref="V4:V9 V11">
    <cfRule type="expression" dxfId="2759" priority="84">
      <formula>ABS(V$7-V$10)&gt;=1000</formula>
    </cfRule>
  </conditionalFormatting>
  <conditionalFormatting sqref="W4:W9 W11">
    <cfRule type="expression" dxfId="2758" priority="83">
      <formula>ABS(W$7-W$10)&gt;=1000</formula>
    </cfRule>
  </conditionalFormatting>
  <conditionalFormatting sqref="X4:X9 X11">
    <cfRule type="expression" dxfId="2757" priority="82">
      <formula>ABS(X$7-X$10)&gt;=1000</formula>
    </cfRule>
  </conditionalFormatting>
  <conditionalFormatting sqref="Y4:Y9 Y11">
    <cfRule type="expression" dxfId="2756" priority="81">
      <formula>ABS(Y$7-Y$10)&gt;=1000</formula>
    </cfRule>
  </conditionalFormatting>
  <conditionalFormatting sqref="Z4:Z11">
    <cfRule type="expression" dxfId="2755" priority="80">
      <formula>ABS(Z$7-Z$10)&gt;=1000</formula>
    </cfRule>
  </conditionalFormatting>
  <conditionalFormatting sqref="AA4:AA11">
    <cfRule type="expression" dxfId="2754" priority="79">
      <formula>ABS(AA$7-AA$10)&gt;=1000</formula>
    </cfRule>
  </conditionalFormatting>
  <conditionalFormatting sqref="AB4:AB11">
    <cfRule type="expression" dxfId="2753" priority="78">
      <formula>ABS(AB$7-AB$10)&gt;=1000</formula>
    </cfRule>
  </conditionalFormatting>
  <conditionalFormatting sqref="AC4 AC6:AC11">
    <cfRule type="expression" dxfId="2752" priority="77">
      <formula>ABS(AC$7-AC$10)&gt;=1000</formula>
    </cfRule>
  </conditionalFormatting>
  <conditionalFormatting sqref="AD4 AD6:AD11">
    <cfRule type="expression" dxfId="2751" priority="76">
      <formula>ABS(AD$7-AD$10)&gt;=1000</formula>
    </cfRule>
  </conditionalFormatting>
  <conditionalFormatting sqref="AE4 AE6:AE11">
    <cfRule type="expression" dxfId="2750" priority="75">
      <formula>ABS(AE$7-AE$10)&gt;=1000</formula>
    </cfRule>
  </conditionalFormatting>
  <conditionalFormatting sqref="D13:D20">
    <cfRule type="expression" dxfId="2749" priority="74">
      <formula>ABS(D$16-D$19)&gt;=1000</formula>
    </cfRule>
  </conditionalFormatting>
  <conditionalFormatting sqref="E13:E20">
    <cfRule type="expression" dxfId="2748" priority="73">
      <formula>ABS(E$16-E$19)&gt;=1000</formula>
    </cfRule>
  </conditionalFormatting>
  <conditionalFormatting sqref="F13 F15:F20">
    <cfRule type="expression" dxfId="2747" priority="72">
      <formula>ABS(F$16-F$19)&gt;=1000</formula>
    </cfRule>
  </conditionalFormatting>
  <conditionalFormatting sqref="G13:G20">
    <cfRule type="expression" dxfId="2746" priority="71">
      <formula>ABS(G$16-G$19)&gt;=1000</formula>
    </cfRule>
  </conditionalFormatting>
  <conditionalFormatting sqref="H13 H15:H20">
    <cfRule type="expression" dxfId="2745" priority="70">
      <formula>ABS(H$16-H$19)&gt;=1000</formula>
    </cfRule>
  </conditionalFormatting>
  <conditionalFormatting sqref="I13:I20">
    <cfRule type="expression" dxfId="2744" priority="69">
      <formula>ABS(I$16-I$19)&gt;=1000</formula>
    </cfRule>
  </conditionalFormatting>
  <conditionalFormatting sqref="J13:J20">
    <cfRule type="expression" dxfId="2743" priority="68">
      <formula>ABS(J$16-J$19)&gt;=1000</formula>
    </cfRule>
  </conditionalFormatting>
  <conditionalFormatting sqref="L13:L20">
    <cfRule type="expression" dxfId="2742" priority="67">
      <formula>ABS(L$16-L$19)&gt;=1000</formula>
    </cfRule>
  </conditionalFormatting>
  <conditionalFormatting sqref="M13 M15 M17:M18 M20">
    <cfRule type="expression" dxfId="2741" priority="66">
      <formula>ABS(M$16-M$19)&gt;=1000</formula>
    </cfRule>
  </conditionalFormatting>
  <conditionalFormatting sqref="N13:N20">
    <cfRule type="expression" dxfId="2740" priority="65">
      <formula>ABS(N$16-N$19)&gt;=1000</formula>
    </cfRule>
  </conditionalFormatting>
  <conditionalFormatting sqref="O13:O20">
    <cfRule type="expression" dxfId="2739" priority="64">
      <formula>ABS(O$16-O$19)&gt;=1000</formula>
    </cfRule>
  </conditionalFormatting>
  <conditionalFormatting sqref="P13:P20">
    <cfRule type="expression" dxfId="2738" priority="63">
      <formula>ABS(P$16-P$19)&gt;=1000</formula>
    </cfRule>
  </conditionalFormatting>
  <conditionalFormatting sqref="Q13 Q15:Q20">
    <cfRule type="expression" dxfId="2737" priority="62">
      <formula>ABS(Q$16-Q$19)&gt;=1000</formula>
    </cfRule>
  </conditionalFormatting>
  <conditionalFormatting sqref="R13:R20">
    <cfRule type="expression" dxfId="2736" priority="61">
      <formula>ABS(R$16-R$19)&gt;=1000</formula>
    </cfRule>
  </conditionalFormatting>
  <conditionalFormatting sqref="S13:S20">
    <cfRule type="expression" dxfId="2735" priority="60">
      <formula>ABS(S$16-S$19)&gt;=1000</formula>
    </cfRule>
  </conditionalFormatting>
  <conditionalFormatting sqref="T13:T15 T17:T20">
    <cfRule type="expression" dxfId="2734" priority="59">
      <formula>ABS(T$16-T$19)&gt;=1000</formula>
    </cfRule>
  </conditionalFormatting>
  <conditionalFormatting sqref="U13:U20">
    <cfRule type="expression" dxfId="2733" priority="58">
      <formula>ABS(U$16-U$19)&gt;=1000</formula>
    </cfRule>
  </conditionalFormatting>
  <conditionalFormatting sqref="V13:V20">
    <cfRule type="expression" dxfId="2732" priority="57">
      <formula>ABS(V$16-V$19)&gt;=1000</formula>
    </cfRule>
  </conditionalFormatting>
  <conditionalFormatting sqref="W13 W20 W15:W18">
    <cfRule type="expression" dxfId="2731" priority="56">
      <formula>ABS(W$16-W$19)&gt;=1000</formula>
    </cfRule>
  </conditionalFormatting>
  <conditionalFormatting sqref="X13 X15:X20 Y19">
    <cfRule type="expression" dxfId="2730" priority="55">
      <formula>ABS(X$16-X$19)&gt;=1000</formula>
    </cfRule>
  </conditionalFormatting>
  <conditionalFormatting sqref="Y13 Y15:Y18 Y20">
    <cfRule type="expression" dxfId="2729" priority="54">
      <formula>ABS(Y$16-Y$19)&gt;=1000</formula>
    </cfRule>
  </conditionalFormatting>
  <conditionalFormatting sqref="Z13:Z20">
    <cfRule type="expression" dxfId="2728" priority="53">
      <formula>ABS(Z$16-Z$19)&gt;=1000</formula>
    </cfRule>
  </conditionalFormatting>
  <conditionalFormatting sqref="AA13:AA20">
    <cfRule type="expression" dxfId="2727" priority="52">
      <formula>ABS(AA$16-AA$19)&gt;=1000</formula>
    </cfRule>
  </conditionalFormatting>
  <conditionalFormatting sqref="AB13 AB15:AB20">
    <cfRule type="expression" dxfId="2726" priority="51">
      <formula>ABS(AB$16-AB$19)&gt;=1000</formula>
    </cfRule>
  </conditionalFormatting>
  <conditionalFormatting sqref="AC13 AC15:AC20">
    <cfRule type="expression" dxfId="2725" priority="50">
      <formula>ABS(AC$16-AC$19)&gt;=1000</formula>
    </cfRule>
  </conditionalFormatting>
  <conditionalFormatting sqref="AD13:AD20">
    <cfRule type="expression" dxfId="2724" priority="49">
      <formula>ABS(AD$16-AD$19)&gt;=1000</formula>
    </cfRule>
  </conditionalFormatting>
  <conditionalFormatting sqref="AE13:AE20">
    <cfRule type="expression" dxfId="2723" priority="48">
      <formula>ABS(AE$16-AE$19)&gt;=1000</formula>
    </cfRule>
  </conditionalFormatting>
  <conditionalFormatting sqref="D22:D29">
    <cfRule type="expression" dxfId="2722" priority="47">
      <formula>ABS(D$25-D$28)&gt;=1000</formula>
    </cfRule>
  </conditionalFormatting>
  <conditionalFormatting sqref="E22:E29">
    <cfRule type="expression" dxfId="2721" priority="46">
      <formula>ABS(E$25-E$28)&gt;=1000</formula>
    </cfRule>
  </conditionalFormatting>
  <conditionalFormatting sqref="F22:F29">
    <cfRule type="expression" dxfId="2720" priority="45">
      <formula>ABS(F$25-F$28)&gt;=1000</formula>
    </cfRule>
  </conditionalFormatting>
  <conditionalFormatting sqref="G22:G29">
    <cfRule type="expression" dxfId="2719" priority="44">
      <formula>ABS(G$25-G$28)&gt;=1000</formula>
    </cfRule>
  </conditionalFormatting>
  <conditionalFormatting sqref="H22:H29">
    <cfRule type="expression" dxfId="2718" priority="43">
      <formula>ABS(H$25-H$28)&gt;=1000</formula>
    </cfRule>
  </conditionalFormatting>
  <conditionalFormatting sqref="I22 I24:I29">
    <cfRule type="expression" dxfId="2717" priority="42">
      <formula>ABS(I$25-I$28)&gt;=1000</formula>
    </cfRule>
  </conditionalFormatting>
  <conditionalFormatting sqref="J22:J29 K22">
    <cfRule type="expression" dxfId="2716" priority="41">
      <formula>ABS(J$25-J$28)&gt;=1000</formula>
    </cfRule>
  </conditionalFormatting>
  <conditionalFormatting sqref="K23:K29 L25 L28">
    <cfRule type="expression" dxfId="2715" priority="40">
      <formula>ABS(K$25-K$28)&gt;=1000</formula>
    </cfRule>
  </conditionalFormatting>
  <conditionalFormatting sqref="L22 L26:L27 L29 L24">
    <cfRule type="expression" dxfId="2714" priority="39">
      <formula>ABS(L$25-L$28)&gt;=1000</formula>
    </cfRule>
  </conditionalFormatting>
  <conditionalFormatting sqref="M22:M29">
    <cfRule type="expression" dxfId="2713" priority="38">
      <formula>ABS(M$25-M$28)&gt;=1000</formula>
    </cfRule>
  </conditionalFormatting>
  <conditionalFormatting sqref="N22:N29">
    <cfRule type="expression" dxfId="2712" priority="37">
      <formula>ABS(N$25-N$28)&gt;=1000</formula>
    </cfRule>
  </conditionalFormatting>
  <conditionalFormatting sqref="O22 O24:O29">
    <cfRule type="expression" dxfId="2711" priority="36">
      <formula>ABS(O$25-O$28)&gt;=1000</formula>
    </cfRule>
  </conditionalFormatting>
  <conditionalFormatting sqref="P22:P29">
    <cfRule type="expression" dxfId="2710" priority="35">
      <formula>ABS(P$25-P$28)&gt;=1000</formula>
    </cfRule>
  </conditionalFormatting>
  <conditionalFormatting sqref="Q22:Q29">
    <cfRule type="expression" dxfId="2709" priority="34">
      <formula>ABS(Q$25-Q$28)&gt;=1000</formula>
    </cfRule>
  </conditionalFormatting>
  <conditionalFormatting sqref="R22:R29">
    <cfRule type="expression" dxfId="2708" priority="33">
      <formula>ABS(R$25-R$28)&gt;=1000</formula>
    </cfRule>
  </conditionalFormatting>
  <conditionalFormatting sqref="S22:S29">
    <cfRule type="expression" dxfId="2707" priority="32">
      <formula>ABS(S$25-S$28)&gt;=1000</formula>
    </cfRule>
  </conditionalFormatting>
  <conditionalFormatting sqref="T22:T29">
    <cfRule type="expression" dxfId="2706" priority="31">
      <formula>ABS(T$25-T$28)&gt;=1000</formula>
    </cfRule>
  </conditionalFormatting>
  <conditionalFormatting sqref="U22:U29">
    <cfRule type="expression" dxfId="2705" priority="30">
      <formula>ABS(U$25-U$28)&gt;=1000</formula>
    </cfRule>
  </conditionalFormatting>
  <conditionalFormatting sqref="V22:V29">
    <cfRule type="expression" dxfId="2704" priority="29">
      <formula>ABS(V$25-V$28)&gt;=1000</formula>
    </cfRule>
  </conditionalFormatting>
  <conditionalFormatting sqref="W22:W29">
    <cfRule type="expression" dxfId="2703" priority="28">
      <formula>ABS(W$25-W$28)&gt;=1000</formula>
    </cfRule>
  </conditionalFormatting>
  <conditionalFormatting sqref="X22:X29">
    <cfRule type="expression" dxfId="2702" priority="27">
      <formula>ABS(X$25-X$28)&gt;=1000</formula>
    </cfRule>
  </conditionalFormatting>
  <conditionalFormatting sqref="Y22:Y29">
    <cfRule type="expression" dxfId="2701" priority="26">
      <formula>ABS(Y$25-Y$28)&gt;=1000</formula>
    </cfRule>
  </conditionalFormatting>
  <conditionalFormatting sqref="I23">
    <cfRule type="expression" dxfId="2700" priority="25">
      <formula>ABS(I$25-I$28)&gt;=1000</formula>
    </cfRule>
  </conditionalFormatting>
  <conditionalFormatting sqref="Q14">
    <cfRule type="expression" dxfId="2699" priority="24">
      <formula>ABS(Q$16-Q$19)&gt;=1000</formula>
    </cfRule>
  </conditionalFormatting>
  <conditionalFormatting sqref="W14">
    <cfRule type="expression" dxfId="2698" priority="23">
      <formula>ABS(W$16-W$19)&gt;=1000</formula>
    </cfRule>
  </conditionalFormatting>
  <conditionalFormatting sqref="X14">
    <cfRule type="expression" dxfId="2697" priority="22">
      <formula>ABS(X$16-X$19)&gt;=1000</formula>
    </cfRule>
  </conditionalFormatting>
  <conditionalFormatting sqref="T10:Y10">
    <cfRule type="expression" dxfId="2696" priority="21">
      <formula>ABS(T$7-T$10)&gt;=1000</formula>
    </cfRule>
  </conditionalFormatting>
  <conditionalFormatting sqref="W19">
    <cfRule type="expression" dxfId="2695" priority="20">
      <formula>ABS(W$16-W$19)&gt;=1000</formula>
    </cfRule>
  </conditionalFormatting>
  <conditionalFormatting sqref="AC5">
    <cfRule type="expression" dxfId="2694" priority="19">
      <formula>ABS(AC$7-AC$10)&gt;=1000</formula>
    </cfRule>
  </conditionalFormatting>
  <conditionalFormatting sqref="M14">
    <cfRule type="expression" dxfId="2693" priority="18">
      <formula>ABS(M$16-M$19)&gt;=1000</formula>
    </cfRule>
  </conditionalFormatting>
  <conditionalFormatting sqref="M16">
    <cfRule type="expression" dxfId="2692" priority="17">
      <formula>ABS(M$16-M$19)&gt;=1000</formula>
    </cfRule>
  </conditionalFormatting>
  <conditionalFormatting sqref="M19">
    <cfRule type="expression" dxfId="2691" priority="16">
      <formula>ABS(M$16-M$19)&gt;=1000</formula>
    </cfRule>
  </conditionalFormatting>
  <conditionalFormatting sqref="K13:K20">
    <cfRule type="expression" dxfId="2690" priority="15">
      <formula>ABS(K$16-K$19)&gt;=1000</formula>
    </cfRule>
  </conditionalFormatting>
  <conditionalFormatting sqref="E5">
    <cfRule type="expression" dxfId="2689" priority="14">
      <formula>ABS(E$7-E$10)&gt;=1000</formula>
    </cfRule>
  </conditionalFormatting>
  <conditionalFormatting sqref="AB14:AC14">
    <cfRule type="expression" dxfId="2688" priority="13">
      <formula>ABS(AB$16-AB$19)&gt;=1000</formula>
    </cfRule>
  </conditionalFormatting>
  <conditionalFormatting sqref="M5">
    <cfRule type="expression" dxfId="2687" priority="12">
      <formula>ABS(M$7-M$10)&gt;=1000</formula>
    </cfRule>
  </conditionalFormatting>
  <conditionalFormatting sqref="N5">
    <cfRule type="expression" dxfId="2686" priority="11">
      <formula>ABS(N$7-N$10)&gt;=1000</formula>
    </cfRule>
  </conditionalFormatting>
  <conditionalFormatting sqref="O5">
    <cfRule type="expression" dxfId="2685" priority="10">
      <formula>ABS(O$7-O$10)&gt;=1000</formula>
    </cfRule>
  </conditionalFormatting>
  <conditionalFormatting sqref="P5">
    <cfRule type="expression" dxfId="2684" priority="9">
      <formula>ABS(P$7-P$10)&gt;=1000</formula>
    </cfRule>
  </conditionalFormatting>
  <conditionalFormatting sqref="L23">
    <cfRule type="expression" dxfId="2683" priority="8">
      <formula>ABS(L$25-L$28)&gt;=1000</formula>
    </cfRule>
  </conditionalFormatting>
  <conditionalFormatting sqref="Y14">
    <cfRule type="expression" dxfId="2682" priority="7">
      <formula>ABS(Y$16-Y$19)&gt;=1000</formula>
    </cfRule>
  </conditionalFormatting>
  <conditionalFormatting sqref="F14">
    <cfRule type="expression" dxfId="2681" priority="6">
      <formula>ABS(F$16-F$19)&gt;=1000</formula>
    </cfRule>
  </conditionalFormatting>
  <conditionalFormatting sqref="H14">
    <cfRule type="expression" dxfId="2680" priority="5">
      <formula>ABS(H$16-H$19)&gt;=1000</formula>
    </cfRule>
  </conditionalFormatting>
  <conditionalFormatting sqref="AD5">
    <cfRule type="expression" dxfId="2679" priority="4">
      <formula>ABS(AD$7-AD$10)&gt;=1000</formula>
    </cfRule>
  </conditionalFormatting>
  <conditionalFormatting sqref="AE5">
    <cfRule type="expression" dxfId="2678" priority="3">
      <formula>ABS(AE$7-AE$10)&gt;=1000</formula>
    </cfRule>
  </conditionalFormatting>
  <conditionalFormatting sqref="T16">
    <cfRule type="expression" dxfId="2677" priority="2">
      <formula>ABS(T$16-T$19)&gt;=1000</formula>
    </cfRule>
  </conditionalFormatting>
  <conditionalFormatting sqref="O23">
    <cfRule type="expression" dxfId="2676" priority="1">
      <formula>ABS(O$25-O$28)&gt;=1000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25569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946">
    <pageSetUpPr fitToPage="1"/>
  </sheetPr>
  <dimension ref="A1:CU223"/>
  <sheetViews>
    <sheetView view="pageBreakPreview" zoomScale="85" zoomScaleNormal="100" zoomScaleSheetLayoutView="85" workbookViewId="0">
      <selection activeCell="AB8" sqref="AB8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39" t="s" ph="1">
        <v>161</v>
      </c>
      <c r="C1" s="239" ph="1"/>
      <c r="D1" s="239" ph="1"/>
      <c r="E1" s="239" ph="1"/>
      <c r="F1" s="239" ph="1"/>
      <c r="G1" s="239" ph="1"/>
      <c r="H1" s="239" ph="1"/>
      <c r="I1" s="239" ph="1"/>
      <c r="J1" s="239" ph="1"/>
      <c r="K1" s="239" ph="1"/>
      <c r="L1" s="239" ph="1"/>
      <c r="M1" s="239" ph="1"/>
      <c r="N1" s="239" ph="1"/>
      <c r="O1" s="239" ph="1"/>
      <c r="P1" s="239" ph="1"/>
      <c r="Q1" s="239" ph="1"/>
      <c r="R1" s="239" ph="1"/>
      <c r="S1" s="239" ph="1"/>
      <c r="T1" s="239" ph="1"/>
      <c r="U1" s="239" ph="1"/>
      <c r="V1" s="239" ph="1"/>
      <c r="W1" s="239" ph="1"/>
      <c r="X1" s="239" ph="1"/>
      <c r="Y1" s="239" ph="1"/>
      <c r="Z1" s="239" ph="1"/>
      <c r="AA1" s="239" ph="1"/>
      <c r="AB1" s="239" ph="1"/>
      <c r="AC1" s="239" ph="1"/>
      <c r="AD1" s="239" ph="1"/>
      <c r="AE1" s="239" ph="1"/>
    </row>
    <row r="2" spans="1:99" s="66" customFormat="1" ht="24" customHeight="1" ph="1">
      <c r="B2" s="240" t="s" ph="1">
        <v>82</v>
      </c>
      <c r="C2" s="240" ph="1"/>
      <c r="D2" s="240" ph="1"/>
      <c r="E2" s="240" ph="1"/>
      <c r="F2" s="240" ph="1"/>
      <c r="G2" s="240" ph="1"/>
      <c r="H2" s="240" ph="1"/>
      <c r="I2" s="240" ph="1"/>
      <c r="J2" s="240" ph="1"/>
      <c r="K2" s="240" ph="1"/>
      <c r="L2" s="240" ph="1"/>
      <c r="M2" s="240" ph="1"/>
      <c r="N2" s="240" ph="1"/>
      <c r="O2" s="240" ph="1"/>
      <c r="P2" s="240" ph="1"/>
      <c r="Q2" s="240" ph="1"/>
      <c r="R2" s="240" ph="1"/>
      <c r="S2" s="240" ph="1"/>
      <c r="T2" s="240" ph="1"/>
      <c r="U2" s="240" ph="1"/>
      <c r="V2" s="240" ph="1"/>
      <c r="W2" s="240" ph="1"/>
      <c r="X2" s="240" ph="1"/>
      <c r="Y2" s="240" ph="1"/>
      <c r="Z2" s="240" ph="1"/>
      <c r="AA2" s="240" ph="1"/>
      <c r="AB2" s="240" ph="1"/>
      <c r="AC2" s="240" ph="1"/>
      <c r="AD2" s="240" ph="1"/>
      <c r="AE2" s="240" ph="1"/>
    </row>
    <row r="3" spans="1:99" ht="21" customHeight="1" ph="1">
      <c r="B3" s="241" ph="1">
        <v>46238</v>
      </c>
      <c r="C3" s="241"/>
      <c r="D3" s="241"/>
      <c r="E3" s="241"/>
      <c r="F3" s="241"/>
      <c r="G3" s="241"/>
      <c r="H3" s="241"/>
      <c r="I3" s="241"/>
      <c r="J3" s="241"/>
      <c r="K3" s="241"/>
      <c r="L3" s="241"/>
      <c r="M3" s="241"/>
      <c r="N3" s="241"/>
      <c r="O3" s="241"/>
      <c r="P3" s="241"/>
      <c r="Q3" s="241"/>
      <c r="R3" s="241"/>
      <c r="S3" s="241"/>
      <c r="T3" s="241"/>
      <c r="U3" s="241"/>
      <c r="V3" s="241"/>
      <c r="W3" s="241"/>
      <c r="X3" s="241"/>
      <c r="Y3" s="241"/>
      <c r="Z3" s="241"/>
      <c r="AA3" s="241"/>
      <c r="AB3" s="241"/>
      <c r="AC3" s="241"/>
      <c r="AD3" s="241"/>
      <c r="AE3" s="241"/>
    </row>
    <row r="4" spans="1:99" s="69" customFormat="1" ph="1">
      <c r="A4" s="65" ph="1"/>
      <c r="B4" s="220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0" ph="1"/>
      <c r="C5" s="67" t="s" ph="1">
        <v>36</v>
      </c>
      <c r="D5" s="70" t="s" ph="1">
        <v>160</v>
      </c>
      <c r="E5" s="142" t="s" ph="1">
        <v>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8" ph="1">
        <v>0.33333333333333331</v>
      </c>
      <c r="C6" s="153" t="s" ph="1">
        <v>177</v>
      </c>
      <c r="D6" s="71">
        <v>3013</v>
      </c>
      <c r="E6" s="71">
        <v>278</v>
      </c>
      <c r="F6" s="71">
        <v>4457</v>
      </c>
      <c r="G6" s="71">
        <v>549</v>
      </c>
      <c r="H6" s="71">
        <v>3054</v>
      </c>
      <c r="I6" s="71">
        <v>38.72</v>
      </c>
      <c r="J6" s="71">
        <v>77.02</v>
      </c>
      <c r="K6" s="71">
        <v>84.71</v>
      </c>
      <c r="L6" s="71">
        <v>7.02</v>
      </c>
      <c r="M6" s="71">
        <v>4254</v>
      </c>
      <c r="N6" s="71">
        <v>3964</v>
      </c>
      <c r="O6" s="71">
        <v>3554</v>
      </c>
      <c r="P6" s="71">
        <v>1650</v>
      </c>
      <c r="Q6" s="71">
        <v>0</v>
      </c>
      <c r="R6" s="71">
        <v>3691</v>
      </c>
      <c r="S6" s="71">
        <v>6059</v>
      </c>
      <c r="T6" s="71">
        <v>7179</v>
      </c>
      <c r="U6" s="71">
        <v>6616</v>
      </c>
      <c r="V6" s="71">
        <v>5315</v>
      </c>
      <c r="W6" s="71">
        <v>2474</v>
      </c>
      <c r="X6" s="71">
        <v>2897</v>
      </c>
      <c r="Y6" s="71">
        <v>0</v>
      </c>
      <c r="Z6" s="71">
        <v>3588</v>
      </c>
      <c r="AA6" s="71">
        <v>1101</v>
      </c>
      <c r="AB6" s="71">
        <v>3739</v>
      </c>
      <c r="AC6" s="71">
        <v>8250</v>
      </c>
      <c r="AD6" s="71">
        <v>3383</v>
      </c>
      <c r="AE6" s="71">
        <v>4014</v>
      </c>
    </row>
    <row r="7" spans="1:99" s="72" customFormat="1" ht="22.2" ph="1">
      <c r="B7" s="238" ph="1"/>
      <c r="C7" s="68" t="s" ph="1">
        <v>178</v>
      </c>
      <c r="D7" s="73" ph="1">
        <f>D6*33.183*LOOKUP(D8,密度!$A$2:$A$50,密度!$Q$2:$Q$50)</f>
        <v>94314.490922070006</v>
      </c>
      <c r="E7" s="73" ph="1">
        <f>E6*51.53*LOOKUP(E8,密度!$A$2:$A$50,密度!$B$2:$B$50)</f>
        <v>11119.328908</v>
      </c>
      <c r="F7" s="73" ph="1">
        <f>F6*33.183*LOOKUP(F8,密度!$A$2:$A$50,密度!$C$2:$C$50)</f>
        <v>163662.4118646</v>
      </c>
      <c r="G7" s="73" ph="1">
        <f xml:space="preserve"> (G6+2)*51.53*LOOKUP(G8,密度!$A$2:$A$50,密度!$B$2:$B$50)</f>
        <v>22061.384310000001</v>
      </c>
      <c r="H7" s="73" ph="1">
        <f>(H6)*51.53*LOOKUP(H8,密度!$A$2:$A$50,密度!$B$2:$B$50)</f>
        <v>122278.52574</v>
      </c>
      <c r="I7" s="73" ph="1">
        <f>I6*290.8*1.0267</f>
        <v>11560.412019199999</v>
      </c>
      <c r="J7" s="73" ph="1">
        <f>J6*290.8*0.7892</f>
        <v>17676.040707200002</v>
      </c>
      <c r="K7" s="73" ph="1">
        <f>K6*290.8*1.1126</f>
        <v>27407.419016799999</v>
      </c>
      <c r="L7" s="73" ph="1">
        <f>L6*290.8*0.777</f>
        <v>1586.1802319999999</v>
      </c>
      <c r="M7" s="73" ph="1">
        <f>M6*33.183*LOOKUP(M8,密度!$A$2:$A$50,密度!$D$2:$D$50)</f>
        <v>144266.01260399999</v>
      </c>
      <c r="N7" s="73" ph="1">
        <f>N6*33.183*LOOKUP(N8,密度!$A$2:$A$50,密度!$E$2:$E$50)</f>
        <v>102283.49157120001</v>
      </c>
      <c r="O7" s="73" ph="1">
        <f>O6*20.428*LOOKUP(O8,密度!$A$2:$A$50,密度!$C$2:$C$50)</f>
        <v>79926.564200800014</v>
      </c>
      <c r="P7" s="73" ph="1">
        <f>P6*51.53*LOOKUP(P8,密度!$A$2:$A$50,密度!$B$2:$B$50)</f>
        <v>65996.016900000002</v>
      </c>
      <c r="Q7" s="73" ph="1">
        <f>Q6*1.5*1.5*3.1416*LOOKUP(W8,密度!$A$2:$A$50,密度!$L$2:$L$50)</f>
        <v>0</v>
      </c>
      <c r="R7" s="73" ph="1">
        <f>R6*1.5*1.5*3.1416*LOOKUP(R8,密度!$A$2:$A$50,密度!$L$2:$L$50)</f>
        <v>24211.708012800002</v>
      </c>
      <c r="S7" s="73" ph="1">
        <f>S6*1.5*1.5*3.1416*LOOKUP(S8,密度!$A$2:$A$50,密度!$L$2:$L$50)</f>
        <v>40044.785319000002</v>
      </c>
      <c r="T7" s="73" ph="1">
        <f>T6*1.5*1.5*3.1416*LOOKUP(T8,密度!$A$2:$A$50,密度!$L$2:$L$50)</f>
        <v>47548.514197800003</v>
      </c>
      <c r="U7" s="73" ph="1">
        <f>U6*1.5*1.5*3.1416*LOOKUP(U8,密度!$A$2:$A$50,密度!$L$2:$L$50)</f>
        <v>43632.545140800001</v>
      </c>
      <c r="V7" s="73" ph="1">
        <f>V6*1.5*1.5*3.1416*LOOKUP(V8,密度!$A$2:$A$50,密度!$L$2:$L$50)</f>
        <v>35090.014805999999</v>
      </c>
      <c r="W7" s="73" ph="1">
        <f>W6*1.5*1.5*3.1416*LOOKUP(W8,密度!$A$2:$A$50,密度!$L$2:$L$50)</f>
        <v>16333.527117600002</v>
      </c>
      <c r="X7" s="73" ph="1">
        <f>X6*1.5*1.5*3.1416*LOOKUP(X8,密度!$A$2:$A$50,密度!$L$2:$L$50)</f>
        <v>19126.2037428</v>
      </c>
      <c r="Y7" s="73" ph="1">
        <f>Y6*1.5*1.5*3.1416*LOOKUP(Y8,密度!$A$2:$A$50,密度!$L$2:$L$50)</f>
        <v>0</v>
      </c>
      <c r="Z7" s="73" ph="1">
        <f>Z6*33.183*LOOKUP(Z8,密度!$A$2:$A$50,密度!$L$2:$L$50)</f>
        <v>111083.54353200001</v>
      </c>
      <c r="AA7" s="73" ph="1">
        <f>AA6*33.183*LOOKUP(AA8,密度!$A$2:$A$50,密度!$D$2:$D$50)</f>
        <v>37371.122660699999</v>
      </c>
      <c r="AB7" s="73" ph="1">
        <f>AB6*20.428*LOOKUP(AB8,密度!$A$2:$A$50,密度!$D$2:$D$50)</f>
        <v>78564.768351199993</v>
      </c>
      <c r="AC7" s="73" ph="1">
        <f>AC6*51.53*LOOKUP(AC8,密度!$A$2:$A$50,密度!$Q$2:$Q$50)</f>
        <v>402178.63867499999</v>
      </c>
      <c r="AD7" s="73" ph="1">
        <f>AD6*20.428*LOOKUP(AD8,密度!$A$2:$A$50,密度!$V$2:$V$50)</f>
        <v>66177.748022400003</v>
      </c>
      <c r="AE7" s="73" ph="1">
        <f>AE6*20.428</f>
        <v>81997.991999999998</v>
      </c>
    </row>
    <row r="8" spans="1:99" ph="1">
      <c r="B8" s="238" ph="1"/>
      <c r="C8" s="68" t="s" ph="1">
        <v>179</v>
      </c>
      <c r="D8" s="74">
        <v>30</v>
      </c>
      <c r="E8" s="74">
        <v>29</v>
      </c>
      <c r="F8" s="74">
        <v>28</v>
      </c>
      <c r="G8" s="74">
        <v>28</v>
      </c>
      <c r="H8" s="74">
        <v>28</v>
      </c>
      <c r="I8" s="74">
        <v>25</v>
      </c>
      <c r="J8" s="74">
        <v>25</v>
      </c>
      <c r="K8" s="74">
        <v>25</v>
      </c>
      <c r="L8" s="74">
        <v>25</v>
      </c>
      <c r="M8" s="74">
        <v>30</v>
      </c>
      <c r="N8" s="74">
        <v>30</v>
      </c>
      <c r="O8" s="74">
        <v>34</v>
      </c>
      <c r="P8" s="74">
        <v>29</v>
      </c>
      <c r="Q8" s="74">
        <v>31</v>
      </c>
      <c r="R8" s="74">
        <v>34</v>
      </c>
      <c r="S8" s="74">
        <v>27</v>
      </c>
      <c r="T8" s="74">
        <v>25</v>
      </c>
      <c r="U8" s="74">
        <v>29</v>
      </c>
      <c r="V8" s="74">
        <v>28</v>
      </c>
      <c r="W8" s="74">
        <v>28</v>
      </c>
      <c r="X8" s="74">
        <v>28</v>
      </c>
      <c r="Y8" s="74">
        <v>29</v>
      </c>
      <c r="Z8" s="74">
        <v>29</v>
      </c>
      <c r="AA8" s="74">
        <v>29</v>
      </c>
      <c r="AB8" s="74">
        <v>23</v>
      </c>
      <c r="AC8" s="74">
        <v>26</v>
      </c>
      <c r="AD8" s="74">
        <v>28</v>
      </c>
      <c r="AE8" s="74">
        <v>29</v>
      </c>
    </row>
    <row r="9" spans="1:99" ht="26.4" ph="1">
      <c r="B9" s="238" ph="1">
        <v>0.66666666666666663</v>
      </c>
      <c r="C9" s="153" t="s" ph="1">
        <v>180</v>
      </c>
      <c r="D9" s="71">
        <v>3380</v>
      </c>
      <c r="E9" s="71">
        <v>276</v>
      </c>
      <c r="F9" s="71">
        <v>4718</v>
      </c>
      <c r="G9" s="71">
        <v>987</v>
      </c>
      <c r="H9" s="71">
        <v>2777</v>
      </c>
      <c r="I9" s="71">
        <v>38.71</v>
      </c>
      <c r="J9" s="71">
        <v>77.12</v>
      </c>
      <c r="K9" s="71">
        <v>84.73</v>
      </c>
      <c r="L9" s="71">
        <v>29.11</v>
      </c>
      <c r="M9" s="71">
        <v>4253</v>
      </c>
      <c r="N9" s="71">
        <v>3965</v>
      </c>
      <c r="O9" s="71">
        <v>3553</v>
      </c>
      <c r="P9" s="71">
        <v>1035</v>
      </c>
      <c r="Q9" s="71">
        <v>0</v>
      </c>
      <c r="R9" s="71">
        <v>6002</v>
      </c>
      <c r="S9" s="71">
        <v>5167</v>
      </c>
      <c r="T9" s="71">
        <v>7185</v>
      </c>
      <c r="U9" s="71">
        <v>6621</v>
      </c>
      <c r="V9" s="71">
        <v>5320</v>
      </c>
      <c r="W9" s="71">
        <v>4974</v>
      </c>
      <c r="X9" s="71">
        <v>5673</v>
      </c>
      <c r="Y9" s="71">
        <v>0</v>
      </c>
      <c r="Z9" s="71">
        <v>1566</v>
      </c>
      <c r="AA9" s="71">
        <v>1099</v>
      </c>
      <c r="AB9" s="71">
        <v>3501</v>
      </c>
      <c r="AC9" s="71">
        <v>7945</v>
      </c>
      <c r="AD9" s="71">
        <v>3383</v>
      </c>
      <c r="AE9" s="71">
        <v>4035</v>
      </c>
    </row>
    <row r="10" spans="1:99" s="72" customFormat="1" ht="22.2" ph="1">
      <c r="B10" s="238" ph="1"/>
      <c r="C10" s="153" t="s" ph="1">
        <v>178</v>
      </c>
      <c r="D10" s="73" ph="1">
        <f>D9*33.183*LOOKUP(D11,密度!$A$2:$A$50,密度!$Q$2:$Q$50)</f>
        <v>105642.12882599999</v>
      </c>
      <c r="E10" s="73" ph="1">
        <f>E9*51.53*LOOKUP(E11,密度!$A$2:$A$50,密度!$B$2:$B$50)</f>
        <v>10989.555756000002</v>
      </c>
      <c r="F10" s="73" ph="1">
        <f>F9*33.183*LOOKUP(F11,密度!$A$2:$A$50,密度!$C$2:$C$50)</f>
        <v>173011.57610939999</v>
      </c>
      <c r="G10" s="73" ph="1">
        <f xml:space="preserve"> (G9+2)*51.53*LOOKUP(G11,密度!$A$2:$A$50,密度!$B$2:$B$50)</f>
        <v>39287.507752999998</v>
      </c>
      <c r="H10" s="73" ph="1">
        <f>(H9)*51.53*LOOKUP(H11,密度!$A$2:$A$50,密度!$B$2:$B$50)</f>
        <v>110186.0837</v>
      </c>
      <c r="I10" s="73" ph="1">
        <f>I9*290.8*1.0267</f>
        <v>11557.4263756</v>
      </c>
      <c r="J10" s="73" ph="1">
        <f>J9*290.8*0.7892</f>
        <v>17698.990643200003</v>
      </c>
      <c r="K10" s="73" ph="1">
        <f>K9*290.8*1.1126</f>
        <v>27413.889898400001</v>
      </c>
      <c r="L10" s="73" ph="1">
        <f>L9*290.8*0.777</f>
        <v>6577.4510760000003</v>
      </c>
      <c r="M10" s="73" ph="1">
        <f>M9*33.183*LOOKUP(M11,密度!$A$2:$A$50,密度!$D$2:$D$50)</f>
        <v>143738.15403149999</v>
      </c>
      <c r="N10" s="73" ph="1">
        <f>N9*33.183*LOOKUP(N11,密度!$A$2:$A$50,密度!$E$2:$E$50)</f>
        <v>101860.63894305001</v>
      </c>
      <c r="O10" s="73" ph="1">
        <f>O9*20.428*LOOKUP(O11,密度!$A$2:$A$50,密度!$C$2:$C$50)</f>
        <v>79679.074895200014</v>
      </c>
      <c r="P10" s="73" ph="1">
        <f>P9*51.53*LOOKUP(P11,密度!$A$2:$A$50,密度!$B$2:$B$50)</f>
        <v>41253.500925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39243.806909999999</v>
      </c>
      <c r="S10" s="73" ph="1">
        <f>S9*1.5*1.5*3.1416*LOOKUP(S11,密度!$A$2:$A$50,密度!$L$2:$L$50)</f>
        <v>34112.908090800003</v>
      </c>
      <c r="T10" s="73" ph="1">
        <f>T9*1.5*1.5*3.1416*LOOKUP(T11,密度!$A$2:$A$50,密度!$L$2:$L$50)</f>
        <v>47486.678085</v>
      </c>
      <c r="U10" s="73" ph="1">
        <f>U9*1.5*1.5*3.1416*LOOKUP(U11,密度!$A$2:$A$50,密度!$L$2:$L$50)</f>
        <v>43618.7189592</v>
      </c>
      <c r="V10" s="73" ph="1">
        <f>V9*1.5*1.5*3.1416*LOOKUP(V11,密度!$A$2:$A$50,密度!$L$2:$L$50)</f>
        <v>35010.210312000003</v>
      </c>
      <c r="W10" s="73" ph="1">
        <f>W9*1.5*1.5*3.1416*LOOKUP(W11,密度!$A$2:$A$50,密度!$L$2:$L$50)</f>
        <v>32803.548901199996</v>
      </c>
      <c r="X10" s="73" ph="1">
        <f>X9*1.5*1.5*3.1416*LOOKUP(X11,密度!$A$2:$A$50,密度!$L$2:$L$50)</f>
        <v>37573.857228600005</v>
      </c>
      <c r="Y10" s="73" ph="1">
        <f>Y9*1.5*1.5*3.1416*LOOKUP(Y11,密度!$A$2:$A$50,密度!$L$2:$L$50)</f>
        <v>0</v>
      </c>
      <c r="Z10" s="73" ph="1">
        <f>Z9*33.183*LOOKUP(Z11,密度!$A$2:$A$50,密度!$L$2:$L$50)</f>
        <v>48379.022118000001</v>
      </c>
      <c r="AA10" s="73" ph="1">
        <f>AA9*33.183*LOOKUP(AA11,密度!$A$2:$A$50,密度!$D$2:$D$50)</f>
        <v>37015.138754999993</v>
      </c>
      <c r="AB10" s="73" ph="1">
        <f>AB9*20.428*LOOKUP(AB11,密度!$A$2:$A$50,密度!$D$2:$D$50)</f>
        <v>73363.60344240001</v>
      </c>
      <c r="AC10" s="73" ph="1">
        <f>AC9*51.53*LOOKUP(AC11,密度!$A$2:$A$50,密度!$Q$2:$Q$50)</f>
        <v>386204.82048050006</v>
      </c>
      <c r="AD10" s="73" ph="1">
        <f>AD9*20.428*LOOKUP(AD11,密度!$A$2:$A$50,密度!$V$2:$V$50)</f>
        <v>66177.748022400003</v>
      </c>
      <c r="AE10" s="73" ph="1">
        <f>AE9*20.428</f>
        <v>82426.98000000001</v>
      </c>
    </row>
    <row r="11" spans="1:99" ph="1">
      <c r="A11" s="64" t="s" ph="1">
        <v>162</v>
      </c>
      <c r="B11" s="238" ph="1"/>
      <c r="C11" s="153" t="s" ph="1">
        <v>179</v>
      </c>
      <c r="D11" s="74">
        <v>32</v>
      </c>
      <c r="E11" s="74">
        <v>33</v>
      </c>
      <c r="F11" s="74">
        <v>30</v>
      </c>
      <c r="G11" s="74">
        <v>35</v>
      </c>
      <c r="H11" s="74">
        <v>36</v>
      </c>
      <c r="I11" s="74">
        <v>25</v>
      </c>
      <c r="J11" s="74">
        <v>25</v>
      </c>
      <c r="K11" s="74">
        <v>25</v>
      </c>
      <c r="L11" s="74">
        <v>25</v>
      </c>
      <c r="M11" s="74">
        <v>34</v>
      </c>
      <c r="N11" s="74">
        <v>33</v>
      </c>
      <c r="O11" s="74">
        <v>37</v>
      </c>
      <c r="P11" s="74">
        <v>32</v>
      </c>
      <c r="Q11" s="74">
        <v>40</v>
      </c>
      <c r="R11" s="74">
        <v>37</v>
      </c>
      <c r="S11" s="74">
        <v>28</v>
      </c>
      <c r="T11" s="74">
        <v>27</v>
      </c>
      <c r="U11" s="74">
        <v>30</v>
      </c>
      <c r="V11" s="74">
        <v>31</v>
      </c>
      <c r="W11" s="74">
        <v>29</v>
      </c>
      <c r="X11" s="74">
        <v>25</v>
      </c>
      <c r="Y11" s="74">
        <v>34</v>
      </c>
      <c r="Z11" s="74">
        <v>31</v>
      </c>
      <c r="AA11" s="74">
        <v>38</v>
      </c>
      <c r="AB11" s="74">
        <v>26</v>
      </c>
      <c r="AC11" s="74">
        <v>30</v>
      </c>
      <c r="AD11" s="74">
        <v>35</v>
      </c>
      <c r="AE11" s="74">
        <v>30</v>
      </c>
    </row>
    <row r="12" spans="1:99" ht="9.9" customHeight="1" ph="1"/>
    <row r="13" spans="1:99" s="72" customFormat="1" ht="29.25" customHeight="1" ph="1">
      <c r="B13" s="215" t="s" ph="1">
        <v>37</v>
      </c>
      <c r="C13" s="153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6" ph="1"/>
      <c r="C14" s="67" t="s" ph="1">
        <v>36</v>
      </c>
      <c r="D14" s="77" t="s" ph="1">
        <v>616</v>
      </c>
      <c r="E14" s="77" t="s" ph="1">
        <v>616</v>
      </c>
      <c r="F14" s="144" t="s" ph="1">
        <v>636</v>
      </c>
      <c r="G14" s="77" t="s" ph="1">
        <v>617</v>
      </c>
      <c r="H14" s="77" t="s" ph="1">
        <v>637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638</v>
      </c>
      <c r="P14" s="77" t="s" ph="1">
        <v>622</v>
      </c>
      <c r="Q14" s="77" t="s" ph="1">
        <v>622</v>
      </c>
      <c r="R14" s="88" t="s" ph="1">
        <v>7</v>
      </c>
      <c r="S14" s="77" t="s" ph="1">
        <v>622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17" ph="1">
        <v>0.33333333333333331</v>
      </c>
      <c r="C15" s="153" t="s" ph="1">
        <v>177</v>
      </c>
      <c r="D15" s="78">
        <v>2582</v>
      </c>
      <c r="E15" s="78">
        <v>3229</v>
      </c>
      <c r="F15" s="78">
        <v>1603</v>
      </c>
      <c r="G15" s="78">
        <v>3554</v>
      </c>
      <c r="H15" s="78">
        <v>4369</v>
      </c>
      <c r="I15" s="78">
        <v>3130</v>
      </c>
      <c r="J15" s="78">
        <v>0</v>
      </c>
      <c r="K15" s="78">
        <v>4783</v>
      </c>
      <c r="L15" s="78">
        <v>6020</v>
      </c>
      <c r="M15" s="78">
        <v>6059</v>
      </c>
      <c r="N15" s="78">
        <v>3992</v>
      </c>
      <c r="O15" s="78">
        <v>3882</v>
      </c>
      <c r="P15" s="78">
        <v>4006</v>
      </c>
      <c r="Q15" s="78">
        <v>4000</v>
      </c>
      <c r="R15" s="78">
        <v>0</v>
      </c>
      <c r="S15" s="78">
        <v>0</v>
      </c>
      <c r="T15" s="78">
        <v>4123</v>
      </c>
      <c r="U15" s="78">
        <v>0</v>
      </c>
      <c r="V15" s="78">
        <v>-817</v>
      </c>
      <c r="W15" s="71">
        <v>350</v>
      </c>
      <c r="X15" s="78">
        <v>863</v>
      </c>
      <c r="Y15" s="106">
        <v>-9909</v>
      </c>
      <c r="Z15" s="78">
        <v>0</v>
      </c>
      <c r="AA15" s="78">
        <v>2505</v>
      </c>
      <c r="AB15" s="78" ph="1">
        <v>0</v>
      </c>
      <c r="AC15" s="78" ph="1">
        <v>0</v>
      </c>
      <c r="AD15" s="78">
        <v>6.02</v>
      </c>
      <c r="AE15" s="78">
        <v>44.72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18" ph="1"/>
      <c r="C16" s="153" t="s" ph="1">
        <v>178</v>
      </c>
      <c r="D16" s="73" ph="1">
        <f>D15*7.0686*LOOKUP(D17,密度!$A$2:$A$50,密度!$L$2:$L$50)</f>
        <v>17010.048686400001</v>
      </c>
      <c r="E16" s="73" ph="1">
        <f>E15*7.0686*LOOKUP(E17,密度!$A$2:$A$50,密度!$L$2:$L$50)</f>
        <v>21295.267270200002</v>
      </c>
      <c r="F16" s="73" ph="1">
        <f>F15*9.0746*LOOKUP(F17,密度!$A$2:$A$50,密度!$L$2:$L$50)</f>
        <v>13484.683182600002</v>
      </c>
      <c r="G16" s="73" ph="1">
        <f>G15*9.0746*LOOKUP(G17,密度!$A$2:$A$50,密度!$B$2:$B$50)</f>
        <v>25004.299848520001</v>
      </c>
      <c r="H16" s="73" ph="1">
        <f>H15*9.0746*LOOKUP(H17,密度!$A$2:$A$50,密度!$L$2:$L$50)</f>
        <v>37069.877119000004</v>
      </c>
      <c r="I16" s="73" ph="1">
        <f>I15*9.0746*LOOKUP(I17,密度!$A$2:$A$50,密度!$U$2:$U$50)</f>
        <v>28999.971457999996</v>
      </c>
      <c r="J16" s="73" ph="1">
        <f>J15*9.0746*LOOKUP(J17,密度!$A$2:$A$50,密度!$L$2:$L$50)</f>
        <v>0</v>
      </c>
      <c r="K16" s="73" ph="1">
        <f>K15*9.0746*LOOKUP(K17,密度!$A$2:$A$50,密度!$C$2:$C$50)</f>
        <v>47965.55242018</v>
      </c>
      <c r="L16" s="73" ph="1">
        <f>L15*9.0746*LOOKUP(L17,密度!$A$2:$A$50,密度!$E$2:$E$50)</f>
        <v>42479.581939199998</v>
      </c>
      <c r="M16" s="73" ph="1">
        <f>M15*9.0746*LOOKUP(M17,密度!$A$2:$A$50,密度!$M$2:$M$50)</f>
        <v>47715.348274948003</v>
      </c>
      <c r="N16" s="73" ph="1">
        <f>N15*9.0746*LOOKUP(N17,密度!$A$2:$A$50,密度!$M$2:$M$50)</f>
        <v>31588.900390400002</v>
      </c>
      <c r="O16" s="73" ph="1">
        <f>O15*9.0746*LOOKUP(O17,密度!$A$2:$A$50,密度!$G$2:$G$50)</f>
        <v>33748.038117600001</v>
      </c>
      <c r="P16" s="73" ph="1">
        <f ca="1">P15*9.0746*LOOKUP(P17,密度!$A$2:$A$51,密度!$Q$2:$Q$50)</f>
        <v>34292.731726507998</v>
      </c>
      <c r="Q16" s="73" ph="1">
        <f>Q15*9.0746*LOOKUP(Q17,密度!$A$2:$A$50,密度!$Q$2:$Q$50)</f>
        <v>34214.145872000001</v>
      </c>
      <c r="R16" s="73" ph="1">
        <f>MAX(R15*9.0746*LOOKUP(R17,密度!$A$2:$A$50,密度!$B$2:$B$50),0)</f>
        <v>0</v>
      </c>
      <c r="S16" s="73" ph="1">
        <f>S15*9.0746*LOOKUP(S17,密度!$A$2:$A$50,密度!$Q$2:$Q$50)</f>
        <v>0</v>
      </c>
      <c r="T16" s="73" ph="1">
        <f>T15*9.0746*LOOKUP(T17,密度!$A$2:$A$50,密度!$O$2:$O$50)</f>
        <v>34645.897190800002</v>
      </c>
      <c r="U16" s="73" ph="1">
        <f>U15*9.0746*LOOKUP(U17,密度!$A$2:$A$50,密度!$H$2:$H$50)</f>
        <v>0</v>
      </c>
      <c r="V16" s="73" ph="1">
        <f>MAX(5600*LOOKUP(V17,密度!$A$2:$A$50,密度!$Q$2:$Q$50)+V15*9.0476*LOOKUP(V17,密度!$A$2:$A$50,密度!$Q$2:$Q$50),0)</f>
        <v>0</v>
      </c>
      <c r="W16" s="73" ph="1">
        <f>MAX(5600*LOOKUP(W17,密度!$A$2:$A$50,密度!$Q$2:$Q$50)+W15*9.0476*LOOKUP(W17,密度!$A$2:$A$50,密度!$Q$2:$Q$50),0)</f>
        <v>8269.8533778000001</v>
      </c>
      <c r="X16" s="73" ph="1">
        <f>MAX(5600*LOOKUP(X17,密度!$A$2:$A$50,密度!$I$2:$I$50)+X15*9.0476*LOOKUP(X17,密度!$A$2:$A$50,密度!$I$2:$I$50),0)</f>
        <v>13900.155291959998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17662.665321</v>
      </c>
      <c r="AB16" s="73" ph="1">
        <f>AB15*9.0746*LOOKUP(AB17,密度!$A$2:$A$50,密度!$L$2:$L$50)</f>
        <v>0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2481.8204265599998</v>
      </c>
      <c r="AE16" s="73" ph="1">
        <f>AE15*268.68*LOOKUP(AE17,密度!$A$2:$A$50,密度!B2:B50)+IF(AE15&lt;=0,0,1566*LOOKUP(AE17,密度!$A$2:$A$50,密度!B2:B50))</f>
        <v>10588.035740159999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19" ph="1"/>
      <c r="C17" s="79" t="s" ph="1">
        <v>179</v>
      </c>
      <c r="D17" s="74">
        <v>30</v>
      </c>
      <c r="E17" s="74">
        <v>29</v>
      </c>
      <c r="F17" s="74">
        <v>35</v>
      </c>
      <c r="G17" s="74">
        <v>30</v>
      </c>
      <c r="H17" s="74">
        <v>27</v>
      </c>
      <c r="I17" s="74">
        <v>29</v>
      </c>
      <c r="J17" s="74">
        <v>30</v>
      </c>
      <c r="K17" s="74">
        <v>30</v>
      </c>
      <c r="L17" s="74">
        <v>30</v>
      </c>
      <c r="M17" s="74">
        <v>32</v>
      </c>
      <c r="N17" s="74">
        <v>28</v>
      </c>
      <c r="O17" s="74">
        <v>27</v>
      </c>
      <c r="P17" s="74">
        <v>30</v>
      </c>
      <c r="Q17" s="74">
        <v>31</v>
      </c>
      <c r="R17" s="74">
        <v>30</v>
      </c>
      <c r="S17" s="74">
        <v>30</v>
      </c>
      <c r="T17" s="74">
        <v>29</v>
      </c>
      <c r="U17" s="74">
        <v>27</v>
      </c>
      <c r="V17" s="74">
        <v>31</v>
      </c>
      <c r="W17" s="74">
        <v>30</v>
      </c>
      <c r="X17" s="74">
        <v>30</v>
      </c>
      <c r="Y17" s="108">
        <v>30</v>
      </c>
      <c r="Z17" s="74">
        <v>29</v>
      </c>
      <c r="AA17" s="74">
        <v>28</v>
      </c>
      <c r="AB17" s="74">
        <v>28</v>
      </c>
      <c r="AC17" s="74">
        <v>28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17" ph="1">
        <v>0.66666666666666663</v>
      </c>
      <c r="C18" s="79" t="s" ph="1">
        <v>180</v>
      </c>
      <c r="D18" s="71">
        <v>5003</v>
      </c>
      <c r="E18" s="71">
        <v>3233</v>
      </c>
      <c r="F18" s="71">
        <v>1772</v>
      </c>
      <c r="G18" s="71">
        <v>3685</v>
      </c>
      <c r="H18" s="71">
        <v>4371</v>
      </c>
      <c r="I18" s="71">
        <v>3131</v>
      </c>
      <c r="J18" s="71">
        <v>0</v>
      </c>
      <c r="K18" s="71">
        <v>3833</v>
      </c>
      <c r="L18" s="71">
        <v>6029</v>
      </c>
      <c r="M18" s="71">
        <v>4392</v>
      </c>
      <c r="N18" s="71">
        <v>6256</v>
      </c>
      <c r="O18" s="71">
        <v>4151</v>
      </c>
      <c r="P18" s="71">
        <v>4009</v>
      </c>
      <c r="Q18" s="71">
        <v>4003</v>
      </c>
      <c r="R18" s="71">
        <v>0</v>
      </c>
      <c r="S18" s="71">
        <v>0</v>
      </c>
      <c r="T18" s="71">
        <v>4125</v>
      </c>
      <c r="U18" s="71">
        <v>0</v>
      </c>
      <c r="V18" s="71">
        <v>-817</v>
      </c>
      <c r="W18" s="71">
        <v>349</v>
      </c>
      <c r="X18" s="71">
        <v>863</v>
      </c>
      <c r="Y18" s="109">
        <v>-9907</v>
      </c>
      <c r="Z18" s="71">
        <v>0</v>
      </c>
      <c r="AA18" s="71">
        <v>2507</v>
      </c>
      <c r="AB18" s="71">
        <v>0</v>
      </c>
      <c r="AC18" s="71">
        <v>0</v>
      </c>
      <c r="AD18" s="71">
        <v>14.42</v>
      </c>
      <c r="AE18" s="71">
        <v>84.41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18" ph="1"/>
      <c r="C19" s="153" t="s" ph="1">
        <v>178</v>
      </c>
      <c r="D19" s="73" ph="1">
        <f>D18*7.0686*LOOKUP(D20,密度!$A$2:$A$50,密度!$L$2:$L$50)</f>
        <v>32924.075599800002</v>
      </c>
      <c r="E19" s="73" ph="1">
        <f>E18*7.0686*LOOKUP(E20,密度!$A$2:$A$50,密度!$L$2:$L$50)</f>
        <v>21253.088934000003</v>
      </c>
      <c r="F19" s="73" ph="1">
        <f>F18*9.0746*LOOKUP(F20,密度!$A$2:$A$50,密度!$L$2:$L$50)</f>
        <v>14906.337242400003</v>
      </c>
      <c r="G19" s="73" ph="1">
        <f>G18*9.0746*LOOKUP(G20,密度!$A$2:$A$50,密度!$B$2:$B$50)</f>
        <v>25925.9552453</v>
      </c>
      <c r="H19" s="73" ph="1">
        <f>H18*9.0746*LOOKUP(H20,密度!$A$2:$A$50,密度!$L$2:$L$50)</f>
        <v>37007.5164678</v>
      </c>
      <c r="I19" s="73" ph="1">
        <f>I18*9.0746*LOOKUP(I20,密度!$A$2:$A$50,密度!$U$2:$U$50)</f>
        <v>28867.173761599999</v>
      </c>
      <c r="J19" s="73" ph="1">
        <f>J18*9.0746*LOOKUP(J20,密度!$A$2:$A$50,密度!$L$2:$L$50)</f>
        <v>0</v>
      </c>
      <c r="K19" s="73" ph="1">
        <f>K18*9.0746*LOOKUP(K20,密度!$A$2:$A$50,密度!$C$2:$C$50)</f>
        <v>38292.540627620001</v>
      </c>
      <c r="L19" s="73" ph="1">
        <f>L18*9.0746*LOOKUP(L20,密度!$A$2:$A$50,密度!$E$2:$E$50)</f>
        <v>42356.525916646002</v>
      </c>
      <c r="M19" s="73" ph="1">
        <f>M18*9.0746*LOOKUP(M20,密度!$A$2:$A$50,密度!$M$2:$M$50)</f>
        <v>34545.675856464004</v>
      </c>
      <c r="N19" s="73" ph="1">
        <f>N18*9.0746*LOOKUP(N20,密度!$A$2:$A$50,密度!$M$2:$M$50)</f>
        <v>49447.277609600002</v>
      </c>
      <c r="O19" s="73" ph="1">
        <f>O18*9.0746*LOOKUP(O20,密度!$A$2:$A$50,密度!$G$2:$G$50)</f>
        <v>35844.371173422005</v>
      </c>
      <c r="P19" s="73" ph="1">
        <f ca="1">P18*9.0746*LOOKUP(P20,密度!$A$2:$A$51,密度!$Q$2:$Q$50)</f>
        <v>34291.127700211997</v>
      </c>
      <c r="Q19" s="73" ph="1">
        <f>Q18*9.0746*LOOKUP(Q20,密度!$A$2:$A$50,密度!$Q$2:$Q$50)</f>
        <v>34191.493401750005</v>
      </c>
      <c r="R19" s="73" ph="1">
        <f>MAX(R18*9.0746*LOOKUP(R20,密度!$A$2:$A$50,密度!$B$2:$B$50),0)</f>
        <v>0</v>
      </c>
      <c r="S19" s="73" ph="1">
        <f>S18*9.0746*LOOKUP(S20,密度!$A$2:$A$50,密度!$Q$2:$Q$50)</f>
        <v>0</v>
      </c>
      <c r="T19" s="73" ph="1">
        <f>T18*9.0746*LOOKUP(T20,密度!$A$2:$A$50,密度!$O$2:$O$50)</f>
        <v>34483.026270000002</v>
      </c>
      <c r="U19" s="73" ph="1">
        <f>U18*9.0746*LOOKUP(U20,密度!$A$2:$A$50,密度!$H$2:$H$50)</f>
        <v>0</v>
      </c>
      <c r="V19" s="73" ph="1">
        <f>MAX(5600*LOOKUP(V20,密度!$A$2:$A$50,密度!$Q$2:$Q$50)+V18*9.0476*LOOKUP(V20,密度!$A$2:$A$50,密度!$Q$2:$Q$50),0)</f>
        <v>0</v>
      </c>
      <c r="W19" s="73" ph="1">
        <f>MAX(5600*LOOKUP(W20,密度!$A$2:$A$50,密度!$Q$2:$Q$50)+W18*9.0476*LOOKUP(W20,密度!$A$2:$A$50,密度!$Q$2:$Q$50),0)</f>
        <v>8214.8155834479985</v>
      </c>
      <c r="X19" s="73" ph="1">
        <f>MAX(5600*LOOKUP(X20,密度!$A$2:$A$50,密度!$I$2:$I$50)+X18*9.0476*LOOKUP(X20,密度!$A$2:$A$50,密度!$I$2:$I$50),0)</f>
        <v>13839.81893736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17578.942153939999</v>
      </c>
      <c r="AB19" s="73" ph="1">
        <f>AB18*9.0746*LOOKUP(AB20,密度!$A$2:$A$50,密度!$L$2:$L$50)</f>
        <v>0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4227.1640711999999</v>
      </c>
      <c r="AE19" s="73" ph="1">
        <f>AE18*268.68*LOOKUP(AE20,密度!$A$2:$A$50,密度!B5:B53)+IF(AE18&lt;=0,0,1566*LOOKUP(AE20,密度!$A$2:$A$50,密度!B5:B53))</f>
        <v>18838.581627600001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18" ph="1"/>
      <c r="C20" s="80" t="s" ph="1">
        <v>179</v>
      </c>
      <c r="D20" s="81">
        <v>31</v>
      </c>
      <c r="E20" s="81">
        <v>32</v>
      </c>
      <c r="F20" s="81">
        <v>35</v>
      </c>
      <c r="G20" s="81">
        <v>30</v>
      </c>
      <c r="H20" s="81">
        <v>29</v>
      </c>
      <c r="I20" s="81">
        <v>34</v>
      </c>
      <c r="J20" s="81">
        <v>34</v>
      </c>
      <c r="K20" s="81">
        <v>34</v>
      </c>
      <c r="L20" s="81">
        <v>33</v>
      </c>
      <c r="M20" s="81">
        <v>33</v>
      </c>
      <c r="N20" s="81">
        <v>29</v>
      </c>
      <c r="O20" s="81">
        <v>33</v>
      </c>
      <c r="P20" s="81">
        <v>31</v>
      </c>
      <c r="Q20" s="81">
        <v>33</v>
      </c>
      <c r="R20" s="81">
        <v>35</v>
      </c>
      <c r="S20" s="81">
        <v>33</v>
      </c>
      <c r="T20" s="81">
        <v>33</v>
      </c>
      <c r="U20" s="81">
        <v>34</v>
      </c>
      <c r="V20" s="81">
        <v>36</v>
      </c>
      <c r="W20" s="81">
        <v>38</v>
      </c>
      <c r="X20" s="81">
        <v>34</v>
      </c>
      <c r="Y20" s="110">
        <v>34</v>
      </c>
      <c r="Z20" s="81">
        <v>34</v>
      </c>
      <c r="AA20" s="81">
        <v>33</v>
      </c>
      <c r="AB20" s="81">
        <v>34</v>
      </c>
      <c r="AC20" s="81">
        <v>32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6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6" t="s" ph="1">
        <v>69</v>
      </c>
      <c r="AA22" s="227"/>
      <c r="AB22" s="227"/>
      <c r="AC22" s="227"/>
      <c r="AD22" s="227"/>
      <c r="AE22" s="228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0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610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229" t="s" ph="1">
        <v>642</v>
      </c>
      <c r="AA23" s="230"/>
      <c r="AB23" s="230"/>
      <c r="AC23" s="230"/>
      <c r="AD23" s="230"/>
      <c r="AE23" s="231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38" ph="1">
        <v>0.33333333333333331</v>
      </c>
      <c r="C24" s="153" t="s" ph="1">
        <v>177</v>
      </c>
      <c r="D24" s="71">
        <v>2.73</v>
      </c>
      <c r="E24" s="71">
        <v>45.51</v>
      </c>
      <c r="F24" s="71">
        <v>543</v>
      </c>
      <c r="G24" s="71">
        <v>2960</v>
      </c>
      <c r="H24" s="71">
        <v>3729</v>
      </c>
      <c r="I24" s="71">
        <v>2813</v>
      </c>
      <c r="J24" s="71">
        <v>306</v>
      </c>
      <c r="K24" s="71">
        <v>2525</v>
      </c>
      <c r="L24" s="71">
        <v>302</v>
      </c>
      <c r="M24" s="71">
        <v>327</v>
      </c>
      <c r="N24" s="71">
        <v>4773</v>
      </c>
      <c r="O24" s="71">
        <v>343</v>
      </c>
      <c r="P24" s="71">
        <v>374</v>
      </c>
      <c r="Q24" s="90">
        <v>3763</v>
      </c>
      <c r="R24" s="71">
        <v>1677</v>
      </c>
      <c r="S24" s="71">
        <v>3225</v>
      </c>
      <c r="T24" s="71">
        <v>402</v>
      </c>
      <c r="U24" s="71">
        <v>4218</v>
      </c>
      <c r="V24" s="71">
        <v>740</v>
      </c>
      <c r="W24" s="71">
        <v>4275</v>
      </c>
      <c r="X24" s="71">
        <v>3572</v>
      </c>
      <c r="Y24" s="71">
        <v>1314</v>
      </c>
      <c r="Z24" s="232"/>
      <c r="AA24" s="233"/>
      <c r="AB24" s="233"/>
      <c r="AC24" s="233"/>
      <c r="AD24" s="233"/>
      <c r="AE24" s="234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38" ph="1"/>
      <c r="C25" s="68" t="s" ph="1">
        <v>178</v>
      </c>
      <c r="D25" s="91" ph="1">
        <f>D24*268.68*LOOKUP(D26,密度!$A$2:$A$50,密度!$Q$2:$Q$50)+IF(D24&lt;=0,0,1566*LOOKUP(D26,密度!$A$2:$A$50,密度!$Q$2:$Q$50))</f>
        <v>2177.0252217359998</v>
      </c>
      <c r="E25" s="91" ph="1">
        <f>E24*268.68*LOOKUP(E26,密度!$A$2:$A$50,密度!$C$2:$C$50)+IF(E24&lt;=0,0,1566*LOOKUP(E26,密度!$A$2:$A$50,密度!$C$2:$C$50))</f>
        <v>15295.752758519999</v>
      </c>
      <c r="F25" s="91" ph="1">
        <f>F24*11.702*LOOKUP(F26,密度!$A$2:$A$50,密度!$Q$2:$Q$50)</f>
        <v>6006.7391095200001</v>
      </c>
      <c r="G25" s="91" ph="1">
        <f>G24*18.322*LOOKUP(G26,密度!$A$2:$A$50,密度!$B$2:$B$50)</f>
        <v>42139.134239999999</v>
      </c>
      <c r="H25" s="91" ph="1">
        <f>H24*18.322*LOOKUP(H26,密度!$A$2:$A$50,密度!$B$2:$B$50)</f>
        <v>53148.257890200002</v>
      </c>
      <c r="I25" s="91" ph="1">
        <f>I24*18.322*LOOKUP(I26,密度!$A$2:$A$50,密度!$Q$2:$Q$50)</f>
        <v>48685.512651320001</v>
      </c>
      <c r="J25" s="91" ph="1">
        <f>J24*18.322*LOOKUP(J26,密度!$A$2:$A$50,密度!$Q$2:$Q$50)</f>
        <v>5299.9668302400005</v>
      </c>
      <c r="K25" s="91" ph="1">
        <f>K24*18.322*LOOKUP(K26,密度!$A$2:$A$50,密度!$Q$2:$Q$50)</f>
        <v>43701.002290999997</v>
      </c>
      <c r="L25" s="91" ph="1">
        <f>L24*18.322*LOOKUP(L26,密度!$A$2:$A$50,密度!$Q$2:$Q$50)</f>
        <v>5222.9950089200001</v>
      </c>
      <c r="M25" s="91" ph="1">
        <f>M24*18.322*LOOKUP(M26,密度!$A$2:$A$50,密度!$Q$2:$Q$50)</f>
        <v>5659.4961382800002</v>
      </c>
      <c r="N25" s="91" ph="1">
        <f>N24*18.322*LOOKUP(N26,密度!$A$2:$A$50,密度!$Q$2:$Q$50)</f>
        <v>82669.09045992</v>
      </c>
      <c r="O25" s="91" ph="1">
        <f>O24*18.322*LOOKUP(O26,密度!$A$2:$A$50,密度!$C$2:$C$50)</f>
        <v>6949.9688314000005</v>
      </c>
      <c r="P25" s="91" ph="1">
        <f>P24*11.702*LOOKUP(P26,密度!$A$2:$A$50,密度!$B$2:$B$50)</f>
        <v>3400.577796</v>
      </c>
      <c r="Q25" s="92" ph="1">
        <f>Q24*18.322*LOOKUP(Q26,密度!$A$2:$A$50,密度!$B$2:$B$50)</f>
        <v>53632.849139400001</v>
      </c>
      <c r="R25" s="91" ph="1">
        <f>R24*35.891*LOOKUP(R26,密度!$A$2:$A$50,密度!$C$2:$C$50)</f>
        <v>66605.376466200003</v>
      </c>
      <c r="S25" s="91" ph="1">
        <f>S24*35.891*LOOKUP(S26,密度!$A$2:$A$50,密度!$B$2:$B$50)</f>
        <v>90040.738702499992</v>
      </c>
      <c r="T25" s="91" ph="1">
        <f>T24*35.891*LOOKUP(T26,密度!$A$2:$A$50,密度!$Q$2:$Q$50)</f>
        <v>13629.14928084</v>
      </c>
      <c r="U25" s="91" ph="1">
        <f>U24*35.891</f>
        <v>151388.23799999998</v>
      </c>
      <c r="V25" s="91" ph="1">
        <f>V24*47.051*LOOKUP(V26,密度!$A$2:$A$50,密度!$B$2:$B$50)</f>
        <v>27025.529788</v>
      </c>
      <c r="W25" s="91" ph="1">
        <f>W24*47.051*LOOKUP(W26,密度!$A$2:$A$50,密度!$B$2:$B$50)</f>
        <v>156288.13042500001</v>
      </c>
      <c r="X25" s="91" ph="1">
        <f>X24*47.051*LOOKUP(X26,密度!$A$2:$A$61,密度!$I$2:$I$61)</f>
        <v>173864.45493400001</v>
      </c>
      <c r="Y25" s="91" ph="1">
        <f>Y24*47.051*LOOKUP(Y26,密度!$A$2:$A$50,密度!$L$2:$L$50)</f>
        <v>57682.738062000004</v>
      </c>
      <c r="Z25" s="232"/>
      <c r="AA25" s="233"/>
      <c r="AB25" s="233"/>
      <c r="AC25" s="233"/>
      <c r="AD25" s="233"/>
      <c r="AE25" s="234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38" ph="1"/>
      <c r="C26" s="68" t="s" ph="1">
        <v>179</v>
      </c>
      <c r="D26" s="74">
        <v>25</v>
      </c>
      <c r="E26" s="74">
        <v>25</v>
      </c>
      <c r="F26" s="74">
        <v>27</v>
      </c>
      <c r="G26" s="74">
        <v>28</v>
      </c>
      <c r="H26" s="74">
        <v>27</v>
      </c>
      <c r="I26" s="74">
        <v>28</v>
      </c>
      <c r="J26" s="74">
        <v>27</v>
      </c>
      <c r="K26" s="74">
        <v>28</v>
      </c>
      <c r="L26" s="74">
        <v>29</v>
      </c>
      <c r="M26" s="74">
        <v>28</v>
      </c>
      <c r="N26" s="74">
        <v>27</v>
      </c>
      <c r="O26" s="74">
        <v>29</v>
      </c>
      <c r="P26" s="74">
        <v>28</v>
      </c>
      <c r="Q26" s="93">
        <v>27</v>
      </c>
      <c r="R26" s="74">
        <v>28</v>
      </c>
      <c r="S26" s="74">
        <v>27</v>
      </c>
      <c r="T26" s="74">
        <v>28</v>
      </c>
      <c r="U26" s="74">
        <v>27</v>
      </c>
      <c r="V26" s="74">
        <v>29</v>
      </c>
      <c r="W26" s="74">
        <v>28</v>
      </c>
      <c r="X26" s="74">
        <v>32</v>
      </c>
      <c r="Y26" s="74">
        <v>29</v>
      </c>
      <c r="Z26" s="232"/>
      <c r="AA26" s="233"/>
      <c r="AB26" s="233"/>
      <c r="AC26" s="233"/>
      <c r="AD26" s="233"/>
      <c r="AE26" s="234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38" ph="1">
        <v>0.66666666666666663</v>
      </c>
      <c r="C27" s="153" t="s" ph="1">
        <v>180</v>
      </c>
      <c r="D27" s="71">
        <v>2.73</v>
      </c>
      <c r="E27" s="71">
        <v>5.62</v>
      </c>
      <c r="F27" s="71">
        <v>540</v>
      </c>
      <c r="G27" s="71">
        <v>2555</v>
      </c>
      <c r="H27" s="71">
        <v>3293</v>
      </c>
      <c r="I27" s="71">
        <v>1266</v>
      </c>
      <c r="J27" s="71">
        <v>300</v>
      </c>
      <c r="K27" s="71">
        <v>2524</v>
      </c>
      <c r="L27" s="71">
        <v>296</v>
      </c>
      <c r="M27" s="71">
        <v>323</v>
      </c>
      <c r="N27" s="71">
        <v>4771</v>
      </c>
      <c r="O27" s="71">
        <v>337</v>
      </c>
      <c r="P27" s="71">
        <v>370</v>
      </c>
      <c r="Q27" s="90">
        <v>4003</v>
      </c>
      <c r="R27" s="71">
        <v>1968</v>
      </c>
      <c r="S27" s="71">
        <v>3223</v>
      </c>
      <c r="T27" s="71">
        <v>400</v>
      </c>
      <c r="U27" s="71">
        <v>4254</v>
      </c>
      <c r="V27" s="71">
        <v>736</v>
      </c>
      <c r="W27" s="71">
        <v>5227</v>
      </c>
      <c r="X27" s="71">
        <v>3453</v>
      </c>
      <c r="Y27" s="71">
        <v>1310</v>
      </c>
      <c r="Z27" s="232"/>
      <c r="AA27" s="233"/>
      <c r="AB27" s="233"/>
      <c r="AC27" s="233"/>
      <c r="AD27" s="233"/>
      <c r="AE27" s="234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38" ph="1"/>
      <c r="C28" s="153" t="s" ph="1">
        <v>178</v>
      </c>
      <c r="D28" s="91" ph="1">
        <f>D27*268.68*LOOKUP(D29,密度!$A$2:$A$50,密度!$Q$2:$Q$50)+IF(D27&lt;=0,0,1566*LOOKUP(D29,密度!$A$2:$A$50,密度!$Q$2:$Q$50))</f>
        <v>2177.0252217359998</v>
      </c>
      <c r="E28" s="91" ph="1">
        <f>E27*268.68*LOOKUP(E29,密度!$A$2:$A$50,密度!$C$2:$C$50)+IF(E27&lt;=0,0,1566*LOOKUP(E29,密度!$A$2:$A$50,密度!$C$2:$C$50))</f>
        <v>3410.9559962399999</v>
      </c>
      <c r="F28" s="91" ph="1">
        <f>F27*11.702*LOOKUP(F29,密度!$A$2:$A$50,密度!$Q$2:$Q$50)</f>
        <v>5960.9777364000001</v>
      </c>
      <c r="G28" s="91" ph="1">
        <f>G27*18.322*LOOKUP(G29,密度!$A$2:$A$50,密度!$B$2:$B$50)</f>
        <v>36251.762623999995</v>
      </c>
      <c r="H28" s="91" ph="1">
        <f>H27*18.322*LOOKUP(H29,密度!$A$2:$A$50,密度!$B$2:$B$50)</f>
        <v>46668.616630999997</v>
      </c>
      <c r="I28" s="91" ph="1">
        <f>I27*18.322*LOOKUP(I29,密度!$A$2:$A$50,密度!$Q$2:$Q$50)</f>
        <v>21863.757662159998</v>
      </c>
      <c r="J28" s="91" ph="1">
        <f>J27*18.322*LOOKUP(J29,密度!$A$2:$A$50,密度!$Q$2:$Q$50)</f>
        <v>5177.2475399999994</v>
      </c>
      <c r="K28" s="91" ph="1">
        <f>K27*18.322*LOOKUP(K29,密度!$A$2:$A$50,密度!$Q$2:$Q$50)</f>
        <v>43557.909303199995</v>
      </c>
      <c r="L28" s="91" ph="1">
        <f>L27*18.322*LOOKUP(L29,密度!$A$2:$A$50,密度!$Q$2:$Q$50)</f>
        <v>5111.9054249599994</v>
      </c>
      <c r="M28" s="91" ph="1">
        <f>M27*18.322*LOOKUP(M29,密度!$A$2:$A$50,密度!$Q$2:$Q$50)</f>
        <v>5574.1698513999991</v>
      </c>
      <c r="N28" s="91" ph="1">
        <f>N27*18.322*LOOKUP(N29,密度!$A$2:$A$50,密度!$Q$2:$Q$50)</f>
        <v>82335.493377799998</v>
      </c>
      <c r="O28" s="91" ph="1">
        <f>O27*18.322*LOOKUP(O29,密度!$A$2:$A$50,密度!$C$2:$C$50)</f>
        <v>6817.2809074000006</v>
      </c>
      <c r="P28" s="91" ph="1">
        <f>P27*11.702*LOOKUP(P29,密度!$A$2:$A$50,密度!$B$2:$B$50)</f>
        <v>3356.8474219999998</v>
      </c>
      <c r="Q28" s="92" ph="1">
        <f>Q27*18.322*LOOKUP(Q29,密度!$A$2:$A$50,密度!$B$2:$B$50)</f>
        <v>56730.784200999995</v>
      </c>
      <c r="R28" s="91" ph="1">
        <f>R27*35.891*LOOKUP(R29,密度!$A$2:$A$50,密度!$C$2:$C$50)</f>
        <v>77986.434100800005</v>
      </c>
      <c r="S28" s="91" ph="1">
        <f>S27*35.891*LOOKUP(S29,密度!$A$2:$A$50,密度!$B$2:$B$50)</f>
        <v>89684.140082900005</v>
      </c>
      <c r="T28" s="91" ph="1">
        <f>T27*35.891*LOOKUP(T29,密度!$A$2:$A$50,密度!$Q$2:$Q$50)</f>
        <v>13532.055511999999</v>
      </c>
      <c r="U28" s="91" ph="1">
        <f>U27*35.891</f>
        <v>152680.31399999998</v>
      </c>
      <c r="V28" s="91" ph="1">
        <f>V27*47.051*LOOKUP(V29,密度!$A$2:$A$50,密度!$B$2:$B$50)</f>
        <v>26817.112678400001</v>
      </c>
      <c r="W28" s="91" ph="1">
        <f>W27*47.051*LOOKUP(W29,密度!$A$2:$A$50,密度!$B$2:$B$50)</f>
        <v>190673.85284810001</v>
      </c>
      <c r="X28" s="91" ph="1">
        <f>X27*47.051*LOOKUP(X29,密度!$A$2:$A$61,密度!$I$2:$I$61)</f>
        <v>167893.50424020001</v>
      </c>
      <c r="Y28" s="91" ph="1">
        <f>Y27*47.051*LOOKUP(Y29,密度!$A$2:$A$50,密度!$L$2:$L$50)</f>
        <v>57383.870110000011</v>
      </c>
      <c r="Z28" s="232"/>
      <c r="AA28" s="233"/>
      <c r="AB28" s="233"/>
      <c r="AC28" s="233"/>
      <c r="AD28" s="233"/>
      <c r="AE28" s="234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38" ph="1"/>
      <c r="C29" s="153" t="s" ph="1">
        <v>179</v>
      </c>
      <c r="D29" s="74">
        <v>25</v>
      </c>
      <c r="E29" s="74">
        <v>25</v>
      </c>
      <c r="F29" s="74">
        <v>30</v>
      </c>
      <c r="G29" s="74">
        <v>31</v>
      </c>
      <c r="H29" s="74">
        <v>32</v>
      </c>
      <c r="I29" s="74">
        <v>31</v>
      </c>
      <c r="J29" s="74">
        <v>32</v>
      </c>
      <c r="K29" s="74">
        <v>32</v>
      </c>
      <c r="L29" s="74">
        <v>31</v>
      </c>
      <c r="M29" s="74">
        <v>32</v>
      </c>
      <c r="N29" s="74">
        <v>32</v>
      </c>
      <c r="O29" s="74">
        <v>31</v>
      </c>
      <c r="P29" s="74">
        <v>30</v>
      </c>
      <c r="Q29" s="93">
        <v>32</v>
      </c>
      <c r="R29" s="74">
        <v>31</v>
      </c>
      <c r="S29" s="74">
        <v>30</v>
      </c>
      <c r="T29" s="74">
        <v>31</v>
      </c>
      <c r="U29" s="74">
        <v>32</v>
      </c>
      <c r="V29" s="74">
        <v>31</v>
      </c>
      <c r="W29" s="74">
        <v>30</v>
      </c>
      <c r="X29" s="74">
        <v>33</v>
      </c>
      <c r="Y29" s="74">
        <v>31</v>
      </c>
      <c r="Z29" s="235"/>
      <c r="AA29" s="236"/>
      <c r="AB29" s="236"/>
      <c r="AC29" s="236"/>
      <c r="AD29" s="236"/>
      <c r="AE29" s="237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1" t="s" ph="1">
        <v>35</v>
      </c>
      <c r="C31" s="222" ph="1"/>
      <c r="D31" s="225" t="s" ph="1">
        <v>9</v>
      </c>
      <c r="E31" s="200" ph="1"/>
      <c r="F31" s="201" ph="1"/>
      <c r="G31" s="225" t="s" ph="1">
        <v>18</v>
      </c>
      <c r="H31" s="200" ph="1"/>
      <c r="I31" s="201" ph="1"/>
      <c r="J31" s="199" t="s" ph="1">
        <v>1</v>
      </c>
      <c r="K31" s="200" ph="1"/>
      <c r="L31" s="201" ph="1"/>
      <c r="M31" s="199" t="s" ph="1">
        <v>7</v>
      </c>
      <c r="N31" s="200" ph="1"/>
      <c r="O31" s="201" ph="1"/>
      <c r="P31" s="199" t="s" ph="1">
        <v>41</v>
      </c>
      <c r="Q31" s="200"/>
      <c r="R31" s="201"/>
      <c r="S31" s="199" t="s" ph="1">
        <v>2</v>
      </c>
      <c r="T31" s="200"/>
      <c r="U31" s="201"/>
      <c r="V31" s="199" t="s" ph="1">
        <v>71</v>
      </c>
      <c r="W31" s="200" ph="1"/>
      <c r="X31" s="201" ph="1"/>
      <c r="Y31" s="199" t="s" ph="1">
        <v>3</v>
      </c>
      <c r="Z31" s="200" ph="1"/>
      <c r="AA31" s="201" ph="1"/>
      <c r="AB31" s="202" t="s">
        <v>42</v>
      </c>
      <c r="AC31" s="203"/>
      <c r="AD31" s="203"/>
      <c r="AE31" s="204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3" ph="1"/>
      <c r="C32" s="224" ph="1"/>
      <c r="D32" s="96" t="s" ph="1">
        <v>4</v>
      </c>
      <c r="E32" s="153" t="s" ph="1">
        <v>5</v>
      </c>
      <c r="F32" s="152" t="s" ph="1">
        <v>43</v>
      </c>
      <c r="G32" s="97" t="s" ph="1">
        <v>4</v>
      </c>
      <c r="H32" s="153" t="s" ph="1">
        <v>5</v>
      </c>
      <c r="I32" s="152" t="s" ph="1">
        <v>43</v>
      </c>
      <c r="J32" s="97" t="s" ph="1">
        <v>4</v>
      </c>
      <c r="K32" s="153" t="s" ph="1">
        <v>5</v>
      </c>
      <c r="L32" s="152" t="s" ph="1">
        <v>43</v>
      </c>
      <c r="M32" s="97" t="s" ph="1">
        <v>4</v>
      </c>
      <c r="N32" s="153" t="s" ph="1">
        <v>5</v>
      </c>
      <c r="O32" s="152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3" t="s" ph="1">
        <v>5</v>
      </c>
      <c r="U32" s="99" t="s" ph="1">
        <v>43</v>
      </c>
      <c r="V32" s="97" t="s" ph="1">
        <v>4</v>
      </c>
      <c r="W32" s="153" t="s" ph="1">
        <v>5</v>
      </c>
      <c r="X32" s="99" t="s" ph="1">
        <v>43</v>
      </c>
      <c r="Y32" s="100" t="s" ph="1">
        <v>4</v>
      </c>
      <c r="Z32" s="153" t="s" ph="1">
        <v>5</v>
      </c>
      <c r="AA32" s="152" t="s" ph="1">
        <v>43</v>
      </c>
      <c r="AB32" s="97" t="s" ph="1">
        <v>85</v>
      </c>
      <c r="AC32" s="153" t="s" ph="1">
        <v>84</v>
      </c>
      <c r="AD32" s="205" t="s" ph="1">
        <v>83</v>
      </c>
      <c r="AE32" s="206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7" t="s" ph="1">
        <v>181</v>
      </c>
      <c r="C33" s="208" ph="1"/>
      <c r="D33" s="187" ph="1">
        <f>AA10+AB10+Z19</f>
        <v>110378.7421974</v>
      </c>
      <c r="E33" s="187" ph="1">
        <f>M10+I10</f>
        <v>155295.58040709997</v>
      </c>
      <c r="F33" s="211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1522252632456786910111213141516171819202123456789101112131415161718192022232424356789101112131415161718192021222345678910111213141516171819202345678910111213149101516171819222123234567891012131415161711181920212224252345678910111213135[[#This Row],[F25]]</f>
        <v>3880</v>
      </c>
      <c r="G33" s="213" ph="1">
        <f>N19</f>
        <v>49447.277609600002</v>
      </c>
      <c r="H33" s="187" ph="1">
        <f>M19</f>
        <v>34545.675856464004</v>
      </c>
      <c r="I33" s="191" ph="1">
        <v>0</v>
      </c>
      <c r="J33" s="195" ph="1">
        <f>F10+O28</f>
        <v>179828.8570168</v>
      </c>
      <c r="K33" s="187" ph="1">
        <f>O10+K10+E28+R28</f>
        <v>188490.35489064001</v>
      </c>
      <c r="L33" s="197" ph="1">
        <f>K19</f>
        <v>38292.540627620001</v>
      </c>
      <c r="M33" s="195" ph="1">
        <f>G10+H10+W28+S28+V28+E10+R19+P28+Q28</f>
        <v>527725.88444139995</v>
      </c>
      <c r="N33" s="187" ph="1">
        <f>L10+P10++G28+H28+AD19+AE19</f>
        <v>153817.0769548</v>
      </c>
      <c r="O33" s="191" ph="1">
        <f>G19</f>
        <v>25925.9552453</v>
      </c>
      <c r="P33" s="195" ph="1">
        <f>L19</f>
        <v>42356.525916646002</v>
      </c>
      <c r="Q33" s="187" ph="1">
        <f>J10+N10</f>
        <v>119559.62958625001</v>
      </c>
      <c r="R33" s="191" ph="1">
        <f>BE23</f>
        <v>890</v>
      </c>
      <c r="S33" s="195" ph="1">
        <f>X28</f>
        <v>167893.50424020001</v>
      </c>
      <c r="T33" s="187" ph="1">
        <f>X19</f>
        <v>13839.81893736</v>
      </c>
      <c r="U33" s="176" ph="1">
        <f>BE21</f>
        <v>730</v>
      </c>
      <c r="V33" s="189" ph="1">
        <f ca="1">P19+Q19+S19+M28+N28+J28+D10+AC10+D19+E19+H19+J19+O19+V19+W19+K28+L28</f>
        <v>837330.16366429196</v>
      </c>
      <c r="W33" s="189" ph="1">
        <f>D28+F28+T28+I28</f>
        <v>43533.816132295993</v>
      </c>
      <c r="X33" s="191" ph="1">
        <f>BE29+BE31</f>
        <v>10200</v>
      </c>
      <c r="Y33" s="193" ph="1">
        <f>+Q10+R10+S10+T10+U10+V10+W10+X10+Y10</f>
        <v>269849.72848679998</v>
      </c>
      <c r="Z33" s="174" ph="1">
        <f>T19+U19+Y28+Z10</f>
        <v>140245.91849800001</v>
      </c>
      <c r="AA33" s="176" ph="1">
        <f>BE19</f>
        <v>1440</v>
      </c>
      <c r="AB33" s="178" ph="1">
        <f>I19</f>
        <v>28867.173761599999</v>
      </c>
      <c r="AC33" s="180" ph="1">
        <f>AD10+AB19</f>
        <v>66177.748022400003</v>
      </c>
      <c r="AD33" s="182" ph="1">
        <v>0</v>
      </c>
      <c r="AE33" s="183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9" ph="1"/>
      <c r="C34" s="210" ph="1"/>
      <c r="D34" s="188" ph="1"/>
      <c r="E34" s="188" ph="1"/>
      <c r="F34" s="212" ph="1"/>
      <c r="G34" s="214" ph="1"/>
      <c r="H34" s="188" ph="1"/>
      <c r="I34" s="192" ph="1"/>
      <c r="J34" s="196" ph="1"/>
      <c r="K34" s="188" ph="1"/>
      <c r="L34" s="198" ph="1"/>
      <c r="M34" s="196" ph="1"/>
      <c r="N34" s="188" ph="1"/>
      <c r="O34" s="192" ph="1"/>
      <c r="P34" s="196" ph="1"/>
      <c r="Q34" s="188" ph="1"/>
      <c r="R34" s="192" ph="1"/>
      <c r="S34" s="196" ph="1"/>
      <c r="T34" s="188"/>
      <c r="U34" s="177"/>
      <c r="V34" s="190" ph="1"/>
      <c r="W34" s="190" ph="1"/>
      <c r="X34" s="192" ph="1"/>
      <c r="Y34" s="194" ph="1"/>
      <c r="Z34" s="175" ph="1"/>
      <c r="AA34" s="177" ph="1"/>
      <c r="AB34" s="179"/>
      <c r="AC34" s="181"/>
      <c r="AD34" s="184"/>
      <c r="AE34" s="185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6" t="s" ph="1">
        <v>631</v>
      </c>
      <c r="AD35" s="186"/>
      <c r="AE35" s="186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2" t="s" ph="1">
        <v>183</v>
      </c>
      <c r="J36" s="172" ph="1"/>
      <c r="K36" s="101" ph="1"/>
      <c r="P36" s="101" ph="1"/>
      <c r="R36" s="172" t="s" ph="1">
        <v>184</v>
      </c>
      <c r="S36" s="172" ph="1"/>
      <c r="Y36" s="102" ph="1"/>
      <c r="Z36" s="151" t="s" ph="1">
        <v>185</v>
      </c>
      <c r="AA36" s="151" ph="1"/>
      <c r="AB36" s="173" t="s" ph="1">
        <v>643</v>
      </c>
      <c r="AC36" s="173" ph="1"/>
      <c r="AD36" s="173" ph="1"/>
      <c r="AE36" s="173" ph="1"/>
      <c r="BA36" s="64" ph="1">
        <v>2270</v>
      </c>
    </row>
    <row r="37" spans="1:57" s="151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1" t="s" ph="1">
        <v>342</v>
      </c>
      <c r="AI37" s="151" t="s" ph="1">
        <v>209</v>
      </c>
      <c r="AJ37" s="151" t="s" ph="1">
        <v>210</v>
      </c>
      <c r="AK37" s="151" t="s" ph="1">
        <v>211</v>
      </c>
      <c r="AM37" s="151" t="s" ph="1">
        <v>210</v>
      </c>
      <c r="AN37" s="151" t="s" ph="1">
        <v>211</v>
      </c>
      <c r="AO37" s="151" t="s" ph="1">
        <v>212</v>
      </c>
      <c r="AP37" s="151" t="s" ph="1">
        <v>210</v>
      </c>
      <c r="AQ37" s="151" t="s" ph="1">
        <v>211</v>
      </c>
      <c r="AR37" s="151" t="s" ph="1">
        <v>212</v>
      </c>
      <c r="AS37" s="151" t="s" ph="1">
        <v>210</v>
      </c>
      <c r="AT37" s="151" t="s" ph="1">
        <v>211</v>
      </c>
      <c r="AU37" s="151" t="s" ph="1">
        <v>212</v>
      </c>
      <c r="AV37" s="151" t="s" ph="1">
        <v>210</v>
      </c>
      <c r="AW37" s="151" t="s" ph="1">
        <v>211</v>
      </c>
      <c r="AX37" s="151" t="s" ph="1">
        <v>212</v>
      </c>
      <c r="AY37" s="151" t="s" ph="1">
        <v>211</v>
      </c>
      <c r="AZ37" s="151" t="s" ph="1">
        <v>213</v>
      </c>
      <c r="BD37" s="151" t="s" ph="1">
        <v>305</v>
      </c>
      <c r="BE37" s="151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2645" priority="102">
      <formula>ABS(D$7-D$10)&gt;=1000</formula>
    </cfRule>
  </conditionalFormatting>
  <conditionalFormatting sqref="E4 E6:E11">
    <cfRule type="expression" dxfId="2644" priority="101">
      <formula>ABS(E$7-E$10)&gt;=1000</formula>
    </cfRule>
  </conditionalFormatting>
  <conditionalFormatting sqref="F4:F11">
    <cfRule type="expression" dxfId="2643" priority="100">
      <formula>ABS(F$7-F$10)&gt;=1000</formula>
    </cfRule>
  </conditionalFormatting>
  <conditionalFormatting sqref="G4:G11">
    <cfRule type="expression" dxfId="2642" priority="99">
      <formula>ABS(G$7-G$10)&gt;=1000</formula>
    </cfRule>
  </conditionalFormatting>
  <conditionalFormatting sqref="H4:H11">
    <cfRule type="expression" dxfId="2641" priority="98">
      <formula>ABS(H$7-H$10)&gt;=1000</formula>
    </cfRule>
  </conditionalFormatting>
  <conditionalFormatting sqref="I4:I11">
    <cfRule type="expression" dxfId="2640" priority="97">
      <formula>ABS(I$7-I$10)&gt;=1000</formula>
    </cfRule>
  </conditionalFormatting>
  <conditionalFormatting sqref="J4:J11">
    <cfRule type="expression" dxfId="2639" priority="96">
      <formula>ABS(J$7-J$10)&gt;=1000</formula>
    </cfRule>
  </conditionalFormatting>
  <conditionalFormatting sqref="K4:K11">
    <cfRule type="expression" dxfId="2638" priority="95">
      <formula>ABS(K$7-K$10)&gt;=1000</formula>
    </cfRule>
  </conditionalFormatting>
  <conditionalFormatting sqref="L4:L11">
    <cfRule type="expression" dxfId="2637" priority="94">
      <formula>ABS(L$7-L$10)&gt;=1000</formula>
    </cfRule>
  </conditionalFormatting>
  <conditionalFormatting sqref="M4 M6:M11">
    <cfRule type="expression" dxfId="2636" priority="93">
      <formula>ABS(M$7-M$10)&gt;=1000</formula>
    </cfRule>
  </conditionalFormatting>
  <conditionalFormatting sqref="N4 N6:N11">
    <cfRule type="expression" dxfId="2635" priority="92">
      <formula>ABS(N$7-N$10)&gt;=1000</formula>
    </cfRule>
  </conditionalFormatting>
  <conditionalFormatting sqref="O4 O6:O11">
    <cfRule type="expression" dxfId="2634" priority="91">
      <formula>ABS(O$7-O$10)&gt;=1000</formula>
    </cfRule>
  </conditionalFormatting>
  <conditionalFormatting sqref="P4 P6:P11">
    <cfRule type="expression" dxfId="2633" priority="90">
      <formula>ABS(P$7-P$10)&gt;=1000</formula>
    </cfRule>
  </conditionalFormatting>
  <conditionalFormatting sqref="Q4:Q11">
    <cfRule type="expression" dxfId="2632" priority="89">
      <formula>ABS(Q$7-Q$10)&gt;=1000</formula>
    </cfRule>
  </conditionalFormatting>
  <conditionalFormatting sqref="R4:R11">
    <cfRule type="expression" dxfId="2631" priority="88">
      <formula>ABS(R$7-R$10)&gt;=1000</formula>
    </cfRule>
  </conditionalFormatting>
  <conditionalFormatting sqref="S4:S11">
    <cfRule type="expression" dxfId="2630" priority="87">
      <formula>ABS(S$7-S$10)&gt;=1000</formula>
    </cfRule>
  </conditionalFormatting>
  <conditionalFormatting sqref="T4:T9 T11">
    <cfRule type="expression" dxfId="2629" priority="86">
      <formula>ABS(T$7-T$10)&gt;=1000</formula>
    </cfRule>
  </conditionalFormatting>
  <conditionalFormatting sqref="U4:U9 U11">
    <cfRule type="expression" dxfId="2628" priority="85">
      <formula>ABS(U$7-U$10)&gt;=1000</formula>
    </cfRule>
  </conditionalFormatting>
  <conditionalFormatting sqref="V4:V9 V11">
    <cfRule type="expression" dxfId="2627" priority="84">
      <formula>ABS(V$7-V$10)&gt;=1000</formula>
    </cfRule>
  </conditionalFormatting>
  <conditionalFormatting sqref="W4:W9 W11">
    <cfRule type="expression" dxfId="2626" priority="83">
      <formula>ABS(W$7-W$10)&gt;=1000</formula>
    </cfRule>
  </conditionalFormatting>
  <conditionalFormatting sqref="X4:X9 X11">
    <cfRule type="expression" dxfId="2625" priority="82">
      <formula>ABS(X$7-X$10)&gt;=1000</formula>
    </cfRule>
  </conditionalFormatting>
  <conditionalFormatting sqref="Y4:Y9 Y11">
    <cfRule type="expression" dxfId="2624" priority="81">
      <formula>ABS(Y$7-Y$10)&gt;=1000</formula>
    </cfRule>
  </conditionalFormatting>
  <conditionalFormatting sqref="Z4:Z11">
    <cfRule type="expression" dxfId="2623" priority="80">
      <formula>ABS(Z$7-Z$10)&gt;=1000</formula>
    </cfRule>
  </conditionalFormatting>
  <conditionalFormatting sqref="AA4:AA11">
    <cfRule type="expression" dxfId="2622" priority="79">
      <formula>ABS(AA$7-AA$10)&gt;=1000</formula>
    </cfRule>
  </conditionalFormatting>
  <conditionalFormatting sqref="AB4:AB11">
    <cfRule type="expression" dxfId="2621" priority="78">
      <formula>ABS(AB$7-AB$10)&gt;=1000</formula>
    </cfRule>
  </conditionalFormatting>
  <conditionalFormatting sqref="AC4 AC6:AC11">
    <cfRule type="expression" dxfId="2620" priority="77">
      <formula>ABS(AC$7-AC$10)&gt;=1000</formula>
    </cfRule>
  </conditionalFormatting>
  <conditionalFormatting sqref="AD4 AD6:AD11">
    <cfRule type="expression" dxfId="2619" priority="76">
      <formula>ABS(AD$7-AD$10)&gt;=1000</formula>
    </cfRule>
  </conditionalFormatting>
  <conditionalFormatting sqref="AE4 AE6:AE11">
    <cfRule type="expression" dxfId="2618" priority="75">
      <formula>ABS(AE$7-AE$10)&gt;=1000</formula>
    </cfRule>
  </conditionalFormatting>
  <conditionalFormatting sqref="D13:D20">
    <cfRule type="expression" dxfId="2617" priority="74">
      <formula>ABS(D$16-D$19)&gt;=1000</formula>
    </cfRule>
  </conditionalFormatting>
  <conditionalFormatting sqref="E13:E20">
    <cfRule type="expression" dxfId="2616" priority="73">
      <formula>ABS(E$16-E$19)&gt;=1000</formula>
    </cfRule>
  </conditionalFormatting>
  <conditionalFormatting sqref="F13 F15:F20">
    <cfRule type="expression" dxfId="2615" priority="72">
      <formula>ABS(F$16-F$19)&gt;=1000</formula>
    </cfRule>
  </conditionalFormatting>
  <conditionalFormatting sqref="G13:G20">
    <cfRule type="expression" dxfId="2614" priority="71">
      <formula>ABS(G$16-G$19)&gt;=1000</formula>
    </cfRule>
  </conditionalFormatting>
  <conditionalFormatting sqref="H13 H15:H20">
    <cfRule type="expression" dxfId="2613" priority="70">
      <formula>ABS(H$16-H$19)&gt;=1000</formula>
    </cfRule>
  </conditionalFormatting>
  <conditionalFormatting sqref="I13:I20">
    <cfRule type="expression" dxfId="2612" priority="69">
      <formula>ABS(I$16-I$19)&gt;=1000</formula>
    </cfRule>
  </conditionalFormatting>
  <conditionalFormatting sqref="J13:J20">
    <cfRule type="expression" dxfId="2611" priority="68">
      <formula>ABS(J$16-J$19)&gt;=1000</formula>
    </cfRule>
  </conditionalFormatting>
  <conditionalFormatting sqref="L13:L20">
    <cfRule type="expression" dxfId="2610" priority="67">
      <formula>ABS(L$16-L$19)&gt;=1000</formula>
    </cfRule>
  </conditionalFormatting>
  <conditionalFormatting sqref="M13 M15 M17:M18 M20">
    <cfRule type="expression" dxfId="2609" priority="66">
      <formula>ABS(M$16-M$19)&gt;=1000</formula>
    </cfRule>
  </conditionalFormatting>
  <conditionalFormatting sqref="N13:N20">
    <cfRule type="expression" dxfId="2608" priority="65">
      <formula>ABS(N$16-N$19)&gt;=1000</formula>
    </cfRule>
  </conditionalFormatting>
  <conditionalFormatting sqref="O13:O20">
    <cfRule type="expression" dxfId="2607" priority="64">
      <formula>ABS(O$16-O$19)&gt;=1000</formula>
    </cfRule>
  </conditionalFormatting>
  <conditionalFormatting sqref="P13:P20">
    <cfRule type="expression" dxfId="2606" priority="63">
      <formula>ABS(P$16-P$19)&gt;=1000</formula>
    </cfRule>
  </conditionalFormatting>
  <conditionalFormatting sqref="Q13 Q15:Q20">
    <cfRule type="expression" dxfId="2605" priority="62">
      <formula>ABS(Q$16-Q$19)&gt;=1000</formula>
    </cfRule>
  </conditionalFormatting>
  <conditionalFormatting sqref="R13:R20">
    <cfRule type="expression" dxfId="2604" priority="61">
      <formula>ABS(R$16-R$19)&gt;=1000</formula>
    </cfRule>
  </conditionalFormatting>
  <conditionalFormatting sqref="S13:S20">
    <cfRule type="expression" dxfId="2603" priority="60">
      <formula>ABS(S$16-S$19)&gt;=1000</formula>
    </cfRule>
  </conditionalFormatting>
  <conditionalFormatting sqref="T13:T15 T17:T20">
    <cfRule type="expression" dxfId="2602" priority="59">
      <formula>ABS(T$16-T$19)&gt;=1000</formula>
    </cfRule>
  </conditionalFormatting>
  <conditionalFormatting sqref="U13:U20">
    <cfRule type="expression" dxfId="2601" priority="58">
      <formula>ABS(U$16-U$19)&gt;=1000</formula>
    </cfRule>
  </conditionalFormatting>
  <conditionalFormatting sqref="V13:V20">
    <cfRule type="expression" dxfId="2600" priority="57">
      <formula>ABS(V$16-V$19)&gt;=1000</formula>
    </cfRule>
  </conditionalFormatting>
  <conditionalFormatting sqref="W13 W20 W15:W18">
    <cfRule type="expression" dxfId="2599" priority="56">
      <formula>ABS(W$16-W$19)&gt;=1000</formula>
    </cfRule>
  </conditionalFormatting>
  <conditionalFormatting sqref="X13 X15:X20 Y19">
    <cfRule type="expression" dxfId="2598" priority="55">
      <formula>ABS(X$16-X$19)&gt;=1000</formula>
    </cfRule>
  </conditionalFormatting>
  <conditionalFormatting sqref="Y13 Y15:Y18 Y20">
    <cfRule type="expression" dxfId="2597" priority="54">
      <formula>ABS(Y$16-Y$19)&gt;=1000</formula>
    </cfRule>
  </conditionalFormatting>
  <conditionalFormatting sqref="Z13:Z20">
    <cfRule type="expression" dxfId="2596" priority="53">
      <formula>ABS(Z$16-Z$19)&gt;=1000</formula>
    </cfRule>
  </conditionalFormatting>
  <conditionalFormatting sqref="AA13:AA20">
    <cfRule type="expression" dxfId="2595" priority="52">
      <formula>ABS(AA$16-AA$19)&gt;=1000</formula>
    </cfRule>
  </conditionalFormatting>
  <conditionalFormatting sqref="AB13 AB15:AB20">
    <cfRule type="expression" dxfId="2594" priority="51">
      <formula>ABS(AB$16-AB$19)&gt;=1000</formula>
    </cfRule>
  </conditionalFormatting>
  <conditionalFormatting sqref="AC13 AC15:AC20">
    <cfRule type="expression" dxfId="2593" priority="50">
      <formula>ABS(AC$16-AC$19)&gt;=1000</formula>
    </cfRule>
  </conditionalFormatting>
  <conditionalFormatting sqref="AD13:AD20">
    <cfRule type="expression" dxfId="2592" priority="49">
      <formula>ABS(AD$16-AD$19)&gt;=1000</formula>
    </cfRule>
  </conditionalFormatting>
  <conditionalFormatting sqref="AE13:AE20">
    <cfRule type="expression" dxfId="2591" priority="48">
      <formula>ABS(AE$16-AE$19)&gt;=1000</formula>
    </cfRule>
  </conditionalFormatting>
  <conditionalFormatting sqref="D22:D29">
    <cfRule type="expression" dxfId="2590" priority="47">
      <formula>ABS(D$25-D$28)&gt;=1000</formula>
    </cfRule>
  </conditionalFormatting>
  <conditionalFormatting sqref="E22:E29">
    <cfRule type="expression" dxfId="2589" priority="46">
      <formula>ABS(E$25-E$28)&gt;=1000</formula>
    </cfRule>
  </conditionalFormatting>
  <conditionalFormatting sqref="F22:F29">
    <cfRule type="expression" dxfId="2588" priority="45">
      <formula>ABS(F$25-F$28)&gt;=1000</formula>
    </cfRule>
  </conditionalFormatting>
  <conditionalFormatting sqref="G22:G29">
    <cfRule type="expression" dxfId="2587" priority="44">
      <formula>ABS(G$25-G$28)&gt;=1000</formula>
    </cfRule>
  </conditionalFormatting>
  <conditionalFormatting sqref="H22:H29">
    <cfRule type="expression" dxfId="2586" priority="43">
      <formula>ABS(H$25-H$28)&gt;=1000</formula>
    </cfRule>
  </conditionalFormatting>
  <conditionalFormatting sqref="I22 I24:I29">
    <cfRule type="expression" dxfId="2585" priority="42">
      <formula>ABS(I$25-I$28)&gt;=1000</formula>
    </cfRule>
  </conditionalFormatting>
  <conditionalFormatting sqref="J22:J29 K22">
    <cfRule type="expression" dxfId="2584" priority="41">
      <formula>ABS(J$25-J$28)&gt;=1000</formula>
    </cfRule>
  </conditionalFormatting>
  <conditionalFormatting sqref="K23:K29 L25 L28">
    <cfRule type="expression" dxfId="2583" priority="40">
      <formula>ABS(K$25-K$28)&gt;=1000</formula>
    </cfRule>
  </conditionalFormatting>
  <conditionalFormatting sqref="L22 L26:L27 L29 L24">
    <cfRule type="expression" dxfId="2582" priority="39">
      <formula>ABS(L$25-L$28)&gt;=1000</formula>
    </cfRule>
  </conditionalFormatting>
  <conditionalFormatting sqref="M22:M29">
    <cfRule type="expression" dxfId="2581" priority="38">
      <formula>ABS(M$25-M$28)&gt;=1000</formula>
    </cfRule>
  </conditionalFormatting>
  <conditionalFormatting sqref="N22:N29">
    <cfRule type="expression" dxfId="2580" priority="37">
      <formula>ABS(N$25-N$28)&gt;=1000</formula>
    </cfRule>
  </conditionalFormatting>
  <conditionalFormatting sqref="O22 O24:O29">
    <cfRule type="expression" dxfId="2579" priority="36">
      <formula>ABS(O$25-O$28)&gt;=1000</formula>
    </cfRule>
  </conditionalFormatting>
  <conditionalFormatting sqref="P22:P29">
    <cfRule type="expression" dxfId="2578" priority="35">
      <formula>ABS(P$25-P$28)&gt;=1000</formula>
    </cfRule>
  </conditionalFormatting>
  <conditionalFormatting sqref="Q22:Q29">
    <cfRule type="expression" dxfId="2577" priority="34">
      <formula>ABS(Q$25-Q$28)&gt;=1000</formula>
    </cfRule>
  </conditionalFormatting>
  <conditionalFormatting sqref="R22:R29">
    <cfRule type="expression" dxfId="2576" priority="33">
      <formula>ABS(R$25-R$28)&gt;=1000</formula>
    </cfRule>
  </conditionalFormatting>
  <conditionalFormatting sqref="S22:S29">
    <cfRule type="expression" dxfId="2575" priority="32">
      <formula>ABS(S$25-S$28)&gt;=1000</formula>
    </cfRule>
  </conditionalFormatting>
  <conditionalFormatting sqref="T22:T29">
    <cfRule type="expression" dxfId="2574" priority="31">
      <formula>ABS(T$25-T$28)&gt;=1000</formula>
    </cfRule>
  </conditionalFormatting>
  <conditionalFormatting sqref="U22:U29">
    <cfRule type="expression" dxfId="2573" priority="30">
      <formula>ABS(U$25-U$28)&gt;=1000</formula>
    </cfRule>
  </conditionalFormatting>
  <conditionalFormatting sqref="V22:V29">
    <cfRule type="expression" dxfId="2572" priority="29">
      <formula>ABS(V$25-V$28)&gt;=1000</formula>
    </cfRule>
  </conditionalFormatting>
  <conditionalFormatting sqref="W22:W29">
    <cfRule type="expression" dxfId="2571" priority="28">
      <formula>ABS(W$25-W$28)&gt;=1000</formula>
    </cfRule>
  </conditionalFormatting>
  <conditionalFormatting sqref="X22:X29">
    <cfRule type="expression" dxfId="2570" priority="27">
      <formula>ABS(X$25-X$28)&gt;=1000</formula>
    </cfRule>
  </conditionalFormatting>
  <conditionalFormatting sqref="Y22:Y29">
    <cfRule type="expression" dxfId="2569" priority="26">
      <formula>ABS(Y$25-Y$28)&gt;=1000</formula>
    </cfRule>
  </conditionalFormatting>
  <conditionalFormatting sqref="I23">
    <cfRule type="expression" dxfId="2568" priority="25">
      <formula>ABS(I$25-I$28)&gt;=1000</formula>
    </cfRule>
  </conditionalFormatting>
  <conditionalFormatting sqref="Q14">
    <cfRule type="expression" dxfId="2567" priority="24">
      <formula>ABS(Q$16-Q$19)&gt;=1000</formula>
    </cfRule>
  </conditionalFormatting>
  <conditionalFormatting sqref="W14">
    <cfRule type="expression" dxfId="2566" priority="23">
      <formula>ABS(W$16-W$19)&gt;=1000</formula>
    </cfRule>
  </conditionalFormatting>
  <conditionalFormatting sqref="X14">
    <cfRule type="expression" dxfId="2565" priority="22">
      <formula>ABS(X$16-X$19)&gt;=1000</formula>
    </cfRule>
  </conditionalFormatting>
  <conditionalFormatting sqref="T10:Y10">
    <cfRule type="expression" dxfId="2564" priority="21">
      <formula>ABS(T$7-T$10)&gt;=1000</formula>
    </cfRule>
  </conditionalFormatting>
  <conditionalFormatting sqref="W19">
    <cfRule type="expression" dxfId="2563" priority="20">
      <formula>ABS(W$16-W$19)&gt;=1000</formula>
    </cfRule>
  </conditionalFormatting>
  <conditionalFormatting sqref="AC5">
    <cfRule type="expression" dxfId="2562" priority="19">
      <formula>ABS(AC$7-AC$10)&gt;=1000</formula>
    </cfRule>
  </conditionalFormatting>
  <conditionalFormatting sqref="M14">
    <cfRule type="expression" dxfId="2561" priority="18">
      <formula>ABS(M$16-M$19)&gt;=1000</formula>
    </cfRule>
  </conditionalFormatting>
  <conditionalFormatting sqref="M16">
    <cfRule type="expression" dxfId="2560" priority="17">
      <formula>ABS(M$16-M$19)&gt;=1000</formula>
    </cfRule>
  </conditionalFormatting>
  <conditionalFormatting sqref="M19">
    <cfRule type="expression" dxfId="2559" priority="16">
      <formula>ABS(M$16-M$19)&gt;=1000</formula>
    </cfRule>
  </conditionalFormatting>
  <conditionalFormatting sqref="K13:K20">
    <cfRule type="expression" dxfId="2558" priority="15">
      <formula>ABS(K$16-K$19)&gt;=1000</formula>
    </cfRule>
  </conditionalFormatting>
  <conditionalFormatting sqref="E5">
    <cfRule type="expression" dxfId="2557" priority="14">
      <formula>ABS(E$7-E$10)&gt;=1000</formula>
    </cfRule>
  </conditionalFormatting>
  <conditionalFormatting sqref="AB14:AC14">
    <cfRule type="expression" dxfId="2556" priority="13">
      <formula>ABS(AB$16-AB$19)&gt;=1000</formula>
    </cfRule>
  </conditionalFormatting>
  <conditionalFormatting sqref="M5">
    <cfRule type="expression" dxfId="2555" priority="12">
      <formula>ABS(M$7-M$10)&gt;=1000</formula>
    </cfRule>
  </conditionalFormatting>
  <conditionalFormatting sqref="N5">
    <cfRule type="expression" dxfId="2554" priority="11">
      <formula>ABS(N$7-N$10)&gt;=1000</formula>
    </cfRule>
  </conditionalFormatting>
  <conditionalFormatting sqref="O5">
    <cfRule type="expression" dxfId="2553" priority="10">
      <formula>ABS(O$7-O$10)&gt;=1000</formula>
    </cfRule>
  </conditionalFormatting>
  <conditionalFormatting sqref="P5">
    <cfRule type="expression" dxfId="2552" priority="9">
      <formula>ABS(P$7-P$10)&gt;=1000</formula>
    </cfRule>
  </conditionalFormatting>
  <conditionalFormatting sqref="L23">
    <cfRule type="expression" dxfId="2551" priority="8">
      <formula>ABS(L$25-L$28)&gt;=1000</formula>
    </cfRule>
  </conditionalFormatting>
  <conditionalFormatting sqref="Y14">
    <cfRule type="expression" dxfId="2550" priority="7">
      <formula>ABS(Y$16-Y$19)&gt;=1000</formula>
    </cfRule>
  </conditionalFormatting>
  <conditionalFormatting sqref="F14">
    <cfRule type="expression" dxfId="2549" priority="6">
      <formula>ABS(F$16-F$19)&gt;=1000</formula>
    </cfRule>
  </conditionalFormatting>
  <conditionalFormatting sqref="H14">
    <cfRule type="expression" dxfId="2548" priority="5">
      <formula>ABS(H$16-H$19)&gt;=1000</formula>
    </cfRule>
  </conditionalFormatting>
  <conditionalFormatting sqref="AD5">
    <cfRule type="expression" dxfId="2547" priority="4">
      <formula>ABS(AD$7-AD$10)&gt;=1000</formula>
    </cfRule>
  </conditionalFormatting>
  <conditionalFormatting sqref="AE5">
    <cfRule type="expression" dxfId="2546" priority="3">
      <formula>ABS(AE$7-AE$10)&gt;=1000</formula>
    </cfRule>
  </conditionalFormatting>
  <conditionalFormatting sqref="T16">
    <cfRule type="expression" dxfId="2545" priority="2">
      <formula>ABS(T$16-T$19)&gt;=1000</formula>
    </cfRule>
  </conditionalFormatting>
  <conditionalFormatting sqref="O23">
    <cfRule type="expression" dxfId="2544" priority="1">
      <formula>ABS(O$25-O$28)&gt;=1000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27617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947">
    <pageSetUpPr fitToPage="1"/>
  </sheetPr>
  <dimension ref="A1:CU223"/>
  <sheetViews>
    <sheetView view="pageBreakPreview" topLeftCell="I19" zoomScaleNormal="100" zoomScaleSheetLayoutView="100" workbookViewId="0">
      <selection activeCell="AB36" sqref="AB36:AC36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39" t="s" ph="1">
        <v>161</v>
      </c>
      <c r="C1" s="239" ph="1"/>
      <c r="D1" s="239" ph="1"/>
      <c r="E1" s="239" ph="1"/>
      <c r="F1" s="239" ph="1"/>
      <c r="G1" s="239" ph="1"/>
      <c r="H1" s="239" ph="1"/>
      <c r="I1" s="239" ph="1"/>
      <c r="J1" s="239" ph="1"/>
      <c r="K1" s="239" ph="1"/>
      <c r="L1" s="239" ph="1"/>
      <c r="M1" s="239" ph="1"/>
      <c r="N1" s="239" ph="1"/>
      <c r="O1" s="239" ph="1"/>
      <c r="P1" s="239" ph="1"/>
      <c r="Q1" s="239" ph="1"/>
      <c r="R1" s="239" ph="1"/>
      <c r="S1" s="239" ph="1"/>
      <c r="T1" s="239" ph="1"/>
      <c r="U1" s="239" ph="1"/>
      <c r="V1" s="239" ph="1"/>
      <c r="W1" s="239" ph="1"/>
      <c r="X1" s="239" ph="1"/>
      <c r="Y1" s="239" ph="1"/>
      <c r="Z1" s="239" ph="1"/>
      <c r="AA1" s="239" ph="1"/>
      <c r="AB1" s="239" ph="1"/>
      <c r="AC1" s="239" ph="1"/>
      <c r="AD1" s="239" ph="1"/>
      <c r="AE1" s="239" ph="1"/>
    </row>
    <row r="2" spans="1:99" s="66" customFormat="1" ht="24" customHeight="1" ph="1">
      <c r="B2" s="240" t="s" ph="1">
        <v>82</v>
      </c>
      <c r="C2" s="240" ph="1"/>
      <c r="D2" s="240" ph="1"/>
      <c r="E2" s="240" ph="1"/>
      <c r="F2" s="240" ph="1"/>
      <c r="G2" s="240" ph="1"/>
      <c r="H2" s="240" ph="1"/>
      <c r="I2" s="240" ph="1"/>
      <c r="J2" s="240" ph="1"/>
      <c r="K2" s="240" ph="1"/>
      <c r="L2" s="240" ph="1"/>
      <c r="M2" s="240" ph="1"/>
      <c r="N2" s="240" ph="1"/>
      <c r="O2" s="240" ph="1"/>
      <c r="P2" s="240" ph="1"/>
      <c r="Q2" s="240" ph="1"/>
      <c r="R2" s="240" ph="1"/>
      <c r="S2" s="240" ph="1"/>
      <c r="T2" s="240" ph="1"/>
      <c r="U2" s="240" ph="1"/>
      <c r="V2" s="240" ph="1"/>
      <c r="W2" s="240" ph="1"/>
      <c r="X2" s="240" ph="1"/>
      <c r="Y2" s="240" ph="1"/>
      <c r="Z2" s="240" ph="1"/>
      <c r="AA2" s="240" ph="1"/>
      <c r="AB2" s="240" ph="1"/>
      <c r="AC2" s="240" ph="1"/>
      <c r="AD2" s="240" ph="1"/>
      <c r="AE2" s="240" ph="1"/>
    </row>
    <row r="3" spans="1:99" ht="21" customHeight="1" ph="1">
      <c r="B3" s="241" ph="1">
        <v>46239</v>
      </c>
      <c r="C3" s="241"/>
      <c r="D3" s="241"/>
      <c r="E3" s="241"/>
      <c r="F3" s="241"/>
      <c r="G3" s="241"/>
      <c r="H3" s="241"/>
      <c r="I3" s="241"/>
      <c r="J3" s="241"/>
      <c r="K3" s="241"/>
      <c r="L3" s="241"/>
      <c r="M3" s="241"/>
      <c r="N3" s="241"/>
      <c r="O3" s="241"/>
      <c r="P3" s="241"/>
      <c r="Q3" s="241"/>
      <c r="R3" s="241"/>
      <c r="S3" s="241"/>
      <c r="T3" s="241"/>
      <c r="U3" s="241"/>
      <c r="V3" s="241"/>
      <c r="W3" s="241"/>
      <c r="X3" s="241"/>
      <c r="Y3" s="241"/>
      <c r="Z3" s="241"/>
      <c r="AA3" s="241"/>
      <c r="AB3" s="241"/>
      <c r="AC3" s="241"/>
      <c r="AD3" s="241"/>
      <c r="AE3" s="241"/>
    </row>
    <row r="4" spans="1:99" s="69" customFormat="1" ph="1">
      <c r="A4" s="65" ph="1"/>
      <c r="B4" s="220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0" ph="1"/>
      <c r="C5" s="67" t="s" ph="1">
        <v>36</v>
      </c>
      <c r="D5" s="70" t="s" ph="1">
        <v>160</v>
      </c>
      <c r="E5" s="142" t="s" ph="1">
        <v>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8" ph="1">
        <v>0.33333333333333331</v>
      </c>
      <c r="C6" s="153" t="s" ph="1">
        <v>177</v>
      </c>
      <c r="D6" s="71">
        <v>4114</v>
      </c>
      <c r="E6" s="71">
        <v>278</v>
      </c>
      <c r="F6" s="71">
        <v>5174</v>
      </c>
      <c r="G6" s="71">
        <v>987</v>
      </c>
      <c r="H6" s="71">
        <v>2227</v>
      </c>
      <c r="I6" s="71">
        <v>38.71</v>
      </c>
      <c r="J6" s="71">
        <v>77.02</v>
      </c>
      <c r="K6" s="71">
        <v>84.51</v>
      </c>
      <c r="L6" s="71">
        <v>6.73</v>
      </c>
      <c r="M6" s="71">
        <v>4253</v>
      </c>
      <c r="N6" s="71">
        <v>3961</v>
      </c>
      <c r="O6" s="71">
        <v>3553</v>
      </c>
      <c r="P6" s="71">
        <v>1270</v>
      </c>
      <c r="Q6" s="71">
        <v>0</v>
      </c>
      <c r="R6" s="71">
        <v>1957</v>
      </c>
      <c r="S6" s="71">
        <v>0</v>
      </c>
      <c r="T6" s="71">
        <v>7182</v>
      </c>
      <c r="U6" s="71">
        <v>6618</v>
      </c>
      <c r="V6" s="71">
        <v>5319</v>
      </c>
      <c r="W6" s="71">
        <v>4975</v>
      </c>
      <c r="X6" s="71">
        <v>5674</v>
      </c>
      <c r="Y6" s="71">
        <v>0</v>
      </c>
      <c r="Z6" s="71">
        <v>3345</v>
      </c>
      <c r="AA6" s="71">
        <v>1099</v>
      </c>
      <c r="AB6" s="71">
        <v>3501</v>
      </c>
      <c r="AC6" s="71">
        <v>7394</v>
      </c>
      <c r="AD6" s="71">
        <v>3383</v>
      </c>
      <c r="AE6" s="71">
        <v>4020</v>
      </c>
    </row>
    <row r="7" spans="1:99" s="72" customFormat="1" ht="22.2" ph="1">
      <c r="B7" s="238" ph="1"/>
      <c r="C7" s="68" t="s" ph="1">
        <v>178</v>
      </c>
      <c r="D7" s="73" ph="1">
        <f>D6*33.183*LOOKUP(D8,密度!$A$2:$A$50,密度!$Q$2:$Q$50)</f>
        <v>128954.66894244</v>
      </c>
      <c r="E7" s="73" ph="1">
        <f>E6*51.53*LOOKUP(E8,密度!$A$2:$A$50,密度!$B$2:$B$50)</f>
        <v>11119.328908</v>
      </c>
      <c r="F7" s="73" ph="1">
        <f>F6*33.183*LOOKUP(F8,密度!$A$2:$A$50,密度!$C$2:$C$50)</f>
        <v>189990.8725572</v>
      </c>
      <c r="G7" s="73" ph="1">
        <f xml:space="preserve"> (G6+2)*51.53*LOOKUP(G8,密度!$A$2:$A$50,密度!$B$2:$B$50)</f>
        <v>39557.612553999999</v>
      </c>
      <c r="H7" s="73" ph="1">
        <f>(H6)*51.53*LOOKUP(H8,密度!$A$2:$A$50,密度!$B$2:$B$50)</f>
        <v>89166.429870000007</v>
      </c>
      <c r="I7" s="73" ph="1">
        <f>I6*290.8*1.0267</f>
        <v>11557.4263756</v>
      </c>
      <c r="J7" s="73" ph="1">
        <f>J6*290.8*0.7892</f>
        <v>17676.040707200002</v>
      </c>
      <c r="K7" s="73" ph="1">
        <f>K6*290.8*1.1126</f>
        <v>27342.710200800004</v>
      </c>
      <c r="L7" s="73" ph="1">
        <f>L6*290.8*0.777</f>
        <v>1520.6542680000002</v>
      </c>
      <c r="M7" s="73" ph="1">
        <f>M6*33.183*LOOKUP(M8,密度!$A$2:$A$50,密度!$D$2:$D$50)</f>
        <v>144232.09957799999</v>
      </c>
      <c r="N7" s="73" ph="1">
        <f>N6*33.183*LOOKUP(N8,密度!$A$2:$A$50,密度!$E$2:$E$50)</f>
        <v>102054.92872635</v>
      </c>
      <c r="O7" s="73" ph="1">
        <f>O6*20.428*LOOKUP(O8,密度!$A$2:$A$50,密度!$C$2:$C$50)</f>
        <v>79983.913768000013</v>
      </c>
      <c r="P7" s="73" ph="1">
        <f>P6*51.53*LOOKUP(P8,密度!$A$2:$A$50,密度!$B$2:$B$50)</f>
        <v>50849.288699999997</v>
      </c>
      <c r="Q7" s="73" ph="1">
        <f>Q6*1.5*1.5*3.1416*LOOKUP(W8,密度!$A$2:$A$50,密度!$L$2:$L$50)</f>
        <v>0</v>
      </c>
      <c r="R7" s="73" ph="1">
        <f>R6*1.5*1.5*3.1416*LOOKUP(R8,密度!$A$2:$A$50,密度!$L$2:$L$50)</f>
        <v>12823.422935400002</v>
      </c>
      <c r="S7" s="73" ph="1">
        <f>S6*1.5*1.5*3.1416*LOOKUP(S8,密度!$A$2:$A$50,密度!$L$2:$L$50)</f>
        <v>0</v>
      </c>
      <c r="T7" s="73" ph="1">
        <f>T6*1.5*1.5*3.1416*LOOKUP(T8,密度!$A$2:$A$50,密度!$L$2:$L$50)</f>
        <v>47568.384032400005</v>
      </c>
      <c r="U7" s="73" ph="1">
        <f>U6*1.5*1.5*3.1416*LOOKUP(U8,密度!$A$2:$A$50,密度!$L$2:$L$50)</f>
        <v>43645.735148400003</v>
      </c>
      <c r="V7" s="73" ph="1">
        <f>V6*1.5*1.5*3.1416*LOOKUP(V8,密度!$A$2:$A$50,密度!$L$2:$L$50)</f>
        <v>35116.423095600003</v>
      </c>
      <c r="W7" s="73" ph="1">
        <f>W6*1.5*1.5*3.1416*LOOKUP(W8,密度!$A$2:$A$50,密度!$L$2:$L$50)</f>
        <v>32845.310189999997</v>
      </c>
      <c r="X7" s="73" ph="1">
        <f>X6*1.5*1.5*3.1416*LOOKUP(X8,密度!$A$2:$A$50,密度!$L$2:$L$50)</f>
        <v>37540.373270400007</v>
      </c>
      <c r="Y7" s="73" ph="1">
        <f>Y6*1.5*1.5*3.1416*LOOKUP(Y8,密度!$A$2:$A$50,密度!$L$2:$L$50)</f>
        <v>0</v>
      </c>
      <c r="Z7" s="73" ph="1">
        <f>Z6*33.183*LOOKUP(Z8,密度!$A$2:$A$50,密度!$L$2:$L$50)</f>
        <v>103560.326955</v>
      </c>
      <c r="AA7" s="73" ph="1">
        <f>AA6*33.183*LOOKUP(AA8,密度!$A$2:$A$50,密度!$D$2:$D$50)</f>
        <v>37142.777164499996</v>
      </c>
      <c r="AB7" s="73" ph="1">
        <f>AB6*20.428*LOOKUP(AB8,密度!$A$2:$A$50,密度!$D$2:$D$50)</f>
        <v>73563.855040800001</v>
      </c>
      <c r="AC7" s="73" ph="1">
        <f>AC6*51.53*LOOKUP(AC8,密度!$A$2:$A$50,密度!$Q$2:$Q$50)</f>
        <v>359912.3300284</v>
      </c>
      <c r="AD7" s="73" ph="1">
        <f>AD6*20.428*LOOKUP(AD8,密度!$A$2:$A$50,密度!$V$2:$V$50)</f>
        <v>66177.748022400003</v>
      </c>
      <c r="AE7" s="73" ph="1">
        <f>AE6*20.428</f>
        <v>82120.56</v>
      </c>
    </row>
    <row r="8" spans="1:99" ph="1">
      <c r="B8" s="238" ph="1"/>
      <c r="C8" s="68" t="s" ph="1">
        <v>179</v>
      </c>
      <c r="D8" s="74">
        <v>28</v>
      </c>
      <c r="E8" s="74">
        <v>29</v>
      </c>
      <c r="F8" s="74">
        <v>28</v>
      </c>
      <c r="G8" s="74">
        <v>29</v>
      </c>
      <c r="H8" s="74">
        <v>28</v>
      </c>
      <c r="I8" s="74">
        <v>25</v>
      </c>
      <c r="J8" s="74">
        <v>25</v>
      </c>
      <c r="K8" s="74">
        <v>25</v>
      </c>
      <c r="L8" s="74">
        <v>25</v>
      </c>
      <c r="M8" s="74">
        <v>30</v>
      </c>
      <c r="N8" s="74">
        <v>31</v>
      </c>
      <c r="O8" s="74">
        <v>33</v>
      </c>
      <c r="P8" s="74">
        <v>28</v>
      </c>
      <c r="Q8" s="74">
        <v>31</v>
      </c>
      <c r="R8" s="74">
        <v>35</v>
      </c>
      <c r="S8" s="74">
        <v>26</v>
      </c>
      <c r="T8" s="74">
        <v>25</v>
      </c>
      <c r="U8" s="74">
        <v>29</v>
      </c>
      <c r="V8" s="74">
        <v>28</v>
      </c>
      <c r="W8" s="74">
        <v>28</v>
      </c>
      <c r="X8" s="74">
        <v>26</v>
      </c>
      <c r="Y8" s="74">
        <v>28</v>
      </c>
      <c r="Z8" s="74">
        <v>29</v>
      </c>
      <c r="AA8" s="74">
        <v>34</v>
      </c>
      <c r="AB8" s="74">
        <v>23</v>
      </c>
      <c r="AC8" s="74">
        <v>28</v>
      </c>
      <c r="AD8" s="74">
        <v>27</v>
      </c>
      <c r="AE8" s="74">
        <v>28</v>
      </c>
    </row>
    <row r="9" spans="1:99" ht="26.4" ph="1">
      <c r="B9" s="238" ph="1">
        <v>0.66666666666666663</v>
      </c>
      <c r="C9" s="153" t="s" ph="1">
        <v>180</v>
      </c>
      <c r="D9" s="71">
        <v>4484</v>
      </c>
      <c r="E9" s="71">
        <v>278</v>
      </c>
      <c r="F9" s="71">
        <v>5402</v>
      </c>
      <c r="G9" s="71">
        <v>2323</v>
      </c>
      <c r="H9" s="71">
        <v>1954</v>
      </c>
      <c r="I9" s="71">
        <v>38.71</v>
      </c>
      <c r="J9" s="71">
        <v>77.12</v>
      </c>
      <c r="K9" s="71">
        <v>84.61</v>
      </c>
      <c r="L9" s="71">
        <v>92.71</v>
      </c>
      <c r="M9" s="71">
        <v>4253</v>
      </c>
      <c r="N9" s="71">
        <v>3693</v>
      </c>
      <c r="O9" s="71">
        <v>2598</v>
      </c>
      <c r="P9" s="71">
        <v>694</v>
      </c>
      <c r="Q9" s="71">
        <v>2456</v>
      </c>
      <c r="R9" s="71">
        <v>0</v>
      </c>
      <c r="S9" s="71">
        <v>0</v>
      </c>
      <c r="T9" s="71">
        <v>4414</v>
      </c>
      <c r="U9" s="71">
        <v>6624</v>
      </c>
      <c r="V9" s="71">
        <v>5325</v>
      </c>
      <c r="W9" s="71">
        <v>7047</v>
      </c>
      <c r="X9" s="71">
        <v>5679</v>
      </c>
      <c r="Y9" s="71">
        <v>3221</v>
      </c>
      <c r="Z9" s="71">
        <v>1326</v>
      </c>
      <c r="AA9" s="71">
        <v>1099</v>
      </c>
      <c r="AB9" s="71">
        <v>3371</v>
      </c>
      <c r="AC9" s="71">
        <v>7367</v>
      </c>
      <c r="AD9" s="71">
        <v>3384</v>
      </c>
      <c r="AE9" s="71">
        <v>3995</v>
      </c>
    </row>
    <row r="10" spans="1:99" s="72" customFormat="1" ht="22.2" ph="1">
      <c r="B10" s="238" ph="1"/>
      <c r="C10" s="153" t="s" ph="1">
        <v>178</v>
      </c>
      <c r="D10" s="73" ph="1">
        <f>D9*33.183*LOOKUP(D11,密度!$A$2:$A$50,密度!$Q$2:$Q$50)</f>
        <v>140051.00839499998</v>
      </c>
      <c r="E10" s="73" ph="1">
        <f>E9*51.53*LOOKUP(E11,密度!$A$2:$A$50,密度!$B$2:$B$50)</f>
        <v>11080.65049</v>
      </c>
      <c r="F10" s="73" ph="1">
        <f>F9*33.183*LOOKUP(F11,密度!$A$2:$A$50,密度!$C$2:$C$50)</f>
        <v>198094.2208866</v>
      </c>
      <c r="G10" s="73" ph="1">
        <f xml:space="preserve"> (G9+2)*51.53*LOOKUP(G11,密度!$A$2:$A$50,密度!$B$2:$B$50)</f>
        <v>92467.235550000012</v>
      </c>
      <c r="H10" s="73" ph="1">
        <f>(H9)*51.53*LOOKUP(H11,密度!$A$2:$A$50,密度!$B$2:$B$50)</f>
        <v>77621.628058000002</v>
      </c>
      <c r="I10" s="73" ph="1">
        <f>I9*290.8*1.0267</f>
        <v>11557.4263756</v>
      </c>
      <c r="J10" s="73" ph="1">
        <f>J9*290.8*0.7892</f>
        <v>17698.990643200003</v>
      </c>
      <c r="K10" s="73" ph="1">
        <f>K9*290.8*1.1126</f>
        <v>27375.064608799999</v>
      </c>
      <c r="L10" s="73" ph="1">
        <f>L9*290.8*0.777</f>
        <v>20947.972836000001</v>
      </c>
      <c r="M10" s="73" ph="1">
        <f>M9*33.183*LOOKUP(M11,密度!$A$2:$A$50,密度!$D$2:$D$50)</f>
        <v>143865.16860060001</v>
      </c>
      <c r="N10" s="73" ph="1">
        <f>N9*33.183*LOOKUP(N11,密度!$A$2:$A$50,密度!$E$2:$E$50)</f>
        <v>95011.449067080001</v>
      </c>
      <c r="O10" s="73" ph="1">
        <f>O9*20.428*LOOKUP(O11,密度!$A$2:$A$50,密度!$C$2:$C$50)</f>
        <v>58262.380123200011</v>
      </c>
      <c r="P10" s="73" ph="1">
        <f>P9*51.53*LOOKUP(P11,密度!$A$2:$A$50,密度!$B$2:$B$50)</f>
        <v>27661.767769999999</v>
      </c>
      <c r="Q10" s="73" ph="1">
        <f>Q9*1.5*1.5*3.1416*LOOKUP(W11,密度!$A$2:$A$50,密度!$L$2:$L$50)</f>
        <v>16179.968851199999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29172.748374000003</v>
      </c>
      <c r="U10" s="73" ph="1">
        <f>U9*1.5*1.5*3.1416*LOOKUP(U11,密度!$A$2:$A$50,密度!$L$2:$L$50)</f>
        <v>43685.305171200001</v>
      </c>
      <c r="V10" s="73" ph="1">
        <f>V9*1.5*1.5*3.1416*LOOKUP(V11,密度!$A$2:$A$50,密度!$L$2:$L$50)</f>
        <v>35118.395235000004</v>
      </c>
      <c r="W10" s="73" ph="1">
        <f>W9*1.5*1.5*3.1416*LOOKUP(W11,密度!$A$2:$A$50,密度!$L$2:$L$50)</f>
        <v>46425.179354400003</v>
      </c>
      <c r="X10" s="73" ph="1">
        <f>X9*1.5*1.5*3.1416*LOOKUP(X11,密度!$A$2:$A$50,密度!$L$2:$L$50)</f>
        <v>37493.169159600002</v>
      </c>
      <c r="Y10" s="73" ph="1">
        <f>Y9*1.5*1.5*3.1416*LOOKUP(Y11,密度!$A$2:$A$50,密度!$L$2:$L$50)</f>
        <v>21219.739279199999</v>
      </c>
      <c r="Z10" s="73" ph="1">
        <f>Z9*33.183*LOOKUP(Z11,密度!$A$2:$A$50,密度!$L$2:$L$50)</f>
        <v>40964.612598000007</v>
      </c>
      <c r="AA10" s="73" ph="1">
        <f>AA9*33.183*LOOKUP(AA11,密度!$A$2:$A$50,密度!$D$2:$D$50)</f>
        <v>37015.138754999993</v>
      </c>
      <c r="AB10" s="73" ph="1">
        <f>AB9*20.428*LOOKUP(AB11,密度!$A$2:$A$50,密度!$D$2:$D$50)</f>
        <v>70570.585142399999</v>
      </c>
      <c r="AC10" s="73" ph="1">
        <f>AC9*51.53*LOOKUP(AC11,密度!$A$2:$A$50,密度!$Q$2:$Q$50)</f>
        <v>358108.35902830004</v>
      </c>
      <c r="AD10" s="73" ph="1">
        <f>AD9*20.428*LOOKUP(AD11,密度!$A$2:$A$50,密度!$V$2:$V$50)</f>
        <v>66197.309875199993</v>
      </c>
      <c r="AE10" s="73" ph="1">
        <f>AE9*20.428</f>
        <v>81609.86</v>
      </c>
    </row>
    <row r="11" spans="1:99" ph="1">
      <c r="A11" s="64" t="s" ph="1">
        <v>162</v>
      </c>
      <c r="B11" s="238" ph="1"/>
      <c r="C11" s="153" t="s" ph="1">
        <v>179</v>
      </c>
      <c r="D11" s="74">
        <v>33</v>
      </c>
      <c r="E11" s="74">
        <v>32</v>
      </c>
      <c r="F11" s="74">
        <v>30</v>
      </c>
      <c r="G11" s="74">
        <v>34</v>
      </c>
      <c r="H11" s="74">
        <v>35</v>
      </c>
      <c r="I11" s="74">
        <v>25</v>
      </c>
      <c r="J11" s="74">
        <v>25</v>
      </c>
      <c r="K11" s="74">
        <v>25</v>
      </c>
      <c r="L11" s="74">
        <v>25</v>
      </c>
      <c r="M11" s="74">
        <v>33</v>
      </c>
      <c r="N11" s="74">
        <v>32</v>
      </c>
      <c r="O11" s="74">
        <v>37</v>
      </c>
      <c r="P11" s="74">
        <v>32</v>
      </c>
      <c r="Q11" s="74">
        <v>31</v>
      </c>
      <c r="R11" s="74">
        <v>38</v>
      </c>
      <c r="S11" s="74">
        <v>29</v>
      </c>
      <c r="T11" s="74">
        <v>27</v>
      </c>
      <c r="U11" s="74">
        <v>29</v>
      </c>
      <c r="V11" s="74">
        <v>29</v>
      </c>
      <c r="W11" s="74">
        <v>30</v>
      </c>
      <c r="X11" s="74">
        <v>28</v>
      </c>
      <c r="Y11" s="74">
        <v>30</v>
      </c>
      <c r="Z11" s="74">
        <v>31</v>
      </c>
      <c r="AA11" s="74">
        <v>38</v>
      </c>
      <c r="AB11" s="74">
        <v>27</v>
      </c>
      <c r="AC11" s="74">
        <v>30</v>
      </c>
      <c r="AD11" s="74">
        <v>35</v>
      </c>
      <c r="AE11" s="74">
        <v>31</v>
      </c>
    </row>
    <row r="12" spans="1:99" ht="9.9" customHeight="1" ph="1"/>
    <row r="13" spans="1:99" s="72" customFormat="1" ht="29.25" customHeight="1" ph="1">
      <c r="B13" s="215" t="s" ph="1">
        <v>37</v>
      </c>
      <c r="C13" s="153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6" ph="1"/>
      <c r="C14" s="67" t="s" ph="1">
        <v>36</v>
      </c>
      <c r="D14" s="77" t="s" ph="1">
        <v>616</v>
      </c>
      <c r="E14" s="77" t="s" ph="1">
        <v>616</v>
      </c>
      <c r="F14" s="144" t="s" ph="1">
        <v>636</v>
      </c>
      <c r="G14" s="77" t="s" ph="1">
        <v>617</v>
      </c>
      <c r="H14" s="77" t="s" ph="1">
        <v>637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638</v>
      </c>
      <c r="P14" s="77" t="s" ph="1">
        <v>622</v>
      </c>
      <c r="Q14" s="77" t="s" ph="1">
        <v>622</v>
      </c>
      <c r="R14" s="88" t="s" ph="1">
        <v>7</v>
      </c>
      <c r="S14" s="77" t="s" ph="1">
        <v>622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17" ph="1">
        <v>0.33333333333333331</v>
      </c>
      <c r="C15" s="153" t="s" ph="1">
        <v>177</v>
      </c>
      <c r="D15" s="78">
        <v>2551</v>
      </c>
      <c r="E15" s="78">
        <v>4844</v>
      </c>
      <c r="F15" s="78">
        <v>2057</v>
      </c>
      <c r="G15" s="78">
        <v>3942</v>
      </c>
      <c r="H15" s="78">
        <v>4368</v>
      </c>
      <c r="I15" s="78">
        <v>3130</v>
      </c>
      <c r="J15" s="78">
        <v>0</v>
      </c>
      <c r="K15" s="78">
        <v>2137</v>
      </c>
      <c r="L15" s="78">
        <v>6019</v>
      </c>
      <c r="M15" s="78">
        <v>6716</v>
      </c>
      <c r="N15" s="78">
        <v>3897</v>
      </c>
      <c r="O15" s="78">
        <v>4732</v>
      </c>
      <c r="P15" s="78">
        <v>4007</v>
      </c>
      <c r="Q15" s="78">
        <v>4000</v>
      </c>
      <c r="R15" s="78">
        <v>0</v>
      </c>
      <c r="S15" s="78">
        <v>0</v>
      </c>
      <c r="T15" s="78">
        <v>4123</v>
      </c>
      <c r="U15" s="78">
        <v>0</v>
      </c>
      <c r="V15" s="78">
        <v>-817</v>
      </c>
      <c r="W15" s="71">
        <v>349</v>
      </c>
      <c r="X15" s="78">
        <v>863</v>
      </c>
      <c r="Y15" s="106">
        <v>-9907</v>
      </c>
      <c r="Z15" s="78">
        <v>0</v>
      </c>
      <c r="AA15" s="78">
        <v>2503</v>
      </c>
      <c r="AB15" s="78" ph="1">
        <v>0</v>
      </c>
      <c r="AC15" s="78" ph="1">
        <v>0</v>
      </c>
      <c r="AD15" s="78">
        <v>5.72</v>
      </c>
      <c r="AE15" s="78">
        <v>44.01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18" ph="1"/>
      <c r="C16" s="153" t="s" ph="1">
        <v>178</v>
      </c>
      <c r="D16" s="73" ph="1">
        <f>D15*7.0686*LOOKUP(D17,密度!$A$2:$A$50,密度!$L$2:$L$50)</f>
        <v>16805.8226952</v>
      </c>
      <c r="E16" s="73" ph="1">
        <f>E15*7.0686*LOOKUP(E17,密度!$A$2:$A$50,密度!$L$2:$L$50)</f>
        <v>31911.958108800001</v>
      </c>
      <c r="F16" s="73" ph="1">
        <f>F15*9.0746*LOOKUP(F17,密度!$A$2:$A$50,密度!$L$2:$L$50)</f>
        <v>17303.801189400001</v>
      </c>
      <c r="G16" s="73" ph="1">
        <f>G15*9.0746*LOOKUP(G17,密度!$A$2:$A$50,密度!$B$2:$B$50)</f>
        <v>27766.283217839999</v>
      </c>
      <c r="H16" s="73" ph="1">
        <f>H15*9.0746*LOOKUP(H17,密度!$A$2:$A$50,密度!$L$2:$L$50)</f>
        <v>37101.030220799999</v>
      </c>
      <c r="I16" s="73" ph="1">
        <f>I15*9.0746*LOOKUP(I17,密度!$A$2:$A$50,密度!$U$2:$U$50)</f>
        <v>29028.374956</v>
      </c>
      <c r="J16" s="73" ph="1">
        <f>J15*9.0746*LOOKUP(J17,密度!$A$2:$A$50,密度!$L$2:$L$50)</f>
        <v>0</v>
      </c>
      <c r="K16" s="73" ph="1">
        <f>K15*9.0746*LOOKUP(K17,密度!$A$2:$A$50,密度!$C$2:$C$50)</f>
        <v>21430.563563020001</v>
      </c>
      <c r="L16" s="73" ph="1">
        <f>L15*9.0746*LOOKUP(L17,密度!$A$2:$A$50,密度!$E$2:$E$50)</f>
        <v>42472.525530240004</v>
      </c>
      <c r="M16" s="73" ph="1">
        <f>M15*9.0746*LOOKUP(M17,密度!$A$2:$A$50,密度!$M$2:$M$50)</f>
        <v>52953.293966632002</v>
      </c>
      <c r="N16" s="73" ph="1">
        <f>N15*9.0746*LOOKUP(N17,密度!$A$2:$A$50,密度!$M$2:$M$50)</f>
        <v>30837.160526400003</v>
      </c>
      <c r="O16" s="73" ph="1">
        <f>O15*9.0746*LOOKUP(O17,密度!$A$2:$A$50,密度!$G$2:$G$50)</f>
        <v>40995.779573840002</v>
      </c>
      <c r="P16" s="73" ph="1">
        <f ca="1">P15*9.0746*LOOKUP(P17,密度!$A$2:$A$51,密度!$Q$2:$Q$50)</f>
        <v>34323.109222245999</v>
      </c>
      <c r="Q16" s="73" ph="1">
        <f>Q15*9.0746*LOOKUP(Q17,密度!$A$2:$A$50,密度!$Q$2:$Q$50)</f>
        <v>34241.369672000001</v>
      </c>
      <c r="R16" s="73" ph="1">
        <f>MAX(R15*9.0746*LOOKUP(R17,密度!$A$2:$A$50,密度!$B$2:$B$50),0)</f>
        <v>0</v>
      </c>
      <c r="S16" s="73" ph="1">
        <f>S15*9.0746*LOOKUP(S17,密度!$A$2:$A$50,密度!$Q$2:$Q$50)</f>
        <v>0</v>
      </c>
      <c r="T16" s="73" ph="1">
        <f>T15*9.0746*LOOKUP(T17,密度!$A$2:$A$50,密度!$O$2:$O$50)</f>
        <v>34645.897190800002</v>
      </c>
      <c r="U16" s="73" ph="1">
        <f>U15*9.0746*LOOKUP(U17,密度!$A$2:$A$50,密度!$H$2:$H$50)</f>
        <v>0</v>
      </c>
      <c r="V16" s="73" ph="1">
        <f>MAX(5600*LOOKUP(V17,密度!$A$2:$A$50,密度!$Q$2:$Q$50)+V15*9.0476*LOOKUP(V17,密度!$A$2:$A$50,密度!$Q$2:$Q$50),0)</f>
        <v>0</v>
      </c>
      <c r="W16" s="73" ph="1">
        <f>MAX(5600*LOOKUP(W17,密度!$A$2:$A$50,密度!$Q$2:$Q$50)+W15*9.0476*LOOKUP(W17,密度!$A$2:$A$50,密度!$Q$2:$Q$50),0)</f>
        <v>8261.3185052919998</v>
      </c>
      <c r="X16" s="73" ph="1">
        <f>MAX(5600*LOOKUP(X17,密度!$A$2:$A$50,密度!$I$2:$I$50)+X15*9.0476*LOOKUP(X17,密度!$A$2:$A$50,密度!$I$2:$I$50),0)</f>
        <v>13914.904178640001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17648.563392600001</v>
      </c>
      <c r="AB16" s="73" ph="1">
        <f>AB15*9.0746*LOOKUP(AB17,密度!$A$2:$A$50,密度!$L$2:$L$50)</f>
        <v>0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2418.9815481599999</v>
      </c>
      <c r="AE16" s="73" ph="1">
        <f>AE15*268.68*LOOKUP(AE17,密度!$A$2:$A$50,密度!B2:B50)+IF(AE15&lt;=0,0,1566*LOOKUP(AE17,密度!$A$2:$A$50,密度!B2:B50))</f>
        <v>10439.31706128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19" ph="1"/>
      <c r="C17" s="79" t="s" ph="1">
        <v>179</v>
      </c>
      <c r="D17" s="74">
        <v>30</v>
      </c>
      <c r="E17" s="74">
        <v>30</v>
      </c>
      <c r="F17" s="74">
        <v>35</v>
      </c>
      <c r="G17" s="74">
        <v>29</v>
      </c>
      <c r="H17" s="74">
        <v>26</v>
      </c>
      <c r="I17" s="74">
        <v>28</v>
      </c>
      <c r="J17" s="74">
        <v>29</v>
      </c>
      <c r="K17" s="74">
        <v>30</v>
      </c>
      <c r="L17" s="74">
        <v>30</v>
      </c>
      <c r="M17" s="74">
        <v>31</v>
      </c>
      <c r="N17" s="74">
        <v>28</v>
      </c>
      <c r="O17" s="74">
        <v>30</v>
      </c>
      <c r="P17" s="74">
        <v>29</v>
      </c>
      <c r="Q17" s="74">
        <v>30</v>
      </c>
      <c r="R17" s="74">
        <v>30</v>
      </c>
      <c r="S17" s="74">
        <v>28</v>
      </c>
      <c r="T17" s="74">
        <v>29</v>
      </c>
      <c r="U17" s="74">
        <v>28</v>
      </c>
      <c r="V17" s="74">
        <v>31</v>
      </c>
      <c r="W17" s="74">
        <v>30</v>
      </c>
      <c r="X17" s="74">
        <v>29</v>
      </c>
      <c r="Y17" s="108">
        <v>29</v>
      </c>
      <c r="Z17" s="74">
        <v>28</v>
      </c>
      <c r="AA17" s="74">
        <v>28</v>
      </c>
      <c r="AB17" s="74">
        <v>28</v>
      </c>
      <c r="AC17" s="74">
        <v>27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17" ph="1">
        <v>0.66666666666666663</v>
      </c>
      <c r="C18" s="79" t="s" ph="1">
        <v>180</v>
      </c>
      <c r="D18" s="71">
        <v>3659</v>
      </c>
      <c r="E18" s="71">
        <v>2843</v>
      </c>
      <c r="F18" s="71">
        <v>2176</v>
      </c>
      <c r="G18" s="71">
        <v>684</v>
      </c>
      <c r="H18" s="71">
        <v>4372</v>
      </c>
      <c r="I18" s="71">
        <v>3132</v>
      </c>
      <c r="J18" s="71">
        <v>0</v>
      </c>
      <c r="K18" s="71">
        <v>2953</v>
      </c>
      <c r="L18" s="71">
        <v>6031</v>
      </c>
      <c r="M18" s="71">
        <v>5654</v>
      </c>
      <c r="N18" s="71">
        <v>2040</v>
      </c>
      <c r="O18" s="71">
        <v>5010</v>
      </c>
      <c r="P18" s="71">
        <v>2275</v>
      </c>
      <c r="Q18" s="71">
        <v>4002</v>
      </c>
      <c r="R18" s="71">
        <v>0</v>
      </c>
      <c r="S18" s="71">
        <v>0</v>
      </c>
      <c r="T18" s="71">
        <v>4126</v>
      </c>
      <c r="U18" s="71">
        <v>0</v>
      </c>
      <c r="V18" s="71">
        <v>-817</v>
      </c>
      <c r="W18" s="71">
        <v>348</v>
      </c>
      <c r="X18" s="71">
        <v>862</v>
      </c>
      <c r="Y18" s="109">
        <v>-9907</v>
      </c>
      <c r="Z18" s="71">
        <v>0</v>
      </c>
      <c r="AA18" s="71">
        <v>2506</v>
      </c>
      <c r="AB18" s="71">
        <v>0</v>
      </c>
      <c r="AC18" s="71">
        <v>0</v>
      </c>
      <c r="AD18" s="71">
        <v>13.31</v>
      </c>
      <c r="AE18" s="71">
        <v>84.61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18" ph="1"/>
      <c r="C19" s="153" t="s" ph="1">
        <v>178</v>
      </c>
      <c r="D19" s="73" ph="1">
        <f>D18*7.0686*LOOKUP(D20,密度!$A$2:$A$50,密度!$L$2:$L$50)</f>
        <v>24079.390889400001</v>
      </c>
      <c r="E19" s="73" ph="1">
        <f>E18*7.0686*LOOKUP(E20,密度!$A$2:$A$50,密度!$L$2:$L$50)</f>
        <v>18709.403743800001</v>
      </c>
      <c r="F19" s="73" ph="1">
        <f>F18*9.0746*LOOKUP(F20,密度!$A$2:$A$50,密度!$L$2:$L$50)</f>
        <v>18265.354880000003</v>
      </c>
      <c r="G19" s="73" ph="1">
        <f>G18*9.0746*LOOKUP(G20,密度!$A$2:$A$50,密度!$B$2:$B$50)</f>
        <v>4806.7212441599995</v>
      </c>
      <c r="H19" s="73" ph="1">
        <f>H18*9.0746*LOOKUP(H20,密度!$A$2:$A$50,密度!$L$2:$L$50)</f>
        <v>37015.983069599999</v>
      </c>
      <c r="I19" s="73" ph="1">
        <f>I18*9.0746*LOOKUP(I20,密度!$A$2:$A$50,密度!$U$2:$U$50)</f>
        <v>28876.3935552</v>
      </c>
      <c r="J19" s="73" ph="1">
        <f>J18*9.0746*LOOKUP(J20,密度!$A$2:$A$50,密度!$L$2:$L$50)</f>
        <v>0</v>
      </c>
      <c r="K19" s="73" ph="1">
        <f>K18*9.0746*LOOKUP(K20,密度!$A$2:$A$50,密度!$C$2:$C$50)</f>
        <v>29530.617767600001</v>
      </c>
      <c r="L19" s="73" ph="1">
        <f>L18*9.0746*LOOKUP(L20,密度!$A$2:$A$50,密度!$E$2:$E$50)</f>
        <v>42370.576845794007</v>
      </c>
      <c r="M19" s="73" ph="1">
        <f>M18*9.0746*LOOKUP(M20,密度!$A$2:$A$50,密度!$M$2:$M$50)</f>
        <v>44418.178573648001</v>
      </c>
      <c r="N19" s="73" ph="1">
        <f>N18*9.0746*LOOKUP(N20,密度!$A$2:$A$50,密度!$M$2:$M$50)</f>
        <v>16103.748861600001</v>
      </c>
      <c r="O19" s="73" ph="1">
        <f>O18*9.0746*LOOKUP(O20,密度!$A$2:$A$50,密度!$G$2:$G$50)</f>
        <v>43261.93678122</v>
      </c>
      <c r="P19" s="73" ph="1">
        <f ca="1">P18*9.0746*LOOKUP(P20,密度!$A$2:$A$51,密度!$Q$2:$Q$50)</f>
        <v>19459.295464700001</v>
      </c>
      <c r="Q19" s="73" ph="1">
        <f>Q18*9.0746*LOOKUP(Q20,密度!$A$2:$A$50,密度!$Q$2:$Q$50)</f>
        <v>34158.983012028002</v>
      </c>
      <c r="R19" s="73" ph="1">
        <f>MAX(R18*9.0746*LOOKUP(R20,密度!$A$2:$A$50,密度!$B$2:$B$50),0)</f>
        <v>0</v>
      </c>
      <c r="S19" s="73" ph="1">
        <f>S18*9.0746*LOOKUP(S20,密度!$A$2:$A$50,密度!$Q$2:$Q$50)</f>
        <v>0</v>
      </c>
      <c r="T19" s="73" ph="1">
        <f>T18*9.0746*LOOKUP(T20,密度!$A$2:$A$50,密度!$O$2:$O$50)</f>
        <v>34491.385791519999</v>
      </c>
      <c r="U19" s="73" ph="1">
        <f>U18*9.0746*LOOKUP(U20,密度!$A$2:$A$50,密度!$H$2:$H$50)</f>
        <v>0</v>
      </c>
      <c r="V19" s="73" ph="1">
        <f>MAX(5600*LOOKUP(V20,密度!$A$2:$A$50,密度!$Q$2:$Q$50)+V18*9.0476*LOOKUP(V20,密度!$A$2:$A$50,密度!$Q$2:$Q$50),0)</f>
        <v>0</v>
      </c>
      <c r="W19" s="73" ph="1">
        <f>MAX(5600*LOOKUP(W20,密度!$A$2:$A$50,密度!$Q$2:$Q$50)+W18*9.0476*LOOKUP(W20,密度!$A$2:$A$50,密度!$Q$2:$Q$50),0)</f>
        <v>8217.5269166399994</v>
      </c>
      <c r="X19" s="73" ph="1">
        <f>MAX(5600*LOOKUP(X20,密度!$A$2:$A$50,密度!$I$2:$I$50)+X18*9.0476*LOOKUP(X20,密度!$A$2:$A$50,密度!$I$2:$I$50),0)</f>
        <v>13830.48000464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17571.93021052</v>
      </c>
      <c r="AB19" s="73" ph="1">
        <f>AB18*9.0746*LOOKUP(AB20,密度!$A$2:$A$50,密度!$L$2:$L$50)</f>
        <v>0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3995.4356316000003</v>
      </c>
      <c r="AE19" s="73" ph="1">
        <f>AE18*268.68*LOOKUP(AE20,密度!$A$2:$A$50,密度!B5:B53)+IF(AE18&lt;=0,0,1566*LOOKUP(AE20,密度!$A$2:$A$50,密度!B5:B53))</f>
        <v>18880.334499600001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18" ph="1"/>
      <c r="C20" s="80" t="s" ph="1">
        <v>179</v>
      </c>
      <c r="D20" s="81">
        <v>31</v>
      </c>
      <c r="E20" s="81">
        <v>31</v>
      </c>
      <c r="F20" s="81">
        <v>37</v>
      </c>
      <c r="G20" s="81">
        <v>31</v>
      </c>
      <c r="H20" s="81">
        <v>29</v>
      </c>
      <c r="I20" s="81">
        <v>34</v>
      </c>
      <c r="J20" s="81">
        <v>34</v>
      </c>
      <c r="K20" s="81">
        <v>33</v>
      </c>
      <c r="L20" s="81">
        <v>33</v>
      </c>
      <c r="M20" s="81">
        <v>34</v>
      </c>
      <c r="N20" s="81">
        <v>30</v>
      </c>
      <c r="O20" s="81">
        <v>33</v>
      </c>
      <c r="P20" s="81">
        <v>31</v>
      </c>
      <c r="Q20" s="81">
        <v>34</v>
      </c>
      <c r="R20" s="81">
        <v>35</v>
      </c>
      <c r="S20" s="81">
        <v>34</v>
      </c>
      <c r="T20" s="81">
        <v>33</v>
      </c>
      <c r="U20" s="81">
        <v>32</v>
      </c>
      <c r="V20" s="81">
        <v>35</v>
      </c>
      <c r="W20" s="81">
        <v>36</v>
      </c>
      <c r="X20" s="81">
        <v>34</v>
      </c>
      <c r="Y20" s="110">
        <v>34</v>
      </c>
      <c r="Z20" s="81">
        <v>34</v>
      </c>
      <c r="AA20" s="81">
        <v>33</v>
      </c>
      <c r="AB20" s="81">
        <v>33</v>
      </c>
      <c r="AC20" s="81">
        <v>32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6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6" t="s" ph="1">
        <v>69</v>
      </c>
      <c r="AA22" s="227"/>
      <c r="AB22" s="227"/>
      <c r="AC22" s="227"/>
      <c r="AD22" s="227"/>
      <c r="AE22" s="228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0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610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229" t="s" ph="1">
        <v>642</v>
      </c>
      <c r="AA23" s="230"/>
      <c r="AB23" s="230"/>
      <c r="AC23" s="230"/>
      <c r="AD23" s="230"/>
      <c r="AE23" s="231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38" ph="1">
        <v>0.33333333333333331</v>
      </c>
      <c r="C24" s="153" t="s" ph="1">
        <v>177</v>
      </c>
      <c r="D24" s="71">
        <v>2.73</v>
      </c>
      <c r="E24" s="71">
        <v>5.62</v>
      </c>
      <c r="F24" s="71">
        <v>543</v>
      </c>
      <c r="G24" s="71">
        <v>3031</v>
      </c>
      <c r="H24" s="71">
        <v>3548</v>
      </c>
      <c r="I24" s="71">
        <v>1049</v>
      </c>
      <c r="J24" s="71">
        <v>307</v>
      </c>
      <c r="K24" s="71">
        <v>2525</v>
      </c>
      <c r="L24" s="71">
        <v>302</v>
      </c>
      <c r="M24" s="71">
        <v>327</v>
      </c>
      <c r="N24" s="71">
        <v>4772</v>
      </c>
      <c r="O24" s="71">
        <v>343</v>
      </c>
      <c r="P24" s="71">
        <v>374</v>
      </c>
      <c r="Q24" s="90">
        <v>4196</v>
      </c>
      <c r="R24" s="71">
        <v>1970</v>
      </c>
      <c r="S24" s="71">
        <v>3226</v>
      </c>
      <c r="T24" s="71">
        <v>403</v>
      </c>
      <c r="U24" s="71">
        <v>4365</v>
      </c>
      <c r="V24" s="71">
        <v>741</v>
      </c>
      <c r="W24" s="71">
        <v>5241</v>
      </c>
      <c r="X24" s="71">
        <v>3454</v>
      </c>
      <c r="Y24" s="71">
        <v>1314</v>
      </c>
      <c r="Z24" s="232"/>
      <c r="AA24" s="233"/>
      <c r="AB24" s="233"/>
      <c r="AC24" s="233"/>
      <c r="AD24" s="233"/>
      <c r="AE24" s="234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38" ph="1"/>
      <c r="C25" s="68" t="s" ph="1">
        <v>178</v>
      </c>
      <c r="D25" s="91" ph="1">
        <f>D24*268.68*LOOKUP(D26,密度!$A$2:$A$50,密度!$Q$2:$Q$50)+IF(D24&lt;=0,0,1566*LOOKUP(D26,密度!$A$2:$A$50,密度!$Q$2:$Q$50))</f>
        <v>2177.0252217359998</v>
      </c>
      <c r="E25" s="91" ph="1">
        <f>E24*268.68*LOOKUP(E26,密度!$A$2:$A$50,密度!$C$2:$C$50)+IF(E24&lt;=0,0,1566*LOOKUP(E26,密度!$A$2:$A$50,密度!$C$2:$C$50))</f>
        <v>3410.9559962399999</v>
      </c>
      <c r="F25" s="91" ph="1">
        <f>F24*11.702*LOOKUP(F26,密度!$A$2:$A$50,密度!$Q$2:$Q$50)</f>
        <v>6006.7391095200001</v>
      </c>
      <c r="G25" s="91" ph="1">
        <f>G24*18.322*LOOKUP(G26,密度!$A$2:$A$50,密度!$B$2:$B$50)</f>
        <v>43149.904014</v>
      </c>
      <c r="H25" s="91" ph="1">
        <f>H24*18.322*LOOKUP(H26,密度!$A$2:$A$50,密度!$B$2:$B$50)</f>
        <v>50568.522122399998</v>
      </c>
      <c r="I25" s="91" ph="1">
        <f>I24*18.322*LOOKUP(I26,密度!$A$2:$A$50,密度!$Q$2:$Q$50)</f>
        <v>18182.486581339999</v>
      </c>
      <c r="J25" s="91" ph="1">
        <f>J24*18.322*LOOKUP(J26,密度!$A$2:$A$50,密度!$Q$2:$Q$50)</f>
        <v>5317.2869832799997</v>
      </c>
      <c r="K25" s="91" ph="1">
        <f>K24*18.322*LOOKUP(K26,密度!$A$2:$A$50,密度!$Q$2:$Q$50)</f>
        <v>43733.386425999997</v>
      </c>
      <c r="L25" s="91" ph="1">
        <f>L24*18.322*LOOKUP(L26,密度!$A$2:$A$50,密度!$Q$2:$Q$50)</f>
        <v>5226.8129472800001</v>
      </c>
      <c r="M25" s="91" ph="1">
        <f>M24*18.322*LOOKUP(M26,密度!$A$2:$A$50,密度!$Q$2:$Q$50)</f>
        <v>5655.3621454200002</v>
      </c>
      <c r="N25" s="91" ph="1">
        <f>N24*18.322*LOOKUP(N26,密度!$A$2:$A$50,密度!$Q$2:$Q$50)</f>
        <v>82590.56749808001</v>
      </c>
      <c r="O25" s="91" ph="1">
        <f>O24*18.322*LOOKUP(O26,密度!$A$2:$A$50,密度!$C$2:$C$50)</f>
        <v>6959.3955003999999</v>
      </c>
      <c r="P25" s="91" ph="1">
        <f>P24*11.702*LOOKUP(P26,密度!$A$2:$A$50,密度!$B$2:$B$50)</f>
        <v>3404.5166892000002</v>
      </c>
      <c r="Q25" s="92" ph="1">
        <f>Q24*18.322*LOOKUP(Q26,密度!$A$2:$A$50,密度!$B$2:$B$50)</f>
        <v>59804.2612248</v>
      </c>
      <c r="R25" s="91" ph="1">
        <f>R24*35.891*LOOKUP(R26,密度!$A$2:$A$50,密度!$C$2:$C$50)</f>
        <v>78242.451781999989</v>
      </c>
      <c r="S25" s="91" ph="1">
        <f>S24*35.891*LOOKUP(S26,密度!$A$2:$A$50,密度!$B$2:$B$50)</f>
        <v>90068.658311399995</v>
      </c>
      <c r="T25" s="91" ph="1">
        <f>T24*35.891*LOOKUP(T26,密度!$A$2:$A$50,密度!$Q$2:$Q$50)</f>
        <v>13673.177488359999</v>
      </c>
      <c r="U25" s="91" ph="1">
        <f>U24*35.891</f>
        <v>156664.215</v>
      </c>
      <c r="V25" s="91" ph="1">
        <f>V24*47.051*LOOKUP(V26,密度!$A$2:$A$50,密度!$B$2:$B$50)</f>
        <v>27121.320918900004</v>
      </c>
      <c r="W25" s="91" ph="1">
        <f>W24*47.051*LOOKUP(W26,密度!$A$2:$A$50,密度!$B$2:$B$50)</f>
        <v>191825.69896890002</v>
      </c>
      <c r="X25" s="91" ph="1">
        <f>X24*47.051*LOOKUP(X26,密度!$A$2:$A$61,密度!$I$2:$I$61)</f>
        <v>168120.89231300002</v>
      </c>
      <c r="Y25" s="91" ph="1">
        <f>Y24*47.051*LOOKUP(Y26,密度!$A$2:$A$50,密度!$L$2:$L$50)</f>
        <v>57682.738062000004</v>
      </c>
      <c r="Z25" s="232"/>
      <c r="AA25" s="233"/>
      <c r="AB25" s="233"/>
      <c r="AC25" s="233"/>
      <c r="AD25" s="233"/>
      <c r="AE25" s="234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38" ph="1"/>
      <c r="C26" s="68" t="s" ph="1">
        <v>179</v>
      </c>
      <c r="D26" s="74">
        <v>25</v>
      </c>
      <c r="E26" s="74">
        <v>25</v>
      </c>
      <c r="F26" s="74">
        <v>27</v>
      </c>
      <c r="G26" s="74">
        <v>28</v>
      </c>
      <c r="H26" s="74">
        <v>27</v>
      </c>
      <c r="I26" s="74">
        <v>26</v>
      </c>
      <c r="J26" s="74">
        <v>27</v>
      </c>
      <c r="K26" s="74">
        <v>27</v>
      </c>
      <c r="L26" s="74">
        <v>28</v>
      </c>
      <c r="M26" s="74">
        <v>29</v>
      </c>
      <c r="N26" s="74">
        <v>28</v>
      </c>
      <c r="O26" s="74">
        <v>27</v>
      </c>
      <c r="P26" s="74">
        <v>27</v>
      </c>
      <c r="Q26" s="93">
        <v>27</v>
      </c>
      <c r="R26" s="74">
        <v>28</v>
      </c>
      <c r="S26" s="74">
        <v>27</v>
      </c>
      <c r="T26" s="74">
        <v>27</v>
      </c>
      <c r="U26" s="74">
        <v>28</v>
      </c>
      <c r="V26" s="74">
        <v>27</v>
      </c>
      <c r="W26" s="74">
        <v>27</v>
      </c>
      <c r="X26" s="74">
        <v>32</v>
      </c>
      <c r="Y26" s="74">
        <v>29</v>
      </c>
      <c r="Z26" s="232"/>
      <c r="AA26" s="233"/>
      <c r="AB26" s="233"/>
      <c r="AC26" s="233"/>
      <c r="AD26" s="233"/>
      <c r="AE26" s="234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38" ph="1">
        <v>0.66666666666666663</v>
      </c>
      <c r="C27" s="153" t="s" ph="1">
        <v>180</v>
      </c>
      <c r="D27" s="71">
        <v>2.72</v>
      </c>
      <c r="E27" s="71">
        <v>5.62</v>
      </c>
      <c r="F27" s="71">
        <v>540</v>
      </c>
      <c r="G27" s="71">
        <v>2614</v>
      </c>
      <c r="H27" s="71">
        <v>3135</v>
      </c>
      <c r="I27" s="71">
        <v>160</v>
      </c>
      <c r="J27" s="71">
        <v>301</v>
      </c>
      <c r="K27" s="71">
        <v>2524</v>
      </c>
      <c r="L27" s="71">
        <v>296</v>
      </c>
      <c r="M27" s="71">
        <v>322</v>
      </c>
      <c r="N27" s="71">
        <v>4771</v>
      </c>
      <c r="O27" s="71">
        <v>337</v>
      </c>
      <c r="P27" s="71">
        <v>370</v>
      </c>
      <c r="Q27" s="90">
        <v>4423</v>
      </c>
      <c r="R27" s="71">
        <v>1965</v>
      </c>
      <c r="S27" s="71">
        <v>3223</v>
      </c>
      <c r="T27" s="71">
        <v>401</v>
      </c>
      <c r="U27" s="71">
        <v>4270</v>
      </c>
      <c r="V27" s="71">
        <v>735</v>
      </c>
      <c r="W27" s="71">
        <v>5238</v>
      </c>
      <c r="X27" s="71">
        <v>3454</v>
      </c>
      <c r="Y27" s="71">
        <v>435</v>
      </c>
      <c r="Z27" s="232"/>
      <c r="AA27" s="233"/>
      <c r="AB27" s="233"/>
      <c r="AC27" s="233"/>
      <c r="AD27" s="233"/>
      <c r="AE27" s="234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38" ph="1"/>
      <c r="C28" s="153" t="s" ph="1">
        <v>178</v>
      </c>
      <c r="D28" s="91" ph="1">
        <f>D27*268.68*LOOKUP(D29,密度!$A$2:$A$50,密度!$Q$2:$Q$50)+IF(D27&lt;=0,0,1566*LOOKUP(D29,密度!$A$2:$A$50,密度!$Q$2:$Q$50))</f>
        <v>2174.4815207040001</v>
      </c>
      <c r="E28" s="91" ph="1">
        <f>E27*268.68*LOOKUP(E29,密度!$A$2:$A$50,密度!$C$2:$C$50)+IF(E27&lt;=0,0,1566*LOOKUP(E29,密度!$A$2:$A$50,密度!$C$2:$C$50))</f>
        <v>3410.9559962399999</v>
      </c>
      <c r="F28" s="91" ph="1">
        <f>F27*11.702*LOOKUP(F29,密度!$A$2:$A$50,密度!$Q$2:$Q$50)</f>
        <v>5956.2384264000002</v>
      </c>
      <c r="G28" s="91" ph="1">
        <f>G27*18.322*LOOKUP(G29,密度!$A$2:$A$50,密度!$B$2:$B$50)</f>
        <v>36964.363834399999</v>
      </c>
      <c r="H28" s="91" ph="1">
        <f>H27*18.322*LOOKUP(H29,密度!$A$2:$A$50,密度!$B$2:$B$50)</f>
        <v>44429.430044999994</v>
      </c>
      <c r="I28" s="91" ph="1">
        <f>I27*18.322*LOOKUP(I29,密度!$A$2:$A$50,密度!$Q$2:$Q$50)</f>
        <v>2763.1921216000001</v>
      </c>
      <c r="J28" s="91" ph="1">
        <f>J27*18.322*LOOKUP(J29,密度!$A$2:$A$50,密度!$Q$2:$Q$50)</f>
        <v>5202.3913702599993</v>
      </c>
      <c r="K28" s="91" ph="1">
        <f>K27*18.322*LOOKUP(K29,密度!$A$2:$A$50,密度!$Q$2:$Q$50)</f>
        <v>43589.355718239996</v>
      </c>
      <c r="L28" s="91" ph="1">
        <f>L27*18.322*LOOKUP(L29,密度!$A$2:$A$50,密度!$Q$2:$Q$50)</f>
        <v>5115.9729089599996</v>
      </c>
      <c r="M28" s="91" ph="1">
        <f>M27*18.322*LOOKUP(M29,密度!$A$2:$A$50,密度!$Q$2:$Q$50)</f>
        <v>5560.9241447199993</v>
      </c>
      <c r="N28" s="91" ph="1">
        <f>N27*18.322*LOOKUP(N29,密度!$A$2:$A$50,密度!$Q$2:$Q$50)</f>
        <v>82335.493377799998</v>
      </c>
      <c r="O28" s="91" ph="1">
        <f>O27*18.322*LOOKUP(O29,密度!$A$2:$A$50,密度!$C$2:$C$50)</f>
        <v>6804.3144280000006</v>
      </c>
      <c r="P28" s="91" ph="1">
        <f>P27*11.702*LOOKUP(P29,密度!$A$2:$A$50,密度!$B$2:$B$50)</f>
        <v>3352.9506559999995</v>
      </c>
      <c r="Q28" s="92" ph="1">
        <f>Q27*18.322*LOOKUP(Q29,密度!$A$2:$A$50,密度!$B$2:$B$50)</f>
        <v>62755.986726399991</v>
      </c>
      <c r="R28" s="91" ph="1">
        <f>R27*35.891*LOOKUP(R29,密度!$A$2:$A$50,密度!$C$2:$C$50)</f>
        <v>77789.973945000005</v>
      </c>
      <c r="S28" s="91" ph="1">
        <f>S27*35.891*LOOKUP(S29,密度!$A$2:$A$50,密度!$B$2:$B$50)</f>
        <v>89580.031059200002</v>
      </c>
      <c r="T28" s="91" ph="1">
        <f>T27*35.891*LOOKUP(T29,密度!$A$2:$A$50,密度!$Q$2:$Q$50)</f>
        <v>13556.0988929</v>
      </c>
      <c r="U28" s="91" ph="1">
        <f>U27*35.891</f>
        <v>153254.57</v>
      </c>
      <c r="V28" s="91" ph="1">
        <f>V27*47.051*LOOKUP(V29,密度!$A$2:$A$50,密度!$B$2:$B$50)</f>
        <v>26721.886159500002</v>
      </c>
      <c r="W28" s="91" ph="1">
        <f>W27*47.051*LOOKUP(W29,密度!$A$2:$A$50,密度!$B$2:$B$50)</f>
        <v>190631.502243</v>
      </c>
      <c r="X28" s="91" ph="1">
        <f>X27*47.051*LOOKUP(X29,密度!$A$2:$A$61,密度!$I$2:$I$61)</f>
        <v>167747.10975880001</v>
      </c>
      <c r="Y28" s="91" ph="1">
        <f>Y27*47.051*LOOKUP(Y29,密度!$A$2:$A$50,密度!$L$2:$L$50)</f>
        <v>19034.482050000002</v>
      </c>
      <c r="Z28" s="232"/>
      <c r="AA28" s="233"/>
      <c r="AB28" s="233"/>
      <c r="AC28" s="233"/>
      <c r="AD28" s="233"/>
      <c r="AE28" s="234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38" ph="1"/>
      <c r="C29" s="153" t="s" ph="1">
        <v>179</v>
      </c>
      <c r="D29" s="74">
        <v>25</v>
      </c>
      <c r="E29" s="74">
        <v>25</v>
      </c>
      <c r="F29" s="74">
        <v>31</v>
      </c>
      <c r="G29" s="74">
        <v>34</v>
      </c>
      <c r="H29" s="74">
        <v>32</v>
      </c>
      <c r="I29" s="74">
        <v>31</v>
      </c>
      <c r="J29" s="74">
        <v>30</v>
      </c>
      <c r="K29" s="74">
        <v>31</v>
      </c>
      <c r="L29" s="74">
        <v>30</v>
      </c>
      <c r="M29" s="74">
        <v>31</v>
      </c>
      <c r="N29" s="74">
        <v>32</v>
      </c>
      <c r="O29" s="74">
        <v>33</v>
      </c>
      <c r="P29" s="74">
        <v>31</v>
      </c>
      <c r="Q29" s="93">
        <v>31</v>
      </c>
      <c r="R29" s="74">
        <v>32</v>
      </c>
      <c r="S29" s="74">
        <v>31</v>
      </c>
      <c r="T29" s="74">
        <v>32</v>
      </c>
      <c r="U29" s="74">
        <v>31</v>
      </c>
      <c r="V29" s="74">
        <v>33</v>
      </c>
      <c r="W29" s="74">
        <v>32</v>
      </c>
      <c r="X29" s="74">
        <v>34</v>
      </c>
      <c r="Y29" s="74">
        <v>32</v>
      </c>
      <c r="Z29" s="235"/>
      <c r="AA29" s="236"/>
      <c r="AB29" s="236"/>
      <c r="AC29" s="236"/>
      <c r="AD29" s="236"/>
      <c r="AE29" s="237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1" t="s" ph="1">
        <v>35</v>
      </c>
      <c r="C31" s="222" ph="1"/>
      <c r="D31" s="225" t="s" ph="1">
        <v>9</v>
      </c>
      <c r="E31" s="200" ph="1"/>
      <c r="F31" s="201" ph="1"/>
      <c r="G31" s="225" t="s" ph="1">
        <v>18</v>
      </c>
      <c r="H31" s="200" ph="1"/>
      <c r="I31" s="201" ph="1"/>
      <c r="J31" s="199" t="s" ph="1">
        <v>1</v>
      </c>
      <c r="K31" s="200" ph="1"/>
      <c r="L31" s="201" ph="1"/>
      <c r="M31" s="199" t="s" ph="1">
        <v>7</v>
      </c>
      <c r="N31" s="200" ph="1"/>
      <c r="O31" s="201" ph="1"/>
      <c r="P31" s="199" t="s" ph="1">
        <v>41</v>
      </c>
      <c r="Q31" s="200"/>
      <c r="R31" s="201"/>
      <c r="S31" s="199" t="s" ph="1">
        <v>2</v>
      </c>
      <c r="T31" s="200"/>
      <c r="U31" s="201"/>
      <c r="V31" s="199" t="s" ph="1">
        <v>71</v>
      </c>
      <c r="W31" s="200" ph="1"/>
      <c r="X31" s="201" ph="1"/>
      <c r="Y31" s="199" t="s" ph="1">
        <v>3</v>
      </c>
      <c r="Z31" s="200" ph="1"/>
      <c r="AA31" s="201" ph="1"/>
      <c r="AB31" s="202" t="s">
        <v>42</v>
      </c>
      <c r="AC31" s="203"/>
      <c r="AD31" s="203"/>
      <c r="AE31" s="204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3" ph="1"/>
      <c r="C32" s="224" ph="1"/>
      <c r="D32" s="96" t="s" ph="1">
        <v>4</v>
      </c>
      <c r="E32" s="153" t="s" ph="1">
        <v>5</v>
      </c>
      <c r="F32" s="152" t="s" ph="1">
        <v>43</v>
      </c>
      <c r="G32" s="97" t="s" ph="1">
        <v>4</v>
      </c>
      <c r="H32" s="153" t="s" ph="1">
        <v>5</v>
      </c>
      <c r="I32" s="152" t="s" ph="1">
        <v>43</v>
      </c>
      <c r="J32" s="97" t="s" ph="1">
        <v>4</v>
      </c>
      <c r="K32" s="153" t="s" ph="1">
        <v>5</v>
      </c>
      <c r="L32" s="152" t="s" ph="1">
        <v>43</v>
      </c>
      <c r="M32" s="97" t="s" ph="1">
        <v>4</v>
      </c>
      <c r="N32" s="153" t="s" ph="1">
        <v>5</v>
      </c>
      <c r="O32" s="152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3" t="s" ph="1">
        <v>5</v>
      </c>
      <c r="U32" s="99" t="s" ph="1">
        <v>43</v>
      </c>
      <c r="V32" s="97" t="s" ph="1">
        <v>4</v>
      </c>
      <c r="W32" s="153" t="s" ph="1">
        <v>5</v>
      </c>
      <c r="X32" s="99" t="s" ph="1">
        <v>43</v>
      </c>
      <c r="Y32" s="100" t="s" ph="1">
        <v>4</v>
      </c>
      <c r="Z32" s="153" t="s" ph="1">
        <v>5</v>
      </c>
      <c r="AA32" s="152" t="s" ph="1">
        <v>43</v>
      </c>
      <c r="AB32" s="97" t="s" ph="1">
        <v>85</v>
      </c>
      <c r="AC32" s="153" t="s" ph="1">
        <v>84</v>
      </c>
      <c r="AD32" s="205" t="s" ph="1">
        <v>83</v>
      </c>
      <c r="AE32" s="206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7" t="s" ph="1">
        <v>181</v>
      </c>
      <c r="C33" s="208" ph="1"/>
      <c r="D33" s="187" ph="1">
        <f>AA10+AB10+Z19</f>
        <v>107585.72389739999</v>
      </c>
      <c r="E33" s="187" ph="1">
        <f>M10+I10</f>
        <v>155422.59497620002</v>
      </c>
      <c r="F33" s="211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1522252632456786910111213141516171819202123456789101112131415161718192022232424356789101112131415161718192021222345678910111213141516171819202345678910111213149101516171819222123234567891012131415161711181920212224252345678910111213136[[#This Row],[F25]]</f>
        <v>3880</v>
      </c>
      <c r="G33" s="213" ph="1">
        <f>N19</f>
        <v>16103.748861600001</v>
      </c>
      <c r="H33" s="187" ph="1">
        <f>M19</f>
        <v>44418.178573648001</v>
      </c>
      <c r="I33" s="191" ph="1">
        <v>0</v>
      </c>
      <c r="J33" s="195" ph="1">
        <f>F10+O28</f>
        <v>204898.53531460001</v>
      </c>
      <c r="K33" s="187" ph="1">
        <f>O10+K10+E28+R28</f>
        <v>166838.37467324</v>
      </c>
      <c r="L33" s="197" ph="1">
        <f>K19</f>
        <v>29530.617767600001</v>
      </c>
      <c r="M33" s="195" ph="1">
        <f>G10+H10+W28+S28+V28+E10+R19+P28+Q28</f>
        <v>554211.87094210007</v>
      </c>
      <c r="N33" s="187" ph="1">
        <f>L10+P10++G28+H28+AD19+AE19</f>
        <v>152879.30461659998</v>
      </c>
      <c r="O33" s="191" ph="1">
        <f>G19</f>
        <v>4806.7212441599995</v>
      </c>
      <c r="P33" s="195" ph="1">
        <f>L19</f>
        <v>42370.576845794007</v>
      </c>
      <c r="Q33" s="187" ph="1">
        <f>J10+N10</f>
        <v>112710.43971028</v>
      </c>
      <c r="R33" s="191" ph="1">
        <f>BE23</f>
        <v>890</v>
      </c>
      <c r="S33" s="195" ph="1">
        <f>X28</f>
        <v>167747.10975880001</v>
      </c>
      <c r="T33" s="187" ph="1">
        <f>X19</f>
        <v>13830.48000464</v>
      </c>
      <c r="U33" s="176" ph="1">
        <f>BE21</f>
        <v>730</v>
      </c>
      <c r="V33" s="189" ph="1">
        <f ca="1">P19+Q19+S19+M28+N28+J28+D10+AC10+D19+E19+H19+J19+O19+V19+W19+K28+L28</f>
        <v>824866.02482066804</v>
      </c>
      <c r="W33" s="189" ph="1">
        <f>D28+F28+T28+I28</f>
        <v>24450.010961604003</v>
      </c>
      <c r="X33" s="191" ph="1">
        <f>BE29+BE31</f>
        <v>10200</v>
      </c>
      <c r="Y33" s="193" ph="1">
        <f>+Q10+R10+S10+T10+U10+V10+W10+X10+Y10</f>
        <v>229294.50542460001</v>
      </c>
      <c r="Z33" s="174" ph="1">
        <f>T19+U19+Y28+Z10</f>
        <v>94490.480439520004</v>
      </c>
      <c r="AA33" s="176" ph="1">
        <f>BE19</f>
        <v>1440</v>
      </c>
      <c r="AB33" s="178" ph="1">
        <f>I19</f>
        <v>28876.3935552</v>
      </c>
      <c r="AC33" s="180" ph="1">
        <f>AD10+AB19</f>
        <v>66197.309875199993</v>
      </c>
      <c r="AD33" s="182" ph="1">
        <v>0</v>
      </c>
      <c r="AE33" s="183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9" ph="1"/>
      <c r="C34" s="210" ph="1"/>
      <c r="D34" s="188" ph="1"/>
      <c r="E34" s="188" ph="1"/>
      <c r="F34" s="212" ph="1"/>
      <c r="G34" s="214" ph="1"/>
      <c r="H34" s="188" ph="1"/>
      <c r="I34" s="192" ph="1"/>
      <c r="J34" s="196" ph="1"/>
      <c r="K34" s="188" ph="1"/>
      <c r="L34" s="198" ph="1"/>
      <c r="M34" s="196" ph="1"/>
      <c r="N34" s="188" ph="1"/>
      <c r="O34" s="192" ph="1"/>
      <c r="P34" s="196" ph="1"/>
      <c r="Q34" s="188" ph="1"/>
      <c r="R34" s="192" ph="1"/>
      <c r="S34" s="196" ph="1"/>
      <c r="T34" s="188"/>
      <c r="U34" s="177"/>
      <c r="V34" s="190" ph="1"/>
      <c r="W34" s="190" ph="1"/>
      <c r="X34" s="192" ph="1"/>
      <c r="Y34" s="194" ph="1"/>
      <c r="Z34" s="175" ph="1"/>
      <c r="AA34" s="177" ph="1"/>
      <c r="AB34" s="179"/>
      <c r="AC34" s="181"/>
      <c r="AD34" s="184"/>
      <c r="AE34" s="185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6" t="s" ph="1">
        <v>631</v>
      </c>
      <c r="AD35" s="186"/>
      <c r="AE35" s="186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2" t="s" ph="1">
        <v>183</v>
      </c>
      <c r="J36" s="172" ph="1"/>
      <c r="K36" s="101" ph="1"/>
      <c r="P36" s="101" ph="1"/>
      <c r="R36" s="172" t="s" ph="1">
        <v>184</v>
      </c>
      <c r="S36" s="172" ph="1"/>
      <c r="Y36" s="102" ph="1"/>
      <c r="Z36" s="151" t="s" ph="1">
        <v>185</v>
      </c>
      <c r="AA36" s="151" ph="1"/>
      <c r="AB36" s="173" t="s" ph="1">
        <v>643</v>
      </c>
      <c r="AC36" s="173" ph="1"/>
      <c r="AD36" s="173" ph="1"/>
      <c r="AE36" s="173" ph="1"/>
      <c r="BA36" s="64" ph="1">
        <v>2270</v>
      </c>
    </row>
    <row r="37" spans="1:57" s="151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1" t="s" ph="1">
        <v>342</v>
      </c>
      <c r="AI37" s="151" t="s" ph="1">
        <v>209</v>
      </c>
      <c r="AJ37" s="151" t="s" ph="1">
        <v>210</v>
      </c>
      <c r="AK37" s="151" t="s" ph="1">
        <v>211</v>
      </c>
      <c r="AM37" s="151" t="s" ph="1">
        <v>210</v>
      </c>
      <c r="AN37" s="151" t="s" ph="1">
        <v>211</v>
      </c>
      <c r="AO37" s="151" t="s" ph="1">
        <v>212</v>
      </c>
      <c r="AP37" s="151" t="s" ph="1">
        <v>210</v>
      </c>
      <c r="AQ37" s="151" t="s" ph="1">
        <v>211</v>
      </c>
      <c r="AR37" s="151" t="s" ph="1">
        <v>212</v>
      </c>
      <c r="AS37" s="151" t="s" ph="1">
        <v>210</v>
      </c>
      <c r="AT37" s="151" t="s" ph="1">
        <v>211</v>
      </c>
      <c r="AU37" s="151" t="s" ph="1">
        <v>212</v>
      </c>
      <c r="AV37" s="151" t="s" ph="1">
        <v>210</v>
      </c>
      <c r="AW37" s="151" t="s" ph="1">
        <v>211</v>
      </c>
      <c r="AX37" s="151" t="s" ph="1">
        <v>212</v>
      </c>
      <c r="AY37" s="151" t="s" ph="1">
        <v>211</v>
      </c>
      <c r="AZ37" s="151" t="s" ph="1">
        <v>213</v>
      </c>
      <c r="BD37" s="151" t="s" ph="1">
        <v>305</v>
      </c>
      <c r="BE37" s="151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2513" priority="102">
      <formula>ABS(D$7-D$10)&gt;=1000</formula>
    </cfRule>
  </conditionalFormatting>
  <conditionalFormatting sqref="E4 E6:E11">
    <cfRule type="expression" dxfId="2512" priority="101">
      <formula>ABS(E$7-E$10)&gt;=1000</formula>
    </cfRule>
  </conditionalFormatting>
  <conditionalFormatting sqref="F4:F11">
    <cfRule type="expression" dxfId="2511" priority="100">
      <formula>ABS(F$7-F$10)&gt;=1000</formula>
    </cfRule>
  </conditionalFormatting>
  <conditionalFormatting sqref="G4:G11">
    <cfRule type="expression" dxfId="2510" priority="99">
      <formula>ABS(G$7-G$10)&gt;=1000</formula>
    </cfRule>
  </conditionalFormatting>
  <conditionalFormatting sqref="H4:H11">
    <cfRule type="expression" dxfId="2509" priority="98">
      <formula>ABS(H$7-H$10)&gt;=1000</formula>
    </cfRule>
  </conditionalFormatting>
  <conditionalFormatting sqref="I4:I11">
    <cfRule type="expression" dxfId="2508" priority="97">
      <formula>ABS(I$7-I$10)&gt;=1000</formula>
    </cfRule>
  </conditionalFormatting>
  <conditionalFormatting sqref="J4:J11">
    <cfRule type="expression" dxfId="2507" priority="96">
      <formula>ABS(J$7-J$10)&gt;=1000</formula>
    </cfRule>
  </conditionalFormatting>
  <conditionalFormatting sqref="K4:K11">
    <cfRule type="expression" dxfId="2506" priority="95">
      <formula>ABS(K$7-K$10)&gt;=1000</formula>
    </cfRule>
  </conditionalFormatting>
  <conditionalFormatting sqref="L4:L11">
    <cfRule type="expression" dxfId="2505" priority="94">
      <formula>ABS(L$7-L$10)&gt;=1000</formula>
    </cfRule>
  </conditionalFormatting>
  <conditionalFormatting sqref="M4 M6:M11">
    <cfRule type="expression" dxfId="2504" priority="93">
      <formula>ABS(M$7-M$10)&gt;=1000</formula>
    </cfRule>
  </conditionalFormatting>
  <conditionalFormatting sqref="N4 N6:N11">
    <cfRule type="expression" dxfId="2503" priority="92">
      <formula>ABS(N$7-N$10)&gt;=1000</formula>
    </cfRule>
  </conditionalFormatting>
  <conditionalFormatting sqref="O4 O6:O11">
    <cfRule type="expression" dxfId="2502" priority="91">
      <formula>ABS(O$7-O$10)&gt;=1000</formula>
    </cfRule>
  </conditionalFormatting>
  <conditionalFormatting sqref="P4 P6:P11">
    <cfRule type="expression" dxfId="2501" priority="90">
      <formula>ABS(P$7-P$10)&gt;=1000</formula>
    </cfRule>
  </conditionalFormatting>
  <conditionalFormatting sqref="Q4:Q11">
    <cfRule type="expression" dxfId="2500" priority="89">
      <formula>ABS(Q$7-Q$10)&gt;=1000</formula>
    </cfRule>
  </conditionalFormatting>
  <conditionalFormatting sqref="R4:R11">
    <cfRule type="expression" dxfId="2499" priority="88">
      <formula>ABS(R$7-R$10)&gt;=1000</formula>
    </cfRule>
  </conditionalFormatting>
  <conditionalFormatting sqref="S4:S11">
    <cfRule type="expression" dxfId="2498" priority="87">
      <formula>ABS(S$7-S$10)&gt;=1000</formula>
    </cfRule>
  </conditionalFormatting>
  <conditionalFormatting sqref="T4:T9 T11">
    <cfRule type="expression" dxfId="2497" priority="86">
      <formula>ABS(T$7-T$10)&gt;=1000</formula>
    </cfRule>
  </conditionalFormatting>
  <conditionalFormatting sqref="U4:U9 U11">
    <cfRule type="expression" dxfId="2496" priority="85">
      <formula>ABS(U$7-U$10)&gt;=1000</formula>
    </cfRule>
  </conditionalFormatting>
  <conditionalFormatting sqref="V4:V9 V11">
    <cfRule type="expression" dxfId="2495" priority="84">
      <formula>ABS(V$7-V$10)&gt;=1000</formula>
    </cfRule>
  </conditionalFormatting>
  <conditionalFormatting sqref="W4:W9 W11">
    <cfRule type="expression" dxfId="2494" priority="83">
      <formula>ABS(W$7-W$10)&gt;=1000</formula>
    </cfRule>
  </conditionalFormatting>
  <conditionalFormatting sqref="X4:X9 X11">
    <cfRule type="expression" dxfId="2493" priority="82">
      <formula>ABS(X$7-X$10)&gt;=1000</formula>
    </cfRule>
  </conditionalFormatting>
  <conditionalFormatting sqref="Y4:Y9 Y11">
    <cfRule type="expression" dxfId="2492" priority="81">
      <formula>ABS(Y$7-Y$10)&gt;=1000</formula>
    </cfRule>
  </conditionalFormatting>
  <conditionalFormatting sqref="Z4:Z11">
    <cfRule type="expression" dxfId="2491" priority="80">
      <formula>ABS(Z$7-Z$10)&gt;=1000</formula>
    </cfRule>
  </conditionalFormatting>
  <conditionalFormatting sqref="AA4:AA11">
    <cfRule type="expression" dxfId="2490" priority="79">
      <formula>ABS(AA$7-AA$10)&gt;=1000</formula>
    </cfRule>
  </conditionalFormatting>
  <conditionalFormatting sqref="AB4:AB11">
    <cfRule type="expression" dxfId="2489" priority="78">
      <formula>ABS(AB$7-AB$10)&gt;=1000</formula>
    </cfRule>
  </conditionalFormatting>
  <conditionalFormatting sqref="AC4 AC6:AC11">
    <cfRule type="expression" dxfId="2488" priority="77">
      <formula>ABS(AC$7-AC$10)&gt;=1000</formula>
    </cfRule>
  </conditionalFormatting>
  <conditionalFormatting sqref="AD4 AD6:AD11">
    <cfRule type="expression" dxfId="2487" priority="76">
      <formula>ABS(AD$7-AD$10)&gt;=1000</formula>
    </cfRule>
  </conditionalFormatting>
  <conditionalFormatting sqref="AE4 AE6:AE11">
    <cfRule type="expression" dxfId="2486" priority="75">
      <formula>ABS(AE$7-AE$10)&gt;=1000</formula>
    </cfRule>
  </conditionalFormatting>
  <conditionalFormatting sqref="D13:D20">
    <cfRule type="expression" dxfId="2485" priority="74">
      <formula>ABS(D$16-D$19)&gt;=1000</formula>
    </cfRule>
  </conditionalFormatting>
  <conditionalFormatting sqref="E13:E20">
    <cfRule type="expression" dxfId="2484" priority="73">
      <formula>ABS(E$16-E$19)&gt;=1000</formula>
    </cfRule>
  </conditionalFormatting>
  <conditionalFormatting sqref="F13 F15:F20">
    <cfRule type="expression" dxfId="2483" priority="72">
      <formula>ABS(F$16-F$19)&gt;=1000</formula>
    </cfRule>
  </conditionalFormatting>
  <conditionalFormatting sqref="G13:G20">
    <cfRule type="expression" dxfId="2482" priority="71">
      <formula>ABS(G$16-G$19)&gt;=1000</formula>
    </cfRule>
  </conditionalFormatting>
  <conditionalFormatting sqref="H13 H15:H20">
    <cfRule type="expression" dxfId="2481" priority="70">
      <formula>ABS(H$16-H$19)&gt;=1000</formula>
    </cfRule>
  </conditionalFormatting>
  <conditionalFormatting sqref="I13:I20">
    <cfRule type="expression" dxfId="2480" priority="69">
      <formula>ABS(I$16-I$19)&gt;=1000</formula>
    </cfRule>
  </conditionalFormatting>
  <conditionalFormatting sqref="J13:J20">
    <cfRule type="expression" dxfId="2479" priority="68">
      <formula>ABS(J$16-J$19)&gt;=1000</formula>
    </cfRule>
  </conditionalFormatting>
  <conditionalFormatting sqref="L13:L20">
    <cfRule type="expression" dxfId="2478" priority="67">
      <formula>ABS(L$16-L$19)&gt;=1000</formula>
    </cfRule>
  </conditionalFormatting>
  <conditionalFormatting sqref="M13 M15 M17:M18 M20">
    <cfRule type="expression" dxfId="2477" priority="66">
      <formula>ABS(M$16-M$19)&gt;=1000</formula>
    </cfRule>
  </conditionalFormatting>
  <conditionalFormatting sqref="N13:N20">
    <cfRule type="expression" dxfId="2476" priority="65">
      <formula>ABS(N$16-N$19)&gt;=1000</formula>
    </cfRule>
  </conditionalFormatting>
  <conditionalFormatting sqref="O13:O20">
    <cfRule type="expression" dxfId="2475" priority="64">
      <formula>ABS(O$16-O$19)&gt;=1000</formula>
    </cfRule>
  </conditionalFormatting>
  <conditionalFormatting sqref="P13:P20">
    <cfRule type="expression" dxfId="2474" priority="63">
      <formula>ABS(P$16-P$19)&gt;=1000</formula>
    </cfRule>
  </conditionalFormatting>
  <conditionalFormatting sqref="Q13 Q15:Q20">
    <cfRule type="expression" dxfId="2473" priority="62">
      <formula>ABS(Q$16-Q$19)&gt;=1000</formula>
    </cfRule>
  </conditionalFormatting>
  <conditionalFormatting sqref="R13:R20">
    <cfRule type="expression" dxfId="2472" priority="61">
      <formula>ABS(R$16-R$19)&gt;=1000</formula>
    </cfRule>
  </conditionalFormatting>
  <conditionalFormatting sqref="S13:S20">
    <cfRule type="expression" dxfId="2471" priority="60">
      <formula>ABS(S$16-S$19)&gt;=1000</formula>
    </cfRule>
  </conditionalFormatting>
  <conditionalFormatting sqref="T13:T15 T17:T20">
    <cfRule type="expression" dxfId="2470" priority="59">
      <formula>ABS(T$16-T$19)&gt;=1000</formula>
    </cfRule>
  </conditionalFormatting>
  <conditionalFormatting sqref="U13:U20">
    <cfRule type="expression" dxfId="2469" priority="58">
      <formula>ABS(U$16-U$19)&gt;=1000</formula>
    </cfRule>
  </conditionalFormatting>
  <conditionalFormatting sqref="V13:V20">
    <cfRule type="expression" dxfId="2468" priority="57">
      <formula>ABS(V$16-V$19)&gt;=1000</formula>
    </cfRule>
  </conditionalFormatting>
  <conditionalFormatting sqref="W13 W20 W15:W18">
    <cfRule type="expression" dxfId="2467" priority="56">
      <formula>ABS(W$16-W$19)&gt;=1000</formula>
    </cfRule>
  </conditionalFormatting>
  <conditionalFormatting sqref="X13 X15:X20 Y19">
    <cfRule type="expression" dxfId="2466" priority="55">
      <formula>ABS(X$16-X$19)&gt;=1000</formula>
    </cfRule>
  </conditionalFormatting>
  <conditionalFormatting sqref="Y13 Y15:Y18 Y20">
    <cfRule type="expression" dxfId="2465" priority="54">
      <formula>ABS(Y$16-Y$19)&gt;=1000</formula>
    </cfRule>
  </conditionalFormatting>
  <conditionalFormatting sqref="Z13:Z20">
    <cfRule type="expression" dxfId="2464" priority="53">
      <formula>ABS(Z$16-Z$19)&gt;=1000</formula>
    </cfRule>
  </conditionalFormatting>
  <conditionalFormatting sqref="AA13:AA20">
    <cfRule type="expression" dxfId="2463" priority="52">
      <formula>ABS(AA$16-AA$19)&gt;=1000</formula>
    </cfRule>
  </conditionalFormatting>
  <conditionalFormatting sqref="AB13 AB15:AB20">
    <cfRule type="expression" dxfId="2462" priority="51">
      <formula>ABS(AB$16-AB$19)&gt;=1000</formula>
    </cfRule>
  </conditionalFormatting>
  <conditionalFormatting sqref="AC13 AC15:AC20">
    <cfRule type="expression" dxfId="2461" priority="50">
      <formula>ABS(AC$16-AC$19)&gt;=1000</formula>
    </cfRule>
  </conditionalFormatting>
  <conditionalFormatting sqref="AD13:AD20">
    <cfRule type="expression" dxfId="2460" priority="49">
      <formula>ABS(AD$16-AD$19)&gt;=1000</formula>
    </cfRule>
  </conditionalFormatting>
  <conditionalFormatting sqref="AE13:AE20">
    <cfRule type="expression" dxfId="2459" priority="48">
      <formula>ABS(AE$16-AE$19)&gt;=1000</formula>
    </cfRule>
  </conditionalFormatting>
  <conditionalFormatting sqref="D22:D29">
    <cfRule type="expression" dxfId="2458" priority="47">
      <formula>ABS(D$25-D$28)&gt;=1000</formula>
    </cfRule>
  </conditionalFormatting>
  <conditionalFormatting sqref="E22:E29">
    <cfRule type="expression" dxfId="2457" priority="46">
      <formula>ABS(E$25-E$28)&gt;=1000</formula>
    </cfRule>
  </conditionalFormatting>
  <conditionalFormatting sqref="F22:F29">
    <cfRule type="expression" dxfId="2456" priority="45">
      <formula>ABS(F$25-F$28)&gt;=1000</formula>
    </cfRule>
  </conditionalFormatting>
  <conditionalFormatting sqref="G22:G29">
    <cfRule type="expression" dxfId="2455" priority="44">
      <formula>ABS(G$25-G$28)&gt;=1000</formula>
    </cfRule>
  </conditionalFormatting>
  <conditionalFormatting sqref="H22:H29">
    <cfRule type="expression" dxfId="2454" priority="43">
      <formula>ABS(H$25-H$28)&gt;=1000</formula>
    </cfRule>
  </conditionalFormatting>
  <conditionalFormatting sqref="I22 I24:I29">
    <cfRule type="expression" dxfId="2453" priority="42">
      <formula>ABS(I$25-I$28)&gt;=1000</formula>
    </cfRule>
  </conditionalFormatting>
  <conditionalFormatting sqref="J22:J29 K22">
    <cfRule type="expression" dxfId="2452" priority="41">
      <formula>ABS(J$25-J$28)&gt;=1000</formula>
    </cfRule>
  </conditionalFormatting>
  <conditionalFormatting sqref="K23:K29 L25 L28">
    <cfRule type="expression" dxfId="2451" priority="40">
      <formula>ABS(K$25-K$28)&gt;=1000</formula>
    </cfRule>
  </conditionalFormatting>
  <conditionalFormatting sqref="L22 L26:L27 L29 L24">
    <cfRule type="expression" dxfId="2450" priority="39">
      <formula>ABS(L$25-L$28)&gt;=1000</formula>
    </cfRule>
  </conditionalFormatting>
  <conditionalFormatting sqref="M22:M29">
    <cfRule type="expression" dxfId="2449" priority="38">
      <formula>ABS(M$25-M$28)&gt;=1000</formula>
    </cfRule>
  </conditionalFormatting>
  <conditionalFormatting sqref="N22:N29">
    <cfRule type="expression" dxfId="2448" priority="37">
      <formula>ABS(N$25-N$28)&gt;=1000</formula>
    </cfRule>
  </conditionalFormatting>
  <conditionalFormatting sqref="O22 O24:O29">
    <cfRule type="expression" dxfId="2447" priority="36">
      <formula>ABS(O$25-O$28)&gt;=1000</formula>
    </cfRule>
  </conditionalFormatting>
  <conditionalFormatting sqref="P22:P29">
    <cfRule type="expression" dxfId="2446" priority="35">
      <formula>ABS(P$25-P$28)&gt;=1000</formula>
    </cfRule>
  </conditionalFormatting>
  <conditionalFormatting sqref="Q22:Q29">
    <cfRule type="expression" dxfId="2445" priority="34">
      <formula>ABS(Q$25-Q$28)&gt;=1000</formula>
    </cfRule>
  </conditionalFormatting>
  <conditionalFormatting sqref="R22:R29">
    <cfRule type="expression" dxfId="2444" priority="33">
      <formula>ABS(R$25-R$28)&gt;=1000</formula>
    </cfRule>
  </conditionalFormatting>
  <conditionalFormatting sqref="S22:S29">
    <cfRule type="expression" dxfId="2443" priority="32">
      <formula>ABS(S$25-S$28)&gt;=1000</formula>
    </cfRule>
  </conditionalFormatting>
  <conditionalFormatting sqref="T22:T29">
    <cfRule type="expression" dxfId="2442" priority="31">
      <formula>ABS(T$25-T$28)&gt;=1000</formula>
    </cfRule>
  </conditionalFormatting>
  <conditionalFormatting sqref="U22:U29">
    <cfRule type="expression" dxfId="2441" priority="30">
      <formula>ABS(U$25-U$28)&gt;=1000</formula>
    </cfRule>
  </conditionalFormatting>
  <conditionalFormatting sqref="V22:V29">
    <cfRule type="expression" dxfId="2440" priority="29">
      <formula>ABS(V$25-V$28)&gt;=1000</formula>
    </cfRule>
  </conditionalFormatting>
  <conditionalFormatting sqref="W22:W29">
    <cfRule type="expression" dxfId="2439" priority="28">
      <formula>ABS(W$25-W$28)&gt;=1000</formula>
    </cfRule>
  </conditionalFormatting>
  <conditionalFormatting sqref="X22:X29">
    <cfRule type="expression" dxfId="2438" priority="27">
      <formula>ABS(X$25-X$28)&gt;=1000</formula>
    </cfRule>
  </conditionalFormatting>
  <conditionalFormatting sqref="Y22:Y29">
    <cfRule type="expression" dxfId="2437" priority="26">
      <formula>ABS(Y$25-Y$28)&gt;=1000</formula>
    </cfRule>
  </conditionalFormatting>
  <conditionalFormatting sqref="I23">
    <cfRule type="expression" dxfId="2436" priority="25">
      <formula>ABS(I$25-I$28)&gt;=1000</formula>
    </cfRule>
  </conditionalFormatting>
  <conditionalFormatting sqref="Q14">
    <cfRule type="expression" dxfId="2435" priority="24">
      <formula>ABS(Q$16-Q$19)&gt;=1000</formula>
    </cfRule>
  </conditionalFormatting>
  <conditionalFormatting sqref="W14">
    <cfRule type="expression" dxfId="2434" priority="23">
      <formula>ABS(W$16-W$19)&gt;=1000</formula>
    </cfRule>
  </conditionalFormatting>
  <conditionalFormatting sqref="X14">
    <cfRule type="expression" dxfId="2433" priority="22">
      <formula>ABS(X$16-X$19)&gt;=1000</formula>
    </cfRule>
  </conditionalFormatting>
  <conditionalFormatting sqref="T10:Y10">
    <cfRule type="expression" dxfId="2432" priority="21">
      <formula>ABS(T$7-T$10)&gt;=1000</formula>
    </cfRule>
  </conditionalFormatting>
  <conditionalFormatting sqref="W19">
    <cfRule type="expression" dxfId="2431" priority="20">
      <formula>ABS(W$16-W$19)&gt;=1000</formula>
    </cfRule>
  </conditionalFormatting>
  <conditionalFormatting sqref="AC5">
    <cfRule type="expression" dxfId="2430" priority="19">
      <formula>ABS(AC$7-AC$10)&gt;=1000</formula>
    </cfRule>
  </conditionalFormatting>
  <conditionalFormatting sqref="M14">
    <cfRule type="expression" dxfId="2429" priority="18">
      <formula>ABS(M$16-M$19)&gt;=1000</formula>
    </cfRule>
  </conditionalFormatting>
  <conditionalFormatting sqref="M16">
    <cfRule type="expression" dxfId="2428" priority="17">
      <formula>ABS(M$16-M$19)&gt;=1000</formula>
    </cfRule>
  </conditionalFormatting>
  <conditionalFormatting sqref="M19">
    <cfRule type="expression" dxfId="2427" priority="16">
      <formula>ABS(M$16-M$19)&gt;=1000</formula>
    </cfRule>
  </conditionalFormatting>
  <conditionalFormatting sqref="K13:K20">
    <cfRule type="expression" dxfId="2426" priority="15">
      <formula>ABS(K$16-K$19)&gt;=1000</formula>
    </cfRule>
  </conditionalFormatting>
  <conditionalFormatting sqref="E5">
    <cfRule type="expression" dxfId="2425" priority="14">
      <formula>ABS(E$7-E$10)&gt;=1000</formula>
    </cfRule>
  </conditionalFormatting>
  <conditionalFormatting sqref="AB14:AC14">
    <cfRule type="expression" dxfId="2424" priority="13">
      <formula>ABS(AB$16-AB$19)&gt;=1000</formula>
    </cfRule>
  </conditionalFormatting>
  <conditionalFormatting sqref="M5">
    <cfRule type="expression" dxfId="2423" priority="12">
      <formula>ABS(M$7-M$10)&gt;=1000</formula>
    </cfRule>
  </conditionalFormatting>
  <conditionalFormatting sqref="N5">
    <cfRule type="expression" dxfId="2422" priority="11">
      <formula>ABS(N$7-N$10)&gt;=1000</formula>
    </cfRule>
  </conditionalFormatting>
  <conditionalFormatting sqref="O5">
    <cfRule type="expression" dxfId="2421" priority="10">
      <formula>ABS(O$7-O$10)&gt;=1000</formula>
    </cfRule>
  </conditionalFormatting>
  <conditionalFormatting sqref="P5">
    <cfRule type="expression" dxfId="2420" priority="9">
      <formula>ABS(P$7-P$10)&gt;=1000</formula>
    </cfRule>
  </conditionalFormatting>
  <conditionalFormatting sqref="L23">
    <cfRule type="expression" dxfId="2419" priority="8">
      <formula>ABS(L$25-L$28)&gt;=1000</formula>
    </cfRule>
  </conditionalFormatting>
  <conditionalFormatting sqref="Y14">
    <cfRule type="expression" dxfId="2418" priority="7">
      <formula>ABS(Y$16-Y$19)&gt;=1000</formula>
    </cfRule>
  </conditionalFormatting>
  <conditionalFormatting sqref="F14">
    <cfRule type="expression" dxfId="2417" priority="6">
      <formula>ABS(F$16-F$19)&gt;=1000</formula>
    </cfRule>
  </conditionalFormatting>
  <conditionalFormatting sqref="H14">
    <cfRule type="expression" dxfId="2416" priority="5">
      <formula>ABS(H$16-H$19)&gt;=1000</formula>
    </cfRule>
  </conditionalFormatting>
  <conditionalFormatting sqref="AD5">
    <cfRule type="expression" dxfId="2415" priority="4">
      <formula>ABS(AD$7-AD$10)&gt;=1000</formula>
    </cfRule>
  </conditionalFormatting>
  <conditionalFormatting sqref="AE5">
    <cfRule type="expression" dxfId="2414" priority="3">
      <formula>ABS(AE$7-AE$10)&gt;=1000</formula>
    </cfRule>
  </conditionalFormatting>
  <conditionalFormatting sqref="T16">
    <cfRule type="expression" dxfId="2413" priority="2">
      <formula>ABS(T$16-T$19)&gt;=1000</formula>
    </cfRule>
  </conditionalFormatting>
  <conditionalFormatting sqref="O23">
    <cfRule type="expression" dxfId="2412" priority="1">
      <formula>ABS(O$25-O$28)&gt;=1000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28641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948">
    <pageSetUpPr fitToPage="1"/>
  </sheetPr>
  <dimension ref="A1:CU223"/>
  <sheetViews>
    <sheetView view="pageBreakPreview" topLeftCell="A22" zoomScale="85" zoomScaleNormal="100" zoomScaleSheetLayoutView="85" workbookViewId="0">
      <selection activeCell="X17" sqref="X17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39" t="s" ph="1">
        <v>161</v>
      </c>
      <c r="C1" s="239" ph="1"/>
      <c r="D1" s="239" ph="1"/>
      <c r="E1" s="239" ph="1"/>
      <c r="F1" s="239" ph="1"/>
      <c r="G1" s="239" ph="1"/>
      <c r="H1" s="239" ph="1"/>
      <c r="I1" s="239" ph="1"/>
      <c r="J1" s="239" ph="1"/>
      <c r="K1" s="239" ph="1"/>
      <c r="L1" s="239" ph="1"/>
      <c r="M1" s="239" ph="1"/>
      <c r="N1" s="239" ph="1"/>
      <c r="O1" s="239" ph="1"/>
      <c r="P1" s="239" ph="1"/>
      <c r="Q1" s="239" ph="1"/>
      <c r="R1" s="239" ph="1"/>
      <c r="S1" s="239" ph="1"/>
      <c r="T1" s="239" ph="1"/>
      <c r="U1" s="239" ph="1"/>
      <c r="V1" s="239" ph="1"/>
      <c r="W1" s="239" ph="1"/>
      <c r="X1" s="239" ph="1"/>
      <c r="Y1" s="239" ph="1"/>
      <c r="Z1" s="239" ph="1"/>
      <c r="AA1" s="239" ph="1"/>
      <c r="AB1" s="239" ph="1"/>
      <c r="AC1" s="239" ph="1"/>
      <c r="AD1" s="239" ph="1"/>
      <c r="AE1" s="239" ph="1"/>
    </row>
    <row r="2" spans="1:99" s="66" customFormat="1" ht="24" customHeight="1" ph="1">
      <c r="B2" s="240" t="s" ph="1">
        <v>82</v>
      </c>
      <c r="C2" s="240" ph="1"/>
      <c r="D2" s="240" ph="1"/>
      <c r="E2" s="240" ph="1"/>
      <c r="F2" s="240" ph="1"/>
      <c r="G2" s="240" ph="1"/>
      <c r="H2" s="240" ph="1"/>
      <c r="I2" s="240" ph="1"/>
      <c r="J2" s="240" ph="1"/>
      <c r="K2" s="240" ph="1"/>
      <c r="L2" s="240" ph="1"/>
      <c r="M2" s="240" ph="1"/>
      <c r="N2" s="240" ph="1"/>
      <c r="O2" s="240" ph="1"/>
      <c r="P2" s="240" ph="1"/>
      <c r="Q2" s="240" ph="1"/>
      <c r="R2" s="240" ph="1"/>
      <c r="S2" s="240" ph="1"/>
      <c r="T2" s="240" ph="1"/>
      <c r="U2" s="240" ph="1"/>
      <c r="V2" s="240" ph="1"/>
      <c r="W2" s="240" ph="1"/>
      <c r="X2" s="240" ph="1"/>
      <c r="Y2" s="240" ph="1"/>
      <c r="Z2" s="240" ph="1"/>
      <c r="AA2" s="240" ph="1"/>
      <c r="AB2" s="240" ph="1"/>
      <c r="AC2" s="240" ph="1"/>
      <c r="AD2" s="240" ph="1"/>
      <c r="AE2" s="240" ph="1"/>
    </row>
    <row r="3" spans="1:99" ht="21" customHeight="1" ph="1">
      <c r="B3" s="241" ph="1">
        <v>46240</v>
      </c>
      <c r="C3" s="241"/>
      <c r="D3" s="241"/>
      <c r="E3" s="241"/>
      <c r="F3" s="241"/>
      <c r="G3" s="241"/>
      <c r="H3" s="241"/>
      <c r="I3" s="241"/>
      <c r="J3" s="241"/>
      <c r="K3" s="241"/>
      <c r="L3" s="241"/>
      <c r="M3" s="241"/>
      <c r="N3" s="241"/>
      <c r="O3" s="241"/>
      <c r="P3" s="241"/>
      <c r="Q3" s="241"/>
      <c r="R3" s="241"/>
      <c r="S3" s="241"/>
      <c r="T3" s="241"/>
      <c r="U3" s="241"/>
      <c r="V3" s="241"/>
      <c r="W3" s="241"/>
      <c r="X3" s="241"/>
      <c r="Y3" s="241"/>
      <c r="Z3" s="241"/>
      <c r="AA3" s="241"/>
      <c r="AB3" s="241"/>
      <c r="AC3" s="241"/>
      <c r="AD3" s="241"/>
      <c r="AE3" s="241"/>
    </row>
    <row r="4" spans="1:99" s="69" customFormat="1" ph="1">
      <c r="A4" s="65" ph="1"/>
      <c r="B4" s="220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0" ph="1"/>
      <c r="C5" s="67" t="s" ph="1">
        <v>36</v>
      </c>
      <c r="D5" s="70" t="s" ph="1">
        <v>160</v>
      </c>
      <c r="E5" s="142" t="s" ph="1">
        <v>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8" ph="1">
        <v>0.33333333333333331</v>
      </c>
      <c r="C6" s="153" t="s" ph="1">
        <v>177</v>
      </c>
      <c r="D6" s="71">
        <v>5210</v>
      </c>
      <c r="E6" s="71">
        <v>278</v>
      </c>
      <c r="F6" s="71">
        <v>5857</v>
      </c>
      <c r="G6" s="71">
        <v>3197</v>
      </c>
      <c r="H6" s="71">
        <v>1405</v>
      </c>
      <c r="I6" s="71">
        <v>38.69</v>
      </c>
      <c r="J6" s="71">
        <v>77.010000000000005</v>
      </c>
      <c r="K6" s="71">
        <v>84.52</v>
      </c>
      <c r="L6" s="71">
        <v>6.87</v>
      </c>
      <c r="M6" s="71">
        <v>4253</v>
      </c>
      <c r="N6" s="71">
        <v>3688</v>
      </c>
      <c r="O6" s="71">
        <v>2598</v>
      </c>
      <c r="P6" s="71">
        <v>1144</v>
      </c>
      <c r="Q6" s="71">
        <v>2459</v>
      </c>
      <c r="R6" s="71">
        <v>0</v>
      </c>
      <c r="S6" s="71">
        <v>0</v>
      </c>
      <c r="T6" s="71">
        <v>0</v>
      </c>
      <c r="U6" s="71">
        <v>1452</v>
      </c>
      <c r="V6" s="71">
        <v>5323</v>
      </c>
      <c r="W6" s="71">
        <v>7046</v>
      </c>
      <c r="X6" s="71">
        <v>5678</v>
      </c>
      <c r="Y6" s="71">
        <v>3238</v>
      </c>
      <c r="Z6" s="71">
        <v>3395</v>
      </c>
      <c r="AA6" s="71">
        <v>1099</v>
      </c>
      <c r="AB6" s="71">
        <v>3370</v>
      </c>
      <c r="AC6" s="71">
        <v>6889</v>
      </c>
      <c r="AD6" s="71">
        <v>3384</v>
      </c>
      <c r="AE6" s="71">
        <v>4012</v>
      </c>
    </row>
    <row r="7" spans="1:99" s="72" customFormat="1" ht="22.2" ph="1">
      <c r="B7" s="238" ph="1"/>
      <c r="C7" s="68" t="s" ph="1">
        <v>178</v>
      </c>
      <c r="D7" s="73" ph="1">
        <f>D6*33.183*LOOKUP(D8,密度!$A$2:$A$50,密度!$Q$2:$Q$50)</f>
        <v>162838.90271699999</v>
      </c>
      <c r="E7" s="73" ph="1">
        <f>E6*51.53*LOOKUP(E8,密度!$A$2:$A$50,密度!$B$2:$B$50)</f>
        <v>11130.78918</v>
      </c>
      <c r="F7" s="73" ph="1">
        <f>F6*33.183*LOOKUP(F8,密度!$A$2:$A$50,密度!$C$2:$C$50)</f>
        <v>214779.31353809999</v>
      </c>
      <c r="G7" s="73" ph="1">
        <f xml:space="preserve"> (G6+2)*51.53*LOOKUP(G8,密度!$A$2:$A$50,密度!$B$2:$B$50)</f>
        <v>127803.917591</v>
      </c>
      <c r="H7" s="73" ph="1">
        <f>(H6)*51.53*LOOKUP(H8,密度!$A$2:$A$50,密度!$B$2:$B$50)</f>
        <v>56254.528050000008</v>
      </c>
      <c r="I7" s="73" ph="1">
        <f>I6*290.8*1.0267</f>
        <v>11551.455088399998</v>
      </c>
      <c r="J7" s="73" ph="1">
        <f>J6*290.8*0.7892</f>
        <v>17673.745713600001</v>
      </c>
      <c r="K7" s="73" ph="1">
        <f>K6*290.8*1.1126</f>
        <v>27345.945641600003</v>
      </c>
      <c r="L7" s="73" ph="1">
        <f>L6*290.8*0.777</f>
        <v>1552.2874920000002</v>
      </c>
      <c r="M7" s="73" ph="1">
        <f>M6*33.183*LOOKUP(M8,密度!$A$2:$A$50,密度!$D$2:$D$50)</f>
        <v>144232.09957799999</v>
      </c>
      <c r="N7" s="73" ph="1">
        <f>N6*33.183*LOOKUP(N8,密度!$A$2:$A$50,密度!$E$2:$E$50)</f>
        <v>95021.100010799986</v>
      </c>
      <c r="O7" s="73" ph="1">
        <f>O6*20.428*LOOKUP(O8,密度!$A$2:$A$50,密度!$C$2:$C$50)</f>
        <v>58485.282288000009</v>
      </c>
      <c r="P7" s="73" ph="1">
        <f>P6*51.53*LOOKUP(P8,密度!$A$2:$A$50,密度!$B$2:$B$50)</f>
        <v>45857.453928000003</v>
      </c>
      <c r="Q7" s="73" ph="1">
        <f>Q6*1.5*1.5*3.1416*LOOKUP(W8,密度!$A$2:$A$50,密度!$L$2:$L$50)</f>
        <v>16217.114344199999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9565.6819104000006</v>
      </c>
      <c r="V7" s="73" ph="1">
        <f>V6*1.5*1.5*3.1416*LOOKUP(V8,密度!$A$2:$A$50,密度!$L$2:$L$50)</f>
        <v>35067.579069600004</v>
      </c>
      <c r="W7" s="73" ph="1">
        <f>W6*1.5*1.5*3.1416*LOOKUP(W8,密度!$A$2:$A$50,密度!$L$2:$L$50)</f>
        <v>46468.396774800007</v>
      </c>
      <c r="X7" s="73" ph="1">
        <f>X6*1.5*1.5*3.1416*LOOKUP(X8,密度!$A$2:$A$50,密度!$L$2:$L$50)</f>
        <v>37807.651173599996</v>
      </c>
      <c r="Y7" s="73" ph="1">
        <f>Y6*1.5*1.5*3.1416*LOOKUP(Y8,密度!$A$2:$A$50,密度!$L$2:$L$50)</f>
        <v>21331.734177599999</v>
      </c>
      <c r="Z7" s="73" ph="1">
        <f>Z6*33.183*LOOKUP(Z8,密度!$A$2:$A$50,密度!$L$2:$L$50)</f>
        <v>105108.313905</v>
      </c>
      <c r="AA7" s="73" ph="1">
        <f>AA6*33.183*LOOKUP(AA8,密度!$A$2:$A$50,密度!$D$2:$D$50)</f>
        <v>37270.415573999999</v>
      </c>
      <c r="AB7" s="73" ph="1">
        <f>AB6*20.428*LOOKUP(AB8,密度!$A$2:$A$50,密度!$D$2:$D$50)</f>
        <v>70811.251495999997</v>
      </c>
      <c r="AC7" s="73" ph="1">
        <f>AC6*51.53*LOOKUP(AC8,密度!$A$2:$A$50,密度!$Q$2:$Q$50)</f>
        <v>335330.81438539998</v>
      </c>
      <c r="AD7" s="73" ph="1">
        <f>AD6*20.428*LOOKUP(AD8,密度!$A$2:$A$50,密度!$V$2:$V$50)</f>
        <v>66197.309875199993</v>
      </c>
      <c r="AE7" s="73" ph="1">
        <f>AE6*20.428</f>
        <v>81957.135999999999</v>
      </c>
    </row>
    <row r="8" spans="1:99" ph="1">
      <c r="B8" s="238" ph="1"/>
      <c r="C8" s="68" t="s" ph="1">
        <v>179</v>
      </c>
      <c r="D8" s="74">
        <v>32</v>
      </c>
      <c r="E8" s="74">
        <v>28</v>
      </c>
      <c r="F8" s="74">
        <v>30</v>
      </c>
      <c r="G8" s="74">
        <v>30</v>
      </c>
      <c r="H8" s="74">
        <v>28</v>
      </c>
      <c r="I8" s="74">
        <v>25</v>
      </c>
      <c r="J8" s="74">
        <v>25</v>
      </c>
      <c r="K8" s="74">
        <v>25</v>
      </c>
      <c r="L8" s="74">
        <v>25</v>
      </c>
      <c r="M8" s="74">
        <v>30</v>
      </c>
      <c r="N8" s="74">
        <v>31</v>
      </c>
      <c r="O8" s="74">
        <v>33</v>
      </c>
      <c r="P8" s="74">
        <v>27</v>
      </c>
      <c r="Q8" s="74">
        <v>30</v>
      </c>
      <c r="R8" s="74">
        <v>25</v>
      </c>
      <c r="S8" s="74">
        <v>25</v>
      </c>
      <c r="T8" s="74">
        <v>24</v>
      </c>
      <c r="U8" s="74">
        <v>30</v>
      </c>
      <c r="V8" s="74">
        <v>30</v>
      </c>
      <c r="W8" s="74">
        <v>29</v>
      </c>
      <c r="X8" s="74">
        <v>20</v>
      </c>
      <c r="Y8" s="74">
        <v>30</v>
      </c>
      <c r="Z8" s="74">
        <v>29</v>
      </c>
      <c r="AA8" s="74">
        <v>30</v>
      </c>
      <c r="AB8" s="74">
        <v>23</v>
      </c>
      <c r="AC8" s="74">
        <v>28</v>
      </c>
      <c r="AD8" s="74">
        <v>28</v>
      </c>
      <c r="AE8" s="74">
        <v>29</v>
      </c>
    </row>
    <row r="9" spans="1:99" ht="26.4" ph="1">
      <c r="B9" s="238" ph="1">
        <v>0.66666666666666663</v>
      </c>
      <c r="C9" s="153" t="s" ph="1">
        <v>180</v>
      </c>
      <c r="D9" s="71">
        <v>5561</v>
      </c>
      <c r="E9" s="71">
        <v>276</v>
      </c>
      <c r="F9" s="71">
        <v>5953</v>
      </c>
      <c r="G9" s="71">
        <v>4065</v>
      </c>
      <c r="H9" s="71">
        <v>1145</v>
      </c>
      <c r="I9" s="71">
        <v>38.71</v>
      </c>
      <c r="J9" s="71">
        <v>77.14</v>
      </c>
      <c r="K9" s="71">
        <v>84.46</v>
      </c>
      <c r="L9" s="71">
        <v>32.15</v>
      </c>
      <c r="M9" s="71">
        <v>4254</v>
      </c>
      <c r="N9" s="71">
        <v>3692</v>
      </c>
      <c r="O9" s="71">
        <v>1690</v>
      </c>
      <c r="P9" s="71">
        <v>601</v>
      </c>
      <c r="Q9" s="71">
        <v>5736</v>
      </c>
      <c r="R9" s="71">
        <v>2544</v>
      </c>
      <c r="S9" s="71">
        <v>0</v>
      </c>
      <c r="T9" s="71">
        <v>0</v>
      </c>
      <c r="U9" s="71">
        <v>2880</v>
      </c>
      <c r="V9" s="71">
        <v>2208</v>
      </c>
      <c r="W9" s="71">
        <v>7055</v>
      </c>
      <c r="X9" s="71">
        <v>5684</v>
      </c>
      <c r="Y9" s="71">
        <v>6083</v>
      </c>
      <c r="Z9" s="71">
        <v>1292</v>
      </c>
      <c r="AA9" s="71">
        <v>1101</v>
      </c>
      <c r="AB9" s="71">
        <v>3243</v>
      </c>
      <c r="AC9" s="71">
        <v>6766</v>
      </c>
      <c r="AD9" s="71">
        <v>3384</v>
      </c>
      <c r="AE9" s="71">
        <v>3993</v>
      </c>
    </row>
    <row r="10" spans="1:99" s="72" customFormat="1" ht="22.2" ph="1">
      <c r="B10" s="238" ph="1"/>
      <c r="C10" s="153" t="s" ph="1">
        <v>178</v>
      </c>
      <c r="D10" s="73" ph="1">
        <f>D9*33.183*LOOKUP(D11,密度!$A$2:$A$50,密度!$Q$2:$Q$50)</f>
        <v>173809.4314797</v>
      </c>
      <c r="E10" s="73" ph="1">
        <f>E9*51.53*LOOKUP(E11,密度!$A$2:$A$50,密度!$B$2:$B$50)</f>
        <v>10951.1556</v>
      </c>
      <c r="F10" s="73" ph="1">
        <f>F9*33.183*LOOKUP(F11,密度!$A$2:$A$50,密度!$C$2:$C$50)</f>
        <v>218102.14633590003</v>
      </c>
      <c r="G10" s="73" ph="1">
        <f xml:space="preserve"> (G9+2)*51.53*LOOKUP(G11,密度!$A$2:$A$50,密度!$B$2:$B$50)</f>
        <v>161559.44795900001</v>
      </c>
      <c r="H10" s="73" ph="1">
        <f>(H9)*51.53*LOOKUP(H11,密度!$A$2:$A$50,密度!$B$2:$B$50)</f>
        <v>45431.424500000001</v>
      </c>
      <c r="I10" s="73" ph="1">
        <f>I9*290.8*1.0267</f>
        <v>11557.4263756</v>
      </c>
      <c r="J10" s="73" ph="1">
        <f>J9*290.8*0.7892</f>
        <v>17703.580630400003</v>
      </c>
      <c r="K10" s="73" ph="1">
        <f>K9*290.8*1.1126</f>
        <v>27326.532996800001</v>
      </c>
      <c r="L10" s="73" ph="1">
        <f>L9*290.8*0.777</f>
        <v>7264.3439399999997</v>
      </c>
      <c r="M10" s="73" ph="1">
        <f>M9*33.183*LOOKUP(M11,密度!$A$2:$A$50,密度!$D$2:$D$50)</f>
        <v>143771.95091699998</v>
      </c>
      <c r="N10" s="73" ph="1">
        <f>N9*33.183*LOOKUP(N11,密度!$A$2:$A$50,密度!$E$2:$E$50)</f>
        <v>94847.283474840006</v>
      </c>
      <c r="O10" s="73" ph="1">
        <f>O9*20.428*LOOKUP(O11,密度!$A$2:$A$50,密度!$C$2:$C$50)</f>
        <v>38079.221960000003</v>
      </c>
      <c r="P10" s="73" ph="1">
        <f>P9*51.53*LOOKUP(P11,密度!$A$2:$A$50,密度!$B$2:$B$50)</f>
        <v>23930.155831000004</v>
      </c>
      <c r="Q10" s="73" ph="1">
        <f>Q9*1.5*1.5*3.1416*LOOKUP(W11,密度!$A$2:$A$50,密度!$L$2:$L$50)</f>
        <v>37747.850817600003</v>
      </c>
      <c r="R10" s="73" ph="1">
        <f>R9*1.5*1.5*3.1416*LOOKUP(R11,密度!$A$2:$A$50,密度!$L$2:$L$50)</f>
        <v>16669.794556800003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18952.895808000001</v>
      </c>
      <c r="V10" s="73" ph="1">
        <f>V9*1.5*1.5*3.1416*LOOKUP(V11,密度!$A$2:$A$50,密度!$L$2:$L$50)</f>
        <v>14483.731046400002</v>
      </c>
      <c r="W10" s="73" ph="1">
        <f>W9*1.5*1.5*3.1416*LOOKUP(W11,密度!$A$2:$A$50,密度!$L$2:$L$50)</f>
        <v>46428.013863</v>
      </c>
      <c r="X10" s="73" ph="1">
        <f>X9*1.5*1.5*3.1416*LOOKUP(X11,密度!$A$2:$A$50,密度!$L$2:$L$50)</f>
        <v>37686.891211199996</v>
      </c>
      <c r="Y10" s="73" ph="1">
        <f>Y9*1.5*1.5*3.1416*LOOKUP(Y11,密度!$A$2:$A$50,密度!$L$2:$L$50)</f>
        <v>40031.411527800003</v>
      </c>
      <c r="Z10" s="73" ph="1">
        <f>Z9*33.183*LOOKUP(Z11,密度!$A$2:$A$50,密度!$L$2:$L$50)</f>
        <v>39957.110352000003</v>
      </c>
      <c r="AA10" s="73" ph="1">
        <f>AA9*33.183*LOOKUP(AA11,密度!$A$2:$A$50,密度!$D$2:$D$50)</f>
        <v>37243.251970200006</v>
      </c>
      <c r="AB10" s="73" ph="1">
        <f>AB9*20.428*LOOKUP(AB11,密度!$A$2:$A$50,密度!$D$2:$D$50)</f>
        <v>67645.836884399992</v>
      </c>
      <c r="AC10" s="73" ph="1">
        <f>AC9*51.53*LOOKUP(AC11,密度!$A$2:$A$50,密度!$Q$2:$Q$50)</f>
        <v>328632.38330839999</v>
      </c>
      <c r="AD10" s="73" ph="1">
        <f>AD9*20.428*LOOKUP(AD11,密度!$A$2:$A$50,密度!$V$2:$V$50)</f>
        <v>66197.309875199993</v>
      </c>
      <c r="AE10" s="73" ph="1">
        <f>AE9*20.428</f>
        <v>81569.004000000001</v>
      </c>
    </row>
    <row r="11" spans="1:99" ph="1">
      <c r="A11" s="64" t="s" ph="1">
        <v>162</v>
      </c>
      <c r="B11" s="238" ph="1"/>
      <c r="C11" s="153" t="s" ph="1">
        <v>179</v>
      </c>
      <c r="D11" s="74">
        <v>32</v>
      </c>
      <c r="E11" s="74">
        <v>36</v>
      </c>
      <c r="F11" s="74">
        <v>31</v>
      </c>
      <c r="G11" s="74">
        <v>35</v>
      </c>
      <c r="H11" s="74">
        <v>36</v>
      </c>
      <c r="I11" s="74">
        <v>25</v>
      </c>
      <c r="J11" s="74">
        <v>25</v>
      </c>
      <c r="K11" s="74">
        <v>25</v>
      </c>
      <c r="L11" s="74">
        <v>25</v>
      </c>
      <c r="M11" s="74">
        <v>34</v>
      </c>
      <c r="N11" s="74">
        <v>33</v>
      </c>
      <c r="O11" s="74">
        <v>32</v>
      </c>
      <c r="P11" s="74">
        <v>33</v>
      </c>
      <c r="Q11" s="74">
        <v>34</v>
      </c>
      <c r="R11" s="74">
        <v>35</v>
      </c>
      <c r="S11" s="74">
        <v>31</v>
      </c>
      <c r="T11" s="74">
        <v>34</v>
      </c>
      <c r="U11" s="74">
        <v>31</v>
      </c>
      <c r="V11" s="74">
        <v>34</v>
      </c>
      <c r="W11" s="74">
        <v>31</v>
      </c>
      <c r="X11" s="74">
        <v>24</v>
      </c>
      <c r="Y11" s="74">
        <v>31</v>
      </c>
      <c r="Z11" s="74">
        <v>30</v>
      </c>
      <c r="AA11" s="74">
        <v>33</v>
      </c>
      <c r="AB11" s="74">
        <v>31</v>
      </c>
      <c r="AC11" s="74">
        <v>31</v>
      </c>
      <c r="AD11" s="74">
        <v>33</v>
      </c>
      <c r="AE11" s="74">
        <v>32</v>
      </c>
    </row>
    <row r="12" spans="1:99" ht="9.9" customHeight="1" ph="1"/>
    <row r="13" spans="1:99" s="72" customFormat="1" ht="29.25" customHeight="1" ph="1">
      <c r="B13" s="215" t="s" ph="1">
        <v>37</v>
      </c>
      <c r="C13" s="153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6" ph="1"/>
      <c r="C14" s="67" t="s" ph="1">
        <v>36</v>
      </c>
      <c r="D14" s="77" t="s" ph="1">
        <v>616</v>
      </c>
      <c r="E14" s="77" t="s" ph="1">
        <v>616</v>
      </c>
      <c r="F14" s="144" t="s" ph="1">
        <v>636</v>
      </c>
      <c r="G14" s="77" t="s" ph="1">
        <v>617</v>
      </c>
      <c r="H14" s="77" t="s" ph="1">
        <v>637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638</v>
      </c>
      <c r="P14" s="77" t="s" ph="1">
        <v>622</v>
      </c>
      <c r="Q14" s="77" t="s" ph="1">
        <v>622</v>
      </c>
      <c r="R14" s="88" t="s" ph="1">
        <v>7</v>
      </c>
      <c r="S14" s="77" t="s" ph="1">
        <v>622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17" ph="1">
        <v>0.33333333333333331</v>
      </c>
      <c r="C15" s="153" t="s" ph="1">
        <v>177</v>
      </c>
      <c r="D15" s="78">
        <v>3657</v>
      </c>
      <c r="E15" s="78">
        <v>1730</v>
      </c>
      <c r="F15" s="78">
        <v>2478</v>
      </c>
      <c r="G15" s="78">
        <v>936</v>
      </c>
      <c r="H15" s="78">
        <v>4368</v>
      </c>
      <c r="I15" s="78">
        <v>3130</v>
      </c>
      <c r="J15" s="78">
        <v>0</v>
      </c>
      <c r="K15" s="78">
        <v>2275</v>
      </c>
      <c r="L15" s="78">
        <v>6019</v>
      </c>
      <c r="M15" s="78">
        <v>6778</v>
      </c>
      <c r="N15" s="78">
        <v>885</v>
      </c>
      <c r="O15" s="78">
        <v>5575</v>
      </c>
      <c r="P15" s="78">
        <v>2274</v>
      </c>
      <c r="Q15" s="78">
        <v>3999</v>
      </c>
      <c r="R15" s="78">
        <v>0</v>
      </c>
      <c r="S15" s="78">
        <v>0</v>
      </c>
      <c r="T15" s="78">
        <v>4122</v>
      </c>
      <c r="U15" s="78">
        <v>0</v>
      </c>
      <c r="V15" s="78">
        <v>-817</v>
      </c>
      <c r="W15" s="71">
        <v>349</v>
      </c>
      <c r="X15" s="78">
        <v>862</v>
      </c>
      <c r="Y15" s="106">
        <v>-9908</v>
      </c>
      <c r="Z15" s="78">
        <v>0</v>
      </c>
      <c r="AA15" s="78">
        <v>2502</v>
      </c>
      <c r="AB15" s="78" ph="1">
        <v>4</v>
      </c>
      <c r="AC15" s="78" ph="1">
        <v>0</v>
      </c>
      <c r="AD15" s="78">
        <v>5.63</v>
      </c>
      <c r="AE15" s="78">
        <v>47.43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18" ph="1"/>
      <c r="C16" s="153" t="s" ph="1">
        <v>178</v>
      </c>
      <c r="D16" s="73" ph="1">
        <f>D15*7.0686*LOOKUP(D17,密度!$A$2:$A$50,密度!$L$2:$L$50)</f>
        <v>24092.079026400002</v>
      </c>
      <c r="E16" s="73" ph="1">
        <f>E15*7.0686*LOOKUP(E17,密度!$A$2:$A$50,密度!$L$2:$L$50)</f>
        <v>11397.127896</v>
      </c>
      <c r="F16" s="73" ph="1">
        <f>F15*9.0746*LOOKUP(F17,密度!$A$2:$A$50,密度!$L$2:$L$50)</f>
        <v>20890.291825200002</v>
      </c>
      <c r="G16" s="73" ph="1">
        <f>G15*9.0746*LOOKUP(G17,密度!$A$2:$A$50,密度!$B$2:$B$50)</f>
        <v>6599.7024912000006</v>
      </c>
      <c r="H16" s="73" ph="1">
        <f>H15*9.0746*LOOKUP(H17,密度!$A$2:$A$50,密度!$L$2:$L$50)</f>
        <v>37101.030220799999</v>
      </c>
      <c r="I16" s="73" ph="1">
        <f>I15*9.0746*LOOKUP(I17,密度!$A$2:$A$50,密度!$U$2:$U$50)</f>
        <v>28971.56796</v>
      </c>
      <c r="J16" s="73" ph="1">
        <f>J15*9.0746*LOOKUP(J17,密度!$A$2:$A$50,密度!$L$2:$L$50)</f>
        <v>0</v>
      </c>
      <c r="K16" s="73" ph="1">
        <f>K15*9.0746*LOOKUP(K17,密度!$A$2:$A$50,密度!$C$2:$C$50)</f>
        <v>22969.309909</v>
      </c>
      <c r="L16" s="73" ph="1">
        <f>L15*9.0746*LOOKUP(L17,密度!$A$2:$A$50,密度!$E$2:$E$50)</f>
        <v>42472.525530240004</v>
      </c>
      <c r="M16" s="73" ph="1">
        <f>M15*9.0746*LOOKUP(M17,密度!$A$2:$A$50,密度!$M$2:$M$50)</f>
        <v>53377.559103416002</v>
      </c>
      <c r="N16" s="73" ph="1">
        <f>N15*9.0746*LOOKUP(N17,密度!$A$2:$A$50,密度!$M$2:$M$50)</f>
        <v>7011.8844351000007</v>
      </c>
      <c r="O16" s="73" ph="1">
        <f>O15*9.0746*LOOKUP(O17,密度!$A$2:$A$50,密度!$G$2:$G$50)</f>
        <v>48299.127456500006</v>
      </c>
      <c r="P16" s="73" ph="1">
        <f ca="1">P15*9.0746*LOOKUP(P17,密度!$A$2:$A$51,密度!$Q$2:$Q$50)</f>
        <v>19466.218658532001</v>
      </c>
      <c r="Q16" s="73" ph="1">
        <f>Q15*9.0746*LOOKUP(Q17,密度!$A$2:$A$50,密度!$Q$2:$Q$50)</f>
        <v>34232.809329582</v>
      </c>
      <c r="R16" s="73" t="e" ph="1">
        <f>MAX(R15*9.0746*LOOKUP(R17,密度!$A$2:$A$50,密度!$B$2:$B$50),0)</f>
        <v>#N/A</v>
      </c>
      <c r="S16" s="73" ph="1">
        <f>S15*9.0746*LOOKUP(S17,密度!$A$2:$A$50,密度!$Q$2:$Q$50)</f>
        <v>0</v>
      </c>
      <c r="T16" s="73" ph="1">
        <f>T15*9.0746*LOOKUP(T17,密度!$A$2:$A$50,密度!$O$2:$O$50)</f>
        <v>34487.872106399998</v>
      </c>
      <c r="U16" s="73" ph="1">
        <f>U15*9.0746*LOOKUP(U17,密度!$A$2:$A$50,密度!$H$2:$H$50)</f>
        <v>0</v>
      </c>
      <c r="V16" s="73" ph="1">
        <f>MAX(5600*LOOKUP(V17,密度!$A$2:$A$50,密度!$Q$2:$Q$50)+V15*9.0476*LOOKUP(V17,密度!$A$2:$A$50,密度!$Q$2:$Q$50),0)</f>
        <v>0</v>
      </c>
      <c r="W16" s="73" ph="1">
        <f>MAX(5600*LOOKUP(W17,密度!$A$2:$A$50,密度!$Q$2:$Q$50)+W15*9.0476*LOOKUP(W17,密度!$A$2:$A$50,密度!$Q$2:$Q$50),0)</f>
        <v>8261.3185052919998</v>
      </c>
      <c r="X16" s="73" ph="1">
        <f>MAX(5600*LOOKUP(X17,密度!$A$2:$A$50,密度!$I$2:$I$50)+X15*9.0476*LOOKUP(X17,密度!$A$2:$A$50,密度!$I$2:$I$50),0)</f>
        <v>13876.03671072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17602.914524759999</v>
      </c>
      <c r="AB16" s="73" ph="1">
        <f>AB15*9.0746*LOOKUP(AB17,密度!$A$2:$A$50,密度!$L$2:$L$50)</f>
        <v>33.902705600000004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2400.1298846399995</v>
      </c>
      <c r="AE16" s="73" ph="1">
        <f>AE15*268.68*LOOKUP(AE17,密度!$A$2:$A$50,密度!B2:B50)+IF(AE15&lt;=0,0,1566*LOOKUP(AE17,密度!$A$2:$A$50,密度!B2:B50))</f>
        <v>11155.68027504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19" ph="1"/>
      <c r="C17" s="79" t="s" ph="1">
        <v>179</v>
      </c>
      <c r="D17" s="74">
        <v>30</v>
      </c>
      <c r="E17" s="74">
        <v>30</v>
      </c>
      <c r="F17" s="74">
        <v>33</v>
      </c>
      <c r="G17" s="74">
        <v>28</v>
      </c>
      <c r="H17" s="74">
        <v>26</v>
      </c>
      <c r="I17" s="74">
        <v>30</v>
      </c>
      <c r="J17" s="74">
        <v>30</v>
      </c>
      <c r="K17" s="74">
        <v>20</v>
      </c>
      <c r="L17" s="74">
        <v>30</v>
      </c>
      <c r="M17" s="74">
        <v>32</v>
      </c>
      <c r="N17" s="74">
        <v>27</v>
      </c>
      <c r="O17" s="74">
        <v>30</v>
      </c>
      <c r="P17" s="74">
        <v>30</v>
      </c>
      <c r="Q17" s="74">
        <v>30</v>
      </c>
      <c r="R17" s="74">
        <v>0</v>
      </c>
      <c r="S17" s="74">
        <v>29</v>
      </c>
      <c r="T17" s="74">
        <v>30</v>
      </c>
      <c r="U17" s="74">
        <v>27</v>
      </c>
      <c r="V17" s="74">
        <v>33</v>
      </c>
      <c r="W17" s="74">
        <v>30</v>
      </c>
      <c r="X17" s="74">
        <v>31</v>
      </c>
      <c r="Y17" s="108">
        <v>31</v>
      </c>
      <c r="Z17" s="74">
        <v>29</v>
      </c>
      <c r="AA17" s="74">
        <v>30</v>
      </c>
      <c r="AB17" s="74">
        <v>28</v>
      </c>
      <c r="AC17" s="74">
        <v>27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17" ph="1">
        <v>0.66666666666666663</v>
      </c>
      <c r="C18" s="79" t="s" ph="1">
        <v>180</v>
      </c>
      <c r="D18" s="71">
        <v>3801</v>
      </c>
      <c r="E18" s="71">
        <v>2845</v>
      </c>
      <c r="F18" s="71">
        <v>2628</v>
      </c>
      <c r="G18" s="71">
        <v>1051</v>
      </c>
      <c r="H18" s="71">
        <v>4372</v>
      </c>
      <c r="I18" s="71">
        <v>3132</v>
      </c>
      <c r="J18" s="71">
        <v>0</v>
      </c>
      <c r="K18" s="71">
        <v>2296</v>
      </c>
      <c r="L18" s="71">
        <v>6029</v>
      </c>
      <c r="M18" s="71">
        <v>4898</v>
      </c>
      <c r="N18" s="71">
        <v>4043</v>
      </c>
      <c r="O18" s="71">
        <v>5834</v>
      </c>
      <c r="P18" s="71">
        <v>2276</v>
      </c>
      <c r="Q18" s="71">
        <v>4002</v>
      </c>
      <c r="R18" s="71">
        <v>0</v>
      </c>
      <c r="S18" s="71">
        <v>0</v>
      </c>
      <c r="T18" s="71">
        <v>4126</v>
      </c>
      <c r="U18" s="71">
        <v>0</v>
      </c>
      <c r="V18" s="71">
        <v>-817</v>
      </c>
      <c r="W18" s="71">
        <v>349</v>
      </c>
      <c r="X18" s="71">
        <v>862</v>
      </c>
      <c r="Y18" s="109">
        <v>-9907</v>
      </c>
      <c r="Z18" s="71">
        <v>0</v>
      </c>
      <c r="AA18" s="71">
        <v>2505</v>
      </c>
      <c r="AB18" s="71">
        <v>22</v>
      </c>
      <c r="AC18" s="71">
        <v>0</v>
      </c>
      <c r="AD18" s="71">
        <v>14.28</v>
      </c>
      <c r="AE18" s="71">
        <v>84.43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18" ph="1"/>
      <c r="C19" s="153" t="s" ph="1">
        <v>178</v>
      </c>
      <c r="D19" s="73" ph="1">
        <f>D18*7.0686*LOOKUP(D20,密度!$A$2:$A$50,密度!$L$2:$L$50)</f>
        <v>24960.138449400001</v>
      </c>
      <c r="E19" s="73" ph="1">
        <f>E18*7.0686*LOOKUP(E20,密度!$A$2:$A$50,密度!$L$2:$L$50)</f>
        <v>18682.345143000002</v>
      </c>
      <c r="F19" s="73" ph="1">
        <f>F18*9.0746*LOOKUP(F20,密度!$A$2:$A$50,密度!$L$2:$L$50)</f>
        <v>22154.837335200002</v>
      </c>
      <c r="G19" s="73" ph="1">
        <f>G18*9.0746*LOOKUP(G20,密度!$A$2:$A$50,密度!$B$2:$B$50)</f>
        <v>7377.1824580999992</v>
      </c>
      <c r="H19" s="73" ph="1">
        <f>H18*9.0746*LOOKUP(H20,密度!$A$2:$A$50,密度!$L$2:$L$50)</f>
        <v>36976.308918400005</v>
      </c>
      <c r="I19" s="73" ph="1">
        <f>I18*9.0746*LOOKUP(I20,密度!$A$2:$A$50,密度!$U$2:$U$50)</f>
        <v>28904.815202399997</v>
      </c>
      <c r="J19" s="73" ph="1">
        <f>J18*9.0746*LOOKUP(J20,密度!$A$2:$A$50,密度!$L$2:$L$50)</f>
        <v>0</v>
      </c>
      <c r="K19" s="73" ph="1">
        <f>K18*9.0746*LOOKUP(K20,密度!$A$2:$A$50,密度!$C$2:$C$50)</f>
        <v>22981.315604800002</v>
      </c>
      <c r="L19" s="73" ph="1">
        <f>L18*9.0746*LOOKUP(L20,密度!$A$2:$A$50,密度!$E$2:$E$50)</f>
        <v>42480.172241929999</v>
      </c>
      <c r="M19" s="73" ph="1">
        <f>M18*9.0746*LOOKUP(M20,密度!$A$2:$A$50,密度!$M$2:$M$50)</f>
        <v>38478.995163376007</v>
      </c>
      <c r="N19" s="73" ph="1">
        <f>N18*9.0746*LOOKUP(N20,密度!$A$2:$A$50,密度!$M$2:$M$50)</f>
        <v>31955.777393799999</v>
      </c>
      <c r="O19" s="73" ph="1">
        <f>O18*9.0746*LOOKUP(O20,密度!$A$2:$A$50,密度!$G$2:$G$50)</f>
        <v>50377.273289748009</v>
      </c>
      <c r="P19" s="73" ph="1">
        <f ca="1">P18*9.0746*LOOKUP(P20,密度!$A$2:$A$51,密度!$Q$2:$Q$50)</f>
        <v>19467.849001168001</v>
      </c>
      <c r="Q19" s="73" ph="1">
        <f>Q18*9.0746*LOOKUP(Q20,密度!$A$2:$A$50,密度!$Q$2:$Q$50)</f>
        <v>34182.951934500001</v>
      </c>
      <c r="R19" s="73" ph="1">
        <f>MAX(R18*9.0746*LOOKUP(R20,密度!$A$2:$A$50,密度!$B$2:$B$50),0)</f>
        <v>0</v>
      </c>
      <c r="S19" s="73" ph="1">
        <f>S18*9.0746*LOOKUP(S20,密度!$A$2:$A$50,密度!$Q$2:$Q$50)</f>
        <v>0</v>
      </c>
      <c r="T19" s="73" ph="1">
        <f>T18*9.0746*LOOKUP(T20,密度!$A$2:$A$50,密度!$O$2:$O$50)</f>
        <v>34491.385791519999</v>
      </c>
      <c r="U19" s="73" ph="1">
        <f>U18*9.0746*LOOKUP(U20,密度!$A$2:$A$50,密度!$H$2:$H$50)</f>
        <v>0</v>
      </c>
      <c r="V19" s="73" ph="1">
        <f>MAX(5600*LOOKUP(V20,密度!$A$2:$A$50,密度!$Q$2:$Q$50)+V18*9.0476*LOOKUP(V20,密度!$A$2:$A$50,密度!$Q$2:$Q$50),0)</f>
        <v>0</v>
      </c>
      <c r="W19" s="73" ph="1">
        <f>MAX(5600*LOOKUP(W20,密度!$A$2:$A$50,密度!$Q$2:$Q$50)+W18*9.0476*LOOKUP(W20,密度!$A$2:$A$50,密度!$Q$2:$Q$50),0)</f>
        <v>8243.1026715000007</v>
      </c>
      <c r="X19" s="73" ph="1">
        <f>MAX(5600*LOOKUP(X20,密度!$A$2:$A$50,密度!$I$2:$I$50)+X18*9.0476*LOOKUP(X20,密度!$A$2:$A$50,密度!$I$2:$I$50),0)</f>
        <v>13846.558842080001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17583.1037655</v>
      </c>
      <c r="AB19" s="73" ph="1">
        <f>AB18*9.0746*LOOKUP(AB20,密度!$A$2:$A$50,密度!$L$2:$L$50)</f>
        <v>185.26703360000002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4197.9370607999999</v>
      </c>
      <c r="AE19" s="73" ph="1">
        <f>AE18*268.68*LOOKUP(AE20,密度!$A$2:$A$50,密度!B5:B53)+IF(AE18&lt;=0,0,1566*LOOKUP(AE20,密度!$A$2:$A$50,密度!B5:B53))</f>
        <v>18842.7569148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18" ph="1"/>
      <c r="C20" s="80" t="s" ph="1">
        <v>179</v>
      </c>
      <c r="D20" s="81">
        <v>33</v>
      </c>
      <c r="E20" s="81">
        <v>33</v>
      </c>
      <c r="F20" s="81">
        <v>33</v>
      </c>
      <c r="G20" s="81">
        <v>32</v>
      </c>
      <c r="H20" s="81">
        <v>30</v>
      </c>
      <c r="I20" s="81">
        <v>33</v>
      </c>
      <c r="J20" s="81">
        <v>34</v>
      </c>
      <c r="K20" s="81">
        <v>32</v>
      </c>
      <c r="L20" s="81">
        <v>31</v>
      </c>
      <c r="M20" s="81">
        <v>34</v>
      </c>
      <c r="N20" s="81">
        <v>29</v>
      </c>
      <c r="O20" s="81">
        <v>33</v>
      </c>
      <c r="P20" s="81">
        <v>31</v>
      </c>
      <c r="Q20" s="81">
        <v>33</v>
      </c>
      <c r="R20" s="81">
        <v>38</v>
      </c>
      <c r="S20" s="81">
        <v>35</v>
      </c>
      <c r="T20" s="81">
        <v>33</v>
      </c>
      <c r="U20" s="81">
        <v>35</v>
      </c>
      <c r="V20" s="81">
        <v>33</v>
      </c>
      <c r="W20" s="81">
        <v>33</v>
      </c>
      <c r="X20" s="81">
        <v>33</v>
      </c>
      <c r="Y20" s="110">
        <v>33</v>
      </c>
      <c r="Z20" s="81">
        <v>34</v>
      </c>
      <c r="AA20" s="81">
        <v>32</v>
      </c>
      <c r="AB20" s="81">
        <v>34</v>
      </c>
      <c r="AC20" s="81">
        <v>33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6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6" t="s" ph="1">
        <v>69</v>
      </c>
      <c r="AA22" s="227"/>
      <c r="AB22" s="227"/>
      <c r="AC22" s="227"/>
      <c r="AD22" s="227"/>
      <c r="AE22" s="228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0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610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229" t="s" ph="1">
        <v>644</v>
      </c>
      <c r="AA23" s="230"/>
      <c r="AB23" s="230"/>
      <c r="AC23" s="230"/>
      <c r="AD23" s="230"/>
      <c r="AE23" s="231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38" ph="1">
        <v>0.33333333333333331</v>
      </c>
      <c r="C24" s="153" t="s" ph="1">
        <v>177</v>
      </c>
      <c r="D24" s="71">
        <v>2.69</v>
      </c>
      <c r="E24" s="71">
        <v>5.63</v>
      </c>
      <c r="F24" s="71">
        <v>542</v>
      </c>
      <c r="G24" s="71">
        <v>2892</v>
      </c>
      <c r="H24" s="71">
        <v>3570</v>
      </c>
      <c r="I24" s="71">
        <v>161</v>
      </c>
      <c r="J24" s="71">
        <v>305</v>
      </c>
      <c r="K24" s="71">
        <v>2525</v>
      </c>
      <c r="L24" s="71">
        <v>301</v>
      </c>
      <c r="M24" s="71">
        <v>326</v>
      </c>
      <c r="N24" s="71">
        <v>4772</v>
      </c>
      <c r="O24" s="71">
        <v>342</v>
      </c>
      <c r="P24" s="71">
        <v>374</v>
      </c>
      <c r="Q24" s="90">
        <v>4523</v>
      </c>
      <c r="R24" s="71">
        <v>1967</v>
      </c>
      <c r="S24" s="71">
        <v>3226</v>
      </c>
      <c r="T24" s="71">
        <v>404</v>
      </c>
      <c r="U24" s="71">
        <v>4392</v>
      </c>
      <c r="V24" s="71">
        <v>739</v>
      </c>
      <c r="W24" s="71">
        <v>5241</v>
      </c>
      <c r="X24" s="71">
        <v>3454</v>
      </c>
      <c r="Y24" s="71">
        <v>436</v>
      </c>
      <c r="Z24" s="232"/>
      <c r="AA24" s="233"/>
      <c r="AB24" s="233"/>
      <c r="AC24" s="233"/>
      <c r="AD24" s="233"/>
      <c r="AE24" s="234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38" ph="1"/>
      <c r="C25" s="68" t="s" ph="1">
        <v>178</v>
      </c>
      <c r="D25" s="91" ph="1">
        <f>D24*268.68*LOOKUP(D26,密度!$A$2:$A$50,密度!$Q$2:$Q$50)+IF(D24&lt;=0,0,1566*LOOKUP(D26,密度!$A$2:$A$50,密度!$Q$2:$Q$50))</f>
        <v>2166.850417608</v>
      </c>
      <c r="E25" s="91" ph="1">
        <f>E24*268.68*LOOKUP(E26,密度!$A$2:$A$50,密度!$C$2:$C$50)+IF(E24&lt;=0,0,1566*LOOKUP(E26,密度!$A$2:$A$50,密度!$C$2:$C$50))</f>
        <v>3413.93538876</v>
      </c>
      <c r="F25" s="91" ph="1">
        <f>F24*11.702*LOOKUP(F26,密度!$A$2:$A$50,密度!$Q$2:$Q$50)</f>
        <v>5983.0554317200003</v>
      </c>
      <c r="G25" s="91" ph="1">
        <f>G24*18.322*LOOKUP(G26,密度!$A$2:$A$50,密度!$B$2:$B$50)</f>
        <v>40985.617763999995</v>
      </c>
      <c r="H25" s="91" ph="1">
        <f>H24*18.322*LOOKUP(H26,密度!$A$2:$A$50,密度!$B$2:$B$50)</f>
        <v>50823.212579999999</v>
      </c>
      <c r="I25" s="91" ph="1">
        <f>I24*18.322*LOOKUP(I26,密度!$A$2:$A$50,密度!$Q$2:$Q$50)</f>
        <v>2782.6744538599996</v>
      </c>
      <c r="J25" s="91" ph="1">
        <f>J24*18.322*LOOKUP(J26,密度!$A$2:$A$50,密度!$Q$2:$Q$50)</f>
        <v>5271.5261393000001</v>
      </c>
      <c r="K25" s="91" ph="1">
        <f>K24*18.322*LOOKUP(K26,密度!$A$2:$A$50,密度!$Q$2:$Q$50)</f>
        <v>43641.322956499993</v>
      </c>
      <c r="L25" s="91" ph="1">
        <f>L24*18.322*LOOKUP(L26,密度!$A$2:$A$50,密度!$Q$2:$Q$50)</f>
        <v>5205.7003234599997</v>
      </c>
      <c r="M25" s="91" ph="1">
        <f>M24*18.322*LOOKUP(M26,密度!$A$2:$A$50,密度!$Q$2:$Q$50)</f>
        <v>5634.48367676</v>
      </c>
      <c r="N25" s="91" ph="1">
        <f>N24*18.322*LOOKUP(N26,密度!$A$2:$A$50,密度!$Q$2:$Q$50)</f>
        <v>82530.239015120009</v>
      </c>
      <c r="O25" s="91" ph="1">
        <f>O24*18.322*LOOKUP(O26,密度!$A$2:$A$50,密度!$C$2:$C$50)</f>
        <v>6924.6936323999998</v>
      </c>
      <c r="P25" s="91" ph="1">
        <f>P24*11.702*LOOKUP(P26,密度!$A$2:$A$50,密度!$B$2:$B$50)</f>
        <v>3393.1376643999997</v>
      </c>
      <c r="Q25" s="92" ph="1">
        <f>Q24*18.322*LOOKUP(Q26,密度!$A$2:$A$50,密度!$B$2:$B$50)</f>
        <v>64324.009137200002</v>
      </c>
      <c r="R25" s="91" ph="1">
        <f>R24*35.891*LOOKUP(R26,密度!$A$2:$A$50,密度!$C$2:$C$50)</f>
        <v>78073.882522300002</v>
      </c>
      <c r="S25" s="91" ph="1">
        <f>S24*35.891*LOOKUP(S26,密度!$A$2:$A$50,密度!$B$2:$B$50)</f>
        <v>89663.413030399999</v>
      </c>
      <c r="T25" s="91" ph="1">
        <f>T24*35.891*LOOKUP(T26,密度!$A$2:$A$50,密度!$Q$2:$Q$50)</f>
        <v>13667.37606712</v>
      </c>
      <c r="U25" s="91" ph="1">
        <f>U24*35.891</f>
        <v>157633.272</v>
      </c>
      <c r="V25" s="91" ph="1">
        <f>V24*47.051*LOOKUP(V26,密度!$A$2:$A$50,密度!$B$2:$B$50)</f>
        <v>26895.127941499999</v>
      </c>
      <c r="W25" s="91" ph="1">
        <f>W24*47.051*LOOKUP(W26,密度!$A$2:$A$50,密度!$B$2:$B$50)</f>
        <v>190962.61895040001</v>
      </c>
      <c r="X25" s="91" ph="1">
        <f>X24*47.051*LOOKUP(X26,密度!$A$2:$A$61,密度!$I$2:$I$61)</f>
        <v>168120.89231300002</v>
      </c>
      <c r="Y25" s="91" ph="1">
        <f>Y24*47.051*LOOKUP(Y26,密度!$A$2:$A$50,密度!$L$2:$L$50)</f>
        <v>19078.23948</v>
      </c>
      <c r="Z25" s="232"/>
      <c r="AA25" s="233"/>
      <c r="AB25" s="233"/>
      <c r="AC25" s="233"/>
      <c r="AD25" s="233"/>
      <c r="AE25" s="234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38" ph="1"/>
      <c r="C26" s="68" t="s" ph="1">
        <v>179</v>
      </c>
      <c r="D26" s="74">
        <v>25</v>
      </c>
      <c r="E26" s="74">
        <v>25</v>
      </c>
      <c r="F26" s="74">
        <v>30</v>
      </c>
      <c r="G26" s="74">
        <v>32</v>
      </c>
      <c r="H26" s="74">
        <v>28</v>
      </c>
      <c r="I26" s="74">
        <v>30</v>
      </c>
      <c r="J26" s="74">
        <v>30</v>
      </c>
      <c r="K26" s="74">
        <v>30</v>
      </c>
      <c r="L26" s="74">
        <v>29</v>
      </c>
      <c r="M26" s="74">
        <v>30</v>
      </c>
      <c r="N26" s="74">
        <v>29</v>
      </c>
      <c r="O26" s="74">
        <v>30</v>
      </c>
      <c r="P26" s="74">
        <v>30</v>
      </c>
      <c r="Q26" s="93">
        <v>29</v>
      </c>
      <c r="R26" s="74">
        <v>29</v>
      </c>
      <c r="S26" s="74">
        <v>31</v>
      </c>
      <c r="T26" s="74">
        <v>31</v>
      </c>
      <c r="U26" s="74">
        <v>32</v>
      </c>
      <c r="V26" s="74">
        <v>32</v>
      </c>
      <c r="W26" s="74">
        <v>31</v>
      </c>
      <c r="X26" s="74">
        <v>32</v>
      </c>
      <c r="Y26" s="74">
        <v>32</v>
      </c>
      <c r="Z26" s="232"/>
      <c r="AA26" s="233"/>
      <c r="AB26" s="233"/>
      <c r="AC26" s="233"/>
      <c r="AD26" s="233"/>
      <c r="AE26" s="234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38" ph="1">
        <v>0.66666666666666663</v>
      </c>
      <c r="C27" s="153" t="s" ph="1">
        <v>180</v>
      </c>
      <c r="D27" s="71">
        <v>2.68</v>
      </c>
      <c r="E27" s="71">
        <v>5.6</v>
      </c>
      <c r="F27" s="71">
        <v>540</v>
      </c>
      <c r="G27" s="71">
        <v>2440</v>
      </c>
      <c r="H27" s="71">
        <v>3154</v>
      </c>
      <c r="I27" s="71">
        <v>158</v>
      </c>
      <c r="J27" s="71">
        <v>300</v>
      </c>
      <c r="K27" s="71">
        <v>2524</v>
      </c>
      <c r="L27" s="71">
        <v>296</v>
      </c>
      <c r="M27" s="71">
        <v>321</v>
      </c>
      <c r="N27" s="71">
        <v>4771</v>
      </c>
      <c r="O27" s="71">
        <v>337</v>
      </c>
      <c r="P27" s="71">
        <v>370</v>
      </c>
      <c r="Q27" s="90">
        <v>4762</v>
      </c>
      <c r="R27" s="71">
        <v>1964</v>
      </c>
      <c r="S27" s="71">
        <v>3223</v>
      </c>
      <c r="T27" s="71">
        <v>401</v>
      </c>
      <c r="U27" s="71">
        <v>4456</v>
      </c>
      <c r="V27" s="71">
        <v>735</v>
      </c>
      <c r="W27" s="71">
        <v>5488</v>
      </c>
      <c r="X27" s="71">
        <v>3454</v>
      </c>
      <c r="Y27" s="71">
        <v>432</v>
      </c>
      <c r="Z27" s="232"/>
      <c r="AA27" s="233"/>
      <c r="AB27" s="233"/>
      <c r="AC27" s="233"/>
      <c r="AD27" s="233"/>
      <c r="AE27" s="234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38" ph="1"/>
      <c r="C28" s="153" t="s" ph="1">
        <v>178</v>
      </c>
      <c r="D28" s="91" ph="1">
        <f>D27*268.68*LOOKUP(D29,密度!$A$2:$A$50,密度!$Q$2:$Q$50)+IF(D27&lt;=0,0,1566*LOOKUP(D29,密度!$A$2:$A$50,密度!$Q$2:$Q$50))</f>
        <v>2164.3067165759999</v>
      </c>
      <c r="E28" s="91" ph="1">
        <f>E27*268.68*LOOKUP(E29,密度!$A$2:$A$50,密度!$C$2:$C$50)+IF(E27&lt;=0,0,1566*LOOKUP(E29,密度!$A$2:$A$50,密度!$C$2:$C$50))</f>
        <v>3404.9972111999996</v>
      </c>
      <c r="F28" s="91" ph="1">
        <f>F27*11.702*LOOKUP(F29,密度!$A$2:$A$50,密度!$Q$2:$Q$50)</f>
        <v>5947.8340500000004</v>
      </c>
      <c r="G28" s="91" ph="1">
        <f>G27*18.322*LOOKUP(G29,密度!$A$2:$A$50,密度!$B$2:$B$50)</f>
        <v>34579.843479999996</v>
      </c>
      <c r="H28" s="91" ph="1">
        <f>H27*18.322*LOOKUP(H29,密度!$A$2:$A$50,密度!$B$2:$B$50)</f>
        <v>44698.699317999992</v>
      </c>
      <c r="I28" s="91" ph="1">
        <f>I27*18.322*LOOKUP(I29,密度!$A$2:$A$50,密度!$Q$2:$Q$50)</f>
        <v>2730.8233770799998</v>
      </c>
      <c r="J28" s="91" ph="1">
        <f>J27*18.322*LOOKUP(J29,密度!$A$2:$A$50,密度!$Q$2:$Q$50)</f>
        <v>5173.6747499999992</v>
      </c>
      <c r="K28" s="91" ph="1">
        <f>K27*18.322*LOOKUP(K29,密度!$A$2:$A$50,密度!$Q$2:$Q$50)</f>
        <v>43624.039264239997</v>
      </c>
      <c r="L28" s="91" ph="1">
        <f>L27*18.322*LOOKUP(L29,密度!$A$2:$A$50,密度!$Q$2:$Q$50)</f>
        <v>5115.9729089599996</v>
      </c>
      <c r="M28" s="91" ph="1">
        <f>M27*18.322*LOOKUP(M29,密度!$A$2:$A$50,密度!$Q$2:$Q$50)</f>
        <v>5548.0652154600002</v>
      </c>
      <c r="N28" s="91" ph="1">
        <f>N27*18.322*LOOKUP(N29,密度!$A$2:$A$50,密度!$Q$2:$Q$50)</f>
        <v>82460.495772459995</v>
      </c>
      <c r="O28" s="91" ph="1">
        <f>O27*18.322*LOOKUP(O29,密度!$A$2:$A$50,密度!$C$2:$C$50)</f>
        <v>6817.2809074000006</v>
      </c>
      <c r="P28" s="91" ph="1">
        <f>P27*11.702*LOOKUP(P29,密度!$A$2:$A$50,密度!$B$2:$B$50)</f>
        <v>3352.9506559999995</v>
      </c>
      <c r="Q28" s="92" ph="1">
        <f>Q27*18.322*LOOKUP(Q29,密度!$A$2:$A$50,密度!$B$2:$B$50)</f>
        <v>67487.383053999991</v>
      </c>
      <c r="R28" s="91" ph="1">
        <f>R27*35.891*LOOKUP(R29,密度!$A$2:$A$50,密度!$C$2:$C$50)</f>
        <v>77750.386171999999</v>
      </c>
      <c r="S28" s="91" ph="1">
        <f>S27*35.891*LOOKUP(S29,密度!$A$2:$A$50,密度!$B$2:$B$50)</f>
        <v>89580.031059200002</v>
      </c>
      <c r="T28" s="91" ph="1">
        <f>T27*35.891*LOOKUP(T29,密度!$A$2:$A$50,密度!$Q$2:$Q$50)</f>
        <v>13556.0988929</v>
      </c>
      <c r="U28" s="91" ph="1">
        <f>U27*35.891</f>
        <v>159930.296</v>
      </c>
      <c r="V28" s="91" ph="1">
        <f>V27*47.051*LOOKUP(V29,密度!$A$2:$A$50,密度!$B$2:$B$50)</f>
        <v>26721.886159500002</v>
      </c>
      <c r="W28" s="91" ph="1">
        <f>W27*47.051*LOOKUP(W29,密度!$A$2:$A$50,密度!$B$2:$B$50)</f>
        <v>199523.41665760003</v>
      </c>
      <c r="X28" s="91" ph="1">
        <f>X27*47.051*LOOKUP(X29,密度!$A$2:$A$61,密度!$I$2:$I$61)</f>
        <v>167747.10975880001</v>
      </c>
      <c r="Y28" s="91" ph="1">
        <f>Y27*47.051*LOOKUP(Y29,密度!$A$2:$A$50,密度!$L$2:$L$50)</f>
        <v>18903.209760000002</v>
      </c>
      <c r="Z28" s="232"/>
      <c r="AA28" s="233"/>
      <c r="AB28" s="233"/>
      <c r="AC28" s="233"/>
      <c r="AD28" s="233"/>
      <c r="AE28" s="234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38" ph="1"/>
      <c r="C29" s="153" t="s" ph="1">
        <v>179</v>
      </c>
      <c r="D29" s="74">
        <v>25</v>
      </c>
      <c r="E29" s="74">
        <v>25</v>
      </c>
      <c r="F29" s="74">
        <v>33</v>
      </c>
      <c r="G29" s="74">
        <v>32</v>
      </c>
      <c r="H29" s="74">
        <v>32</v>
      </c>
      <c r="I29" s="74">
        <v>30</v>
      </c>
      <c r="J29" s="74">
        <v>33</v>
      </c>
      <c r="K29" s="74">
        <v>30</v>
      </c>
      <c r="L29" s="74">
        <v>30</v>
      </c>
      <c r="M29" s="74">
        <v>30</v>
      </c>
      <c r="N29" s="74">
        <v>30</v>
      </c>
      <c r="O29" s="74">
        <v>31</v>
      </c>
      <c r="P29" s="74">
        <v>31</v>
      </c>
      <c r="Q29" s="93">
        <v>32</v>
      </c>
      <c r="R29" s="74">
        <v>32</v>
      </c>
      <c r="S29" s="74">
        <v>31</v>
      </c>
      <c r="T29" s="74">
        <v>32</v>
      </c>
      <c r="U29" s="74">
        <v>32</v>
      </c>
      <c r="V29" s="74">
        <v>33</v>
      </c>
      <c r="W29" s="74">
        <v>33</v>
      </c>
      <c r="X29" s="74">
        <v>34</v>
      </c>
      <c r="Y29" s="74">
        <v>32</v>
      </c>
      <c r="Z29" s="235"/>
      <c r="AA29" s="236"/>
      <c r="AB29" s="236"/>
      <c r="AC29" s="236"/>
      <c r="AD29" s="236"/>
      <c r="AE29" s="237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1" t="s" ph="1">
        <v>35</v>
      </c>
      <c r="C31" s="222" ph="1"/>
      <c r="D31" s="225" t="s" ph="1">
        <v>9</v>
      </c>
      <c r="E31" s="200" ph="1"/>
      <c r="F31" s="201" ph="1"/>
      <c r="G31" s="225" t="s" ph="1">
        <v>18</v>
      </c>
      <c r="H31" s="200" ph="1"/>
      <c r="I31" s="201" ph="1"/>
      <c r="J31" s="199" t="s" ph="1">
        <v>1</v>
      </c>
      <c r="K31" s="200" ph="1"/>
      <c r="L31" s="201" ph="1"/>
      <c r="M31" s="199" t="s" ph="1">
        <v>7</v>
      </c>
      <c r="N31" s="200" ph="1"/>
      <c r="O31" s="201" ph="1"/>
      <c r="P31" s="199" t="s" ph="1">
        <v>41</v>
      </c>
      <c r="Q31" s="200"/>
      <c r="R31" s="201"/>
      <c r="S31" s="199" t="s" ph="1">
        <v>2</v>
      </c>
      <c r="T31" s="200"/>
      <c r="U31" s="201"/>
      <c r="V31" s="199" t="s" ph="1">
        <v>71</v>
      </c>
      <c r="W31" s="200" ph="1"/>
      <c r="X31" s="201" ph="1"/>
      <c r="Y31" s="199" t="s" ph="1">
        <v>3</v>
      </c>
      <c r="Z31" s="200" ph="1"/>
      <c r="AA31" s="201" ph="1"/>
      <c r="AB31" s="202" t="s">
        <v>42</v>
      </c>
      <c r="AC31" s="203"/>
      <c r="AD31" s="203"/>
      <c r="AE31" s="204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3" ph="1"/>
      <c r="C32" s="224" ph="1"/>
      <c r="D32" s="96" t="s" ph="1">
        <v>4</v>
      </c>
      <c r="E32" s="153" t="s" ph="1">
        <v>5</v>
      </c>
      <c r="F32" s="152" t="s" ph="1">
        <v>43</v>
      </c>
      <c r="G32" s="97" t="s" ph="1">
        <v>4</v>
      </c>
      <c r="H32" s="153" t="s" ph="1">
        <v>5</v>
      </c>
      <c r="I32" s="152" t="s" ph="1">
        <v>43</v>
      </c>
      <c r="J32" s="97" t="s" ph="1">
        <v>4</v>
      </c>
      <c r="K32" s="153" t="s" ph="1">
        <v>5</v>
      </c>
      <c r="L32" s="152" t="s" ph="1">
        <v>43</v>
      </c>
      <c r="M32" s="97" t="s" ph="1">
        <v>4</v>
      </c>
      <c r="N32" s="153" t="s" ph="1">
        <v>5</v>
      </c>
      <c r="O32" s="152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3" t="s" ph="1">
        <v>5</v>
      </c>
      <c r="U32" s="99" t="s" ph="1">
        <v>43</v>
      </c>
      <c r="V32" s="97" t="s" ph="1">
        <v>4</v>
      </c>
      <c r="W32" s="153" t="s" ph="1">
        <v>5</v>
      </c>
      <c r="X32" s="99" t="s" ph="1">
        <v>43</v>
      </c>
      <c r="Y32" s="100" t="s" ph="1">
        <v>4</v>
      </c>
      <c r="Z32" s="153" t="s" ph="1">
        <v>5</v>
      </c>
      <c r="AA32" s="152" t="s" ph="1">
        <v>43</v>
      </c>
      <c r="AB32" s="97" t="s" ph="1">
        <v>85</v>
      </c>
      <c r="AC32" s="153" t="s" ph="1">
        <v>84</v>
      </c>
      <c r="AD32" s="205" t="s" ph="1">
        <v>83</v>
      </c>
      <c r="AE32" s="206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7" t="s" ph="1">
        <v>181</v>
      </c>
      <c r="C33" s="208" ph="1"/>
      <c r="D33" s="187" ph="1">
        <f>AA10+AB10+Z19</f>
        <v>104889.08885460001</v>
      </c>
      <c r="E33" s="187" ph="1">
        <f>M10+I10</f>
        <v>155329.37729259999</v>
      </c>
      <c r="F33" s="211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1522252632456786910111213141516171819202123456789101112131415161718192022232424356789101112131415161718192021222345678910111213141516171819202345678910111213149101516171819222123234567891012131415161711181920212224252345678910111213137[[#This Row],[F25]]</f>
        <v>3880</v>
      </c>
      <c r="G33" s="213" ph="1">
        <f>N19</f>
        <v>31955.777393799999</v>
      </c>
      <c r="H33" s="187" ph="1">
        <f>M19</f>
        <v>38478.995163376007</v>
      </c>
      <c r="I33" s="191" ph="1">
        <v>0</v>
      </c>
      <c r="J33" s="195" ph="1">
        <f>F10+O28</f>
        <v>224919.42724330004</v>
      </c>
      <c r="K33" s="187" ph="1">
        <f>O10+K10+E28+R28</f>
        <v>146561.13834</v>
      </c>
      <c r="L33" s="197" ph="1">
        <f>K19</f>
        <v>22981.315604800002</v>
      </c>
      <c r="M33" s="195" ph="1">
        <f>G10+H10+W28+S28+V28+E10+R19+P28+Q28</f>
        <v>604607.69564529997</v>
      </c>
      <c r="N33" s="187" ph="1">
        <f>L10+P10++G28+H28+AD19+AE19</f>
        <v>133513.73654459999</v>
      </c>
      <c r="O33" s="191" ph="1">
        <f>G19</f>
        <v>7377.1824580999992</v>
      </c>
      <c r="P33" s="195" ph="1">
        <f>L19</f>
        <v>42480.172241929999</v>
      </c>
      <c r="Q33" s="187" ph="1">
        <f>J10+N10</f>
        <v>112550.86410524001</v>
      </c>
      <c r="R33" s="191" ph="1">
        <f>BE23</f>
        <v>890</v>
      </c>
      <c r="S33" s="195" ph="1">
        <f>X28</f>
        <v>167747.10975880001</v>
      </c>
      <c r="T33" s="187" ph="1">
        <f>X19</f>
        <v>13846.558842080001</v>
      </c>
      <c r="U33" s="176" ph="1">
        <f>BE21</f>
        <v>730</v>
      </c>
      <c r="V33" s="189" ph="1">
        <f ca="1">P19+Q19+S19+M28+N28+J28+D10+AC10+D19+E19+H19+J19+O19+V19+W19+K28+L28</f>
        <v>837254.03210693586</v>
      </c>
      <c r="W33" s="189" ph="1">
        <f>D28+F28+T28+I28</f>
        <v>24399.063036555999</v>
      </c>
      <c r="X33" s="191" ph="1">
        <f>BE29+BE31</f>
        <v>10200</v>
      </c>
      <c r="Y33" s="193" ph="1">
        <f>+Q10+R10+S10+T10+U10+V10+W10+X10+Y10</f>
        <v>212000.5888308</v>
      </c>
      <c r="Z33" s="174" ph="1">
        <f>T19+U19+Y28+Z10</f>
        <v>93351.705903520007</v>
      </c>
      <c r="AA33" s="176" ph="1">
        <f>BE19</f>
        <v>1440</v>
      </c>
      <c r="AB33" s="178" ph="1">
        <f>I19</f>
        <v>28904.815202399997</v>
      </c>
      <c r="AC33" s="180" ph="1">
        <f>AD10+AB19</f>
        <v>66382.576908799994</v>
      </c>
      <c r="AD33" s="182" ph="1">
        <v>0</v>
      </c>
      <c r="AE33" s="183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9" ph="1"/>
      <c r="C34" s="210" ph="1"/>
      <c r="D34" s="188" ph="1"/>
      <c r="E34" s="188" ph="1"/>
      <c r="F34" s="212" ph="1"/>
      <c r="G34" s="214" ph="1"/>
      <c r="H34" s="188" ph="1"/>
      <c r="I34" s="192" ph="1"/>
      <c r="J34" s="196" ph="1"/>
      <c r="K34" s="188" ph="1"/>
      <c r="L34" s="198" ph="1"/>
      <c r="M34" s="196" ph="1"/>
      <c r="N34" s="188" ph="1"/>
      <c r="O34" s="192" ph="1"/>
      <c r="P34" s="196" ph="1"/>
      <c r="Q34" s="188" ph="1"/>
      <c r="R34" s="192" ph="1"/>
      <c r="S34" s="196" ph="1"/>
      <c r="T34" s="188"/>
      <c r="U34" s="177"/>
      <c r="V34" s="190" ph="1"/>
      <c r="W34" s="190" ph="1"/>
      <c r="X34" s="192" ph="1"/>
      <c r="Y34" s="194" ph="1"/>
      <c r="Z34" s="175" ph="1"/>
      <c r="AA34" s="177" ph="1"/>
      <c r="AB34" s="179"/>
      <c r="AC34" s="181"/>
      <c r="AD34" s="184"/>
      <c r="AE34" s="185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6" t="s" ph="1">
        <v>631</v>
      </c>
      <c r="AD35" s="186"/>
      <c r="AE35" s="186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2" t="s" ph="1">
        <v>183</v>
      </c>
      <c r="J36" s="172" ph="1"/>
      <c r="K36" s="101" ph="1"/>
      <c r="P36" s="101" ph="1"/>
      <c r="R36" s="172" t="s" ph="1">
        <v>184</v>
      </c>
      <c r="S36" s="172" ph="1"/>
      <c r="Y36" s="102" ph="1"/>
      <c r="Z36" s="151" t="s" ph="1">
        <v>185</v>
      </c>
      <c r="AA36" s="151" ph="1"/>
      <c r="AB36" s="173" t="s" ph="1">
        <v>643</v>
      </c>
      <c r="AC36" s="173" ph="1"/>
      <c r="AD36" s="173" ph="1"/>
      <c r="AE36" s="173" ph="1"/>
      <c r="BA36" s="64" ph="1">
        <v>2270</v>
      </c>
    </row>
    <row r="37" spans="1:57" s="151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1" t="s" ph="1">
        <v>342</v>
      </c>
      <c r="AI37" s="151" t="s" ph="1">
        <v>209</v>
      </c>
      <c r="AJ37" s="151" t="s" ph="1">
        <v>210</v>
      </c>
      <c r="AK37" s="151" t="s" ph="1">
        <v>211</v>
      </c>
      <c r="AM37" s="151" t="s" ph="1">
        <v>210</v>
      </c>
      <c r="AN37" s="151" t="s" ph="1">
        <v>211</v>
      </c>
      <c r="AO37" s="151" t="s" ph="1">
        <v>212</v>
      </c>
      <c r="AP37" s="151" t="s" ph="1">
        <v>210</v>
      </c>
      <c r="AQ37" s="151" t="s" ph="1">
        <v>211</v>
      </c>
      <c r="AR37" s="151" t="s" ph="1">
        <v>212</v>
      </c>
      <c r="AS37" s="151" t="s" ph="1">
        <v>210</v>
      </c>
      <c r="AT37" s="151" t="s" ph="1">
        <v>211</v>
      </c>
      <c r="AU37" s="151" t="s" ph="1">
        <v>212</v>
      </c>
      <c r="AV37" s="151" t="s" ph="1">
        <v>210</v>
      </c>
      <c r="AW37" s="151" t="s" ph="1">
        <v>211</v>
      </c>
      <c r="AX37" s="151" t="s" ph="1">
        <v>212</v>
      </c>
      <c r="AY37" s="151" t="s" ph="1">
        <v>211</v>
      </c>
      <c r="AZ37" s="151" t="s" ph="1">
        <v>213</v>
      </c>
      <c r="BD37" s="151" t="s" ph="1">
        <v>305</v>
      </c>
      <c r="BE37" s="151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P56" s="64" ph="1">
        <v>20260804</v>
      </c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2381" priority="102">
      <formula>ABS(D$7-D$10)&gt;=1000</formula>
    </cfRule>
  </conditionalFormatting>
  <conditionalFormatting sqref="E4 E6:E11">
    <cfRule type="expression" dxfId="2380" priority="101">
      <formula>ABS(E$7-E$10)&gt;=1000</formula>
    </cfRule>
  </conditionalFormatting>
  <conditionalFormatting sqref="F4:F11">
    <cfRule type="expression" dxfId="2379" priority="100">
      <formula>ABS(F$7-F$10)&gt;=1000</formula>
    </cfRule>
  </conditionalFormatting>
  <conditionalFormatting sqref="G4:G11">
    <cfRule type="expression" dxfId="2378" priority="99">
      <formula>ABS(G$7-G$10)&gt;=1000</formula>
    </cfRule>
  </conditionalFormatting>
  <conditionalFormatting sqref="H4:H11">
    <cfRule type="expression" dxfId="2377" priority="98">
      <formula>ABS(H$7-H$10)&gt;=1000</formula>
    </cfRule>
  </conditionalFormatting>
  <conditionalFormatting sqref="I4:I11">
    <cfRule type="expression" dxfId="2376" priority="97">
      <formula>ABS(I$7-I$10)&gt;=1000</formula>
    </cfRule>
  </conditionalFormatting>
  <conditionalFormatting sqref="J4:J11">
    <cfRule type="expression" dxfId="2375" priority="96">
      <formula>ABS(J$7-J$10)&gt;=1000</formula>
    </cfRule>
  </conditionalFormatting>
  <conditionalFormatting sqref="K4:K11">
    <cfRule type="expression" dxfId="2374" priority="95">
      <formula>ABS(K$7-K$10)&gt;=1000</formula>
    </cfRule>
  </conditionalFormatting>
  <conditionalFormatting sqref="L4:L11">
    <cfRule type="expression" dxfId="2373" priority="94">
      <formula>ABS(L$7-L$10)&gt;=1000</formula>
    </cfRule>
  </conditionalFormatting>
  <conditionalFormatting sqref="M4 M6:M11">
    <cfRule type="expression" dxfId="2372" priority="93">
      <formula>ABS(M$7-M$10)&gt;=1000</formula>
    </cfRule>
  </conditionalFormatting>
  <conditionalFormatting sqref="N4 N6:N11">
    <cfRule type="expression" dxfId="2371" priority="92">
      <formula>ABS(N$7-N$10)&gt;=1000</formula>
    </cfRule>
  </conditionalFormatting>
  <conditionalFormatting sqref="O4 O6:O11">
    <cfRule type="expression" dxfId="2370" priority="91">
      <formula>ABS(O$7-O$10)&gt;=1000</formula>
    </cfRule>
  </conditionalFormatting>
  <conditionalFormatting sqref="P4 P6:P11">
    <cfRule type="expression" dxfId="2369" priority="90">
      <formula>ABS(P$7-P$10)&gt;=1000</formula>
    </cfRule>
  </conditionalFormatting>
  <conditionalFormatting sqref="Q4:Q11">
    <cfRule type="expression" dxfId="2368" priority="89">
      <formula>ABS(Q$7-Q$10)&gt;=1000</formula>
    </cfRule>
  </conditionalFormatting>
  <conditionalFormatting sqref="R4:R11">
    <cfRule type="expression" dxfId="2367" priority="88">
      <formula>ABS(R$7-R$10)&gt;=1000</formula>
    </cfRule>
  </conditionalFormatting>
  <conditionalFormatting sqref="S4:S11">
    <cfRule type="expression" dxfId="2366" priority="87">
      <formula>ABS(S$7-S$10)&gt;=1000</formula>
    </cfRule>
  </conditionalFormatting>
  <conditionalFormatting sqref="T4:T9 T11">
    <cfRule type="expression" dxfId="2365" priority="86">
      <formula>ABS(T$7-T$10)&gt;=1000</formula>
    </cfRule>
  </conditionalFormatting>
  <conditionalFormatting sqref="U4:U9 U11">
    <cfRule type="expression" dxfId="2364" priority="85">
      <formula>ABS(U$7-U$10)&gt;=1000</formula>
    </cfRule>
  </conditionalFormatting>
  <conditionalFormatting sqref="V4:V9 V11">
    <cfRule type="expression" dxfId="2363" priority="84">
      <formula>ABS(V$7-V$10)&gt;=1000</formula>
    </cfRule>
  </conditionalFormatting>
  <conditionalFormatting sqref="W4:W9 W11">
    <cfRule type="expression" dxfId="2362" priority="83">
      <formula>ABS(W$7-W$10)&gt;=1000</formula>
    </cfRule>
  </conditionalFormatting>
  <conditionalFormatting sqref="X4:X9 X11">
    <cfRule type="expression" dxfId="2361" priority="82">
      <formula>ABS(X$7-X$10)&gt;=1000</formula>
    </cfRule>
  </conditionalFormatting>
  <conditionalFormatting sqref="Y4:Y9 Y11">
    <cfRule type="expression" dxfId="2360" priority="81">
      <formula>ABS(Y$7-Y$10)&gt;=1000</formula>
    </cfRule>
  </conditionalFormatting>
  <conditionalFormatting sqref="Z4:Z11">
    <cfRule type="expression" dxfId="2359" priority="80">
      <formula>ABS(Z$7-Z$10)&gt;=1000</formula>
    </cfRule>
  </conditionalFormatting>
  <conditionalFormatting sqref="AA4:AA11">
    <cfRule type="expression" dxfId="2358" priority="79">
      <formula>ABS(AA$7-AA$10)&gt;=1000</formula>
    </cfRule>
  </conditionalFormatting>
  <conditionalFormatting sqref="AB4:AB11">
    <cfRule type="expression" dxfId="2357" priority="78">
      <formula>ABS(AB$7-AB$10)&gt;=1000</formula>
    </cfRule>
  </conditionalFormatting>
  <conditionalFormatting sqref="AC4 AC6:AC11">
    <cfRule type="expression" dxfId="2356" priority="77">
      <formula>ABS(AC$7-AC$10)&gt;=1000</formula>
    </cfRule>
  </conditionalFormatting>
  <conditionalFormatting sqref="AD4 AD6:AD11">
    <cfRule type="expression" dxfId="2355" priority="76">
      <formula>ABS(AD$7-AD$10)&gt;=1000</formula>
    </cfRule>
  </conditionalFormatting>
  <conditionalFormatting sqref="AE4 AE6:AE11">
    <cfRule type="expression" dxfId="2354" priority="75">
      <formula>ABS(AE$7-AE$10)&gt;=1000</formula>
    </cfRule>
  </conditionalFormatting>
  <conditionalFormatting sqref="D13:D20">
    <cfRule type="expression" dxfId="2353" priority="74">
      <formula>ABS(D$16-D$19)&gt;=1000</formula>
    </cfRule>
  </conditionalFormatting>
  <conditionalFormatting sqref="E13:E20">
    <cfRule type="expression" dxfId="2352" priority="73">
      <formula>ABS(E$16-E$19)&gt;=1000</formula>
    </cfRule>
  </conditionalFormatting>
  <conditionalFormatting sqref="F13 F15:F20">
    <cfRule type="expression" dxfId="2351" priority="72">
      <formula>ABS(F$16-F$19)&gt;=1000</formula>
    </cfRule>
  </conditionalFormatting>
  <conditionalFormatting sqref="G13:G20">
    <cfRule type="expression" dxfId="2350" priority="71">
      <formula>ABS(G$16-G$19)&gt;=1000</formula>
    </cfRule>
  </conditionalFormatting>
  <conditionalFormatting sqref="H13 H15:H20">
    <cfRule type="expression" dxfId="2349" priority="70">
      <formula>ABS(H$16-H$19)&gt;=1000</formula>
    </cfRule>
  </conditionalFormatting>
  <conditionalFormatting sqref="I13:I20">
    <cfRule type="expression" dxfId="2348" priority="69">
      <formula>ABS(I$16-I$19)&gt;=1000</formula>
    </cfRule>
  </conditionalFormatting>
  <conditionalFormatting sqref="J13:J20">
    <cfRule type="expression" dxfId="2347" priority="68">
      <formula>ABS(J$16-J$19)&gt;=1000</formula>
    </cfRule>
  </conditionalFormatting>
  <conditionalFormatting sqref="L13:L20">
    <cfRule type="expression" dxfId="2346" priority="67">
      <formula>ABS(L$16-L$19)&gt;=1000</formula>
    </cfRule>
  </conditionalFormatting>
  <conditionalFormatting sqref="M13 M15 M17:M18 M20">
    <cfRule type="expression" dxfId="2345" priority="66">
      <formula>ABS(M$16-M$19)&gt;=1000</formula>
    </cfRule>
  </conditionalFormatting>
  <conditionalFormatting sqref="N13:N20">
    <cfRule type="expression" dxfId="2344" priority="65">
      <formula>ABS(N$16-N$19)&gt;=1000</formula>
    </cfRule>
  </conditionalFormatting>
  <conditionalFormatting sqref="O13:O20">
    <cfRule type="expression" dxfId="2343" priority="64">
      <formula>ABS(O$16-O$19)&gt;=1000</formula>
    </cfRule>
  </conditionalFormatting>
  <conditionalFormatting sqref="P13:P20">
    <cfRule type="expression" dxfId="2342" priority="63">
      <formula>ABS(P$16-P$19)&gt;=1000</formula>
    </cfRule>
  </conditionalFormatting>
  <conditionalFormatting sqref="Q13 Q15:Q20">
    <cfRule type="expression" dxfId="2341" priority="62">
      <formula>ABS(Q$16-Q$19)&gt;=1000</formula>
    </cfRule>
  </conditionalFormatting>
  <conditionalFormatting sqref="R13:R20">
    <cfRule type="expression" dxfId="2340" priority="61">
      <formula>ABS(R$16-R$19)&gt;=1000</formula>
    </cfRule>
  </conditionalFormatting>
  <conditionalFormatting sqref="S13:S20">
    <cfRule type="expression" dxfId="2339" priority="60">
      <formula>ABS(S$16-S$19)&gt;=1000</formula>
    </cfRule>
  </conditionalFormatting>
  <conditionalFormatting sqref="T13:T15 T17:T20">
    <cfRule type="expression" dxfId="2338" priority="59">
      <formula>ABS(T$16-T$19)&gt;=1000</formula>
    </cfRule>
  </conditionalFormatting>
  <conditionalFormatting sqref="U13:U20">
    <cfRule type="expression" dxfId="2337" priority="58">
      <formula>ABS(U$16-U$19)&gt;=1000</formula>
    </cfRule>
  </conditionalFormatting>
  <conditionalFormatting sqref="V13:V20">
    <cfRule type="expression" dxfId="2336" priority="57">
      <formula>ABS(V$16-V$19)&gt;=1000</formula>
    </cfRule>
  </conditionalFormatting>
  <conditionalFormatting sqref="W13 W20 W15:W18">
    <cfRule type="expression" dxfId="2335" priority="56">
      <formula>ABS(W$16-W$19)&gt;=1000</formula>
    </cfRule>
  </conditionalFormatting>
  <conditionalFormatting sqref="X13 X15:X20 Y19">
    <cfRule type="expression" dxfId="2334" priority="55">
      <formula>ABS(X$16-X$19)&gt;=1000</formula>
    </cfRule>
  </conditionalFormatting>
  <conditionalFormatting sqref="Y13 Y15:Y18 Y20">
    <cfRule type="expression" dxfId="2333" priority="54">
      <formula>ABS(Y$16-Y$19)&gt;=1000</formula>
    </cfRule>
  </conditionalFormatting>
  <conditionalFormatting sqref="Z13:Z20">
    <cfRule type="expression" dxfId="2332" priority="53">
      <formula>ABS(Z$16-Z$19)&gt;=1000</formula>
    </cfRule>
  </conditionalFormatting>
  <conditionalFormatting sqref="AA13:AA20">
    <cfRule type="expression" dxfId="2331" priority="52">
      <formula>ABS(AA$16-AA$19)&gt;=1000</formula>
    </cfRule>
  </conditionalFormatting>
  <conditionalFormatting sqref="AB13 AB15:AB20">
    <cfRule type="expression" dxfId="2330" priority="51">
      <formula>ABS(AB$16-AB$19)&gt;=1000</formula>
    </cfRule>
  </conditionalFormatting>
  <conditionalFormatting sqref="AC13 AC15:AC20">
    <cfRule type="expression" dxfId="2329" priority="50">
      <formula>ABS(AC$16-AC$19)&gt;=1000</formula>
    </cfRule>
  </conditionalFormatting>
  <conditionalFormatting sqref="AD13:AD20">
    <cfRule type="expression" dxfId="2328" priority="49">
      <formula>ABS(AD$16-AD$19)&gt;=1000</formula>
    </cfRule>
  </conditionalFormatting>
  <conditionalFormatting sqref="AE13:AE20">
    <cfRule type="expression" dxfId="2327" priority="48">
      <formula>ABS(AE$16-AE$19)&gt;=1000</formula>
    </cfRule>
  </conditionalFormatting>
  <conditionalFormatting sqref="D22:D29">
    <cfRule type="expression" dxfId="2326" priority="47">
      <formula>ABS(D$25-D$28)&gt;=1000</formula>
    </cfRule>
  </conditionalFormatting>
  <conditionalFormatting sqref="E22:E29">
    <cfRule type="expression" dxfId="2325" priority="46">
      <formula>ABS(E$25-E$28)&gt;=1000</formula>
    </cfRule>
  </conditionalFormatting>
  <conditionalFormatting sqref="F22:F29">
    <cfRule type="expression" dxfId="2324" priority="45">
      <formula>ABS(F$25-F$28)&gt;=1000</formula>
    </cfRule>
  </conditionalFormatting>
  <conditionalFormatting sqref="G22:G29">
    <cfRule type="expression" dxfId="2323" priority="44">
      <formula>ABS(G$25-G$28)&gt;=1000</formula>
    </cfRule>
  </conditionalFormatting>
  <conditionalFormatting sqref="H22:H29">
    <cfRule type="expression" dxfId="2322" priority="43">
      <formula>ABS(H$25-H$28)&gt;=1000</formula>
    </cfRule>
  </conditionalFormatting>
  <conditionalFormatting sqref="I22 I24:I29">
    <cfRule type="expression" dxfId="2321" priority="42">
      <formula>ABS(I$25-I$28)&gt;=1000</formula>
    </cfRule>
  </conditionalFormatting>
  <conditionalFormatting sqref="J22:J29 K22">
    <cfRule type="expression" dxfId="2320" priority="41">
      <formula>ABS(J$25-J$28)&gt;=1000</formula>
    </cfRule>
  </conditionalFormatting>
  <conditionalFormatting sqref="K23:K29 L25 L28">
    <cfRule type="expression" dxfId="2319" priority="40">
      <formula>ABS(K$25-K$28)&gt;=1000</formula>
    </cfRule>
  </conditionalFormatting>
  <conditionalFormatting sqref="L22 L26:L27 L29 L24">
    <cfRule type="expression" dxfId="2318" priority="39">
      <formula>ABS(L$25-L$28)&gt;=1000</formula>
    </cfRule>
  </conditionalFormatting>
  <conditionalFormatting sqref="M22:M29">
    <cfRule type="expression" dxfId="2317" priority="38">
      <formula>ABS(M$25-M$28)&gt;=1000</formula>
    </cfRule>
  </conditionalFormatting>
  <conditionalFormatting sqref="N22:N29">
    <cfRule type="expression" dxfId="2316" priority="37">
      <formula>ABS(N$25-N$28)&gt;=1000</formula>
    </cfRule>
  </conditionalFormatting>
  <conditionalFormatting sqref="O22 O24:O29">
    <cfRule type="expression" dxfId="2315" priority="36">
      <formula>ABS(O$25-O$28)&gt;=1000</formula>
    </cfRule>
  </conditionalFormatting>
  <conditionalFormatting sqref="P22:P29">
    <cfRule type="expression" dxfId="2314" priority="35">
      <formula>ABS(P$25-P$28)&gt;=1000</formula>
    </cfRule>
  </conditionalFormatting>
  <conditionalFormatting sqref="Q22:Q29">
    <cfRule type="expression" dxfId="2313" priority="34">
      <formula>ABS(Q$25-Q$28)&gt;=1000</formula>
    </cfRule>
  </conditionalFormatting>
  <conditionalFormatting sqref="R22:R29">
    <cfRule type="expression" dxfId="2312" priority="33">
      <formula>ABS(R$25-R$28)&gt;=1000</formula>
    </cfRule>
  </conditionalFormatting>
  <conditionalFormatting sqref="S22:S29">
    <cfRule type="expression" dxfId="2311" priority="32">
      <formula>ABS(S$25-S$28)&gt;=1000</formula>
    </cfRule>
  </conditionalFormatting>
  <conditionalFormatting sqref="T22:T29">
    <cfRule type="expression" dxfId="2310" priority="31">
      <formula>ABS(T$25-T$28)&gt;=1000</formula>
    </cfRule>
  </conditionalFormatting>
  <conditionalFormatting sqref="U22:U29">
    <cfRule type="expression" dxfId="2309" priority="30">
      <formula>ABS(U$25-U$28)&gt;=1000</formula>
    </cfRule>
  </conditionalFormatting>
  <conditionalFormatting sqref="V22:V29">
    <cfRule type="expression" dxfId="2308" priority="29">
      <formula>ABS(V$25-V$28)&gt;=1000</formula>
    </cfRule>
  </conditionalFormatting>
  <conditionalFormatting sqref="W22:W29">
    <cfRule type="expression" dxfId="2307" priority="28">
      <formula>ABS(W$25-W$28)&gt;=1000</formula>
    </cfRule>
  </conditionalFormatting>
  <conditionalFormatting sqref="X22:X29">
    <cfRule type="expression" dxfId="2306" priority="27">
      <formula>ABS(X$25-X$28)&gt;=1000</formula>
    </cfRule>
  </conditionalFormatting>
  <conditionalFormatting sqref="Y22:Y29">
    <cfRule type="expression" dxfId="2305" priority="26">
      <formula>ABS(Y$25-Y$28)&gt;=1000</formula>
    </cfRule>
  </conditionalFormatting>
  <conditionalFormatting sqref="I23">
    <cfRule type="expression" dxfId="2304" priority="25">
      <formula>ABS(I$25-I$28)&gt;=1000</formula>
    </cfRule>
  </conditionalFormatting>
  <conditionalFormatting sqref="Q14">
    <cfRule type="expression" dxfId="2303" priority="24">
      <formula>ABS(Q$16-Q$19)&gt;=1000</formula>
    </cfRule>
  </conditionalFormatting>
  <conditionalFormatting sqref="W14">
    <cfRule type="expression" dxfId="2302" priority="23">
      <formula>ABS(W$16-W$19)&gt;=1000</formula>
    </cfRule>
  </conditionalFormatting>
  <conditionalFormatting sqref="X14">
    <cfRule type="expression" dxfId="2301" priority="22">
      <formula>ABS(X$16-X$19)&gt;=1000</formula>
    </cfRule>
  </conditionalFormatting>
  <conditionalFormatting sqref="T10:Y10">
    <cfRule type="expression" dxfId="2300" priority="21">
      <formula>ABS(T$7-T$10)&gt;=1000</formula>
    </cfRule>
  </conditionalFormatting>
  <conditionalFormatting sqref="W19">
    <cfRule type="expression" dxfId="2299" priority="20">
      <formula>ABS(W$16-W$19)&gt;=1000</formula>
    </cfRule>
  </conditionalFormatting>
  <conditionalFormatting sqref="AC5">
    <cfRule type="expression" dxfId="2298" priority="19">
      <formula>ABS(AC$7-AC$10)&gt;=1000</formula>
    </cfRule>
  </conditionalFormatting>
  <conditionalFormatting sqref="M14">
    <cfRule type="expression" dxfId="2297" priority="18">
      <formula>ABS(M$16-M$19)&gt;=1000</formula>
    </cfRule>
  </conditionalFormatting>
  <conditionalFormatting sqref="M16">
    <cfRule type="expression" dxfId="2296" priority="17">
      <formula>ABS(M$16-M$19)&gt;=1000</formula>
    </cfRule>
  </conditionalFormatting>
  <conditionalFormatting sqref="M19">
    <cfRule type="expression" dxfId="2295" priority="16">
      <formula>ABS(M$16-M$19)&gt;=1000</formula>
    </cfRule>
  </conditionalFormatting>
  <conditionalFormatting sqref="K13:K20">
    <cfRule type="expression" dxfId="2294" priority="15">
      <formula>ABS(K$16-K$19)&gt;=1000</formula>
    </cfRule>
  </conditionalFormatting>
  <conditionalFormatting sqref="E5">
    <cfRule type="expression" dxfId="2293" priority="14">
      <formula>ABS(E$7-E$10)&gt;=1000</formula>
    </cfRule>
  </conditionalFormatting>
  <conditionalFormatting sqref="AB14:AC14">
    <cfRule type="expression" dxfId="2292" priority="13">
      <formula>ABS(AB$16-AB$19)&gt;=1000</formula>
    </cfRule>
  </conditionalFormatting>
  <conditionalFormatting sqref="M5">
    <cfRule type="expression" dxfId="2291" priority="12">
      <formula>ABS(M$7-M$10)&gt;=1000</formula>
    </cfRule>
  </conditionalFormatting>
  <conditionalFormatting sqref="N5">
    <cfRule type="expression" dxfId="2290" priority="11">
      <formula>ABS(N$7-N$10)&gt;=1000</formula>
    </cfRule>
  </conditionalFormatting>
  <conditionalFormatting sqref="O5">
    <cfRule type="expression" dxfId="2289" priority="10">
      <formula>ABS(O$7-O$10)&gt;=1000</formula>
    </cfRule>
  </conditionalFormatting>
  <conditionalFormatting sqref="P5">
    <cfRule type="expression" dxfId="2288" priority="9">
      <formula>ABS(P$7-P$10)&gt;=1000</formula>
    </cfRule>
  </conditionalFormatting>
  <conditionalFormatting sqref="L23">
    <cfRule type="expression" dxfId="2287" priority="8">
      <formula>ABS(L$25-L$28)&gt;=1000</formula>
    </cfRule>
  </conditionalFormatting>
  <conditionalFormatting sqref="Y14">
    <cfRule type="expression" dxfId="2286" priority="7">
      <formula>ABS(Y$16-Y$19)&gt;=1000</formula>
    </cfRule>
  </conditionalFormatting>
  <conditionalFormatting sqref="F14">
    <cfRule type="expression" dxfId="2285" priority="6">
      <formula>ABS(F$16-F$19)&gt;=1000</formula>
    </cfRule>
  </conditionalFormatting>
  <conditionalFormatting sqref="H14">
    <cfRule type="expression" dxfId="2284" priority="5">
      <formula>ABS(H$16-H$19)&gt;=1000</formula>
    </cfRule>
  </conditionalFormatting>
  <conditionalFormatting sqref="AD5">
    <cfRule type="expression" dxfId="2283" priority="4">
      <formula>ABS(AD$7-AD$10)&gt;=1000</formula>
    </cfRule>
  </conditionalFormatting>
  <conditionalFormatting sqref="AE5">
    <cfRule type="expression" dxfId="2282" priority="3">
      <formula>ABS(AE$7-AE$10)&gt;=1000</formula>
    </cfRule>
  </conditionalFormatting>
  <conditionalFormatting sqref="T16">
    <cfRule type="expression" dxfId="2281" priority="2">
      <formula>ABS(T$16-T$19)&gt;=1000</formula>
    </cfRule>
  </conditionalFormatting>
  <conditionalFormatting sqref="O23">
    <cfRule type="expression" dxfId="2280" priority="1">
      <formula>ABS(O$25-O$28)&gt;=1000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29665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949">
    <pageSetUpPr fitToPage="1"/>
  </sheetPr>
  <dimension ref="A1:CU223"/>
  <sheetViews>
    <sheetView view="pageBreakPreview" topLeftCell="A19" zoomScale="85" zoomScaleNormal="100" zoomScaleSheetLayoutView="85" workbookViewId="0">
      <selection activeCell="Z23" sqref="Z23:AE29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39" t="s" ph="1">
        <v>161</v>
      </c>
      <c r="C1" s="239" ph="1"/>
      <c r="D1" s="239" ph="1"/>
      <c r="E1" s="239" ph="1"/>
      <c r="F1" s="239" ph="1"/>
      <c r="G1" s="239" ph="1"/>
      <c r="H1" s="239" ph="1"/>
      <c r="I1" s="239" ph="1"/>
      <c r="J1" s="239" ph="1"/>
      <c r="K1" s="239" ph="1"/>
      <c r="L1" s="239" ph="1"/>
      <c r="M1" s="239" ph="1"/>
      <c r="N1" s="239" ph="1"/>
      <c r="O1" s="239" ph="1"/>
      <c r="P1" s="239" ph="1"/>
      <c r="Q1" s="239" ph="1"/>
      <c r="R1" s="239" ph="1"/>
      <c r="S1" s="239" ph="1"/>
      <c r="T1" s="239" ph="1"/>
      <c r="U1" s="239" ph="1"/>
      <c r="V1" s="239" ph="1"/>
      <c r="W1" s="239" ph="1"/>
      <c r="X1" s="239" ph="1"/>
      <c r="Y1" s="239" ph="1"/>
      <c r="Z1" s="239" ph="1"/>
      <c r="AA1" s="239" ph="1"/>
      <c r="AB1" s="239" ph="1"/>
      <c r="AC1" s="239" ph="1"/>
      <c r="AD1" s="239" ph="1"/>
      <c r="AE1" s="239" ph="1"/>
    </row>
    <row r="2" spans="1:99" s="66" customFormat="1" ht="24" customHeight="1" ph="1">
      <c r="B2" s="240" t="s" ph="1">
        <v>82</v>
      </c>
      <c r="C2" s="240" ph="1"/>
      <c r="D2" s="240" ph="1"/>
      <c r="E2" s="240" ph="1"/>
      <c r="F2" s="240" ph="1"/>
      <c r="G2" s="240" ph="1"/>
      <c r="H2" s="240" ph="1"/>
      <c r="I2" s="240" ph="1"/>
      <c r="J2" s="240" ph="1"/>
      <c r="K2" s="240" ph="1"/>
      <c r="L2" s="240" ph="1"/>
      <c r="M2" s="240" ph="1"/>
      <c r="N2" s="240" ph="1"/>
      <c r="O2" s="240" ph="1"/>
      <c r="P2" s="240" ph="1"/>
      <c r="Q2" s="240" ph="1"/>
      <c r="R2" s="240" ph="1"/>
      <c r="S2" s="240" ph="1"/>
      <c r="T2" s="240" ph="1"/>
      <c r="U2" s="240" ph="1"/>
      <c r="V2" s="240" ph="1"/>
      <c r="W2" s="240" ph="1"/>
      <c r="X2" s="240" ph="1"/>
      <c r="Y2" s="240" ph="1"/>
      <c r="Z2" s="240" ph="1"/>
      <c r="AA2" s="240" ph="1"/>
      <c r="AB2" s="240" ph="1"/>
      <c r="AC2" s="240" ph="1"/>
      <c r="AD2" s="240" ph="1"/>
      <c r="AE2" s="240" ph="1"/>
    </row>
    <row r="3" spans="1:99" ht="21" customHeight="1" ph="1">
      <c r="B3" s="241" ph="1">
        <v>46241</v>
      </c>
      <c r="C3" s="241"/>
      <c r="D3" s="241"/>
      <c r="E3" s="241"/>
      <c r="F3" s="241"/>
      <c r="G3" s="241"/>
      <c r="H3" s="241"/>
      <c r="I3" s="241"/>
      <c r="J3" s="241"/>
      <c r="K3" s="241"/>
      <c r="L3" s="241"/>
      <c r="M3" s="241"/>
      <c r="N3" s="241"/>
      <c r="O3" s="241"/>
      <c r="P3" s="241"/>
      <c r="Q3" s="241"/>
      <c r="R3" s="241"/>
      <c r="S3" s="241"/>
      <c r="T3" s="241"/>
      <c r="U3" s="241"/>
      <c r="V3" s="241"/>
      <c r="W3" s="241"/>
      <c r="X3" s="241"/>
      <c r="Y3" s="241"/>
      <c r="Z3" s="241"/>
      <c r="AA3" s="241"/>
      <c r="AB3" s="241"/>
      <c r="AC3" s="241"/>
      <c r="AD3" s="241"/>
      <c r="AE3" s="241"/>
    </row>
    <row r="4" spans="1:99" s="69" customFormat="1" ph="1">
      <c r="A4" s="65" ph="1"/>
      <c r="B4" s="220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0" ph="1"/>
      <c r="C5" s="67" t="s" ph="1">
        <v>36</v>
      </c>
      <c r="D5" s="70" t="s" ph="1">
        <v>160</v>
      </c>
      <c r="E5" s="142" t="s" ph="1">
        <v>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8" ph="1">
        <v>0.33333333333333331</v>
      </c>
      <c r="C6" s="154" t="s" ph="1">
        <v>177</v>
      </c>
      <c r="D6" s="71">
        <v>6317</v>
      </c>
      <c r="E6" s="71">
        <v>278</v>
      </c>
      <c r="F6" s="71">
        <v>5952</v>
      </c>
      <c r="G6" s="71">
        <v>4955</v>
      </c>
      <c r="H6" s="71">
        <v>578</v>
      </c>
      <c r="I6" s="71">
        <v>38.72</v>
      </c>
      <c r="J6" s="71">
        <v>77.05</v>
      </c>
      <c r="K6" s="71">
        <v>84.44</v>
      </c>
      <c r="L6" s="71">
        <v>6.2</v>
      </c>
      <c r="M6" s="71">
        <v>4255</v>
      </c>
      <c r="N6" s="71">
        <v>3688</v>
      </c>
      <c r="O6" s="71">
        <v>1690</v>
      </c>
      <c r="P6" s="71">
        <v>1450</v>
      </c>
      <c r="Q6" s="71">
        <v>5740</v>
      </c>
      <c r="R6" s="71">
        <v>2545</v>
      </c>
      <c r="S6" s="71">
        <v>0</v>
      </c>
      <c r="T6" s="71">
        <v>0</v>
      </c>
      <c r="U6" s="71">
        <v>0</v>
      </c>
      <c r="V6" s="71">
        <v>0</v>
      </c>
      <c r="W6" s="71">
        <v>4226</v>
      </c>
      <c r="X6" s="71">
        <v>5582</v>
      </c>
      <c r="Y6" s="71">
        <v>6080</v>
      </c>
      <c r="Z6" s="71">
        <v>2991</v>
      </c>
      <c r="AA6" s="71">
        <v>1099</v>
      </c>
      <c r="AB6" s="71">
        <v>3243</v>
      </c>
      <c r="AC6" s="71">
        <v>6121</v>
      </c>
      <c r="AD6" s="71">
        <v>3384</v>
      </c>
      <c r="AE6" s="71">
        <v>4208</v>
      </c>
    </row>
    <row r="7" spans="1:99" s="72" customFormat="1" ht="22.2" ph="1">
      <c r="B7" s="238" ph="1"/>
      <c r="C7" s="68" t="s" ph="1">
        <v>178</v>
      </c>
      <c r="D7" s="73" ph="1">
        <f>D6*33.183*LOOKUP(D8,密度!$A$2:$A$50,密度!$Q$2:$Q$50)</f>
        <v>197580.80222837999</v>
      </c>
      <c r="E7" s="73" ph="1">
        <f>E6*51.53*LOOKUP(E8,密度!$A$2:$A$50,密度!$B$2:$B$50)</f>
        <v>11130.78918</v>
      </c>
      <c r="F7" s="73" ph="1">
        <f>F6*33.183*LOOKUP(F8,密度!$A$2:$A$50,密度!$C$2:$C$50)</f>
        <v>218263.01420159999</v>
      </c>
      <c r="G7" s="73" ph="1">
        <f xml:space="preserve"> (G6+2)*51.53*LOOKUP(G8,密度!$A$2:$A$50,密度!$B$2:$B$50)</f>
        <v>198038.14301299999</v>
      </c>
      <c r="H7" s="73" ph="1">
        <f>(H6)*51.53*LOOKUP(H8,密度!$A$2:$A$50,密度!$B$2:$B$50)</f>
        <v>23064.992896</v>
      </c>
      <c r="I7" s="73" ph="1">
        <f>I6*290.8*1.0267</f>
        <v>11560.412019199999</v>
      </c>
      <c r="J7" s="73" ph="1">
        <f>J6*290.8*0.7892</f>
        <v>17682.925687999999</v>
      </c>
      <c r="K7" s="73" ph="1">
        <f>K6*290.8*1.1126</f>
        <v>27320.062115200002</v>
      </c>
      <c r="L7" s="73" ph="1">
        <f>L6*290.8*0.777</f>
        <v>1400.8999200000001</v>
      </c>
      <c r="M7" s="73" ph="1">
        <f>M6*33.183*LOOKUP(M8,密度!$A$2:$A$50,密度!$D$2:$D$50)</f>
        <v>144426.99992850001</v>
      </c>
      <c r="N7" s="73" ph="1">
        <f>N6*33.183*LOOKUP(N8,密度!$A$2:$A$50,密度!$E$2:$E$50)</f>
        <v>95161.835750399987</v>
      </c>
      <c r="O7" s="73" ph="1">
        <f>O6*20.428*LOOKUP(O8,密度!$A$2:$A$50,密度!$C$2:$C$50)</f>
        <v>38044.698640000002</v>
      </c>
      <c r="P7" s="73" ph="1">
        <f>P6*51.53*LOOKUP(P8,密度!$A$2:$A$50,密度!$B$2:$B$50)</f>
        <v>58056.2745</v>
      </c>
      <c r="Q7" s="73" ph="1">
        <f>Q6*1.5*1.5*3.1416*LOOKUP(W8,密度!$A$2:$A$50,密度!$L$2:$L$50)</f>
        <v>37814.748048000001</v>
      </c>
      <c r="R7" s="73" ph="1">
        <f>R6*1.5*1.5*3.1416*LOOKUP(R8,密度!$A$2:$A$50,密度!$L$2:$L$50)</f>
        <v>16676.347149000001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27840.614155200001</v>
      </c>
      <c r="X7" s="73" ph="1">
        <f>X6*1.5*1.5*3.1416*LOOKUP(X8,密度!$A$2:$A$50,密度!$L$2:$L$50)</f>
        <v>37128.966613199998</v>
      </c>
      <c r="Y7" s="73" ph="1">
        <f>Y6*1.5*1.5*3.1416*LOOKUP(Y8,密度!$A$2:$A$50,密度!$L$2:$L$50)</f>
        <v>40011.668927999999</v>
      </c>
      <c r="Z7" s="73" ph="1">
        <f>Z6*33.183*LOOKUP(Z8,密度!$A$2:$A$50,密度!$L$2:$L$50)</f>
        <v>92799.080055000013</v>
      </c>
      <c r="AA7" s="73" ph="1">
        <f>AA6*33.183*LOOKUP(AA8,密度!$A$2:$A$50,密度!$D$2:$D$50)</f>
        <v>37303.236879299999</v>
      </c>
      <c r="AB7" s="73" ph="1">
        <f>AB6*20.428*LOOKUP(AB8,密度!$A$2:$A$50,密度!$D$2:$D$50)</f>
        <v>68142.696914400003</v>
      </c>
      <c r="AC7" s="73" ph="1">
        <f>AC6*51.53*LOOKUP(AC8,密度!$A$2:$A$50,密度!$Q$2:$Q$50)</f>
        <v>297947.44010060001</v>
      </c>
      <c r="AD7" s="73" ph="1">
        <f>AD6*20.428*LOOKUP(AD8,密度!$A$2:$A$50,密度!$V$2:$V$50)</f>
        <v>66197.309875199993</v>
      </c>
      <c r="AE7" s="73" ph="1">
        <f>AE6*20.428</f>
        <v>85961.024000000005</v>
      </c>
    </row>
    <row r="8" spans="1:99" ph="1">
      <c r="B8" s="238" ph="1"/>
      <c r="C8" s="68" t="s" ph="1">
        <v>179</v>
      </c>
      <c r="D8" s="74">
        <v>31</v>
      </c>
      <c r="E8" s="74">
        <v>28</v>
      </c>
      <c r="F8" s="74">
        <v>30</v>
      </c>
      <c r="G8" s="74">
        <v>30</v>
      </c>
      <c r="H8" s="74">
        <v>31</v>
      </c>
      <c r="I8" s="74">
        <v>25</v>
      </c>
      <c r="J8" s="74">
        <v>25</v>
      </c>
      <c r="K8" s="74">
        <v>25</v>
      </c>
      <c r="L8" s="74">
        <v>25</v>
      </c>
      <c r="M8" s="74">
        <v>29</v>
      </c>
      <c r="N8" s="74">
        <v>30</v>
      </c>
      <c r="O8" s="74">
        <v>33</v>
      </c>
      <c r="P8" s="74">
        <v>28</v>
      </c>
      <c r="Q8" s="74">
        <v>32</v>
      </c>
      <c r="R8" s="74">
        <v>35</v>
      </c>
      <c r="S8" s="74">
        <v>25</v>
      </c>
      <c r="T8" s="74">
        <v>24</v>
      </c>
      <c r="U8" s="74">
        <v>28</v>
      </c>
      <c r="V8" s="74">
        <v>28</v>
      </c>
      <c r="W8" s="74">
        <v>30</v>
      </c>
      <c r="X8" s="74">
        <v>21</v>
      </c>
      <c r="Y8" s="74">
        <v>31</v>
      </c>
      <c r="Z8" s="74">
        <v>27</v>
      </c>
      <c r="AA8" s="74">
        <v>29</v>
      </c>
      <c r="AB8" s="74">
        <v>23</v>
      </c>
      <c r="AC8" s="74">
        <v>28</v>
      </c>
      <c r="AD8" s="74">
        <v>27</v>
      </c>
      <c r="AE8" s="74">
        <v>30</v>
      </c>
    </row>
    <row r="9" spans="1:99" ht="26.4" ph="1">
      <c r="B9" s="238" ph="1">
        <v>0.66666666666666663</v>
      </c>
      <c r="C9" s="154" t="s" ph="1">
        <v>180</v>
      </c>
      <c r="D9" s="71">
        <v>6691</v>
      </c>
      <c r="E9" s="71">
        <v>53</v>
      </c>
      <c r="F9" s="71">
        <v>5952</v>
      </c>
      <c r="G9" s="71">
        <v>5397</v>
      </c>
      <c r="H9" s="71">
        <v>303</v>
      </c>
      <c r="I9" s="71">
        <v>38.72</v>
      </c>
      <c r="J9" s="71">
        <v>77.16</v>
      </c>
      <c r="K9" s="71">
        <v>84.49</v>
      </c>
      <c r="L9" s="71">
        <v>47.59</v>
      </c>
      <c r="M9" s="71">
        <v>4254</v>
      </c>
      <c r="N9" s="71">
        <v>3638</v>
      </c>
      <c r="O9" s="71">
        <v>1684</v>
      </c>
      <c r="P9" s="71">
        <v>1314</v>
      </c>
      <c r="Q9" s="71">
        <v>7151</v>
      </c>
      <c r="R9" s="71">
        <v>6503</v>
      </c>
      <c r="S9" s="71">
        <v>0</v>
      </c>
      <c r="T9" s="71">
        <v>0</v>
      </c>
      <c r="U9" s="71">
        <v>0</v>
      </c>
      <c r="V9" s="71">
        <v>0</v>
      </c>
      <c r="W9" s="71">
        <v>1459</v>
      </c>
      <c r="X9" s="71">
        <v>5686</v>
      </c>
      <c r="Y9" s="71">
        <v>6087</v>
      </c>
      <c r="Z9" s="71">
        <v>960</v>
      </c>
      <c r="AA9" s="71">
        <v>1099</v>
      </c>
      <c r="AB9" s="71">
        <v>3243</v>
      </c>
      <c r="AC9" s="71">
        <v>5808</v>
      </c>
      <c r="AD9" s="71">
        <v>3385</v>
      </c>
      <c r="AE9" s="71">
        <v>4386</v>
      </c>
    </row>
    <row r="10" spans="1:99" s="72" customFormat="1" ht="22.2" ph="1">
      <c r="B10" s="238" ph="1"/>
      <c r="C10" s="154" t="s" ph="1">
        <v>178</v>
      </c>
      <c r="D10" s="73" ph="1">
        <f>D9*33.183*LOOKUP(D11,密度!$A$2:$A$50,密度!$Q$2:$Q$50)</f>
        <v>209127.65798069999</v>
      </c>
      <c r="E10" s="73" ph="1">
        <f>E9*51.53*LOOKUP(E11,密度!$A$2:$A$50,密度!$B$2:$B$50)</f>
        <v>2098.2964470000002</v>
      </c>
      <c r="F10" s="73" ph="1">
        <f>F9*33.183*LOOKUP(F11,密度!$A$2:$A$50,密度!$C$2:$C$50)</f>
        <v>218263.01420159999</v>
      </c>
      <c r="G10" s="73" ph="1">
        <f xml:space="preserve"> (G9+2)*51.53*LOOKUP(G11,密度!$A$2:$A$50,密度!$B$2:$B$50)</f>
        <v>214722.84074600003</v>
      </c>
      <c r="H10" s="73" ph="1">
        <f>(H9)*51.53*LOOKUP(H11,密度!$A$2:$A$50,密度!$B$2:$B$50)</f>
        <v>11995.921197</v>
      </c>
      <c r="I10" s="73" ph="1">
        <f>I9*290.8*1.0267</f>
        <v>11560.412019199999</v>
      </c>
      <c r="J10" s="73" ph="1">
        <f>J9*290.8*0.7892</f>
        <v>17708.170617600001</v>
      </c>
      <c r="K10" s="73" ph="1">
        <f>K9*290.8*1.1126</f>
        <v>27336.239319199998</v>
      </c>
      <c r="L10" s="73" ph="1">
        <f>L9*290.8*0.777</f>
        <v>10753.036644000002</v>
      </c>
      <c r="M10" s="73" ph="1">
        <f>M9*33.183*LOOKUP(M11,密度!$A$2:$A$50,密度!$D$2:$D$50)</f>
        <v>144138.96817019998</v>
      </c>
      <c r="N10" s="73" ph="1">
        <f>N9*33.183*LOOKUP(N11,密度!$A$2:$A$50,密度!$E$2:$E$50)</f>
        <v>93596.439671280008</v>
      </c>
      <c r="O10" s="73" ph="1">
        <f>O9*20.428*LOOKUP(O11,密度!$A$2:$A$50,密度!$C$2:$C$50)</f>
        <v>37799.546297599998</v>
      </c>
      <c r="P10" s="73" ph="1">
        <f>P9*51.53*LOOKUP(P11,密度!$A$2:$A$50,密度!$B$2:$B$50)</f>
        <v>52434.949247999997</v>
      </c>
      <c r="Q10" s="73" ph="1">
        <f>Q9*1.5*1.5*3.1416*LOOKUP(W11,密度!$A$2:$A$50,密度!$L$2:$L$50)</f>
        <v>47009.229498000001</v>
      </c>
      <c r="R10" s="73" ph="1">
        <f>R9*1.5*1.5*3.1416*LOOKUP(R11,密度!$A$2:$A$50,密度!$L$2:$L$50)</f>
        <v>42565.539970799997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9591.1712820000012</v>
      </c>
      <c r="X10" s="73" ph="1">
        <f>X9*1.5*1.5*3.1416*LOOKUP(X11,密度!$A$2:$A$50,密度!$L$2:$L$50)</f>
        <v>37338.423368399999</v>
      </c>
      <c r="Y10" s="73" ph="1">
        <f>Y9*1.5*1.5*3.1416*LOOKUP(Y11,密度!$A$2:$A$50,密度!$L$2:$L$50)</f>
        <v>40014.708426000005</v>
      </c>
      <c r="Z10" s="73" ph="1">
        <f>Z9*33.183*LOOKUP(Z11,密度!$A$2:$A$50,密度!$L$2:$L$50)</f>
        <v>29721.349440000002</v>
      </c>
      <c r="AA10" s="73" ph="1">
        <f>AA9*33.183*LOOKUP(AA11,密度!$A$2:$A$50,密度!$D$2:$D$50)</f>
        <v>37109.955859200003</v>
      </c>
      <c r="AB10" s="73" ph="1">
        <f>AB9*20.428*LOOKUP(AB11,密度!$A$2:$A$50,密度!$D$2:$D$50)</f>
        <v>68016.825706799995</v>
      </c>
      <c r="AC10" s="73" ph="1">
        <f>AC9*51.53*LOOKUP(AC11,密度!$A$2:$A$50,密度!$Q$2:$Q$50)</f>
        <v>282101.22409919999</v>
      </c>
      <c r="AD10" s="73" ph="1">
        <f>AD9*20.428*LOOKUP(AD11,密度!$A$2:$A$50,密度!$V$2:$V$50)</f>
        <v>66216.871727999998</v>
      </c>
      <c r="AE10" s="73" ph="1">
        <f>AE9*20.428</f>
        <v>89597.207999999999</v>
      </c>
    </row>
    <row r="11" spans="1:99" ph="1">
      <c r="A11" s="64" t="s" ph="1">
        <v>162</v>
      </c>
      <c r="B11" s="238" ph="1"/>
      <c r="C11" s="154" t="s" ph="1">
        <v>179</v>
      </c>
      <c r="D11" s="74">
        <v>32</v>
      </c>
      <c r="E11" s="74">
        <v>38</v>
      </c>
      <c r="F11" s="74">
        <v>30</v>
      </c>
      <c r="G11" s="74">
        <v>34</v>
      </c>
      <c r="H11" s="74">
        <v>38</v>
      </c>
      <c r="I11" s="74">
        <v>25</v>
      </c>
      <c r="J11" s="74">
        <v>25</v>
      </c>
      <c r="K11" s="74">
        <v>25</v>
      </c>
      <c r="L11" s="74">
        <v>25</v>
      </c>
      <c r="M11" s="74">
        <v>31</v>
      </c>
      <c r="N11" s="74">
        <v>32</v>
      </c>
      <c r="O11" s="74">
        <v>36</v>
      </c>
      <c r="P11" s="74">
        <v>31</v>
      </c>
      <c r="Q11" s="74">
        <v>33</v>
      </c>
      <c r="R11" s="74">
        <v>36</v>
      </c>
      <c r="S11" s="74">
        <v>29</v>
      </c>
      <c r="T11" s="74">
        <v>33</v>
      </c>
      <c r="U11" s="74">
        <v>34</v>
      </c>
      <c r="V11" s="74">
        <v>31</v>
      </c>
      <c r="W11" s="74">
        <v>32</v>
      </c>
      <c r="X11" s="74">
        <v>33</v>
      </c>
      <c r="Y11" s="74">
        <v>32</v>
      </c>
      <c r="Z11" s="74">
        <v>29</v>
      </c>
      <c r="AA11" s="74">
        <v>35</v>
      </c>
      <c r="AB11" s="74">
        <v>25</v>
      </c>
      <c r="AC11" s="74">
        <v>31</v>
      </c>
      <c r="AD11" s="74">
        <v>34</v>
      </c>
      <c r="AE11" s="74">
        <v>34</v>
      </c>
    </row>
    <row r="12" spans="1:99" ht="9.9" customHeight="1" ph="1"/>
    <row r="13" spans="1:99" s="72" customFormat="1" ht="29.25" customHeight="1" ph="1">
      <c r="B13" s="215" t="s" ph="1">
        <v>37</v>
      </c>
      <c r="C13" s="154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6" ph="1"/>
      <c r="C14" s="67" t="s" ph="1">
        <v>36</v>
      </c>
      <c r="D14" s="77" t="s" ph="1">
        <v>616</v>
      </c>
      <c r="E14" s="77" t="s" ph="1">
        <v>616</v>
      </c>
      <c r="F14" s="144" t="s" ph="1">
        <v>636</v>
      </c>
      <c r="G14" s="77" t="s" ph="1">
        <v>617</v>
      </c>
      <c r="H14" s="77" t="s" ph="1">
        <v>637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638</v>
      </c>
      <c r="P14" s="77" t="s" ph="1">
        <v>622</v>
      </c>
      <c r="Q14" s="77" t="s" ph="1">
        <v>622</v>
      </c>
      <c r="R14" s="88" t="s" ph="1">
        <v>7</v>
      </c>
      <c r="S14" s="77" t="s" ph="1">
        <v>622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17" ph="1">
        <v>0.33333333333333331</v>
      </c>
      <c r="C15" s="154" t="s" ph="1">
        <v>177</v>
      </c>
      <c r="D15" s="78">
        <v>3799</v>
      </c>
      <c r="E15" s="78">
        <v>2843</v>
      </c>
      <c r="F15" s="78">
        <v>2898</v>
      </c>
      <c r="G15" s="78">
        <v>1322</v>
      </c>
      <c r="H15" s="78">
        <v>4369</v>
      </c>
      <c r="I15" s="78">
        <v>3131</v>
      </c>
      <c r="J15" s="78">
        <v>0</v>
      </c>
      <c r="K15" s="78">
        <v>2615</v>
      </c>
      <c r="L15" s="78">
        <v>6020</v>
      </c>
      <c r="M15" s="78">
        <v>4888</v>
      </c>
      <c r="N15" s="78">
        <v>4040</v>
      </c>
      <c r="O15" s="78">
        <v>6427</v>
      </c>
      <c r="P15" s="78">
        <v>2274</v>
      </c>
      <c r="Q15" s="78">
        <v>3999</v>
      </c>
      <c r="R15" s="78">
        <v>0</v>
      </c>
      <c r="S15" s="78">
        <v>0</v>
      </c>
      <c r="T15" s="78">
        <v>4124</v>
      </c>
      <c r="U15" s="78">
        <v>0</v>
      </c>
      <c r="V15" s="78">
        <v>-817</v>
      </c>
      <c r="W15" s="71">
        <v>349</v>
      </c>
      <c r="X15" s="78">
        <v>863</v>
      </c>
      <c r="Y15" s="106">
        <v>-9907</v>
      </c>
      <c r="Z15" s="78">
        <v>0</v>
      </c>
      <c r="AA15" s="78">
        <v>2502</v>
      </c>
      <c r="AB15" s="78" ph="1">
        <v>3</v>
      </c>
      <c r="AC15" s="78" ph="1">
        <v>0</v>
      </c>
      <c r="AD15" s="78">
        <v>5.57</v>
      </c>
      <c r="AE15" s="78">
        <v>46.16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18" ph="1"/>
      <c r="C16" s="154" t="s" ph="1">
        <v>178</v>
      </c>
      <c r="D16" s="73" ph="1">
        <f>D15*7.0686*LOOKUP(D17,密度!$A$2:$A$50,密度!$L$2:$L$50)</f>
        <v>25000.712213400002</v>
      </c>
      <c r="E16" s="73" ph="1">
        <f>E15*7.0686*LOOKUP(E17,密度!$A$2:$A$50,密度!$L$2:$L$50)</f>
        <v>18709.403743800001</v>
      </c>
      <c r="F16" s="73" ph="1">
        <f>F15*9.0746*LOOKUP(F17,密度!$A$2:$A$50,密度!$L$2:$L$50)</f>
        <v>24483.6156348</v>
      </c>
      <c r="G16" s="73" ph="1">
        <f>G15*9.0746*LOOKUP(G17,密度!$A$2:$A$50,密度!$B$2:$B$50)</f>
        <v>9321.3746723999993</v>
      </c>
      <c r="H16" s="73" ph="1">
        <f>H15*9.0746*LOOKUP(H17,密度!$A$2:$A$50,密度!$L$2:$L$50)</f>
        <v>37109.524046400002</v>
      </c>
      <c r="I16" s="73" ph="1">
        <f>I15*9.0746*LOOKUP(I17,密度!$A$2:$A$50,密度!$U$2:$U$50)</f>
        <v>29037.6491972</v>
      </c>
      <c r="J16" s="73" ph="1">
        <f>J15*9.0746*LOOKUP(J17,密度!$A$2:$A$50,密度!$L$2:$L$50)</f>
        <v>0</v>
      </c>
      <c r="K16" s="73" ph="1">
        <f>K15*9.0746*LOOKUP(K17,密度!$A$2:$A$50,密度!$C$2:$C$50)</f>
        <v>26224.110302900001</v>
      </c>
      <c r="L16" s="73" ph="1">
        <f>L15*9.0746*LOOKUP(L17,密度!$A$2:$A$50,密度!$E$2:$E$50)</f>
        <v>42479.581939199998</v>
      </c>
      <c r="M16" s="73" ph="1">
        <f>M15*9.0746*LOOKUP(M17,密度!$A$2:$A$50,密度!$M$2:$M$50)</f>
        <v>38493.583490336001</v>
      </c>
      <c r="N16" s="73" ph="1">
        <f>N15*9.0746*LOOKUP(N17,密度!$A$2:$A$50,密度!$M$2:$M$50)</f>
        <v>31968.726847999998</v>
      </c>
      <c r="O16" s="73" ph="1">
        <f>O15*9.0746*LOOKUP(O17,密度!$A$2:$A$50,密度!$G$2:$G$50)</f>
        <v>55680.447024740002</v>
      </c>
      <c r="P16" s="73" ph="1">
        <f ca="1">P15*9.0746*LOOKUP(P17,密度!$A$2:$A$51,密度!$Q$2:$Q$50)</f>
        <v>19466.218658532001</v>
      </c>
      <c r="Q16" s="73" ph="1">
        <f>Q15*9.0746*LOOKUP(Q17,密度!$A$2:$A$50,密度!$Q$2:$Q$50)</f>
        <v>34205.592335531997</v>
      </c>
      <c r="R16" s="73" ph="1">
        <f>MAX(R15*9.0746*LOOKUP(R17,密度!$A$2:$A$50,密度!$B$2:$B$50),0)</f>
        <v>0</v>
      </c>
      <c r="S16" s="73" ph="1">
        <f>S15*9.0746*LOOKUP(S17,密度!$A$2:$A$50,密度!$Q$2:$Q$50)</f>
        <v>0</v>
      </c>
      <c r="T16" s="73" ph="1">
        <f>T15*9.0746*LOOKUP(T17,密度!$A$2:$A$50,密度!$O$2:$O$50)</f>
        <v>34654.300270400003</v>
      </c>
      <c r="U16" s="73" ph="1">
        <f>U15*9.0746*LOOKUP(U17,密度!$A$2:$A$50,密度!$H$2:$H$50)</f>
        <v>0</v>
      </c>
      <c r="V16" s="73" ph="1">
        <f>MAX(5600*LOOKUP(V17,密度!$A$2:$A$50,密度!$Q$2:$Q$50)+V15*9.0476*LOOKUP(V17,密度!$A$2:$A$50,密度!$Q$2:$Q$50),0)</f>
        <v>0</v>
      </c>
      <c r="W16" s="73" ph="1">
        <f>MAX(5600*LOOKUP(W17,密度!$A$2:$A$50,密度!$Q$2:$Q$50)+W15*9.0476*LOOKUP(W17,密度!$A$2:$A$50,密度!$Q$2:$Q$50),0)</f>
        <v>8248.7951195599999</v>
      </c>
      <c r="X16" s="73" ph="1">
        <f>MAX(5600*LOOKUP(X17,密度!$A$2:$A$50,密度!$I$2:$I$50)+X15*9.0476*LOOKUP(X17,密度!$A$2:$A$50,密度!$I$2:$I$50),0)</f>
        <v>13885.40640528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17602.914524759999</v>
      </c>
      <c r="AB16" s="73" ph="1">
        <f>AB15*9.0746*LOOKUP(AB17,密度!$A$2:$A$50,密度!$L$2:$L$50)</f>
        <v>25.427029200000003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2387.5621089599999</v>
      </c>
      <c r="AE16" s="73" ph="1">
        <f>AE15*268.68*LOOKUP(AE17,密度!$A$2:$A$50,密度!B2:B50)+IF(AE15&lt;=0,0,1566*LOOKUP(AE17,密度!$A$2:$A$50,密度!B2:B50))</f>
        <v>10889.662356479999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19" ph="1"/>
      <c r="C17" s="79" t="s" ph="1">
        <v>179</v>
      </c>
      <c r="D17" s="74">
        <v>31</v>
      </c>
      <c r="E17" s="74">
        <v>31</v>
      </c>
      <c r="F17" s="74">
        <v>31</v>
      </c>
      <c r="G17" s="74">
        <v>28</v>
      </c>
      <c r="H17" s="74">
        <v>26</v>
      </c>
      <c r="I17" s="74">
        <v>28</v>
      </c>
      <c r="J17" s="74">
        <v>30</v>
      </c>
      <c r="K17" s="74">
        <v>30</v>
      </c>
      <c r="L17" s="74">
        <v>30</v>
      </c>
      <c r="M17" s="74">
        <v>32</v>
      </c>
      <c r="N17" s="74">
        <v>28</v>
      </c>
      <c r="O17" s="74">
        <v>30</v>
      </c>
      <c r="P17" s="74">
        <v>30</v>
      </c>
      <c r="Q17" s="74">
        <v>31</v>
      </c>
      <c r="R17" s="74">
        <v>30</v>
      </c>
      <c r="S17" s="74">
        <v>29</v>
      </c>
      <c r="T17" s="74">
        <v>29</v>
      </c>
      <c r="U17" s="74">
        <v>27</v>
      </c>
      <c r="V17" s="74">
        <v>28</v>
      </c>
      <c r="W17" s="74">
        <v>32</v>
      </c>
      <c r="X17" s="74">
        <v>31</v>
      </c>
      <c r="Y17" s="108">
        <v>31</v>
      </c>
      <c r="Z17" s="74">
        <v>29</v>
      </c>
      <c r="AA17" s="74">
        <v>30</v>
      </c>
      <c r="AB17" s="74">
        <v>28</v>
      </c>
      <c r="AC17" s="74">
        <v>27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17" ph="1">
        <v>0.66666666666666663</v>
      </c>
      <c r="C18" s="79" t="s" ph="1">
        <v>180</v>
      </c>
      <c r="D18" s="71">
        <v>3805</v>
      </c>
      <c r="E18" s="71">
        <v>3985</v>
      </c>
      <c r="F18" s="71">
        <v>1248</v>
      </c>
      <c r="G18" s="71">
        <v>1470</v>
      </c>
      <c r="H18" s="71">
        <v>4372</v>
      </c>
      <c r="I18" s="71">
        <v>3133</v>
      </c>
      <c r="J18" s="71">
        <v>0</v>
      </c>
      <c r="K18" s="71">
        <v>2615</v>
      </c>
      <c r="L18" s="71">
        <v>6030</v>
      </c>
      <c r="M18" s="71">
        <v>4218</v>
      </c>
      <c r="N18" s="71">
        <v>1849</v>
      </c>
      <c r="O18" s="71">
        <v>3950</v>
      </c>
      <c r="P18" s="71">
        <v>2275</v>
      </c>
      <c r="Q18" s="71">
        <v>4002</v>
      </c>
      <c r="R18" s="71">
        <v>0</v>
      </c>
      <c r="S18" s="71">
        <v>0</v>
      </c>
      <c r="T18" s="71">
        <v>3068</v>
      </c>
      <c r="U18" s="71">
        <v>0</v>
      </c>
      <c r="V18" s="71">
        <v>-817</v>
      </c>
      <c r="W18" s="71">
        <v>349</v>
      </c>
      <c r="X18" s="71">
        <v>862</v>
      </c>
      <c r="Y18" s="109">
        <v>-9902</v>
      </c>
      <c r="Z18" s="71">
        <v>0</v>
      </c>
      <c r="AA18" s="71">
        <v>2504</v>
      </c>
      <c r="AB18" s="71">
        <v>21</v>
      </c>
      <c r="AC18" s="71">
        <v>0</v>
      </c>
      <c r="AD18" s="71">
        <v>15.72</v>
      </c>
      <c r="AE18" s="71">
        <v>84.52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18" ph="1"/>
      <c r="C19" s="154" t="s" ph="1">
        <v>178</v>
      </c>
      <c r="D19" s="73" ph="1">
        <f>D18*7.0686*LOOKUP(D20,密度!$A$2:$A$50,密度!$L$2:$L$50)</f>
        <v>25013.301390000001</v>
      </c>
      <c r="E19" s="73" ph="1">
        <f>E18*7.0686*LOOKUP(E20,密度!$A$2:$A$50,密度!$L$2:$L$50)</f>
        <v>26196.585030000002</v>
      </c>
      <c r="F19" s="73" ph="1">
        <f>F18*9.0746*LOOKUP(F20,密度!$A$2:$A$50,密度!$L$2:$L$50)</f>
        <v>10521.018643200001</v>
      </c>
      <c r="G19" s="73" ph="1">
        <f>G18*9.0746*LOOKUP(G20,密度!$A$2:$A$50,密度!$B$2:$B$50)</f>
        <v>10342.239948599999</v>
      </c>
      <c r="H19" s="73" ph="1">
        <f>H18*9.0746*LOOKUP(H20,密度!$A$2:$A$50,密度!$L$2:$L$50)</f>
        <v>36976.308918400005</v>
      </c>
      <c r="I19" s="73" ph="1">
        <f>I18*9.0746*LOOKUP(I20,密度!$A$2:$A$50,密度!$U$2:$U$50)</f>
        <v>28999.336235999999</v>
      </c>
      <c r="J19" s="73" ph="1">
        <f>J18*9.0746*LOOKUP(J20,密度!$A$2:$A$50,密度!$L$2:$L$50)</f>
        <v>0</v>
      </c>
      <c r="K19" s="73" ph="1">
        <f>K18*9.0746*LOOKUP(K20,密度!$A$2:$A$50,密度!$C$2:$C$50)</f>
        <v>26150.547058000004</v>
      </c>
      <c r="L19" s="73" ph="1">
        <f>L18*9.0746*LOOKUP(L20,密度!$A$2:$A$50,密度!$E$2:$E$50)</f>
        <v>42425.384798160005</v>
      </c>
      <c r="M19" s="73" ph="1">
        <f>M18*9.0746*LOOKUP(M20,密度!$A$2:$A$50,密度!$M$2:$M$50)</f>
        <v>33136.872519215998</v>
      </c>
      <c r="N19" s="73" ph="1">
        <f>N18*9.0746*LOOKUP(N20,密度!$A$2:$A$50,密度!$M$2:$M$50)</f>
        <v>14595.995904460002</v>
      </c>
      <c r="O19" s="73" ph="1">
        <f>O18*9.0746*LOOKUP(O20,密度!$A$2:$A$50,密度!$G$2:$G$50)</f>
        <v>34108.712631900002</v>
      </c>
      <c r="P19" s="73" ph="1">
        <f ca="1">P18*9.0746*LOOKUP(P20,密度!$A$2:$A$51,密度!$Q$2:$Q$50)</f>
        <v>19459.295464700001</v>
      </c>
      <c r="Q19" s="73" ph="1">
        <f>Q18*9.0746*LOOKUP(Q20,密度!$A$2:$A$50,密度!$Q$2:$Q$50)</f>
        <v>34206.557691479997</v>
      </c>
      <c r="R19" s="73" ph="1">
        <f>MAX(R18*9.0746*LOOKUP(R20,密度!$A$2:$A$50,密度!$B$2:$B$50),0)</f>
        <v>0</v>
      </c>
      <c r="S19" s="73" ph="1">
        <f>S18*9.0746*LOOKUP(S20,密度!$A$2:$A$50,密度!$Q$2:$Q$50)</f>
        <v>0</v>
      </c>
      <c r="T19" s="73" ph="1">
        <f>T18*9.0746*LOOKUP(T20,密度!$A$2:$A$50,密度!$O$2:$O$50)</f>
        <v>25647.012023360003</v>
      </c>
      <c r="U19" s="73" ph="1">
        <f>U18*9.0746*LOOKUP(U20,密度!$A$2:$A$50,密度!$H$2:$H$50)</f>
        <v>0</v>
      </c>
      <c r="V19" s="73" ph="1">
        <f>MAX(5600*LOOKUP(V20,密度!$A$2:$A$50,密度!$Q$2:$Q$50)+V18*9.0476*LOOKUP(V20,密度!$A$2:$A$50,密度!$Q$2:$Q$50),0)</f>
        <v>0</v>
      </c>
      <c r="W19" s="73" ph="1">
        <f>MAX(5600*LOOKUP(W20,密度!$A$2:$A$50,密度!$Q$2:$Q$50)+W18*9.0476*LOOKUP(W20,密度!$A$2:$A$50,密度!$Q$2:$Q$50),0)</f>
        <v>8243.1026715000007</v>
      </c>
      <c r="X19" s="73" ph="1">
        <f>MAX(5600*LOOKUP(X20,密度!$A$2:$A$50,密度!$I$2:$I$50)+X18*9.0476*LOOKUP(X20,密度!$A$2:$A$50,密度!$I$2:$I$50),0)</f>
        <v>13846.558842080001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17576.084562399999</v>
      </c>
      <c r="AB19" s="73" ph="1">
        <f>AB18*9.0746*LOOKUP(AB20,密度!$A$2:$A$50,密度!$L$2:$L$50)</f>
        <v>176.8458048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4498.5577392000005</v>
      </c>
      <c r="AE19" s="73" ph="1">
        <f>AE18*268.68*LOOKUP(AE20,密度!$A$2:$A$50,密度!B5:B53)+IF(AE18&lt;=0,0,1566*LOOKUP(AE20,密度!$A$2:$A$50,密度!B5:B53))</f>
        <v>18861.545707199999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18" ph="1"/>
      <c r="C20" s="80" t="s" ph="1">
        <v>179</v>
      </c>
      <c r="D20" s="81">
        <v>32</v>
      </c>
      <c r="E20" s="81">
        <v>32</v>
      </c>
      <c r="F20" s="81">
        <v>33</v>
      </c>
      <c r="G20" s="81">
        <v>30</v>
      </c>
      <c r="H20" s="81">
        <v>30</v>
      </c>
      <c r="I20" s="81">
        <v>30</v>
      </c>
      <c r="J20" s="81">
        <v>31</v>
      </c>
      <c r="K20" s="81">
        <v>33</v>
      </c>
      <c r="L20" s="81">
        <v>32</v>
      </c>
      <c r="M20" s="81">
        <v>34</v>
      </c>
      <c r="N20" s="81">
        <v>30</v>
      </c>
      <c r="O20" s="81">
        <v>33</v>
      </c>
      <c r="P20" s="81">
        <v>31</v>
      </c>
      <c r="Q20" s="81">
        <v>32</v>
      </c>
      <c r="R20" s="81">
        <v>35</v>
      </c>
      <c r="S20" s="81">
        <v>35</v>
      </c>
      <c r="T20" s="81">
        <v>33</v>
      </c>
      <c r="U20" s="81">
        <v>34</v>
      </c>
      <c r="V20" s="81">
        <v>33</v>
      </c>
      <c r="W20" s="81">
        <v>33</v>
      </c>
      <c r="X20" s="81">
        <v>33</v>
      </c>
      <c r="Y20" s="110">
        <v>33</v>
      </c>
      <c r="Z20" s="81">
        <v>34</v>
      </c>
      <c r="AA20" s="81">
        <v>32</v>
      </c>
      <c r="AB20" s="81">
        <v>34</v>
      </c>
      <c r="AC20" s="81">
        <v>33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6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6" t="s" ph="1">
        <v>69</v>
      </c>
      <c r="AA22" s="227"/>
      <c r="AB22" s="227"/>
      <c r="AC22" s="227"/>
      <c r="AD22" s="227"/>
      <c r="AE22" s="228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0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610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229" t="s" ph="1">
        <v>642</v>
      </c>
      <c r="AA23" s="230"/>
      <c r="AB23" s="230"/>
      <c r="AC23" s="230"/>
      <c r="AD23" s="230"/>
      <c r="AE23" s="231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38" ph="1">
        <v>0.33333333333333331</v>
      </c>
      <c r="C24" s="154" t="s" ph="1">
        <v>177</v>
      </c>
      <c r="D24" s="71">
        <v>2.7</v>
      </c>
      <c r="E24" s="71">
        <v>5.62</v>
      </c>
      <c r="F24" s="71">
        <v>542</v>
      </c>
      <c r="G24" s="71">
        <v>2869</v>
      </c>
      <c r="H24" s="71">
        <v>3478</v>
      </c>
      <c r="I24" s="71">
        <v>162</v>
      </c>
      <c r="J24" s="71">
        <v>306</v>
      </c>
      <c r="K24" s="71">
        <v>2525</v>
      </c>
      <c r="L24" s="71">
        <v>302</v>
      </c>
      <c r="M24" s="71">
        <v>326</v>
      </c>
      <c r="N24" s="71">
        <v>4773</v>
      </c>
      <c r="O24" s="71">
        <v>342</v>
      </c>
      <c r="P24" s="71">
        <v>374</v>
      </c>
      <c r="Q24" s="90">
        <v>4832</v>
      </c>
      <c r="R24" s="71">
        <v>1968</v>
      </c>
      <c r="S24" s="71">
        <v>3227</v>
      </c>
      <c r="T24" s="71">
        <v>404</v>
      </c>
      <c r="U24" s="71">
        <v>4609</v>
      </c>
      <c r="V24" s="71">
        <v>740</v>
      </c>
      <c r="W24" s="71">
        <v>5726</v>
      </c>
      <c r="X24" s="71">
        <v>3453</v>
      </c>
      <c r="Y24" s="71">
        <v>436</v>
      </c>
      <c r="Z24" s="232"/>
      <c r="AA24" s="233"/>
      <c r="AB24" s="233"/>
      <c r="AC24" s="233"/>
      <c r="AD24" s="233"/>
      <c r="AE24" s="234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38" ph="1"/>
      <c r="C25" s="68" t="s" ph="1">
        <v>178</v>
      </c>
      <c r="D25" s="91" ph="1">
        <f>D24*268.68*LOOKUP(D26,密度!$A$2:$A$50,密度!$Q$2:$Q$50)+IF(D24&lt;=0,0,1566*LOOKUP(D26,密度!$A$2:$A$50,密度!$Q$2:$Q$50))</f>
        <v>2169.3941186399998</v>
      </c>
      <c r="E25" s="91" ph="1">
        <f>E24*268.68*LOOKUP(E26,密度!$A$2:$A$50,密度!$C$2:$C$50)+IF(E24&lt;=0,0,1566*LOOKUP(E26,密度!$A$2:$A$50,密度!$C$2:$C$50))</f>
        <v>3410.9559962399999</v>
      </c>
      <c r="F25" s="91" ph="1">
        <f>F24*11.702*LOOKUP(F26,密度!$A$2:$A$50,密度!$Q$2:$Q$50)</f>
        <v>5986.8609221200004</v>
      </c>
      <c r="G25" s="91" ph="1">
        <f>G24*18.322*LOOKUP(G26,密度!$A$2:$A$50,密度!$B$2:$B$50)</f>
        <v>40801.587931599999</v>
      </c>
      <c r="H25" s="91" ph="1">
        <f>H24*18.322*LOOKUP(H26,密度!$A$2:$A$50,密度!$B$2:$B$50)</f>
        <v>49462.503599199998</v>
      </c>
      <c r="I25" s="91" ph="1">
        <f>I24*18.322*LOOKUP(I26,密度!$A$2:$A$50,密度!$Q$2:$Q$50)</f>
        <v>2799.9581461199996</v>
      </c>
      <c r="J25" s="91" ph="1">
        <f>J24*18.322*LOOKUP(J26,密度!$A$2:$A$50,密度!$Q$2:$Q$50)</f>
        <v>5288.80983156</v>
      </c>
      <c r="K25" s="91" ph="1">
        <f>K24*18.322*LOOKUP(K26,密度!$A$2:$A$50,密度!$Q$2:$Q$50)</f>
        <v>43669.080786499995</v>
      </c>
      <c r="L25" s="91" ph="1">
        <f>L24*18.322*LOOKUP(L26,密度!$A$2:$A$50,密度!$Q$2:$Q$50)</f>
        <v>5222.9950089200001</v>
      </c>
      <c r="M25" s="91" ph="1">
        <f>M24*18.322*LOOKUP(M26,密度!$A$2:$A$50,密度!$Q$2:$Q$50)</f>
        <v>5642.1888106400002</v>
      </c>
      <c r="N25" s="91" ph="1">
        <f>N24*18.322*LOOKUP(N26,密度!$A$2:$A$50,密度!$Q$2:$Q$50)</f>
        <v>82547.53370058001</v>
      </c>
      <c r="O25" s="91" ph="1">
        <f>O24*18.322*LOOKUP(O26,密度!$A$2:$A$50,密度!$C$2:$C$50)</f>
        <v>6934.0928184000004</v>
      </c>
      <c r="P25" s="91" ph="1">
        <f>P24*11.702*LOOKUP(P26,密度!$A$2:$A$50,密度!$B$2:$B$50)</f>
        <v>3397.0765575999999</v>
      </c>
      <c r="Q25" s="92" ph="1">
        <f>Q24*18.322*LOOKUP(Q26,密度!$A$2:$A$50,密度!$B$2:$B$50)</f>
        <v>68638.785171199997</v>
      </c>
      <c r="R25" s="91" ph="1">
        <f>R24*35.891*LOOKUP(R26,密度!$A$2:$A$50,密度!$C$2:$C$50)</f>
        <v>78057.067588799997</v>
      </c>
      <c r="S25" s="91" ph="1">
        <f>S24*35.891*LOOKUP(S26,密度!$A$2:$A$50,密度!$B$2:$B$50)</f>
        <v>89691.207020799993</v>
      </c>
      <c r="T25" s="91" ph="1">
        <f>T24*35.891*LOOKUP(T26,密度!$A$2:$A$50,密度!$Q$2:$Q$50)</f>
        <v>13686.951018520002</v>
      </c>
      <c r="U25" s="91" ph="1">
        <f>U24*35.891</f>
        <v>165421.61900000001</v>
      </c>
      <c r="V25" s="91" ph="1">
        <f>V24*47.051*LOOKUP(V26,密度!$A$2:$A$50,密度!$B$2:$B$50)</f>
        <v>26994.193821999997</v>
      </c>
      <c r="W25" s="91" ph="1">
        <f>W24*47.051*LOOKUP(W26,密度!$A$2:$A$50,密度!$B$2:$B$50)</f>
        <v>208876.69435780001</v>
      </c>
      <c r="X25" s="91" ph="1">
        <f>X24*47.051*LOOKUP(X26,密度!$A$2:$A$61,密度!$I$2:$I$61)</f>
        <v>168072.21805349999</v>
      </c>
      <c r="Y25" s="91" ph="1">
        <f>Y24*47.051*LOOKUP(Y26,密度!$A$2:$A$50,密度!$L$2:$L$50)</f>
        <v>19098.753716000003</v>
      </c>
      <c r="Z25" s="232"/>
      <c r="AA25" s="233"/>
      <c r="AB25" s="233"/>
      <c r="AC25" s="233"/>
      <c r="AD25" s="233"/>
      <c r="AE25" s="234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38" ph="1"/>
      <c r="C26" s="68" t="s" ph="1">
        <v>179</v>
      </c>
      <c r="D26" s="74">
        <v>25</v>
      </c>
      <c r="E26" s="74">
        <v>25</v>
      </c>
      <c r="F26" s="74">
        <v>29</v>
      </c>
      <c r="G26" s="74">
        <v>29</v>
      </c>
      <c r="H26" s="74">
        <v>29</v>
      </c>
      <c r="I26" s="74">
        <v>30</v>
      </c>
      <c r="J26" s="74">
        <v>30</v>
      </c>
      <c r="K26" s="74">
        <v>29</v>
      </c>
      <c r="L26" s="74">
        <v>29</v>
      </c>
      <c r="M26" s="74">
        <v>28</v>
      </c>
      <c r="N26" s="74">
        <v>29</v>
      </c>
      <c r="O26" s="74">
        <v>28</v>
      </c>
      <c r="P26" s="74">
        <v>29</v>
      </c>
      <c r="Q26" s="93">
        <v>30</v>
      </c>
      <c r="R26" s="74">
        <v>30</v>
      </c>
      <c r="S26" s="74">
        <v>31</v>
      </c>
      <c r="T26" s="74">
        <v>29</v>
      </c>
      <c r="U26" s="74">
        <v>30</v>
      </c>
      <c r="V26" s="74">
        <v>30</v>
      </c>
      <c r="W26" s="74">
        <v>30</v>
      </c>
      <c r="X26" s="74">
        <v>32</v>
      </c>
      <c r="Y26" s="74">
        <v>31</v>
      </c>
      <c r="Z26" s="232"/>
      <c r="AA26" s="233"/>
      <c r="AB26" s="233"/>
      <c r="AC26" s="233"/>
      <c r="AD26" s="233"/>
      <c r="AE26" s="234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38" ph="1">
        <v>0.66666666666666663</v>
      </c>
      <c r="C27" s="154" t="s" ph="1">
        <v>180</v>
      </c>
      <c r="D27" s="71">
        <v>2.68</v>
      </c>
      <c r="E27" s="71">
        <v>5.59</v>
      </c>
      <c r="F27" s="71">
        <v>540</v>
      </c>
      <c r="G27" s="71">
        <v>2386</v>
      </c>
      <c r="H27" s="71">
        <v>2960</v>
      </c>
      <c r="I27" s="71">
        <v>158</v>
      </c>
      <c r="J27" s="71">
        <v>300</v>
      </c>
      <c r="K27" s="71">
        <v>2523</v>
      </c>
      <c r="L27" s="71">
        <v>296</v>
      </c>
      <c r="M27" s="71">
        <v>322</v>
      </c>
      <c r="N27" s="71">
        <v>4771</v>
      </c>
      <c r="O27" s="71">
        <v>336</v>
      </c>
      <c r="P27" s="71">
        <v>370</v>
      </c>
      <c r="Q27" s="90">
        <v>492</v>
      </c>
      <c r="R27" s="71">
        <v>1964</v>
      </c>
      <c r="S27" s="71">
        <v>5619</v>
      </c>
      <c r="T27" s="71">
        <v>400</v>
      </c>
      <c r="U27" s="71">
        <v>4487</v>
      </c>
      <c r="V27" s="71">
        <v>735</v>
      </c>
      <c r="W27" s="71">
        <v>6692</v>
      </c>
      <c r="X27" s="71">
        <v>3454</v>
      </c>
      <c r="Y27" s="71">
        <v>190</v>
      </c>
      <c r="Z27" s="232"/>
      <c r="AA27" s="233"/>
      <c r="AB27" s="233"/>
      <c r="AC27" s="233"/>
      <c r="AD27" s="233"/>
      <c r="AE27" s="234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38" ph="1"/>
      <c r="C28" s="154" t="s" ph="1">
        <v>178</v>
      </c>
      <c r="D28" s="91" ph="1">
        <f>D27*268.68*LOOKUP(D29,密度!$A$2:$A$50,密度!$Q$2:$Q$50)+IF(D27&lt;=0,0,1566*LOOKUP(D29,密度!$A$2:$A$50,密度!$Q$2:$Q$50))</f>
        <v>2164.3067165759999</v>
      </c>
      <c r="E28" s="91" ph="1">
        <f>E27*268.68*LOOKUP(E29,密度!$A$2:$A$50,密度!$C$2:$C$50)+IF(E27&lt;=0,0,1566*LOOKUP(E29,密度!$A$2:$A$50,密度!$C$2:$C$50))</f>
        <v>3402.0178186799999</v>
      </c>
      <c r="F28" s="91" ph="1">
        <f>F27*11.702*LOOKUP(F29,密度!$A$2:$A$50,密度!$Q$2:$Q$50)</f>
        <v>5964.7691844000001</v>
      </c>
      <c r="G28" s="91" ph="1">
        <f>G27*18.322*LOOKUP(G29,密度!$A$2:$A$50,密度!$B$2:$B$50)</f>
        <v>33779.578828400001</v>
      </c>
      <c r="H28" s="91" ph="1">
        <f>H27*18.322*LOOKUP(H29,密度!$A$2:$A$50,密度!$B$2:$B$50)</f>
        <v>42095.747743999993</v>
      </c>
      <c r="I28" s="91" ph="1">
        <f>I27*18.322*LOOKUP(I29,密度!$A$2:$A$50,密度!$Q$2:$Q$50)</f>
        <v>2730.8233770799998</v>
      </c>
      <c r="J28" s="91" ph="1">
        <f>J27*18.322*LOOKUP(J29,密度!$A$2:$A$50,密度!$Q$2:$Q$50)</f>
        <v>5173.6747499999992</v>
      </c>
      <c r="K28" s="91" ph="1">
        <f>K27*18.322*LOOKUP(K29,密度!$A$2:$A$50,密度!$Q$2:$Q$50)</f>
        <v>43572.085767479992</v>
      </c>
      <c r="L28" s="91" ph="1">
        <f>L27*18.322*LOOKUP(L29,密度!$A$2:$A$50,密度!$Q$2:$Q$50)</f>
        <v>5115.9729089599996</v>
      </c>
      <c r="M28" s="91" ph="1">
        <f>M27*18.322*LOOKUP(M29,密度!$A$2:$A$50,密度!$Q$2:$Q$50)</f>
        <v>5553.0775649999996</v>
      </c>
      <c r="N28" s="91" ph="1">
        <f>N27*18.322*LOOKUP(N29,密度!$A$2:$A$50,密度!$Q$2:$Q$50)</f>
        <v>82460.495772459995</v>
      </c>
      <c r="O28" s="91" ph="1">
        <f>O27*18.322*LOOKUP(O29,密度!$A$2:$A$50,密度!$C$2:$C$50)</f>
        <v>6808.1327328000007</v>
      </c>
      <c r="P28" s="91" ph="1">
        <f>P27*11.702*LOOKUP(P29,密度!$A$2:$A$50,密度!$B$2:$B$50)</f>
        <v>3352.9506559999995</v>
      </c>
      <c r="Q28" s="92" ph="1">
        <f>Q27*18.322*LOOKUP(Q29,密度!$A$2:$A$50,密度!$B$2:$B$50)</f>
        <v>6980.7699455999991</v>
      </c>
      <c r="R28" s="91" ph="1">
        <f>R27*35.891*LOOKUP(R29,密度!$A$2:$A$50,密度!$C$2:$C$50)</f>
        <v>77679.896248000005</v>
      </c>
      <c r="S28" s="91" ph="1">
        <f>S27*35.891*LOOKUP(S29,密度!$A$2:$A$50,密度!$B$2:$B$50)</f>
        <v>155992.92768149998</v>
      </c>
      <c r="T28" s="91" ph="1">
        <f>T27*35.891*LOOKUP(T29,密度!$A$2:$A$50,密度!$Q$2:$Q$50)</f>
        <v>13532.055511999999</v>
      </c>
      <c r="U28" s="91" ph="1">
        <f>U27*35.891</f>
        <v>161042.91699999999</v>
      </c>
      <c r="V28" s="91" ph="1">
        <f>V27*47.051*LOOKUP(V29,密度!$A$2:$A$50,密度!$B$2:$B$50)</f>
        <v>26811.800620499998</v>
      </c>
      <c r="W28" s="91" ph="1">
        <f>W27*47.051*LOOKUP(W29,密度!$A$2:$A$50,密度!$B$2:$B$50)</f>
        <v>243296.41112840004</v>
      </c>
      <c r="X28" s="91" ph="1">
        <f>X27*47.051*LOOKUP(X29,密度!$A$2:$A$61,密度!$I$2:$I$61)</f>
        <v>167747.10975880001</v>
      </c>
      <c r="Y28" s="91" ph="1">
        <f>Y27*47.051*LOOKUP(Y29,密度!$A$2:$A$50,密度!$L$2:$L$50)</f>
        <v>8313.9117000000006</v>
      </c>
      <c r="Z28" s="232"/>
      <c r="AA28" s="233"/>
      <c r="AB28" s="233"/>
      <c r="AC28" s="233"/>
      <c r="AD28" s="233"/>
      <c r="AE28" s="234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38" ph="1"/>
      <c r="C29" s="154" t="s" ph="1">
        <v>179</v>
      </c>
      <c r="D29" s="74">
        <v>25</v>
      </c>
      <c r="E29" s="74">
        <v>25</v>
      </c>
      <c r="F29" s="74">
        <v>29</v>
      </c>
      <c r="G29" s="74">
        <v>33</v>
      </c>
      <c r="H29" s="74">
        <v>29</v>
      </c>
      <c r="I29" s="74">
        <v>30</v>
      </c>
      <c r="J29" s="74">
        <v>33</v>
      </c>
      <c r="K29" s="74">
        <v>31</v>
      </c>
      <c r="L29" s="74">
        <v>30</v>
      </c>
      <c r="M29" s="74">
        <v>33</v>
      </c>
      <c r="N29" s="74">
        <v>30</v>
      </c>
      <c r="O29" s="74">
        <v>29</v>
      </c>
      <c r="P29" s="74">
        <v>31</v>
      </c>
      <c r="Q29" s="93">
        <v>31</v>
      </c>
      <c r="R29" s="74">
        <v>33</v>
      </c>
      <c r="S29" s="74">
        <v>32</v>
      </c>
      <c r="T29" s="74">
        <v>31</v>
      </c>
      <c r="U29" s="74">
        <v>30</v>
      </c>
      <c r="V29" s="74">
        <v>30</v>
      </c>
      <c r="W29" s="74">
        <v>33</v>
      </c>
      <c r="X29" s="74">
        <v>34</v>
      </c>
      <c r="Y29" s="74">
        <v>32</v>
      </c>
      <c r="Z29" s="235"/>
      <c r="AA29" s="236"/>
      <c r="AB29" s="236"/>
      <c r="AC29" s="236"/>
      <c r="AD29" s="236"/>
      <c r="AE29" s="237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1" t="s" ph="1">
        <v>35</v>
      </c>
      <c r="C31" s="222" ph="1"/>
      <c r="D31" s="225" t="s" ph="1">
        <v>9</v>
      </c>
      <c r="E31" s="200" ph="1"/>
      <c r="F31" s="201" ph="1"/>
      <c r="G31" s="225" t="s" ph="1">
        <v>18</v>
      </c>
      <c r="H31" s="200" ph="1"/>
      <c r="I31" s="201" ph="1"/>
      <c r="J31" s="199" t="s" ph="1">
        <v>1</v>
      </c>
      <c r="K31" s="200" ph="1"/>
      <c r="L31" s="201" ph="1"/>
      <c r="M31" s="199" t="s" ph="1">
        <v>7</v>
      </c>
      <c r="N31" s="200" ph="1"/>
      <c r="O31" s="201" ph="1"/>
      <c r="P31" s="199" t="s" ph="1">
        <v>41</v>
      </c>
      <c r="Q31" s="200"/>
      <c r="R31" s="201"/>
      <c r="S31" s="199" t="s" ph="1">
        <v>2</v>
      </c>
      <c r="T31" s="200"/>
      <c r="U31" s="201"/>
      <c r="V31" s="199" t="s" ph="1">
        <v>71</v>
      </c>
      <c r="W31" s="200" ph="1"/>
      <c r="X31" s="201" ph="1"/>
      <c r="Y31" s="199" t="s" ph="1">
        <v>3</v>
      </c>
      <c r="Z31" s="200" ph="1"/>
      <c r="AA31" s="201" ph="1"/>
      <c r="AB31" s="202" t="s">
        <v>42</v>
      </c>
      <c r="AC31" s="203"/>
      <c r="AD31" s="203"/>
      <c r="AE31" s="204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3" ph="1"/>
      <c r="C32" s="224" ph="1"/>
      <c r="D32" s="96" t="s" ph="1">
        <v>4</v>
      </c>
      <c r="E32" s="154" t="s" ph="1">
        <v>5</v>
      </c>
      <c r="F32" s="155" t="s" ph="1">
        <v>43</v>
      </c>
      <c r="G32" s="97" t="s" ph="1">
        <v>4</v>
      </c>
      <c r="H32" s="154" t="s" ph="1">
        <v>5</v>
      </c>
      <c r="I32" s="155" t="s" ph="1">
        <v>43</v>
      </c>
      <c r="J32" s="97" t="s" ph="1">
        <v>4</v>
      </c>
      <c r="K32" s="154" t="s" ph="1">
        <v>5</v>
      </c>
      <c r="L32" s="155" t="s" ph="1">
        <v>43</v>
      </c>
      <c r="M32" s="97" t="s" ph="1">
        <v>4</v>
      </c>
      <c r="N32" s="154" t="s" ph="1">
        <v>5</v>
      </c>
      <c r="O32" s="155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4" t="s" ph="1">
        <v>5</v>
      </c>
      <c r="U32" s="99" t="s" ph="1">
        <v>43</v>
      </c>
      <c r="V32" s="97" t="s" ph="1">
        <v>4</v>
      </c>
      <c r="W32" s="154" t="s" ph="1">
        <v>5</v>
      </c>
      <c r="X32" s="99" t="s" ph="1">
        <v>43</v>
      </c>
      <c r="Y32" s="100" t="s" ph="1">
        <v>4</v>
      </c>
      <c r="Z32" s="154" t="s" ph="1">
        <v>5</v>
      </c>
      <c r="AA32" s="155" t="s" ph="1">
        <v>43</v>
      </c>
      <c r="AB32" s="97" t="s" ph="1">
        <v>85</v>
      </c>
      <c r="AC32" s="154" t="s" ph="1">
        <v>84</v>
      </c>
      <c r="AD32" s="205" t="s" ph="1">
        <v>83</v>
      </c>
      <c r="AE32" s="206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7" t="s" ph="1">
        <v>181</v>
      </c>
      <c r="C33" s="208" ph="1"/>
      <c r="D33" s="187" ph="1">
        <f>AA10+AB10+Z19</f>
        <v>105126.78156599999</v>
      </c>
      <c r="E33" s="187" ph="1">
        <f>M10+I10</f>
        <v>155699.38018939999</v>
      </c>
      <c r="F33" s="211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1522252632456786910111213141516171819202123456789101112131415161718192022232424356789101112131415161718192021222345678910111213141516171819202345678910111213149101516171819222123234567891012131415161711181920212224252345678910111213138[[#This Row],[F25]]</f>
        <v>3880</v>
      </c>
      <c r="G33" s="213" ph="1">
        <f>N19</f>
        <v>14595.995904460002</v>
      </c>
      <c r="H33" s="187" ph="1">
        <f>M19</f>
        <v>33136.872519215998</v>
      </c>
      <c r="I33" s="191" ph="1">
        <v>0</v>
      </c>
      <c r="J33" s="195" ph="1">
        <f>F10+O28</f>
        <v>225071.14693439999</v>
      </c>
      <c r="K33" s="187" ph="1">
        <f>O10+K10+E28+R28</f>
        <v>146217.69968348002</v>
      </c>
      <c r="L33" s="197" ph="1">
        <f>K19</f>
        <v>26150.547058000004</v>
      </c>
      <c r="M33" s="195" ph="1">
        <f>G10+H10+W28+S28+V28+E10+R19+P28+Q28</f>
        <v>665251.9184219999</v>
      </c>
      <c r="N33" s="187" ph="1">
        <f>L10+P10++G28+H28+AD19+AE19</f>
        <v>162423.41591079999</v>
      </c>
      <c r="O33" s="191" ph="1">
        <f>G19</f>
        <v>10342.239948599999</v>
      </c>
      <c r="P33" s="195" ph="1">
        <f>L19</f>
        <v>42425.384798160005</v>
      </c>
      <c r="Q33" s="187" ph="1">
        <f>J10+N10</f>
        <v>111304.61028888001</v>
      </c>
      <c r="R33" s="191" ph="1">
        <f>BE23</f>
        <v>890</v>
      </c>
      <c r="S33" s="195" ph="1">
        <f>X28</f>
        <v>167747.10975880001</v>
      </c>
      <c r="T33" s="187" ph="1">
        <f>X19</f>
        <v>13846.558842080001</v>
      </c>
      <c r="U33" s="176" ph="1">
        <f>BE21</f>
        <v>730</v>
      </c>
      <c r="V33" s="189" ph="1">
        <f ca="1">P19+Q19+S19+M28+N28+J28+D10+AC10+D19+E19+H19+J19+O19+V19+W19+K28+L28</f>
        <v>817308.05264177977</v>
      </c>
      <c r="W33" s="189" ph="1">
        <f>D28+F28+T28+I28</f>
        <v>24391.954790055999</v>
      </c>
      <c r="X33" s="191" ph="1">
        <f>BE29+BE31</f>
        <v>10200</v>
      </c>
      <c r="Y33" s="193" ph="1">
        <f>+Q10+R10+S10+T10+U10+V10+W10+X10+Y10</f>
        <v>176519.07254519998</v>
      </c>
      <c r="Z33" s="174" ph="1">
        <f>T19+U19+Y28+Z10</f>
        <v>63682.273163360005</v>
      </c>
      <c r="AA33" s="176" ph="1">
        <f>BE19</f>
        <v>1440</v>
      </c>
      <c r="AB33" s="178" ph="1">
        <f>I19</f>
        <v>28999.336235999999</v>
      </c>
      <c r="AC33" s="180" ph="1">
        <f>AD10+AB19</f>
        <v>66393.717532800001</v>
      </c>
      <c r="AD33" s="182" ph="1">
        <v>0</v>
      </c>
      <c r="AE33" s="183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9" ph="1"/>
      <c r="C34" s="210" ph="1"/>
      <c r="D34" s="188" ph="1"/>
      <c r="E34" s="188" ph="1"/>
      <c r="F34" s="212" ph="1"/>
      <c r="G34" s="214" ph="1"/>
      <c r="H34" s="188" ph="1"/>
      <c r="I34" s="192" ph="1"/>
      <c r="J34" s="196" ph="1"/>
      <c r="K34" s="188" ph="1"/>
      <c r="L34" s="198" ph="1"/>
      <c r="M34" s="196" ph="1"/>
      <c r="N34" s="188" ph="1"/>
      <c r="O34" s="192" ph="1"/>
      <c r="P34" s="196" ph="1"/>
      <c r="Q34" s="188" ph="1"/>
      <c r="R34" s="192" ph="1"/>
      <c r="S34" s="196" ph="1"/>
      <c r="T34" s="188"/>
      <c r="U34" s="177"/>
      <c r="V34" s="190" ph="1"/>
      <c r="W34" s="190" ph="1"/>
      <c r="X34" s="192" ph="1"/>
      <c r="Y34" s="194" ph="1"/>
      <c r="Z34" s="175" ph="1"/>
      <c r="AA34" s="177" ph="1"/>
      <c r="AB34" s="179"/>
      <c r="AC34" s="181"/>
      <c r="AD34" s="184"/>
      <c r="AE34" s="185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6" t="s" ph="1">
        <v>631</v>
      </c>
      <c r="AD35" s="186"/>
      <c r="AE35" s="186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2" t="s" ph="1">
        <v>183</v>
      </c>
      <c r="J36" s="172" ph="1"/>
      <c r="K36" s="101" ph="1"/>
      <c r="P36" s="101" ph="1"/>
      <c r="R36" s="172" t="s" ph="1">
        <v>184</v>
      </c>
      <c r="S36" s="172" ph="1"/>
      <c r="Y36" s="102" ph="1"/>
      <c r="Z36" s="156" t="s" ph="1">
        <v>185</v>
      </c>
      <c r="AA36" s="156" ph="1"/>
      <c r="AB36" s="173" t="s" ph="1">
        <v>643</v>
      </c>
      <c r="AC36" s="173" ph="1"/>
      <c r="AD36" s="173" ph="1"/>
      <c r="AE36" s="173" ph="1"/>
      <c r="BA36" s="64" ph="1">
        <v>2270</v>
      </c>
    </row>
    <row r="37" spans="1:57" s="156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6" t="s" ph="1">
        <v>342</v>
      </c>
      <c r="AI37" s="156" t="s" ph="1">
        <v>209</v>
      </c>
      <c r="AJ37" s="156" t="s" ph="1">
        <v>210</v>
      </c>
      <c r="AK37" s="156" t="s" ph="1">
        <v>211</v>
      </c>
      <c r="AM37" s="156" t="s" ph="1">
        <v>210</v>
      </c>
      <c r="AN37" s="156" t="s" ph="1">
        <v>211</v>
      </c>
      <c r="AO37" s="156" t="s" ph="1">
        <v>212</v>
      </c>
      <c r="AP37" s="156" t="s" ph="1">
        <v>210</v>
      </c>
      <c r="AQ37" s="156" t="s" ph="1">
        <v>211</v>
      </c>
      <c r="AR37" s="156" t="s" ph="1">
        <v>212</v>
      </c>
      <c r="AS37" s="156" t="s" ph="1">
        <v>210</v>
      </c>
      <c r="AT37" s="156" t="s" ph="1">
        <v>211</v>
      </c>
      <c r="AU37" s="156" t="s" ph="1">
        <v>212</v>
      </c>
      <c r="AV37" s="156" t="s" ph="1">
        <v>210</v>
      </c>
      <c r="AW37" s="156" t="s" ph="1">
        <v>211</v>
      </c>
      <c r="AX37" s="156" t="s" ph="1">
        <v>212</v>
      </c>
      <c r="AY37" s="156" t="s" ph="1">
        <v>211</v>
      </c>
      <c r="AZ37" s="156" t="s" ph="1">
        <v>213</v>
      </c>
      <c r="BD37" s="156" t="s" ph="1">
        <v>305</v>
      </c>
      <c r="BE37" s="156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P56" s="64" ph="1">
        <v>20260804</v>
      </c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2249" priority="102">
      <formula>ABS(D$7-D$10)&gt;=1000</formula>
    </cfRule>
  </conditionalFormatting>
  <conditionalFormatting sqref="E4 E6:E11">
    <cfRule type="expression" dxfId="2248" priority="101">
      <formula>ABS(E$7-E$10)&gt;=1000</formula>
    </cfRule>
  </conditionalFormatting>
  <conditionalFormatting sqref="F4:F11">
    <cfRule type="expression" dxfId="2247" priority="100">
      <formula>ABS(F$7-F$10)&gt;=1000</formula>
    </cfRule>
  </conditionalFormatting>
  <conditionalFormatting sqref="G4:G11">
    <cfRule type="expression" dxfId="2246" priority="99">
      <formula>ABS(G$7-G$10)&gt;=1000</formula>
    </cfRule>
  </conditionalFormatting>
  <conditionalFormatting sqref="H4:H11">
    <cfRule type="expression" dxfId="2245" priority="98">
      <formula>ABS(H$7-H$10)&gt;=1000</formula>
    </cfRule>
  </conditionalFormatting>
  <conditionalFormatting sqref="I4:I11">
    <cfRule type="expression" dxfId="2244" priority="97">
      <formula>ABS(I$7-I$10)&gt;=1000</formula>
    </cfRule>
  </conditionalFormatting>
  <conditionalFormatting sqref="J4:J11">
    <cfRule type="expression" dxfId="2243" priority="96">
      <formula>ABS(J$7-J$10)&gt;=1000</formula>
    </cfRule>
  </conditionalFormatting>
  <conditionalFormatting sqref="K4:K11">
    <cfRule type="expression" dxfId="2242" priority="95">
      <formula>ABS(K$7-K$10)&gt;=1000</formula>
    </cfRule>
  </conditionalFormatting>
  <conditionalFormatting sqref="L4:L11">
    <cfRule type="expression" dxfId="2241" priority="94">
      <formula>ABS(L$7-L$10)&gt;=1000</formula>
    </cfRule>
  </conditionalFormatting>
  <conditionalFormatting sqref="M4 M6:M11">
    <cfRule type="expression" dxfId="2240" priority="93">
      <formula>ABS(M$7-M$10)&gt;=1000</formula>
    </cfRule>
  </conditionalFormatting>
  <conditionalFormatting sqref="N4 N6:N11">
    <cfRule type="expression" dxfId="2239" priority="92">
      <formula>ABS(N$7-N$10)&gt;=1000</formula>
    </cfRule>
  </conditionalFormatting>
  <conditionalFormatting sqref="O4 O6:O11">
    <cfRule type="expression" dxfId="2238" priority="91">
      <formula>ABS(O$7-O$10)&gt;=1000</formula>
    </cfRule>
  </conditionalFormatting>
  <conditionalFormatting sqref="P4 P6:P11">
    <cfRule type="expression" dxfId="2237" priority="90">
      <formula>ABS(P$7-P$10)&gt;=1000</formula>
    </cfRule>
  </conditionalFormatting>
  <conditionalFormatting sqref="Q4:Q11">
    <cfRule type="expression" dxfId="2236" priority="89">
      <formula>ABS(Q$7-Q$10)&gt;=1000</formula>
    </cfRule>
  </conditionalFormatting>
  <conditionalFormatting sqref="R4:R11">
    <cfRule type="expression" dxfId="2235" priority="88">
      <formula>ABS(R$7-R$10)&gt;=1000</formula>
    </cfRule>
  </conditionalFormatting>
  <conditionalFormatting sqref="S4:S11">
    <cfRule type="expression" dxfId="2234" priority="87">
      <formula>ABS(S$7-S$10)&gt;=1000</formula>
    </cfRule>
  </conditionalFormatting>
  <conditionalFormatting sqref="T4:T9 T11">
    <cfRule type="expression" dxfId="2233" priority="86">
      <formula>ABS(T$7-T$10)&gt;=1000</formula>
    </cfRule>
  </conditionalFormatting>
  <conditionalFormatting sqref="U4:U9 U11">
    <cfRule type="expression" dxfId="2232" priority="85">
      <formula>ABS(U$7-U$10)&gt;=1000</formula>
    </cfRule>
  </conditionalFormatting>
  <conditionalFormatting sqref="V4:V9 V11">
    <cfRule type="expression" dxfId="2231" priority="84">
      <formula>ABS(V$7-V$10)&gt;=1000</formula>
    </cfRule>
  </conditionalFormatting>
  <conditionalFormatting sqref="W4:W9 W11">
    <cfRule type="expression" dxfId="2230" priority="83">
      <formula>ABS(W$7-W$10)&gt;=1000</formula>
    </cfRule>
  </conditionalFormatting>
  <conditionalFormatting sqref="X4:X9 X11">
    <cfRule type="expression" dxfId="2229" priority="82">
      <formula>ABS(X$7-X$10)&gt;=1000</formula>
    </cfRule>
  </conditionalFormatting>
  <conditionalFormatting sqref="Y4:Y9 Y11">
    <cfRule type="expression" dxfId="2228" priority="81">
      <formula>ABS(Y$7-Y$10)&gt;=1000</formula>
    </cfRule>
  </conditionalFormatting>
  <conditionalFormatting sqref="Z4:Z11">
    <cfRule type="expression" dxfId="2227" priority="80">
      <formula>ABS(Z$7-Z$10)&gt;=1000</formula>
    </cfRule>
  </conditionalFormatting>
  <conditionalFormatting sqref="AA4:AA11">
    <cfRule type="expression" dxfId="2226" priority="79">
      <formula>ABS(AA$7-AA$10)&gt;=1000</formula>
    </cfRule>
  </conditionalFormatting>
  <conditionalFormatting sqref="AB4:AB11">
    <cfRule type="expression" dxfId="2225" priority="78">
      <formula>ABS(AB$7-AB$10)&gt;=1000</formula>
    </cfRule>
  </conditionalFormatting>
  <conditionalFormatting sqref="AC4 AC6:AC11">
    <cfRule type="expression" dxfId="2224" priority="77">
      <formula>ABS(AC$7-AC$10)&gt;=1000</formula>
    </cfRule>
  </conditionalFormatting>
  <conditionalFormatting sqref="AD4 AD6:AD11">
    <cfRule type="expression" dxfId="2223" priority="76">
      <formula>ABS(AD$7-AD$10)&gt;=1000</formula>
    </cfRule>
  </conditionalFormatting>
  <conditionalFormatting sqref="AE4 AE6:AE11">
    <cfRule type="expression" dxfId="2222" priority="75">
      <formula>ABS(AE$7-AE$10)&gt;=1000</formula>
    </cfRule>
  </conditionalFormatting>
  <conditionalFormatting sqref="D13:D20">
    <cfRule type="expression" dxfId="2221" priority="74">
      <formula>ABS(D$16-D$19)&gt;=1000</formula>
    </cfRule>
  </conditionalFormatting>
  <conditionalFormatting sqref="E13:E20">
    <cfRule type="expression" dxfId="2220" priority="73">
      <formula>ABS(E$16-E$19)&gt;=1000</formula>
    </cfRule>
  </conditionalFormatting>
  <conditionalFormatting sqref="F13 F15:F20">
    <cfRule type="expression" dxfId="2219" priority="72">
      <formula>ABS(F$16-F$19)&gt;=1000</formula>
    </cfRule>
  </conditionalFormatting>
  <conditionalFormatting sqref="G13:G20">
    <cfRule type="expression" dxfId="2218" priority="71">
      <formula>ABS(G$16-G$19)&gt;=1000</formula>
    </cfRule>
  </conditionalFormatting>
  <conditionalFormatting sqref="H13 H15:H20">
    <cfRule type="expression" dxfId="2217" priority="70">
      <formula>ABS(H$16-H$19)&gt;=1000</formula>
    </cfRule>
  </conditionalFormatting>
  <conditionalFormatting sqref="I13:I20">
    <cfRule type="expression" dxfId="2216" priority="69">
      <formula>ABS(I$16-I$19)&gt;=1000</formula>
    </cfRule>
  </conditionalFormatting>
  <conditionalFormatting sqref="J13:J20">
    <cfRule type="expression" dxfId="2215" priority="68">
      <formula>ABS(J$16-J$19)&gt;=1000</formula>
    </cfRule>
  </conditionalFormatting>
  <conditionalFormatting sqref="L13:L20">
    <cfRule type="expression" dxfId="2214" priority="67">
      <formula>ABS(L$16-L$19)&gt;=1000</formula>
    </cfRule>
  </conditionalFormatting>
  <conditionalFormatting sqref="M13 M15 M17:M18 M20">
    <cfRule type="expression" dxfId="2213" priority="66">
      <formula>ABS(M$16-M$19)&gt;=1000</formula>
    </cfRule>
  </conditionalFormatting>
  <conditionalFormatting sqref="N13:N20">
    <cfRule type="expression" dxfId="2212" priority="65">
      <formula>ABS(N$16-N$19)&gt;=1000</formula>
    </cfRule>
  </conditionalFormatting>
  <conditionalFormatting sqref="O13:O20">
    <cfRule type="expression" dxfId="2211" priority="64">
      <formula>ABS(O$16-O$19)&gt;=1000</formula>
    </cfRule>
  </conditionalFormatting>
  <conditionalFormatting sqref="P13:P20">
    <cfRule type="expression" dxfId="2210" priority="63">
      <formula>ABS(P$16-P$19)&gt;=1000</formula>
    </cfRule>
  </conditionalFormatting>
  <conditionalFormatting sqref="Q13 Q15:Q20">
    <cfRule type="expression" dxfId="2209" priority="62">
      <formula>ABS(Q$16-Q$19)&gt;=1000</formula>
    </cfRule>
  </conditionalFormatting>
  <conditionalFormatting sqref="R13:R20">
    <cfRule type="expression" dxfId="2208" priority="61">
      <formula>ABS(R$16-R$19)&gt;=1000</formula>
    </cfRule>
  </conditionalFormatting>
  <conditionalFormatting sqref="S13:S20">
    <cfRule type="expression" dxfId="2207" priority="60">
      <formula>ABS(S$16-S$19)&gt;=1000</formula>
    </cfRule>
  </conditionalFormatting>
  <conditionalFormatting sqref="T13:T15 T17:T20">
    <cfRule type="expression" dxfId="2206" priority="59">
      <formula>ABS(T$16-T$19)&gt;=1000</formula>
    </cfRule>
  </conditionalFormatting>
  <conditionalFormatting sqref="U13:U20">
    <cfRule type="expression" dxfId="2205" priority="58">
      <formula>ABS(U$16-U$19)&gt;=1000</formula>
    </cfRule>
  </conditionalFormatting>
  <conditionalFormatting sqref="V13:V20">
    <cfRule type="expression" dxfId="2204" priority="57">
      <formula>ABS(V$16-V$19)&gt;=1000</formula>
    </cfRule>
  </conditionalFormatting>
  <conditionalFormatting sqref="W13 W20 W15:W18">
    <cfRule type="expression" dxfId="2203" priority="56">
      <formula>ABS(W$16-W$19)&gt;=1000</formula>
    </cfRule>
  </conditionalFormatting>
  <conditionalFormatting sqref="X13 X15:X20 Y19">
    <cfRule type="expression" dxfId="2202" priority="55">
      <formula>ABS(X$16-X$19)&gt;=1000</formula>
    </cfRule>
  </conditionalFormatting>
  <conditionalFormatting sqref="Y13 Y15:Y18 Y20">
    <cfRule type="expression" dxfId="2201" priority="54">
      <formula>ABS(Y$16-Y$19)&gt;=1000</formula>
    </cfRule>
  </conditionalFormatting>
  <conditionalFormatting sqref="Z13:Z20">
    <cfRule type="expression" dxfId="2200" priority="53">
      <formula>ABS(Z$16-Z$19)&gt;=1000</formula>
    </cfRule>
  </conditionalFormatting>
  <conditionalFormatting sqref="AA13:AA20">
    <cfRule type="expression" dxfId="2199" priority="52">
      <formula>ABS(AA$16-AA$19)&gt;=1000</formula>
    </cfRule>
  </conditionalFormatting>
  <conditionalFormatting sqref="AB13 AB15:AB20">
    <cfRule type="expression" dxfId="2198" priority="51">
      <formula>ABS(AB$16-AB$19)&gt;=1000</formula>
    </cfRule>
  </conditionalFormatting>
  <conditionalFormatting sqref="AC13 AC15:AC20">
    <cfRule type="expression" dxfId="2197" priority="50">
      <formula>ABS(AC$16-AC$19)&gt;=1000</formula>
    </cfRule>
  </conditionalFormatting>
  <conditionalFormatting sqref="AD13:AD20">
    <cfRule type="expression" dxfId="2196" priority="49">
      <formula>ABS(AD$16-AD$19)&gt;=1000</formula>
    </cfRule>
  </conditionalFormatting>
  <conditionalFormatting sqref="AE13:AE20">
    <cfRule type="expression" dxfId="2195" priority="48">
      <formula>ABS(AE$16-AE$19)&gt;=1000</formula>
    </cfRule>
  </conditionalFormatting>
  <conditionalFormatting sqref="D22:D29">
    <cfRule type="expression" dxfId="2194" priority="47">
      <formula>ABS(D$25-D$28)&gt;=1000</formula>
    </cfRule>
  </conditionalFormatting>
  <conditionalFormatting sqref="E22:E29">
    <cfRule type="expression" dxfId="2193" priority="46">
      <formula>ABS(E$25-E$28)&gt;=1000</formula>
    </cfRule>
  </conditionalFormatting>
  <conditionalFormatting sqref="F22:F29">
    <cfRule type="expression" dxfId="2192" priority="45">
      <formula>ABS(F$25-F$28)&gt;=1000</formula>
    </cfRule>
  </conditionalFormatting>
  <conditionalFormatting sqref="G22:G29">
    <cfRule type="expression" dxfId="2191" priority="44">
      <formula>ABS(G$25-G$28)&gt;=1000</formula>
    </cfRule>
  </conditionalFormatting>
  <conditionalFormatting sqref="H22:H29">
    <cfRule type="expression" dxfId="2190" priority="43">
      <formula>ABS(H$25-H$28)&gt;=1000</formula>
    </cfRule>
  </conditionalFormatting>
  <conditionalFormatting sqref="I22 I24:I29">
    <cfRule type="expression" dxfId="2189" priority="42">
      <formula>ABS(I$25-I$28)&gt;=1000</formula>
    </cfRule>
  </conditionalFormatting>
  <conditionalFormatting sqref="J22:J29 K22">
    <cfRule type="expression" dxfId="2188" priority="41">
      <formula>ABS(J$25-J$28)&gt;=1000</formula>
    </cfRule>
  </conditionalFormatting>
  <conditionalFormatting sqref="K23:K29 L25 L28">
    <cfRule type="expression" dxfId="2187" priority="40">
      <formula>ABS(K$25-K$28)&gt;=1000</formula>
    </cfRule>
  </conditionalFormatting>
  <conditionalFormatting sqref="L22 L26:L27 L29 L24">
    <cfRule type="expression" dxfId="2186" priority="39">
      <formula>ABS(L$25-L$28)&gt;=1000</formula>
    </cfRule>
  </conditionalFormatting>
  <conditionalFormatting sqref="M22:M29">
    <cfRule type="expression" dxfId="2185" priority="38">
      <formula>ABS(M$25-M$28)&gt;=1000</formula>
    </cfRule>
  </conditionalFormatting>
  <conditionalFormatting sqref="N22:N29">
    <cfRule type="expression" dxfId="2184" priority="37">
      <formula>ABS(N$25-N$28)&gt;=1000</formula>
    </cfRule>
  </conditionalFormatting>
  <conditionalFormatting sqref="O22 O24:O29">
    <cfRule type="expression" dxfId="2183" priority="36">
      <formula>ABS(O$25-O$28)&gt;=1000</formula>
    </cfRule>
  </conditionalFormatting>
  <conditionalFormatting sqref="P22:P29">
    <cfRule type="expression" dxfId="2182" priority="35">
      <formula>ABS(P$25-P$28)&gt;=1000</formula>
    </cfRule>
  </conditionalFormatting>
  <conditionalFormatting sqref="Q22:Q29">
    <cfRule type="expression" dxfId="2181" priority="34">
      <formula>ABS(Q$25-Q$28)&gt;=1000</formula>
    </cfRule>
  </conditionalFormatting>
  <conditionalFormatting sqref="R22:R29">
    <cfRule type="expression" dxfId="2180" priority="33">
      <formula>ABS(R$25-R$28)&gt;=1000</formula>
    </cfRule>
  </conditionalFormatting>
  <conditionalFormatting sqref="S22:S29">
    <cfRule type="expression" dxfId="2179" priority="32">
      <formula>ABS(S$25-S$28)&gt;=1000</formula>
    </cfRule>
  </conditionalFormatting>
  <conditionalFormatting sqref="T22:T29">
    <cfRule type="expression" dxfId="2178" priority="31">
      <formula>ABS(T$25-T$28)&gt;=1000</formula>
    </cfRule>
  </conditionalFormatting>
  <conditionalFormatting sqref="U22:U29">
    <cfRule type="expression" dxfId="2177" priority="30">
      <formula>ABS(U$25-U$28)&gt;=1000</formula>
    </cfRule>
  </conditionalFormatting>
  <conditionalFormatting sqref="V22:V29">
    <cfRule type="expression" dxfId="2176" priority="29">
      <formula>ABS(V$25-V$28)&gt;=1000</formula>
    </cfRule>
  </conditionalFormatting>
  <conditionalFormatting sqref="W22:W29">
    <cfRule type="expression" dxfId="2175" priority="28">
      <formula>ABS(W$25-W$28)&gt;=1000</formula>
    </cfRule>
  </conditionalFormatting>
  <conditionalFormatting sqref="X22:X29">
    <cfRule type="expression" dxfId="2174" priority="27">
      <formula>ABS(X$25-X$28)&gt;=1000</formula>
    </cfRule>
  </conditionalFormatting>
  <conditionalFormatting sqref="Y22:Y29">
    <cfRule type="expression" dxfId="2173" priority="26">
      <formula>ABS(Y$25-Y$28)&gt;=1000</formula>
    </cfRule>
  </conditionalFormatting>
  <conditionalFormatting sqref="I23">
    <cfRule type="expression" dxfId="2172" priority="25">
      <formula>ABS(I$25-I$28)&gt;=1000</formula>
    </cfRule>
  </conditionalFormatting>
  <conditionalFormatting sqref="Q14">
    <cfRule type="expression" dxfId="2171" priority="24">
      <formula>ABS(Q$16-Q$19)&gt;=1000</formula>
    </cfRule>
  </conditionalFormatting>
  <conditionalFormatting sqref="W14">
    <cfRule type="expression" dxfId="2170" priority="23">
      <formula>ABS(W$16-W$19)&gt;=1000</formula>
    </cfRule>
  </conditionalFormatting>
  <conditionalFormatting sqref="X14">
    <cfRule type="expression" dxfId="2169" priority="22">
      <formula>ABS(X$16-X$19)&gt;=1000</formula>
    </cfRule>
  </conditionalFormatting>
  <conditionalFormatting sqref="T10:Y10">
    <cfRule type="expression" dxfId="2168" priority="21">
      <formula>ABS(T$7-T$10)&gt;=1000</formula>
    </cfRule>
  </conditionalFormatting>
  <conditionalFormatting sqref="W19">
    <cfRule type="expression" dxfId="2167" priority="20">
      <formula>ABS(W$16-W$19)&gt;=1000</formula>
    </cfRule>
  </conditionalFormatting>
  <conditionalFormatting sqref="AC5">
    <cfRule type="expression" dxfId="2166" priority="19">
      <formula>ABS(AC$7-AC$10)&gt;=1000</formula>
    </cfRule>
  </conditionalFormatting>
  <conditionalFormatting sqref="M14">
    <cfRule type="expression" dxfId="2165" priority="18">
      <formula>ABS(M$16-M$19)&gt;=1000</formula>
    </cfRule>
  </conditionalFormatting>
  <conditionalFormatting sqref="M16">
    <cfRule type="expression" dxfId="2164" priority="17">
      <formula>ABS(M$16-M$19)&gt;=1000</formula>
    </cfRule>
  </conditionalFormatting>
  <conditionalFormatting sqref="M19">
    <cfRule type="expression" dxfId="2163" priority="16">
      <formula>ABS(M$16-M$19)&gt;=1000</formula>
    </cfRule>
  </conditionalFormatting>
  <conditionalFormatting sqref="K13:K20">
    <cfRule type="expression" dxfId="2162" priority="15">
      <formula>ABS(K$16-K$19)&gt;=1000</formula>
    </cfRule>
  </conditionalFormatting>
  <conditionalFormatting sqref="E5">
    <cfRule type="expression" dxfId="2161" priority="14">
      <formula>ABS(E$7-E$10)&gt;=1000</formula>
    </cfRule>
  </conditionalFormatting>
  <conditionalFormatting sqref="AB14:AC14">
    <cfRule type="expression" dxfId="2160" priority="13">
      <formula>ABS(AB$16-AB$19)&gt;=1000</formula>
    </cfRule>
  </conditionalFormatting>
  <conditionalFormatting sqref="M5">
    <cfRule type="expression" dxfId="2159" priority="12">
      <formula>ABS(M$7-M$10)&gt;=1000</formula>
    </cfRule>
  </conditionalFormatting>
  <conditionalFormatting sqref="N5">
    <cfRule type="expression" dxfId="2158" priority="11">
      <formula>ABS(N$7-N$10)&gt;=1000</formula>
    </cfRule>
  </conditionalFormatting>
  <conditionalFormatting sqref="O5">
    <cfRule type="expression" dxfId="2157" priority="10">
      <formula>ABS(O$7-O$10)&gt;=1000</formula>
    </cfRule>
  </conditionalFormatting>
  <conditionalFormatting sqref="P5">
    <cfRule type="expression" dxfId="2156" priority="9">
      <formula>ABS(P$7-P$10)&gt;=1000</formula>
    </cfRule>
  </conditionalFormatting>
  <conditionalFormatting sqref="L23">
    <cfRule type="expression" dxfId="2155" priority="8">
      <formula>ABS(L$25-L$28)&gt;=1000</formula>
    </cfRule>
  </conditionalFormatting>
  <conditionalFormatting sqref="Y14">
    <cfRule type="expression" dxfId="2154" priority="7">
      <formula>ABS(Y$16-Y$19)&gt;=1000</formula>
    </cfRule>
  </conditionalFormatting>
  <conditionalFormatting sqref="F14">
    <cfRule type="expression" dxfId="2153" priority="6">
      <formula>ABS(F$16-F$19)&gt;=1000</formula>
    </cfRule>
  </conditionalFormatting>
  <conditionalFormatting sqref="H14">
    <cfRule type="expression" dxfId="2152" priority="5">
      <formula>ABS(H$16-H$19)&gt;=1000</formula>
    </cfRule>
  </conditionalFormatting>
  <conditionalFormatting sqref="AD5">
    <cfRule type="expression" dxfId="2151" priority="4">
      <formula>ABS(AD$7-AD$10)&gt;=1000</formula>
    </cfRule>
  </conditionalFormatting>
  <conditionalFormatting sqref="AE5">
    <cfRule type="expression" dxfId="2150" priority="3">
      <formula>ABS(AE$7-AE$10)&gt;=1000</formula>
    </cfRule>
  </conditionalFormatting>
  <conditionalFormatting sqref="T16">
    <cfRule type="expression" dxfId="2149" priority="2">
      <formula>ABS(T$16-T$19)&gt;=1000</formula>
    </cfRule>
  </conditionalFormatting>
  <conditionalFormatting sqref="O23">
    <cfRule type="expression" dxfId="2148" priority="1">
      <formula>ABS(O$25-O$28)&gt;=1000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31713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950">
    <pageSetUpPr fitToPage="1"/>
  </sheetPr>
  <dimension ref="A1:CU223"/>
  <sheetViews>
    <sheetView view="pageBreakPreview" topLeftCell="O20" zoomScale="115" zoomScaleNormal="100" zoomScaleSheetLayoutView="115" workbookViewId="0">
      <selection activeCell="R42" sqref="R42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39" t="s" ph="1">
        <v>161</v>
      </c>
      <c r="C1" s="239" ph="1"/>
      <c r="D1" s="239" ph="1"/>
      <c r="E1" s="239" ph="1"/>
      <c r="F1" s="239" ph="1"/>
      <c r="G1" s="239" ph="1"/>
      <c r="H1" s="239" ph="1"/>
      <c r="I1" s="239" ph="1"/>
      <c r="J1" s="239" ph="1"/>
      <c r="K1" s="239" ph="1"/>
      <c r="L1" s="239" ph="1"/>
      <c r="M1" s="239" ph="1"/>
      <c r="N1" s="239" ph="1"/>
      <c r="O1" s="239" ph="1"/>
      <c r="P1" s="239" ph="1"/>
      <c r="Q1" s="239" ph="1"/>
      <c r="R1" s="239" ph="1"/>
      <c r="S1" s="239" ph="1"/>
      <c r="T1" s="239" ph="1"/>
      <c r="U1" s="239" ph="1"/>
      <c r="V1" s="239" ph="1"/>
      <c r="W1" s="239" ph="1"/>
      <c r="X1" s="239" ph="1"/>
      <c r="Y1" s="239" ph="1"/>
      <c r="Z1" s="239" ph="1"/>
      <c r="AA1" s="239" ph="1"/>
      <c r="AB1" s="239" ph="1"/>
      <c r="AC1" s="239" ph="1"/>
      <c r="AD1" s="239" ph="1"/>
      <c r="AE1" s="239" ph="1"/>
    </row>
    <row r="2" spans="1:99" s="66" customFormat="1" ht="24" customHeight="1" ph="1">
      <c r="B2" s="240" t="s" ph="1">
        <v>82</v>
      </c>
      <c r="C2" s="240" ph="1"/>
      <c r="D2" s="240" ph="1"/>
      <c r="E2" s="240" ph="1"/>
      <c r="F2" s="240" ph="1"/>
      <c r="G2" s="240" ph="1"/>
      <c r="H2" s="240" ph="1"/>
      <c r="I2" s="240" ph="1"/>
      <c r="J2" s="240" ph="1"/>
      <c r="K2" s="240" ph="1"/>
      <c r="L2" s="240" ph="1"/>
      <c r="M2" s="240" ph="1"/>
      <c r="N2" s="240" ph="1"/>
      <c r="O2" s="240" ph="1"/>
      <c r="P2" s="240" ph="1"/>
      <c r="Q2" s="240" ph="1"/>
      <c r="R2" s="240" ph="1"/>
      <c r="S2" s="240" ph="1"/>
      <c r="T2" s="240" ph="1"/>
      <c r="U2" s="240" ph="1"/>
      <c r="V2" s="240" ph="1"/>
      <c r="W2" s="240" ph="1"/>
      <c r="X2" s="240" ph="1"/>
      <c r="Y2" s="240" ph="1"/>
      <c r="Z2" s="240" ph="1"/>
      <c r="AA2" s="240" ph="1"/>
      <c r="AB2" s="240" ph="1"/>
      <c r="AC2" s="240" ph="1"/>
      <c r="AD2" s="240" ph="1"/>
      <c r="AE2" s="240" ph="1"/>
    </row>
    <row r="3" spans="1:99" ht="21" customHeight="1" ph="1">
      <c r="B3" s="241" ph="1">
        <v>46244</v>
      </c>
      <c r="C3" s="241"/>
      <c r="D3" s="241"/>
      <c r="E3" s="241"/>
      <c r="F3" s="241"/>
      <c r="G3" s="241"/>
      <c r="H3" s="241"/>
      <c r="I3" s="241"/>
      <c r="J3" s="241"/>
      <c r="K3" s="241"/>
      <c r="L3" s="241"/>
      <c r="M3" s="241"/>
      <c r="N3" s="241"/>
      <c r="O3" s="241"/>
      <c r="P3" s="241"/>
      <c r="Q3" s="241"/>
      <c r="R3" s="241"/>
      <c r="S3" s="241"/>
      <c r="T3" s="241"/>
      <c r="U3" s="241"/>
      <c r="V3" s="241"/>
      <c r="W3" s="241"/>
      <c r="X3" s="241"/>
      <c r="Y3" s="241"/>
      <c r="Z3" s="241"/>
      <c r="AA3" s="241"/>
      <c r="AB3" s="241"/>
      <c r="AC3" s="241"/>
      <c r="AD3" s="241"/>
      <c r="AE3" s="241"/>
    </row>
    <row r="4" spans="1:99" s="69" customFormat="1" ph="1">
      <c r="A4" s="65" ph="1"/>
      <c r="B4" s="220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0" ph="1"/>
      <c r="C5" s="67" t="s" ph="1">
        <v>36</v>
      </c>
      <c r="D5" s="70" t="s" ph="1">
        <v>160</v>
      </c>
      <c r="E5" s="142" t="s" ph="1">
        <v>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8" ph="1">
        <v>0.33333333333333331</v>
      </c>
      <c r="C6" s="154" t="s" ph="1">
        <v>177</v>
      </c>
      <c r="D6" s="71">
        <v>7081</v>
      </c>
      <c r="E6" s="71">
        <v>0</v>
      </c>
      <c r="F6" s="71">
        <v>5947</v>
      </c>
      <c r="G6" s="71">
        <v>6282</v>
      </c>
      <c r="H6" s="71">
        <v>10</v>
      </c>
      <c r="I6" s="71">
        <v>38.61</v>
      </c>
      <c r="J6" s="71">
        <v>76.81</v>
      </c>
      <c r="K6" s="71">
        <v>84.41</v>
      </c>
      <c r="L6" s="71">
        <v>7.31</v>
      </c>
      <c r="M6" s="71">
        <v>4251</v>
      </c>
      <c r="N6" s="71">
        <v>3628</v>
      </c>
      <c r="O6" s="71">
        <v>1683</v>
      </c>
      <c r="P6" s="71">
        <v>2345</v>
      </c>
      <c r="Q6" s="71">
        <v>3078</v>
      </c>
      <c r="R6" s="71">
        <v>6504</v>
      </c>
      <c r="S6" s="71">
        <v>5477</v>
      </c>
      <c r="T6" s="71">
        <v>5297</v>
      </c>
      <c r="U6" s="71">
        <v>2786</v>
      </c>
      <c r="V6" s="71">
        <v>0</v>
      </c>
      <c r="W6" s="71">
        <v>0</v>
      </c>
      <c r="X6" s="71">
        <v>0</v>
      </c>
      <c r="Y6" s="71">
        <v>0</v>
      </c>
      <c r="Z6" s="71">
        <v>3084</v>
      </c>
      <c r="AA6" s="71">
        <v>1098</v>
      </c>
      <c r="AB6" s="71">
        <v>3239</v>
      </c>
      <c r="AC6" s="71">
        <v>4099</v>
      </c>
      <c r="AD6" s="71">
        <v>3380</v>
      </c>
      <c r="AE6" s="71">
        <v>4905</v>
      </c>
    </row>
    <row r="7" spans="1:99" s="72" customFormat="1" ht="22.2" ph="1">
      <c r="B7" s="238" ph="1"/>
      <c r="C7" s="68" t="s" ph="1">
        <v>178</v>
      </c>
      <c r="D7" s="73" ph="1">
        <f>D6*33.183*LOOKUP(D8,密度!$A$2:$A$50,密度!$Q$2:$Q$50)</f>
        <v>222120.72775836001</v>
      </c>
      <c r="E7" s="73" ph="1">
        <f>E6*51.53*LOOKUP(E8,密度!$A$2:$A$50,密度!$B$2:$B$50)</f>
        <v>0</v>
      </c>
      <c r="F7" s="73" ph="1">
        <f>F6*33.183*LOOKUP(F8,密度!$A$2:$A$50,密度!$C$2:$C$50)</f>
        <v>218533.54192739999</v>
      </c>
      <c r="G7" s="73" ph="1">
        <f xml:space="preserve"> (G6+2)*51.53*LOOKUP(G8,密度!$A$2:$A$50,密度!$B$2:$B$50)</f>
        <v>251603.88204000003</v>
      </c>
      <c r="H7" s="73" ph="1">
        <f>(H6)*51.53*LOOKUP(H8,密度!$A$2:$A$50,密度!$B$2:$B$50)</f>
        <v>401.72787999999997</v>
      </c>
      <c r="I7" s="73" ph="1">
        <f>I6*290.8*1.0267</f>
        <v>11527.5699396</v>
      </c>
      <c r="J7" s="73" ph="1">
        <f>J6*290.8*0.7892</f>
        <v>17627.845841600003</v>
      </c>
      <c r="K7" s="73" ph="1">
        <f>K6*290.8*1.1126</f>
        <v>27310.355792800001</v>
      </c>
      <c r="L7" s="73" ph="1">
        <f>L6*290.8*0.777</f>
        <v>1651.7061960000001</v>
      </c>
      <c r="M7" s="73" ph="1">
        <f>M6*33.183*LOOKUP(M8,密度!$A$2:$A$50,密度!$D$2:$D$50)</f>
        <v>144559.24413839998</v>
      </c>
      <c r="N7" s="73" ph="1">
        <f>N6*33.183*LOOKUP(N8,密度!$A$2:$A$50,密度!$E$2:$E$50)</f>
        <v>93613.649702399998</v>
      </c>
      <c r="O7" s="73" ph="1">
        <f>O6*20.428*LOOKUP(O8,密度!$A$2:$A$50,密度!$C$2:$C$50)</f>
        <v>37993.696052400002</v>
      </c>
      <c r="P7" s="73" ph="1">
        <f>P6*51.53*LOOKUP(P8,密度!$A$2:$A$50,密度!$B$2:$B$50)</f>
        <v>93999.763515000013</v>
      </c>
      <c r="Q7" s="73" ph="1">
        <f>Q6*1.5*1.5*3.1416*LOOKUP(W8,密度!$A$2:$A$50,密度!$L$2:$L$50)</f>
        <v>20342.935998000001</v>
      </c>
      <c r="R7" s="73" ph="1">
        <f>R6*1.5*1.5*3.1416*LOOKUP(R8,密度!$A$2:$A$50,密度!$L$2:$L$50)</f>
        <v>42664.033843199999</v>
      </c>
      <c r="S7" s="73" ph="1">
        <f>S6*1.5*1.5*3.1416*LOOKUP(S8,密度!$A$2:$A$50,密度!$L$2:$L$50)</f>
        <v>36275.694701399996</v>
      </c>
      <c r="T7" s="73" ph="1">
        <f>T6*1.5*1.5*3.1416*LOOKUP(T8,密度!$A$2:$A$50,密度!$L$2:$L$50)</f>
        <v>35083.504625399997</v>
      </c>
      <c r="U7" s="73" ph="1">
        <f>U6*1.5*1.5*3.1416*LOOKUP(U8,密度!$A$2:$A$50,密度!$L$2:$L$50)</f>
        <v>18472.146184799996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95582.171448000008</v>
      </c>
      <c r="AA7" s="73" ph="1">
        <f>AA6*33.183*LOOKUP(AA8,密度!$A$2:$A$50,密度!$D$2:$D$50)</f>
        <v>37305.728922599999</v>
      </c>
      <c r="AB7" s="73" ph="1">
        <f>AB6*20.428*LOOKUP(AB8,密度!$A$2:$A$50,密度!$D$2:$D$50)</f>
        <v>68184.363905999999</v>
      </c>
      <c r="AC7" s="73" ph="1">
        <f>AC6*51.53*LOOKUP(AC8,密度!$A$2:$A$50,密度!$Q$2:$Q$50)</f>
        <v>199971.81450780001</v>
      </c>
      <c r="AD7" s="73" ph="1">
        <f>AD6*20.428*LOOKUP(AD8,密度!$A$2:$A$50,密度!$V$2:$V$50)</f>
        <v>66119.062464000002</v>
      </c>
      <c r="AE7" s="73" ph="1">
        <f>AE6*20.428</f>
        <v>100199.34000000001</v>
      </c>
    </row>
    <row r="8" spans="1:99" ph="1">
      <c r="B8" s="238" ph="1"/>
      <c r="C8" s="68" t="s" ph="1">
        <v>179</v>
      </c>
      <c r="D8" s="74">
        <v>27</v>
      </c>
      <c r="E8" s="74">
        <v>28</v>
      </c>
      <c r="F8" s="74">
        <v>27</v>
      </c>
      <c r="G8" s="74">
        <v>28</v>
      </c>
      <c r="H8" s="74">
        <v>25</v>
      </c>
      <c r="I8" s="74">
        <v>25</v>
      </c>
      <c r="J8" s="74">
        <v>25</v>
      </c>
      <c r="K8" s="74">
        <v>25</v>
      </c>
      <c r="L8" s="74">
        <v>25</v>
      </c>
      <c r="M8" s="74">
        <v>27</v>
      </c>
      <c r="N8" s="74">
        <v>30</v>
      </c>
      <c r="O8" s="74">
        <v>30</v>
      </c>
      <c r="P8" s="74">
        <v>27</v>
      </c>
      <c r="Q8" s="74">
        <v>31</v>
      </c>
      <c r="R8" s="74">
        <v>34</v>
      </c>
      <c r="S8" s="74">
        <v>25</v>
      </c>
      <c r="T8" s="74">
        <v>25</v>
      </c>
      <c r="U8" s="74">
        <v>24</v>
      </c>
      <c r="V8" s="74">
        <v>26</v>
      </c>
      <c r="W8" s="74">
        <v>27</v>
      </c>
      <c r="X8" s="74">
        <v>25</v>
      </c>
      <c r="Y8" s="74">
        <v>27</v>
      </c>
      <c r="Z8" s="74">
        <v>28</v>
      </c>
      <c r="AA8" s="74">
        <v>28</v>
      </c>
      <c r="AB8" s="74">
        <v>21</v>
      </c>
      <c r="AC8" s="74">
        <v>25</v>
      </c>
      <c r="AD8" s="74">
        <v>26</v>
      </c>
      <c r="AE8" s="74">
        <v>30</v>
      </c>
    </row>
    <row r="9" spans="1:99" ht="26.4" ph="1">
      <c r="B9" s="238" ph="1">
        <v>0.66666666666666663</v>
      </c>
      <c r="C9" s="154" t="s" ph="1">
        <v>180</v>
      </c>
      <c r="D9" s="71">
        <v>7084</v>
      </c>
      <c r="E9" s="71">
        <v>779</v>
      </c>
      <c r="F9" s="71">
        <v>5946</v>
      </c>
      <c r="G9" s="71">
        <v>6282</v>
      </c>
      <c r="H9" s="71">
        <v>10</v>
      </c>
      <c r="I9" s="71">
        <v>38.74</v>
      </c>
      <c r="J9" s="71">
        <v>77.010000000000005</v>
      </c>
      <c r="K9" s="71">
        <v>7.41</v>
      </c>
      <c r="L9" s="71">
        <v>52.01</v>
      </c>
      <c r="M9" s="71">
        <v>4250</v>
      </c>
      <c r="N9" s="71">
        <v>3494</v>
      </c>
      <c r="O9" s="71">
        <v>2789</v>
      </c>
      <c r="P9" s="71">
        <v>2364</v>
      </c>
      <c r="Q9" s="71">
        <v>0</v>
      </c>
      <c r="R9" s="71">
        <v>5815</v>
      </c>
      <c r="S9" s="71">
        <v>5482</v>
      </c>
      <c r="T9" s="71">
        <v>7217</v>
      </c>
      <c r="U9" s="71">
        <v>6310</v>
      </c>
      <c r="V9" s="71">
        <v>0</v>
      </c>
      <c r="W9" s="71">
        <v>0</v>
      </c>
      <c r="X9" s="71">
        <v>0</v>
      </c>
      <c r="Y9" s="71">
        <v>0</v>
      </c>
      <c r="Z9" s="71">
        <v>2304</v>
      </c>
      <c r="AA9" s="71">
        <v>1302</v>
      </c>
      <c r="AB9" s="71">
        <v>2818</v>
      </c>
      <c r="AC9" s="71">
        <v>4293</v>
      </c>
      <c r="AD9" s="71">
        <v>3380</v>
      </c>
      <c r="AE9" s="71">
        <v>4905</v>
      </c>
    </row>
    <row r="10" spans="1:99" s="72" customFormat="1" ht="22.2" ph="1">
      <c r="B10" s="238" ph="1"/>
      <c r="C10" s="154" t="s" ph="1">
        <v>178</v>
      </c>
      <c r="D10" s="73" ph="1">
        <f>D9*33.183*LOOKUP(D11,密度!$A$2:$A$50,密度!$Q$2:$Q$50)</f>
        <v>221258.10514500001</v>
      </c>
      <c r="E10" s="73" ph="1">
        <f>E9*51.53*LOOKUP(E11,密度!$A$2:$A$50,密度!$B$2:$B$50)</f>
        <v>31049.736445000002</v>
      </c>
      <c r="F10" s="73" ph="1">
        <f>F9*33.183*LOOKUP(F11,密度!$A$2:$A$50,密度!$C$2:$C$50)</f>
        <v>218200.83589620001</v>
      </c>
      <c r="G10" s="73" ph="1">
        <f xml:space="preserve"> (G9+2)*51.53*LOOKUP(G11,密度!$A$2:$A$50,密度!$B$2:$B$50)</f>
        <v>250470.53122</v>
      </c>
      <c r="H10" s="73" ph="1">
        <f>(H9)*51.53*LOOKUP(H11,密度!$A$2:$A$50,密度!$B$2:$B$50)</f>
        <v>398.58454999999992</v>
      </c>
      <c r="I10" s="73" ph="1">
        <f>I9*290.8*1.0267</f>
        <v>11566.383306399999</v>
      </c>
      <c r="J10" s="73" ph="1">
        <f>J9*290.8*0.7892</f>
        <v>17673.745713600001</v>
      </c>
      <c r="K10" s="73" ph="1">
        <f>K9*290.8*1.1126</f>
        <v>2397.4616328000002</v>
      </c>
      <c r="L10" s="73" ph="1">
        <f>L9*290.8*0.777</f>
        <v>11751.742716000001</v>
      </c>
      <c r="M10" s="73" ph="1">
        <f>M9*33.183*LOOKUP(M11,密度!$A$2:$A$50,密度!$D$2:$D$50)</f>
        <v>143763.68835000001</v>
      </c>
      <c r="N10" s="73" ph="1">
        <f>N9*33.183*LOOKUP(N11,密度!$A$2:$A$50,密度!$E$2:$E$50)</f>
        <v>90156.034195200002</v>
      </c>
      <c r="O10" s="73" ph="1">
        <f>O9*20.428*LOOKUP(O11,密度!$A$2:$A$50,密度!$C$2:$C$50)</f>
        <v>62785.00858400001</v>
      </c>
      <c r="P10" s="73" ph="1">
        <f>P9*51.53*LOOKUP(P11,密度!$A$2:$A$50,密度!$B$2:$B$50)</f>
        <v>94444.658075999992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38103.323643000003</v>
      </c>
      <c r="S10" s="73" ph="1">
        <f>S9*1.5*1.5*3.1416*LOOKUP(S11,密度!$A$2:$A$50,密度!$L$2:$L$50)</f>
        <v>36231.310961999996</v>
      </c>
      <c r="T10" s="73" ph="1">
        <f>T9*1.5*1.5*3.1416*LOOKUP(T11,密度!$A$2:$A$50,密度!$L$2:$L$50)</f>
        <v>47800.198769399998</v>
      </c>
      <c r="U10" s="73" ph="1">
        <f>U9*1.5*1.5*3.1416*LOOKUP(U11,密度!$A$2:$A$50,密度!$L$2:$L$50)</f>
        <v>41659.076844000003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0</v>
      </c>
      <c r="Z10" s="73" ph="1">
        <f>Z9*33.183*LOOKUP(Z11,密度!$A$2:$A$50,密度!$L$2:$L$50)</f>
        <v>71407.692288000006</v>
      </c>
      <c r="AA10" s="73" ph="1">
        <f>AA9*33.183*LOOKUP(AA11,密度!$A$2:$A$50,密度!$D$2:$D$50)</f>
        <v>44154.759852000003</v>
      </c>
      <c r="AB10" s="73" ph="1">
        <f>AB9*20.428*LOOKUP(AB11,密度!$A$2:$A$50,密度!$D$2:$D$50)</f>
        <v>59212.4945744</v>
      </c>
      <c r="AC10" s="73" ph="1">
        <f>AC9*51.53*LOOKUP(AC11,密度!$A$2:$A$50,密度!$Q$2:$Q$50)</f>
        <v>208967.22109980002</v>
      </c>
      <c r="AD10" s="73" ph="1">
        <f>AD9*20.428*LOOKUP(AD11,密度!$A$2:$A$50,密度!$V$2:$V$50)</f>
        <v>66119.062464000002</v>
      </c>
      <c r="AE10" s="73" ph="1">
        <f>AE9*20.428</f>
        <v>100199.34000000001</v>
      </c>
    </row>
    <row r="11" spans="1:99" ph="1">
      <c r="A11" s="64" t="s" ph="1">
        <v>162</v>
      </c>
      <c r="B11" s="238" ph="1"/>
      <c r="C11" s="154" t="s" ph="1">
        <v>179</v>
      </c>
      <c r="D11" s="74">
        <v>33</v>
      </c>
      <c r="E11" s="74">
        <v>32</v>
      </c>
      <c r="F11" s="74">
        <v>29</v>
      </c>
      <c r="G11" s="74">
        <v>32</v>
      </c>
      <c r="H11" s="74">
        <v>32</v>
      </c>
      <c r="I11" s="74">
        <v>25</v>
      </c>
      <c r="J11" s="74">
        <v>25</v>
      </c>
      <c r="K11" s="74">
        <v>25</v>
      </c>
      <c r="L11" s="74">
        <v>25</v>
      </c>
      <c r="M11" s="74">
        <v>33</v>
      </c>
      <c r="N11" s="74">
        <v>30</v>
      </c>
      <c r="O11" s="74">
        <v>33</v>
      </c>
      <c r="P11" s="74">
        <v>30</v>
      </c>
      <c r="Q11" s="74">
        <v>36</v>
      </c>
      <c r="R11" s="74">
        <v>35</v>
      </c>
      <c r="S11" s="74">
        <v>27</v>
      </c>
      <c r="T11" s="74">
        <v>25</v>
      </c>
      <c r="U11" s="74">
        <v>28</v>
      </c>
      <c r="V11" s="74">
        <v>30</v>
      </c>
      <c r="W11" s="74">
        <v>35</v>
      </c>
      <c r="X11" s="74">
        <v>28</v>
      </c>
      <c r="Y11" s="74">
        <v>32</v>
      </c>
      <c r="Z11" s="74">
        <v>28</v>
      </c>
      <c r="AA11" s="74">
        <v>30</v>
      </c>
      <c r="AB11" s="74">
        <v>23</v>
      </c>
      <c r="AC11" s="74">
        <v>28</v>
      </c>
      <c r="AD11" s="74">
        <v>31</v>
      </c>
      <c r="AE11" s="74">
        <v>32</v>
      </c>
    </row>
    <row r="12" spans="1:99" ht="9.9" customHeight="1" ph="1"/>
    <row r="13" spans="1:99" s="72" customFormat="1" ht="29.25" customHeight="1" ph="1">
      <c r="B13" s="215" t="s" ph="1">
        <v>37</v>
      </c>
      <c r="C13" s="154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6" ph="1"/>
      <c r="C14" s="67" t="s" ph="1">
        <v>36</v>
      </c>
      <c r="D14" s="77" t="s" ph="1">
        <v>616</v>
      </c>
      <c r="E14" s="77" t="s" ph="1">
        <v>616</v>
      </c>
      <c r="F14" s="144" t="s" ph="1">
        <v>636</v>
      </c>
      <c r="G14" s="77" t="s" ph="1">
        <v>617</v>
      </c>
      <c r="H14" s="77" t="s" ph="1">
        <v>637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638</v>
      </c>
      <c r="P14" s="77" t="s" ph="1">
        <v>622</v>
      </c>
      <c r="Q14" s="77" t="s" ph="1">
        <v>622</v>
      </c>
      <c r="R14" s="88" t="s" ph="1">
        <v>7</v>
      </c>
      <c r="S14" s="77" t="s" ph="1">
        <v>622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17" ph="1">
        <v>0.33333333333333331</v>
      </c>
      <c r="C15" s="154" t="s" ph="1">
        <v>177</v>
      </c>
      <c r="D15" s="78">
        <v>3777</v>
      </c>
      <c r="E15" s="78">
        <v>5069</v>
      </c>
      <c r="F15" s="78">
        <v>2665</v>
      </c>
      <c r="G15" s="78">
        <v>2572</v>
      </c>
      <c r="H15" s="78">
        <v>4362</v>
      </c>
      <c r="I15" s="78">
        <v>3127</v>
      </c>
      <c r="J15" s="78">
        <v>652</v>
      </c>
      <c r="K15" s="78">
        <v>2611</v>
      </c>
      <c r="L15" s="78">
        <v>6000</v>
      </c>
      <c r="M15" s="78">
        <v>5708</v>
      </c>
      <c r="N15" s="78">
        <v>1409</v>
      </c>
      <c r="O15" s="78">
        <v>5740</v>
      </c>
      <c r="P15" s="78">
        <v>2270</v>
      </c>
      <c r="Q15" s="78">
        <v>3993</v>
      </c>
      <c r="R15" s="78">
        <v>0</v>
      </c>
      <c r="S15" s="78">
        <v>5521</v>
      </c>
      <c r="T15" s="78">
        <v>3059</v>
      </c>
      <c r="U15" s="78">
        <v>0</v>
      </c>
      <c r="V15" s="78">
        <v>17</v>
      </c>
      <c r="W15" s="71">
        <v>741</v>
      </c>
      <c r="X15" s="78">
        <v>862</v>
      </c>
      <c r="Y15" s="106">
        <v>-9907</v>
      </c>
      <c r="Z15" s="78">
        <v>0</v>
      </c>
      <c r="AA15" s="78">
        <v>2496</v>
      </c>
      <c r="AB15" s="78" ph="1">
        <v>0</v>
      </c>
      <c r="AC15" s="78" ph="1">
        <v>0</v>
      </c>
      <c r="AD15" s="78">
        <v>6.02</v>
      </c>
      <c r="AE15" s="78">
        <v>44.62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18" ph="1"/>
      <c r="C16" s="154" t="s" ph="1">
        <v>178</v>
      </c>
      <c r="D16" s="73" ph="1">
        <f>D15*7.0686*LOOKUP(D17,密度!$A$2:$A$50,密度!$L$2:$L$50)</f>
        <v>24909.329352600002</v>
      </c>
      <c r="E16" s="73" ph="1">
        <f>E15*7.0686*LOOKUP(E17,密度!$A$2:$A$50,密度!$L$2:$L$50)</f>
        <v>33465.904995600002</v>
      </c>
      <c r="F16" s="73" ph="1">
        <f>F15*9.0746*LOOKUP(F17,密度!$A$2:$A$50,密度!$L$2:$L$50)</f>
        <v>22563.493797000003</v>
      </c>
      <c r="G16" s="73" ph="1">
        <f>G15*9.0746*LOOKUP(G17,密度!$A$2:$A$50,密度!$B$2:$B$50)</f>
        <v>18174.757703439998</v>
      </c>
      <c r="H16" s="73" ph="1">
        <f>H15*9.0746*LOOKUP(H17,密度!$A$2:$A$50,密度!$L$2:$L$50)</f>
        <v>37089.650672400006</v>
      </c>
      <c r="I16" s="73" ph="1">
        <f>I15*9.0746*LOOKUP(I17,密度!$A$2:$A$50,密度!$U$2:$U$50)</f>
        <v>29000.552232400001</v>
      </c>
      <c r="J16" s="73" ph="1">
        <f>J15*9.0746*LOOKUP(J17,密度!$A$2:$A$50,密度!$L$2:$L$50)</f>
        <v>5520.2243736000009</v>
      </c>
      <c r="K16" s="73" ph="1">
        <f>K15*9.0746*LOOKUP(K17,密度!$A$2:$A$50,密度!$C$2:$C$50)</f>
        <v>26219.537611960004</v>
      </c>
      <c r="L16" s="73" ph="1">
        <f>L15*9.0746*LOOKUP(L17,密度!$A$2:$A$50,密度!$E$2:$E$50)</f>
        <v>42458.23848</v>
      </c>
      <c r="M16" s="73" ph="1">
        <f>M15*9.0746*LOOKUP(M17,密度!$A$2:$A$50,密度!$M$2:$M$50)</f>
        <v>45115.898432800001</v>
      </c>
      <c r="N16" s="73" ph="1">
        <f>N15*9.0746*LOOKUP(N17,密度!$A$2:$A$50,密度!$M$2:$M$50)</f>
        <v>11176.33997474</v>
      </c>
      <c r="O16" s="73" ph="1">
        <f>O15*9.0746*LOOKUP(O17,密度!$A$2:$A$50,密度!$G$2:$G$50)</f>
        <v>49848.411227999997</v>
      </c>
      <c r="P16" s="73" ph="1">
        <f ca="1">P15*9.0746*LOOKUP(P17,密度!$A$2:$A$51,密度!$Q$2:$Q$50)</f>
        <v>19458.550440040002</v>
      </c>
      <c r="Q16" s="73" ph="1">
        <f>Q15*9.0746*LOOKUP(Q17,密度!$A$2:$A$50,密度!$Q$2:$Q$50)</f>
        <v>34228.190267436003</v>
      </c>
      <c r="R16" s="73" ph="1">
        <f>MAX(R15*9.0746*LOOKUP(R17,密度!$A$2:$A$50,密度!$B$2:$B$50),0)</f>
        <v>0</v>
      </c>
      <c r="S16" s="73" ph="1">
        <f>S15*9.0746*LOOKUP(S17,密度!$A$2:$A$50,密度!$Q$2:$Q$50)</f>
        <v>47261.650489778003</v>
      </c>
      <c r="T16" s="73" ph="1">
        <f>T15*9.0746*LOOKUP(T17,密度!$A$2:$A$50,密度!$O$2:$O$50)</f>
        <v>25705.020496400004</v>
      </c>
      <c r="U16" s="73" ph="1">
        <f>U15*9.0746*LOOKUP(U17,密度!$A$2:$A$50,密度!$H$2:$H$50)</f>
        <v>0</v>
      </c>
      <c r="V16" s="73" ph="1">
        <f>MAX(5600*LOOKUP(V17,密度!$A$2:$A$50,密度!$Q$2:$Q$50)+V15*9.0476*LOOKUP(V17,密度!$A$2:$A$50,密度!$Q$2:$Q$50),0)</f>
        <v>5435.1632465040002</v>
      </c>
      <c r="W16" s="73" ph="1">
        <f>MAX(5600*LOOKUP(W17,密度!$A$2:$A$50,密度!$Q$2:$Q$50)+W15*9.0476*LOOKUP(W17,密度!$A$2:$A$50,密度!$Q$2:$Q$50),0)</f>
        <v>11622.861038792</v>
      </c>
      <c r="X16" s="73" ph="1">
        <f>MAX(5600*LOOKUP(X17,密度!$A$2:$A$50,密度!$I$2:$I$50)+X15*9.0476*LOOKUP(X17,密度!$A$2:$A$50,密度!$I$2:$I$50),0)</f>
        <v>13921.593416799999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17619.59182464</v>
      </c>
      <c r="AB16" s="73" ph="1">
        <f>AB15*9.0746*LOOKUP(AB17,密度!$A$2:$A$50,密度!$L$2:$L$50)</f>
        <v>0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2481.8204265599998</v>
      </c>
      <c r="AE16" s="73" ph="1">
        <f>AE15*268.68*LOOKUP(AE17,密度!$A$2:$A$50,密度!B2:B50)+IF(AE15&lt;=0,0,1566*LOOKUP(AE17,密度!$A$2:$A$50,密度!B2:B50))</f>
        <v>10567.08944736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19" ph="1"/>
      <c r="C17" s="79" t="s" ph="1">
        <v>179</v>
      </c>
      <c r="D17" s="74">
        <v>29</v>
      </c>
      <c r="E17" s="74">
        <v>28</v>
      </c>
      <c r="F17" s="74">
        <v>29</v>
      </c>
      <c r="G17" s="74">
        <v>26</v>
      </c>
      <c r="H17" s="74">
        <v>25</v>
      </c>
      <c r="I17" s="74">
        <v>28</v>
      </c>
      <c r="J17" s="74">
        <v>29</v>
      </c>
      <c r="K17" s="74">
        <v>28</v>
      </c>
      <c r="L17" s="74">
        <v>28</v>
      </c>
      <c r="M17" s="74">
        <v>29</v>
      </c>
      <c r="N17" s="74">
        <v>26</v>
      </c>
      <c r="O17" s="74">
        <v>28</v>
      </c>
      <c r="P17" s="74">
        <v>28</v>
      </c>
      <c r="Q17" s="74">
        <v>28</v>
      </c>
      <c r="R17" s="74">
        <v>28</v>
      </c>
      <c r="S17" s="74">
        <v>30</v>
      </c>
      <c r="T17" s="74">
        <v>27</v>
      </c>
      <c r="U17" s="74">
        <v>25</v>
      </c>
      <c r="V17" s="74">
        <v>28</v>
      </c>
      <c r="W17" s="74">
        <v>28</v>
      </c>
      <c r="X17" s="74">
        <v>28</v>
      </c>
      <c r="Y17" s="108">
        <v>28</v>
      </c>
      <c r="Z17" s="74">
        <v>28</v>
      </c>
      <c r="AA17" s="74">
        <v>27</v>
      </c>
      <c r="AB17" s="74">
        <v>27</v>
      </c>
      <c r="AC17" s="74">
        <v>26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17" ph="1">
        <v>0.66666666666666663</v>
      </c>
      <c r="C18" s="79" t="s" ph="1">
        <v>180</v>
      </c>
      <c r="D18" s="71">
        <v>5798</v>
      </c>
      <c r="E18" s="71">
        <v>3732</v>
      </c>
      <c r="F18" s="71">
        <v>2664</v>
      </c>
      <c r="G18" s="71">
        <v>2697</v>
      </c>
      <c r="H18" s="71">
        <v>4364</v>
      </c>
      <c r="I18" s="71">
        <v>3128</v>
      </c>
      <c r="J18" s="71">
        <v>754</v>
      </c>
      <c r="K18" s="71">
        <v>2610</v>
      </c>
      <c r="L18" s="71">
        <v>6008</v>
      </c>
      <c r="M18" s="71">
        <v>2820</v>
      </c>
      <c r="N18" s="71">
        <v>3731</v>
      </c>
      <c r="O18" s="71">
        <v>2989</v>
      </c>
      <c r="P18" s="71">
        <v>2270</v>
      </c>
      <c r="Q18" s="71">
        <v>3994</v>
      </c>
      <c r="R18" s="71">
        <v>0</v>
      </c>
      <c r="S18" s="71">
        <v>5101</v>
      </c>
      <c r="T18" s="71">
        <v>1988</v>
      </c>
      <c r="U18" s="71">
        <v>1078</v>
      </c>
      <c r="V18" s="71">
        <v>131</v>
      </c>
      <c r="W18" s="71">
        <v>990</v>
      </c>
      <c r="X18" s="71">
        <v>860</v>
      </c>
      <c r="Y18" s="109">
        <v>-9909</v>
      </c>
      <c r="Z18" s="71">
        <v>0</v>
      </c>
      <c r="AA18" s="71">
        <v>2498</v>
      </c>
      <c r="AB18" s="71">
        <v>0</v>
      </c>
      <c r="AC18" s="71">
        <v>0</v>
      </c>
      <c r="AD18" s="71">
        <v>12.61</v>
      </c>
      <c r="AE18" s="71">
        <v>84.41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18" ph="1"/>
      <c r="C19" s="154" t="s" ph="1">
        <v>178</v>
      </c>
      <c r="D19" s="73" ph="1">
        <f>D18*7.0686*LOOKUP(D20,密度!$A$2:$A$50,密度!$L$2:$L$50)</f>
        <v>38155.864546800003</v>
      </c>
      <c r="E19" s="73" ph="1">
        <f>E18*7.0686*LOOKUP(E20,密度!$A$2:$A$50,密度!$L$2:$L$50)</f>
        <v>24559.794151200003</v>
      </c>
      <c r="F19" s="73" ph="1">
        <f>F18*9.0746*LOOKUP(F20,密度!$A$2:$A$50,密度!$L$2:$L$50)</f>
        <v>22458.328257600002</v>
      </c>
      <c r="G19" s="73" ph="1">
        <f>G18*9.0746*LOOKUP(G20,密度!$A$2:$A$50,密度!$B$2:$B$50)</f>
        <v>18996.871090440003</v>
      </c>
      <c r="H19" s="73" ph="1">
        <f>H18*9.0746*LOOKUP(H20,密度!$A$2:$A$50,密度!$L$2:$L$50)</f>
        <v>37067.054918400005</v>
      </c>
      <c r="I19" s="73" ph="1">
        <f>I18*9.0746*LOOKUP(I20,密度!$A$2:$A$50,密度!$U$2:$U$50)</f>
        <v>28867.899729599998</v>
      </c>
      <c r="J19" s="73" ph="1">
        <f>J18*9.0746*LOOKUP(J20,密度!$A$2:$A$50,密度!$L$2:$L$50)</f>
        <v>6356.4487636000003</v>
      </c>
      <c r="K19" s="73" ph="1">
        <f>K18*9.0746*LOOKUP(K20,密度!$A$2:$A$50,密度!$C$2:$C$50)</f>
        <v>26124.230718000003</v>
      </c>
      <c r="L19" s="73" ph="1">
        <f>L18*9.0746*LOOKUP(L20,密度!$A$2:$A$50,密度!$E$2:$E$50)</f>
        <v>42394.905031679999</v>
      </c>
      <c r="M19" s="73" ph="1">
        <f>M18*9.0746*LOOKUP(M20,密度!$A$2:$A$50,密度!$M$2:$M$50)</f>
        <v>22180.966738440002</v>
      </c>
      <c r="N19" s="73" ph="1">
        <f>N18*9.0746*LOOKUP(N20,密度!$A$2:$A$50,密度!$M$2:$M$50)</f>
        <v>29523.594027200001</v>
      </c>
      <c r="O19" s="73" ph="1">
        <f>O18*9.0746*LOOKUP(O20,密度!$A$2:$A$50,密度!$G$2:$G$50)</f>
        <v>25895.26313318</v>
      </c>
      <c r="P19" s="73" ph="1">
        <f ca="1">P18*9.0746*LOOKUP(P20,密度!$A$2:$A$51,密度!$Q$2:$Q$50)</f>
        <v>19431.977288860002</v>
      </c>
      <c r="Q19" s="73" ph="1">
        <f>Q18*9.0746*LOOKUP(Q20,密度!$A$2:$A$50,密度!$Q$2:$Q$50)</f>
        <v>34190.007617492003</v>
      </c>
      <c r="R19" s="73" ph="1">
        <f>MAX(R18*9.0746*LOOKUP(R20,密度!$A$2:$A$50,密度!$B$2:$B$50),0)</f>
        <v>0</v>
      </c>
      <c r="S19" s="73" ph="1">
        <f>S18*9.0746*LOOKUP(S20,密度!$A$2:$A$50,密度!$Q$2:$Q$50)</f>
        <v>43600.11263974</v>
      </c>
      <c r="T19" s="73" ph="1">
        <f>T18*9.0746*LOOKUP(T20,密度!$A$2:$A$50,密度!$O$2:$O$50)</f>
        <v>16633.161025600002</v>
      </c>
      <c r="U19" s="73" ph="1">
        <f>U18*9.0746*LOOKUP(U20,密度!$A$2:$A$50,密度!$H$2:$H$50)</f>
        <v>8902.0011080000004</v>
      </c>
      <c r="V19" s="73" ph="1">
        <f>MAX(5600*LOOKUP(V20,密度!$A$2:$A$50,密度!$Q$2:$Q$50)+V18*9.0476*LOOKUP(V20,密度!$A$2:$A$50,密度!$Q$2:$Q$50),0)</f>
        <v>6386.6030085000002</v>
      </c>
      <c r="W19" s="73" ph="1">
        <f>MAX(5600*LOOKUP(W20,密度!$A$2:$A$50,密度!$Q$2:$Q$50)+W18*9.0476*LOOKUP(W20,密度!$A$2:$A$50,密度!$Q$2:$Q$50),0)</f>
        <v>13701.892965000001</v>
      </c>
      <c r="X19" s="73" ph="1">
        <f>MAX(5600*LOOKUP(X20,密度!$A$2:$A$50,密度!$I$2:$I$50)+X18*9.0476*LOOKUP(X20,密度!$A$2:$A$50,密度!$I$2:$I$50),0)</f>
        <v>13842.578291999998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17533.969343799999</v>
      </c>
      <c r="AB19" s="73" ph="1">
        <f>AB18*9.0746*LOOKUP(AB20,密度!$A$2:$A$50,密度!$L$2:$L$50)</f>
        <v>0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3849.3005795999998</v>
      </c>
      <c r="AE19" s="73" ph="1">
        <f>AE18*268.68*LOOKUP(AE20,密度!$A$2:$A$50,密度!B5:B53)+IF(AE18&lt;=0,0,1566*LOOKUP(AE20,密度!$A$2:$A$50,密度!B5:B53))</f>
        <v>18838.581627600001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18" ph="1"/>
      <c r="C20" s="80" t="s" ph="1">
        <v>179</v>
      </c>
      <c r="D20" s="81">
        <v>31</v>
      </c>
      <c r="E20" s="81">
        <v>31</v>
      </c>
      <c r="F20" s="81">
        <v>33</v>
      </c>
      <c r="G20" s="81">
        <v>29</v>
      </c>
      <c r="H20" s="81">
        <v>26</v>
      </c>
      <c r="I20" s="81">
        <v>33</v>
      </c>
      <c r="J20" s="81">
        <v>33</v>
      </c>
      <c r="K20" s="81">
        <v>32</v>
      </c>
      <c r="L20" s="81">
        <v>30</v>
      </c>
      <c r="M20" s="81">
        <v>33</v>
      </c>
      <c r="N20" s="81">
        <v>28</v>
      </c>
      <c r="O20" s="81">
        <v>30</v>
      </c>
      <c r="P20" s="81">
        <v>30</v>
      </c>
      <c r="Q20" s="81">
        <v>30</v>
      </c>
      <c r="R20" s="81">
        <v>33</v>
      </c>
      <c r="S20" s="81">
        <v>32</v>
      </c>
      <c r="T20" s="81">
        <v>32</v>
      </c>
      <c r="U20" s="81">
        <v>30</v>
      </c>
      <c r="V20" s="81">
        <v>33</v>
      </c>
      <c r="W20" s="81">
        <v>33</v>
      </c>
      <c r="X20" s="81">
        <v>32</v>
      </c>
      <c r="Y20" s="110">
        <v>32</v>
      </c>
      <c r="Z20" s="81">
        <v>32</v>
      </c>
      <c r="AA20" s="81">
        <v>32</v>
      </c>
      <c r="AB20" s="81">
        <v>32</v>
      </c>
      <c r="AC20" s="81">
        <v>31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6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6" t="s" ph="1">
        <v>69</v>
      </c>
      <c r="AA22" s="227"/>
      <c r="AB22" s="227"/>
      <c r="AC22" s="227"/>
      <c r="AD22" s="227"/>
      <c r="AE22" s="228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0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610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229" t="s" ph="1">
        <v>645</v>
      </c>
      <c r="AA23" s="230"/>
      <c r="AB23" s="230"/>
      <c r="AC23" s="230"/>
      <c r="AD23" s="230"/>
      <c r="AE23" s="231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38" ph="1">
        <v>0.33333333333333331</v>
      </c>
      <c r="C24" s="154" t="s" ph="1">
        <v>177</v>
      </c>
      <c r="D24" s="71">
        <v>2.82</v>
      </c>
      <c r="E24" s="71">
        <v>5.62</v>
      </c>
      <c r="F24" s="71">
        <v>542</v>
      </c>
      <c r="G24" s="71">
        <v>2948</v>
      </c>
      <c r="H24" s="71">
        <v>3120</v>
      </c>
      <c r="I24" s="71">
        <v>164</v>
      </c>
      <c r="J24" s="71">
        <v>307</v>
      </c>
      <c r="K24" s="71">
        <v>2057</v>
      </c>
      <c r="L24" s="71">
        <v>302</v>
      </c>
      <c r="M24" s="71">
        <v>327</v>
      </c>
      <c r="N24" s="71">
        <v>4767</v>
      </c>
      <c r="O24" s="71">
        <v>342</v>
      </c>
      <c r="P24" s="71">
        <v>375</v>
      </c>
      <c r="Q24" s="90">
        <v>1079</v>
      </c>
      <c r="R24" s="71">
        <v>1966</v>
      </c>
      <c r="S24" s="71">
        <v>5617</v>
      </c>
      <c r="T24" s="71">
        <v>405</v>
      </c>
      <c r="U24" s="71">
        <v>5102</v>
      </c>
      <c r="V24" s="71">
        <v>740</v>
      </c>
      <c r="W24" s="71">
        <v>4577</v>
      </c>
      <c r="X24" s="71">
        <v>3454</v>
      </c>
      <c r="Y24" s="71">
        <v>34</v>
      </c>
      <c r="Z24" s="232"/>
      <c r="AA24" s="233"/>
      <c r="AB24" s="233"/>
      <c r="AC24" s="233"/>
      <c r="AD24" s="233"/>
      <c r="AE24" s="234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38" ph="1"/>
      <c r="C25" s="68" t="s" ph="1">
        <v>178</v>
      </c>
      <c r="D25" s="91" ph="1">
        <f>D24*268.68*LOOKUP(D26,密度!$A$2:$A$50,密度!$Q$2:$Q$50)+IF(D24&lt;=0,0,1566*LOOKUP(D26,密度!$A$2:$A$50,密度!$Q$2:$Q$50))</f>
        <v>2199.918531024</v>
      </c>
      <c r="E25" s="91" ph="1">
        <f>E24*268.68*LOOKUP(E26,密度!$A$2:$A$50,密度!$C$2:$C$50)+IF(E24&lt;=0,0,1566*LOOKUP(E26,密度!$A$2:$A$50,密度!$C$2:$C$50))</f>
        <v>3410.9559962399999</v>
      </c>
      <c r="F25" s="91" ph="1">
        <f>F24*11.702*LOOKUP(F26,密度!$A$2:$A$50,密度!$Q$2:$Q$50)</f>
        <v>5995.6769748800007</v>
      </c>
      <c r="G25" s="91" ph="1">
        <f>G24*18.322*LOOKUP(G26,密度!$A$2:$A$50,密度!$B$2:$B$50)</f>
        <v>42016.911842399997</v>
      </c>
      <c r="H25" s="91" ph="1">
        <f>H24*18.322*LOOKUP(H26,密度!$A$2:$A$50,密度!$B$2:$B$50)</f>
        <v>44416.925280000003</v>
      </c>
      <c r="I25" s="91" ph="1">
        <f>I24*18.322*LOOKUP(I26,密度!$A$2:$A$50,密度!$Q$2:$Q$50)</f>
        <v>2840.5050985600001</v>
      </c>
      <c r="J25" s="91" ph="1">
        <f>J24*18.322*LOOKUP(J26,密度!$A$2:$A$50,密度!$Q$2:$Q$50)</f>
        <v>5321.2806296199997</v>
      </c>
      <c r="K25" s="91" ph="1">
        <f>K24*18.322*LOOKUP(K26,密度!$A$2:$A$50,密度!$Q$2:$Q$50)</f>
        <v>35627.55480328</v>
      </c>
      <c r="L25" s="91" ph="1">
        <f>L24*18.322*LOOKUP(L26,密度!$A$2:$A$50,密度!$Q$2:$Q$50)</f>
        <v>5226.8129472800001</v>
      </c>
      <c r="M25" s="91" ph="1">
        <f>M24*18.322*LOOKUP(M26,密度!$A$2:$A$50,密度!$Q$2:$Q$50)</f>
        <v>5663.69004408</v>
      </c>
      <c r="N25" s="91" ph="1">
        <f>N24*18.322*LOOKUP(N26,密度!$A$2:$A$50,密度!$Q$2:$Q$50)</f>
        <v>82565.169541680007</v>
      </c>
      <c r="O25" s="91" ph="1">
        <f>O24*18.322*LOOKUP(O26,密度!$A$2:$A$50,密度!$C$2:$C$50)</f>
        <v>6943.4920044</v>
      </c>
      <c r="P25" s="91" ph="1">
        <f>P24*11.702*LOOKUP(P26,密度!$A$2:$A$50,密度!$B$2:$B$50)</f>
        <v>3413.6196750000004</v>
      </c>
      <c r="Q25" s="92" ph="1">
        <f>Q24*18.322*LOOKUP(Q26,密度!$A$2:$A$50,密度!$B$2:$B$50)</f>
        <v>15378.645820199999</v>
      </c>
      <c r="R25" s="91" ph="1">
        <f>R24*35.891*LOOKUP(R26,密度!$A$2:$A$50,密度!$C$2:$C$50)</f>
        <v>78140.033224399987</v>
      </c>
      <c r="S25" s="91" ph="1">
        <f>S24*35.891*LOOKUP(S26,密度!$A$2:$A$50,密度!$B$2:$B$50)</f>
        <v>156643.00341900002</v>
      </c>
      <c r="T25" s="91" ph="1">
        <f>T24*35.891*LOOKUP(T26,密度!$A$2:$A$50,密度!$Q$2:$Q$50)</f>
        <v>13741.034448599999</v>
      </c>
      <c r="U25" s="91" ph="1">
        <f>U24*35.891</f>
        <v>183115.88199999998</v>
      </c>
      <c r="V25" s="91" ph="1">
        <f>V24*47.051*LOOKUP(V26,密度!$A$2:$A$50,密度!$B$2:$B$50)</f>
        <v>27112.574137999996</v>
      </c>
      <c r="W25" s="91" ph="1">
        <f>W24*47.051*LOOKUP(W26,密度!$A$2:$A$50,密度!$B$2:$B$50)</f>
        <v>167522.6529633</v>
      </c>
      <c r="X25" s="91" ph="1">
        <f>X24*47.051*LOOKUP(X26,密度!$A$2:$A$61,密度!$I$2:$I$61)</f>
        <v>168120.89231300002</v>
      </c>
      <c r="Y25" s="91" ph="1">
        <f>Y24*47.051*LOOKUP(Y26,密度!$A$2:$A$50,密度!$L$2:$L$50)</f>
        <v>1497.3510240000003</v>
      </c>
      <c r="Z25" s="232"/>
      <c r="AA25" s="233"/>
      <c r="AB25" s="233"/>
      <c r="AC25" s="233"/>
      <c r="AD25" s="233"/>
      <c r="AE25" s="234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38" ph="1"/>
      <c r="C26" s="68" t="s" ph="1">
        <v>179</v>
      </c>
      <c r="D26" s="74">
        <v>25</v>
      </c>
      <c r="E26" s="74">
        <v>25</v>
      </c>
      <c r="F26" s="74">
        <v>27</v>
      </c>
      <c r="G26" s="74">
        <v>27</v>
      </c>
      <c r="H26" s="74">
        <v>28</v>
      </c>
      <c r="I26" s="74">
        <v>27</v>
      </c>
      <c r="J26" s="74">
        <v>26</v>
      </c>
      <c r="K26" s="74">
        <v>27</v>
      </c>
      <c r="L26" s="74">
        <v>28</v>
      </c>
      <c r="M26" s="74">
        <v>27</v>
      </c>
      <c r="N26" s="74">
        <v>27</v>
      </c>
      <c r="O26" s="74">
        <v>26</v>
      </c>
      <c r="P26" s="74">
        <v>27</v>
      </c>
      <c r="Q26" s="93">
        <v>27</v>
      </c>
      <c r="R26" s="74">
        <v>27</v>
      </c>
      <c r="S26" s="74">
        <v>28</v>
      </c>
      <c r="T26" s="74">
        <v>27</v>
      </c>
      <c r="U26" s="74">
        <v>27</v>
      </c>
      <c r="V26" s="74">
        <v>26</v>
      </c>
      <c r="W26" s="74">
        <v>27</v>
      </c>
      <c r="X26" s="74">
        <v>32</v>
      </c>
      <c r="Y26" s="74">
        <v>26</v>
      </c>
      <c r="Z26" s="232"/>
      <c r="AA26" s="233"/>
      <c r="AB26" s="233"/>
      <c r="AC26" s="233"/>
      <c r="AD26" s="233"/>
      <c r="AE26" s="234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38" ph="1">
        <v>0.66666666666666663</v>
      </c>
      <c r="C27" s="154" t="s" ph="1">
        <v>180</v>
      </c>
      <c r="D27" s="71">
        <v>5.42</v>
      </c>
      <c r="E27" s="71">
        <v>5.62</v>
      </c>
      <c r="F27" s="71">
        <v>488</v>
      </c>
      <c r="G27" s="71">
        <v>2512</v>
      </c>
      <c r="H27" s="71">
        <v>2685</v>
      </c>
      <c r="I27" s="71">
        <v>161</v>
      </c>
      <c r="J27" s="71">
        <v>301</v>
      </c>
      <c r="K27" s="71">
        <v>2011</v>
      </c>
      <c r="L27" s="71">
        <v>298</v>
      </c>
      <c r="M27" s="71">
        <v>322</v>
      </c>
      <c r="N27" s="71">
        <v>4766</v>
      </c>
      <c r="O27" s="71">
        <v>339</v>
      </c>
      <c r="P27" s="71">
        <v>371</v>
      </c>
      <c r="Q27" s="90">
        <v>1341</v>
      </c>
      <c r="R27" s="71">
        <v>1413</v>
      </c>
      <c r="S27" s="71">
        <v>5614</v>
      </c>
      <c r="T27" s="71">
        <v>402</v>
      </c>
      <c r="U27" s="71">
        <v>5181</v>
      </c>
      <c r="V27" s="71">
        <v>736</v>
      </c>
      <c r="W27" s="71">
        <v>4287</v>
      </c>
      <c r="X27" s="71">
        <v>3454</v>
      </c>
      <c r="Y27" s="71">
        <v>28</v>
      </c>
      <c r="Z27" s="232"/>
      <c r="AA27" s="233"/>
      <c r="AB27" s="233"/>
      <c r="AC27" s="233"/>
      <c r="AD27" s="233"/>
      <c r="AE27" s="234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38" ph="1"/>
      <c r="C28" s="154" t="s" ph="1">
        <v>178</v>
      </c>
      <c r="D28" s="91" ph="1">
        <f>D27*268.68*LOOKUP(D29,密度!$A$2:$A$50,密度!$Q$2:$Q$50)+IF(D27&lt;=0,0,1566*LOOKUP(D29,密度!$A$2:$A$50,密度!$Q$2:$Q$50))</f>
        <v>2861.2807993440001</v>
      </c>
      <c r="E28" s="91" ph="1">
        <f>E27*268.68*LOOKUP(E29,密度!$A$2:$A$50,密度!$C$2:$C$50)+IF(E27&lt;=0,0,1566*LOOKUP(E29,密度!$A$2:$A$50,密度!$C$2:$C$50))</f>
        <v>3410.9559962399999</v>
      </c>
      <c r="F28" s="91" ph="1">
        <f>F27*11.702*LOOKUP(F29,密度!$A$2:$A$50,密度!$Q$2:$Q$50)</f>
        <v>5398.3217043200002</v>
      </c>
      <c r="G28" s="91" ph="1">
        <f>G27*18.322*LOOKUP(G29,密度!$A$2:$A$50,密度!$B$2:$B$50)</f>
        <v>35802.741705600005</v>
      </c>
      <c r="H28" s="91" ph="1">
        <f>H27*18.322*LOOKUP(H29,密度!$A$2:$A$50,密度!$B$2:$B$50)</f>
        <v>38224.180890000003</v>
      </c>
      <c r="I28" s="91" ph="1">
        <f>I27*18.322*LOOKUP(I29,密度!$A$2:$A$50,密度!$Q$2:$Q$50)</f>
        <v>2784.4443590599999</v>
      </c>
      <c r="J28" s="91" ph="1">
        <f>J27*18.322*LOOKUP(J29,密度!$A$2:$A$50,密度!$Q$2:$Q$50)</f>
        <v>5213.3660650399997</v>
      </c>
      <c r="K28" s="91" ph="1">
        <f>K27*18.322*LOOKUP(K29,密度!$A$2:$A$50,密度!$Q$2:$Q$50)</f>
        <v>34830.82776344</v>
      </c>
      <c r="L28" s="91" ph="1">
        <f>L27*18.322*LOOKUP(L29,密度!$A$2:$A$50,密度!$Q$2:$Q$50)</f>
        <v>5157.58363672</v>
      </c>
      <c r="M28" s="91" ph="1">
        <f>M27*18.322*LOOKUP(M29,密度!$A$2:$A$50,密度!$Q$2:$Q$50)</f>
        <v>5568.8887181199998</v>
      </c>
      <c r="N28" s="91" ph="1">
        <f>N27*18.322*LOOKUP(N29,密度!$A$2:$A$50,密度!$Q$2:$Q$50)</f>
        <v>82547.84938864001</v>
      </c>
      <c r="O28" s="91" ph="1">
        <f>O27*18.322*LOOKUP(O29,密度!$A$2:$A$50,密度!$C$2:$C$50)</f>
        <v>6873.2674427999991</v>
      </c>
      <c r="P28" s="91" ph="1">
        <f>P27*11.702*LOOKUP(P29,密度!$A$2:$A$50,密度!$B$2:$B$50)</f>
        <v>3369.8272803999998</v>
      </c>
      <c r="Q28" s="92" ph="1">
        <f>Q27*18.322*LOOKUP(Q29,密度!$A$2:$A$50,密度!$B$2:$B$50)</f>
        <v>19071.080312400001</v>
      </c>
      <c r="R28" s="91" ph="1">
        <f>R27*35.891*LOOKUP(R29,密度!$A$2:$A$50,密度!$C$2:$C$50)</f>
        <v>56120.093587800002</v>
      </c>
      <c r="S28" s="91" ph="1">
        <f>S27*35.891*LOOKUP(S29,密度!$A$2:$A$50,密度!$B$2:$B$50)</f>
        <v>156398.14783879998</v>
      </c>
      <c r="T28" s="91" ph="1">
        <f>T27*35.891*LOOKUP(T29,密度!$A$2:$A$50,密度!$Q$2:$Q$50)</f>
        <v>13639.24900824</v>
      </c>
      <c r="U28" s="91" ph="1">
        <f>U27*35.891</f>
        <v>185951.27099999998</v>
      </c>
      <c r="V28" s="91" ph="1">
        <f>V27*47.051*LOOKUP(V29,密度!$A$2:$A$50,密度!$B$2:$B$50)</f>
        <v>26879.445843199999</v>
      </c>
      <c r="W28" s="91" ph="1">
        <f>W27*47.051*LOOKUP(W29,密度!$A$2:$A$50,密度!$B$2:$B$50)</f>
        <v>157069.7369319</v>
      </c>
      <c r="X28" s="91" ph="1">
        <f>X27*47.051*LOOKUP(X29,密度!$A$2:$A$61,密度!$I$2:$I$61)</f>
        <v>167942.12674360003</v>
      </c>
      <c r="Y28" s="91" ph="1">
        <f>Y27*47.051*LOOKUP(Y29,密度!$A$2:$A$50,密度!$L$2:$L$50)</f>
        <v>1231.7951800000001</v>
      </c>
      <c r="Z28" s="232"/>
      <c r="AA28" s="233"/>
      <c r="AB28" s="233"/>
      <c r="AC28" s="233"/>
      <c r="AD28" s="233"/>
      <c r="AE28" s="234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38" ph="1"/>
      <c r="C29" s="154" t="s" ph="1">
        <v>179</v>
      </c>
      <c r="D29" s="74">
        <v>25</v>
      </c>
      <c r="E29" s="74">
        <v>25</v>
      </c>
      <c r="F29" s="74">
        <v>27</v>
      </c>
      <c r="G29" s="74">
        <v>27</v>
      </c>
      <c r="H29" s="74">
        <v>28</v>
      </c>
      <c r="I29" s="74">
        <v>29</v>
      </c>
      <c r="J29" s="74">
        <v>27</v>
      </c>
      <c r="K29" s="74">
        <v>27</v>
      </c>
      <c r="L29" s="74">
        <v>28</v>
      </c>
      <c r="M29" s="74">
        <v>29</v>
      </c>
      <c r="N29" s="74">
        <v>27</v>
      </c>
      <c r="O29" s="74">
        <v>28</v>
      </c>
      <c r="P29" s="74">
        <v>29</v>
      </c>
      <c r="Q29" s="93">
        <v>29</v>
      </c>
      <c r="R29" s="74">
        <v>28</v>
      </c>
      <c r="S29" s="74">
        <v>29</v>
      </c>
      <c r="T29" s="74">
        <v>27</v>
      </c>
      <c r="U29" s="74">
        <v>28</v>
      </c>
      <c r="V29" s="74">
        <v>29</v>
      </c>
      <c r="W29" s="74">
        <v>26</v>
      </c>
      <c r="X29" s="74">
        <v>33</v>
      </c>
      <c r="Y29" s="74">
        <v>27</v>
      </c>
      <c r="Z29" s="235"/>
      <c r="AA29" s="236"/>
      <c r="AB29" s="236"/>
      <c r="AC29" s="236"/>
      <c r="AD29" s="236"/>
      <c r="AE29" s="237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1" t="s" ph="1">
        <v>35</v>
      </c>
      <c r="C31" s="222" ph="1"/>
      <c r="D31" s="225" t="s" ph="1">
        <v>9</v>
      </c>
      <c r="E31" s="200" ph="1"/>
      <c r="F31" s="201" ph="1"/>
      <c r="G31" s="225" t="s" ph="1">
        <v>18</v>
      </c>
      <c r="H31" s="200" ph="1"/>
      <c r="I31" s="201" ph="1"/>
      <c r="J31" s="199" t="s" ph="1">
        <v>1</v>
      </c>
      <c r="K31" s="200" ph="1"/>
      <c r="L31" s="201" ph="1"/>
      <c r="M31" s="199" t="s" ph="1">
        <v>7</v>
      </c>
      <c r="N31" s="200" ph="1"/>
      <c r="O31" s="201" ph="1"/>
      <c r="P31" s="199" t="s" ph="1">
        <v>41</v>
      </c>
      <c r="Q31" s="200"/>
      <c r="R31" s="201"/>
      <c r="S31" s="199" t="s" ph="1">
        <v>2</v>
      </c>
      <c r="T31" s="200"/>
      <c r="U31" s="201"/>
      <c r="V31" s="199" t="s" ph="1">
        <v>71</v>
      </c>
      <c r="W31" s="200" ph="1"/>
      <c r="X31" s="201" ph="1"/>
      <c r="Y31" s="199" t="s" ph="1">
        <v>3</v>
      </c>
      <c r="Z31" s="200" ph="1"/>
      <c r="AA31" s="201" ph="1"/>
      <c r="AB31" s="202" t="s">
        <v>42</v>
      </c>
      <c r="AC31" s="203"/>
      <c r="AD31" s="203"/>
      <c r="AE31" s="204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3" ph="1"/>
      <c r="C32" s="224" ph="1"/>
      <c r="D32" s="96" t="s" ph="1">
        <v>4</v>
      </c>
      <c r="E32" s="154" t="s" ph="1">
        <v>5</v>
      </c>
      <c r="F32" s="155" t="s" ph="1">
        <v>43</v>
      </c>
      <c r="G32" s="97" t="s" ph="1">
        <v>4</v>
      </c>
      <c r="H32" s="154" t="s" ph="1">
        <v>5</v>
      </c>
      <c r="I32" s="155" t="s" ph="1">
        <v>43</v>
      </c>
      <c r="J32" s="97" t="s" ph="1">
        <v>4</v>
      </c>
      <c r="K32" s="154" t="s" ph="1">
        <v>5</v>
      </c>
      <c r="L32" s="155" t="s" ph="1">
        <v>43</v>
      </c>
      <c r="M32" s="97" t="s" ph="1">
        <v>4</v>
      </c>
      <c r="N32" s="154" t="s" ph="1">
        <v>5</v>
      </c>
      <c r="O32" s="155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4" t="s" ph="1">
        <v>5</v>
      </c>
      <c r="U32" s="99" t="s" ph="1">
        <v>43</v>
      </c>
      <c r="V32" s="97" t="s" ph="1">
        <v>4</v>
      </c>
      <c r="W32" s="154" t="s" ph="1">
        <v>5</v>
      </c>
      <c r="X32" s="99" t="s" ph="1">
        <v>43</v>
      </c>
      <c r="Y32" s="100" t="s" ph="1">
        <v>4</v>
      </c>
      <c r="Z32" s="154" t="s" ph="1">
        <v>5</v>
      </c>
      <c r="AA32" s="155" t="s" ph="1">
        <v>43</v>
      </c>
      <c r="AB32" s="97" t="s" ph="1">
        <v>85</v>
      </c>
      <c r="AC32" s="154" t="s" ph="1">
        <v>84</v>
      </c>
      <c r="AD32" s="205" t="s" ph="1">
        <v>83</v>
      </c>
      <c r="AE32" s="206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7" t="s" ph="1">
        <v>181</v>
      </c>
      <c r="C33" s="208" ph="1"/>
      <c r="D33" s="187" ph="1">
        <f>AA10+AB10+Z19</f>
        <v>103367.2544264</v>
      </c>
      <c r="E33" s="187" ph="1">
        <f>M10+I10</f>
        <v>155330.07165640002</v>
      </c>
      <c r="F33" s="211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1522252632456786910111213141516171819202123456789101112131415161718192022232424356789101112131415161718192021222345678910111213141516171819202345678910111213149101516171819222123234567891012131415161711181920212224252345678910111213139[[#This Row],[F25]]</f>
        <v>3880</v>
      </c>
      <c r="G33" s="213" ph="1">
        <f>N19</f>
        <v>29523.594027200001</v>
      </c>
      <c r="H33" s="187" ph="1">
        <f>M19</f>
        <v>22180.966738440002</v>
      </c>
      <c r="I33" s="191" ph="1">
        <v>0</v>
      </c>
      <c r="J33" s="195" ph="1">
        <f>F10+O28</f>
        <v>225074.10333899999</v>
      </c>
      <c r="K33" s="187" ph="1">
        <f>O10+K10+E28+R28</f>
        <v>124713.51980084</v>
      </c>
      <c r="L33" s="197" ph="1">
        <f>K19</f>
        <v>26124.230718000003</v>
      </c>
      <c r="M33" s="195" ph="1">
        <f>G10+H10+W28+S28+V28+E10+R19+P28+Q28</f>
        <v>644707.09042170004</v>
      </c>
      <c r="N33" s="187" ph="1">
        <f>L10+P10++G28+H28+AD19+AE19</f>
        <v>202911.20559480003</v>
      </c>
      <c r="O33" s="191" ph="1">
        <f>G19</f>
        <v>18996.871090440003</v>
      </c>
      <c r="P33" s="195" ph="1">
        <f>L19</f>
        <v>42394.905031679999</v>
      </c>
      <c r="Q33" s="187" ph="1">
        <f>J10+N10</f>
        <v>107829.7799088</v>
      </c>
      <c r="R33" s="191" ph="1">
        <f>BE23</f>
        <v>890</v>
      </c>
      <c r="S33" s="195" ph="1">
        <f>X28</f>
        <v>167942.12674360003</v>
      </c>
      <c r="T33" s="187" ph="1">
        <f>X19</f>
        <v>13842.578291999998</v>
      </c>
      <c r="U33" s="176" ph="1">
        <f>BE21</f>
        <v>730</v>
      </c>
      <c r="V33" s="189" ph="1">
        <f ca="1">P19+Q19+S19+M28+N28+J28+D10+AC10+D19+E19+H19+J19+O19+V19+W19+K28+L28</f>
        <v>812888.86084953195</v>
      </c>
      <c r="W33" s="189" ph="1">
        <f>D28+F28+T28+I28</f>
        <v>24683.295870964001</v>
      </c>
      <c r="X33" s="191" ph="1">
        <f>BE29+BE31</f>
        <v>10200</v>
      </c>
      <c r="Y33" s="193" ph="1">
        <f>+Q10+R10+S10+T10+U10+V10+W10+X10+Y10</f>
        <v>163793.91021840001</v>
      </c>
      <c r="Z33" s="174" ph="1">
        <f>T19+U19+Y28+Z10</f>
        <v>98174.649601600016</v>
      </c>
      <c r="AA33" s="176" ph="1">
        <f>BE19</f>
        <v>1440</v>
      </c>
      <c r="AB33" s="178" ph="1">
        <f>I19</f>
        <v>28867.899729599998</v>
      </c>
      <c r="AC33" s="180" ph="1">
        <f>AD10+AB19</f>
        <v>66119.062464000002</v>
      </c>
      <c r="AD33" s="182" ph="1">
        <v>0</v>
      </c>
      <c r="AE33" s="183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9" ph="1"/>
      <c r="C34" s="210" ph="1"/>
      <c r="D34" s="188" ph="1"/>
      <c r="E34" s="188" ph="1"/>
      <c r="F34" s="212" ph="1"/>
      <c r="G34" s="214" ph="1"/>
      <c r="H34" s="188" ph="1"/>
      <c r="I34" s="192" ph="1"/>
      <c r="J34" s="196" ph="1"/>
      <c r="K34" s="188" ph="1"/>
      <c r="L34" s="198" ph="1"/>
      <c r="M34" s="196" ph="1"/>
      <c r="N34" s="188" ph="1"/>
      <c r="O34" s="192" ph="1"/>
      <c r="P34" s="196" ph="1"/>
      <c r="Q34" s="188" ph="1"/>
      <c r="R34" s="192" ph="1"/>
      <c r="S34" s="196" ph="1"/>
      <c r="T34" s="188"/>
      <c r="U34" s="177"/>
      <c r="V34" s="190" ph="1"/>
      <c r="W34" s="190" ph="1"/>
      <c r="X34" s="192" ph="1"/>
      <c r="Y34" s="194" ph="1"/>
      <c r="Z34" s="175" ph="1"/>
      <c r="AA34" s="177" ph="1"/>
      <c r="AB34" s="179"/>
      <c r="AC34" s="181"/>
      <c r="AD34" s="184"/>
      <c r="AE34" s="185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6" t="s" ph="1">
        <v>631</v>
      </c>
      <c r="AD35" s="186"/>
      <c r="AE35" s="186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2" t="s" ph="1">
        <v>183</v>
      </c>
      <c r="J36" s="172" ph="1"/>
      <c r="K36" s="101" ph="1"/>
      <c r="P36" s="101" ph="1"/>
      <c r="R36" s="172" t="s" ph="1">
        <v>184</v>
      </c>
      <c r="S36" s="172" ph="1"/>
      <c r="Y36" s="102" ph="1"/>
      <c r="Z36" s="156" t="s" ph="1">
        <v>185</v>
      </c>
      <c r="AA36" s="156" ph="1"/>
      <c r="AB36" s="173" t="s" ph="1">
        <v>639</v>
      </c>
      <c r="AC36" s="173" ph="1"/>
      <c r="AD36" s="173" ph="1"/>
      <c r="AE36" s="173" ph="1"/>
      <c r="BA36" s="64" ph="1">
        <v>2270</v>
      </c>
    </row>
    <row r="37" spans="1:57" s="156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6" t="s" ph="1">
        <v>342</v>
      </c>
      <c r="AI37" s="156" t="s" ph="1">
        <v>209</v>
      </c>
      <c r="AJ37" s="156" t="s" ph="1">
        <v>210</v>
      </c>
      <c r="AK37" s="156" t="s" ph="1">
        <v>211</v>
      </c>
      <c r="AM37" s="156" t="s" ph="1">
        <v>210</v>
      </c>
      <c r="AN37" s="156" t="s" ph="1">
        <v>211</v>
      </c>
      <c r="AO37" s="156" t="s" ph="1">
        <v>212</v>
      </c>
      <c r="AP37" s="156" t="s" ph="1">
        <v>210</v>
      </c>
      <c r="AQ37" s="156" t="s" ph="1">
        <v>211</v>
      </c>
      <c r="AR37" s="156" t="s" ph="1">
        <v>212</v>
      </c>
      <c r="AS37" s="156" t="s" ph="1">
        <v>210</v>
      </c>
      <c r="AT37" s="156" t="s" ph="1">
        <v>211</v>
      </c>
      <c r="AU37" s="156" t="s" ph="1">
        <v>212</v>
      </c>
      <c r="AV37" s="156" t="s" ph="1">
        <v>210</v>
      </c>
      <c r="AW37" s="156" t="s" ph="1">
        <v>211</v>
      </c>
      <c r="AX37" s="156" t="s" ph="1">
        <v>212</v>
      </c>
      <c r="AY37" s="156" t="s" ph="1">
        <v>211</v>
      </c>
      <c r="AZ37" s="156" t="s" ph="1">
        <v>213</v>
      </c>
      <c r="BD37" s="156" t="s" ph="1">
        <v>305</v>
      </c>
      <c r="BE37" s="156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P56" s="64" ph="1">
        <v>20260804</v>
      </c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2117" priority="102">
      <formula>ABS(D$7-D$10)&gt;=1000</formula>
    </cfRule>
  </conditionalFormatting>
  <conditionalFormatting sqref="E4 E6:E11">
    <cfRule type="expression" dxfId="2116" priority="101">
      <formula>ABS(E$7-E$10)&gt;=1000</formula>
    </cfRule>
  </conditionalFormatting>
  <conditionalFormatting sqref="F4:F11">
    <cfRule type="expression" dxfId="2115" priority="100">
      <formula>ABS(F$7-F$10)&gt;=1000</formula>
    </cfRule>
  </conditionalFormatting>
  <conditionalFormatting sqref="G4:G11">
    <cfRule type="expression" dxfId="2114" priority="99">
      <formula>ABS(G$7-G$10)&gt;=1000</formula>
    </cfRule>
  </conditionalFormatting>
  <conditionalFormatting sqref="H4:H11">
    <cfRule type="expression" dxfId="2113" priority="98">
      <formula>ABS(H$7-H$10)&gt;=1000</formula>
    </cfRule>
  </conditionalFormatting>
  <conditionalFormatting sqref="I4:I11">
    <cfRule type="expression" dxfId="2112" priority="97">
      <formula>ABS(I$7-I$10)&gt;=1000</formula>
    </cfRule>
  </conditionalFormatting>
  <conditionalFormatting sqref="J4:J11">
    <cfRule type="expression" dxfId="2111" priority="96">
      <formula>ABS(J$7-J$10)&gt;=1000</formula>
    </cfRule>
  </conditionalFormatting>
  <conditionalFormatting sqref="K4:K11">
    <cfRule type="expression" dxfId="2110" priority="95">
      <formula>ABS(K$7-K$10)&gt;=1000</formula>
    </cfRule>
  </conditionalFormatting>
  <conditionalFormatting sqref="L4:L11">
    <cfRule type="expression" dxfId="2109" priority="94">
      <formula>ABS(L$7-L$10)&gt;=1000</formula>
    </cfRule>
  </conditionalFormatting>
  <conditionalFormatting sqref="M4 M6:M11">
    <cfRule type="expression" dxfId="2108" priority="93">
      <formula>ABS(M$7-M$10)&gt;=1000</formula>
    </cfRule>
  </conditionalFormatting>
  <conditionalFormatting sqref="N4 N6:N11">
    <cfRule type="expression" dxfId="2107" priority="92">
      <formula>ABS(N$7-N$10)&gt;=1000</formula>
    </cfRule>
  </conditionalFormatting>
  <conditionalFormatting sqref="O4 O6:O11">
    <cfRule type="expression" dxfId="2106" priority="91">
      <formula>ABS(O$7-O$10)&gt;=1000</formula>
    </cfRule>
  </conditionalFormatting>
  <conditionalFormatting sqref="P4 P6:P11">
    <cfRule type="expression" dxfId="2105" priority="90">
      <formula>ABS(P$7-P$10)&gt;=1000</formula>
    </cfRule>
  </conditionalFormatting>
  <conditionalFormatting sqref="Q4:Q11">
    <cfRule type="expression" dxfId="2104" priority="89">
      <formula>ABS(Q$7-Q$10)&gt;=1000</formula>
    </cfRule>
  </conditionalFormatting>
  <conditionalFormatting sqref="R4:R11">
    <cfRule type="expression" dxfId="2103" priority="88">
      <formula>ABS(R$7-R$10)&gt;=1000</formula>
    </cfRule>
  </conditionalFormatting>
  <conditionalFormatting sqref="S4:S11">
    <cfRule type="expression" dxfId="2102" priority="87">
      <formula>ABS(S$7-S$10)&gt;=1000</formula>
    </cfRule>
  </conditionalFormatting>
  <conditionalFormatting sqref="T4:T9 T11">
    <cfRule type="expression" dxfId="2101" priority="86">
      <formula>ABS(T$7-T$10)&gt;=1000</formula>
    </cfRule>
  </conditionalFormatting>
  <conditionalFormatting sqref="U4:U9 U11">
    <cfRule type="expression" dxfId="2100" priority="85">
      <formula>ABS(U$7-U$10)&gt;=1000</formula>
    </cfRule>
  </conditionalFormatting>
  <conditionalFormatting sqref="V4:V9 V11">
    <cfRule type="expression" dxfId="2099" priority="84">
      <formula>ABS(V$7-V$10)&gt;=1000</formula>
    </cfRule>
  </conditionalFormatting>
  <conditionalFormatting sqref="W4:W9 W11">
    <cfRule type="expression" dxfId="2098" priority="83">
      <formula>ABS(W$7-W$10)&gt;=1000</formula>
    </cfRule>
  </conditionalFormatting>
  <conditionalFormatting sqref="X4:X9 X11">
    <cfRule type="expression" dxfId="2097" priority="82">
      <formula>ABS(X$7-X$10)&gt;=1000</formula>
    </cfRule>
  </conditionalFormatting>
  <conditionalFormatting sqref="Y4:Y9 Y11">
    <cfRule type="expression" dxfId="2096" priority="81">
      <formula>ABS(Y$7-Y$10)&gt;=1000</formula>
    </cfRule>
  </conditionalFormatting>
  <conditionalFormatting sqref="Z4:Z11">
    <cfRule type="expression" dxfId="2095" priority="80">
      <formula>ABS(Z$7-Z$10)&gt;=1000</formula>
    </cfRule>
  </conditionalFormatting>
  <conditionalFormatting sqref="AA4:AA11">
    <cfRule type="expression" dxfId="2094" priority="79">
      <formula>ABS(AA$7-AA$10)&gt;=1000</formula>
    </cfRule>
  </conditionalFormatting>
  <conditionalFormatting sqref="AB4:AB11">
    <cfRule type="expression" dxfId="2093" priority="78">
      <formula>ABS(AB$7-AB$10)&gt;=1000</formula>
    </cfRule>
  </conditionalFormatting>
  <conditionalFormatting sqref="AC4 AC6:AC11">
    <cfRule type="expression" dxfId="2092" priority="77">
      <formula>ABS(AC$7-AC$10)&gt;=1000</formula>
    </cfRule>
  </conditionalFormatting>
  <conditionalFormatting sqref="AD4 AD6:AD11">
    <cfRule type="expression" dxfId="2091" priority="76">
      <formula>ABS(AD$7-AD$10)&gt;=1000</formula>
    </cfRule>
  </conditionalFormatting>
  <conditionalFormatting sqref="AE4 AE6:AE11">
    <cfRule type="expression" dxfId="2090" priority="75">
      <formula>ABS(AE$7-AE$10)&gt;=1000</formula>
    </cfRule>
  </conditionalFormatting>
  <conditionalFormatting sqref="D13:D20">
    <cfRule type="expression" dxfId="2089" priority="74">
      <formula>ABS(D$16-D$19)&gt;=1000</formula>
    </cfRule>
  </conditionalFormatting>
  <conditionalFormatting sqref="E13:E20">
    <cfRule type="expression" dxfId="2088" priority="73">
      <formula>ABS(E$16-E$19)&gt;=1000</formula>
    </cfRule>
  </conditionalFormatting>
  <conditionalFormatting sqref="F13 F15:F20">
    <cfRule type="expression" dxfId="2087" priority="72">
      <formula>ABS(F$16-F$19)&gt;=1000</formula>
    </cfRule>
  </conditionalFormatting>
  <conditionalFormatting sqref="G13:G20">
    <cfRule type="expression" dxfId="2086" priority="71">
      <formula>ABS(G$16-G$19)&gt;=1000</formula>
    </cfRule>
  </conditionalFormatting>
  <conditionalFormatting sqref="H13 H15:H20">
    <cfRule type="expression" dxfId="2085" priority="70">
      <formula>ABS(H$16-H$19)&gt;=1000</formula>
    </cfRule>
  </conditionalFormatting>
  <conditionalFormatting sqref="I13:I20">
    <cfRule type="expression" dxfId="2084" priority="69">
      <formula>ABS(I$16-I$19)&gt;=1000</formula>
    </cfRule>
  </conditionalFormatting>
  <conditionalFormatting sqref="J13:J20">
    <cfRule type="expression" dxfId="2083" priority="68">
      <formula>ABS(J$16-J$19)&gt;=1000</formula>
    </cfRule>
  </conditionalFormatting>
  <conditionalFormatting sqref="L13:L20">
    <cfRule type="expression" dxfId="2082" priority="67">
      <formula>ABS(L$16-L$19)&gt;=1000</formula>
    </cfRule>
  </conditionalFormatting>
  <conditionalFormatting sqref="M13 M15 M17:M18 M20">
    <cfRule type="expression" dxfId="2081" priority="66">
      <formula>ABS(M$16-M$19)&gt;=1000</formula>
    </cfRule>
  </conditionalFormatting>
  <conditionalFormatting sqref="N13:N20">
    <cfRule type="expression" dxfId="2080" priority="65">
      <formula>ABS(N$16-N$19)&gt;=1000</formula>
    </cfRule>
  </conditionalFormatting>
  <conditionalFormatting sqref="O13:O20">
    <cfRule type="expression" dxfId="2079" priority="64">
      <formula>ABS(O$16-O$19)&gt;=1000</formula>
    </cfRule>
  </conditionalFormatting>
  <conditionalFormatting sqref="P13:P20">
    <cfRule type="expression" dxfId="2078" priority="63">
      <formula>ABS(P$16-P$19)&gt;=1000</formula>
    </cfRule>
  </conditionalFormatting>
  <conditionalFormatting sqref="Q13 Q15:Q20">
    <cfRule type="expression" dxfId="2077" priority="62">
      <formula>ABS(Q$16-Q$19)&gt;=1000</formula>
    </cfRule>
  </conditionalFormatting>
  <conditionalFormatting sqref="R13:R20">
    <cfRule type="expression" dxfId="2076" priority="61">
      <formula>ABS(R$16-R$19)&gt;=1000</formula>
    </cfRule>
  </conditionalFormatting>
  <conditionalFormatting sqref="S13:S20">
    <cfRule type="expression" dxfId="2075" priority="60">
      <formula>ABS(S$16-S$19)&gt;=1000</formula>
    </cfRule>
  </conditionalFormatting>
  <conditionalFormatting sqref="T13:T15 T17:T20">
    <cfRule type="expression" dxfId="2074" priority="59">
      <formula>ABS(T$16-T$19)&gt;=1000</formula>
    </cfRule>
  </conditionalFormatting>
  <conditionalFormatting sqref="U13:U20">
    <cfRule type="expression" dxfId="2073" priority="58">
      <formula>ABS(U$16-U$19)&gt;=1000</formula>
    </cfRule>
  </conditionalFormatting>
  <conditionalFormatting sqref="V13:V20">
    <cfRule type="expression" dxfId="2072" priority="57">
      <formula>ABS(V$16-V$19)&gt;=1000</formula>
    </cfRule>
  </conditionalFormatting>
  <conditionalFormatting sqref="W13 W20 W15:W18">
    <cfRule type="expression" dxfId="2071" priority="56">
      <formula>ABS(W$16-W$19)&gt;=1000</formula>
    </cfRule>
  </conditionalFormatting>
  <conditionalFormatting sqref="X13 X15:X20 Y19">
    <cfRule type="expression" dxfId="2070" priority="55">
      <formula>ABS(X$16-X$19)&gt;=1000</formula>
    </cfRule>
  </conditionalFormatting>
  <conditionalFormatting sqref="Y13 Y15:Y18 Y20">
    <cfRule type="expression" dxfId="2069" priority="54">
      <formula>ABS(Y$16-Y$19)&gt;=1000</formula>
    </cfRule>
  </conditionalFormatting>
  <conditionalFormatting sqref="Z13:Z20">
    <cfRule type="expression" dxfId="2068" priority="53">
      <formula>ABS(Z$16-Z$19)&gt;=1000</formula>
    </cfRule>
  </conditionalFormatting>
  <conditionalFormatting sqref="AA13:AA20">
    <cfRule type="expression" dxfId="2067" priority="52">
      <formula>ABS(AA$16-AA$19)&gt;=1000</formula>
    </cfRule>
  </conditionalFormatting>
  <conditionalFormatting sqref="AB13 AB15:AB20">
    <cfRule type="expression" dxfId="2066" priority="51">
      <formula>ABS(AB$16-AB$19)&gt;=1000</formula>
    </cfRule>
  </conditionalFormatting>
  <conditionalFormatting sqref="AC13 AC15:AC20">
    <cfRule type="expression" dxfId="2065" priority="50">
      <formula>ABS(AC$16-AC$19)&gt;=1000</formula>
    </cfRule>
  </conditionalFormatting>
  <conditionalFormatting sqref="AD13:AD20">
    <cfRule type="expression" dxfId="2064" priority="49">
      <formula>ABS(AD$16-AD$19)&gt;=1000</formula>
    </cfRule>
  </conditionalFormatting>
  <conditionalFormatting sqref="AE13:AE20">
    <cfRule type="expression" dxfId="2063" priority="48">
      <formula>ABS(AE$16-AE$19)&gt;=1000</formula>
    </cfRule>
  </conditionalFormatting>
  <conditionalFormatting sqref="D22:D29">
    <cfRule type="expression" dxfId="2062" priority="47">
      <formula>ABS(D$25-D$28)&gt;=1000</formula>
    </cfRule>
  </conditionalFormatting>
  <conditionalFormatting sqref="E22:E29">
    <cfRule type="expression" dxfId="2061" priority="46">
      <formula>ABS(E$25-E$28)&gt;=1000</formula>
    </cfRule>
  </conditionalFormatting>
  <conditionalFormatting sqref="F22:F29">
    <cfRule type="expression" dxfId="2060" priority="45">
      <formula>ABS(F$25-F$28)&gt;=1000</formula>
    </cfRule>
  </conditionalFormatting>
  <conditionalFormatting sqref="G22:G29">
    <cfRule type="expression" dxfId="2059" priority="44">
      <formula>ABS(G$25-G$28)&gt;=1000</formula>
    </cfRule>
  </conditionalFormatting>
  <conditionalFormatting sqref="H22:H29">
    <cfRule type="expression" dxfId="2058" priority="43">
      <formula>ABS(H$25-H$28)&gt;=1000</formula>
    </cfRule>
  </conditionalFormatting>
  <conditionalFormatting sqref="I22 I24:I29">
    <cfRule type="expression" dxfId="2057" priority="42">
      <formula>ABS(I$25-I$28)&gt;=1000</formula>
    </cfRule>
  </conditionalFormatting>
  <conditionalFormatting sqref="J22:J29 K22">
    <cfRule type="expression" dxfId="2056" priority="41">
      <formula>ABS(J$25-J$28)&gt;=1000</formula>
    </cfRule>
  </conditionalFormatting>
  <conditionalFormatting sqref="K23:K29 L25 L28">
    <cfRule type="expression" dxfId="2055" priority="40">
      <formula>ABS(K$25-K$28)&gt;=1000</formula>
    </cfRule>
  </conditionalFormatting>
  <conditionalFormatting sqref="L22 L26:L27 L29 L24">
    <cfRule type="expression" dxfId="2054" priority="39">
      <formula>ABS(L$25-L$28)&gt;=1000</formula>
    </cfRule>
  </conditionalFormatting>
  <conditionalFormatting sqref="M22:M29">
    <cfRule type="expression" dxfId="2053" priority="38">
      <formula>ABS(M$25-M$28)&gt;=1000</formula>
    </cfRule>
  </conditionalFormatting>
  <conditionalFormatting sqref="N22:N29">
    <cfRule type="expression" dxfId="2052" priority="37">
      <formula>ABS(N$25-N$28)&gt;=1000</formula>
    </cfRule>
  </conditionalFormatting>
  <conditionalFormatting sqref="O22 O24:O29">
    <cfRule type="expression" dxfId="2051" priority="36">
      <formula>ABS(O$25-O$28)&gt;=1000</formula>
    </cfRule>
  </conditionalFormatting>
  <conditionalFormatting sqref="P22:P29">
    <cfRule type="expression" dxfId="2050" priority="35">
      <formula>ABS(P$25-P$28)&gt;=1000</formula>
    </cfRule>
  </conditionalFormatting>
  <conditionalFormatting sqref="Q22:Q29">
    <cfRule type="expression" dxfId="2049" priority="34">
      <formula>ABS(Q$25-Q$28)&gt;=1000</formula>
    </cfRule>
  </conditionalFormatting>
  <conditionalFormatting sqref="R22:R29">
    <cfRule type="expression" dxfId="2048" priority="33">
      <formula>ABS(R$25-R$28)&gt;=1000</formula>
    </cfRule>
  </conditionalFormatting>
  <conditionalFormatting sqref="S22:S29">
    <cfRule type="expression" dxfId="2047" priority="32">
      <formula>ABS(S$25-S$28)&gt;=1000</formula>
    </cfRule>
  </conditionalFormatting>
  <conditionalFormatting sqref="T22:T29">
    <cfRule type="expression" dxfId="2046" priority="31">
      <formula>ABS(T$25-T$28)&gt;=1000</formula>
    </cfRule>
  </conditionalFormatting>
  <conditionalFormatting sqref="U22:U29">
    <cfRule type="expression" dxfId="2045" priority="30">
      <formula>ABS(U$25-U$28)&gt;=1000</formula>
    </cfRule>
  </conditionalFormatting>
  <conditionalFormatting sqref="V22:V29">
    <cfRule type="expression" dxfId="2044" priority="29">
      <formula>ABS(V$25-V$28)&gt;=1000</formula>
    </cfRule>
  </conditionalFormatting>
  <conditionalFormatting sqref="W22:W29">
    <cfRule type="expression" dxfId="2043" priority="28">
      <formula>ABS(W$25-W$28)&gt;=1000</formula>
    </cfRule>
  </conditionalFormatting>
  <conditionalFormatting sqref="X22:X29">
    <cfRule type="expression" dxfId="2042" priority="27">
      <formula>ABS(X$25-X$28)&gt;=1000</formula>
    </cfRule>
  </conditionalFormatting>
  <conditionalFormatting sqref="Y22:Y29">
    <cfRule type="expression" dxfId="2041" priority="26">
      <formula>ABS(Y$25-Y$28)&gt;=1000</formula>
    </cfRule>
  </conditionalFormatting>
  <conditionalFormatting sqref="I23">
    <cfRule type="expression" dxfId="2040" priority="25">
      <formula>ABS(I$25-I$28)&gt;=1000</formula>
    </cfRule>
  </conditionalFormatting>
  <conditionalFormatting sqref="Q14">
    <cfRule type="expression" dxfId="2039" priority="24">
      <formula>ABS(Q$16-Q$19)&gt;=1000</formula>
    </cfRule>
  </conditionalFormatting>
  <conditionalFormatting sqref="W14">
    <cfRule type="expression" dxfId="2038" priority="23">
      <formula>ABS(W$16-W$19)&gt;=1000</formula>
    </cfRule>
  </conditionalFormatting>
  <conditionalFormatting sqref="X14">
    <cfRule type="expression" dxfId="2037" priority="22">
      <formula>ABS(X$16-X$19)&gt;=1000</formula>
    </cfRule>
  </conditionalFormatting>
  <conditionalFormatting sqref="T10:Y10">
    <cfRule type="expression" dxfId="2036" priority="21">
      <formula>ABS(T$7-T$10)&gt;=1000</formula>
    </cfRule>
  </conditionalFormatting>
  <conditionalFormatting sqref="W19">
    <cfRule type="expression" dxfId="2035" priority="20">
      <formula>ABS(W$16-W$19)&gt;=1000</formula>
    </cfRule>
  </conditionalFormatting>
  <conditionalFormatting sqref="AC5">
    <cfRule type="expression" dxfId="2034" priority="19">
      <formula>ABS(AC$7-AC$10)&gt;=1000</formula>
    </cfRule>
  </conditionalFormatting>
  <conditionalFormatting sqref="M14">
    <cfRule type="expression" dxfId="2033" priority="18">
      <formula>ABS(M$16-M$19)&gt;=1000</formula>
    </cfRule>
  </conditionalFormatting>
  <conditionalFormatting sqref="M16">
    <cfRule type="expression" dxfId="2032" priority="17">
      <formula>ABS(M$16-M$19)&gt;=1000</formula>
    </cfRule>
  </conditionalFormatting>
  <conditionalFormatting sqref="M19">
    <cfRule type="expression" dxfId="2031" priority="16">
      <formula>ABS(M$16-M$19)&gt;=1000</formula>
    </cfRule>
  </conditionalFormatting>
  <conditionalFormatting sqref="K13:K20">
    <cfRule type="expression" dxfId="2030" priority="15">
      <formula>ABS(K$16-K$19)&gt;=1000</formula>
    </cfRule>
  </conditionalFormatting>
  <conditionalFormatting sqref="E5">
    <cfRule type="expression" dxfId="2029" priority="14">
      <formula>ABS(E$7-E$10)&gt;=1000</formula>
    </cfRule>
  </conditionalFormatting>
  <conditionalFormatting sqref="AB14:AC14">
    <cfRule type="expression" dxfId="2028" priority="13">
      <formula>ABS(AB$16-AB$19)&gt;=1000</formula>
    </cfRule>
  </conditionalFormatting>
  <conditionalFormatting sqref="M5">
    <cfRule type="expression" dxfId="2027" priority="12">
      <formula>ABS(M$7-M$10)&gt;=1000</formula>
    </cfRule>
  </conditionalFormatting>
  <conditionalFormatting sqref="N5">
    <cfRule type="expression" dxfId="2026" priority="11">
      <formula>ABS(N$7-N$10)&gt;=1000</formula>
    </cfRule>
  </conditionalFormatting>
  <conditionalFormatting sqref="O5">
    <cfRule type="expression" dxfId="2025" priority="10">
      <formula>ABS(O$7-O$10)&gt;=1000</formula>
    </cfRule>
  </conditionalFormatting>
  <conditionalFormatting sqref="P5">
    <cfRule type="expression" dxfId="2024" priority="9">
      <formula>ABS(P$7-P$10)&gt;=1000</formula>
    </cfRule>
  </conditionalFormatting>
  <conditionalFormatting sqref="L23">
    <cfRule type="expression" dxfId="2023" priority="8">
      <formula>ABS(L$25-L$28)&gt;=1000</formula>
    </cfRule>
  </conditionalFormatting>
  <conditionalFormatting sqref="Y14">
    <cfRule type="expression" dxfId="2022" priority="7">
      <formula>ABS(Y$16-Y$19)&gt;=1000</formula>
    </cfRule>
  </conditionalFormatting>
  <conditionalFormatting sqref="F14">
    <cfRule type="expression" dxfId="2021" priority="6">
      <formula>ABS(F$16-F$19)&gt;=1000</formula>
    </cfRule>
  </conditionalFormatting>
  <conditionalFormatting sqref="H14">
    <cfRule type="expression" dxfId="2020" priority="5">
      <formula>ABS(H$16-H$19)&gt;=1000</formula>
    </cfRule>
  </conditionalFormatting>
  <conditionalFormatting sqref="AD5">
    <cfRule type="expression" dxfId="2019" priority="4">
      <formula>ABS(AD$7-AD$10)&gt;=1000</formula>
    </cfRule>
  </conditionalFormatting>
  <conditionalFormatting sqref="AE5">
    <cfRule type="expression" dxfId="2018" priority="3">
      <formula>ABS(AE$7-AE$10)&gt;=1000</formula>
    </cfRule>
  </conditionalFormatting>
  <conditionalFormatting sqref="T16">
    <cfRule type="expression" dxfId="2017" priority="2">
      <formula>ABS(T$16-T$19)&gt;=1000</formula>
    </cfRule>
  </conditionalFormatting>
  <conditionalFormatting sqref="O23">
    <cfRule type="expression" dxfId="2016" priority="1">
      <formula>ABS(O$25-O$28)&gt;=1000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32737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951">
    <pageSetUpPr fitToPage="1"/>
  </sheetPr>
  <dimension ref="A1:CU223"/>
  <sheetViews>
    <sheetView view="pageBreakPreview" topLeftCell="A19" zoomScaleNormal="100" zoomScaleSheetLayoutView="100" workbookViewId="0">
      <selection activeCell="R42" sqref="R42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39" t="s" ph="1">
        <v>161</v>
      </c>
      <c r="C1" s="239" ph="1"/>
      <c r="D1" s="239" ph="1"/>
      <c r="E1" s="239" ph="1"/>
      <c r="F1" s="239" ph="1"/>
      <c r="G1" s="239" ph="1"/>
      <c r="H1" s="239" ph="1"/>
      <c r="I1" s="239" ph="1"/>
      <c r="J1" s="239" ph="1"/>
      <c r="K1" s="239" ph="1"/>
      <c r="L1" s="239" ph="1"/>
      <c r="M1" s="239" ph="1"/>
      <c r="N1" s="239" ph="1"/>
      <c r="O1" s="239" ph="1"/>
      <c r="P1" s="239" ph="1"/>
      <c r="Q1" s="239" ph="1"/>
      <c r="R1" s="239" ph="1"/>
      <c r="S1" s="239" ph="1"/>
      <c r="T1" s="239" ph="1"/>
      <c r="U1" s="239" ph="1"/>
      <c r="V1" s="239" ph="1"/>
      <c r="W1" s="239" ph="1"/>
      <c r="X1" s="239" ph="1"/>
      <c r="Y1" s="239" ph="1"/>
      <c r="Z1" s="239" ph="1"/>
      <c r="AA1" s="239" ph="1"/>
      <c r="AB1" s="239" ph="1"/>
      <c r="AC1" s="239" ph="1"/>
      <c r="AD1" s="239" ph="1"/>
      <c r="AE1" s="239" ph="1"/>
    </row>
    <row r="2" spans="1:99" s="66" customFormat="1" ht="24" customHeight="1" ph="1">
      <c r="B2" s="240" t="s" ph="1">
        <v>82</v>
      </c>
      <c r="C2" s="240" ph="1"/>
      <c r="D2" s="240" ph="1"/>
      <c r="E2" s="240" ph="1"/>
      <c r="F2" s="240" ph="1"/>
      <c r="G2" s="240" ph="1"/>
      <c r="H2" s="240" ph="1"/>
      <c r="I2" s="240" ph="1"/>
      <c r="J2" s="240" ph="1"/>
      <c r="K2" s="240" ph="1"/>
      <c r="L2" s="240" ph="1"/>
      <c r="M2" s="240" ph="1"/>
      <c r="N2" s="240" ph="1"/>
      <c r="O2" s="240" ph="1"/>
      <c r="P2" s="240" ph="1"/>
      <c r="Q2" s="240" ph="1"/>
      <c r="R2" s="240" ph="1"/>
      <c r="S2" s="240" ph="1"/>
      <c r="T2" s="240" ph="1"/>
      <c r="U2" s="240" ph="1"/>
      <c r="V2" s="240" ph="1"/>
      <c r="W2" s="240" ph="1"/>
      <c r="X2" s="240" ph="1"/>
      <c r="Y2" s="240" ph="1"/>
      <c r="Z2" s="240" ph="1"/>
      <c r="AA2" s="240" ph="1"/>
      <c r="AB2" s="240" ph="1"/>
      <c r="AC2" s="240" ph="1"/>
      <c r="AD2" s="240" ph="1"/>
      <c r="AE2" s="240" ph="1"/>
    </row>
    <row r="3" spans="1:99" ht="21" customHeight="1" ph="1">
      <c r="B3" s="241" ph="1">
        <v>46245</v>
      </c>
      <c r="C3" s="241"/>
      <c r="D3" s="241"/>
      <c r="E3" s="241"/>
      <c r="F3" s="241"/>
      <c r="G3" s="241"/>
      <c r="H3" s="241"/>
      <c r="I3" s="241"/>
      <c r="J3" s="241"/>
      <c r="K3" s="241"/>
      <c r="L3" s="241"/>
      <c r="M3" s="241"/>
      <c r="N3" s="241"/>
      <c r="O3" s="241"/>
      <c r="P3" s="241"/>
      <c r="Q3" s="241"/>
      <c r="R3" s="241"/>
      <c r="S3" s="241"/>
      <c r="T3" s="241"/>
      <c r="U3" s="241"/>
      <c r="V3" s="241"/>
      <c r="W3" s="241"/>
      <c r="X3" s="241"/>
      <c r="Y3" s="241"/>
      <c r="Z3" s="241"/>
      <c r="AA3" s="241"/>
      <c r="AB3" s="241"/>
      <c r="AC3" s="241"/>
      <c r="AD3" s="241"/>
      <c r="AE3" s="241"/>
    </row>
    <row r="4" spans="1:99" s="69" customFormat="1" ph="1">
      <c r="A4" s="65" ph="1"/>
      <c r="B4" s="220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0" ph="1"/>
      <c r="C5" s="67" t="s" ph="1">
        <v>36</v>
      </c>
      <c r="D5" s="70" t="s" ph="1">
        <v>160</v>
      </c>
      <c r="E5" s="142" t="s" ph="1">
        <v>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8" ph="1">
        <v>0.33333333333333331</v>
      </c>
      <c r="C6" s="154" t="s" ph="1">
        <v>177</v>
      </c>
      <c r="D6" s="71">
        <v>7083</v>
      </c>
      <c r="E6" s="71">
        <v>810</v>
      </c>
      <c r="F6" s="71">
        <v>5946</v>
      </c>
      <c r="G6" s="71">
        <v>6282</v>
      </c>
      <c r="H6" s="71">
        <v>0</v>
      </c>
      <c r="I6" s="71">
        <v>38.71</v>
      </c>
      <c r="J6" s="71">
        <v>77.02</v>
      </c>
      <c r="K6" s="71">
        <v>7.32</v>
      </c>
      <c r="L6" s="71">
        <v>7.33</v>
      </c>
      <c r="M6" s="71">
        <v>4251</v>
      </c>
      <c r="N6" s="71">
        <v>3494</v>
      </c>
      <c r="O6" s="71">
        <v>2790</v>
      </c>
      <c r="P6" s="71">
        <v>2406</v>
      </c>
      <c r="Q6" s="71">
        <v>0</v>
      </c>
      <c r="R6" s="71">
        <v>0</v>
      </c>
      <c r="S6" s="71">
        <v>1902</v>
      </c>
      <c r="T6" s="71">
        <v>7221</v>
      </c>
      <c r="U6" s="71">
        <v>6315</v>
      </c>
      <c r="V6" s="71">
        <v>0</v>
      </c>
      <c r="W6" s="71">
        <v>0</v>
      </c>
      <c r="X6" s="71">
        <v>0</v>
      </c>
      <c r="Y6" s="71">
        <v>0</v>
      </c>
      <c r="Z6" s="71">
        <v>4295</v>
      </c>
      <c r="AA6" s="71">
        <v>1305</v>
      </c>
      <c r="AB6" s="71">
        <v>2819</v>
      </c>
      <c r="AC6" s="71">
        <v>4422</v>
      </c>
      <c r="AD6" s="71">
        <v>3380</v>
      </c>
      <c r="AE6" s="71">
        <v>4905</v>
      </c>
    </row>
    <row r="7" spans="1:99" s="72" customFormat="1" ht="22.2" ph="1">
      <c r="B7" s="238" ph="1"/>
      <c r="C7" s="68" t="s" ph="1">
        <v>178</v>
      </c>
      <c r="D7" s="73" ph="1">
        <f>D6*33.183*LOOKUP(D8,密度!$A$2:$A$50,密度!$Q$2:$Q$50)</f>
        <v>222018.94023318001</v>
      </c>
      <c r="E7" s="73" ph="1">
        <f>E6*51.53*LOOKUP(E8,密度!$A$2:$A$50,密度!$B$2:$B$50)</f>
        <v>32398.044660000003</v>
      </c>
      <c r="F7" s="73" ph="1">
        <f>F6*33.183*LOOKUP(F8,密度!$A$2:$A$50,密度!$C$2:$C$50)</f>
        <v>218496.79507319999</v>
      </c>
      <c r="G7" s="73" ph="1">
        <f xml:space="preserve"> (G6+2)*51.53*LOOKUP(G8,密度!$A$2:$A$50,密度!$B$2:$B$50)</f>
        <v>251053.397356</v>
      </c>
      <c r="H7" s="73" ph="1">
        <f>(H6)*51.53*LOOKUP(H8,密度!$A$2:$A$50,密度!$B$2:$B$50)</f>
        <v>0</v>
      </c>
      <c r="I7" s="73" ph="1">
        <f>I6*290.8*1.0267</f>
        <v>11557.4263756</v>
      </c>
      <c r="J7" s="73" ph="1">
        <f>J6*290.8*0.7892</f>
        <v>17676.040707200002</v>
      </c>
      <c r="K7" s="73" ph="1">
        <f>K6*290.8*1.1126</f>
        <v>2368.3426656000001</v>
      </c>
      <c r="L7" s="73" ph="1">
        <f>L6*290.8*0.777</f>
        <v>1656.2252280000002</v>
      </c>
      <c r="M7" s="73" ph="1">
        <f>M6*33.183*LOOKUP(M8,密度!$A$2:$A$50,密度!$D$2:$D$50)</f>
        <v>144164.273526</v>
      </c>
      <c r="N7" s="73" ph="1">
        <f>N6*33.183*LOOKUP(N8,密度!$A$2:$A$50,密度!$E$2:$E$50)</f>
        <v>90156.034195200002</v>
      </c>
      <c r="O7" s="73" ph="1">
        <f>O6*20.428*LOOKUP(O8,密度!$A$2:$A$50,密度!$C$2:$C$50)</f>
        <v>62864.514360000001</v>
      </c>
      <c r="P7" s="73" ph="1">
        <f>P6*51.53*LOOKUP(P8,密度!$A$2:$A$50,密度!$B$2:$B$50)</f>
        <v>96333.376860000004</v>
      </c>
      <c r="Q7" s="73" ph="1">
        <f>Q6*1.5*1.5*3.1416*LOOKUP(W8,密度!$A$2:$A$50,密度!$L$2:$L$50)</f>
        <v>0</v>
      </c>
      <c r="R7" s="73" ph="1">
        <f>R6*1.5*1.5*3.1416*LOOKUP(R8,密度!$A$2:$A$50,密度!$L$2:$L$50)</f>
        <v>0</v>
      </c>
      <c r="S7" s="73" ph="1">
        <f>S6*1.5*1.5*3.1416*LOOKUP(S8,密度!$A$2:$A$50,密度!$L$2:$L$50)</f>
        <v>12584.0306592</v>
      </c>
      <c r="T7" s="73" ph="1">
        <f>T6*1.5*1.5*3.1416*LOOKUP(T8,密度!$A$2:$A$50,密度!$L$2:$L$50)</f>
        <v>47826.691882200001</v>
      </c>
      <c r="U7" s="73" ph="1">
        <f>U6*1.5*1.5*3.1416*LOOKUP(U8,密度!$A$2:$A$50,密度!$L$2:$L$50)</f>
        <v>41692.087206000004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133114.59998999999</v>
      </c>
      <c r="AA7" s="73" ph="1">
        <f>AA6*33.183*LOOKUP(AA8,密度!$A$2:$A$50,密度!$D$2:$D$50)</f>
        <v>44256.498930000002</v>
      </c>
      <c r="AB7" s="73" ph="1">
        <f>AB6*20.428*LOOKUP(AB8,密度!$A$2:$A$50,密度!$D$2:$D$50)</f>
        <v>59233.506815199995</v>
      </c>
      <c r="AC7" s="73" ph="1">
        <f>AC6*51.53*LOOKUP(AC8,密度!$A$2:$A$50,密度!$Q$2:$Q$50)</f>
        <v>215246.4597492</v>
      </c>
      <c r="AD7" s="73" ph="1">
        <f>AD6*20.428*LOOKUP(AD8,密度!$A$2:$A$50,密度!$V$2:$V$50)</f>
        <v>66119.062464000002</v>
      </c>
      <c r="AE7" s="73" ph="1">
        <f>AE6*20.428</f>
        <v>100199.34000000001</v>
      </c>
    </row>
    <row r="8" spans="1:99" ph="1">
      <c r="B8" s="238" ph="1"/>
      <c r="C8" s="68" t="s" ph="1">
        <v>179</v>
      </c>
      <c r="D8" s="74">
        <v>28</v>
      </c>
      <c r="E8" s="74">
        <v>29</v>
      </c>
      <c r="F8" s="74">
        <v>27</v>
      </c>
      <c r="G8" s="74">
        <v>30</v>
      </c>
      <c r="H8" s="74">
        <v>27</v>
      </c>
      <c r="I8" s="74">
        <v>25</v>
      </c>
      <c r="J8" s="74">
        <v>25</v>
      </c>
      <c r="K8" s="74">
        <v>25</v>
      </c>
      <c r="L8" s="74">
        <v>25</v>
      </c>
      <c r="M8" s="74">
        <v>30</v>
      </c>
      <c r="N8" s="74">
        <v>30</v>
      </c>
      <c r="O8" s="74">
        <v>32</v>
      </c>
      <c r="P8" s="74">
        <v>28</v>
      </c>
      <c r="Q8" s="74">
        <v>32</v>
      </c>
      <c r="R8" s="74">
        <v>34</v>
      </c>
      <c r="S8" s="74">
        <v>26</v>
      </c>
      <c r="T8" s="74">
        <v>25</v>
      </c>
      <c r="U8" s="74">
        <v>28</v>
      </c>
      <c r="V8" s="74">
        <v>28</v>
      </c>
      <c r="W8" s="74">
        <v>28</v>
      </c>
      <c r="X8" s="74">
        <v>27</v>
      </c>
      <c r="Y8" s="74">
        <v>29</v>
      </c>
      <c r="Z8" s="74">
        <v>28</v>
      </c>
      <c r="AA8" s="74">
        <v>30</v>
      </c>
      <c r="AB8" s="74">
        <v>23</v>
      </c>
      <c r="AC8" s="74">
        <v>28</v>
      </c>
      <c r="AD8" s="74">
        <v>27</v>
      </c>
      <c r="AE8" s="74">
        <v>30</v>
      </c>
    </row>
    <row r="9" spans="1:99" ht="26.4" ph="1">
      <c r="B9" s="238" ph="1">
        <v>0.66666666666666663</v>
      </c>
      <c r="C9" s="154" t="s" ph="1">
        <v>180</v>
      </c>
      <c r="D9" s="71">
        <v>7087</v>
      </c>
      <c r="E9" s="71">
        <v>1676</v>
      </c>
      <c r="F9" s="71">
        <v>5947</v>
      </c>
      <c r="G9" s="71">
        <v>7159</v>
      </c>
      <c r="H9" s="71">
        <v>0</v>
      </c>
      <c r="I9" s="71">
        <v>38.72</v>
      </c>
      <c r="J9" s="71">
        <v>77.13</v>
      </c>
      <c r="K9" s="71">
        <v>7.42</v>
      </c>
      <c r="L9" s="71">
        <v>47.61</v>
      </c>
      <c r="M9" s="71">
        <v>4252</v>
      </c>
      <c r="N9" s="71">
        <v>3497</v>
      </c>
      <c r="O9" s="71">
        <v>2791</v>
      </c>
      <c r="P9" s="71">
        <v>2092</v>
      </c>
      <c r="Q9" s="71">
        <v>0</v>
      </c>
      <c r="R9" s="71">
        <v>0</v>
      </c>
      <c r="S9" s="71">
        <v>3087</v>
      </c>
      <c r="T9" s="71">
        <v>7230</v>
      </c>
      <c r="U9" s="71">
        <v>6323</v>
      </c>
      <c r="V9" s="71">
        <v>5411</v>
      </c>
      <c r="W9" s="71">
        <v>4760</v>
      </c>
      <c r="X9" s="71">
        <v>0</v>
      </c>
      <c r="Y9" s="71">
        <v>0</v>
      </c>
      <c r="Z9" s="71">
        <v>2261</v>
      </c>
      <c r="AA9" s="71">
        <v>1304</v>
      </c>
      <c r="AB9" s="71">
        <v>2692</v>
      </c>
      <c r="AC9" s="71">
        <v>4612</v>
      </c>
      <c r="AD9" s="71">
        <v>3381</v>
      </c>
      <c r="AE9" s="71">
        <v>4825</v>
      </c>
    </row>
    <row r="10" spans="1:99" s="72" customFormat="1" ht="22.2" ph="1">
      <c r="B10" s="238" ph="1"/>
      <c r="C10" s="154" t="s" ph="1">
        <v>178</v>
      </c>
      <c r="D10" s="73" ph="1">
        <f>D9*33.183*LOOKUP(D11,密度!$A$2:$A$50,密度!$Q$2:$Q$50)</f>
        <v>221664.57897618</v>
      </c>
      <c r="E10" s="73" ph="1">
        <f>E9*51.53*LOOKUP(E11,密度!$A$2:$A$50,密度!$B$2:$B$50)</f>
        <v>66802.770579999997</v>
      </c>
      <c r="F10" s="73" ph="1">
        <f>F9*33.183*LOOKUP(F11,密度!$A$2:$A$50,密度!$C$2:$C$50)</f>
        <v>217882.32223410002</v>
      </c>
      <c r="G10" s="73" ph="1">
        <f xml:space="preserve"> (G9+2)*51.53*LOOKUP(G11,密度!$A$2:$A$50,密度!$B$2:$B$50)</f>
        <v>285426.39625500003</v>
      </c>
      <c r="H10" s="73" ph="1">
        <f>(H9)*51.53*LOOKUP(H11,密度!$A$2:$A$50,密度!$B$2:$B$50)</f>
        <v>0</v>
      </c>
      <c r="I10" s="73" ph="1">
        <f>I9*290.8*1.0267</f>
        <v>11560.412019199999</v>
      </c>
      <c r="J10" s="73" ph="1">
        <f>J9*290.8*0.7892</f>
        <v>17701.285636799999</v>
      </c>
      <c r="K10" s="73" ph="1">
        <f>K9*290.8*1.1126</f>
        <v>2400.6970735999998</v>
      </c>
      <c r="L10" s="73" ph="1">
        <f>L9*290.8*0.777</f>
        <v>10757.555676000002</v>
      </c>
      <c r="M10" s="73" ph="1">
        <f>M9*33.183*LOOKUP(M11,密度!$A$2:$A$50,密度!$D$2:$D$50)</f>
        <v>143577.37244160002</v>
      </c>
      <c r="N10" s="73" ph="1">
        <f>N9*33.183*LOOKUP(N11,密度!$A$2:$A$50,密度!$E$2:$E$50)</f>
        <v>89968.870129319999</v>
      </c>
      <c r="O10" s="73" ph="1">
        <f>O9*20.428*LOOKUP(O11,密度!$A$2:$A$50,密度!$C$2:$C$50)</f>
        <v>62647.585342400002</v>
      </c>
      <c r="P10" s="73" ph="1">
        <f>P9*51.53*LOOKUP(P11,密度!$A$2:$A$50,密度!$B$2:$B$50)</f>
        <v>83480.908544000005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20358.776730599999</v>
      </c>
      <c r="T10" s="73" ph="1">
        <f>T9*1.5*1.5*3.1416*LOOKUP(T11,密度!$A$2:$A$50,密度!$L$2:$L$50)</f>
        <v>47784.089430000007</v>
      </c>
      <c r="U10" s="73" ph="1">
        <f>U9*1.5*1.5*3.1416*LOOKUP(U11,密度!$A$2:$A$50,密度!$L$2:$L$50)</f>
        <v>41700.2090274</v>
      </c>
      <c r="V10" s="73" ph="1">
        <f>V9*1.5*1.5*3.1416*LOOKUP(V11,密度!$A$2:$A$50,密度!$L$2:$L$50)</f>
        <v>35685.565561800002</v>
      </c>
      <c r="W10" s="73" ph="1">
        <f>W9*1.5*1.5*3.1416*LOOKUP(W11,密度!$A$2:$A$50,密度!$L$2:$L$50)</f>
        <v>31425.864624000002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0</v>
      </c>
      <c r="Z10" s="73" ph="1">
        <f>Z9*33.183*LOOKUP(Z11,密度!$A$2:$A$50,密度!$L$2:$L$50)</f>
        <v>69774.889590000006</v>
      </c>
      <c r="AA10" s="73" ph="1">
        <f>AA9*33.183*LOOKUP(AA11,密度!$A$2:$A$50,密度!$D$2:$D$50)</f>
        <v>43919.691479999994</v>
      </c>
      <c r="AB10" s="73" ph="1">
        <f>AB9*20.428*LOOKUP(AB11,密度!$A$2:$A$50,密度!$D$2:$D$50)</f>
        <v>56410.974140800005</v>
      </c>
      <c r="AC10" s="73" ph="1">
        <f>AC9*51.53*LOOKUP(AC11,密度!$A$2:$A$50,密度!$Q$2:$Q$50)</f>
        <v>223537.19565240003</v>
      </c>
      <c r="AD10" s="73" ph="1">
        <f>AD9*20.428*LOOKUP(AD11,密度!$A$2:$A$50,密度!$V$2:$V$50)</f>
        <v>66138.624316799993</v>
      </c>
      <c r="AE10" s="73" ph="1">
        <f>AE9*20.428</f>
        <v>98565.1</v>
      </c>
    </row>
    <row r="11" spans="1:99" ph="1">
      <c r="A11" s="64" t="s" ph="1">
        <v>162</v>
      </c>
      <c r="B11" s="238" ph="1"/>
      <c r="C11" s="154" t="s" ph="1">
        <v>179</v>
      </c>
      <c r="D11" s="74">
        <v>31</v>
      </c>
      <c r="E11" s="74">
        <v>32</v>
      </c>
      <c r="F11" s="74">
        <v>31</v>
      </c>
      <c r="G11" s="74">
        <v>32</v>
      </c>
      <c r="H11" s="74">
        <v>33</v>
      </c>
      <c r="I11" s="74">
        <v>25</v>
      </c>
      <c r="J11" s="74">
        <v>25</v>
      </c>
      <c r="K11" s="74">
        <v>25</v>
      </c>
      <c r="L11" s="74">
        <v>25</v>
      </c>
      <c r="M11" s="74">
        <v>35</v>
      </c>
      <c r="N11" s="74">
        <v>32</v>
      </c>
      <c r="O11" s="74">
        <v>36</v>
      </c>
      <c r="P11" s="74">
        <v>31</v>
      </c>
      <c r="Q11" s="74">
        <v>41</v>
      </c>
      <c r="R11" s="74">
        <v>40</v>
      </c>
      <c r="S11" s="74">
        <v>29</v>
      </c>
      <c r="T11" s="74">
        <v>27</v>
      </c>
      <c r="U11" s="74">
        <v>29</v>
      </c>
      <c r="V11" s="74">
        <v>29</v>
      </c>
      <c r="W11" s="74">
        <v>28</v>
      </c>
      <c r="X11" s="74">
        <v>28</v>
      </c>
      <c r="Y11" s="74">
        <v>35</v>
      </c>
      <c r="Z11" s="74">
        <v>32</v>
      </c>
      <c r="AA11" s="74">
        <v>38</v>
      </c>
      <c r="AB11" s="74">
        <v>26</v>
      </c>
      <c r="AC11" s="74">
        <v>34</v>
      </c>
      <c r="AD11" s="74">
        <v>33</v>
      </c>
      <c r="AE11" s="74">
        <v>35</v>
      </c>
    </row>
    <row r="12" spans="1:99" ht="9.9" customHeight="1" ph="1"/>
    <row r="13" spans="1:99" s="72" customFormat="1" ht="29.25" customHeight="1" ph="1">
      <c r="B13" s="215" t="s" ph="1">
        <v>37</v>
      </c>
      <c r="C13" s="154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6" ph="1"/>
      <c r="C14" s="67" t="s" ph="1">
        <v>36</v>
      </c>
      <c r="D14" s="77" t="s" ph="1">
        <v>616</v>
      </c>
      <c r="E14" s="77" t="s" ph="1">
        <v>616</v>
      </c>
      <c r="F14" s="144" t="s" ph="1">
        <v>636</v>
      </c>
      <c r="G14" s="77" t="s" ph="1">
        <v>617</v>
      </c>
      <c r="H14" s="77" t="s" ph="1">
        <v>637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638</v>
      </c>
      <c r="P14" s="77" t="s" ph="1">
        <v>622</v>
      </c>
      <c r="Q14" s="77" t="s" ph="1">
        <v>622</v>
      </c>
      <c r="R14" s="88" t="s" ph="1">
        <v>7</v>
      </c>
      <c r="S14" s="77" t="s" ph="1">
        <v>622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17" ph="1">
        <v>0.33333333333333331</v>
      </c>
      <c r="C15" s="154" t="s" ph="1">
        <v>177</v>
      </c>
      <c r="D15" s="78">
        <v>5799</v>
      </c>
      <c r="E15" s="78">
        <v>2532</v>
      </c>
      <c r="F15" s="78">
        <v>2663</v>
      </c>
      <c r="G15" s="78">
        <v>2959</v>
      </c>
      <c r="H15" s="78">
        <v>4363</v>
      </c>
      <c r="I15" s="78">
        <v>3128</v>
      </c>
      <c r="J15" s="78">
        <v>822</v>
      </c>
      <c r="K15" s="78">
        <v>2611</v>
      </c>
      <c r="L15" s="78">
        <v>6005</v>
      </c>
      <c r="M15" s="78">
        <v>6094</v>
      </c>
      <c r="N15" s="78">
        <v>444</v>
      </c>
      <c r="O15" s="78">
        <v>2988</v>
      </c>
      <c r="P15" s="78">
        <v>2271</v>
      </c>
      <c r="Q15" s="78">
        <v>3995</v>
      </c>
      <c r="R15" s="78">
        <v>0</v>
      </c>
      <c r="S15" s="78">
        <v>5100</v>
      </c>
      <c r="T15" s="78">
        <v>1993</v>
      </c>
      <c r="U15" s="78">
        <v>1831</v>
      </c>
      <c r="V15" s="78">
        <v>132</v>
      </c>
      <c r="W15" s="71">
        <v>990</v>
      </c>
      <c r="X15" s="78">
        <v>861</v>
      </c>
      <c r="Y15" s="106">
        <v>-9907</v>
      </c>
      <c r="Z15" s="78">
        <v>0</v>
      </c>
      <c r="AA15" s="78">
        <v>2497</v>
      </c>
      <c r="AB15" s="78" ph="1">
        <v>0</v>
      </c>
      <c r="AC15" s="78" ph="1">
        <v>0</v>
      </c>
      <c r="AD15" s="78">
        <v>5.82</v>
      </c>
      <c r="AE15" s="78">
        <v>44.51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18" ph="1"/>
      <c r="C16" s="154" t="s" ph="1">
        <v>178</v>
      </c>
      <c r="D16" s="73" ph="1">
        <f>D15*7.0686*LOOKUP(D17,密度!$A$2:$A$50,密度!$L$2:$L$50)</f>
        <v>38244.427036200002</v>
      </c>
      <c r="E16" s="73" ph="1">
        <f>E15*7.0686*LOOKUP(E17,密度!$A$2:$A$50,密度!$L$2:$L$50)</f>
        <v>16698.549621599999</v>
      </c>
      <c r="F16" s="73" ph="1">
        <f>F15*9.0746*LOOKUP(F17,密度!$A$2:$A$50,密度!$L$2:$L$50)</f>
        <v>22522.394933600004</v>
      </c>
      <c r="G16" s="73" ph="1">
        <f>G15*9.0746*LOOKUP(G17,密度!$A$2:$A$50,密度!$B$2:$B$50)</f>
        <v>20863.8030678</v>
      </c>
      <c r="H16" s="73" ph="1">
        <f>H15*9.0746*LOOKUP(H17,密度!$A$2:$A$50,密度!$L$2:$L$50)</f>
        <v>37058.561092800002</v>
      </c>
      <c r="I16" s="73" ph="1">
        <f>I15*9.0746*LOOKUP(I17,密度!$A$2:$A$50,密度!$U$2:$U$50)</f>
        <v>28981.441124799996</v>
      </c>
      <c r="J16" s="73" ph="1">
        <f>J15*9.0746*LOOKUP(J17,密度!$A$2:$A$50,密度!$L$2:$L$50)</f>
        <v>6952.087358400001</v>
      </c>
      <c r="K16" s="73" ph="1">
        <f>K15*9.0746*LOOKUP(K17,密度!$A$2:$A$50,密度!$C$2:$C$50)</f>
        <v>26202.951965540004</v>
      </c>
      <c r="L16" s="73" ph="1">
        <f>L15*9.0746*LOOKUP(L17,密度!$A$2:$A$50,密度!$E$2:$E$50)</f>
        <v>42433.678075099997</v>
      </c>
      <c r="M16" s="73" ph="1">
        <f>M15*9.0746*LOOKUP(M17,密度!$A$2:$A$50,密度!$M$2:$M$50)</f>
        <v>48106.002726760002</v>
      </c>
      <c r="N16" s="73" ph="1">
        <f>N15*9.0746*LOOKUP(N17,密度!$A$2:$A$50,密度!$M$2:$M$50)</f>
        <v>3517.8267674399999</v>
      </c>
      <c r="O16" s="73" ph="1">
        <f>O15*9.0746*LOOKUP(O17,密度!$A$2:$A$50,密度!$G$2:$G$50)</f>
        <v>25919.13749832</v>
      </c>
      <c r="P16" s="73" ph="1">
        <f ca="1">P15*9.0746*LOOKUP(P17,密度!$A$2:$A$51,密度!$Q$2:$Q$50)</f>
        <v>19452.902681238</v>
      </c>
      <c r="Q16" s="73" ph="1">
        <f>Q15*9.0746*LOOKUP(Q17,密度!$A$2:$A$50,密度!$Q$2:$Q$50)</f>
        <v>34198.567959910004</v>
      </c>
      <c r="R16" s="73" ph="1">
        <f>MAX(R15*9.0746*LOOKUP(R17,密度!$A$2:$A$50,密度!$B$2:$B$50),0)</f>
        <v>0</v>
      </c>
      <c r="S16" s="73" ph="1">
        <f>S15*9.0746*LOOKUP(S17,密度!$A$2:$A$50,密度!$Q$2:$Q$50)</f>
        <v>43657.746331800001</v>
      </c>
      <c r="T16" s="73" ph="1">
        <f>T15*9.0746*LOOKUP(T17,密度!$A$2:$A$50,密度!$O$2:$O$50)</f>
        <v>16747.337642800001</v>
      </c>
      <c r="U16" s="73" ph="1">
        <f>U15*9.0746*LOOKUP(U17,密度!$A$2:$A$50,密度!$H$2:$H$50)</f>
        <v>15153.4204512</v>
      </c>
      <c r="V16" s="73" ph="1">
        <f>MAX(5600*LOOKUP(V17,密度!$A$2:$A$50,密度!$Q$2:$Q$50)+V15*9.0476*LOOKUP(V17,密度!$A$2:$A$50,密度!$Q$2:$Q$50),0)</f>
        <v>6409.2511710560002</v>
      </c>
      <c r="W16" s="73" ph="1">
        <f>MAX(5600*LOOKUP(W17,密度!$A$2:$A$50,密度!$Q$2:$Q$50)+W15*9.0476*LOOKUP(W17,密度!$A$2:$A$50,密度!$Q$2:$Q$50),0)</f>
        <v>13732.171782919999</v>
      </c>
      <c r="X16" s="73" ph="1">
        <f>MAX(5600*LOOKUP(X17,密度!$A$2:$A$50,密度!$I$2:$I$50)+X15*9.0476*LOOKUP(X17,密度!$A$2:$A$50,密度!$I$2:$I$50),0)</f>
        <v>13896.12498008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17626.65095598</v>
      </c>
      <c r="AB16" s="73" ph="1">
        <f>AB15*9.0746*LOOKUP(AB17,密度!$A$2:$A$50,密度!$L$2:$L$50)</f>
        <v>0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2439.9278409600001</v>
      </c>
      <c r="AE16" s="73" ph="1">
        <f>AE15*268.68*LOOKUP(AE17,密度!$A$2:$A$50,密度!B2:B50)+IF(AE15&lt;=0,0,1566*LOOKUP(AE17,密度!$A$2:$A$50,密度!B2:B50))</f>
        <v>10544.048525279999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19" ph="1"/>
      <c r="C17" s="79" t="s" ph="1">
        <v>179</v>
      </c>
      <c r="D17" s="74">
        <v>29</v>
      </c>
      <c r="E17" s="74">
        <v>29</v>
      </c>
      <c r="F17" s="74">
        <v>30</v>
      </c>
      <c r="G17" s="74">
        <v>28</v>
      </c>
      <c r="H17" s="74">
        <v>26</v>
      </c>
      <c r="I17" s="74">
        <v>29</v>
      </c>
      <c r="J17" s="74">
        <v>30</v>
      </c>
      <c r="K17" s="74">
        <v>29</v>
      </c>
      <c r="L17" s="74">
        <v>29</v>
      </c>
      <c r="M17" s="74">
        <v>30</v>
      </c>
      <c r="N17" s="74">
        <v>27</v>
      </c>
      <c r="O17" s="74">
        <v>29</v>
      </c>
      <c r="P17" s="74">
        <v>29</v>
      </c>
      <c r="Q17" s="74">
        <v>30</v>
      </c>
      <c r="R17" s="74">
        <v>30</v>
      </c>
      <c r="S17" s="74">
        <v>30</v>
      </c>
      <c r="T17" s="74">
        <v>29</v>
      </c>
      <c r="U17" s="74">
        <v>28</v>
      </c>
      <c r="V17" s="74">
        <v>30</v>
      </c>
      <c r="W17" s="74">
        <v>30</v>
      </c>
      <c r="X17" s="74">
        <v>29</v>
      </c>
      <c r="Y17" s="108">
        <v>29</v>
      </c>
      <c r="Z17" s="74">
        <v>28</v>
      </c>
      <c r="AA17" s="74">
        <v>27</v>
      </c>
      <c r="AB17" s="74">
        <v>28</v>
      </c>
      <c r="AC17" s="74">
        <v>27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17" ph="1">
        <v>0.66666666666666663</v>
      </c>
      <c r="C18" s="79" t="s" ph="1">
        <v>180</v>
      </c>
      <c r="D18" s="71">
        <v>5714</v>
      </c>
      <c r="E18" s="71">
        <v>2440</v>
      </c>
      <c r="F18" s="71">
        <v>2664</v>
      </c>
      <c r="G18" s="71">
        <v>3092</v>
      </c>
      <c r="H18" s="71">
        <v>4367</v>
      </c>
      <c r="I18" s="71">
        <v>3130</v>
      </c>
      <c r="J18" s="71">
        <v>822</v>
      </c>
      <c r="K18" s="71">
        <v>3653</v>
      </c>
      <c r="L18" s="71">
        <v>6019</v>
      </c>
      <c r="M18" s="71">
        <v>6106</v>
      </c>
      <c r="N18" s="71">
        <v>443</v>
      </c>
      <c r="O18" s="71">
        <v>2991</v>
      </c>
      <c r="P18" s="71">
        <v>2272</v>
      </c>
      <c r="Q18" s="71">
        <v>3999</v>
      </c>
      <c r="R18" s="71">
        <v>0</v>
      </c>
      <c r="S18" s="71">
        <v>5106</v>
      </c>
      <c r="T18" s="71">
        <v>1992</v>
      </c>
      <c r="U18" s="71">
        <v>1829</v>
      </c>
      <c r="V18" s="71">
        <v>129</v>
      </c>
      <c r="W18" s="71">
        <v>990</v>
      </c>
      <c r="X18" s="71">
        <v>859</v>
      </c>
      <c r="Y18" s="109">
        <v>-9907</v>
      </c>
      <c r="Z18" s="71">
        <v>0</v>
      </c>
      <c r="AA18" s="71">
        <v>2498</v>
      </c>
      <c r="AB18" s="71">
        <v>0</v>
      </c>
      <c r="AC18" s="71">
        <v>0</v>
      </c>
      <c r="AD18" s="71">
        <v>14.41</v>
      </c>
      <c r="AE18" s="71">
        <v>84.72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18" ph="1"/>
      <c r="C19" s="154" t="s" ph="1">
        <v>178</v>
      </c>
      <c r="D19" s="73" ph="1">
        <f>D18*7.0686*LOOKUP(D20,密度!$A$2:$A$50,密度!$L$2:$L$50)</f>
        <v>37562.681772000004</v>
      </c>
      <c r="E19" s="73" ph="1">
        <f>E18*7.0686*LOOKUP(E20,密度!$A$2:$A$50,密度!$L$2:$L$50)</f>
        <v>16022.819735999999</v>
      </c>
      <c r="F19" s="73" ph="1">
        <f>F18*9.0746*LOOKUP(F20,密度!$A$2:$A$50,密度!$L$2:$L$50)</f>
        <v>22555.027195200004</v>
      </c>
      <c r="G19" s="73" ph="1">
        <f>G18*9.0746*LOOKUP(G20,密度!$A$2:$A$50,密度!$B$2:$B$50)</f>
        <v>21753.881578959998</v>
      </c>
      <c r="H19" s="73" ph="1">
        <f>H18*9.0746*LOOKUP(H20,密度!$A$2:$A$50,密度!$L$2:$L$50)</f>
        <v>36973.650060600005</v>
      </c>
      <c r="I19" s="73" ph="1">
        <f>I18*9.0746*LOOKUP(I20,密度!$A$2:$A$50,密度!$U$2:$U$50)</f>
        <v>28715.936477999996</v>
      </c>
      <c r="J19" s="73" ph="1">
        <f>J18*9.0746*LOOKUP(J20,密度!$A$2:$A$50,密度!$L$2:$L$50)</f>
        <v>6884.9534676000003</v>
      </c>
      <c r="K19" s="73" ph="1">
        <f>K18*9.0746*LOOKUP(K20,密度!$A$2:$A$50,密度!$C$2:$C$50)</f>
        <v>36530.764207600005</v>
      </c>
      <c r="L19" s="73" ph="1">
        <f>L18*9.0746*LOOKUP(L20,密度!$A$2:$A$50,密度!$E$2:$E$50)</f>
        <v>42409.712510230005</v>
      </c>
      <c r="M19" s="73" ph="1">
        <f>M18*9.0746*LOOKUP(M20,密度!$A$2:$A$50,密度!$M$2:$M$50)</f>
        <v>48027.298902452007</v>
      </c>
      <c r="N19" s="73" ph="1">
        <f>N18*9.0746*LOOKUP(N20,密度!$A$2:$A$50,密度!$M$2:$M$50)</f>
        <v>3497.0395812200004</v>
      </c>
      <c r="O19" s="73" ph="1">
        <f>O18*9.0746*LOOKUP(O20,密度!$A$2:$A$50,密度!$G$2:$G$50)</f>
        <v>25856.677389504002</v>
      </c>
      <c r="P19" s="73" ph="1">
        <f ca="1">P18*9.0746*LOOKUP(P20,密度!$A$2:$A$51,密度!$Q$2:$Q$50)</f>
        <v>19449.097973696</v>
      </c>
      <c r="Q19" s="73" ph="1">
        <f>Q18*9.0746*LOOKUP(Q20,密度!$A$2:$A$50,密度!$Q$2:$Q$50)</f>
        <v>34157.327532750001</v>
      </c>
      <c r="R19" s="73" ph="1">
        <f>MAX(R18*9.0746*LOOKUP(R20,密度!$A$2:$A$50,密度!$B$2:$B$50),0)</f>
        <v>0</v>
      </c>
      <c r="S19" s="73" ph="1">
        <f>S18*9.0746*LOOKUP(S20,密度!$A$2:$A$50,密度!$Q$2:$Q$50)</f>
        <v>43612.731778499998</v>
      </c>
      <c r="T19" s="73" ph="1">
        <f>T18*9.0746*LOOKUP(T20,密度!$A$2:$A$50,密度!$O$2:$O$50)</f>
        <v>16666.628150400004</v>
      </c>
      <c r="U19" s="73" ph="1">
        <f>U18*9.0746*LOOKUP(U20,密度!$A$2:$A$50,密度!$H$2:$H$50)</f>
        <v>15071.806402672</v>
      </c>
      <c r="V19" s="73" ph="1">
        <f>MAX(5600*LOOKUP(V20,密度!$A$2:$A$50,密度!$Q$2:$Q$50)+V18*9.0476*LOOKUP(V20,密度!$A$2:$A$50,密度!$Q$2:$Q$50),0)</f>
        <v>6360.7059475759997</v>
      </c>
      <c r="W19" s="73" ph="1">
        <f>MAX(5600*LOOKUP(W20,密度!$A$2:$A$50,密度!$Q$2:$Q$50)+W18*9.0476*LOOKUP(W20,密度!$A$2:$A$50,密度!$Q$2:$Q$50),0)</f>
        <v>13682.823132559999</v>
      </c>
      <c r="X19" s="73" ph="1">
        <f>MAX(5600*LOOKUP(X20,密度!$A$2:$A$50,密度!$I$2:$I$50)+X18*9.0476*LOOKUP(X20,密度!$A$2:$A$50,密度!$I$2:$I$50),0)</f>
        <v>13818.509472559999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17515.83466316</v>
      </c>
      <c r="AB19" s="73" ph="1">
        <f>AB18*9.0746*LOOKUP(AB20,密度!$A$2:$A$50,密度!$L$2:$L$50)</f>
        <v>0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4225.0764276</v>
      </c>
      <c r="AE19" s="73" ph="1">
        <f>AE18*268.68*LOOKUP(AE20,密度!$A$2:$A$50,密度!B5:B53)+IF(AE18&lt;=0,0,1566*LOOKUP(AE20,密度!$A$2:$A$50,密度!B5:B53))</f>
        <v>18903.2985792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18" ph="1"/>
      <c r="C20" s="80" t="s" ph="1">
        <v>179</v>
      </c>
      <c r="D20" s="81">
        <v>32</v>
      </c>
      <c r="E20" s="81">
        <v>33</v>
      </c>
      <c r="F20" s="81">
        <v>29</v>
      </c>
      <c r="G20" s="81">
        <v>30</v>
      </c>
      <c r="H20" s="81">
        <v>29</v>
      </c>
      <c r="I20" s="81">
        <v>40</v>
      </c>
      <c r="J20" s="81">
        <v>39</v>
      </c>
      <c r="K20" s="81">
        <v>33</v>
      </c>
      <c r="L20" s="81">
        <v>31</v>
      </c>
      <c r="M20" s="81">
        <v>33</v>
      </c>
      <c r="N20" s="81">
        <v>30</v>
      </c>
      <c r="O20" s="81">
        <v>32</v>
      </c>
      <c r="P20" s="81">
        <v>30</v>
      </c>
      <c r="Q20" s="81">
        <v>33</v>
      </c>
      <c r="R20" s="81">
        <v>32</v>
      </c>
      <c r="S20" s="81">
        <v>33</v>
      </c>
      <c r="T20" s="81">
        <v>32</v>
      </c>
      <c r="U20" s="81">
        <v>32</v>
      </c>
      <c r="V20" s="81">
        <v>35</v>
      </c>
      <c r="W20" s="81">
        <v>35</v>
      </c>
      <c r="X20" s="81">
        <v>33</v>
      </c>
      <c r="Y20" s="110">
        <v>33</v>
      </c>
      <c r="Z20" s="81">
        <v>36</v>
      </c>
      <c r="AA20" s="81">
        <v>33</v>
      </c>
      <c r="AB20" s="81">
        <v>35</v>
      </c>
      <c r="AC20" s="81">
        <v>35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6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6" t="s" ph="1">
        <v>69</v>
      </c>
      <c r="AA22" s="227"/>
      <c r="AB22" s="227"/>
      <c r="AC22" s="227"/>
      <c r="AD22" s="227"/>
      <c r="AE22" s="228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0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610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229" t="s" ph="1">
        <v>645</v>
      </c>
      <c r="AA23" s="230"/>
      <c r="AB23" s="230"/>
      <c r="AC23" s="230"/>
      <c r="AD23" s="230"/>
      <c r="AE23" s="231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38" ph="1">
        <v>0.33333333333333331</v>
      </c>
      <c r="C24" s="154" t="s" ph="1">
        <v>177</v>
      </c>
      <c r="D24" s="71">
        <v>42.53</v>
      </c>
      <c r="E24" s="71">
        <v>5.63</v>
      </c>
      <c r="F24" s="71">
        <v>905</v>
      </c>
      <c r="G24" s="71">
        <v>2986</v>
      </c>
      <c r="H24" s="71">
        <v>3010</v>
      </c>
      <c r="I24" s="71">
        <v>164</v>
      </c>
      <c r="J24" s="71">
        <v>305</v>
      </c>
      <c r="K24" s="71">
        <v>885</v>
      </c>
      <c r="L24" s="71">
        <v>302</v>
      </c>
      <c r="M24" s="71">
        <v>326</v>
      </c>
      <c r="N24" s="71">
        <v>4767</v>
      </c>
      <c r="O24" s="71">
        <v>342</v>
      </c>
      <c r="P24" s="71">
        <v>374</v>
      </c>
      <c r="Q24" s="90">
        <v>1447</v>
      </c>
      <c r="R24" s="71">
        <v>858</v>
      </c>
      <c r="S24" s="71">
        <v>5617</v>
      </c>
      <c r="T24" s="71">
        <v>405</v>
      </c>
      <c r="U24" s="71">
        <v>5350</v>
      </c>
      <c r="V24" s="71">
        <v>740</v>
      </c>
      <c r="W24" s="71">
        <v>3679</v>
      </c>
      <c r="X24" s="71">
        <v>3453</v>
      </c>
      <c r="Y24" s="71">
        <v>33</v>
      </c>
      <c r="Z24" s="232"/>
      <c r="AA24" s="233"/>
      <c r="AB24" s="233"/>
      <c r="AC24" s="233"/>
      <c r="AD24" s="233"/>
      <c r="AE24" s="234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38" ph="1"/>
      <c r="C25" s="68" t="s" ph="1">
        <v>178</v>
      </c>
      <c r="D25" s="91" ph="1">
        <f>D24*268.68*LOOKUP(D26,密度!$A$2:$A$50,密度!$Q$2:$Q$50)+IF(D24&lt;=0,0,1566*LOOKUP(D26,密度!$A$2:$A$50,密度!$Q$2:$Q$50))</f>
        <v>12300.955329095999</v>
      </c>
      <c r="E25" s="91" ph="1">
        <f>E24*268.68*LOOKUP(E26,密度!$A$2:$A$50,密度!$C$2:$C$50)+IF(E24&lt;=0,0,1566*LOOKUP(E26,密度!$A$2:$A$50,密度!$C$2:$C$50))</f>
        <v>3413.93538876</v>
      </c>
      <c r="F25" s="91" ph="1">
        <f>F24*11.702*LOOKUP(F26,密度!$A$2:$A$50,密度!$Q$2:$Q$50)</f>
        <v>10011.231849199999</v>
      </c>
      <c r="G25" s="91" ph="1">
        <f>G24*18.322*LOOKUP(G26,密度!$A$2:$A$50,密度!$B$2:$B$50)</f>
        <v>42558.513826800001</v>
      </c>
      <c r="H25" s="91" ph="1">
        <f>H24*18.322*LOOKUP(H26,密度!$A$2:$A$50,密度!$B$2:$B$50)</f>
        <v>42850.943939999997</v>
      </c>
      <c r="I25" s="91" ph="1">
        <f>I24*18.322*LOOKUP(I26,密度!$A$2:$A$50,密度!$Q$2:$Q$50)</f>
        <v>2840.5050985600001</v>
      </c>
      <c r="J25" s="91" ph="1">
        <f>J24*18.322*LOOKUP(J26,密度!$A$2:$A$50,密度!$Q$2:$Q$50)</f>
        <v>5278.7349302000002</v>
      </c>
      <c r="K25" s="91" ph="1">
        <f>K24*18.322*LOOKUP(K26,密度!$A$2:$A$50,密度!$Q$2:$Q$50)</f>
        <v>15328.3354404</v>
      </c>
      <c r="L25" s="91" ph="1">
        <f>L24*18.322*LOOKUP(L26,密度!$A$2:$A$50,密度!$Q$2:$Q$50)</f>
        <v>5226.8129472800001</v>
      </c>
      <c r="M25" s="91" ph="1">
        <f>M24*18.322*LOOKUP(M26,密度!$A$2:$A$50,密度!$Q$2:$Q$50)</f>
        <v>5646.3698910399999</v>
      </c>
      <c r="N25" s="91" ph="1">
        <f>N24*18.322*LOOKUP(N26,密度!$A$2:$A$50,密度!$Q$2:$Q$50)</f>
        <v>82504.030859880004</v>
      </c>
      <c r="O25" s="91" ph="1">
        <f>O24*18.322*LOOKUP(O26,密度!$A$2:$A$50,密度!$C$2:$C$50)</f>
        <v>6939.1057175999995</v>
      </c>
      <c r="P25" s="91" ph="1">
        <f>P24*11.702*LOOKUP(P26,密度!$A$2:$A$50,密度!$B$2:$B$50)</f>
        <v>3408.0179275999994</v>
      </c>
      <c r="Q25" s="92" ph="1">
        <f>Q24*18.322*LOOKUP(Q26,密度!$A$2:$A$50,密度!$B$2:$B$50)</f>
        <v>20623.633458599998</v>
      </c>
      <c r="R25" s="91" ph="1">
        <f>R24*35.891*LOOKUP(R26,密度!$A$2:$A$50,密度!$C$2:$C$50)</f>
        <v>34077.169354799997</v>
      </c>
      <c r="S25" s="91" ph="1">
        <f>S24*35.891*LOOKUP(S26,密度!$A$2:$A$50,密度!$B$2:$B$50)</f>
        <v>156824.4431913</v>
      </c>
      <c r="T25" s="91" ph="1">
        <f>T24*35.891*LOOKUP(T26,密度!$A$2:$A$50,密度!$Q$2:$Q$50)</f>
        <v>13741.034448599999</v>
      </c>
      <c r="U25" s="91" ph="1">
        <f>U24*35.891</f>
        <v>192016.84999999998</v>
      </c>
      <c r="V25" s="91" ph="1">
        <f>V24*47.051*LOOKUP(V26,密度!$A$2:$A$50,密度!$B$2:$B$50)</f>
        <v>27084.719946000001</v>
      </c>
      <c r="W25" s="91" ph="1">
        <f>W24*47.051*LOOKUP(W26,密度!$A$2:$A$50,密度!$B$2:$B$50)</f>
        <v>134654.97929910003</v>
      </c>
      <c r="X25" s="91" ph="1">
        <f>X24*47.051*LOOKUP(X26,密度!$A$2:$A$61,密度!$I$2:$I$61)</f>
        <v>168429.64568009999</v>
      </c>
      <c r="Y25" s="91" ph="1">
        <f>Y24*47.051*LOOKUP(Y26,密度!$A$2:$A$50,密度!$L$2:$L$50)</f>
        <v>1451.758605</v>
      </c>
      <c r="Z25" s="232"/>
      <c r="AA25" s="233"/>
      <c r="AB25" s="233"/>
      <c r="AC25" s="233"/>
      <c r="AD25" s="233"/>
      <c r="AE25" s="234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38" ph="1"/>
      <c r="C26" s="68" t="s" ph="1">
        <v>179</v>
      </c>
      <c r="D26" s="74">
        <v>25</v>
      </c>
      <c r="E26" s="74">
        <v>25</v>
      </c>
      <c r="F26" s="74">
        <v>27</v>
      </c>
      <c r="G26" s="74">
        <v>27</v>
      </c>
      <c r="H26" s="74">
        <v>28</v>
      </c>
      <c r="I26" s="74">
        <v>27</v>
      </c>
      <c r="J26" s="74">
        <v>28</v>
      </c>
      <c r="K26" s="74">
        <v>27</v>
      </c>
      <c r="L26" s="74">
        <v>28</v>
      </c>
      <c r="M26" s="74">
        <v>27</v>
      </c>
      <c r="N26" s="74">
        <v>28</v>
      </c>
      <c r="O26" s="74">
        <v>27</v>
      </c>
      <c r="P26" s="74">
        <v>26</v>
      </c>
      <c r="Q26" s="93">
        <v>27</v>
      </c>
      <c r="R26" s="74">
        <v>28</v>
      </c>
      <c r="S26" s="74">
        <v>27</v>
      </c>
      <c r="T26" s="74">
        <v>27</v>
      </c>
      <c r="U26" s="74">
        <v>28</v>
      </c>
      <c r="V26" s="74">
        <v>27</v>
      </c>
      <c r="W26" s="74">
        <v>27</v>
      </c>
      <c r="X26" s="74">
        <v>30</v>
      </c>
      <c r="Y26" s="74">
        <v>27</v>
      </c>
      <c r="Z26" s="232"/>
      <c r="AA26" s="233"/>
      <c r="AB26" s="233"/>
      <c r="AC26" s="233"/>
      <c r="AD26" s="233"/>
      <c r="AE26" s="234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38" ph="1">
        <v>0.66666666666666663</v>
      </c>
      <c r="C27" s="154" t="s" ph="1">
        <v>180</v>
      </c>
      <c r="D27" s="71">
        <v>32.21</v>
      </c>
      <c r="E27" s="71">
        <v>5.62</v>
      </c>
      <c r="F27" s="71">
        <v>626</v>
      </c>
      <c r="G27" s="71">
        <v>2565</v>
      </c>
      <c r="H27" s="71">
        <v>2574</v>
      </c>
      <c r="I27" s="71">
        <v>160</v>
      </c>
      <c r="J27" s="71">
        <v>299</v>
      </c>
      <c r="K27" s="71">
        <v>326</v>
      </c>
      <c r="L27" s="71">
        <v>296</v>
      </c>
      <c r="M27" s="71">
        <v>322</v>
      </c>
      <c r="N27" s="71">
        <v>4710</v>
      </c>
      <c r="O27" s="71">
        <v>337</v>
      </c>
      <c r="P27" s="71">
        <v>371</v>
      </c>
      <c r="Q27" s="90">
        <v>1653</v>
      </c>
      <c r="R27" s="71">
        <v>855</v>
      </c>
      <c r="S27" s="71">
        <v>5616</v>
      </c>
      <c r="T27" s="71">
        <v>404</v>
      </c>
      <c r="U27" s="71">
        <v>5283</v>
      </c>
      <c r="V27" s="71">
        <v>736</v>
      </c>
      <c r="W27" s="71">
        <v>3377</v>
      </c>
      <c r="X27" s="71">
        <v>3327</v>
      </c>
      <c r="Y27" s="71">
        <v>28</v>
      </c>
      <c r="Z27" s="232"/>
      <c r="AA27" s="233"/>
      <c r="AB27" s="233"/>
      <c r="AC27" s="233"/>
      <c r="AD27" s="233"/>
      <c r="AE27" s="234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38" ph="1"/>
      <c r="C28" s="154" t="s" ph="1">
        <v>178</v>
      </c>
      <c r="D28" s="91" ph="1">
        <f>D27*268.68*LOOKUP(D29,密度!$A$2:$A$50,密度!$Q$2:$Q$50)+IF(D27&lt;=0,0,1566*LOOKUP(D29,密度!$A$2:$A$50,密度!$Q$2:$Q$50))</f>
        <v>9675.8558640720003</v>
      </c>
      <c r="E28" s="91" ph="1">
        <f>E27*268.68*LOOKUP(E29,密度!$A$2:$A$50,密度!$C$2:$C$50)+IF(E27&lt;=0,0,1566*LOOKUP(E29,密度!$A$2:$A$50,密度!$C$2:$C$50))</f>
        <v>3410.9559962399999</v>
      </c>
      <c r="F28" s="91" ph="1">
        <f>F27*11.702*LOOKUP(F29,密度!$A$2:$A$50,密度!$Q$2:$Q$50)</f>
        <v>6910.3186351600007</v>
      </c>
      <c r="G28" s="91" ph="1">
        <f>G27*18.322*LOOKUP(G29,密度!$A$2:$A$50,密度!$B$2:$B$50)</f>
        <v>36478.240866</v>
      </c>
      <c r="H28" s="91" ph="1">
        <f>H27*18.322*LOOKUP(H29,密度!$A$2:$A$50,密度!$B$2:$B$50)</f>
        <v>36521.345203199999</v>
      </c>
      <c r="I28" s="91" ph="1">
        <f>I27*18.322*LOOKUP(I29,密度!$A$2:$A$50,密度!$Q$2:$Q$50)</f>
        <v>2765.3907616000001</v>
      </c>
      <c r="J28" s="91" ph="1">
        <f>J27*18.322*LOOKUP(J29,密度!$A$2:$A$50,密度!$Q$2:$Q$50)</f>
        <v>5167.8239857399994</v>
      </c>
      <c r="K28" s="91" ph="1">
        <f>K27*18.322*LOOKUP(K29,密度!$A$2:$A$50,密度!$Q$2:$Q$50)</f>
        <v>5630.0039477599994</v>
      </c>
      <c r="L28" s="91" ph="1">
        <f>L27*18.322*LOOKUP(L29,密度!$A$2:$A$50,密度!$Q$2:$Q$50)</f>
        <v>5119.2268961600003</v>
      </c>
      <c r="M28" s="91" ph="1">
        <f>M27*18.322*LOOKUP(M29,密度!$A$2:$A$50,密度!$Q$2:$Q$50)</f>
        <v>5560.9241447199993</v>
      </c>
      <c r="N28" s="91" ph="1">
        <f>N27*18.322*LOOKUP(N29,密度!$A$2:$A$50,密度!$Q$2:$Q$50)</f>
        <v>81406.190544600002</v>
      </c>
      <c r="O28" s="91" ph="1">
        <f>O27*18.322*LOOKUP(O29,密度!$A$2:$A$50,密度!$C$2:$C$50)</f>
        <v>6810.488942</v>
      </c>
      <c r="P28" s="91" ph="1">
        <f>P27*11.702*LOOKUP(P29,密度!$A$2:$A$50,密度!$B$2:$B$50)</f>
        <v>3358.1053870000001</v>
      </c>
      <c r="Q28" s="92" ph="1">
        <f>Q27*18.322*LOOKUP(Q29,密度!$A$2:$A$50,密度!$B$2:$B$50)</f>
        <v>23453.684390399998</v>
      </c>
      <c r="R28" s="91" ph="1">
        <f>R27*35.891*LOOKUP(R29,密度!$A$2:$A$50,密度!$C$2:$C$50)</f>
        <v>33847.545915000002</v>
      </c>
      <c r="S28" s="91" ph="1">
        <f>S27*35.891*LOOKUP(S29,密度!$A$2:$A$50,密度!$B$2:$B$50)</f>
        <v>155909.642616</v>
      </c>
      <c r="T28" s="91" ph="1">
        <f>T27*35.891*LOOKUP(T29,密度!$A$2:$A$50,密度!$Q$2:$Q$50)</f>
        <v>13678.25104012</v>
      </c>
      <c r="U28" s="91" ph="1">
        <f>U27*35.891</f>
        <v>189612.15299999999</v>
      </c>
      <c r="V28" s="91" ph="1">
        <f>V27*47.051*LOOKUP(V29,密度!$A$2:$A$50,密度!$B$2:$B$50)</f>
        <v>26848.279260799998</v>
      </c>
      <c r="W28" s="91" ph="1">
        <f>W27*47.051*LOOKUP(W29,密度!$A$2:$A$50,密度!$B$2:$B$50)</f>
        <v>123045.36618880001</v>
      </c>
      <c r="X28" s="91" ph="1">
        <f>X27*47.051*LOOKUP(X29,密度!$A$2:$A$61,密度!$I$2:$I$61)</f>
        <v>161939.26135650001</v>
      </c>
      <c r="Y28" s="91" ph="1">
        <f>Y27*47.051*LOOKUP(Y29,密度!$A$2:$A$50,密度!$L$2:$L$50)</f>
        <v>1226.5254680000003</v>
      </c>
      <c r="Z28" s="232"/>
      <c r="AA28" s="233"/>
      <c r="AB28" s="233"/>
      <c r="AC28" s="233"/>
      <c r="AD28" s="233"/>
      <c r="AE28" s="234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38" ph="1"/>
      <c r="C29" s="154" t="s" ph="1">
        <v>179</v>
      </c>
      <c r="D29" s="74">
        <v>25</v>
      </c>
      <c r="E29" s="74">
        <v>25</v>
      </c>
      <c r="F29" s="74">
        <v>30</v>
      </c>
      <c r="G29" s="74">
        <v>29</v>
      </c>
      <c r="H29" s="74">
        <v>31</v>
      </c>
      <c r="I29" s="74">
        <v>30</v>
      </c>
      <c r="J29" s="74">
        <v>30</v>
      </c>
      <c r="K29" s="74">
        <v>31</v>
      </c>
      <c r="L29" s="74">
        <v>29</v>
      </c>
      <c r="M29" s="74">
        <v>31</v>
      </c>
      <c r="N29" s="74">
        <v>30</v>
      </c>
      <c r="O29" s="74">
        <v>32</v>
      </c>
      <c r="P29" s="74">
        <v>32</v>
      </c>
      <c r="Q29" s="93">
        <v>31</v>
      </c>
      <c r="R29" s="74">
        <v>32</v>
      </c>
      <c r="S29" s="74">
        <v>32</v>
      </c>
      <c r="T29" s="74">
        <v>30</v>
      </c>
      <c r="U29" s="74">
        <v>32</v>
      </c>
      <c r="V29" s="74">
        <v>30</v>
      </c>
      <c r="W29" s="74">
        <v>31</v>
      </c>
      <c r="X29" s="74">
        <v>32</v>
      </c>
      <c r="Y29" s="74">
        <v>31</v>
      </c>
      <c r="Z29" s="235"/>
      <c r="AA29" s="236"/>
      <c r="AB29" s="236"/>
      <c r="AC29" s="236"/>
      <c r="AD29" s="236"/>
      <c r="AE29" s="237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1" t="s" ph="1">
        <v>35</v>
      </c>
      <c r="C31" s="222" ph="1"/>
      <c r="D31" s="225" t="s" ph="1">
        <v>9</v>
      </c>
      <c r="E31" s="200" ph="1"/>
      <c r="F31" s="201" ph="1"/>
      <c r="G31" s="225" t="s" ph="1">
        <v>18</v>
      </c>
      <c r="H31" s="200" ph="1"/>
      <c r="I31" s="201" ph="1"/>
      <c r="J31" s="199" t="s" ph="1">
        <v>1</v>
      </c>
      <c r="K31" s="200" ph="1"/>
      <c r="L31" s="201" ph="1"/>
      <c r="M31" s="199" t="s" ph="1">
        <v>7</v>
      </c>
      <c r="N31" s="200" ph="1"/>
      <c r="O31" s="201" ph="1"/>
      <c r="P31" s="199" t="s" ph="1">
        <v>41</v>
      </c>
      <c r="Q31" s="200"/>
      <c r="R31" s="201"/>
      <c r="S31" s="199" t="s" ph="1">
        <v>2</v>
      </c>
      <c r="T31" s="200"/>
      <c r="U31" s="201"/>
      <c r="V31" s="199" t="s" ph="1">
        <v>71</v>
      </c>
      <c r="W31" s="200" ph="1"/>
      <c r="X31" s="201" ph="1"/>
      <c r="Y31" s="199" t="s" ph="1">
        <v>3</v>
      </c>
      <c r="Z31" s="200" ph="1"/>
      <c r="AA31" s="201" ph="1"/>
      <c r="AB31" s="202" t="s">
        <v>42</v>
      </c>
      <c r="AC31" s="203"/>
      <c r="AD31" s="203"/>
      <c r="AE31" s="204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3" ph="1"/>
      <c r="C32" s="224" ph="1"/>
      <c r="D32" s="96" t="s" ph="1">
        <v>4</v>
      </c>
      <c r="E32" s="154" t="s" ph="1">
        <v>5</v>
      </c>
      <c r="F32" s="155" t="s" ph="1">
        <v>43</v>
      </c>
      <c r="G32" s="97" t="s" ph="1">
        <v>4</v>
      </c>
      <c r="H32" s="154" t="s" ph="1">
        <v>5</v>
      </c>
      <c r="I32" s="155" t="s" ph="1">
        <v>43</v>
      </c>
      <c r="J32" s="97" t="s" ph="1">
        <v>4</v>
      </c>
      <c r="K32" s="154" t="s" ph="1">
        <v>5</v>
      </c>
      <c r="L32" s="155" t="s" ph="1">
        <v>43</v>
      </c>
      <c r="M32" s="97" t="s" ph="1">
        <v>4</v>
      </c>
      <c r="N32" s="154" t="s" ph="1">
        <v>5</v>
      </c>
      <c r="O32" s="155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4" t="s" ph="1">
        <v>5</v>
      </c>
      <c r="U32" s="99" t="s" ph="1">
        <v>43</v>
      </c>
      <c r="V32" s="97" t="s" ph="1">
        <v>4</v>
      </c>
      <c r="W32" s="154" t="s" ph="1">
        <v>5</v>
      </c>
      <c r="X32" s="99" t="s" ph="1">
        <v>43</v>
      </c>
      <c r="Y32" s="100" t="s" ph="1">
        <v>4</v>
      </c>
      <c r="Z32" s="154" t="s" ph="1">
        <v>5</v>
      </c>
      <c r="AA32" s="155" t="s" ph="1">
        <v>43</v>
      </c>
      <c r="AB32" s="97" t="s" ph="1">
        <v>85</v>
      </c>
      <c r="AC32" s="154" t="s" ph="1">
        <v>84</v>
      </c>
      <c r="AD32" s="205" t="s" ph="1">
        <v>83</v>
      </c>
      <c r="AE32" s="206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7" t="s" ph="1">
        <v>181</v>
      </c>
      <c r="C33" s="208" ph="1"/>
      <c r="D33" s="187" ph="1">
        <f>AA10+AB10+Z19</f>
        <v>100330.66562079999</v>
      </c>
      <c r="E33" s="187" ph="1">
        <f>M10+I10</f>
        <v>155137.78446080003</v>
      </c>
      <c r="F33" s="211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1522252632456786910111213141516171819202123456789101112131415161718192022232424356789101112131415161718192021222345678910111213141516171819202345678910111213149101516171819222123234567891012131415161711181920212224252345678910111213110[[#This Row],[F25]]</f>
        <v>3880</v>
      </c>
      <c r="G33" s="213" ph="1">
        <f>N19</f>
        <v>3497.0395812200004</v>
      </c>
      <c r="H33" s="187" ph="1">
        <f>M19</f>
        <v>48027.298902452007</v>
      </c>
      <c r="I33" s="191" ph="1">
        <v>0</v>
      </c>
      <c r="J33" s="195" ph="1">
        <f>F10+O28</f>
        <v>224692.81117610002</v>
      </c>
      <c r="K33" s="187" ph="1">
        <f>O10+K10+E28+R28</f>
        <v>102306.78432723999</v>
      </c>
      <c r="L33" s="197" ph="1">
        <f>K19</f>
        <v>36530.764207600005</v>
      </c>
      <c r="M33" s="195" ph="1">
        <f>G10+H10+W28+S28+V28+E10+R19+P28+Q28</f>
        <v>684844.24467799999</v>
      </c>
      <c r="N33" s="187" ph="1">
        <f>L10+P10++G28+H28+AD19+AE19</f>
        <v>190366.425296</v>
      </c>
      <c r="O33" s="191" ph="1">
        <f>G19</f>
        <v>21753.881578959998</v>
      </c>
      <c r="P33" s="195" ph="1">
        <f>L19</f>
        <v>42409.712510230005</v>
      </c>
      <c r="Q33" s="187" ph="1">
        <f>J10+N10</f>
        <v>107670.15576612001</v>
      </c>
      <c r="R33" s="191" ph="1">
        <f>BE23</f>
        <v>890</v>
      </c>
      <c r="S33" s="195" ph="1">
        <f>X28</f>
        <v>161939.26135650001</v>
      </c>
      <c r="T33" s="187" ph="1">
        <f>X19</f>
        <v>13818.509472559999</v>
      </c>
      <c r="U33" s="176" ph="1">
        <f>BE21</f>
        <v>730</v>
      </c>
      <c r="V33" s="189" ph="1">
        <f ca="1">P19+Q19+S19+M28+N28+J28+D10+AC10+D19+E19+H19+J19+O19+V19+W19+K28+L28</f>
        <v>788649.41293834615</v>
      </c>
      <c r="W33" s="189" ph="1">
        <f>D28+F28+T28+I28</f>
        <v>33029.816300951999</v>
      </c>
      <c r="X33" s="191" ph="1">
        <f>BE29+BE31</f>
        <v>10200</v>
      </c>
      <c r="Y33" s="193" ph="1">
        <f>+Q10+R10+S10+T10+U10+V10+W10+X10+Y10</f>
        <v>176954.50537380003</v>
      </c>
      <c r="Z33" s="174" ph="1">
        <f>T19+U19+Y28+Z10</f>
        <v>102739.84961107202</v>
      </c>
      <c r="AA33" s="176" ph="1">
        <f>BE19</f>
        <v>1440</v>
      </c>
      <c r="AB33" s="178" ph="1">
        <f>I19</f>
        <v>28715.936477999996</v>
      </c>
      <c r="AC33" s="180" ph="1">
        <f>AD10+AB19</f>
        <v>66138.624316799993</v>
      </c>
      <c r="AD33" s="182" ph="1">
        <v>0</v>
      </c>
      <c r="AE33" s="183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9" ph="1"/>
      <c r="C34" s="210" ph="1"/>
      <c r="D34" s="188" ph="1"/>
      <c r="E34" s="188" ph="1"/>
      <c r="F34" s="212" ph="1"/>
      <c r="G34" s="214" ph="1"/>
      <c r="H34" s="188" ph="1"/>
      <c r="I34" s="192" ph="1"/>
      <c r="J34" s="196" ph="1"/>
      <c r="K34" s="188" ph="1"/>
      <c r="L34" s="198" ph="1"/>
      <c r="M34" s="196" ph="1"/>
      <c r="N34" s="188" ph="1"/>
      <c r="O34" s="192" ph="1"/>
      <c r="P34" s="196" ph="1"/>
      <c r="Q34" s="188" ph="1"/>
      <c r="R34" s="192" ph="1"/>
      <c r="S34" s="196" ph="1"/>
      <c r="T34" s="188"/>
      <c r="U34" s="177"/>
      <c r="V34" s="190" ph="1"/>
      <c r="W34" s="190" ph="1"/>
      <c r="X34" s="192" ph="1"/>
      <c r="Y34" s="194" ph="1"/>
      <c r="Z34" s="175" ph="1"/>
      <c r="AA34" s="177" ph="1"/>
      <c r="AB34" s="179"/>
      <c r="AC34" s="181"/>
      <c r="AD34" s="184"/>
      <c r="AE34" s="185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6" t="s" ph="1">
        <v>631</v>
      </c>
      <c r="AD35" s="186"/>
      <c r="AE35" s="186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2" t="s" ph="1">
        <v>183</v>
      </c>
      <c r="J36" s="172" ph="1"/>
      <c r="K36" s="101" ph="1"/>
      <c r="P36" s="101" ph="1"/>
      <c r="R36" s="172" t="s" ph="1">
        <v>184</v>
      </c>
      <c r="S36" s="172" ph="1"/>
      <c r="Y36" s="102" ph="1"/>
      <c r="Z36" s="156" t="s" ph="1">
        <v>185</v>
      </c>
      <c r="AA36" s="156" ph="1"/>
      <c r="AB36" s="173" t="s" ph="1">
        <v>639</v>
      </c>
      <c r="AC36" s="173" ph="1"/>
      <c r="AD36" s="173" ph="1"/>
      <c r="AE36" s="173" ph="1"/>
      <c r="BA36" s="64" ph="1">
        <v>2270</v>
      </c>
    </row>
    <row r="37" spans="1:57" s="156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6" t="s" ph="1">
        <v>342</v>
      </c>
      <c r="AI37" s="156" t="s" ph="1">
        <v>209</v>
      </c>
      <c r="AJ37" s="156" t="s" ph="1">
        <v>210</v>
      </c>
      <c r="AK37" s="156" t="s" ph="1">
        <v>211</v>
      </c>
      <c r="AM37" s="156" t="s" ph="1">
        <v>210</v>
      </c>
      <c r="AN37" s="156" t="s" ph="1">
        <v>211</v>
      </c>
      <c r="AO37" s="156" t="s" ph="1">
        <v>212</v>
      </c>
      <c r="AP37" s="156" t="s" ph="1">
        <v>210</v>
      </c>
      <c r="AQ37" s="156" t="s" ph="1">
        <v>211</v>
      </c>
      <c r="AR37" s="156" t="s" ph="1">
        <v>212</v>
      </c>
      <c r="AS37" s="156" t="s" ph="1">
        <v>210</v>
      </c>
      <c r="AT37" s="156" t="s" ph="1">
        <v>211</v>
      </c>
      <c r="AU37" s="156" t="s" ph="1">
        <v>212</v>
      </c>
      <c r="AV37" s="156" t="s" ph="1">
        <v>210</v>
      </c>
      <c r="AW37" s="156" t="s" ph="1">
        <v>211</v>
      </c>
      <c r="AX37" s="156" t="s" ph="1">
        <v>212</v>
      </c>
      <c r="AY37" s="156" t="s" ph="1">
        <v>211</v>
      </c>
      <c r="AZ37" s="156" t="s" ph="1">
        <v>213</v>
      </c>
      <c r="BD37" s="156" t="s" ph="1">
        <v>305</v>
      </c>
      <c r="BE37" s="156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P56" s="64" ph="1">
        <v>20260804</v>
      </c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1985" priority="102">
      <formula>ABS(D$7-D$10)&gt;=1000</formula>
    </cfRule>
  </conditionalFormatting>
  <conditionalFormatting sqref="E4 E6:E11">
    <cfRule type="expression" dxfId="1984" priority="101">
      <formula>ABS(E$7-E$10)&gt;=1000</formula>
    </cfRule>
  </conditionalFormatting>
  <conditionalFormatting sqref="F4:F11">
    <cfRule type="expression" dxfId="1983" priority="100">
      <formula>ABS(F$7-F$10)&gt;=1000</formula>
    </cfRule>
  </conditionalFormatting>
  <conditionalFormatting sqref="G4:G11">
    <cfRule type="expression" dxfId="1982" priority="99">
      <formula>ABS(G$7-G$10)&gt;=1000</formula>
    </cfRule>
  </conditionalFormatting>
  <conditionalFormatting sqref="H4:H11">
    <cfRule type="expression" dxfId="1981" priority="98">
      <formula>ABS(H$7-H$10)&gt;=1000</formula>
    </cfRule>
  </conditionalFormatting>
  <conditionalFormatting sqref="I4:I11">
    <cfRule type="expression" dxfId="1980" priority="97">
      <formula>ABS(I$7-I$10)&gt;=1000</formula>
    </cfRule>
  </conditionalFormatting>
  <conditionalFormatting sqref="J4:J11">
    <cfRule type="expression" dxfId="1979" priority="96">
      <formula>ABS(J$7-J$10)&gt;=1000</formula>
    </cfRule>
  </conditionalFormatting>
  <conditionalFormatting sqref="K4:K11">
    <cfRule type="expression" dxfId="1978" priority="95">
      <formula>ABS(K$7-K$10)&gt;=1000</formula>
    </cfRule>
  </conditionalFormatting>
  <conditionalFormatting sqref="L4:L11">
    <cfRule type="expression" dxfId="1977" priority="94">
      <formula>ABS(L$7-L$10)&gt;=1000</formula>
    </cfRule>
  </conditionalFormatting>
  <conditionalFormatting sqref="M4 M6:M11">
    <cfRule type="expression" dxfId="1976" priority="93">
      <formula>ABS(M$7-M$10)&gt;=1000</formula>
    </cfRule>
  </conditionalFormatting>
  <conditionalFormatting sqref="N4 N6:N11">
    <cfRule type="expression" dxfId="1975" priority="92">
      <formula>ABS(N$7-N$10)&gt;=1000</formula>
    </cfRule>
  </conditionalFormatting>
  <conditionalFormatting sqref="O4 O6:O11">
    <cfRule type="expression" dxfId="1974" priority="91">
      <formula>ABS(O$7-O$10)&gt;=1000</formula>
    </cfRule>
  </conditionalFormatting>
  <conditionalFormatting sqref="P4 P6:P11">
    <cfRule type="expression" dxfId="1973" priority="90">
      <formula>ABS(P$7-P$10)&gt;=1000</formula>
    </cfRule>
  </conditionalFormatting>
  <conditionalFormatting sqref="Q4:Q11">
    <cfRule type="expression" dxfId="1972" priority="89">
      <formula>ABS(Q$7-Q$10)&gt;=1000</formula>
    </cfRule>
  </conditionalFormatting>
  <conditionalFormatting sqref="R4:R11">
    <cfRule type="expression" dxfId="1971" priority="88">
      <formula>ABS(R$7-R$10)&gt;=1000</formula>
    </cfRule>
  </conditionalFormatting>
  <conditionalFormatting sqref="S4:S11">
    <cfRule type="expression" dxfId="1970" priority="87">
      <formula>ABS(S$7-S$10)&gt;=1000</formula>
    </cfRule>
  </conditionalFormatting>
  <conditionalFormatting sqref="T4:T9 T11">
    <cfRule type="expression" dxfId="1969" priority="86">
      <formula>ABS(T$7-T$10)&gt;=1000</formula>
    </cfRule>
  </conditionalFormatting>
  <conditionalFormatting sqref="U4:U9 U11">
    <cfRule type="expression" dxfId="1968" priority="85">
      <formula>ABS(U$7-U$10)&gt;=1000</formula>
    </cfRule>
  </conditionalFormatting>
  <conditionalFormatting sqref="V4:V9 V11">
    <cfRule type="expression" dxfId="1967" priority="84">
      <formula>ABS(V$7-V$10)&gt;=1000</formula>
    </cfRule>
  </conditionalFormatting>
  <conditionalFormatting sqref="W4:W9 W11">
    <cfRule type="expression" dxfId="1966" priority="83">
      <formula>ABS(W$7-W$10)&gt;=1000</formula>
    </cfRule>
  </conditionalFormatting>
  <conditionalFormatting sqref="X4:X9 X11">
    <cfRule type="expression" dxfId="1965" priority="82">
      <formula>ABS(X$7-X$10)&gt;=1000</formula>
    </cfRule>
  </conditionalFormatting>
  <conditionalFormatting sqref="Y4:Y9 Y11">
    <cfRule type="expression" dxfId="1964" priority="81">
      <formula>ABS(Y$7-Y$10)&gt;=1000</formula>
    </cfRule>
  </conditionalFormatting>
  <conditionalFormatting sqref="Z4:Z11">
    <cfRule type="expression" dxfId="1963" priority="80">
      <formula>ABS(Z$7-Z$10)&gt;=1000</formula>
    </cfRule>
  </conditionalFormatting>
  <conditionalFormatting sqref="AA4:AA11">
    <cfRule type="expression" dxfId="1962" priority="79">
      <formula>ABS(AA$7-AA$10)&gt;=1000</formula>
    </cfRule>
  </conditionalFormatting>
  <conditionalFormatting sqref="AB4:AB11">
    <cfRule type="expression" dxfId="1961" priority="78">
      <formula>ABS(AB$7-AB$10)&gt;=1000</formula>
    </cfRule>
  </conditionalFormatting>
  <conditionalFormatting sqref="AC4 AC6:AC11">
    <cfRule type="expression" dxfId="1960" priority="77">
      <formula>ABS(AC$7-AC$10)&gt;=1000</formula>
    </cfRule>
  </conditionalFormatting>
  <conditionalFormatting sqref="AD4 AD6:AD11">
    <cfRule type="expression" dxfId="1959" priority="76">
      <formula>ABS(AD$7-AD$10)&gt;=1000</formula>
    </cfRule>
  </conditionalFormatting>
  <conditionalFormatting sqref="AE4 AE6:AE11">
    <cfRule type="expression" dxfId="1958" priority="75">
      <formula>ABS(AE$7-AE$10)&gt;=1000</formula>
    </cfRule>
  </conditionalFormatting>
  <conditionalFormatting sqref="D13:D20">
    <cfRule type="expression" dxfId="1957" priority="74">
      <formula>ABS(D$16-D$19)&gt;=1000</formula>
    </cfRule>
  </conditionalFormatting>
  <conditionalFormatting sqref="E13:E20">
    <cfRule type="expression" dxfId="1956" priority="73">
      <formula>ABS(E$16-E$19)&gt;=1000</formula>
    </cfRule>
  </conditionalFormatting>
  <conditionalFormatting sqref="F13 F15:F20">
    <cfRule type="expression" dxfId="1955" priority="72">
      <formula>ABS(F$16-F$19)&gt;=1000</formula>
    </cfRule>
  </conditionalFormatting>
  <conditionalFormatting sqref="G13:G20">
    <cfRule type="expression" dxfId="1954" priority="71">
      <formula>ABS(G$16-G$19)&gt;=1000</formula>
    </cfRule>
  </conditionalFormatting>
  <conditionalFormatting sqref="H13 H15:H20">
    <cfRule type="expression" dxfId="1953" priority="70">
      <formula>ABS(H$16-H$19)&gt;=1000</formula>
    </cfRule>
  </conditionalFormatting>
  <conditionalFormatting sqref="I13:I20">
    <cfRule type="expression" dxfId="1952" priority="69">
      <formula>ABS(I$16-I$19)&gt;=1000</formula>
    </cfRule>
  </conditionalFormatting>
  <conditionalFormatting sqref="J13:J20">
    <cfRule type="expression" dxfId="1951" priority="68">
      <formula>ABS(J$16-J$19)&gt;=1000</formula>
    </cfRule>
  </conditionalFormatting>
  <conditionalFormatting sqref="L13:L20">
    <cfRule type="expression" dxfId="1950" priority="67">
      <formula>ABS(L$16-L$19)&gt;=1000</formula>
    </cfRule>
  </conditionalFormatting>
  <conditionalFormatting sqref="M13 M15 M17:M18 M20">
    <cfRule type="expression" dxfId="1949" priority="66">
      <formula>ABS(M$16-M$19)&gt;=1000</formula>
    </cfRule>
  </conditionalFormatting>
  <conditionalFormatting sqref="N13:N20">
    <cfRule type="expression" dxfId="1948" priority="65">
      <formula>ABS(N$16-N$19)&gt;=1000</formula>
    </cfRule>
  </conditionalFormatting>
  <conditionalFormatting sqref="O13:O20">
    <cfRule type="expression" dxfId="1947" priority="64">
      <formula>ABS(O$16-O$19)&gt;=1000</formula>
    </cfRule>
  </conditionalFormatting>
  <conditionalFormatting sqref="P13:P20">
    <cfRule type="expression" dxfId="1946" priority="63">
      <formula>ABS(P$16-P$19)&gt;=1000</formula>
    </cfRule>
  </conditionalFormatting>
  <conditionalFormatting sqref="Q13 Q15:Q20">
    <cfRule type="expression" dxfId="1945" priority="62">
      <formula>ABS(Q$16-Q$19)&gt;=1000</formula>
    </cfRule>
  </conditionalFormatting>
  <conditionalFormatting sqref="R13:R20">
    <cfRule type="expression" dxfId="1944" priority="61">
      <formula>ABS(R$16-R$19)&gt;=1000</formula>
    </cfRule>
  </conditionalFormatting>
  <conditionalFormatting sqref="S13:S20">
    <cfRule type="expression" dxfId="1943" priority="60">
      <formula>ABS(S$16-S$19)&gt;=1000</formula>
    </cfRule>
  </conditionalFormatting>
  <conditionalFormatting sqref="T13:T15 T17:T20">
    <cfRule type="expression" dxfId="1942" priority="59">
      <formula>ABS(T$16-T$19)&gt;=1000</formula>
    </cfRule>
  </conditionalFormatting>
  <conditionalFormatting sqref="U13:U20">
    <cfRule type="expression" dxfId="1941" priority="58">
      <formula>ABS(U$16-U$19)&gt;=1000</formula>
    </cfRule>
  </conditionalFormatting>
  <conditionalFormatting sqref="V13:V20">
    <cfRule type="expression" dxfId="1940" priority="57">
      <formula>ABS(V$16-V$19)&gt;=1000</formula>
    </cfRule>
  </conditionalFormatting>
  <conditionalFormatting sqref="W13 W20 W15:W18">
    <cfRule type="expression" dxfId="1939" priority="56">
      <formula>ABS(W$16-W$19)&gt;=1000</formula>
    </cfRule>
  </conditionalFormatting>
  <conditionalFormatting sqref="X13 X15:X20 Y19">
    <cfRule type="expression" dxfId="1938" priority="55">
      <formula>ABS(X$16-X$19)&gt;=1000</formula>
    </cfRule>
  </conditionalFormatting>
  <conditionalFormatting sqref="Y13 Y15:Y18 Y20">
    <cfRule type="expression" dxfId="1937" priority="54">
      <formula>ABS(Y$16-Y$19)&gt;=1000</formula>
    </cfRule>
  </conditionalFormatting>
  <conditionalFormatting sqref="Z13:Z20">
    <cfRule type="expression" dxfId="1936" priority="53">
      <formula>ABS(Z$16-Z$19)&gt;=1000</formula>
    </cfRule>
  </conditionalFormatting>
  <conditionalFormatting sqref="AA13:AA20">
    <cfRule type="expression" dxfId="1935" priority="52">
      <formula>ABS(AA$16-AA$19)&gt;=1000</formula>
    </cfRule>
  </conditionalFormatting>
  <conditionalFormatting sqref="AB13 AB15:AB20">
    <cfRule type="expression" dxfId="1934" priority="51">
      <formula>ABS(AB$16-AB$19)&gt;=1000</formula>
    </cfRule>
  </conditionalFormatting>
  <conditionalFormatting sqref="AC13 AC15:AC20">
    <cfRule type="expression" dxfId="1933" priority="50">
      <formula>ABS(AC$16-AC$19)&gt;=1000</formula>
    </cfRule>
  </conditionalFormatting>
  <conditionalFormatting sqref="AD13:AD20">
    <cfRule type="expression" dxfId="1932" priority="49">
      <formula>ABS(AD$16-AD$19)&gt;=1000</formula>
    </cfRule>
  </conditionalFormatting>
  <conditionalFormatting sqref="AE13:AE20">
    <cfRule type="expression" dxfId="1931" priority="48">
      <formula>ABS(AE$16-AE$19)&gt;=1000</formula>
    </cfRule>
  </conditionalFormatting>
  <conditionalFormatting sqref="D22:D29">
    <cfRule type="expression" dxfId="1930" priority="47">
      <formula>ABS(D$25-D$28)&gt;=1000</formula>
    </cfRule>
  </conditionalFormatting>
  <conditionalFormatting sqref="E22:E29">
    <cfRule type="expression" dxfId="1929" priority="46">
      <formula>ABS(E$25-E$28)&gt;=1000</formula>
    </cfRule>
  </conditionalFormatting>
  <conditionalFormatting sqref="F22:F29">
    <cfRule type="expression" dxfId="1928" priority="45">
      <formula>ABS(F$25-F$28)&gt;=1000</formula>
    </cfRule>
  </conditionalFormatting>
  <conditionalFormatting sqref="G22:G29">
    <cfRule type="expression" dxfId="1927" priority="44">
      <formula>ABS(G$25-G$28)&gt;=1000</formula>
    </cfRule>
  </conditionalFormatting>
  <conditionalFormatting sqref="H22:H29">
    <cfRule type="expression" dxfId="1926" priority="43">
      <formula>ABS(H$25-H$28)&gt;=1000</formula>
    </cfRule>
  </conditionalFormatting>
  <conditionalFormatting sqref="I22 I24:I29">
    <cfRule type="expression" dxfId="1925" priority="42">
      <formula>ABS(I$25-I$28)&gt;=1000</formula>
    </cfRule>
  </conditionalFormatting>
  <conditionalFormatting sqref="J22:J29 K22">
    <cfRule type="expression" dxfId="1924" priority="41">
      <formula>ABS(J$25-J$28)&gt;=1000</formula>
    </cfRule>
  </conditionalFormatting>
  <conditionalFormatting sqref="K23:K29 L25 L28">
    <cfRule type="expression" dxfId="1923" priority="40">
      <formula>ABS(K$25-K$28)&gt;=1000</formula>
    </cfRule>
  </conditionalFormatting>
  <conditionalFormatting sqref="L22 L26:L27 L29 L24">
    <cfRule type="expression" dxfId="1922" priority="39">
      <formula>ABS(L$25-L$28)&gt;=1000</formula>
    </cfRule>
  </conditionalFormatting>
  <conditionalFormatting sqref="M22:M29">
    <cfRule type="expression" dxfId="1921" priority="38">
      <formula>ABS(M$25-M$28)&gt;=1000</formula>
    </cfRule>
  </conditionalFormatting>
  <conditionalFormatting sqref="N22:N29">
    <cfRule type="expression" dxfId="1920" priority="37">
      <formula>ABS(N$25-N$28)&gt;=1000</formula>
    </cfRule>
  </conditionalFormatting>
  <conditionalFormatting sqref="O22 O24:O29">
    <cfRule type="expression" dxfId="1919" priority="36">
      <formula>ABS(O$25-O$28)&gt;=1000</formula>
    </cfRule>
  </conditionalFormatting>
  <conditionalFormatting sqref="P22:P29">
    <cfRule type="expression" dxfId="1918" priority="35">
      <formula>ABS(P$25-P$28)&gt;=1000</formula>
    </cfRule>
  </conditionalFormatting>
  <conditionalFormatting sqref="Q22:Q29">
    <cfRule type="expression" dxfId="1917" priority="34">
      <formula>ABS(Q$25-Q$28)&gt;=1000</formula>
    </cfRule>
  </conditionalFormatting>
  <conditionalFormatting sqref="R22:R29">
    <cfRule type="expression" dxfId="1916" priority="33">
      <formula>ABS(R$25-R$28)&gt;=1000</formula>
    </cfRule>
  </conditionalFormatting>
  <conditionalFormatting sqref="S22:S29">
    <cfRule type="expression" dxfId="1915" priority="32">
      <formula>ABS(S$25-S$28)&gt;=1000</formula>
    </cfRule>
  </conditionalFormatting>
  <conditionalFormatting sqref="T22:T29">
    <cfRule type="expression" dxfId="1914" priority="31">
      <formula>ABS(T$25-T$28)&gt;=1000</formula>
    </cfRule>
  </conditionalFormatting>
  <conditionalFormatting sqref="U22:U29">
    <cfRule type="expression" dxfId="1913" priority="30">
      <formula>ABS(U$25-U$28)&gt;=1000</formula>
    </cfRule>
  </conditionalFormatting>
  <conditionalFormatting sqref="V22:V29">
    <cfRule type="expression" dxfId="1912" priority="29">
      <formula>ABS(V$25-V$28)&gt;=1000</formula>
    </cfRule>
  </conditionalFormatting>
  <conditionalFormatting sqref="W22:W29">
    <cfRule type="expression" dxfId="1911" priority="28">
      <formula>ABS(W$25-W$28)&gt;=1000</formula>
    </cfRule>
  </conditionalFormatting>
  <conditionalFormatting sqref="X22:X29">
    <cfRule type="expression" dxfId="1910" priority="27">
      <formula>ABS(X$25-X$28)&gt;=1000</formula>
    </cfRule>
  </conditionalFormatting>
  <conditionalFormatting sqref="Y22:Y29">
    <cfRule type="expression" dxfId="1909" priority="26">
      <formula>ABS(Y$25-Y$28)&gt;=1000</formula>
    </cfRule>
  </conditionalFormatting>
  <conditionalFormatting sqref="I23">
    <cfRule type="expression" dxfId="1908" priority="25">
      <formula>ABS(I$25-I$28)&gt;=1000</formula>
    </cfRule>
  </conditionalFormatting>
  <conditionalFormatting sqref="Q14">
    <cfRule type="expression" dxfId="1907" priority="24">
      <formula>ABS(Q$16-Q$19)&gt;=1000</formula>
    </cfRule>
  </conditionalFormatting>
  <conditionalFormatting sqref="W14">
    <cfRule type="expression" dxfId="1906" priority="23">
      <formula>ABS(W$16-W$19)&gt;=1000</formula>
    </cfRule>
  </conditionalFormatting>
  <conditionalFormatting sqref="X14">
    <cfRule type="expression" dxfId="1905" priority="22">
      <formula>ABS(X$16-X$19)&gt;=1000</formula>
    </cfRule>
  </conditionalFormatting>
  <conditionalFormatting sqref="T10:Y10">
    <cfRule type="expression" dxfId="1904" priority="21">
      <formula>ABS(T$7-T$10)&gt;=1000</formula>
    </cfRule>
  </conditionalFormatting>
  <conditionalFormatting sqref="W19">
    <cfRule type="expression" dxfId="1903" priority="20">
      <formula>ABS(W$16-W$19)&gt;=1000</formula>
    </cfRule>
  </conditionalFormatting>
  <conditionalFormatting sqref="AC5">
    <cfRule type="expression" dxfId="1902" priority="19">
      <formula>ABS(AC$7-AC$10)&gt;=1000</formula>
    </cfRule>
  </conditionalFormatting>
  <conditionalFormatting sqref="M14">
    <cfRule type="expression" dxfId="1901" priority="18">
      <formula>ABS(M$16-M$19)&gt;=1000</formula>
    </cfRule>
  </conditionalFormatting>
  <conditionalFormatting sqref="M16">
    <cfRule type="expression" dxfId="1900" priority="17">
      <formula>ABS(M$16-M$19)&gt;=1000</formula>
    </cfRule>
  </conditionalFormatting>
  <conditionalFormatting sqref="M19">
    <cfRule type="expression" dxfId="1899" priority="16">
      <formula>ABS(M$16-M$19)&gt;=1000</formula>
    </cfRule>
  </conditionalFormatting>
  <conditionalFormatting sqref="K13:K20">
    <cfRule type="expression" dxfId="1898" priority="15">
      <formula>ABS(K$16-K$19)&gt;=1000</formula>
    </cfRule>
  </conditionalFormatting>
  <conditionalFormatting sqref="E5">
    <cfRule type="expression" dxfId="1897" priority="14">
      <formula>ABS(E$7-E$10)&gt;=1000</formula>
    </cfRule>
  </conditionalFormatting>
  <conditionalFormatting sqref="AB14:AC14">
    <cfRule type="expression" dxfId="1896" priority="13">
      <formula>ABS(AB$16-AB$19)&gt;=1000</formula>
    </cfRule>
  </conditionalFormatting>
  <conditionalFormatting sqref="M5">
    <cfRule type="expression" dxfId="1895" priority="12">
      <formula>ABS(M$7-M$10)&gt;=1000</formula>
    </cfRule>
  </conditionalFormatting>
  <conditionalFormatting sqref="N5">
    <cfRule type="expression" dxfId="1894" priority="11">
      <formula>ABS(N$7-N$10)&gt;=1000</formula>
    </cfRule>
  </conditionalFormatting>
  <conditionalFormatting sqref="O5">
    <cfRule type="expression" dxfId="1893" priority="10">
      <formula>ABS(O$7-O$10)&gt;=1000</formula>
    </cfRule>
  </conditionalFormatting>
  <conditionalFormatting sqref="P5">
    <cfRule type="expression" dxfId="1892" priority="9">
      <formula>ABS(P$7-P$10)&gt;=1000</formula>
    </cfRule>
  </conditionalFormatting>
  <conditionalFormatting sqref="L23">
    <cfRule type="expression" dxfId="1891" priority="8">
      <formula>ABS(L$25-L$28)&gt;=1000</formula>
    </cfRule>
  </conditionalFormatting>
  <conditionalFormatting sqref="Y14">
    <cfRule type="expression" dxfId="1890" priority="7">
      <formula>ABS(Y$16-Y$19)&gt;=1000</formula>
    </cfRule>
  </conditionalFormatting>
  <conditionalFormatting sqref="F14">
    <cfRule type="expression" dxfId="1889" priority="6">
      <formula>ABS(F$16-F$19)&gt;=1000</formula>
    </cfRule>
  </conditionalFormatting>
  <conditionalFormatting sqref="H14">
    <cfRule type="expression" dxfId="1888" priority="5">
      <formula>ABS(H$16-H$19)&gt;=1000</formula>
    </cfRule>
  </conditionalFormatting>
  <conditionalFormatting sqref="AD5">
    <cfRule type="expression" dxfId="1887" priority="4">
      <formula>ABS(AD$7-AD$10)&gt;=1000</formula>
    </cfRule>
  </conditionalFormatting>
  <conditionalFormatting sqref="AE5">
    <cfRule type="expression" dxfId="1886" priority="3">
      <formula>ABS(AE$7-AE$10)&gt;=1000</formula>
    </cfRule>
  </conditionalFormatting>
  <conditionalFormatting sqref="T16">
    <cfRule type="expression" dxfId="1885" priority="2">
      <formula>ABS(T$16-T$19)&gt;=1000</formula>
    </cfRule>
  </conditionalFormatting>
  <conditionalFormatting sqref="O23">
    <cfRule type="expression" dxfId="1884" priority="1">
      <formula>ABS(O$25-O$28)&gt;=1000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33761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952">
    <pageSetUpPr fitToPage="1"/>
  </sheetPr>
  <dimension ref="A1:CU223"/>
  <sheetViews>
    <sheetView view="pageBreakPreview" topLeftCell="A18" zoomScale="85" zoomScaleNormal="100" zoomScaleSheetLayoutView="85" workbookViewId="0">
      <selection activeCell="R42" sqref="R42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39" t="s" ph="1">
        <v>161</v>
      </c>
      <c r="C1" s="239" ph="1"/>
      <c r="D1" s="239" ph="1"/>
      <c r="E1" s="239" ph="1"/>
      <c r="F1" s="239" ph="1"/>
      <c r="G1" s="239" ph="1"/>
      <c r="H1" s="239" ph="1"/>
      <c r="I1" s="239" ph="1"/>
      <c r="J1" s="239" ph="1"/>
      <c r="K1" s="239" ph="1"/>
      <c r="L1" s="239" ph="1"/>
      <c r="M1" s="239" ph="1"/>
      <c r="N1" s="239" ph="1"/>
      <c r="O1" s="239" ph="1"/>
      <c r="P1" s="239" ph="1"/>
      <c r="Q1" s="239" ph="1"/>
      <c r="R1" s="239" ph="1"/>
      <c r="S1" s="239" ph="1"/>
      <c r="T1" s="239" ph="1"/>
      <c r="U1" s="239" ph="1"/>
      <c r="V1" s="239" ph="1"/>
      <c r="W1" s="239" ph="1"/>
      <c r="X1" s="239" ph="1"/>
      <c r="Y1" s="239" ph="1"/>
      <c r="Z1" s="239" ph="1"/>
      <c r="AA1" s="239" ph="1"/>
      <c r="AB1" s="239" ph="1"/>
      <c r="AC1" s="239" ph="1"/>
      <c r="AD1" s="239" ph="1"/>
      <c r="AE1" s="239" ph="1"/>
    </row>
    <row r="2" spans="1:99" s="66" customFormat="1" ht="24" customHeight="1" ph="1">
      <c r="B2" s="240" t="s" ph="1">
        <v>82</v>
      </c>
      <c r="C2" s="240" ph="1"/>
      <c r="D2" s="240" ph="1"/>
      <c r="E2" s="240" ph="1"/>
      <c r="F2" s="240" ph="1"/>
      <c r="G2" s="240" ph="1"/>
      <c r="H2" s="240" ph="1"/>
      <c r="I2" s="240" ph="1"/>
      <c r="J2" s="240" ph="1"/>
      <c r="K2" s="240" ph="1"/>
      <c r="L2" s="240" ph="1"/>
      <c r="M2" s="240" ph="1"/>
      <c r="N2" s="240" ph="1"/>
      <c r="O2" s="240" ph="1"/>
      <c r="P2" s="240" ph="1"/>
      <c r="Q2" s="240" ph="1"/>
      <c r="R2" s="240" ph="1"/>
      <c r="S2" s="240" ph="1"/>
      <c r="T2" s="240" ph="1"/>
      <c r="U2" s="240" ph="1"/>
      <c r="V2" s="240" ph="1"/>
      <c r="W2" s="240" ph="1"/>
      <c r="X2" s="240" ph="1"/>
      <c r="Y2" s="240" ph="1"/>
      <c r="Z2" s="240" ph="1"/>
      <c r="AA2" s="240" ph="1"/>
      <c r="AB2" s="240" ph="1"/>
      <c r="AC2" s="240" ph="1"/>
      <c r="AD2" s="240" ph="1"/>
      <c r="AE2" s="240" ph="1"/>
    </row>
    <row r="3" spans="1:99" ht="21" customHeight="1" ph="1">
      <c r="B3" s="241" ph="1">
        <v>46246</v>
      </c>
      <c r="C3" s="241"/>
      <c r="D3" s="241"/>
      <c r="E3" s="241"/>
      <c r="F3" s="241"/>
      <c r="G3" s="241"/>
      <c r="H3" s="241"/>
      <c r="I3" s="241"/>
      <c r="J3" s="241"/>
      <c r="K3" s="241"/>
      <c r="L3" s="241"/>
      <c r="M3" s="241"/>
      <c r="N3" s="241"/>
      <c r="O3" s="241"/>
      <c r="P3" s="241"/>
      <c r="Q3" s="241"/>
      <c r="R3" s="241"/>
      <c r="S3" s="241"/>
      <c r="T3" s="241"/>
      <c r="U3" s="241"/>
      <c r="V3" s="241"/>
      <c r="W3" s="241"/>
      <c r="X3" s="241"/>
      <c r="Y3" s="241"/>
      <c r="Z3" s="241"/>
      <c r="AA3" s="241"/>
      <c r="AB3" s="241"/>
      <c r="AC3" s="241"/>
      <c r="AD3" s="241"/>
      <c r="AE3" s="241"/>
    </row>
    <row r="4" spans="1:99" s="69" customFormat="1" ph="1">
      <c r="A4" s="65" ph="1"/>
      <c r="B4" s="220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0" ph="1"/>
      <c r="C5" s="67" t="s" ph="1">
        <v>36</v>
      </c>
      <c r="D5" s="70" t="s" ph="1">
        <v>160</v>
      </c>
      <c r="E5" s="142" t="s" ph="1">
        <v>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8" ph="1">
        <v>0.33333333333333331</v>
      </c>
      <c r="C6" s="157" t="s" ph="1">
        <v>177</v>
      </c>
      <c r="D6" s="71">
        <v>7084</v>
      </c>
      <c r="E6" s="71">
        <v>1677</v>
      </c>
      <c r="F6" s="71">
        <v>5946</v>
      </c>
      <c r="G6" s="71">
        <v>7157</v>
      </c>
      <c r="H6" s="71">
        <v>0</v>
      </c>
      <c r="I6" s="71">
        <v>38.71</v>
      </c>
      <c r="J6" s="71">
        <v>77.02</v>
      </c>
      <c r="K6" s="71">
        <v>7.42</v>
      </c>
      <c r="L6" s="71">
        <v>6.31</v>
      </c>
      <c r="M6" s="71">
        <v>4252</v>
      </c>
      <c r="N6" s="71">
        <v>3495</v>
      </c>
      <c r="O6" s="71">
        <v>2791</v>
      </c>
      <c r="P6" s="71">
        <v>2321</v>
      </c>
      <c r="Q6" s="71">
        <v>0</v>
      </c>
      <c r="R6" s="71">
        <v>0</v>
      </c>
      <c r="S6" s="71">
        <v>0</v>
      </c>
      <c r="T6" s="71">
        <v>7220</v>
      </c>
      <c r="U6" s="71">
        <v>6323</v>
      </c>
      <c r="V6" s="71">
        <v>5411</v>
      </c>
      <c r="W6" s="71">
        <v>4763</v>
      </c>
      <c r="X6" s="71">
        <v>0</v>
      </c>
      <c r="Y6" s="71">
        <v>0</v>
      </c>
      <c r="Z6" s="71">
        <v>2967</v>
      </c>
      <c r="AA6" s="71">
        <v>1305</v>
      </c>
      <c r="AB6" s="71">
        <v>2693</v>
      </c>
      <c r="AC6" s="71">
        <v>4721</v>
      </c>
      <c r="AD6" s="71">
        <v>3383</v>
      </c>
      <c r="AE6" s="71">
        <v>4831</v>
      </c>
    </row>
    <row r="7" spans="1:99" s="72" customFormat="1" ht="22.2" ph="1">
      <c r="B7" s="238" ph="1"/>
      <c r="C7" s="68" t="s" ph="1">
        <v>178</v>
      </c>
      <c r="D7" s="73" ph="1">
        <f>D6*33.183*LOOKUP(D8,密度!$A$2:$A$50,密度!$Q$2:$Q$50)</f>
        <v>222050.28555864</v>
      </c>
      <c r="E7" s="73" ph="1">
        <f>E6*51.53*LOOKUP(E8,密度!$A$2:$A$50,密度!$B$2:$B$50)</f>
        <v>67075.951721999998</v>
      </c>
      <c r="F7" s="73" ph="1">
        <f>F6*33.183*LOOKUP(F8,密度!$A$2:$A$50,密度!$C$2:$C$50)</f>
        <v>218496.79507319999</v>
      </c>
      <c r="G7" s="73" ph="1">
        <f xml:space="preserve"> (G6+2)*51.53*LOOKUP(G8,密度!$A$2:$A$50,密度!$B$2:$B$50)</f>
        <v>286010.70523100003</v>
      </c>
      <c r="H7" s="73" ph="1">
        <f>(H6)*51.53*LOOKUP(H8,密度!$A$2:$A$50,密度!$B$2:$B$50)</f>
        <v>0</v>
      </c>
      <c r="I7" s="73" ph="1">
        <f>I6*290.8*1.0267</f>
        <v>11557.4263756</v>
      </c>
      <c r="J7" s="73" ph="1">
        <f>J6*290.8*0.7892</f>
        <v>17676.040707200002</v>
      </c>
      <c r="K7" s="73" ph="1">
        <f>K6*290.8*1.1126</f>
        <v>2400.6970735999998</v>
      </c>
      <c r="L7" s="73" ph="1">
        <f>L6*290.8*0.777</f>
        <v>1425.754596</v>
      </c>
      <c r="M7" s="73" ph="1">
        <f>M6*33.183*LOOKUP(M8,密度!$A$2:$A$50,密度!$D$2:$D$50)</f>
        <v>144198.186552</v>
      </c>
      <c r="N7" s="73" ph="1">
        <f>N6*33.183*LOOKUP(N8,密度!$A$2:$A$50,密度!$E$2:$E$50)</f>
        <v>90181.837295999998</v>
      </c>
      <c r="O7" s="73" ph="1">
        <f>O6*20.428*LOOKUP(O8,密度!$A$2:$A$50,密度!$C$2:$C$50)</f>
        <v>62887.046444</v>
      </c>
      <c r="P7" s="73" ph="1">
        <f>P6*51.53*LOOKUP(P8,密度!$A$2:$A$50,密度!$B$2:$B$50)</f>
        <v>92930.078010000012</v>
      </c>
      <c r="Q7" s="73" ph="1">
        <f>Q6*1.5*1.5*3.1416*LOOKUP(W8,密度!$A$2:$A$50,密度!$L$2:$L$50)</f>
        <v>0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47820.068604000007</v>
      </c>
      <c r="U7" s="73" ph="1">
        <f>U6*1.5*1.5*3.1416*LOOKUP(U8,密度!$A$2:$A$50,密度!$L$2:$L$50)</f>
        <v>41744.903785200004</v>
      </c>
      <c r="V7" s="73" ph="1">
        <f>V6*1.5*1.5*3.1416*LOOKUP(V8,密度!$A$2:$A$50,密度!$L$2:$L$50)</f>
        <v>35723.813756400006</v>
      </c>
      <c r="W7" s="73" ph="1">
        <f>W6*1.5*1.5*3.1416*LOOKUP(W8,密度!$A$2:$A$50,密度!$L$2:$L$50)</f>
        <v>31445.670841199997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91955.999574000001</v>
      </c>
      <c r="AA7" s="73" ph="1">
        <f>AA6*33.183*LOOKUP(AA8,密度!$A$2:$A$50,密度!$D$2:$D$50)</f>
        <v>44256.498930000002</v>
      </c>
      <c r="AB7" s="73" ph="1">
        <f>AB6*20.428*LOOKUP(AB8,密度!$A$2:$A$50,密度!$D$2:$D$50)</f>
        <v>56585.964474399996</v>
      </c>
      <c r="AC7" s="73" ph="1">
        <f>AC6*51.53*LOOKUP(AC8,密度!$A$2:$A$50,密度!$Q$2:$Q$50)</f>
        <v>229800.66406060001</v>
      </c>
      <c r="AD7" s="73" ph="1">
        <f>AD6*20.428*LOOKUP(AD8,密度!$A$2:$A$50,密度!$V$2:$V$50)</f>
        <v>66177.748022400003</v>
      </c>
      <c r="AE7" s="73" ph="1">
        <f>AE6*20.428</f>
        <v>98687.668000000005</v>
      </c>
    </row>
    <row r="8" spans="1:99" ph="1">
      <c r="B8" s="238" ph="1"/>
      <c r="C8" s="68" t="s" ph="1">
        <v>179</v>
      </c>
      <c r="D8" s="74">
        <v>28</v>
      </c>
      <c r="E8" s="74">
        <v>29</v>
      </c>
      <c r="F8" s="74">
        <v>27</v>
      </c>
      <c r="G8" s="74">
        <v>30</v>
      </c>
      <c r="H8" s="74">
        <v>27</v>
      </c>
      <c r="I8" s="74">
        <v>25</v>
      </c>
      <c r="J8" s="74">
        <v>25</v>
      </c>
      <c r="K8" s="74">
        <v>25</v>
      </c>
      <c r="L8" s="74">
        <v>25</v>
      </c>
      <c r="M8" s="74">
        <v>30</v>
      </c>
      <c r="N8" s="74">
        <v>30</v>
      </c>
      <c r="O8" s="74">
        <v>32</v>
      </c>
      <c r="P8" s="74">
        <v>28</v>
      </c>
      <c r="Q8" s="74">
        <v>32</v>
      </c>
      <c r="R8" s="74">
        <v>34</v>
      </c>
      <c r="S8" s="74">
        <v>26</v>
      </c>
      <c r="T8" s="74">
        <v>25</v>
      </c>
      <c r="U8" s="74">
        <v>28</v>
      </c>
      <c r="V8" s="74">
        <v>28</v>
      </c>
      <c r="W8" s="74">
        <v>28</v>
      </c>
      <c r="X8" s="74">
        <v>27</v>
      </c>
      <c r="Y8" s="74">
        <v>29</v>
      </c>
      <c r="Z8" s="74">
        <v>28</v>
      </c>
      <c r="AA8" s="74">
        <v>30</v>
      </c>
      <c r="AB8" s="74">
        <v>23</v>
      </c>
      <c r="AC8" s="74">
        <v>28</v>
      </c>
      <c r="AD8" s="74">
        <v>27</v>
      </c>
      <c r="AE8" s="74">
        <v>30</v>
      </c>
    </row>
    <row r="9" spans="1:99" ht="26.4" ph="1">
      <c r="B9" s="238" ph="1">
        <v>0.66666666666666663</v>
      </c>
      <c r="C9" s="157" t="s" ph="1">
        <v>180</v>
      </c>
      <c r="D9" s="71">
        <v>7088</v>
      </c>
      <c r="E9" s="71">
        <v>1995</v>
      </c>
      <c r="F9" s="71">
        <v>5948</v>
      </c>
      <c r="G9" s="71">
        <v>7161</v>
      </c>
      <c r="H9" s="71">
        <v>898</v>
      </c>
      <c r="I9" s="71">
        <v>21.71</v>
      </c>
      <c r="J9" s="71">
        <v>77.12</v>
      </c>
      <c r="K9" s="71">
        <v>7.42</v>
      </c>
      <c r="L9" s="71">
        <v>32.11</v>
      </c>
      <c r="M9" s="71">
        <v>4254</v>
      </c>
      <c r="N9" s="71">
        <v>3497</v>
      </c>
      <c r="O9" s="71">
        <v>2791</v>
      </c>
      <c r="P9" s="71">
        <v>2415</v>
      </c>
      <c r="Q9" s="71">
        <v>0</v>
      </c>
      <c r="R9" s="71">
        <v>0</v>
      </c>
      <c r="S9" s="71">
        <v>0</v>
      </c>
      <c r="T9" s="71">
        <v>7225</v>
      </c>
      <c r="U9" s="71">
        <v>6327</v>
      </c>
      <c r="V9" s="71">
        <v>5416</v>
      </c>
      <c r="W9" s="71">
        <v>7083</v>
      </c>
      <c r="X9" s="71">
        <v>3322</v>
      </c>
      <c r="Y9" s="71">
        <v>0</v>
      </c>
      <c r="Z9" s="71">
        <v>1430</v>
      </c>
      <c r="AA9" s="71">
        <v>1305</v>
      </c>
      <c r="AB9" s="71">
        <v>2571</v>
      </c>
      <c r="AC9" s="71">
        <v>4766</v>
      </c>
      <c r="AD9" s="71">
        <v>3383</v>
      </c>
      <c r="AE9" s="71">
        <v>4968</v>
      </c>
    </row>
    <row r="10" spans="1:99" s="72" customFormat="1" ht="22.2" ph="1">
      <c r="B10" s="238" ph="1"/>
      <c r="C10" s="157" t="s" ph="1">
        <v>178</v>
      </c>
      <c r="D10" s="73" ph="1">
        <f>D9*33.183*LOOKUP(D11,密度!$A$2:$A$50,密度!$Q$2:$Q$50)</f>
        <v>221872.25743631998</v>
      </c>
      <c r="E10" s="73" ph="1">
        <f>E9*51.53*LOOKUP(E11,密度!$A$2:$A$50,密度!$B$2:$B$50)</f>
        <v>79702.661955000003</v>
      </c>
      <c r="F10" s="73" ph="1">
        <f>F9*33.183*LOOKUP(F11,密度!$A$2:$A$50,密度!$C$2:$C$50)</f>
        <v>218274.23005560003</v>
      </c>
      <c r="G10" s="73" ph="1">
        <f xml:space="preserve"> (G9+2)*51.53*LOOKUP(G11,密度!$A$2:$A$50,密度!$B$2:$B$50)</f>
        <v>285210.82565300004</v>
      </c>
      <c r="H10" s="73" ph="1">
        <f>(H9)*51.53*LOOKUP(H11,密度!$A$2:$A$50,密度!$B$2:$B$50)</f>
        <v>35755.873438000002</v>
      </c>
      <c r="I10" s="73" ph="1">
        <f>I9*290.8*1.0267</f>
        <v>6481.8322556000003</v>
      </c>
      <c r="J10" s="73" ph="1">
        <f>J9*290.8*0.7892</f>
        <v>17698.990643200003</v>
      </c>
      <c r="K10" s="73" ph="1">
        <f>K9*290.8*1.1126</f>
        <v>2400.6970735999998</v>
      </c>
      <c r="L10" s="73" ph="1">
        <f>L9*290.8*0.777</f>
        <v>7255.3058760000004</v>
      </c>
      <c r="M10" s="73" ph="1">
        <f>M9*33.183*LOOKUP(M11,密度!$A$2:$A$50,密度!$D$2:$D$50)</f>
        <v>143898.99535079999</v>
      </c>
      <c r="N10" s="73" ph="1">
        <f>N9*33.183*LOOKUP(N11,密度!$A$2:$A$50,密度!$E$2:$E$50)</f>
        <v>89837.743854690008</v>
      </c>
      <c r="O10" s="73" ph="1">
        <f>O9*20.428*LOOKUP(O11,密度!$A$2:$A$50,密度!$C$2:$C$50)</f>
        <v>62767.315893200001</v>
      </c>
      <c r="P10" s="73" ph="1">
        <f>P9*51.53*LOOKUP(P11,密度!$A$2:$A$50,密度!$B$2:$B$50)</f>
        <v>96158.612865000003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47802.114360000007</v>
      </c>
      <c r="U10" s="73" ph="1">
        <f>U9*1.5*1.5*3.1416*LOOKUP(U11,密度!$A$2:$A$50,密度!$L$2:$L$50)</f>
        <v>41726.589042600004</v>
      </c>
      <c r="V10" s="73" ph="1">
        <f>V9*1.5*1.5*3.1416*LOOKUP(V11,密度!$A$2:$A$50,密度!$L$2:$L$50)</f>
        <v>35756.8241184</v>
      </c>
      <c r="W10" s="73" ph="1">
        <f>W9*1.5*1.5*3.1416*LOOKUP(W11,密度!$A$2:$A$50,密度!$L$2:$L$50)</f>
        <v>46712.4119154</v>
      </c>
      <c r="X10" s="73" ph="1">
        <f>X9*1.5*1.5*3.1416*LOOKUP(X11,密度!$A$2:$A$50,密度!$L$2:$L$50)</f>
        <v>21932.0845128</v>
      </c>
      <c r="Y10" s="73" ph="1">
        <f>Y9*1.5*1.5*3.1416*LOOKUP(Y11,密度!$A$2:$A$50,密度!$L$2:$L$50)</f>
        <v>0</v>
      </c>
      <c r="Z10" s="73" ph="1">
        <f>Z9*33.183*LOOKUP(Z11,密度!$A$2:$A$50,密度!$L$2:$L$50)</f>
        <v>44224.975080000004</v>
      </c>
      <c r="AA10" s="73" ph="1">
        <f>AA9*33.183*LOOKUP(AA11,密度!$A$2:$A$50,密度!$D$2:$D$50)</f>
        <v>43953.372224999999</v>
      </c>
      <c r="AB10" s="73" ph="1">
        <f>AB9*20.428*LOOKUP(AB11,密度!$A$2:$A$50,密度!$D$2:$D$50)</f>
        <v>53922.682359599996</v>
      </c>
      <c r="AC10" s="73" ph="1">
        <f>AC9*51.53*LOOKUP(AC11,密度!$A$2:$A$50,密度!$Q$2:$Q$50)</f>
        <v>231821.63768140003</v>
      </c>
      <c r="AD10" s="73" ph="1">
        <f>AD9*20.428*LOOKUP(AD11,密度!$A$2:$A$50,密度!$V$2:$V$50)</f>
        <v>66177.748022400003</v>
      </c>
      <c r="AE10" s="73" ph="1">
        <f>AE9*20.428</f>
        <v>101486.304</v>
      </c>
    </row>
    <row r="11" spans="1:99" ph="1">
      <c r="A11" s="64" t="s" ph="1">
        <v>162</v>
      </c>
      <c r="B11" s="238" ph="1"/>
      <c r="C11" s="157" t="s" ph="1">
        <v>179</v>
      </c>
      <c r="D11" s="74">
        <v>30</v>
      </c>
      <c r="E11" s="74">
        <v>30</v>
      </c>
      <c r="F11" s="74">
        <v>29</v>
      </c>
      <c r="G11" s="74">
        <v>33</v>
      </c>
      <c r="H11" s="74">
        <v>33</v>
      </c>
      <c r="I11" s="74">
        <v>25</v>
      </c>
      <c r="J11" s="74">
        <v>25</v>
      </c>
      <c r="K11" s="74">
        <v>25</v>
      </c>
      <c r="L11" s="74">
        <v>25</v>
      </c>
      <c r="M11" s="74">
        <v>33</v>
      </c>
      <c r="N11" s="74">
        <v>33</v>
      </c>
      <c r="O11" s="74">
        <v>34</v>
      </c>
      <c r="P11" s="74">
        <v>33</v>
      </c>
      <c r="Q11" s="74">
        <v>37</v>
      </c>
      <c r="R11" s="74">
        <v>38</v>
      </c>
      <c r="S11" s="74">
        <v>30</v>
      </c>
      <c r="T11" s="74">
        <v>26</v>
      </c>
      <c r="U11" s="74">
        <v>29</v>
      </c>
      <c r="V11" s="74">
        <v>28</v>
      </c>
      <c r="W11" s="74">
        <v>29</v>
      </c>
      <c r="X11" s="74">
        <v>28</v>
      </c>
      <c r="Y11" s="74">
        <v>34</v>
      </c>
      <c r="Z11" s="74">
        <v>30</v>
      </c>
      <c r="AA11" s="74">
        <v>38</v>
      </c>
      <c r="AB11" s="74">
        <v>25</v>
      </c>
      <c r="AC11" s="74">
        <v>29</v>
      </c>
      <c r="AD11" s="74">
        <v>31</v>
      </c>
      <c r="AE11" s="74">
        <v>33</v>
      </c>
    </row>
    <row r="12" spans="1:99" ht="9.9" customHeight="1" ph="1"/>
    <row r="13" spans="1:99" s="72" customFormat="1" ht="29.25" customHeight="1" ph="1">
      <c r="B13" s="215" t="s" ph="1">
        <v>37</v>
      </c>
      <c r="C13" s="157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6" ph="1"/>
      <c r="C14" s="67" t="s" ph="1">
        <v>36</v>
      </c>
      <c r="D14" s="77" t="s" ph="1">
        <v>616</v>
      </c>
      <c r="E14" s="77" t="s" ph="1">
        <v>616</v>
      </c>
      <c r="F14" s="144" t="s" ph="1">
        <v>636</v>
      </c>
      <c r="G14" s="77" t="s" ph="1">
        <v>617</v>
      </c>
      <c r="H14" s="77" t="s" ph="1">
        <v>637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638</v>
      </c>
      <c r="P14" s="77" t="s" ph="1">
        <v>622</v>
      </c>
      <c r="Q14" s="77" t="s" ph="1">
        <v>622</v>
      </c>
      <c r="R14" s="88" t="s" ph="1">
        <v>7</v>
      </c>
      <c r="S14" s="77" t="s" ph="1">
        <v>622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17" ph="1">
        <v>0.33333333333333331</v>
      </c>
      <c r="C15" s="157" t="s" ph="1">
        <v>177</v>
      </c>
      <c r="D15" s="78">
        <v>4670</v>
      </c>
      <c r="E15" s="78">
        <v>3044</v>
      </c>
      <c r="F15" s="78">
        <v>3298</v>
      </c>
      <c r="G15" s="78">
        <v>3385</v>
      </c>
      <c r="H15" s="78">
        <v>4365</v>
      </c>
      <c r="I15" s="78">
        <v>3129</v>
      </c>
      <c r="J15" s="78">
        <v>1576</v>
      </c>
      <c r="K15" s="78">
        <v>3659</v>
      </c>
      <c r="L15" s="78">
        <v>6011</v>
      </c>
      <c r="M15" s="78">
        <v>6099</v>
      </c>
      <c r="N15" s="78">
        <v>443</v>
      </c>
      <c r="O15" s="78">
        <v>2990</v>
      </c>
      <c r="P15" s="78">
        <v>2272</v>
      </c>
      <c r="Q15" s="78">
        <v>3998</v>
      </c>
      <c r="R15" s="78">
        <v>0</v>
      </c>
      <c r="S15" s="78">
        <v>3034</v>
      </c>
      <c r="T15" s="78">
        <v>1992</v>
      </c>
      <c r="U15" s="78">
        <v>1829</v>
      </c>
      <c r="V15" s="78">
        <v>673</v>
      </c>
      <c r="W15" s="71">
        <v>1848</v>
      </c>
      <c r="X15" s="78">
        <v>861</v>
      </c>
      <c r="Y15" s="106">
        <v>-9907</v>
      </c>
      <c r="Z15" s="78">
        <v>0</v>
      </c>
      <c r="AA15" s="78">
        <v>2497</v>
      </c>
      <c r="AB15" s="78" ph="1">
        <v>0</v>
      </c>
      <c r="AC15" s="78" ph="1">
        <v>0</v>
      </c>
      <c r="AD15" s="78">
        <v>5.12</v>
      </c>
      <c r="AE15" s="78">
        <v>43.02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18" ph="1"/>
      <c r="C16" s="157" t="s" ph="1">
        <v>178</v>
      </c>
      <c r="D16" s="73" ph="1">
        <f>D15*7.0686*LOOKUP(D17,密度!$A$2:$A$50,密度!$L$2:$L$50)</f>
        <v>30798.667746000003</v>
      </c>
      <c r="E16" s="73" ph="1">
        <f>E15*7.0686*LOOKUP(E17,密度!$A$2:$A$50,密度!$L$2:$L$50)</f>
        <v>20075.1915672</v>
      </c>
      <c r="F16" s="73" ph="1">
        <f>F15*9.0746*LOOKUP(F17,密度!$A$2:$A$50,密度!$L$2:$L$50)</f>
        <v>27892.924705600002</v>
      </c>
      <c r="G16" s="73" ph="1">
        <f>G15*9.0746*LOOKUP(G17,密度!$A$2:$A$50,密度!$B$2:$B$50)</f>
        <v>23867.513817000003</v>
      </c>
      <c r="H16" s="73" ph="1">
        <f>H15*9.0746*LOOKUP(H17,密度!$A$2:$A$50,密度!$L$2:$L$50)</f>
        <v>37075.548744</v>
      </c>
      <c r="I16" s="73" ph="1">
        <f>I15*9.0746*LOOKUP(I17,密度!$A$2:$A$50,密度!$U$2:$U$50)</f>
        <v>28990.706291399998</v>
      </c>
      <c r="J16" s="73" ph="1">
        <f>J15*9.0746*LOOKUP(J17,密度!$A$2:$A$50,密度!$L$2:$L$50)</f>
        <v>13329.062867200002</v>
      </c>
      <c r="K16" s="73" ph="1">
        <f>K15*9.0746*LOOKUP(K17,密度!$A$2:$A$50,密度!$C$2:$C$50)</f>
        <v>36720.260912260004</v>
      </c>
      <c r="L16" s="73" ph="1">
        <f>L15*9.0746*LOOKUP(L17,密度!$A$2:$A$50,密度!$E$2:$E$50)</f>
        <v>42476.076421220001</v>
      </c>
      <c r="M16" s="73" ph="1">
        <f>M15*9.0746*LOOKUP(M17,密度!$A$2:$A$50,密度!$M$2:$M$50)</f>
        <v>48145.472699459999</v>
      </c>
      <c r="N16" s="73" ph="1">
        <f>N15*9.0746*LOOKUP(N17,密度!$A$2:$A$50,密度!$M$2:$M$50)</f>
        <v>3509.9037341800004</v>
      </c>
      <c r="O16" s="73" ph="1">
        <f>O15*9.0746*LOOKUP(O17,密度!$A$2:$A$50,密度!$G$2:$G$50)</f>
        <v>25936.4863186</v>
      </c>
      <c r="P16" s="73" ph="1">
        <f ca="1">P15*9.0746*LOOKUP(P17,密度!$A$2:$A$51,密度!$Q$2:$Q$50)</f>
        <v>19461.468468416002</v>
      </c>
      <c r="Q16" s="73" ph="1">
        <f>Q15*9.0746*LOOKUP(Q17,密度!$A$2:$A$50,密度!$Q$2:$Q$50)</f>
        <v>34224.248987163999</v>
      </c>
      <c r="R16" s="73" ph="1">
        <f>MAX(R15*9.0746*LOOKUP(R17,密度!$A$2:$A$50,密度!$B$2:$B$50),0)</f>
        <v>0</v>
      </c>
      <c r="S16" s="73" ph="1">
        <f>S15*9.0746*LOOKUP(S17,密度!$A$2:$A$50,密度!$Q$2:$Q$50)</f>
        <v>25972.078896211999</v>
      </c>
      <c r="T16" s="73" ph="1">
        <f>T15*9.0746*LOOKUP(T17,密度!$A$2:$A$50,密度!$O$2:$O$50)</f>
        <v>16738.9345632</v>
      </c>
      <c r="U16" s="73" ph="1">
        <f>U15*9.0746*LOOKUP(U17,密度!$A$2:$A$50,密度!$H$2:$H$50)</f>
        <v>15136.868380800001</v>
      </c>
      <c r="V16" s="73" ph="1">
        <f>MAX(5600*LOOKUP(V17,密度!$A$2:$A$50,密度!$Q$2:$Q$50)+V15*9.0476*LOOKUP(V17,密度!$A$2:$A$50,密度!$Q$2:$Q$50),0)</f>
        <v>11026.617197883999</v>
      </c>
      <c r="W16" s="73" ph="1">
        <f>MAX(5600*LOOKUP(W17,密度!$A$2:$A$50,密度!$Q$2:$Q$50)+W15*9.0476*LOOKUP(W17,密度!$A$2:$A$50,密度!$Q$2:$Q$50),0)</f>
        <v>21055.092394783998</v>
      </c>
      <c r="X16" s="73" ph="1">
        <f>MAX(5600*LOOKUP(X17,密度!$A$2:$A$50,密度!$I$2:$I$50)+X15*9.0476*LOOKUP(X17,密度!$A$2:$A$50,密度!$I$2:$I$50),0)</f>
        <v>13896.12498008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17626.65095598</v>
      </c>
      <c r="AB16" s="73" ph="1">
        <f>AB15*9.0746*LOOKUP(AB17,密度!$A$2:$A$50,密度!$L$2:$L$50)</f>
        <v>0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2293.3037913600001</v>
      </c>
      <c r="AE16" s="73" ph="1">
        <f>AE15*268.68*LOOKUP(AE17,密度!$A$2:$A$50,密度!B2:B50)+IF(AE15&lt;=0,0,1566*LOOKUP(AE17,密度!$A$2:$A$50,密度!B2:B50))</f>
        <v>10231.94876256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19" ph="1"/>
      <c r="C17" s="79" t="s" ph="1">
        <v>179</v>
      </c>
      <c r="D17" s="74">
        <v>29</v>
      </c>
      <c r="E17" s="74">
        <v>29</v>
      </c>
      <c r="F17" s="74">
        <v>30</v>
      </c>
      <c r="G17" s="74">
        <v>28</v>
      </c>
      <c r="H17" s="74">
        <v>26</v>
      </c>
      <c r="I17" s="74">
        <v>29</v>
      </c>
      <c r="J17" s="74">
        <v>30</v>
      </c>
      <c r="K17" s="74">
        <v>29</v>
      </c>
      <c r="L17" s="74">
        <v>29</v>
      </c>
      <c r="M17" s="74">
        <v>30</v>
      </c>
      <c r="N17" s="74">
        <v>27</v>
      </c>
      <c r="O17" s="74">
        <v>29</v>
      </c>
      <c r="P17" s="74">
        <v>29</v>
      </c>
      <c r="Q17" s="74">
        <v>30</v>
      </c>
      <c r="R17" s="74">
        <v>30</v>
      </c>
      <c r="S17" s="74">
        <v>30</v>
      </c>
      <c r="T17" s="74">
        <v>29</v>
      </c>
      <c r="U17" s="74">
        <v>28</v>
      </c>
      <c r="V17" s="74">
        <v>30</v>
      </c>
      <c r="W17" s="74">
        <v>30</v>
      </c>
      <c r="X17" s="74">
        <v>29</v>
      </c>
      <c r="Y17" s="108">
        <v>29</v>
      </c>
      <c r="Z17" s="74">
        <v>28</v>
      </c>
      <c r="AA17" s="74">
        <v>27</v>
      </c>
      <c r="AB17" s="74">
        <v>28</v>
      </c>
      <c r="AC17" s="74">
        <v>27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17" ph="1">
        <v>0.66666666666666663</v>
      </c>
      <c r="C18" s="79" t="s" ph="1">
        <v>180</v>
      </c>
      <c r="D18" s="71">
        <v>4675</v>
      </c>
      <c r="E18" s="71">
        <v>5317</v>
      </c>
      <c r="F18" s="71">
        <v>3294</v>
      </c>
      <c r="G18" s="71">
        <v>3526</v>
      </c>
      <c r="H18" s="71">
        <v>4367</v>
      </c>
      <c r="I18" s="71">
        <v>3130</v>
      </c>
      <c r="J18" s="71">
        <v>2153</v>
      </c>
      <c r="K18" s="71">
        <v>3659</v>
      </c>
      <c r="L18" s="71">
        <v>3983</v>
      </c>
      <c r="M18" s="71">
        <v>3118</v>
      </c>
      <c r="N18" s="71">
        <v>2897</v>
      </c>
      <c r="O18" s="71">
        <v>2991</v>
      </c>
      <c r="P18" s="71">
        <v>2825</v>
      </c>
      <c r="Q18" s="71">
        <v>2271</v>
      </c>
      <c r="R18" s="71">
        <v>0</v>
      </c>
      <c r="S18" s="71">
        <v>986</v>
      </c>
      <c r="T18" s="71">
        <v>1992</v>
      </c>
      <c r="U18" s="71">
        <v>1826</v>
      </c>
      <c r="V18" s="71">
        <v>1187</v>
      </c>
      <c r="W18" s="71">
        <v>2380</v>
      </c>
      <c r="X18" s="71">
        <v>862</v>
      </c>
      <c r="Y18" s="109">
        <v>-9907</v>
      </c>
      <c r="Z18" s="71">
        <v>0</v>
      </c>
      <c r="AA18" s="71">
        <v>2499</v>
      </c>
      <c r="AB18" s="71">
        <v>0</v>
      </c>
      <c r="AC18" s="71">
        <v>0</v>
      </c>
      <c r="AD18" s="71">
        <v>10.119999999999999</v>
      </c>
      <c r="AE18" s="71">
        <v>84.61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18" ph="1"/>
      <c r="C19" s="157" t="s" ph="1">
        <v>178</v>
      </c>
      <c r="D19" s="73" ph="1">
        <f>D18*7.0686*LOOKUP(D20,密度!$A$2:$A$50,密度!$L$2:$L$50)</f>
        <v>30765.551355000003</v>
      </c>
      <c r="E19" s="73" ph="1">
        <f>E18*7.0686*LOOKUP(E20,密度!$A$2:$A$50,密度!$L$2:$L$50)</f>
        <v>34990.467712200007</v>
      </c>
      <c r="F19" s="73" ph="1">
        <f>F18*9.0746*LOOKUP(F20,密度!$A$2:$A$50,密度!$L$2:$L$50)</f>
        <v>27560.177272800003</v>
      </c>
      <c r="G19" s="73" ph="1">
        <f>G18*9.0746*LOOKUP(G20,密度!$A$2:$A$50,密度!$B$2:$B$50)</f>
        <v>24807.30480188</v>
      </c>
      <c r="H19" s="73" ph="1">
        <f>H18*9.0746*LOOKUP(H20,密度!$A$2:$A$50,密度!$L$2:$L$50)</f>
        <v>37052.907617000004</v>
      </c>
      <c r="I19" s="73" ph="1">
        <f>I18*9.0746*LOOKUP(I20,密度!$A$2:$A$50,密度!$U$2:$U$50)</f>
        <v>28999.971457999996</v>
      </c>
      <c r="J19" s="73" ph="1">
        <f>J18*9.0746*LOOKUP(J20,密度!$A$2:$A$50,密度!$L$2:$L$50)</f>
        <v>18111.3679926</v>
      </c>
      <c r="K19" s="73" ph="1">
        <f>K18*9.0746*LOOKUP(K20,密度!$A$2:$A$50,密度!$C$2:$C$50)</f>
        <v>36623.969424199997</v>
      </c>
      <c r="L19" s="73" ph="1">
        <f>L18*9.0746*LOOKUP(L20,密度!$A$2:$A$50,密度!$E$2:$E$50)</f>
        <v>28064.111136110001</v>
      </c>
      <c r="M19" s="73" ph="1">
        <f>M18*9.0746*LOOKUP(M20,密度!$A$2:$A$50,密度!$M$2:$M$50)</f>
        <v>24524.912868956002</v>
      </c>
      <c r="N19" s="73" ph="1">
        <f>N18*9.0746*LOOKUP(N20,密度!$A$2:$A$50,密度!$M$2:$M$50)</f>
        <v>22897.8202102</v>
      </c>
      <c r="O19" s="73" ph="1">
        <f>O18*9.0746*LOOKUP(O20,密度!$A$2:$A$50,密度!$G$2:$G$50)</f>
        <v>25856.677389504002</v>
      </c>
      <c r="P19" s="73" ph="1">
        <f ca="1">P18*9.0746*LOOKUP(P20,密度!$A$2:$A$51,密度!$Q$2:$Q$50)</f>
        <v>24163.740522099997</v>
      </c>
      <c r="Q19" s="73" ph="1">
        <f>Q18*9.0746*LOOKUP(Q20,密度!$A$2:$A$50,密度!$Q$2:$Q$50)</f>
        <v>19411.06759554</v>
      </c>
      <c r="R19" s="73" ph="1">
        <f>MAX(R18*9.0746*LOOKUP(R20,密度!$A$2:$A$50,密度!$B$2:$B$50),0)</f>
        <v>0</v>
      </c>
      <c r="S19" s="73" ph="1">
        <f>S18*9.0746*LOOKUP(S20,密度!$A$2:$A$50,密度!$Q$2:$Q$50)</f>
        <v>8415.9813218039999</v>
      </c>
      <c r="T19" s="73" ph="1">
        <f>T18*9.0746*LOOKUP(T20,密度!$A$2:$A$50,密度!$O$2:$O$50)</f>
        <v>16666.628150400004</v>
      </c>
      <c r="U19" s="73" ph="1">
        <f>U18*9.0746*LOOKUP(U20,密度!$A$2:$A$50,密度!$H$2:$H$50)</f>
        <v>15063.15812738</v>
      </c>
      <c r="V19" s="73" ph="1">
        <f>MAX(5600*LOOKUP(V20,密度!$A$2:$A$50,密度!$Q$2:$Q$50)+V18*9.0476*LOOKUP(V20,密度!$A$2:$A$50,密度!$Q$2:$Q$50),0)</f>
        <v>15368.771433708</v>
      </c>
      <c r="W19" s="73" ph="1">
        <f>MAX(5600*LOOKUP(W20,密度!$A$2:$A$50,密度!$Q$2:$Q$50)+W18*9.0476*LOOKUP(W20,密度!$A$2:$A$50,密度!$Q$2:$Q$50),0)</f>
        <v>25539.207329999997</v>
      </c>
      <c r="X19" s="73" ph="1">
        <f>MAX(5600*LOOKUP(X20,密度!$A$2:$A$50,密度!$I$2:$I$50)+X18*9.0476*LOOKUP(X20,密度!$A$2:$A$50,密度!$I$2:$I$50),0)</f>
        <v>13846.558842080001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17522.846606580002</v>
      </c>
      <c r="AB19" s="73" ph="1">
        <f>AB18*9.0746*LOOKUP(AB20,密度!$A$2:$A$50,密度!$L$2:$L$50)</f>
        <v>0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3329.4773231999998</v>
      </c>
      <c r="AE19" s="73" ph="1">
        <f>AE18*268.68*LOOKUP(AE20,密度!$A$2:$A$50,密度!B5:B53)+IF(AE18&lt;=0,0,1566*LOOKUP(AE20,密度!$A$2:$A$50,密度!B5:B53))</f>
        <v>18880.334499600001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18" ph="1"/>
      <c r="C20" s="80" t="s" ph="1">
        <v>179</v>
      </c>
      <c r="D20" s="81">
        <v>31</v>
      </c>
      <c r="E20" s="81">
        <v>31</v>
      </c>
      <c r="F20" s="81">
        <v>40</v>
      </c>
      <c r="G20" s="81">
        <v>30</v>
      </c>
      <c r="H20" s="81">
        <v>27</v>
      </c>
      <c r="I20" s="81">
        <v>29</v>
      </c>
      <c r="J20" s="81">
        <v>35</v>
      </c>
      <c r="K20" s="81">
        <v>32</v>
      </c>
      <c r="L20" s="81">
        <v>31</v>
      </c>
      <c r="M20" s="81">
        <v>33</v>
      </c>
      <c r="N20" s="81">
        <v>29</v>
      </c>
      <c r="O20" s="81">
        <v>32</v>
      </c>
      <c r="P20" s="81">
        <v>31</v>
      </c>
      <c r="Q20" s="81">
        <v>32</v>
      </c>
      <c r="R20" s="81">
        <v>35</v>
      </c>
      <c r="S20" s="81">
        <v>34</v>
      </c>
      <c r="T20" s="81">
        <v>32</v>
      </c>
      <c r="U20" s="81">
        <v>31</v>
      </c>
      <c r="V20" s="81">
        <v>34</v>
      </c>
      <c r="W20" s="81">
        <v>33</v>
      </c>
      <c r="X20" s="81">
        <v>33</v>
      </c>
      <c r="Y20" s="110">
        <v>33</v>
      </c>
      <c r="Z20" s="81">
        <v>35</v>
      </c>
      <c r="AA20" s="81">
        <v>33</v>
      </c>
      <c r="AB20" s="81">
        <v>35</v>
      </c>
      <c r="AC20" s="81">
        <v>33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6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6" t="s" ph="1">
        <v>69</v>
      </c>
      <c r="AA22" s="227"/>
      <c r="AB22" s="227"/>
      <c r="AC22" s="227"/>
      <c r="AD22" s="227"/>
      <c r="AE22" s="228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0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610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229" t="s" ph="1">
        <v>645</v>
      </c>
      <c r="AA23" s="230"/>
      <c r="AB23" s="230"/>
      <c r="AC23" s="230"/>
      <c r="AD23" s="230"/>
      <c r="AE23" s="231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38" ph="1">
        <v>0.33333333333333331</v>
      </c>
      <c r="C24" s="157" t="s" ph="1">
        <v>177</v>
      </c>
      <c r="D24" s="71">
        <v>48.39</v>
      </c>
      <c r="E24" s="71">
        <v>5.62</v>
      </c>
      <c r="F24" s="71">
        <v>839</v>
      </c>
      <c r="G24" s="71">
        <v>3054</v>
      </c>
      <c r="H24" s="71">
        <v>2921</v>
      </c>
      <c r="I24" s="71">
        <v>164</v>
      </c>
      <c r="J24" s="71">
        <v>305</v>
      </c>
      <c r="K24" s="71">
        <v>328</v>
      </c>
      <c r="L24" s="71">
        <v>302</v>
      </c>
      <c r="M24" s="71">
        <v>327</v>
      </c>
      <c r="N24" s="71">
        <v>3413</v>
      </c>
      <c r="O24" s="71">
        <v>342</v>
      </c>
      <c r="P24" s="71">
        <v>374</v>
      </c>
      <c r="Q24" s="90">
        <v>1742</v>
      </c>
      <c r="R24" s="71">
        <v>857</v>
      </c>
      <c r="S24" s="71">
        <v>5618</v>
      </c>
      <c r="T24" s="71">
        <v>410</v>
      </c>
      <c r="U24" s="71">
        <v>5438</v>
      </c>
      <c r="V24" s="71">
        <v>740</v>
      </c>
      <c r="W24" s="71">
        <v>2770</v>
      </c>
      <c r="X24" s="71">
        <v>3327</v>
      </c>
      <c r="Y24" s="71">
        <v>32</v>
      </c>
      <c r="Z24" s="232"/>
      <c r="AA24" s="233"/>
      <c r="AB24" s="233"/>
      <c r="AC24" s="233"/>
      <c r="AD24" s="233"/>
      <c r="AE24" s="234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38" ph="1"/>
      <c r="C25" s="68" t="s" ph="1">
        <v>178</v>
      </c>
      <c r="D25" s="91" ph="1">
        <f>D24*268.68*LOOKUP(D26,密度!$A$2:$A$50,密度!$Q$2:$Q$50)+IF(D24&lt;=0,0,1566*LOOKUP(D26,密度!$A$2:$A$50,密度!$Q$2:$Q$50))</f>
        <v>13791.564133848</v>
      </c>
      <c r="E25" s="91" ph="1">
        <f>E24*268.68*LOOKUP(E26,密度!$A$2:$A$50,密度!$C$2:$C$50)+IF(E24&lt;=0,0,1566*LOOKUP(E26,密度!$A$2:$A$50,密度!$C$2:$C$50))</f>
        <v>3410.9559962399999</v>
      </c>
      <c r="F25" s="91" ph="1">
        <f>F24*11.702*LOOKUP(F26,密度!$A$2:$A$50,密度!$Q$2:$Q$50)</f>
        <v>9281.13096296</v>
      </c>
      <c r="G25" s="91" ph="1">
        <f>G24*18.322*LOOKUP(G26,密度!$A$2:$A$50,密度!$B$2:$B$50)</f>
        <v>43527.696325199999</v>
      </c>
      <c r="H25" s="91" ph="1">
        <f>H24*18.322*LOOKUP(H26,密度!$A$2:$A$50,密度!$B$2:$B$50)</f>
        <v>41583.922674000001</v>
      </c>
      <c r="I25" s="91" ph="1">
        <f>I24*18.322*LOOKUP(I26,密度!$A$2:$A$50,密度!$Q$2:$Q$50)</f>
        <v>2840.5050985600001</v>
      </c>
      <c r="J25" s="91" ph="1">
        <f>J24*18.322*LOOKUP(J26,密度!$A$2:$A$50,密度!$Q$2:$Q$50)</f>
        <v>5278.7349302000002</v>
      </c>
      <c r="K25" s="91" ph="1">
        <f>K24*18.322*LOOKUP(K26,密度!$A$2:$A$50,密度!$Q$2:$Q$50)</f>
        <v>5681.0101971200002</v>
      </c>
      <c r="L25" s="91" ph="1">
        <f>L24*18.322*LOOKUP(L26,密度!$A$2:$A$50,密度!$Q$2:$Q$50)</f>
        <v>5226.8129472800001</v>
      </c>
      <c r="M25" s="91" ph="1">
        <f>M24*18.322*LOOKUP(M26,密度!$A$2:$A$50,密度!$Q$2:$Q$50)</f>
        <v>5663.69004408</v>
      </c>
      <c r="N25" s="91" ph="1">
        <f>N24*18.322*LOOKUP(N26,密度!$A$2:$A$50,密度!$Q$2:$Q$50)</f>
        <v>59069.909235319996</v>
      </c>
      <c r="O25" s="91" ph="1">
        <f>O24*18.322*LOOKUP(O26,密度!$A$2:$A$50,密度!$C$2:$C$50)</f>
        <v>6939.1057175999995</v>
      </c>
      <c r="P25" s="91" ph="1">
        <f>P24*11.702*LOOKUP(P26,密度!$A$2:$A$50,密度!$B$2:$B$50)</f>
        <v>3408.0179275999994</v>
      </c>
      <c r="Q25" s="92" ph="1">
        <f>Q24*18.322*LOOKUP(Q26,密度!$A$2:$A$50,密度!$B$2:$B$50)</f>
        <v>24828.175179599999</v>
      </c>
      <c r="R25" s="91" ph="1">
        <f>R24*35.891*LOOKUP(R26,密度!$A$2:$A$50,密度!$C$2:$C$50)</f>
        <v>34037.452374200002</v>
      </c>
      <c r="S25" s="91" ph="1">
        <f>S24*35.891*LOOKUP(S26,密度!$A$2:$A$50,密度!$B$2:$B$50)</f>
        <v>156852.36280019998</v>
      </c>
      <c r="T25" s="91" ph="1">
        <f>T24*35.891*LOOKUP(T26,密度!$A$2:$A$50,密度!$Q$2:$Q$50)</f>
        <v>13910.676849200001</v>
      </c>
      <c r="U25" s="91" ph="1">
        <f>U24*35.891</f>
        <v>195175.258</v>
      </c>
      <c r="V25" s="91" ph="1">
        <f>V24*47.051*LOOKUP(V26,密度!$A$2:$A$50,密度!$B$2:$B$50)</f>
        <v>27084.719946000001</v>
      </c>
      <c r="W25" s="91" ph="1">
        <f>W24*47.051*LOOKUP(W26,密度!$A$2:$A$50,密度!$B$2:$B$50)</f>
        <v>101384.69493300001</v>
      </c>
      <c r="X25" s="91" ph="1">
        <f>X24*47.051*LOOKUP(X26,密度!$A$2:$A$61,密度!$I$2:$I$61)</f>
        <v>162283.6464459</v>
      </c>
      <c r="Y25" s="91" ph="1">
        <f>Y24*47.051*LOOKUP(Y26,密度!$A$2:$A$50,密度!$L$2:$L$50)</f>
        <v>1407.7659200000001</v>
      </c>
      <c r="Z25" s="232"/>
      <c r="AA25" s="233"/>
      <c r="AB25" s="233"/>
      <c r="AC25" s="233"/>
      <c r="AD25" s="233"/>
      <c r="AE25" s="234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38" ph="1"/>
      <c r="C26" s="68" t="s" ph="1">
        <v>179</v>
      </c>
      <c r="D26" s="74">
        <v>25</v>
      </c>
      <c r="E26" s="74">
        <v>25</v>
      </c>
      <c r="F26" s="74">
        <v>27</v>
      </c>
      <c r="G26" s="74">
        <v>27</v>
      </c>
      <c r="H26" s="74">
        <v>28</v>
      </c>
      <c r="I26" s="74">
        <v>27</v>
      </c>
      <c r="J26" s="74">
        <v>28</v>
      </c>
      <c r="K26" s="74">
        <v>27</v>
      </c>
      <c r="L26" s="74">
        <v>28</v>
      </c>
      <c r="M26" s="74">
        <v>27</v>
      </c>
      <c r="N26" s="74">
        <v>28</v>
      </c>
      <c r="O26" s="74">
        <v>27</v>
      </c>
      <c r="P26" s="74">
        <v>26</v>
      </c>
      <c r="Q26" s="93">
        <v>27</v>
      </c>
      <c r="R26" s="74">
        <v>28</v>
      </c>
      <c r="S26" s="74">
        <v>27</v>
      </c>
      <c r="T26" s="74">
        <v>27</v>
      </c>
      <c r="U26" s="74">
        <v>28</v>
      </c>
      <c r="V26" s="74">
        <v>27</v>
      </c>
      <c r="W26" s="74">
        <v>27</v>
      </c>
      <c r="X26" s="74">
        <v>30</v>
      </c>
      <c r="Y26" s="74">
        <v>27</v>
      </c>
      <c r="Z26" s="232"/>
      <c r="AA26" s="233"/>
      <c r="AB26" s="233"/>
      <c r="AC26" s="233"/>
      <c r="AD26" s="233"/>
      <c r="AE26" s="234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38" ph="1">
        <v>0.66666666666666663</v>
      </c>
      <c r="C27" s="157" t="s" ph="1">
        <v>180</v>
      </c>
      <c r="D27" s="71">
        <v>21.02</v>
      </c>
      <c r="E27" s="71">
        <v>5.63</v>
      </c>
      <c r="F27" s="71">
        <v>979</v>
      </c>
      <c r="G27" s="71">
        <v>2657</v>
      </c>
      <c r="H27" s="71">
        <v>2489</v>
      </c>
      <c r="I27" s="71">
        <v>160</v>
      </c>
      <c r="J27" s="71">
        <v>300</v>
      </c>
      <c r="K27" s="71">
        <v>325</v>
      </c>
      <c r="L27" s="71">
        <v>296</v>
      </c>
      <c r="M27" s="71">
        <v>322</v>
      </c>
      <c r="N27" s="71">
        <v>2805</v>
      </c>
      <c r="O27" s="71">
        <v>338</v>
      </c>
      <c r="P27" s="71">
        <v>371</v>
      </c>
      <c r="Q27" s="90">
        <v>1916</v>
      </c>
      <c r="R27" s="71">
        <v>302</v>
      </c>
      <c r="S27" s="71">
        <v>5616</v>
      </c>
      <c r="T27" s="71">
        <v>409</v>
      </c>
      <c r="U27" s="71">
        <v>5408</v>
      </c>
      <c r="V27" s="71">
        <v>736</v>
      </c>
      <c r="W27" s="71">
        <v>2478</v>
      </c>
      <c r="X27" s="71">
        <v>3203</v>
      </c>
      <c r="Y27" s="71">
        <v>27</v>
      </c>
      <c r="Z27" s="232"/>
      <c r="AA27" s="233"/>
      <c r="AB27" s="233"/>
      <c r="AC27" s="233"/>
      <c r="AD27" s="233"/>
      <c r="AE27" s="234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38" ph="1"/>
      <c r="C28" s="157" t="s" ph="1">
        <v>178</v>
      </c>
      <c r="D28" s="91" ph="1">
        <f>D27*268.68*LOOKUP(D29,密度!$A$2:$A$50,密度!$Q$2:$Q$50)+IF(D27&lt;=0,0,1566*LOOKUP(D29,密度!$A$2:$A$50,密度!$Q$2:$Q$50))</f>
        <v>6829.4544092639999</v>
      </c>
      <c r="E28" s="91" ph="1">
        <f>E27*268.68*LOOKUP(E29,密度!$A$2:$A$50,密度!$C$2:$C$50)+IF(E27&lt;=0,0,1566*LOOKUP(E29,密度!$A$2:$A$50,密度!$C$2:$C$50))</f>
        <v>3413.93538876</v>
      </c>
      <c r="F28" s="91" ph="1">
        <f>F27*11.702*LOOKUP(F29,密度!$A$2:$A$50,密度!$Q$2:$Q$50)</f>
        <v>10798.43966564</v>
      </c>
      <c r="G28" s="91" ph="1">
        <f>G27*18.322*LOOKUP(G29,密度!$A$2:$A$50,密度!$B$2:$B$50)</f>
        <v>37655.182018999993</v>
      </c>
      <c r="H28" s="91" ph="1">
        <f>H27*18.322*LOOKUP(H29,密度!$A$2:$A$50,密度!$B$2:$B$50)</f>
        <v>35315.317875199995</v>
      </c>
      <c r="I28" s="91" ph="1">
        <f>I27*18.322*LOOKUP(I29,密度!$A$2:$A$50,密度!$Q$2:$Q$50)</f>
        <v>2761.1986879999999</v>
      </c>
      <c r="J28" s="91" ph="1">
        <f>J27*18.322*LOOKUP(J29,密度!$A$2:$A$50,密度!$Q$2:$Q$50)</f>
        <v>5180.9852279999996</v>
      </c>
      <c r="K28" s="91" ph="1">
        <f>K27*18.322*LOOKUP(K29,密度!$A$2:$A$50,密度!$Q$2:$Q$50)</f>
        <v>5608.6848349999991</v>
      </c>
      <c r="L28" s="91" ph="1">
        <f>L27*18.322*LOOKUP(L29,密度!$A$2:$A$50,密度!$Q$2:$Q$50)</f>
        <v>5111.9054249599994</v>
      </c>
      <c r="M28" s="91" ph="1">
        <f>M27*18.322*LOOKUP(M29,密度!$A$2:$A$50,密度!$Q$2:$Q$50)</f>
        <v>5556.912359599999</v>
      </c>
      <c r="N28" s="91" ph="1">
        <f>N27*18.322*LOOKUP(N29,密度!$A$2:$A$50,密度!$Q$2:$Q$50)</f>
        <v>48442.211881799994</v>
      </c>
      <c r="O28" s="91" ph="1">
        <f>O27*18.322*LOOKUP(O29,密度!$A$2:$A$50,密度!$C$2:$C$50)</f>
        <v>6830.6981079999996</v>
      </c>
      <c r="P28" s="91" ph="1">
        <f>P27*11.702*LOOKUP(P29,密度!$A$2:$A$50,密度!$B$2:$B$50)</f>
        <v>3365.9199825999999</v>
      </c>
      <c r="Q28" s="92" ph="1">
        <f>Q27*18.322*LOOKUP(Q29,密度!$A$2:$A$50,密度!$B$2:$B$50)</f>
        <v>27185.274828799997</v>
      </c>
      <c r="R28" s="91" ph="1">
        <f>R27*35.891*LOOKUP(R29,密度!$A$2:$A$50,密度!$C$2:$C$50)</f>
        <v>11955.507446</v>
      </c>
      <c r="S28" s="91" ph="1">
        <f>S27*35.891*LOOKUP(S29,密度!$A$2:$A$50,密度!$B$2:$B$50)</f>
        <v>155909.642616</v>
      </c>
      <c r="T28" s="91" ph="1">
        <f>T27*35.891*LOOKUP(T29,密度!$A$2:$A$50,密度!$Q$2:$Q$50)</f>
        <v>13836.526761019999</v>
      </c>
      <c r="U28" s="91" ph="1">
        <f>U27*35.891</f>
        <v>194098.52799999999</v>
      </c>
      <c r="V28" s="91" ph="1">
        <f>V27*47.051*LOOKUP(V29,密度!$A$2:$A$50,密度!$B$2:$B$50)</f>
        <v>26817.112678400001</v>
      </c>
      <c r="W28" s="91" ph="1">
        <f>W27*47.051*LOOKUP(W29,密度!$A$2:$A$50,密度!$B$2:$B$50)</f>
        <v>90394.070663400009</v>
      </c>
      <c r="X28" s="91" ph="1">
        <f>X27*47.051*LOOKUP(X29,密度!$A$2:$A$61,密度!$I$2:$I$61)</f>
        <v>155903.65317850001</v>
      </c>
      <c r="Y28" s="91" ph="1">
        <f>Y27*47.051*LOOKUP(Y29,密度!$A$2:$A$50,密度!$L$2:$L$50)</f>
        <v>1183.991364</v>
      </c>
      <c r="Z28" s="232"/>
      <c r="AA28" s="233"/>
      <c r="AB28" s="233"/>
      <c r="AC28" s="233"/>
      <c r="AD28" s="233"/>
      <c r="AE28" s="234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38" ph="1"/>
      <c r="C29" s="157" t="s" ph="1">
        <v>179</v>
      </c>
      <c r="D29" s="74">
        <v>25</v>
      </c>
      <c r="E29" s="74">
        <v>25</v>
      </c>
      <c r="F29" s="74">
        <v>31</v>
      </c>
      <c r="G29" s="74">
        <v>32</v>
      </c>
      <c r="H29" s="74">
        <v>31</v>
      </c>
      <c r="I29" s="74">
        <v>32</v>
      </c>
      <c r="J29" s="74">
        <v>31</v>
      </c>
      <c r="K29" s="74">
        <v>32</v>
      </c>
      <c r="L29" s="74">
        <v>31</v>
      </c>
      <c r="M29" s="74">
        <v>32</v>
      </c>
      <c r="N29" s="74">
        <v>31</v>
      </c>
      <c r="O29" s="74">
        <v>32</v>
      </c>
      <c r="P29" s="74">
        <v>30</v>
      </c>
      <c r="Q29" s="93">
        <v>31</v>
      </c>
      <c r="R29" s="74">
        <v>32</v>
      </c>
      <c r="S29" s="74">
        <v>32</v>
      </c>
      <c r="T29" s="74">
        <v>31</v>
      </c>
      <c r="U29" s="74">
        <v>31</v>
      </c>
      <c r="V29" s="74">
        <v>31</v>
      </c>
      <c r="W29" s="74">
        <v>30</v>
      </c>
      <c r="X29" s="74">
        <v>32</v>
      </c>
      <c r="Y29" s="74">
        <v>30</v>
      </c>
      <c r="Z29" s="235"/>
      <c r="AA29" s="236"/>
      <c r="AB29" s="236"/>
      <c r="AC29" s="236"/>
      <c r="AD29" s="236"/>
      <c r="AE29" s="237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1" t="s" ph="1">
        <v>35</v>
      </c>
      <c r="C31" s="222" ph="1"/>
      <c r="D31" s="225" t="s" ph="1">
        <v>9</v>
      </c>
      <c r="E31" s="200" ph="1"/>
      <c r="F31" s="201" ph="1"/>
      <c r="G31" s="225" t="s" ph="1">
        <v>18</v>
      </c>
      <c r="H31" s="200" ph="1"/>
      <c r="I31" s="201" ph="1"/>
      <c r="J31" s="199" t="s" ph="1">
        <v>1</v>
      </c>
      <c r="K31" s="200" ph="1"/>
      <c r="L31" s="201" ph="1"/>
      <c r="M31" s="199" t="s" ph="1">
        <v>7</v>
      </c>
      <c r="N31" s="200" ph="1"/>
      <c r="O31" s="201" ph="1"/>
      <c r="P31" s="199" t="s" ph="1">
        <v>41</v>
      </c>
      <c r="Q31" s="200"/>
      <c r="R31" s="201"/>
      <c r="S31" s="199" t="s" ph="1">
        <v>2</v>
      </c>
      <c r="T31" s="200"/>
      <c r="U31" s="201"/>
      <c r="V31" s="199" t="s" ph="1">
        <v>71</v>
      </c>
      <c r="W31" s="200" ph="1"/>
      <c r="X31" s="201" ph="1"/>
      <c r="Y31" s="199" t="s" ph="1">
        <v>3</v>
      </c>
      <c r="Z31" s="200" ph="1"/>
      <c r="AA31" s="201" ph="1"/>
      <c r="AB31" s="202" t="s">
        <v>42</v>
      </c>
      <c r="AC31" s="203"/>
      <c r="AD31" s="203"/>
      <c r="AE31" s="204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3" ph="1"/>
      <c r="C32" s="224" ph="1"/>
      <c r="D32" s="96" t="s" ph="1">
        <v>4</v>
      </c>
      <c r="E32" s="157" t="s" ph="1">
        <v>5</v>
      </c>
      <c r="F32" s="158" t="s" ph="1">
        <v>43</v>
      </c>
      <c r="G32" s="97" t="s" ph="1">
        <v>4</v>
      </c>
      <c r="H32" s="157" t="s" ph="1">
        <v>5</v>
      </c>
      <c r="I32" s="158" t="s" ph="1">
        <v>43</v>
      </c>
      <c r="J32" s="97" t="s" ph="1">
        <v>4</v>
      </c>
      <c r="K32" s="157" t="s" ph="1">
        <v>5</v>
      </c>
      <c r="L32" s="158" t="s" ph="1">
        <v>43</v>
      </c>
      <c r="M32" s="97" t="s" ph="1">
        <v>4</v>
      </c>
      <c r="N32" s="157" t="s" ph="1">
        <v>5</v>
      </c>
      <c r="O32" s="158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7" t="s" ph="1">
        <v>5</v>
      </c>
      <c r="U32" s="99" t="s" ph="1">
        <v>43</v>
      </c>
      <c r="V32" s="97" t="s" ph="1">
        <v>4</v>
      </c>
      <c r="W32" s="157" t="s" ph="1">
        <v>5</v>
      </c>
      <c r="X32" s="99" t="s" ph="1">
        <v>43</v>
      </c>
      <c r="Y32" s="100" t="s" ph="1">
        <v>4</v>
      </c>
      <c r="Z32" s="157" t="s" ph="1">
        <v>5</v>
      </c>
      <c r="AA32" s="158" t="s" ph="1">
        <v>43</v>
      </c>
      <c r="AB32" s="97" t="s" ph="1">
        <v>85</v>
      </c>
      <c r="AC32" s="157" t="s" ph="1">
        <v>84</v>
      </c>
      <c r="AD32" s="205" t="s" ph="1">
        <v>83</v>
      </c>
      <c r="AE32" s="206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7" t="s" ph="1">
        <v>181</v>
      </c>
      <c r="C33" s="208" ph="1"/>
      <c r="D33" s="187" ph="1">
        <f>AA10+AB10+Z19</f>
        <v>97876.054584600002</v>
      </c>
      <c r="E33" s="187" ph="1">
        <f>M10+I10</f>
        <v>150380.82760639998</v>
      </c>
      <c r="F33" s="211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1522252632456786910111213141516171819202123456789101112131415161718192022232424356789101112131415161718192021222345678910111213141516171819202345678910111213149101516171819222123234567891012131415161711181920212224252345678910111213111[[#This Row],[F25]]</f>
        <v>3880</v>
      </c>
      <c r="G33" s="213" ph="1">
        <f>N19</f>
        <v>22897.8202102</v>
      </c>
      <c r="H33" s="187" ph="1">
        <f>M19</f>
        <v>24524.912868956002</v>
      </c>
      <c r="I33" s="191" ph="1">
        <v>0</v>
      </c>
      <c r="J33" s="195" ph="1">
        <f>F10+O28</f>
        <v>225104.92816360004</v>
      </c>
      <c r="K33" s="187" ph="1">
        <f>O10+K10+E28+R28</f>
        <v>80537.455801560005</v>
      </c>
      <c r="L33" s="197" ph="1">
        <f>K19</f>
        <v>36623.969424199997</v>
      </c>
      <c r="M33" s="195" ph="1">
        <f>G10+H10+W28+S28+V28+E10+R19+P28+Q28</f>
        <v>704341.38181520009</v>
      </c>
      <c r="N33" s="187" ph="1">
        <f>L10+P10++G28+H28+AD19+AE19</f>
        <v>198594.23045800001</v>
      </c>
      <c r="O33" s="191" ph="1">
        <f>G19</f>
        <v>24807.30480188</v>
      </c>
      <c r="P33" s="195" ph="1">
        <f>L19</f>
        <v>28064.111136110001</v>
      </c>
      <c r="Q33" s="187" ph="1">
        <f>J10+N10</f>
        <v>107536.73449789001</v>
      </c>
      <c r="R33" s="191" ph="1">
        <f>BE23</f>
        <v>890</v>
      </c>
      <c r="S33" s="195" ph="1">
        <f>X28</f>
        <v>155903.65317850001</v>
      </c>
      <c r="T33" s="187" ph="1">
        <f>X19</f>
        <v>13846.558842080001</v>
      </c>
      <c r="U33" s="176" ph="1">
        <f>BE21</f>
        <v>730</v>
      </c>
      <c r="V33" s="189" ph="1">
        <f ca="1">P19+Q19+S19+M28+N28+J28+D10+AC10+D19+E19+H19+J19+O19+V19+W19+K28+L28</f>
        <v>763270.33511653601</v>
      </c>
      <c r="W33" s="189" ph="1">
        <f>D28+F28+T28+I28</f>
        <v>34225.619523923997</v>
      </c>
      <c r="X33" s="191" ph="1">
        <f>BE29+BE31</f>
        <v>10200</v>
      </c>
      <c r="Y33" s="193" ph="1">
        <f>+Q10+R10+S10+T10+U10+V10+W10+X10+Y10</f>
        <v>193930.02394920003</v>
      </c>
      <c r="Z33" s="174" ph="1">
        <f>T19+U19+Y28+Z10</f>
        <v>77138.752721780009</v>
      </c>
      <c r="AA33" s="176" ph="1">
        <f>BE19</f>
        <v>1440</v>
      </c>
      <c r="AB33" s="178" ph="1">
        <f>I19</f>
        <v>28999.971457999996</v>
      </c>
      <c r="AC33" s="180" ph="1">
        <f>AD10+AB19</f>
        <v>66177.748022400003</v>
      </c>
      <c r="AD33" s="182" ph="1">
        <v>0</v>
      </c>
      <c r="AE33" s="183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9" ph="1"/>
      <c r="C34" s="210" ph="1"/>
      <c r="D34" s="188" ph="1"/>
      <c r="E34" s="188" ph="1"/>
      <c r="F34" s="212" ph="1"/>
      <c r="G34" s="214" ph="1"/>
      <c r="H34" s="188" ph="1"/>
      <c r="I34" s="192" ph="1"/>
      <c r="J34" s="196" ph="1"/>
      <c r="K34" s="188" ph="1"/>
      <c r="L34" s="198" ph="1"/>
      <c r="M34" s="196" ph="1"/>
      <c r="N34" s="188" ph="1"/>
      <c r="O34" s="192" ph="1"/>
      <c r="P34" s="196" ph="1"/>
      <c r="Q34" s="188" ph="1"/>
      <c r="R34" s="192" ph="1"/>
      <c r="S34" s="196" ph="1"/>
      <c r="T34" s="188"/>
      <c r="U34" s="177"/>
      <c r="V34" s="190" ph="1"/>
      <c r="W34" s="190" ph="1"/>
      <c r="X34" s="192" ph="1"/>
      <c r="Y34" s="194" ph="1"/>
      <c r="Z34" s="175" ph="1"/>
      <c r="AA34" s="177" ph="1"/>
      <c r="AB34" s="179"/>
      <c r="AC34" s="181"/>
      <c r="AD34" s="184"/>
      <c r="AE34" s="185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6" t="s" ph="1">
        <v>631</v>
      </c>
      <c r="AD35" s="186"/>
      <c r="AE35" s="186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2" t="s" ph="1">
        <v>183</v>
      </c>
      <c r="J36" s="172" ph="1"/>
      <c r="K36" s="101" ph="1"/>
      <c r="P36" s="101" ph="1"/>
      <c r="R36" s="172" t="s" ph="1">
        <v>184</v>
      </c>
      <c r="S36" s="172" ph="1"/>
      <c r="Y36" s="102" ph="1"/>
      <c r="Z36" s="159" t="s" ph="1">
        <v>185</v>
      </c>
      <c r="AA36" s="159" ph="1"/>
      <c r="AB36" s="173" t="s" ph="1">
        <v>639</v>
      </c>
      <c r="AC36" s="173" ph="1"/>
      <c r="AD36" s="173" ph="1"/>
      <c r="AE36" s="173" ph="1"/>
      <c r="BA36" s="64" ph="1">
        <v>2270</v>
      </c>
    </row>
    <row r="37" spans="1:57" s="159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9" t="s" ph="1">
        <v>342</v>
      </c>
      <c r="AI37" s="159" t="s" ph="1">
        <v>209</v>
      </c>
      <c r="AJ37" s="159" t="s" ph="1">
        <v>210</v>
      </c>
      <c r="AK37" s="159" t="s" ph="1">
        <v>211</v>
      </c>
      <c r="AM37" s="159" t="s" ph="1">
        <v>210</v>
      </c>
      <c r="AN37" s="159" t="s" ph="1">
        <v>211</v>
      </c>
      <c r="AO37" s="159" t="s" ph="1">
        <v>212</v>
      </c>
      <c r="AP37" s="159" t="s" ph="1">
        <v>210</v>
      </c>
      <c r="AQ37" s="159" t="s" ph="1">
        <v>211</v>
      </c>
      <c r="AR37" s="159" t="s" ph="1">
        <v>212</v>
      </c>
      <c r="AS37" s="159" t="s" ph="1">
        <v>210</v>
      </c>
      <c r="AT37" s="159" t="s" ph="1">
        <v>211</v>
      </c>
      <c r="AU37" s="159" t="s" ph="1">
        <v>212</v>
      </c>
      <c r="AV37" s="159" t="s" ph="1">
        <v>210</v>
      </c>
      <c r="AW37" s="159" t="s" ph="1">
        <v>211</v>
      </c>
      <c r="AX37" s="159" t="s" ph="1">
        <v>212</v>
      </c>
      <c r="AY37" s="159" t="s" ph="1">
        <v>211</v>
      </c>
      <c r="AZ37" s="159" t="s" ph="1">
        <v>213</v>
      </c>
      <c r="BD37" s="159" t="s" ph="1">
        <v>305</v>
      </c>
      <c r="BE37" s="159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P56" s="64" ph="1">
        <v>20260804</v>
      </c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1853" priority="102">
      <formula>ABS(D$7-D$10)&gt;=1000</formula>
    </cfRule>
  </conditionalFormatting>
  <conditionalFormatting sqref="E4 E6:E11">
    <cfRule type="expression" dxfId="1852" priority="101">
      <formula>ABS(E$7-E$10)&gt;=1000</formula>
    </cfRule>
  </conditionalFormatting>
  <conditionalFormatting sqref="F4:F11">
    <cfRule type="expression" dxfId="1851" priority="100">
      <formula>ABS(F$7-F$10)&gt;=1000</formula>
    </cfRule>
  </conditionalFormatting>
  <conditionalFormatting sqref="G4:G11">
    <cfRule type="expression" dxfId="1850" priority="99">
      <formula>ABS(G$7-G$10)&gt;=1000</formula>
    </cfRule>
  </conditionalFormatting>
  <conditionalFormatting sqref="H4:H11">
    <cfRule type="expression" dxfId="1849" priority="98">
      <formula>ABS(H$7-H$10)&gt;=1000</formula>
    </cfRule>
  </conditionalFormatting>
  <conditionalFormatting sqref="I4:I11">
    <cfRule type="expression" dxfId="1848" priority="97">
      <formula>ABS(I$7-I$10)&gt;=1000</formula>
    </cfRule>
  </conditionalFormatting>
  <conditionalFormatting sqref="J4:J11">
    <cfRule type="expression" dxfId="1847" priority="96">
      <formula>ABS(J$7-J$10)&gt;=1000</formula>
    </cfRule>
  </conditionalFormatting>
  <conditionalFormatting sqref="K4:K11">
    <cfRule type="expression" dxfId="1846" priority="95">
      <formula>ABS(K$7-K$10)&gt;=1000</formula>
    </cfRule>
  </conditionalFormatting>
  <conditionalFormatting sqref="L4:L11">
    <cfRule type="expression" dxfId="1845" priority="94">
      <formula>ABS(L$7-L$10)&gt;=1000</formula>
    </cfRule>
  </conditionalFormatting>
  <conditionalFormatting sqref="M4 M6:M11">
    <cfRule type="expression" dxfId="1844" priority="93">
      <formula>ABS(M$7-M$10)&gt;=1000</formula>
    </cfRule>
  </conditionalFormatting>
  <conditionalFormatting sqref="N4 N6:N11">
    <cfRule type="expression" dxfId="1843" priority="92">
      <formula>ABS(N$7-N$10)&gt;=1000</formula>
    </cfRule>
  </conditionalFormatting>
  <conditionalFormatting sqref="O4 O6:O11">
    <cfRule type="expression" dxfId="1842" priority="91">
      <formula>ABS(O$7-O$10)&gt;=1000</formula>
    </cfRule>
  </conditionalFormatting>
  <conditionalFormatting sqref="P4 P6:P11">
    <cfRule type="expression" dxfId="1841" priority="90">
      <formula>ABS(P$7-P$10)&gt;=1000</formula>
    </cfRule>
  </conditionalFormatting>
  <conditionalFormatting sqref="Q4:Q11">
    <cfRule type="expression" dxfId="1840" priority="89">
      <formula>ABS(Q$7-Q$10)&gt;=1000</formula>
    </cfRule>
  </conditionalFormatting>
  <conditionalFormatting sqref="R4:R11">
    <cfRule type="expression" dxfId="1839" priority="88">
      <formula>ABS(R$7-R$10)&gt;=1000</formula>
    </cfRule>
  </conditionalFormatting>
  <conditionalFormatting sqref="S4:S11">
    <cfRule type="expression" dxfId="1838" priority="87">
      <formula>ABS(S$7-S$10)&gt;=1000</formula>
    </cfRule>
  </conditionalFormatting>
  <conditionalFormatting sqref="T4:T9 T11">
    <cfRule type="expression" dxfId="1837" priority="86">
      <formula>ABS(T$7-T$10)&gt;=1000</formula>
    </cfRule>
  </conditionalFormatting>
  <conditionalFormatting sqref="U4:U9 U11">
    <cfRule type="expression" dxfId="1836" priority="85">
      <formula>ABS(U$7-U$10)&gt;=1000</formula>
    </cfRule>
  </conditionalFormatting>
  <conditionalFormatting sqref="V4:V9 V11">
    <cfRule type="expression" dxfId="1835" priority="84">
      <formula>ABS(V$7-V$10)&gt;=1000</formula>
    </cfRule>
  </conditionalFormatting>
  <conditionalFormatting sqref="W4:W9 W11">
    <cfRule type="expression" dxfId="1834" priority="83">
      <formula>ABS(W$7-W$10)&gt;=1000</formula>
    </cfRule>
  </conditionalFormatting>
  <conditionalFormatting sqref="X4:X9 X11">
    <cfRule type="expression" dxfId="1833" priority="82">
      <formula>ABS(X$7-X$10)&gt;=1000</formula>
    </cfRule>
  </conditionalFormatting>
  <conditionalFormatting sqref="Y4:Y9 Y11">
    <cfRule type="expression" dxfId="1832" priority="81">
      <formula>ABS(Y$7-Y$10)&gt;=1000</formula>
    </cfRule>
  </conditionalFormatting>
  <conditionalFormatting sqref="Z4:Z11">
    <cfRule type="expression" dxfId="1831" priority="80">
      <formula>ABS(Z$7-Z$10)&gt;=1000</formula>
    </cfRule>
  </conditionalFormatting>
  <conditionalFormatting sqref="AA4:AA11">
    <cfRule type="expression" dxfId="1830" priority="79">
      <formula>ABS(AA$7-AA$10)&gt;=1000</formula>
    </cfRule>
  </conditionalFormatting>
  <conditionalFormatting sqref="AB4:AB11">
    <cfRule type="expression" dxfId="1829" priority="78">
      <formula>ABS(AB$7-AB$10)&gt;=1000</formula>
    </cfRule>
  </conditionalFormatting>
  <conditionalFormatting sqref="AC4 AC6:AC11">
    <cfRule type="expression" dxfId="1828" priority="77">
      <formula>ABS(AC$7-AC$10)&gt;=1000</formula>
    </cfRule>
  </conditionalFormatting>
  <conditionalFormatting sqref="AD4 AD6:AD11">
    <cfRule type="expression" dxfId="1827" priority="76">
      <formula>ABS(AD$7-AD$10)&gt;=1000</formula>
    </cfRule>
  </conditionalFormatting>
  <conditionalFormatting sqref="AE4 AE6:AE11">
    <cfRule type="expression" dxfId="1826" priority="75">
      <formula>ABS(AE$7-AE$10)&gt;=1000</formula>
    </cfRule>
  </conditionalFormatting>
  <conditionalFormatting sqref="D13:D20">
    <cfRule type="expression" dxfId="1825" priority="74">
      <formula>ABS(D$16-D$19)&gt;=1000</formula>
    </cfRule>
  </conditionalFormatting>
  <conditionalFormatting sqref="E13:E20">
    <cfRule type="expression" dxfId="1824" priority="73">
      <formula>ABS(E$16-E$19)&gt;=1000</formula>
    </cfRule>
  </conditionalFormatting>
  <conditionalFormatting sqref="F13 F15:F20">
    <cfRule type="expression" dxfId="1823" priority="72">
      <formula>ABS(F$16-F$19)&gt;=1000</formula>
    </cfRule>
  </conditionalFormatting>
  <conditionalFormatting sqref="G13:G20">
    <cfRule type="expression" dxfId="1822" priority="71">
      <formula>ABS(G$16-G$19)&gt;=1000</formula>
    </cfRule>
  </conditionalFormatting>
  <conditionalFormatting sqref="H13 H15:H20">
    <cfRule type="expression" dxfId="1821" priority="70">
      <formula>ABS(H$16-H$19)&gt;=1000</formula>
    </cfRule>
  </conditionalFormatting>
  <conditionalFormatting sqref="I13:I20">
    <cfRule type="expression" dxfId="1820" priority="69">
      <formula>ABS(I$16-I$19)&gt;=1000</formula>
    </cfRule>
  </conditionalFormatting>
  <conditionalFormatting sqref="J13:J20">
    <cfRule type="expression" dxfId="1819" priority="68">
      <formula>ABS(J$16-J$19)&gt;=1000</formula>
    </cfRule>
  </conditionalFormatting>
  <conditionalFormatting sqref="L13:L20">
    <cfRule type="expression" dxfId="1818" priority="67">
      <formula>ABS(L$16-L$19)&gt;=1000</formula>
    </cfRule>
  </conditionalFormatting>
  <conditionalFormatting sqref="M13 M15 M17:M18 M20">
    <cfRule type="expression" dxfId="1817" priority="66">
      <formula>ABS(M$16-M$19)&gt;=1000</formula>
    </cfRule>
  </conditionalFormatting>
  <conditionalFormatting sqref="N13:N20">
    <cfRule type="expression" dxfId="1816" priority="65">
      <formula>ABS(N$16-N$19)&gt;=1000</formula>
    </cfRule>
  </conditionalFormatting>
  <conditionalFormatting sqref="O13:O20">
    <cfRule type="expression" dxfId="1815" priority="64">
      <formula>ABS(O$16-O$19)&gt;=1000</formula>
    </cfRule>
  </conditionalFormatting>
  <conditionalFormatting sqref="P13:P20">
    <cfRule type="expression" dxfId="1814" priority="63">
      <formula>ABS(P$16-P$19)&gt;=1000</formula>
    </cfRule>
  </conditionalFormatting>
  <conditionalFormatting sqref="Q13 Q15:Q20">
    <cfRule type="expression" dxfId="1813" priority="62">
      <formula>ABS(Q$16-Q$19)&gt;=1000</formula>
    </cfRule>
  </conditionalFormatting>
  <conditionalFormatting sqref="R13:R20">
    <cfRule type="expression" dxfId="1812" priority="61">
      <formula>ABS(R$16-R$19)&gt;=1000</formula>
    </cfRule>
  </conditionalFormatting>
  <conditionalFormatting sqref="S13:S20">
    <cfRule type="expression" dxfId="1811" priority="60">
      <formula>ABS(S$16-S$19)&gt;=1000</formula>
    </cfRule>
  </conditionalFormatting>
  <conditionalFormatting sqref="T13:T15 T17:T20">
    <cfRule type="expression" dxfId="1810" priority="59">
      <formula>ABS(T$16-T$19)&gt;=1000</formula>
    </cfRule>
  </conditionalFormatting>
  <conditionalFormatting sqref="U13:U20">
    <cfRule type="expression" dxfId="1809" priority="58">
      <formula>ABS(U$16-U$19)&gt;=1000</formula>
    </cfRule>
  </conditionalFormatting>
  <conditionalFormatting sqref="V13:V20">
    <cfRule type="expression" dxfId="1808" priority="57">
      <formula>ABS(V$16-V$19)&gt;=1000</formula>
    </cfRule>
  </conditionalFormatting>
  <conditionalFormatting sqref="W13 W20 W15:W18">
    <cfRule type="expression" dxfId="1807" priority="56">
      <formula>ABS(W$16-W$19)&gt;=1000</formula>
    </cfRule>
  </conditionalFormatting>
  <conditionalFormatting sqref="X13 X15:X20 Y19">
    <cfRule type="expression" dxfId="1806" priority="55">
      <formula>ABS(X$16-X$19)&gt;=1000</formula>
    </cfRule>
  </conditionalFormatting>
  <conditionalFormatting sqref="Y13 Y15:Y18 Y20">
    <cfRule type="expression" dxfId="1805" priority="54">
      <formula>ABS(Y$16-Y$19)&gt;=1000</formula>
    </cfRule>
  </conditionalFormatting>
  <conditionalFormatting sqref="Z13:Z20">
    <cfRule type="expression" dxfId="1804" priority="53">
      <formula>ABS(Z$16-Z$19)&gt;=1000</formula>
    </cfRule>
  </conditionalFormatting>
  <conditionalFormatting sqref="AA13:AA20">
    <cfRule type="expression" dxfId="1803" priority="52">
      <formula>ABS(AA$16-AA$19)&gt;=1000</formula>
    </cfRule>
  </conditionalFormatting>
  <conditionalFormatting sqref="AB13 AB15:AB20">
    <cfRule type="expression" dxfId="1802" priority="51">
      <formula>ABS(AB$16-AB$19)&gt;=1000</formula>
    </cfRule>
  </conditionalFormatting>
  <conditionalFormatting sqref="AC13 AC15:AC20">
    <cfRule type="expression" dxfId="1801" priority="50">
      <formula>ABS(AC$16-AC$19)&gt;=1000</formula>
    </cfRule>
  </conditionalFormatting>
  <conditionalFormatting sqref="AD13:AD20">
    <cfRule type="expression" dxfId="1800" priority="49">
      <formula>ABS(AD$16-AD$19)&gt;=1000</formula>
    </cfRule>
  </conditionalFormatting>
  <conditionalFormatting sqref="AE13:AE20">
    <cfRule type="expression" dxfId="1799" priority="48">
      <formula>ABS(AE$16-AE$19)&gt;=1000</formula>
    </cfRule>
  </conditionalFormatting>
  <conditionalFormatting sqref="D22:D29">
    <cfRule type="expression" dxfId="1798" priority="47">
      <formula>ABS(D$25-D$28)&gt;=1000</formula>
    </cfRule>
  </conditionalFormatting>
  <conditionalFormatting sqref="E22:E29">
    <cfRule type="expression" dxfId="1797" priority="46">
      <formula>ABS(E$25-E$28)&gt;=1000</formula>
    </cfRule>
  </conditionalFormatting>
  <conditionalFormatting sqref="F22:F29">
    <cfRule type="expression" dxfId="1796" priority="45">
      <formula>ABS(F$25-F$28)&gt;=1000</formula>
    </cfRule>
  </conditionalFormatting>
  <conditionalFormatting sqref="G22:G29">
    <cfRule type="expression" dxfId="1795" priority="44">
      <formula>ABS(G$25-G$28)&gt;=1000</formula>
    </cfRule>
  </conditionalFormatting>
  <conditionalFormatting sqref="H22:H29">
    <cfRule type="expression" dxfId="1794" priority="43">
      <formula>ABS(H$25-H$28)&gt;=1000</formula>
    </cfRule>
  </conditionalFormatting>
  <conditionalFormatting sqref="I22 I24:I29">
    <cfRule type="expression" dxfId="1793" priority="42">
      <formula>ABS(I$25-I$28)&gt;=1000</formula>
    </cfRule>
  </conditionalFormatting>
  <conditionalFormatting sqref="J22:J29 K22">
    <cfRule type="expression" dxfId="1792" priority="41">
      <formula>ABS(J$25-J$28)&gt;=1000</formula>
    </cfRule>
  </conditionalFormatting>
  <conditionalFormatting sqref="K23:K29 L25 L28">
    <cfRule type="expression" dxfId="1791" priority="40">
      <formula>ABS(K$25-K$28)&gt;=1000</formula>
    </cfRule>
  </conditionalFormatting>
  <conditionalFormatting sqref="L22 L26:L27 L29 L24">
    <cfRule type="expression" dxfId="1790" priority="39">
      <formula>ABS(L$25-L$28)&gt;=1000</formula>
    </cfRule>
  </conditionalFormatting>
  <conditionalFormatting sqref="M22:M29">
    <cfRule type="expression" dxfId="1789" priority="38">
      <formula>ABS(M$25-M$28)&gt;=1000</formula>
    </cfRule>
  </conditionalFormatting>
  <conditionalFormatting sqref="N22:N29">
    <cfRule type="expression" dxfId="1788" priority="37">
      <formula>ABS(N$25-N$28)&gt;=1000</formula>
    </cfRule>
  </conditionalFormatting>
  <conditionalFormatting sqref="O22 O24:O29">
    <cfRule type="expression" dxfId="1787" priority="36">
      <formula>ABS(O$25-O$28)&gt;=1000</formula>
    </cfRule>
  </conditionalFormatting>
  <conditionalFormatting sqref="P22:P29">
    <cfRule type="expression" dxfId="1786" priority="35">
      <formula>ABS(P$25-P$28)&gt;=1000</formula>
    </cfRule>
  </conditionalFormatting>
  <conditionalFormatting sqref="Q22:Q29">
    <cfRule type="expression" dxfId="1785" priority="34">
      <formula>ABS(Q$25-Q$28)&gt;=1000</formula>
    </cfRule>
  </conditionalFormatting>
  <conditionalFormatting sqref="R22:R29">
    <cfRule type="expression" dxfId="1784" priority="33">
      <formula>ABS(R$25-R$28)&gt;=1000</formula>
    </cfRule>
  </conditionalFormatting>
  <conditionalFormatting sqref="S22:S29">
    <cfRule type="expression" dxfId="1783" priority="32">
      <formula>ABS(S$25-S$28)&gt;=1000</formula>
    </cfRule>
  </conditionalFormatting>
  <conditionalFormatting sqref="T22:T29">
    <cfRule type="expression" dxfId="1782" priority="31">
      <formula>ABS(T$25-T$28)&gt;=1000</formula>
    </cfRule>
  </conditionalFormatting>
  <conditionalFormatting sqref="U22:U29">
    <cfRule type="expression" dxfId="1781" priority="30">
      <formula>ABS(U$25-U$28)&gt;=1000</formula>
    </cfRule>
  </conditionalFormatting>
  <conditionalFormatting sqref="V22:V29">
    <cfRule type="expression" dxfId="1780" priority="29">
      <formula>ABS(V$25-V$28)&gt;=1000</formula>
    </cfRule>
  </conditionalFormatting>
  <conditionalFormatting sqref="W22:W29">
    <cfRule type="expression" dxfId="1779" priority="28">
      <formula>ABS(W$25-W$28)&gt;=1000</formula>
    </cfRule>
  </conditionalFormatting>
  <conditionalFormatting sqref="X22:X29">
    <cfRule type="expression" dxfId="1778" priority="27">
      <formula>ABS(X$25-X$28)&gt;=1000</formula>
    </cfRule>
  </conditionalFormatting>
  <conditionalFormatting sqref="Y22:Y29">
    <cfRule type="expression" dxfId="1777" priority="26">
      <formula>ABS(Y$25-Y$28)&gt;=1000</formula>
    </cfRule>
  </conditionalFormatting>
  <conditionalFormatting sqref="I23">
    <cfRule type="expression" dxfId="1776" priority="25">
      <formula>ABS(I$25-I$28)&gt;=1000</formula>
    </cfRule>
  </conditionalFormatting>
  <conditionalFormatting sqref="Q14">
    <cfRule type="expression" dxfId="1775" priority="24">
      <formula>ABS(Q$16-Q$19)&gt;=1000</formula>
    </cfRule>
  </conditionalFormatting>
  <conditionalFormatting sqref="W14">
    <cfRule type="expression" dxfId="1774" priority="23">
      <formula>ABS(W$16-W$19)&gt;=1000</formula>
    </cfRule>
  </conditionalFormatting>
  <conditionalFormatting sqref="X14">
    <cfRule type="expression" dxfId="1773" priority="22">
      <formula>ABS(X$16-X$19)&gt;=1000</formula>
    </cfRule>
  </conditionalFormatting>
  <conditionalFormatting sqref="T10:Y10">
    <cfRule type="expression" dxfId="1772" priority="21">
      <formula>ABS(T$7-T$10)&gt;=1000</formula>
    </cfRule>
  </conditionalFormatting>
  <conditionalFormatting sqref="W19">
    <cfRule type="expression" dxfId="1771" priority="20">
      <formula>ABS(W$16-W$19)&gt;=1000</formula>
    </cfRule>
  </conditionalFormatting>
  <conditionalFormatting sqref="AC5">
    <cfRule type="expression" dxfId="1770" priority="19">
      <formula>ABS(AC$7-AC$10)&gt;=1000</formula>
    </cfRule>
  </conditionalFormatting>
  <conditionalFormatting sqref="M14">
    <cfRule type="expression" dxfId="1769" priority="18">
      <formula>ABS(M$16-M$19)&gt;=1000</formula>
    </cfRule>
  </conditionalFormatting>
  <conditionalFormatting sqref="M16">
    <cfRule type="expression" dxfId="1768" priority="17">
      <formula>ABS(M$16-M$19)&gt;=1000</formula>
    </cfRule>
  </conditionalFormatting>
  <conditionalFormatting sqref="M19">
    <cfRule type="expression" dxfId="1767" priority="16">
      <formula>ABS(M$16-M$19)&gt;=1000</formula>
    </cfRule>
  </conditionalFormatting>
  <conditionalFormatting sqref="K13:K20">
    <cfRule type="expression" dxfId="1766" priority="15">
      <formula>ABS(K$16-K$19)&gt;=1000</formula>
    </cfRule>
  </conditionalFormatting>
  <conditionalFormatting sqref="E5">
    <cfRule type="expression" dxfId="1765" priority="14">
      <formula>ABS(E$7-E$10)&gt;=1000</formula>
    </cfRule>
  </conditionalFormatting>
  <conditionalFormatting sqref="AB14:AC14">
    <cfRule type="expression" dxfId="1764" priority="13">
      <formula>ABS(AB$16-AB$19)&gt;=1000</formula>
    </cfRule>
  </conditionalFormatting>
  <conditionalFormatting sqref="M5">
    <cfRule type="expression" dxfId="1763" priority="12">
      <formula>ABS(M$7-M$10)&gt;=1000</formula>
    </cfRule>
  </conditionalFormatting>
  <conditionalFormatting sqref="N5">
    <cfRule type="expression" dxfId="1762" priority="11">
      <formula>ABS(N$7-N$10)&gt;=1000</formula>
    </cfRule>
  </conditionalFormatting>
  <conditionalFormatting sqref="O5">
    <cfRule type="expression" dxfId="1761" priority="10">
      <formula>ABS(O$7-O$10)&gt;=1000</formula>
    </cfRule>
  </conditionalFormatting>
  <conditionalFormatting sqref="P5">
    <cfRule type="expression" dxfId="1760" priority="9">
      <formula>ABS(P$7-P$10)&gt;=1000</formula>
    </cfRule>
  </conditionalFormatting>
  <conditionalFormatting sqref="L23">
    <cfRule type="expression" dxfId="1759" priority="8">
      <formula>ABS(L$25-L$28)&gt;=1000</formula>
    </cfRule>
  </conditionalFormatting>
  <conditionalFormatting sqref="Y14">
    <cfRule type="expression" dxfId="1758" priority="7">
      <formula>ABS(Y$16-Y$19)&gt;=1000</formula>
    </cfRule>
  </conditionalFormatting>
  <conditionalFormatting sqref="F14">
    <cfRule type="expression" dxfId="1757" priority="6">
      <formula>ABS(F$16-F$19)&gt;=1000</formula>
    </cfRule>
  </conditionalFormatting>
  <conditionalFormatting sqref="H14">
    <cfRule type="expression" dxfId="1756" priority="5">
      <formula>ABS(H$16-H$19)&gt;=1000</formula>
    </cfRule>
  </conditionalFormatting>
  <conditionalFormatting sqref="AD5">
    <cfRule type="expression" dxfId="1755" priority="4">
      <formula>ABS(AD$7-AD$10)&gt;=1000</formula>
    </cfRule>
  </conditionalFormatting>
  <conditionalFormatting sqref="AE5">
    <cfRule type="expression" dxfId="1754" priority="3">
      <formula>ABS(AE$7-AE$10)&gt;=1000</formula>
    </cfRule>
  </conditionalFormatting>
  <conditionalFormatting sqref="T16">
    <cfRule type="expression" dxfId="1753" priority="2">
      <formula>ABS(T$16-T$19)&gt;=1000</formula>
    </cfRule>
  </conditionalFormatting>
  <conditionalFormatting sqref="O23">
    <cfRule type="expression" dxfId="1752" priority="1">
      <formula>ABS(O$25-O$28)&gt;=1000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34785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953">
    <pageSetUpPr fitToPage="1"/>
  </sheetPr>
  <dimension ref="A1:CU223"/>
  <sheetViews>
    <sheetView view="pageBreakPreview" topLeftCell="A19" zoomScale="85" zoomScaleNormal="100" zoomScaleSheetLayoutView="85" workbookViewId="0">
      <selection activeCell="AB36" sqref="AB36:AC36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39" t="s" ph="1">
        <v>161</v>
      </c>
      <c r="C1" s="239" ph="1"/>
      <c r="D1" s="239" ph="1"/>
      <c r="E1" s="239" ph="1"/>
      <c r="F1" s="239" ph="1"/>
      <c r="G1" s="239" ph="1"/>
      <c r="H1" s="239" ph="1"/>
      <c r="I1" s="239" ph="1"/>
      <c r="J1" s="239" ph="1"/>
      <c r="K1" s="239" ph="1"/>
      <c r="L1" s="239" ph="1"/>
      <c r="M1" s="239" ph="1"/>
      <c r="N1" s="239" ph="1"/>
      <c r="O1" s="239" ph="1"/>
      <c r="P1" s="239" ph="1"/>
      <c r="Q1" s="239" ph="1"/>
      <c r="R1" s="239" ph="1"/>
      <c r="S1" s="239" ph="1"/>
      <c r="T1" s="239" ph="1"/>
      <c r="U1" s="239" ph="1"/>
      <c r="V1" s="239" ph="1"/>
      <c r="W1" s="239" ph="1"/>
      <c r="X1" s="239" ph="1"/>
      <c r="Y1" s="239" ph="1"/>
      <c r="Z1" s="239" ph="1"/>
      <c r="AA1" s="239" ph="1"/>
      <c r="AB1" s="239" ph="1"/>
      <c r="AC1" s="239" ph="1"/>
      <c r="AD1" s="239" ph="1"/>
      <c r="AE1" s="239" ph="1"/>
    </row>
    <row r="2" spans="1:99" s="66" customFormat="1" ht="24" customHeight="1" ph="1">
      <c r="B2" s="240" t="s" ph="1">
        <v>82</v>
      </c>
      <c r="C2" s="240" ph="1"/>
      <c r="D2" s="240" ph="1"/>
      <c r="E2" s="240" ph="1"/>
      <c r="F2" s="240" ph="1"/>
      <c r="G2" s="240" ph="1"/>
      <c r="H2" s="240" ph="1"/>
      <c r="I2" s="240" ph="1"/>
      <c r="J2" s="240" ph="1"/>
      <c r="K2" s="240" ph="1"/>
      <c r="L2" s="240" ph="1"/>
      <c r="M2" s="240" ph="1"/>
      <c r="N2" s="240" ph="1"/>
      <c r="O2" s="240" ph="1"/>
      <c r="P2" s="240" ph="1"/>
      <c r="Q2" s="240" ph="1"/>
      <c r="R2" s="240" ph="1"/>
      <c r="S2" s="240" ph="1"/>
      <c r="T2" s="240" ph="1"/>
      <c r="U2" s="240" ph="1"/>
      <c r="V2" s="240" ph="1"/>
      <c r="W2" s="240" ph="1"/>
      <c r="X2" s="240" ph="1"/>
      <c r="Y2" s="240" ph="1"/>
      <c r="Z2" s="240" ph="1"/>
      <c r="AA2" s="240" ph="1"/>
      <c r="AB2" s="240" ph="1"/>
      <c r="AC2" s="240" ph="1"/>
      <c r="AD2" s="240" ph="1"/>
      <c r="AE2" s="240" ph="1"/>
    </row>
    <row r="3" spans="1:99" ht="21" customHeight="1" ph="1">
      <c r="B3" s="241" ph="1">
        <v>46247</v>
      </c>
      <c r="C3" s="241"/>
      <c r="D3" s="241"/>
      <c r="E3" s="241"/>
      <c r="F3" s="241"/>
      <c r="G3" s="241"/>
      <c r="H3" s="241"/>
      <c r="I3" s="241"/>
      <c r="J3" s="241"/>
      <c r="K3" s="241"/>
      <c r="L3" s="241"/>
      <c r="M3" s="241"/>
      <c r="N3" s="241"/>
      <c r="O3" s="241"/>
      <c r="P3" s="241"/>
      <c r="Q3" s="241"/>
      <c r="R3" s="241"/>
      <c r="S3" s="241"/>
      <c r="T3" s="241"/>
      <c r="U3" s="241"/>
      <c r="V3" s="241"/>
      <c r="W3" s="241"/>
      <c r="X3" s="241"/>
      <c r="Y3" s="241"/>
      <c r="Z3" s="241"/>
      <c r="AA3" s="241"/>
      <c r="AB3" s="241"/>
      <c r="AC3" s="241"/>
      <c r="AD3" s="241"/>
      <c r="AE3" s="241"/>
    </row>
    <row r="4" spans="1:99" s="69" customFormat="1" ph="1">
      <c r="A4" s="65" ph="1"/>
      <c r="B4" s="220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0" ph="1"/>
      <c r="C5" s="67" t="s" ph="1">
        <v>36</v>
      </c>
      <c r="D5" s="70" t="s" ph="1">
        <v>160</v>
      </c>
      <c r="E5" s="142" t="s" ph="1">
        <v>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8" ph="1">
        <v>0.33333333333333331</v>
      </c>
      <c r="C6" s="157" t="s" ph="1">
        <v>177</v>
      </c>
      <c r="D6" s="71">
        <v>6182</v>
      </c>
      <c r="E6" s="71">
        <v>2414</v>
      </c>
      <c r="F6" s="71">
        <v>5946</v>
      </c>
      <c r="G6" s="71">
        <v>7157</v>
      </c>
      <c r="H6" s="71">
        <v>1334</v>
      </c>
      <c r="I6" s="71">
        <v>17.57</v>
      </c>
      <c r="J6" s="71">
        <v>76.98</v>
      </c>
      <c r="K6" s="71">
        <v>7.44</v>
      </c>
      <c r="L6" s="71">
        <v>6.36</v>
      </c>
      <c r="M6" s="71">
        <v>4253</v>
      </c>
      <c r="N6" s="71">
        <v>3465</v>
      </c>
      <c r="O6" s="71">
        <v>2792</v>
      </c>
      <c r="P6" s="71">
        <v>2445</v>
      </c>
      <c r="Q6" s="71">
        <v>0</v>
      </c>
      <c r="R6" s="71">
        <v>0</v>
      </c>
      <c r="S6" s="71">
        <v>0</v>
      </c>
      <c r="T6" s="71">
        <v>0</v>
      </c>
      <c r="U6" s="71">
        <v>3799</v>
      </c>
      <c r="V6" s="71">
        <v>5413</v>
      </c>
      <c r="W6" s="71">
        <v>7082</v>
      </c>
      <c r="X6" s="71">
        <v>3326</v>
      </c>
      <c r="Y6" s="71">
        <v>0</v>
      </c>
      <c r="Z6" s="71">
        <v>2253</v>
      </c>
      <c r="AA6" s="71">
        <v>1304</v>
      </c>
      <c r="AB6" s="71">
        <v>2569</v>
      </c>
      <c r="AC6" s="71">
        <v>4765</v>
      </c>
      <c r="AD6" s="71">
        <v>3383</v>
      </c>
      <c r="AE6" s="71">
        <v>4870</v>
      </c>
    </row>
    <row r="7" spans="1:99" s="72" customFormat="1" ht="22.2" ph="1">
      <c r="B7" s="238" ph="1"/>
      <c r="C7" s="68" t="s" ph="1">
        <v>178</v>
      </c>
      <c r="D7" s="73" ph="1">
        <f>D6*33.183*LOOKUP(D8,密度!$A$2:$A$50,密度!$Q$2:$Q$50)</f>
        <v>193512.17486898002</v>
      </c>
      <c r="E7" s="73" ph="1">
        <f>E6*51.53*LOOKUP(E8,密度!$A$2:$A$50,密度!$B$2:$B$50)</f>
        <v>96653.687340000004</v>
      </c>
      <c r="F7" s="73" ph="1">
        <f>F6*33.183*LOOKUP(F8,密度!$A$2:$A$50,密度!$C$2:$C$50)</f>
        <v>218338.95017880001</v>
      </c>
      <c r="G7" s="73" ph="1">
        <f xml:space="preserve"> (G6+2)*51.53*LOOKUP(G8,密度!$A$2:$A$50,密度!$B$2:$B$50)</f>
        <v>286342.71817400004</v>
      </c>
      <c r="H7" s="73" ph="1">
        <f>(H6)*51.53*LOOKUP(H8,密度!$A$2:$A$50,密度!$B$2:$B$50)</f>
        <v>53528.632273999996</v>
      </c>
      <c r="I7" s="73" ph="1">
        <f>I6*290.8*1.0267</f>
        <v>5245.7758052000008</v>
      </c>
      <c r="J7" s="73" ph="1">
        <f>J6*290.8*0.7892</f>
        <v>17666.860732800003</v>
      </c>
      <c r="K7" s="73" ph="1">
        <f>K6*290.8*1.1126</f>
        <v>2407.1679552000001</v>
      </c>
      <c r="L7" s="73" ph="1">
        <f>L6*290.8*0.777</f>
        <v>1437.0521760000001</v>
      </c>
      <c r="M7" s="73" ph="1">
        <f>M6*33.183*LOOKUP(M8,密度!$A$2:$A$50,密度!$D$2:$D$50)</f>
        <v>144359.11414709999</v>
      </c>
      <c r="N7" s="73" ph="1">
        <f>N6*33.183*LOOKUP(N8,密度!$A$2:$A$50,密度!$E$2:$E$50)</f>
        <v>89407.744271999996</v>
      </c>
      <c r="O7" s="73" ph="1">
        <f>O6*20.428*LOOKUP(O8,密度!$A$2:$A$50,密度!$C$2:$C$50)</f>
        <v>63029.351977600003</v>
      </c>
      <c r="P7" s="73" ph="1">
        <f>P6*51.53*LOOKUP(P8,密度!$A$2:$A$50,密度!$B$2:$B$50)</f>
        <v>98008.282215000014</v>
      </c>
      <c r="Q7" s="73" ph="1">
        <f>Q6*1.5*1.5*3.1416*LOOKUP(W8,密度!$A$2:$A$50,密度!$L$2:$L$50)</f>
        <v>0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25054.419436199998</v>
      </c>
      <c r="V7" s="73" ph="1">
        <f>V6*1.5*1.5*3.1416*LOOKUP(V8,密度!$A$2:$A$50,密度!$L$2:$L$50)</f>
        <v>35698.755569400004</v>
      </c>
      <c r="W7" s="73" ph="1">
        <f>W6*1.5*1.5*3.1416*LOOKUP(W8,密度!$A$2:$A$50,密度!$L$2:$L$50)</f>
        <v>46755.876736800004</v>
      </c>
      <c r="X7" s="73" ph="1">
        <f>X6*1.5*1.5*3.1416*LOOKUP(X8,密度!$A$2:$A$50,密度!$L$2:$L$50)</f>
        <v>22193.594438399999</v>
      </c>
      <c r="Y7" s="73" ph="1">
        <f>Y6*1.5*1.5*3.1416*LOOKUP(Y8,密度!$A$2:$A$50,密度!$L$2:$L$50)</f>
        <v>0</v>
      </c>
      <c r="Z7" s="73" ph="1">
        <f>Z6*33.183*LOOKUP(Z8,密度!$A$2:$A$50,密度!$L$2:$L$50)</f>
        <v>69976.575863999999</v>
      </c>
      <c r="AA7" s="73" ph="1">
        <f>AA6*33.183*LOOKUP(AA8,密度!$A$2:$A$50,密度!$D$2:$D$50)</f>
        <v>44222.585904</v>
      </c>
      <c r="AB7" s="73" ph="1">
        <f>AB6*20.428*LOOKUP(AB8,密度!$A$2:$A$50,密度!$D$2:$D$50)</f>
        <v>54027.678194</v>
      </c>
      <c r="AC7" s="73" ph="1">
        <f>AC6*51.53*LOOKUP(AC8,密度!$A$2:$A$50,密度!$Q$2:$Q$50)</f>
        <v>232288.63191350002</v>
      </c>
      <c r="AD7" s="73" ph="1">
        <f>AD6*20.428*LOOKUP(AD8,密度!$A$2:$A$50,密度!$V$2:$V$50)</f>
        <v>66177.748022400003</v>
      </c>
      <c r="AE7" s="73" ph="1">
        <f>AE6*20.428</f>
        <v>99484.36</v>
      </c>
    </row>
    <row r="8" spans="1:99" ph="1">
      <c r="B8" s="238" ph="1"/>
      <c r="C8" s="68" t="s" ph="1">
        <v>179</v>
      </c>
      <c r="D8" s="74">
        <v>30</v>
      </c>
      <c r="E8" s="74">
        <v>28</v>
      </c>
      <c r="F8" s="74">
        <v>28</v>
      </c>
      <c r="G8" s="74">
        <v>29</v>
      </c>
      <c r="H8" s="74">
        <v>26</v>
      </c>
      <c r="I8" s="74">
        <v>25</v>
      </c>
      <c r="J8" s="74">
        <v>25</v>
      </c>
      <c r="K8" s="74">
        <v>25</v>
      </c>
      <c r="L8" s="74">
        <v>25</v>
      </c>
      <c r="M8" s="74">
        <v>29</v>
      </c>
      <c r="N8" s="74">
        <v>30</v>
      </c>
      <c r="O8" s="74">
        <v>30</v>
      </c>
      <c r="P8" s="74">
        <v>27</v>
      </c>
      <c r="Q8" s="74">
        <v>30</v>
      </c>
      <c r="R8" s="74">
        <v>34</v>
      </c>
      <c r="S8" s="74">
        <v>25</v>
      </c>
      <c r="T8" s="74">
        <v>23</v>
      </c>
      <c r="U8" s="74">
        <v>29</v>
      </c>
      <c r="V8" s="74">
        <v>29</v>
      </c>
      <c r="W8" s="74">
        <v>28</v>
      </c>
      <c r="X8" s="74">
        <v>18</v>
      </c>
      <c r="Y8" s="74">
        <v>28</v>
      </c>
      <c r="Z8" s="74">
        <v>26</v>
      </c>
      <c r="AA8" s="74">
        <v>30</v>
      </c>
      <c r="AB8" s="74">
        <v>22</v>
      </c>
      <c r="AC8" s="74">
        <v>26</v>
      </c>
      <c r="AD8" s="74">
        <v>26</v>
      </c>
      <c r="AE8" s="74">
        <v>30</v>
      </c>
    </row>
    <row r="9" spans="1:99" ht="26.4" ph="1">
      <c r="B9" s="238" ph="1">
        <v>0.66666666666666663</v>
      </c>
      <c r="C9" s="157" t="s" ph="1">
        <v>180</v>
      </c>
      <c r="D9" s="71">
        <v>5625</v>
      </c>
      <c r="E9" s="71">
        <v>3269</v>
      </c>
      <c r="F9" s="71">
        <v>5947</v>
      </c>
      <c r="G9" s="71">
        <v>7609</v>
      </c>
      <c r="H9" s="71">
        <v>1332</v>
      </c>
      <c r="I9" s="71">
        <v>17.47</v>
      </c>
      <c r="J9" s="71">
        <v>77.11</v>
      </c>
      <c r="K9" s="71">
        <v>7.34</v>
      </c>
      <c r="L9" s="71">
        <v>64.39</v>
      </c>
      <c r="M9" s="71">
        <v>4252</v>
      </c>
      <c r="N9" s="71">
        <v>3475</v>
      </c>
      <c r="O9" s="71">
        <v>1928</v>
      </c>
      <c r="P9" s="71">
        <v>1775</v>
      </c>
      <c r="Q9" s="71">
        <v>667</v>
      </c>
      <c r="R9" s="71">
        <v>0</v>
      </c>
      <c r="S9" s="71">
        <v>0</v>
      </c>
      <c r="T9" s="71">
        <v>0</v>
      </c>
      <c r="U9" s="71">
        <v>0</v>
      </c>
      <c r="V9" s="71">
        <v>4648</v>
      </c>
      <c r="W9" s="71">
        <v>7092</v>
      </c>
      <c r="X9" s="71">
        <v>5863</v>
      </c>
      <c r="Y9" s="71">
        <v>2894</v>
      </c>
      <c r="Z9" s="71">
        <v>1719</v>
      </c>
      <c r="AA9" s="71">
        <v>1304</v>
      </c>
      <c r="AB9" s="71">
        <v>2568</v>
      </c>
      <c r="AC9" s="71">
        <v>4769</v>
      </c>
      <c r="AD9" s="71">
        <v>3381</v>
      </c>
      <c r="AE9" s="71">
        <v>4855</v>
      </c>
    </row>
    <row r="10" spans="1:99" s="72" customFormat="1" ht="22.2" ph="1">
      <c r="B10" s="238" ph="1"/>
      <c r="C10" s="157" t="s" ph="1">
        <v>178</v>
      </c>
      <c r="D10" s="73" ph="1">
        <f>D9*33.183*LOOKUP(D11,密度!$A$2:$A$50,密度!$Q$2:$Q$50)</f>
        <v>175809.75581249999</v>
      </c>
      <c r="E10" s="73" ph="1">
        <f>E9*51.53*LOOKUP(E11,密度!$A$2:$A$50,密度!$B$2:$B$50)</f>
        <v>129859.31531300001</v>
      </c>
      <c r="F10" s="73" ph="1">
        <f>F9*33.183*LOOKUP(F11,密度!$A$2:$A$50,密度!$C$2:$C$50)</f>
        <v>217882.32223410002</v>
      </c>
      <c r="G10" s="73" ph="1">
        <f xml:space="preserve"> (G9+2)*51.53*LOOKUP(G11,密度!$A$2:$A$50,密度!$B$2:$B$50)</f>
        <v>302342.99444700003</v>
      </c>
      <c r="H10" s="73" ph="1">
        <f>(H9)*51.53*LOOKUP(H11,密度!$A$2:$A$50,密度!$B$2:$B$50)</f>
        <v>52734.544668000002</v>
      </c>
      <c r="I10" s="73" ph="1">
        <f>I9*290.8*1.0267</f>
        <v>5215.9193691999999</v>
      </c>
      <c r="J10" s="73" ph="1">
        <f>J9*290.8*0.7892</f>
        <v>17696.695649599998</v>
      </c>
      <c r="K10" s="73" ph="1">
        <f>K9*290.8*1.1126</f>
        <v>2374.8135472000004</v>
      </c>
      <c r="L10" s="73" ph="1">
        <f>L9*290.8*0.777</f>
        <v>14549.023524000002</v>
      </c>
      <c r="M10" s="73" ph="1">
        <f>M9*33.183*LOOKUP(M11,密度!$A$2:$A$50,密度!$D$2:$D$50)</f>
        <v>143704.35714599999</v>
      </c>
      <c r="N10" s="73" ph="1">
        <f>N9*33.183*LOOKUP(N11,密度!$A$2:$A$50,密度!$E$2:$E$50)</f>
        <v>89402.866370999996</v>
      </c>
      <c r="O10" s="73" ph="1">
        <f>O9*20.428*LOOKUP(O11,密度!$A$2:$A$50,密度!$C$2:$C$50)</f>
        <v>43276.440179199999</v>
      </c>
      <c r="P10" s="73" ph="1">
        <f>P9*51.53*LOOKUP(P11,密度!$A$2:$A$50,密度!$B$2:$B$50)</f>
        <v>70675.585025000008</v>
      </c>
      <c r="Q10" s="73" ph="1">
        <f>Q9*1.5*1.5*3.1416*LOOKUP(W11,密度!$A$2:$A$50,密度!$L$2:$L$50)</f>
        <v>4394.1527784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30456.448545600004</v>
      </c>
      <c r="W10" s="73" ph="1">
        <f>W9*1.5*1.5*3.1416*LOOKUP(W11,密度!$A$2:$A$50,密度!$L$2:$L$50)</f>
        <v>46721.636438400004</v>
      </c>
      <c r="X10" s="73" ph="1">
        <f>X9*1.5*1.5*3.1416*LOOKUP(X11,密度!$A$2:$A$50,密度!$L$2:$L$50)</f>
        <v>39039.4960956</v>
      </c>
      <c r="Y10" s="73" ph="1">
        <f>Y9*1.5*1.5*3.1416*LOOKUP(Y11,密度!$A$2:$A$50,密度!$L$2:$L$50)</f>
        <v>19106.397525600001</v>
      </c>
      <c r="Z10" s="73" ph="1">
        <f>Z9*33.183*LOOKUP(Z11,密度!$A$2:$A$50,密度!$L$2:$L$50)</f>
        <v>53048.66661</v>
      </c>
      <c r="AA10" s="73" ph="1">
        <f>AA9*33.183*LOOKUP(AA11,密度!$A$2:$A$50,密度!$D$2:$D$50)</f>
        <v>44032.195123199999</v>
      </c>
      <c r="AB10" s="73" ph="1">
        <f>AB9*20.428*LOOKUP(AB11,密度!$A$2:$A$50,密度!$D$2:$D$50)</f>
        <v>53859.762076799998</v>
      </c>
      <c r="AC10" s="73" ph="1">
        <f>AC9*51.53*LOOKUP(AC11,密度!$A$2:$A$50,密度!$Q$2:$Q$50)</f>
        <v>231308.95901250001</v>
      </c>
      <c r="AD10" s="73" ph="1">
        <f>AD9*20.428*LOOKUP(AD11,密度!$A$2:$A$50,密度!$V$2:$V$50)</f>
        <v>66138.624316799993</v>
      </c>
      <c r="AE10" s="73" ph="1">
        <f>AE9*20.428</f>
        <v>99177.94</v>
      </c>
    </row>
    <row r="11" spans="1:99" ph="1">
      <c r="A11" s="64" t="s" ph="1">
        <v>162</v>
      </c>
      <c r="B11" s="238" ph="1"/>
      <c r="C11" s="157" t="s" ph="1">
        <v>179</v>
      </c>
      <c r="D11" s="74">
        <v>32</v>
      </c>
      <c r="E11" s="74">
        <v>35</v>
      </c>
      <c r="F11" s="74">
        <v>31</v>
      </c>
      <c r="G11" s="74">
        <v>35</v>
      </c>
      <c r="H11" s="74">
        <v>38</v>
      </c>
      <c r="I11" s="74">
        <v>25</v>
      </c>
      <c r="J11" s="74">
        <v>25</v>
      </c>
      <c r="K11" s="74">
        <v>25</v>
      </c>
      <c r="L11" s="74">
        <v>25</v>
      </c>
      <c r="M11" s="74">
        <v>34</v>
      </c>
      <c r="N11" s="74">
        <v>32</v>
      </c>
      <c r="O11" s="74">
        <v>36</v>
      </c>
      <c r="P11" s="74">
        <v>33</v>
      </c>
      <c r="Q11" s="74">
        <v>41</v>
      </c>
      <c r="R11" s="74">
        <v>40</v>
      </c>
      <c r="S11" s="74">
        <v>30</v>
      </c>
      <c r="T11" s="74">
        <v>33</v>
      </c>
      <c r="U11" s="74">
        <v>35</v>
      </c>
      <c r="V11" s="74">
        <v>35</v>
      </c>
      <c r="W11" s="74">
        <v>30</v>
      </c>
      <c r="X11" s="74">
        <v>20</v>
      </c>
      <c r="Y11" s="74">
        <v>28</v>
      </c>
      <c r="Z11" s="74">
        <v>32</v>
      </c>
      <c r="AA11" s="74">
        <v>35</v>
      </c>
      <c r="AB11" s="74">
        <v>25</v>
      </c>
      <c r="AC11" s="74">
        <v>33</v>
      </c>
      <c r="AD11" s="74">
        <v>35</v>
      </c>
      <c r="AE11" s="74">
        <v>32</v>
      </c>
    </row>
    <row r="12" spans="1:99" ht="9.9" customHeight="1" ph="1"/>
    <row r="13" spans="1:99" s="72" customFormat="1" ht="29.25" customHeight="1" ph="1">
      <c r="B13" s="215" t="s" ph="1">
        <v>37</v>
      </c>
      <c r="C13" s="157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6" ph="1"/>
      <c r="C14" s="67" t="s" ph="1">
        <v>36</v>
      </c>
      <c r="D14" s="77" t="s" ph="1">
        <v>616</v>
      </c>
      <c r="E14" s="77" t="s" ph="1">
        <v>616</v>
      </c>
      <c r="F14" s="144" t="s" ph="1">
        <v>636</v>
      </c>
      <c r="G14" s="77" t="s" ph="1">
        <v>617</v>
      </c>
      <c r="H14" s="77" t="s" ph="1">
        <v>637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638</v>
      </c>
      <c r="P14" s="77" t="s" ph="1">
        <v>622</v>
      </c>
      <c r="Q14" s="77" t="s" ph="1">
        <v>622</v>
      </c>
      <c r="R14" s="88" t="s" ph="1">
        <v>7</v>
      </c>
      <c r="S14" s="77" t="s" ph="1">
        <v>622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17" ph="1">
        <v>0.33333333333333331</v>
      </c>
      <c r="C15" s="157" t="s" ph="1">
        <v>177</v>
      </c>
      <c r="D15" s="78">
        <v>4669</v>
      </c>
      <c r="E15" s="78">
        <v>5313</v>
      </c>
      <c r="F15" s="78">
        <v>3284</v>
      </c>
      <c r="G15" s="78">
        <v>3797</v>
      </c>
      <c r="H15" s="78">
        <v>4365</v>
      </c>
      <c r="I15" s="78">
        <v>3129</v>
      </c>
      <c r="J15" s="78">
        <v>3299</v>
      </c>
      <c r="K15" s="78">
        <v>3659</v>
      </c>
      <c r="L15" s="78">
        <v>3970</v>
      </c>
      <c r="M15" s="78">
        <v>3112</v>
      </c>
      <c r="N15" s="78">
        <v>2898</v>
      </c>
      <c r="O15" s="78">
        <v>2990</v>
      </c>
      <c r="P15" s="78">
        <v>5021</v>
      </c>
      <c r="Q15" s="78">
        <v>2270</v>
      </c>
      <c r="R15" s="78">
        <v>0</v>
      </c>
      <c r="S15" s="78">
        <v>0</v>
      </c>
      <c r="T15" s="78">
        <v>1991</v>
      </c>
      <c r="U15" s="78">
        <v>1826</v>
      </c>
      <c r="V15" s="78">
        <v>2210</v>
      </c>
      <c r="W15" s="71">
        <v>2380</v>
      </c>
      <c r="X15" s="78">
        <v>862</v>
      </c>
      <c r="Y15" s="106">
        <v>-9907</v>
      </c>
      <c r="Z15" s="78">
        <v>0</v>
      </c>
      <c r="AA15" s="78">
        <v>2496</v>
      </c>
      <c r="AB15" s="78" ph="1">
        <v>0</v>
      </c>
      <c r="AC15" s="78" ph="1">
        <v>0</v>
      </c>
      <c r="AD15" s="78">
        <v>5.55</v>
      </c>
      <c r="AE15" s="78">
        <v>44.36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18" ph="1"/>
      <c r="C16" s="157" t="s" ph="1">
        <v>178</v>
      </c>
      <c r="D16" s="73" ph="1">
        <f>D15*7.0686*LOOKUP(D17,密度!$A$2:$A$50,密度!$L$2:$L$50)</f>
        <v>30759.069448800004</v>
      </c>
      <c r="E16" s="73" ph="1">
        <f>E15*7.0686*LOOKUP(E17,密度!$A$2:$A$50,密度!$L$2:$L$50)</f>
        <v>35001.6997176</v>
      </c>
      <c r="F16" s="73" ph="1">
        <f>F15*9.0746*LOOKUP(F17,密度!$A$2:$A$50,密度!$L$2:$L$50)</f>
        <v>27774.519324800003</v>
      </c>
      <c r="G16" s="73" ph="1">
        <f>G15*9.0746*LOOKUP(G17,密度!$A$2:$A$50,密度!$B$2:$B$50)</f>
        <v>26744.946062440002</v>
      </c>
      <c r="H16" s="73" ph="1">
        <f>H15*9.0746*LOOKUP(H17,密度!$A$2:$A$50,密度!$L$2:$L$50)</f>
        <v>37115.159373000002</v>
      </c>
      <c r="I16" s="73" ph="1">
        <f>I15*9.0746*LOOKUP(I17,密度!$A$2:$A$50,密度!$U$2:$U$50)</f>
        <v>29019.100714799999</v>
      </c>
      <c r="J16" s="73" ph="1">
        <f>J15*9.0746*LOOKUP(J17,密度!$A$2:$A$50,密度!$L$2:$L$50)</f>
        <v>27901.382232800002</v>
      </c>
      <c r="K16" s="73" ph="1">
        <f>K15*9.0746*LOOKUP(K17,密度!$A$2:$A$50,密度!$C$2:$C$50)</f>
        <v>36720.260912260004</v>
      </c>
      <c r="L16" s="73" ph="1">
        <f>L15*9.0746*LOOKUP(L17,密度!$A$2:$A$50,密度!$E$2:$E$50)</f>
        <v>28013.943571200001</v>
      </c>
      <c r="M16" s="73" ph="1">
        <f>M15*9.0746*LOOKUP(M17,密度!$A$2:$A$50,密度!$M$2:$M$50)</f>
        <v>24566.111008480002</v>
      </c>
      <c r="N16" s="73" ph="1">
        <f>N15*9.0746*LOOKUP(N17,密度!$A$2:$A$50,密度!$M$2:$M$50)</f>
        <v>22960.950387479999</v>
      </c>
      <c r="O16" s="73" ph="1">
        <f>O15*9.0746*LOOKUP(O17,密度!$A$2:$A$50,密度!$G$2:$G$50)</f>
        <v>25936.4863186</v>
      </c>
      <c r="P16" s="73" ph="1">
        <f ca="1">P15*9.0746*LOOKUP(P17,密度!$A$2:$A$51,密度!$Q$2:$Q$50)</f>
        <v>43008.817420738</v>
      </c>
      <c r="Q16" s="73" ph="1">
        <f>Q15*9.0746*LOOKUP(Q17,密度!$A$2:$A$50,密度!$Q$2:$Q$50)</f>
        <v>19431.977288860002</v>
      </c>
      <c r="R16" s="73" ph="1">
        <f>MAX(R15*9.0746*LOOKUP(R17,密度!$A$2:$A$50,密度!$B$2:$B$50),0)</f>
        <v>0</v>
      </c>
      <c r="S16" s="73" ph="1">
        <f>S15*9.0746*LOOKUP(S17,密度!$A$2:$A$50,密度!$Q$2:$Q$50)</f>
        <v>0</v>
      </c>
      <c r="T16" s="73" ph="1">
        <f>T15*9.0746*LOOKUP(T17,密度!$A$2:$A$50,密度!$O$2:$O$50)</f>
        <v>16730.531483600003</v>
      </c>
      <c r="U16" s="73" ph="1">
        <f>U15*9.0746*LOOKUP(U17,密度!$A$2:$A$50,密度!$H$2:$H$50)</f>
        <v>15112.040275200001</v>
      </c>
      <c r="V16" s="73" ph="1">
        <f>MAX(5600*LOOKUP(V17,密度!$A$2:$A$50,密度!$Q$2:$Q$50)+V15*9.0476*LOOKUP(V17,密度!$A$2:$A$50,密度!$Q$2:$Q$50),0)</f>
        <v>24144.716242680002</v>
      </c>
      <c r="W16" s="73" ph="1">
        <f>MAX(5600*LOOKUP(W17,密度!$A$2:$A$50,密度!$Q$2:$Q$50)+W15*9.0476*LOOKUP(W17,密度!$A$2:$A$50,密度!$Q$2:$Q$50),0)</f>
        <v>25595.64456904</v>
      </c>
      <c r="X16" s="73" ph="1">
        <f>MAX(5600*LOOKUP(X17,密度!$A$2:$A$50,密度!$I$2:$I$50)+X15*9.0476*LOOKUP(X17,密度!$A$2:$A$50,密度!$I$2:$I$50),0)</f>
        <v>13876.03671072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17599.206643199999</v>
      </c>
      <c r="AB16" s="73" ph="1">
        <f>AB15*9.0746*LOOKUP(AB17,密度!$A$2:$A$50,密度!$L$2:$L$50)</f>
        <v>0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2383.3728504000001</v>
      </c>
      <c r="AE16" s="73" ph="1">
        <f>AE15*268.68*LOOKUP(AE17,密度!$A$2:$A$50,密度!B2:B50)+IF(AE15&lt;=0,0,1566*LOOKUP(AE17,密度!$A$2:$A$50,密度!B2:B50))</f>
        <v>10512.62908608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19" ph="1"/>
      <c r="C17" s="79" t="s" ph="1">
        <v>179</v>
      </c>
      <c r="D17" s="74">
        <v>30</v>
      </c>
      <c r="E17" s="74">
        <v>30</v>
      </c>
      <c r="F17" s="74">
        <v>30</v>
      </c>
      <c r="G17" s="74">
        <v>29</v>
      </c>
      <c r="H17" s="74">
        <v>25</v>
      </c>
      <c r="I17" s="74">
        <v>28</v>
      </c>
      <c r="J17" s="74">
        <v>30</v>
      </c>
      <c r="K17" s="74">
        <v>29</v>
      </c>
      <c r="L17" s="74">
        <v>30</v>
      </c>
      <c r="M17" s="74">
        <v>30</v>
      </c>
      <c r="N17" s="74">
        <v>27</v>
      </c>
      <c r="O17" s="74">
        <v>29</v>
      </c>
      <c r="P17" s="74">
        <v>29</v>
      </c>
      <c r="Q17" s="74">
        <v>30</v>
      </c>
      <c r="R17" s="74">
        <v>27</v>
      </c>
      <c r="S17" s="74">
        <v>28</v>
      </c>
      <c r="T17" s="74">
        <v>29</v>
      </c>
      <c r="U17" s="74">
        <v>28</v>
      </c>
      <c r="V17" s="74">
        <v>30</v>
      </c>
      <c r="W17" s="74">
        <v>30</v>
      </c>
      <c r="X17" s="74">
        <v>31</v>
      </c>
      <c r="Y17" s="108">
        <v>31</v>
      </c>
      <c r="Z17" s="74">
        <v>30</v>
      </c>
      <c r="AA17" s="74">
        <v>28</v>
      </c>
      <c r="AB17" s="74">
        <v>27</v>
      </c>
      <c r="AC17" s="74">
        <v>25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17" ph="1">
        <v>0.66666666666666663</v>
      </c>
      <c r="C18" s="79" t="s" ph="1">
        <v>180</v>
      </c>
      <c r="D18" s="71">
        <v>5623</v>
      </c>
      <c r="E18" s="71">
        <v>5392</v>
      </c>
      <c r="F18" s="71">
        <v>3944</v>
      </c>
      <c r="G18" s="71">
        <v>3950</v>
      </c>
      <c r="H18" s="71">
        <v>4368</v>
      </c>
      <c r="I18" s="71">
        <v>3131</v>
      </c>
      <c r="J18" s="71">
        <v>3713</v>
      </c>
      <c r="K18" s="71">
        <v>3659</v>
      </c>
      <c r="L18" s="71">
        <v>3975</v>
      </c>
      <c r="M18" s="71">
        <v>2310</v>
      </c>
      <c r="N18" s="71">
        <v>1894</v>
      </c>
      <c r="O18" s="71">
        <v>2991</v>
      </c>
      <c r="P18" s="71">
        <v>6179</v>
      </c>
      <c r="Q18" s="71">
        <v>2268</v>
      </c>
      <c r="R18" s="71">
        <v>0</v>
      </c>
      <c r="S18" s="71">
        <v>0</v>
      </c>
      <c r="T18" s="71">
        <v>1991</v>
      </c>
      <c r="U18" s="71">
        <v>1822</v>
      </c>
      <c r="V18" s="71">
        <v>2698</v>
      </c>
      <c r="W18" s="71">
        <v>2380</v>
      </c>
      <c r="X18" s="71">
        <v>859</v>
      </c>
      <c r="Y18" s="109">
        <v>-9908</v>
      </c>
      <c r="Z18" s="71">
        <v>0</v>
      </c>
      <c r="AA18" s="71">
        <v>2497</v>
      </c>
      <c r="AB18" s="71">
        <v>21</v>
      </c>
      <c r="AC18" s="71">
        <v>0</v>
      </c>
      <c r="AD18" s="71">
        <v>12.9</v>
      </c>
      <c r="AE18" s="71">
        <v>84.54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18" ph="1"/>
      <c r="C19" s="157" t="s" ph="1">
        <v>178</v>
      </c>
      <c r="D19" s="73" ph="1">
        <f>D18*7.0686*LOOKUP(D20,密度!$A$2:$A$50,密度!$L$2:$L$50)</f>
        <v>36964.466154000002</v>
      </c>
      <c r="E19" s="73" ph="1">
        <f>E18*7.0686*LOOKUP(E20,密度!$A$2:$A$50,密度!$L$2:$L$50)</f>
        <v>35445.918815999998</v>
      </c>
      <c r="F19" s="73" ph="1">
        <f>F18*9.0746*LOOKUP(F20,密度!$A$2:$A$50,密度!$L$2:$L$50)</f>
        <v>33356.487276799999</v>
      </c>
      <c r="G19" s="73" ph="1">
        <f>G18*9.0746*LOOKUP(G20,密度!$A$2:$A$50,密度!$B$2:$B$50)</f>
        <v>27790.372650999998</v>
      </c>
      <c r="H19" s="73" ph="1">
        <f>H18*9.0746*LOOKUP(H20,密度!$A$2:$A$50,密度!$L$2:$L$50)</f>
        <v>37021.754515200002</v>
      </c>
      <c r="I19" s="73" ph="1">
        <f>I18*9.0746*LOOKUP(I20,密度!$A$2:$A$50,密度!$U$2:$U$50)</f>
        <v>28952.411479399998</v>
      </c>
      <c r="J19" s="73" ph="1">
        <f>J18*9.0746*LOOKUP(J20,密度!$A$2:$A$50,密度!$L$2:$L$50)</f>
        <v>31065.858595600002</v>
      </c>
      <c r="K19" s="73" ph="1">
        <f>K18*9.0746*LOOKUP(K20,密度!$A$2:$A$50,密度!$C$2:$C$50)</f>
        <v>36590.765462800002</v>
      </c>
      <c r="L19" s="73" ph="1">
        <f>L18*9.0746*LOOKUP(L20,密度!$A$2:$A$50,密度!$E$2:$E$50)</f>
        <v>28049.225616</v>
      </c>
      <c r="M19" s="73" ph="1">
        <f>M18*9.0746*LOOKUP(M20,密度!$A$2:$A$50,密度!$M$2:$M$50)</f>
        <v>18125.494422420001</v>
      </c>
      <c r="N19" s="73" ph="1">
        <f>N18*9.0746*LOOKUP(N20,密度!$A$2:$A$50,密度!$M$2:$M$50)</f>
        <v>14951.225658760002</v>
      </c>
      <c r="O19" s="73" ph="1">
        <f>O18*9.0746*LOOKUP(O20,密度!$A$2:$A$50,密度!$G$2:$G$50)</f>
        <v>25885.719467105999</v>
      </c>
      <c r="P19" s="73" ph="1">
        <f ca="1">P18*9.0746*LOOKUP(P20,密度!$A$2:$A$51,密度!$Q$2:$Q$50)</f>
        <v>52852.301835771999</v>
      </c>
      <c r="Q19" s="73" ph="1">
        <f>Q18*9.0746*LOOKUP(Q20,密度!$A$2:$A$50,密度!$Q$2:$Q$50)</f>
        <v>19385.425498320001</v>
      </c>
      <c r="R19" s="73" ph="1">
        <f>MAX(R18*9.0746*LOOKUP(R20,密度!$A$2:$A$50,密度!$B$2:$B$50),0)</f>
        <v>0</v>
      </c>
      <c r="S19" s="73" ph="1">
        <f>S18*9.0746*LOOKUP(S20,密度!$A$2:$A$50,密度!$Q$2:$Q$50)</f>
        <v>0</v>
      </c>
      <c r="T19" s="73" ph="1">
        <f>T18*9.0746*LOOKUP(T20,密度!$A$2:$A$50,密度!$O$2:$O$50)</f>
        <v>16658.261369200001</v>
      </c>
      <c r="U19" s="73" ph="1">
        <f>U18*9.0746*LOOKUP(U20,密度!$A$2:$A$50,密度!$H$2:$H$50)</f>
        <v>15014.123163296001</v>
      </c>
      <c r="V19" s="73" ph="1">
        <f>MAX(5600*LOOKUP(V20,密度!$A$2:$A$50,密度!$Q$2:$Q$50)+V18*9.0476*LOOKUP(V20,密度!$A$2:$A$50,密度!$Q$2:$Q$50),0)</f>
        <v>28247.312342999998</v>
      </c>
      <c r="W19" s="73" ph="1">
        <f>MAX(5600*LOOKUP(W20,密度!$A$2:$A$50,密度!$Q$2:$Q$50)+W18*9.0476*LOOKUP(W20,密度!$A$2:$A$50,密度!$Q$2:$Q$50),0)</f>
        <v>25539.207329999997</v>
      </c>
      <c r="X19" s="73" ph="1">
        <f>MAX(5600*LOOKUP(X20,密度!$A$2:$A$50,密度!$I$2:$I$50)+X18*9.0476*LOOKUP(X20,密度!$A$2:$A$50,密度!$I$2:$I$50),0)</f>
        <v>13802.463206479999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17526.950140699999</v>
      </c>
      <c r="AB19" s="73" ph="1">
        <f>AB18*9.0746*LOOKUP(AB20,密度!$A$2:$A$50,密度!$L$2:$L$50)</f>
        <v>176.27410499999999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3909.8422440000004</v>
      </c>
      <c r="AE19" s="73" ph="1">
        <f>AE18*268.68*LOOKUP(AE20,密度!$A$2:$A$50,密度!B5:B53)+IF(AE18&lt;=0,0,1566*LOOKUP(AE20,密度!$A$2:$A$50,密度!B5:B53))</f>
        <v>18865.720994399999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18" ph="1"/>
      <c r="C20" s="80" t="s" ph="1">
        <v>179</v>
      </c>
      <c r="D20" s="81">
        <v>32</v>
      </c>
      <c r="E20" s="81">
        <v>32</v>
      </c>
      <c r="F20" s="81">
        <v>30</v>
      </c>
      <c r="G20" s="81">
        <v>30</v>
      </c>
      <c r="H20" s="81">
        <v>28</v>
      </c>
      <c r="I20" s="81">
        <v>31</v>
      </c>
      <c r="J20" s="81">
        <v>40</v>
      </c>
      <c r="K20" s="81">
        <v>33</v>
      </c>
      <c r="L20" s="81">
        <v>30</v>
      </c>
      <c r="M20" s="81">
        <v>35</v>
      </c>
      <c r="N20" s="81">
        <v>30</v>
      </c>
      <c r="O20" s="81">
        <v>31</v>
      </c>
      <c r="P20" s="81">
        <v>31</v>
      </c>
      <c r="Q20" s="81">
        <v>32</v>
      </c>
      <c r="R20" s="81">
        <v>35</v>
      </c>
      <c r="S20" s="81">
        <v>35</v>
      </c>
      <c r="T20" s="81">
        <v>32</v>
      </c>
      <c r="U20" s="81">
        <v>32</v>
      </c>
      <c r="V20" s="81">
        <v>33</v>
      </c>
      <c r="W20" s="81">
        <v>33</v>
      </c>
      <c r="X20" s="81">
        <v>34</v>
      </c>
      <c r="Y20" s="110">
        <v>34</v>
      </c>
      <c r="Z20" s="81">
        <v>37</v>
      </c>
      <c r="AA20" s="81">
        <v>32</v>
      </c>
      <c r="AB20" s="81">
        <v>37</v>
      </c>
      <c r="AC20" s="81">
        <v>35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6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6" t="s" ph="1">
        <v>69</v>
      </c>
      <c r="AA22" s="227"/>
      <c r="AB22" s="227"/>
      <c r="AC22" s="227"/>
      <c r="AD22" s="227"/>
      <c r="AE22" s="228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0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610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229" t="s" ph="1">
        <v>644</v>
      </c>
      <c r="AA23" s="230"/>
      <c r="AB23" s="230"/>
      <c r="AC23" s="230"/>
      <c r="AD23" s="230"/>
      <c r="AE23" s="231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38" ph="1">
        <v>0.33333333333333331</v>
      </c>
      <c r="C24" s="157" t="s" ph="1">
        <v>177</v>
      </c>
      <c r="D24" s="71">
        <v>47.74</v>
      </c>
      <c r="E24" s="71">
        <v>5.62</v>
      </c>
      <c r="F24" s="71">
        <v>2385</v>
      </c>
      <c r="G24" s="71">
        <v>3148</v>
      </c>
      <c r="H24" s="71">
        <v>2740</v>
      </c>
      <c r="I24" s="71">
        <v>164</v>
      </c>
      <c r="J24" s="71">
        <v>304</v>
      </c>
      <c r="K24" s="71">
        <v>328</v>
      </c>
      <c r="L24" s="71">
        <v>301</v>
      </c>
      <c r="M24" s="71">
        <v>326</v>
      </c>
      <c r="N24" s="71">
        <v>1472</v>
      </c>
      <c r="O24" s="71">
        <v>341</v>
      </c>
      <c r="P24" s="71">
        <v>374</v>
      </c>
      <c r="Q24" s="90">
        <v>1994</v>
      </c>
      <c r="R24" s="71">
        <v>290</v>
      </c>
      <c r="S24" s="71">
        <v>5618</v>
      </c>
      <c r="T24" s="71">
        <v>412</v>
      </c>
      <c r="U24" s="71">
        <v>5541</v>
      </c>
      <c r="V24" s="71">
        <v>740</v>
      </c>
      <c r="W24" s="71">
        <v>1860</v>
      </c>
      <c r="X24" s="71">
        <v>3202</v>
      </c>
      <c r="Y24" s="71">
        <v>705</v>
      </c>
      <c r="Z24" s="232"/>
      <c r="AA24" s="233"/>
      <c r="AB24" s="233"/>
      <c r="AC24" s="233"/>
      <c r="AD24" s="233"/>
      <c r="AE24" s="234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38" ph="1"/>
      <c r="C25" s="68" t="s" ph="1">
        <v>178</v>
      </c>
      <c r="D25" s="91" ph="1">
        <f>D24*268.68*LOOKUP(D26,密度!$A$2:$A$50,密度!$Q$2:$Q$50)+IF(D24&lt;=0,0,1566*LOOKUP(D26,密度!$A$2:$A$50,密度!$Q$2:$Q$50))</f>
        <v>13626.223566768002</v>
      </c>
      <c r="E25" s="91" ph="1">
        <f>E24*268.68*LOOKUP(E26,密度!$A$2:$A$50,密度!$C$2:$C$50)+IF(E24&lt;=0,0,1566*LOOKUP(E26,密度!$A$2:$A$50,密度!$C$2:$C$50))</f>
        <v>3410.9559962399999</v>
      </c>
      <c r="F25" s="91" ph="1">
        <f>F24*11.702*LOOKUP(F26,密度!$A$2:$A$50,密度!$Q$2:$Q$50)</f>
        <v>26344.397231100003</v>
      </c>
      <c r="G25" s="91" ph="1">
        <f>G24*18.322*LOOKUP(G26,密度!$A$2:$A$50,密度!$B$2:$B$50)</f>
        <v>44769.396587199997</v>
      </c>
      <c r="H25" s="91" ph="1">
        <f>H24*18.322*LOOKUP(H26,密度!$A$2:$A$50,密度!$B$2:$B$50)</f>
        <v>39007.171560000003</v>
      </c>
      <c r="I25" s="91" ph="1">
        <f>I24*18.322*LOOKUP(I26,密度!$A$2:$A$50,密度!$Q$2:$Q$50)</f>
        <v>2836.3284154400003</v>
      </c>
      <c r="J25" s="91" ph="1">
        <f>J24*18.322*LOOKUP(J26,密度!$A$2:$A$50,密度!$Q$2:$Q$50)</f>
        <v>5254.2424470400001</v>
      </c>
      <c r="K25" s="91" ph="1">
        <f>K24*18.322*LOOKUP(K26,密度!$A$2:$A$50,密度!$Q$2:$Q$50)</f>
        <v>5672.6568308800006</v>
      </c>
      <c r="L25" s="91" ph="1">
        <f>L24*18.322*LOOKUP(L26,密度!$A$2:$A$50,密度!$Q$2:$Q$50)</f>
        <v>5202.3913702599993</v>
      </c>
      <c r="M25" s="91" ph="1">
        <f>M24*18.322*LOOKUP(M26,密度!$A$2:$A$50,密度!$Q$2:$Q$50)</f>
        <v>5634.48367676</v>
      </c>
      <c r="N25" s="91" ph="1">
        <f>N24*18.322*LOOKUP(N26,密度!$A$2:$A$50,密度!$Q$2:$Q$50)</f>
        <v>25457.776997120003</v>
      </c>
      <c r="O25" s="91" ph="1">
        <f>O24*18.322*LOOKUP(O26,密度!$A$2:$A$50,密度!$C$2:$C$50)</f>
        <v>6913.8176931999997</v>
      </c>
      <c r="P25" s="91" ph="1">
        <f>P24*11.702*LOOKUP(P26,密度!$A$2:$A$50,密度!$B$2:$B$50)</f>
        <v>3400.577796</v>
      </c>
      <c r="Q25" s="92" ph="1">
        <f>Q24*18.322*LOOKUP(Q26,密度!$A$2:$A$50,密度!$B$2:$B$50)</f>
        <v>28386.970836</v>
      </c>
      <c r="R25" s="91" ph="1">
        <f>R24*35.891*LOOKUP(R26,密度!$A$2:$A$50,密度!$C$2:$C$50)</f>
        <v>11517.924374</v>
      </c>
      <c r="S25" s="91" ph="1">
        <f>S24*35.891*LOOKUP(S26,密度!$A$2:$A$50,密度!$B$2:$B$50)</f>
        <v>156509.58221559998</v>
      </c>
      <c r="T25" s="91" ph="1">
        <f>T24*35.891*LOOKUP(T26,密度!$A$2:$A$50,密度!$Q$2:$Q$50)</f>
        <v>13949.107496359999</v>
      </c>
      <c r="U25" s="91" ph="1">
        <f>U24*35.891</f>
        <v>198872.03099999999</v>
      </c>
      <c r="V25" s="91" ph="1">
        <f>V24*47.051*LOOKUP(V26,密度!$A$2:$A$50,密度!$B$2:$B$50)</f>
        <v>27053.383979999999</v>
      </c>
      <c r="W25" s="91" ph="1">
        <f>W24*47.051*LOOKUP(W26,密度!$A$2:$A$50,密度!$B$2:$B$50)</f>
        <v>67850.270957999994</v>
      </c>
      <c r="X25" s="91" ph="1">
        <f>X24*47.051*LOOKUP(X26,密度!$A$2:$A$61,密度!$I$2:$I$61)</f>
        <v>156020.7019512</v>
      </c>
      <c r="Y25" s="91" ph="1">
        <f>Y24*47.051*LOOKUP(Y26,密度!$A$2:$A$50,密度!$L$2:$L$50)</f>
        <v>30915.330060000004</v>
      </c>
      <c r="Z25" s="232"/>
      <c r="AA25" s="233"/>
      <c r="AB25" s="233"/>
      <c r="AC25" s="233"/>
      <c r="AD25" s="233"/>
      <c r="AE25" s="234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38" ph="1"/>
      <c r="C26" s="68" t="s" ph="1">
        <v>179</v>
      </c>
      <c r="D26" s="74">
        <v>25</v>
      </c>
      <c r="E26" s="74">
        <v>25</v>
      </c>
      <c r="F26" s="74">
        <v>29</v>
      </c>
      <c r="G26" s="74">
        <v>29</v>
      </c>
      <c r="H26" s="74">
        <v>28</v>
      </c>
      <c r="I26" s="74">
        <v>29</v>
      </c>
      <c r="J26" s="74">
        <v>30</v>
      </c>
      <c r="K26" s="74">
        <v>29</v>
      </c>
      <c r="L26" s="74">
        <v>30</v>
      </c>
      <c r="M26" s="74">
        <v>30</v>
      </c>
      <c r="N26" s="74">
        <v>29</v>
      </c>
      <c r="O26" s="74">
        <v>28</v>
      </c>
      <c r="P26" s="74">
        <v>28</v>
      </c>
      <c r="Q26" s="93">
        <v>28</v>
      </c>
      <c r="R26" s="74">
        <v>28</v>
      </c>
      <c r="S26" s="74">
        <v>29</v>
      </c>
      <c r="T26" s="74">
        <v>30</v>
      </c>
      <c r="U26" s="74">
        <v>30</v>
      </c>
      <c r="V26" s="74">
        <v>28</v>
      </c>
      <c r="W26" s="74">
        <v>30</v>
      </c>
      <c r="X26" s="74">
        <v>31</v>
      </c>
      <c r="Y26" s="74">
        <v>30</v>
      </c>
      <c r="Z26" s="232"/>
      <c r="AA26" s="233"/>
      <c r="AB26" s="233"/>
      <c r="AC26" s="233"/>
      <c r="AD26" s="233"/>
      <c r="AE26" s="234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38" ph="1">
        <v>0.66666666666666663</v>
      </c>
      <c r="C27" s="157" t="s" ph="1">
        <v>180</v>
      </c>
      <c r="D27" s="71">
        <v>12.76</v>
      </c>
      <c r="E27" s="71">
        <v>5.55</v>
      </c>
      <c r="F27" s="71">
        <v>1341</v>
      </c>
      <c r="G27" s="71">
        <v>2729</v>
      </c>
      <c r="H27" s="71">
        <v>2332</v>
      </c>
      <c r="I27" s="71">
        <v>160</v>
      </c>
      <c r="J27" s="71">
        <v>297</v>
      </c>
      <c r="K27" s="71">
        <v>323</v>
      </c>
      <c r="L27" s="71">
        <v>294</v>
      </c>
      <c r="M27" s="71">
        <v>320</v>
      </c>
      <c r="N27" s="71">
        <v>871</v>
      </c>
      <c r="O27" s="71">
        <v>338</v>
      </c>
      <c r="P27" s="71">
        <v>369</v>
      </c>
      <c r="Q27" s="90">
        <v>2154</v>
      </c>
      <c r="R27" s="71">
        <v>286</v>
      </c>
      <c r="S27" s="71">
        <v>5614</v>
      </c>
      <c r="T27" s="71">
        <v>409</v>
      </c>
      <c r="U27" s="71">
        <v>5451</v>
      </c>
      <c r="V27" s="71">
        <v>734</v>
      </c>
      <c r="W27" s="71">
        <v>1565</v>
      </c>
      <c r="X27" s="71">
        <v>3172</v>
      </c>
      <c r="Y27" s="71">
        <v>697</v>
      </c>
      <c r="Z27" s="232"/>
      <c r="AA27" s="233"/>
      <c r="AB27" s="233"/>
      <c r="AC27" s="233"/>
      <c r="AD27" s="233"/>
      <c r="AE27" s="234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38" ph="1"/>
      <c r="C28" s="157" t="s" ph="1">
        <v>178</v>
      </c>
      <c r="D28" s="91" ph="1">
        <f>D27*268.68*LOOKUP(D29,密度!$A$2:$A$50,密度!$Q$2:$Q$50)+IF(D27&lt;=0,0,1566*LOOKUP(D29,密度!$A$2:$A$50,密度!$Q$2:$Q$50))</f>
        <v>4728.3573568319998</v>
      </c>
      <c r="E28" s="91" ph="1">
        <f>E27*268.68*LOOKUP(E29,密度!$A$2:$A$50,密度!$C$2:$C$50)+IF(E27&lt;=0,0,1566*LOOKUP(E29,密度!$A$2:$A$50,密度!$C$2:$C$50))</f>
        <v>3390.1002485999998</v>
      </c>
      <c r="F28" s="91" ph="1">
        <f>F27*11.702*LOOKUP(F29,密度!$A$2:$A$50,密度!$Q$2:$Q$50)</f>
        <v>14770.454557499999</v>
      </c>
      <c r="G28" s="91" ph="1">
        <f>G27*18.322*LOOKUP(G29,密度!$A$2:$A$50,密度!$B$2:$B$50)</f>
        <v>38675.570842999994</v>
      </c>
      <c r="H28" s="91" ph="1">
        <f>H27*18.322*LOOKUP(H29,密度!$A$2:$A$50,密度!$B$2:$B$50)</f>
        <v>33015.078720799997</v>
      </c>
      <c r="I28" s="91" ph="1">
        <f>I27*18.322*LOOKUP(I29,密度!$A$2:$A$50,密度!$Q$2:$Q$50)</f>
        <v>2763.1921216000001</v>
      </c>
      <c r="J28" s="91" ph="1">
        <f>J27*18.322*LOOKUP(J29,密度!$A$2:$A$50,密度!$Q$2:$Q$50)</f>
        <v>5129.1753757199995</v>
      </c>
      <c r="K28" s="91" ph="1">
        <f>K27*18.322*LOOKUP(K29,密度!$A$2:$A$50,密度!$Q$2:$Q$50)</f>
        <v>5578.1940954799993</v>
      </c>
      <c r="L28" s="91" ph="1">
        <f>L27*18.322*LOOKUP(L29,密度!$A$2:$A$50,密度!$Q$2:$Q$50)</f>
        <v>5081.4055244399997</v>
      </c>
      <c r="M28" s="91" ph="1">
        <f>M27*18.322*LOOKUP(M29,密度!$A$2:$A$50,密度!$Q$2:$Q$50)</f>
        <v>5518.5864000000001</v>
      </c>
      <c r="N28" s="91" ph="1">
        <f>N27*18.322*LOOKUP(N29,密度!$A$2:$A$50,密度!$Q$2:$Q$50)</f>
        <v>15010.369772579999</v>
      </c>
      <c r="O28" s="91" ph="1">
        <f>O27*18.322*LOOKUP(O29,密度!$A$2:$A$50,密度!$C$2:$C$50)</f>
        <v>6824.5052719999994</v>
      </c>
      <c r="P28" s="91" ph="1">
        <f>P27*11.702*LOOKUP(P29,密度!$A$2:$A$50,密度!$B$2:$B$50)</f>
        <v>3336.5479625999997</v>
      </c>
      <c r="Q28" s="92" ph="1">
        <f>Q27*18.322*LOOKUP(Q29,密度!$A$2:$A$50,密度!$B$2:$B$50)</f>
        <v>30495.059847599998</v>
      </c>
      <c r="R28" s="91" ph="1">
        <f>R27*35.891*LOOKUP(R29,密度!$A$2:$A$50,密度!$C$2:$C$50)</f>
        <v>11333.394386599999</v>
      </c>
      <c r="S28" s="91" ph="1">
        <f>S27*35.891*LOOKUP(S29,密度!$A$2:$A$50,密度!$B$2:$B$50)</f>
        <v>155692.92557980001</v>
      </c>
      <c r="T28" s="91" ph="1">
        <f>T27*35.891*LOOKUP(T29,密度!$A$2:$A$50,密度!$Q$2:$Q$50)</f>
        <v>13817.00313375</v>
      </c>
      <c r="U28" s="91" ph="1">
        <f>U27*35.891</f>
        <v>195641.84099999999</v>
      </c>
      <c r="V28" s="91" ph="1">
        <f>V27*47.051*LOOKUP(V29,密度!$A$2:$A$50,密度!$B$2:$B$50)</f>
        <v>26685.529851800002</v>
      </c>
      <c r="W28" s="91" ph="1">
        <f>W27*47.051*LOOKUP(W29,密度!$A$2:$A$50,密度!$B$2:$B$50)</f>
        <v>56831.350217000007</v>
      </c>
      <c r="X28" s="91" ph="1">
        <f>X27*47.051*LOOKUP(X29,密度!$A$2:$A$61,密度!$I$2:$I$61)</f>
        <v>153887.31550919998</v>
      </c>
      <c r="Y28" s="91" ph="1">
        <f>Y27*47.051*LOOKUP(Y29,密度!$A$2:$A$50,密度!$L$2:$L$50)</f>
        <v>30433.339616000001</v>
      </c>
      <c r="Z28" s="232"/>
      <c r="AA28" s="233"/>
      <c r="AB28" s="233"/>
      <c r="AC28" s="233"/>
      <c r="AD28" s="233"/>
      <c r="AE28" s="234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38" ph="1"/>
      <c r="C29" s="157" t="s" ph="1">
        <v>179</v>
      </c>
      <c r="D29" s="74">
        <v>25</v>
      </c>
      <c r="E29" s="74">
        <v>25</v>
      </c>
      <c r="F29" s="74">
        <v>33</v>
      </c>
      <c r="G29" s="74">
        <v>32</v>
      </c>
      <c r="H29" s="74">
        <v>33</v>
      </c>
      <c r="I29" s="74">
        <v>31</v>
      </c>
      <c r="J29" s="74">
        <v>31</v>
      </c>
      <c r="K29" s="74">
        <v>31</v>
      </c>
      <c r="L29" s="74">
        <v>30</v>
      </c>
      <c r="M29" s="74">
        <v>33</v>
      </c>
      <c r="N29" s="74">
        <v>34</v>
      </c>
      <c r="O29" s="74">
        <v>33</v>
      </c>
      <c r="P29" s="74">
        <v>33</v>
      </c>
      <c r="Q29" s="93">
        <v>33</v>
      </c>
      <c r="R29" s="74">
        <v>31</v>
      </c>
      <c r="S29" s="74">
        <v>33</v>
      </c>
      <c r="T29" s="74">
        <v>33</v>
      </c>
      <c r="U29" s="74">
        <v>34</v>
      </c>
      <c r="V29" s="74">
        <v>33</v>
      </c>
      <c r="W29" s="74">
        <v>34</v>
      </c>
      <c r="X29" s="74">
        <v>35</v>
      </c>
      <c r="Y29" s="74">
        <v>34</v>
      </c>
      <c r="Z29" s="235"/>
      <c r="AA29" s="236"/>
      <c r="AB29" s="236"/>
      <c r="AC29" s="236"/>
      <c r="AD29" s="236"/>
      <c r="AE29" s="237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1" t="s" ph="1">
        <v>35</v>
      </c>
      <c r="C31" s="222" ph="1"/>
      <c r="D31" s="225" t="s" ph="1">
        <v>9</v>
      </c>
      <c r="E31" s="200" ph="1"/>
      <c r="F31" s="201" ph="1"/>
      <c r="G31" s="225" t="s" ph="1">
        <v>18</v>
      </c>
      <c r="H31" s="200" ph="1"/>
      <c r="I31" s="201" ph="1"/>
      <c r="J31" s="199" t="s" ph="1">
        <v>1</v>
      </c>
      <c r="K31" s="200" ph="1"/>
      <c r="L31" s="201" ph="1"/>
      <c r="M31" s="199" t="s" ph="1">
        <v>7</v>
      </c>
      <c r="N31" s="200" ph="1"/>
      <c r="O31" s="201" ph="1"/>
      <c r="P31" s="199" t="s" ph="1">
        <v>41</v>
      </c>
      <c r="Q31" s="200"/>
      <c r="R31" s="201"/>
      <c r="S31" s="199" t="s" ph="1">
        <v>2</v>
      </c>
      <c r="T31" s="200"/>
      <c r="U31" s="201"/>
      <c r="V31" s="199" t="s" ph="1">
        <v>71</v>
      </c>
      <c r="W31" s="200" ph="1"/>
      <c r="X31" s="201" ph="1"/>
      <c r="Y31" s="199" t="s" ph="1">
        <v>3</v>
      </c>
      <c r="Z31" s="200" ph="1"/>
      <c r="AA31" s="201" ph="1"/>
      <c r="AB31" s="202" t="s">
        <v>42</v>
      </c>
      <c r="AC31" s="203"/>
      <c r="AD31" s="203"/>
      <c r="AE31" s="204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3" ph="1"/>
      <c r="C32" s="224" ph="1"/>
      <c r="D32" s="96" t="s" ph="1">
        <v>4</v>
      </c>
      <c r="E32" s="157" t="s" ph="1">
        <v>5</v>
      </c>
      <c r="F32" s="158" t="s" ph="1">
        <v>43</v>
      </c>
      <c r="G32" s="97" t="s" ph="1">
        <v>4</v>
      </c>
      <c r="H32" s="157" t="s" ph="1">
        <v>5</v>
      </c>
      <c r="I32" s="158" t="s" ph="1">
        <v>43</v>
      </c>
      <c r="J32" s="97" t="s" ph="1">
        <v>4</v>
      </c>
      <c r="K32" s="157" t="s" ph="1">
        <v>5</v>
      </c>
      <c r="L32" s="158" t="s" ph="1">
        <v>43</v>
      </c>
      <c r="M32" s="97" t="s" ph="1">
        <v>4</v>
      </c>
      <c r="N32" s="157" t="s" ph="1">
        <v>5</v>
      </c>
      <c r="O32" s="158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7" t="s" ph="1">
        <v>5</v>
      </c>
      <c r="U32" s="99" t="s" ph="1">
        <v>43</v>
      </c>
      <c r="V32" s="97" t="s" ph="1">
        <v>4</v>
      </c>
      <c r="W32" s="157" t="s" ph="1">
        <v>5</v>
      </c>
      <c r="X32" s="99" t="s" ph="1">
        <v>43</v>
      </c>
      <c r="Y32" s="100" t="s" ph="1">
        <v>4</v>
      </c>
      <c r="Z32" s="157" t="s" ph="1">
        <v>5</v>
      </c>
      <c r="AA32" s="158" t="s" ph="1">
        <v>43</v>
      </c>
      <c r="AB32" s="97" t="s" ph="1">
        <v>85</v>
      </c>
      <c r="AC32" s="157" t="s" ph="1">
        <v>84</v>
      </c>
      <c r="AD32" s="205" t="s" ph="1">
        <v>83</v>
      </c>
      <c r="AE32" s="206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7" t="s" ph="1">
        <v>181</v>
      </c>
      <c r="C33" s="208" ph="1"/>
      <c r="D33" s="187" ph="1">
        <f>AA10+AB10+Z19</f>
        <v>97891.957200000004</v>
      </c>
      <c r="E33" s="187" ph="1">
        <f>M10+I10</f>
        <v>148920.27651520001</v>
      </c>
      <c r="F33" s="211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1522252632456786910111213141516171819202123456789101112131415161718192022232424356789101112131415161718192021222345678910111213141516171819202345678910111213149101516171819222123234567891012131415161711181920212224252345678910111213112[[#This Row],[F25]]</f>
        <v>3880</v>
      </c>
      <c r="G33" s="213" ph="1">
        <f>N19</f>
        <v>14951.225658760002</v>
      </c>
      <c r="H33" s="187" ph="1">
        <f>M19</f>
        <v>18125.494422420001</v>
      </c>
      <c r="I33" s="191" ph="1">
        <v>0</v>
      </c>
      <c r="J33" s="195" ph="1">
        <f>F10+O28</f>
        <v>224706.82750610003</v>
      </c>
      <c r="K33" s="187" ph="1">
        <f>O10+K10+E28+R28</f>
        <v>60374.748361599995</v>
      </c>
      <c r="L33" s="197" ph="1">
        <f>K19</f>
        <v>36590.765462800002</v>
      </c>
      <c r="M33" s="195" ph="1">
        <f>G10+H10+W28+S28+V28+E10+R19+P28+Q28</f>
        <v>757978.26788679999</v>
      </c>
      <c r="N33" s="187" ph="1">
        <f>L10+P10++G28+H28+AD19+AE19</f>
        <v>179690.82135120002</v>
      </c>
      <c r="O33" s="191" ph="1">
        <f>G19</f>
        <v>27790.372650999998</v>
      </c>
      <c r="P33" s="195" ph="1">
        <f>L19</f>
        <v>28049.225616</v>
      </c>
      <c r="Q33" s="187" ph="1">
        <f>J10+N10</f>
        <v>107099.56202059999</v>
      </c>
      <c r="R33" s="191" ph="1">
        <f>BE23</f>
        <v>890</v>
      </c>
      <c r="S33" s="195" ph="1">
        <f>X28</f>
        <v>153887.31550919998</v>
      </c>
      <c r="T33" s="187" ph="1">
        <f>X19</f>
        <v>13802.463206479999</v>
      </c>
      <c r="U33" s="176" ph="1">
        <f>BE21</f>
        <v>730</v>
      </c>
      <c r="V33" s="189" ph="1">
        <f ca="1">P19+Q19+S19+M28+N28+J28+D10+AC10+D19+E19+H19+J19+O19+V19+W19+K28+L28</f>
        <v>735844.41054821806</v>
      </c>
      <c r="W33" s="189" ph="1">
        <f>D28+F28+T28+I28</f>
        <v>36079.007169682001</v>
      </c>
      <c r="X33" s="191" ph="1">
        <f>BE29+BE31</f>
        <v>10200</v>
      </c>
      <c r="Y33" s="193" ph="1">
        <f>+Q10+R10+S10+T10+U10+V10+W10+X10+Y10</f>
        <v>139718.1313836</v>
      </c>
      <c r="Z33" s="174" ph="1">
        <f>T19+U19+Y28+Z10</f>
        <v>115154.39075849601</v>
      </c>
      <c r="AA33" s="176" ph="1">
        <f>BE19</f>
        <v>1440</v>
      </c>
      <c r="AB33" s="178" ph="1">
        <f>I19</f>
        <v>28952.411479399998</v>
      </c>
      <c r="AC33" s="180" ph="1">
        <f>AD10+AB19</f>
        <v>66314.898421799997</v>
      </c>
      <c r="AD33" s="182" ph="1">
        <v>0</v>
      </c>
      <c r="AE33" s="183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9" ph="1"/>
      <c r="C34" s="210" ph="1"/>
      <c r="D34" s="188" ph="1"/>
      <c r="E34" s="188" ph="1"/>
      <c r="F34" s="212" ph="1"/>
      <c r="G34" s="214" ph="1"/>
      <c r="H34" s="188" ph="1"/>
      <c r="I34" s="192" ph="1"/>
      <c r="J34" s="196" ph="1"/>
      <c r="K34" s="188" ph="1"/>
      <c r="L34" s="198" ph="1"/>
      <c r="M34" s="196" ph="1"/>
      <c r="N34" s="188" ph="1"/>
      <c r="O34" s="192" ph="1"/>
      <c r="P34" s="196" ph="1"/>
      <c r="Q34" s="188" ph="1"/>
      <c r="R34" s="192" ph="1"/>
      <c r="S34" s="196" ph="1"/>
      <c r="T34" s="188"/>
      <c r="U34" s="177"/>
      <c r="V34" s="190" ph="1"/>
      <c r="W34" s="190" ph="1"/>
      <c r="X34" s="192" ph="1"/>
      <c r="Y34" s="194" ph="1"/>
      <c r="Z34" s="175" ph="1"/>
      <c r="AA34" s="177" ph="1"/>
      <c r="AB34" s="179"/>
      <c r="AC34" s="181"/>
      <c r="AD34" s="184"/>
      <c r="AE34" s="185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6" t="s" ph="1">
        <v>631</v>
      </c>
      <c r="AD35" s="186"/>
      <c r="AE35" s="186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2" t="s" ph="1">
        <v>183</v>
      </c>
      <c r="J36" s="172" ph="1"/>
      <c r="K36" s="101" ph="1"/>
      <c r="P36" s="101" ph="1"/>
      <c r="R36" s="172" t="s" ph="1">
        <v>184</v>
      </c>
      <c r="S36" s="172" ph="1"/>
      <c r="Y36" s="102" ph="1"/>
      <c r="Z36" s="159" t="s" ph="1">
        <v>185</v>
      </c>
      <c r="AA36" s="159" ph="1"/>
      <c r="AB36" s="173" t="s" ph="1">
        <v>643</v>
      </c>
      <c r="AC36" s="173" ph="1"/>
      <c r="AD36" s="173" ph="1"/>
      <c r="AE36" s="173" ph="1"/>
      <c r="BA36" s="64" ph="1">
        <v>2270</v>
      </c>
    </row>
    <row r="37" spans="1:57" s="159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9" t="s" ph="1">
        <v>342</v>
      </c>
      <c r="AI37" s="159" t="s" ph="1">
        <v>209</v>
      </c>
      <c r="AJ37" s="159" t="s" ph="1">
        <v>210</v>
      </c>
      <c r="AK37" s="159" t="s" ph="1">
        <v>211</v>
      </c>
      <c r="AM37" s="159" t="s" ph="1">
        <v>210</v>
      </c>
      <c r="AN37" s="159" t="s" ph="1">
        <v>211</v>
      </c>
      <c r="AO37" s="159" t="s" ph="1">
        <v>212</v>
      </c>
      <c r="AP37" s="159" t="s" ph="1">
        <v>210</v>
      </c>
      <c r="AQ37" s="159" t="s" ph="1">
        <v>211</v>
      </c>
      <c r="AR37" s="159" t="s" ph="1">
        <v>212</v>
      </c>
      <c r="AS37" s="159" t="s" ph="1">
        <v>210</v>
      </c>
      <c r="AT37" s="159" t="s" ph="1">
        <v>211</v>
      </c>
      <c r="AU37" s="159" t="s" ph="1">
        <v>212</v>
      </c>
      <c r="AV37" s="159" t="s" ph="1">
        <v>210</v>
      </c>
      <c r="AW37" s="159" t="s" ph="1">
        <v>211</v>
      </c>
      <c r="AX37" s="159" t="s" ph="1">
        <v>212</v>
      </c>
      <c r="AY37" s="159" t="s" ph="1">
        <v>211</v>
      </c>
      <c r="AZ37" s="159" t="s" ph="1">
        <v>213</v>
      </c>
      <c r="BD37" s="159" t="s" ph="1">
        <v>305</v>
      </c>
      <c r="BE37" s="159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P56" s="64" ph="1">
        <v>20260804</v>
      </c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1721" priority="102">
      <formula>ABS(D$7-D$10)&gt;=1000</formula>
    </cfRule>
  </conditionalFormatting>
  <conditionalFormatting sqref="E4 E6:E11">
    <cfRule type="expression" dxfId="1720" priority="101">
      <formula>ABS(E$7-E$10)&gt;=1000</formula>
    </cfRule>
  </conditionalFormatting>
  <conditionalFormatting sqref="F4:F11">
    <cfRule type="expression" dxfId="1719" priority="100">
      <formula>ABS(F$7-F$10)&gt;=1000</formula>
    </cfRule>
  </conditionalFormatting>
  <conditionalFormatting sqref="G4:G11">
    <cfRule type="expression" dxfId="1718" priority="99">
      <formula>ABS(G$7-G$10)&gt;=1000</formula>
    </cfRule>
  </conditionalFormatting>
  <conditionalFormatting sqref="H4:H11">
    <cfRule type="expression" dxfId="1717" priority="98">
      <formula>ABS(H$7-H$10)&gt;=1000</formula>
    </cfRule>
  </conditionalFormatting>
  <conditionalFormatting sqref="I4:I11">
    <cfRule type="expression" dxfId="1716" priority="97">
      <formula>ABS(I$7-I$10)&gt;=1000</formula>
    </cfRule>
  </conditionalFormatting>
  <conditionalFormatting sqref="J4:J11">
    <cfRule type="expression" dxfId="1715" priority="96">
      <formula>ABS(J$7-J$10)&gt;=1000</formula>
    </cfRule>
  </conditionalFormatting>
  <conditionalFormatting sqref="K4:K11">
    <cfRule type="expression" dxfId="1714" priority="95">
      <formula>ABS(K$7-K$10)&gt;=1000</formula>
    </cfRule>
  </conditionalFormatting>
  <conditionalFormatting sqref="L4:L11">
    <cfRule type="expression" dxfId="1713" priority="94">
      <formula>ABS(L$7-L$10)&gt;=1000</formula>
    </cfRule>
  </conditionalFormatting>
  <conditionalFormatting sqref="M4 M6:M11">
    <cfRule type="expression" dxfId="1712" priority="93">
      <formula>ABS(M$7-M$10)&gt;=1000</formula>
    </cfRule>
  </conditionalFormatting>
  <conditionalFormatting sqref="N4 N6:N11">
    <cfRule type="expression" dxfId="1711" priority="92">
      <formula>ABS(N$7-N$10)&gt;=1000</formula>
    </cfRule>
  </conditionalFormatting>
  <conditionalFormatting sqref="O4 O6:O11">
    <cfRule type="expression" dxfId="1710" priority="91">
      <formula>ABS(O$7-O$10)&gt;=1000</formula>
    </cfRule>
  </conditionalFormatting>
  <conditionalFormatting sqref="P4 P6:P11">
    <cfRule type="expression" dxfId="1709" priority="90">
      <formula>ABS(P$7-P$10)&gt;=1000</formula>
    </cfRule>
  </conditionalFormatting>
  <conditionalFormatting sqref="Q4:Q11">
    <cfRule type="expression" dxfId="1708" priority="89">
      <formula>ABS(Q$7-Q$10)&gt;=1000</formula>
    </cfRule>
  </conditionalFormatting>
  <conditionalFormatting sqref="R4:R11">
    <cfRule type="expression" dxfId="1707" priority="88">
      <formula>ABS(R$7-R$10)&gt;=1000</formula>
    </cfRule>
  </conditionalFormatting>
  <conditionalFormatting sqref="S4:S11">
    <cfRule type="expression" dxfId="1706" priority="87">
      <formula>ABS(S$7-S$10)&gt;=1000</formula>
    </cfRule>
  </conditionalFormatting>
  <conditionalFormatting sqref="T4:T9 T11">
    <cfRule type="expression" dxfId="1705" priority="86">
      <formula>ABS(T$7-T$10)&gt;=1000</formula>
    </cfRule>
  </conditionalFormatting>
  <conditionalFormatting sqref="U4:U9 U11">
    <cfRule type="expression" dxfId="1704" priority="85">
      <formula>ABS(U$7-U$10)&gt;=1000</formula>
    </cfRule>
  </conditionalFormatting>
  <conditionalFormatting sqref="V4:V9 V11">
    <cfRule type="expression" dxfId="1703" priority="84">
      <formula>ABS(V$7-V$10)&gt;=1000</formula>
    </cfRule>
  </conditionalFormatting>
  <conditionalFormatting sqref="W4:W9 W11">
    <cfRule type="expression" dxfId="1702" priority="83">
      <formula>ABS(W$7-W$10)&gt;=1000</formula>
    </cfRule>
  </conditionalFormatting>
  <conditionalFormatting sqref="X4:X9 X11">
    <cfRule type="expression" dxfId="1701" priority="82">
      <formula>ABS(X$7-X$10)&gt;=1000</formula>
    </cfRule>
  </conditionalFormatting>
  <conditionalFormatting sqref="Y4:Y9 Y11">
    <cfRule type="expression" dxfId="1700" priority="81">
      <formula>ABS(Y$7-Y$10)&gt;=1000</formula>
    </cfRule>
  </conditionalFormatting>
  <conditionalFormatting sqref="Z4:Z11">
    <cfRule type="expression" dxfId="1699" priority="80">
      <formula>ABS(Z$7-Z$10)&gt;=1000</formula>
    </cfRule>
  </conditionalFormatting>
  <conditionalFormatting sqref="AA4:AA11">
    <cfRule type="expression" dxfId="1698" priority="79">
      <formula>ABS(AA$7-AA$10)&gt;=1000</formula>
    </cfRule>
  </conditionalFormatting>
  <conditionalFormatting sqref="AB4:AB11">
    <cfRule type="expression" dxfId="1697" priority="78">
      <formula>ABS(AB$7-AB$10)&gt;=1000</formula>
    </cfRule>
  </conditionalFormatting>
  <conditionalFormatting sqref="AC4 AC6:AC11">
    <cfRule type="expression" dxfId="1696" priority="77">
      <formula>ABS(AC$7-AC$10)&gt;=1000</formula>
    </cfRule>
  </conditionalFormatting>
  <conditionalFormatting sqref="AD4 AD6:AD11">
    <cfRule type="expression" dxfId="1695" priority="76">
      <formula>ABS(AD$7-AD$10)&gt;=1000</formula>
    </cfRule>
  </conditionalFormatting>
  <conditionalFormatting sqref="AE4 AE6:AE11">
    <cfRule type="expression" dxfId="1694" priority="75">
      <formula>ABS(AE$7-AE$10)&gt;=1000</formula>
    </cfRule>
  </conditionalFormatting>
  <conditionalFormatting sqref="D13:D20">
    <cfRule type="expression" dxfId="1693" priority="74">
      <formula>ABS(D$16-D$19)&gt;=1000</formula>
    </cfRule>
  </conditionalFormatting>
  <conditionalFormatting sqref="E13:E20">
    <cfRule type="expression" dxfId="1692" priority="73">
      <formula>ABS(E$16-E$19)&gt;=1000</formula>
    </cfRule>
  </conditionalFormatting>
  <conditionalFormatting sqref="F13 F15:F20">
    <cfRule type="expression" dxfId="1691" priority="72">
      <formula>ABS(F$16-F$19)&gt;=1000</formula>
    </cfRule>
  </conditionalFormatting>
  <conditionalFormatting sqref="G13:G20">
    <cfRule type="expression" dxfId="1690" priority="71">
      <formula>ABS(G$16-G$19)&gt;=1000</formula>
    </cfRule>
  </conditionalFormatting>
  <conditionalFormatting sqref="H13 H15:H20">
    <cfRule type="expression" dxfId="1689" priority="70">
      <formula>ABS(H$16-H$19)&gt;=1000</formula>
    </cfRule>
  </conditionalFormatting>
  <conditionalFormatting sqref="I13:I20">
    <cfRule type="expression" dxfId="1688" priority="69">
      <formula>ABS(I$16-I$19)&gt;=1000</formula>
    </cfRule>
  </conditionalFormatting>
  <conditionalFormatting sqref="J13:J20">
    <cfRule type="expression" dxfId="1687" priority="68">
      <formula>ABS(J$16-J$19)&gt;=1000</formula>
    </cfRule>
  </conditionalFormatting>
  <conditionalFormatting sqref="L13:L20">
    <cfRule type="expression" dxfId="1686" priority="67">
      <formula>ABS(L$16-L$19)&gt;=1000</formula>
    </cfRule>
  </conditionalFormatting>
  <conditionalFormatting sqref="M13 M15 M17:M18 M20">
    <cfRule type="expression" dxfId="1685" priority="66">
      <formula>ABS(M$16-M$19)&gt;=1000</formula>
    </cfRule>
  </conditionalFormatting>
  <conditionalFormatting sqref="N13:N20">
    <cfRule type="expression" dxfId="1684" priority="65">
      <formula>ABS(N$16-N$19)&gt;=1000</formula>
    </cfRule>
  </conditionalFormatting>
  <conditionalFormatting sqref="O13:O20">
    <cfRule type="expression" dxfId="1683" priority="64">
      <formula>ABS(O$16-O$19)&gt;=1000</formula>
    </cfRule>
  </conditionalFormatting>
  <conditionalFormatting sqref="P13:P20">
    <cfRule type="expression" dxfId="1682" priority="63">
      <formula>ABS(P$16-P$19)&gt;=1000</formula>
    </cfRule>
  </conditionalFormatting>
  <conditionalFormatting sqref="Q13 Q15:Q20">
    <cfRule type="expression" dxfId="1681" priority="62">
      <formula>ABS(Q$16-Q$19)&gt;=1000</formula>
    </cfRule>
  </conditionalFormatting>
  <conditionalFormatting sqref="R13:R20">
    <cfRule type="expression" dxfId="1680" priority="61">
      <formula>ABS(R$16-R$19)&gt;=1000</formula>
    </cfRule>
  </conditionalFormatting>
  <conditionalFormatting sqref="S13:S20">
    <cfRule type="expression" dxfId="1679" priority="60">
      <formula>ABS(S$16-S$19)&gt;=1000</formula>
    </cfRule>
  </conditionalFormatting>
  <conditionalFormatting sqref="T13:T15 T17:T20">
    <cfRule type="expression" dxfId="1678" priority="59">
      <formula>ABS(T$16-T$19)&gt;=1000</formula>
    </cfRule>
  </conditionalFormatting>
  <conditionalFormatting sqref="U13:U20">
    <cfRule type="expression" dxfId="1677" priority="58">
      <formula>ABS(U$16-U$19)&gt;=1000</formula>
    </cfRule>
  </conditionalFormatting>
  <conditionalFormatting sqref="V13:V20">
    <cfRule type="expression" dxfId="1676" priority="57">
      <formula>ABS(V$16-V$19)&gt;=1000</formula>
    </cfRule>
  </conditionalFormatting>
  <conditionalFormatting sqref="W13 W20 W15:W18">
    <cfRule type="expression" dxfId="1675" priority="56">
      <formula>ABS(W$16-W$19)&gt;=1000</formula>
    </cfRule>
  </conditionalFormatting>
  <conditionalFormatting sqref="X13 X15:X20 Y19">
    <cfRule type="expression" dxfId="1674" priority="55">
      <formula>ABS(X$16-X$19)&gt;=1000</formula>
    </cfRule>
  </conditionalFormatting>
  <conditionalFormatting sqref="Y13 Y15:Y18 Y20">
    <cfRule type="expression" dxfId="1673" priority="54">
      <formula>ABS(Y$16-Y$19)&gt;=1000</formula>
    </cfRule>
  </conditionalFormatting>
  <conditionalFormatting sqref="Z13:Z20">
    <cfRule type="expression" dxfId="1672" priority="53">
      <formula>ABS(Z$16-Z$19)&gt;=1000</formula>
    </cfRule>
  </conditionalFormatting>
  <conditionalFormatting sqref="AA13:AA20">
    <cfRule type="expression" dxfId="1671" priority="52">
      <formula>ABS(AA$16-AA$19)&gt;=1000</formula>
    </cfRule>
  </conditionalFormatting>
  <conditionalFormatting sqref="AB13 AB15:AB20">
    <cfRule type="expression" dxfId="1670" priority="51">
      <formula>ABS(AB$16-AB$19)&gt;=1000</formula>
    </cfRule>
  </conditionalFormatting>
  <conditionalFormatting sqref="AC13 AC15:AC20">
    <cfRule type="expression" dxfId="1669" priority="50">
      <formula>ABS(AC$16-AC$19)&gt;=1000</formula>
    </cfRule>
  </conditionalFormatting>
  <conditionalFormatting sqref="AD13:AD20">
    <cfRule type="expression" dxfId="1668" priority="49">
      <formula>ABS(AD$16-AD$19)&gt;=1000</formula>
    </cfRule>
  </conditionalFormatting>
  <conditionalFormatting sqref="AE13:AE20">
    <cfRule type="expression" dxfId="1667" priority="48">
      <formula>ABS(AE$16-AE$19)&gt;=1000</formula>
    </cfRule>
  </conditionalFormatting>
  <conditionalFormatting sqref="D22:D29">
    <cfRule type="expression" dxfId="1666" priority="47">
      <formula>ABS(D$25-D$28)&gt;=1000</formula>
    </cfRule>
  </conditionalFormatting>
  <conditionalFormatting sqref="E22:E29">
    <cfRule type="expression" dxfId="1665" priority="46">
      <formula>ABS(E$25-E$28)&gt;=1000</formula>
    </cfRule>
  </conditionalFormatting>
  <conditionalFormatting sqref="F22:F29">
    <cfRule type="expression" dxfId="1664" priority="45">
      <formula>ABS(F$25-F$28)&gt;=1000</formula>
    </cfRule>
  </conditionalFormatting>
  <conditionalFormatting sqref="G22:G29">
    <cfRule type="expression" dxfId="1663" priority="44">
      <formula>ABS(G$25-G$28)&gt;=1000</formula>
    </cfRule>
  </conditionalFormatting>
  <conditionalFormatting sqref="H22:H29">
    <cfRule type="expression" dxfId="1662" priority="43">
      <formula>ABS(H$25-H$28)&gt;=1000</formula>
    </cfRule>
  </conditionalFormatting>
  <conditionalFormatting sqref="I22 I24:I29">
    <cfRule type="expression" dxfId="1661" priority="42">
      <formula>ABS(I$25-I$28)&gt;=1000</formula>
    </cfRule>
  </conditionalFormatting>
  <conditionalFormatting sqref="J22:J29 K22">
    <cfRule type="expression" dxfId="1660" priority="41">
      <formula>ABS(J$25-J$28)&gt;=1000</formula>
    </cfRule>
  </conditionalFormatting>
  <conditionalFormatting sqref="K23:K29 L25 L28">
    <cfRule type="expression" dxfId="1659" priority="40">
      <formula>ABS(K$25-K$28)&gt;=1000</formula>
    </cfRule>
  </conditionalFormatting>
  <conditionalFormatting sqref="L22 L26:L27 L29 L24">
    <cfRule type="expression" dxfId="1658" priority="39">
      <formula>ABS(L$25-L$28)&gt;=1000</formula>
    </cfRule>
  </conditionalFormatting>
  <conditionalFormatting sqref="M22:M29">
    <cfRule type="expression" dxfId="1657" priority="38">
      <formula>ABS(M$25-M$28)&gt;=1000</formula>
    </cfRule>
  </conditionalFormatting>
  <conditionalFormatting sqref="N22:N29">
    <cfRule type="expression" dxfId="1656" priority="37">
      <formula>ABS(N$25-N$28)&gt;=1000</formula>
    </cfRule>
  </conditionalFormatting>
  <conditionalFormatting sqref="O22 O24:O29">
    <cfRule type="expression" dxfId="1655" priority="36">
      <formula>ABS(O$25-O$28)&gt;=1000</formula>
    </cfRule>
  </conditionalFormatting>
  <conditionalFormatting sqref="P22:P29">
    <cfRule type="expression" dxfId="1654" priority="35">
      <formula>ABS(P$25-P$28)&gt;=1000</formula>
    </cfRule>
  </conditionalFormatting>
  <conditionalFormatting sqref="Q22:Q29">
    <cfRule type="expression" dxfId="1653" priority="34">
      <formula>ABS(Q$25-Q$28)&gt;=1000</formula>
    </cfRule>
  </conditionalFormatting>
  <conditionalFormatting sqref="R22:R29">
    <cfRule type="expression" dxfId="1652" priority="33">
      <formula>ABS(R$25-R$28)&gt;=1000</formula>
    </cfRule>
  </conditionalFormatting>
  <conditionalFormatting sqref="S22:S29">
    <cfRule type="expression" dxfId="1651" priority="32">
      <formula>ABS(S$25-S$28)&gt;=1000</formula>
    </cfRule>
  </conditionalFormatting>
  <conditionalFormatting sqref="T22:T29">
    <cfRule type="expression" dxfId="1650" priority="31">
      <formula>ABS(T$25-T$28)&gt;=1000</formula>
    </cfRule>
  </conditionalFormatting>
  <conditionalFormatting sqref="U22:U29">
    <cfRule type="expression" dxfId="1649" priority="30">
      <formula>ABS(U$25-U$28)&gt;=1000</formula>
    </cfRule>
  </conditionalFormatting>
  <conditionalFormatting sqref="V22:V29">
    <cfRule type="expression" dxfId="1648" priority="29">
      <formula>ABS(V$25-V$28)&gt;=1000</formula>
    </cfRule>
  </conditionalFormatting>
  <conditionalFormatting sqref="W22:W29">
    <cfRule type="expression" dxfId="1647" priority="28">
      <formula>ABS(W$25-W$28)&gt;=1000</formula>
    </cfRule>
  </conditionalFormatting>
  <conditionalFormatting sqref="X22:X29">
    <cfRule type="expression" dxfId="1646" priority="27">
      <formula>ABS(X$25-X$28)&gt;=1000</formula>
    </cfRule>
  </conditionalFormatting>
  <conditionalFormatting sqref="Y22:Y29">
    <cfRule type="expression" dxfId="1645" priority="26">
      <formula>ABS(Y$25-Y$28)&gt;=1000</formula>
    </cfRule>
  </conditionalFormatting>
  <conditionalFormatting sqref="I23">
    <cfRule type="expression" dxfId="1644" priority="25">
      <formula>ABS(I$25-I$28)&gt;=1000</formula>
    </cfRule>
  </conditionalFormatting>
  <conditionalFormatting sqref="Q14">
    <cfRule type="expression" dxfId="1643" priority="24">
      <formula>ABS(Q$16-Q$19)&gt;=1000</formula>
    </cfRule>
  </conditionalFormatting>
  <conditionalFormatting sqref="W14">
    <cfRule type="expression" dxfId="1642" priority="23">
      <formula>ABS(W$16-W$19)&gt;=1000</formula>
    </cfRule>
  </conditionalFormatting>
  <conditionalFormatting sqref="X14">
    <cfRule type="expression" dxfId="1641" priority="22">
      <formula>ABS(X$16-X$19)&gt;=1000</formula>
    </cfRule>
  </conditionalFormatting>
  <conditionalFormatting sqref="T10:Y10">
    <cfRule type="expression" dxfId="1640" priority="21">
      <formula>ABS(T$7-T$10)&gt;=1000</formula>
    </cfRule>
  </conditionalFormatting>
  <conditionalFormatting sqref="W19">
    <cfRule type="expression" dxfId="1639" priority="20">
      <formula>ABS(W$16-W$19)&gt;=1000</formula>
    </cfRule>
  </conditionalFormatting>
  <conditionalFormatting sqref="AC5">
    <cfRule type="expression" dxfId="1638" priority="19">
      <formula>ABS(AC$7-AC$10)&gt;=1000</formula>
    </cfRule>
  </conditionalFormatting>
  <conditionalFormatting sqref="M14">
    <cfRule type="expression" dxfId="1637" priority="18">
      <formula>ABS(M$16-M$19)&gt;=1000</formula>
    </cfRule>
  </conditionalFormatting>
  <conditionalFormatting sqref="M16">
    <cfRule type="expression" dxfId="1636" priority="17">
      <formula>ABS(M$16-M$19)&gt;=1000</formula>
    </cfRule>
  </conditionalFormatting>
  <conditionalFormatting sqref="M19">
    <cfRule type="expression" dxfId="1635" priority="16">
      <formula>ABS(M$16-M$19)&gt;=1000</formula>
    </cfRule>
  </conditionalFormatting>
  <conditionalFormatting sqref="K13:K20">
    <cfRule type="expression" dxfId="1634" priority="15">
      <formula>ABS(K$16-K$19)&gt;=1000</formula>
    </cfRule>
  </conditionalFormatting>
  <conditionalFormatting sqref="E5">
    <cfRule type="expression" dxfId="1633" priority="14">
      <formula>ABS(E$7-E$10)&gt;=1000</formula>
    </cfRule>
  </conditionalFormatting>
  <conditionalFormatting sqref="AB14:AC14">
    <cfRule type="expression" dxfId="1632" priority="13">
      <formula>ABS(AB$16-AB$19)&gt;=1000</formula>
    </cfRule>
  </conditionalFormatting>
  <conditionalFormatting sqref="M5">
    <cfRule type="expression" dxfId="1631" priority="12">
      <formula>ABS(M$7-M$10)&gt;=1000</formula>
    </cfRule>
  </conditionalFormatting>
  <conditionalFormatting sqref="N5">
    <cfRule type="expression" dxfId="1630" priority="11">
      <formula>ABS(N$7-N$10)&gt;=1000</formula>
    </cfRule>
  </conditionalFormatting>
  <conditionalFormatting sqref="O5">
    <cfRule type="expression" dxfId="1629" priority="10">
      <formula>ABS(O$7-O$10)&gt;=1000</formula>
    </cfRule>
  </conditionalFormatting>
  <conditionalFormatting sqref="P5">
    <cfRule type="expression" dxfId="1628" priority="9">
      <formula>ABS(P$7-P$10)&gt;=1000</formula>
    </cfRule>
  </conditionalFormatting>
  <conditionalFormatting sqref="L23">
    <cfRule type="expression" dxfId="1627" priority="8">
      <formula>ABS(L$25-L$28)&gt;=1000</formula>
    </cfRule>
  </conditionalFormatting>
  <conditionalFormatting sqref="Y14">
    <cfRule type="expression" dxfId="1626" priority="7">
      <formula>ABS(Y$16-Y$19)&gt;=1000</formula>
    </cfRule>
  </conditionalFormatting>
  <conditionalFormatting sqref="F14">
    <cfRule type="expression" dxfId="1625" priority="6">
      <formula>ABS(F$16-F$19)&gt;=1000</formula>
    </cfRule>
  </conditionalFormatting>
  <conditionalFormatting sqref="H14">
    <cfRule type="expression" dxfId="1624" priority="5">
      <formula>ABS(H$16-H$19)&gt;=1000</formula>
    </cfRule>
  </conditionalFormatting>
  <conditionalFormatting sqref="AD5">
    <cfRule type="expression" dxfId="1623" priority="4">
      <formula>ABS(AD$7-AD$10)&gt;=1000</formula>
    </cfRule>
  </conditionalFormatting>
  <conditionalFormatting sqref="AE5">
    <cfRule type="expression" dxfId="1622" priority="3">
      <formula>ABS(AE$7-AE$10)&gt;=1000</formula>
    </cfRule>
  </conditionalFormatting>
  <conditionalFormatting sqref="T16">
    <cfRule type="expression" dxfId="1621" priority="2">
      <formula>ABS(T$16-T$19)&gt;=1000</formula>
    </cfRule>
  </conditionalFormatting>
  <conditionalFormatting sqref="O23">
    <cfRule type="expression" dxfId="1620" priority="1">
      <formula>ABS(O$25-O$28)&gt;=1000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36833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954">
    <pageSetUpPr fitToPage="1"/>
  </sheetPr>
  <dimension ref="A1:CU223"/>
  <sheetViews>
    <sheetView view="pageBreakPreview" zoomScale="85" zoomScaleNormal="100" zoomScaleSheetLayoutView="85" workbookViewId="0">
      <selection activeCell="V25" sqref="V25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39" t="s" ph="1">
        <v>161</v>
      </c>
      <c r="C1" s="239" ph="1"/>
      <c r="D1" s="239" ph="1"/>
      <c r="E1" s="239" ph="1"/>
      <c r="F1" s="239" ph="1"/>
      <c r="G1" s="239" ph="1"/>
      <c r="H1" s="239" ph="1"/>
      <c r="I1" s="239" ph="1"/>
      <c r="J1" s="239" ph="1"/>
      <c r="K1" s="239" ph="1"/>
      <c r="L1" s="239" ph="1"/>
      <c r="M1" s="239" ph="1"/>
      <c r="N1" s="239" ph="1"/>
      <c r="O1" s="239" ph="1"/>
      <c r="P1" s="239" ph="1"/>
      <c r="Q1" s="239" ph="1"/>
      <c r="R1" s="239" ph="1"/>
      <c r="S1" s="239" ph="1"/>
      <c r="T1" s="239" ph="1"/>
      <c r="U1" s="239" ph="1"/>
      <c r="V1" s="239" ph="1"/>
      <c r="W1" s="239" ph="1"/>
      <c r="X1" s="239" ph="1"/>
      <c r="Y1" s="239" ph="1"/>
      <c r="Z1" s="239" ph="1"/>
      <c r="AA1" s="239" ph="1"/>
      <c r="AB1" s="239" ph="1"/>
      <c r="AC1" s="239" ph="1"/>
      <c r="AD1" s="239" ph="1"/>
      <c r="AE1" s="239" ph="1"/>
    </row>
    <row r="2" spans="1:99" s="66" customFormat="1" ht="24" customHeight="1" ph="1">
      <c r="B2" s="240" t="s" ph="1">
        <v>82</v>
      </c>
      <c r="C2" s="240" ph="1"/>
      <c r="D2" s="240" ph="1"/>
      <c r="E2" s="240" ph="1"/>
      <c r="F2" s="240" ph="1"/>
      <c r="G2" s="240" ph="1"/>
      <c r="H2" s="240" ph="1"/>
      <c r="I2" s="240" ph="1"/>
      <c r="J2" s="240" ph="1"/>
      <c r="K2" s="240" ph="1"/>
      <c r="L2" s="240" ph="1"/>
      <c r="M2" s="240" ph="1"/>
      <c r="N2" s="240" ph="1"/>
      <c r="O2" s="240" ph="1"/>
      <c r="P2" s="240" ph="1"/>
      <c r="Q2" s="240" ph="1"/>
      <c r="R2" s="240" ph="1"/>
      <c r="S2" s="240" ph="1"/>
      <c r="T2" s="240" ph="1"/>
      <c r="U2" s="240" ph="1"/>
      <c r="V2" s="240" ph="1"/>
      <c r="W2" s="240" ph="1"/>
      <c r="X2" s="240" ph="1"/>
      <c r="Y2" s="240" ph="1"/>
      <c r="Z2" s="240" ph="1"/>
      <c r="AA2" s="240" ph="1"/>
      <c r="AB2" s="240" ph="1"/>
      <c r="AC2" s="240" ph="1"/>
      <c r="AD2" s="240" ph="1"/>
      <c r="AE2" s="240" ph="1"/>
    </row>
    <row r="3" spans="1:99" ht="21" customHeight="1" ph="1">
      <c r="B3" s="241" ph="1">
        <v>46248</v>
      </c>
      <c r="C3" s="241"/>
      <c r="D3" s="241"/>
      <c r="E3" s="241"/>
      <c r="F3" s="241"/>
      <c r="G3" s="241"/>
      <c r="H3" s="241"/>
      <c r="I3" s="241"/>
      <c r="J3" s="241"/>
      <c r="K3" s="241"/>
      <c r="L3" s="241"/>
      <c r="M3" s="241"/>
      <c r="N3" s="241"/>
      <c r="O3" s="241"/>
      <c r="P3" s="241"/>
      <c r="Q3" s="241"/>
      <c r="R3" s="241"/>
      <c r="S3" s="241"/>
      <c r="T3" s="241"/>
      <c r="U3" s="241"/>
      <c r="V3" s="241"/>
      <c r="W3" s="241"/>
      <c r="X3" s="241"/>
      <c r="Y3" s="241"/>
      <c r="Z3" s="241"/>
      <c r="AA3" s="241"/>
      <c r="AB3" s="241"/>
      <c r="AC3" s="241"/>
      <c r="AD3" s="241"/>
      <c r="AE3" s="241"/>
    </row>
    <row r="4" spans="1:99" s="69" customFormat="1" ph="1">
      <c r="A4" s="65" ph="1"/>
      <c r="B4" s="220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0" ph="1"/>
      <c r="C5" s="67" t="s" ph="1">
        <v>36</v>
      </c>
      <c r="D5" s="70" t="s" ph="1">
        <v>160</v>
      </c>
      <c r="E5" s="142" t="s" ph="1">
        <v>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8" ph="1">
        <v>0.33333333333333331</v>
      </c>
      <c r="C6" s="157" t="s" ph="1">
        <v>177</v>
      </c>
      <c r="D6" s="71">
        <v>4441</v>
      </c>
      <c r="E6" s="71">
        <v>3276</v>
      </c>
      <c r="F6" s="71">
        <v>5946</v>
      </c>
      <c r="G6" s="71">
        <v>7607</v>
      </c>
      <c r="H6" s="71">
        <v>1332</v>
      </c>
      <c r="I6" s="71">
        <v>17.559999999999999</v>
      </c>
      <c r="J6" s="71">
        <v>77</v>
      </c>
      <c r="K6" s="71">
        <v>7.43</v>
      </c>
      <c r="L6" s="71">
        <v>6.13</v>
      </c>
      <c r="M6" s="71">
        <v>4254</v>
      </c>
      <c r="N6" s="71">
        <v>3472</v>
      </c>
      <c r="O6" s="71">
        <v>1929</v>
      </c>
      <c r="P6" s="71">
        <v>2116</v>
      </c>
      <c r="Q6" s="71">
        <v>667</v>
      </c>
      <c r="R6" s="71">
        <v>0</v>
      </c>
      <c r="S6" s="71">
        <v>0</v>
      </c>
      <c r="T6" s="71">
        <v>0</v>
      </c>
      <c r="U6" s="71">
        <v>0</v>
      </c>
      <c r="V6" s="71">
        <v>0</v>
      </c>
      <c r="W6" s="71">
        <v>5278</v>
      </c>
      <c r="X6" s="71">
        <v>5865</v>
      </c>
      <c r="Y6" s="71">
        <v>2895</v>
      </c>
      <c r="Z6" s="71">
        <v>2936</v>
      </c>
      <c r="AA6" s="71">
        <v>1305</v>
      </c>
      <c r="AB6" s="71">
        <v>2571</v>
      </c>
      <c r="AC6" s="71">
        <v>4763</v>
      </c>
      <c r="AD6" s="71">
        <v>3383</v>
      </c>
      <c r="AE6" s="71">
        <v>4842</v>
      </c>
    </row>
    <row r="7" spans="1:99" s="72" customFormat="1" ht="22.2" ph="1">
      <c r="B7" s="238" ph="1"/>
      <c r="C7" s="68" t="s" ph="1">
        <v>178</v>
      </c>
      <c r="D7" s="73" ph="1">
        <f>D6*33.183*LOOKUP(D8,密度!$A$2:$A$50,密度!$Q$2:$Q$50)</f>
        <v>139014.48861099</v>
      </c>
      <c r="E7" s="73" ph="1">
        <f>E6*51.53*LOOKUP(E8,密度!$A$2:$A$50,密度!$B$2:$B$50)</f>
        <v>131032.091736</v>
      </c>
      <c r="F7" s="73" ph="1">
        <f>F6*33.183*LOOKUP(F8,密度!$A$2:$A$50,密度!$C$2:$C$50)</f>
        <v>218200.83589620001</v>
      </c>
      <c r="G7" s="73" ph="1">
        <f xml:space="preserve"> (G6+2)*51.53*LOOKUP(G8,密度!$A$2:$A$50,密度!$B$2:$B$50)</f>
        <v>303988.749281</v>
      </c>
      <c r="H7" s="73" ph="1">
        <f>(H6)*51.53*LOOKUP(H8,密度!$A$2:$A$50,密度!$B$2:$B$50)</f>
        <v>53393.469084000004</v>
      </c>
      <c r="I7" s="73" ph="1">
        <f>I6*290.8*1.0267</f>
        <v>5242.790161599999</v>
      </c>
      <c r="J7" s="73" ph="1">
        <f>J6*290.8*0.7892</f>
        <v>17671.450720000001</v>
      </c>
      <c r="K7" s="73" ph="1">
        <f>K6*290.8*1.1126</f>
        <v>2403.9325143999999</v>
      </c>
      <c r="L7" s="73" ph="1">
        <f>L6*290.8*0.777</f>
        <v>1385.083308</v>
      </c>
      <c r="M7" s="73" ph="1">
        <f>M6*33.183*LOOKUP(M8,密度!$A$2:$A$50,密度!$D$2:$D$50)</f>
        <v>144266.01260399999</v>
      </c>
      <c r="N7" s="73" ph="1">
        <f>N6*33.183*LOOKUP(N8,密度!$A$2:$A$50,密度!$E$2:$E$50)</f>
        <v>89588.365977599999</v>
      </c>
      <c r="O7" s="73" ph="1">
        <f>O6*20.428*LOOKUP(O8,密度!$A$2:$A$50,密度!$C$2:$C$50)</f>
        <v>43424.984424000002</v>
      </c>
      <c r="P7" s="73" ph="1">
        <f>P6*51.53*LOOKUP(P8,密度!$A$2:$A$50,密度!$B$2:$B$50)</f>
        <v>84722.121960000004</v>
      </c>
      <c r="Q7" s="73" ph="1">
        <f>Q6*1.5*1.5*3.1416*LOOKUP(W8,密度!$A$2:$A$50,密度!$L$2:$L$50)</f>
        <v>4398.8675346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34808.4300564</v>
      </c>
      <c r="X7" s="73" ph="1">
        <f>X6*1.5*1.5*3.1416*LOOKUP(X8,密度!$A$2:$A$50,密度!$L$2:$L$50)</f>
        <v>39052.813338</v>
      </c>
      <c r="Y7" s="73" ph="1">
        <f>Y6*1.5*1.5*3.1416*LOOKUP(Y8,密度!$A$2:$A$50,密度!$L$2:$L$50)</f>
        <v>19112.999597999999</v>
      </c>
      <c r="Z7" s="73" ph="1">
        <f>Z6*33.183*LOOKUP(Z8,密度!$A$2:$A$50,密度!$L$2:$L$50)</f>
        <v>90995.218992000009</v>
      </c>
      <c r="AA7" s="73" ph="1">
        <f>AA6*33.183*LOOKUP(AA8,密度!$A$2:$A$50,密度!$D$2:$D$50)</f>
        <v>44178.552063000003</v>
      </c>
      <c r="AB7" s="73" ph="1">
        <f>AB6*20.428*LOOKUP(AB8,密度!$A$2:$A$50,密度!$D$2:$D$50)</f>
        <v>54069.739446000007</v>
      </c>
      <c r="AC7" s="73" ph="1">
        <f>AC6*51.53*LOOKUP(AC8,密度!$A$2:$A$50,密度!$Q$2:$Q$50)</f>
        <v>231845.06734180002</v>
      </c>
      <c r="AD7" s="73" ph="1">
        <f>AD6*20.428*LOOKUP(AD8,密度!$A$2:$A$50,密度!$V$2:$V$50)</f>
        <v>66177.748022400003</v>
      </c>
      <c r="AE7" s="73" ph="1">
        <f>AE6*20.428</f>
        <v>98912.376000000004</v>
      </c>
    </row>
    <row r="8" spans="1:99" ph="1">
      <c r="B8" s="238" ph="1"/>
      <c r="C8" s="68" t="s" ph="1">
        <v>179</v>
      </c>
      <c r="D8" s="74">
        <v>30</v>
      </c>
      <c r="E8" s="74">
        <v>29</v>
      </c>
      <c r="F8" s="74">
        <v>29</v>
      </c>
      <c r="G8" s="74">
        <v>30</v>
      </c>
      <c r="H8" s="74">
        <v>27</v>
      </c>
      <c r="I8" s="74">
        <v>25</v>
      </c>
      <c r="J8" s="74">
        <v>25</v>
      </c>
      <c r="K8" s="74">
        <v>25</v>
      </c>
      <c r="L8" s="74">
        <v>25</v>
      </c>
      <c r="M8" s="74">
        <v>30</v>
      </c>
      <c r="N8" s="74">
        <v>30</v>
      </c>
      <c r="O8" s="74">
        <v>33</v>
      </c>
      <c r="P8" s="74">
        <v>28</v>
      </c>
      <c r="Q8" s="74">
        <v>31</v>
      </c>
      <c r="R8" s="74">
        <v>34</v>
      </c>
      <c r="S8" s="74">
        <v>25</v>
      </c>
      <c r="T8" s="74">
        <v>25</v>
      </c>
      <c r="U8" s="74">
        <v>28</v>
      </c>
      <c r="V8" s="74">
        <v>26</v>
      </c>
      <c r="W8" s="74">
        <v>29</v>
      </c>
      <c r="X8" s="74">
        <v>20</v>
      </c>
      <c r="Y8" s="74">
        <v>28</v>
      </c>
      <c r="Z8" s="74">
        <v>28</v>
      </c>
      <c r="AA8" s="74">
        <v>32</v>
      </c>
      <c r="AB8" s="74">
        <v>22</v>
      </c>
      <c r="AC8" s="74">
        <v>28</v>
      </c>
      <c r="AD8" s="74">
        <v>27</v>
      </c>
      <c r="AE8" s="74">
        <v>30</v>
      </c>
    </row>
    <row r="9" spans="1:99" ht="26.4" ph="1">
      <c r="B9" s="238" ph="1">
        <v>0.66666666666666663</v>
      </c>
      <c r="C9" s="157" t="s" ph="1">
        <v>180</v>
      </c>
      <c r="D9" s="71">
        <v>3850</v>
      </c>
      <c r="E9" s="71">
        <v>3581</v>
      </c>
      <c r="F9" s="71">
        <v>5948</v>
      </c>
      <c r="G9" s="71">
        <v>7609</v>
      </c>
      <c r="H9" s="71">
        <v>1330</v>
      </c>
      <c r="I9" s="71">
        <v>17.47</v>
      </c>
      <c r="J9" s="71">
        <v>77.14</v>
      </c>
      <c r="K9" s="71">
        <v>7.4</v>
      </c>
      <c r="L9" s="71">
        <v>26.43</v>
      </c>
      <c r="M9" s="71">
        <v>4253</v>
      </c>
      <c r="N9" s="71">
        <v>3476</v>
      </c>
      <c r="O9" s="71">
        <v>1022</v>
      </c>
      <c r="P9" s="71">
        <v>1764</v>
      </c>
      <c r="Q9" s="71">
        <v>7162</v>
      </c>
      <c r="R9" s="71">
        <v>2171</v>
      </c>
      <c r="S9" s="71">
        <v>0</v>
      </c>
      <c r="T9" s="71">
        <v>0</v>
      </c>
      <c r="U9" s="71">
        <v>0</v>
      </c>
      <c r="V9" s="71">
        <v>0</v>
      </c>
      <c r="W9" s="71">
        <v>853</v>
      </c>
      <c r="X9" s="71">
        <v>5871</v>
      </c>
      <c r="Y9" s="71">
        <v>2900</v>
      </c>
      <c r="Z9" s="71">
        <v>1616</v>
      </c>
      <c r="AA9" s="71">
        <v>1304</v>
      </c>
      <c r="AB9" s="71">
        <v>2569</v>
      </c>
      <c r="AC9" s="71">
        <v>5026</v>
      </c>
      <c r="AD9" s="71">
        <v>3383</v>
      </c>
      <c r="AE9" s="71">
        <v>4815</v>
      </c>
    </row>
    <row r="10" spans="1:99" s="72" customFormat="1" ht="22.2" ph="1">
      <c r="B10" s="238" ph="1"/>
      <c r="C10" s="157" t="s" ph="1">
        <v>178</v>
      </c>
      <c r="D10" s="73" ph="1">
        <f>D9*33.183*LOOKUP(D11,密度!$A$2:$A$50,密度!$Q$2:$Q$50)</f>
        <v>120332.010645</v>
      </c>
      <c r="E10" s="73" ph="1">
        <f>E9*51.53*LOOKUP(E11,密度!$A$2:$A$50,密度!$B$2:$B$50)</f>
        <v>142253.35213700001</v>
      </c>
      <c r="F10" s="73" ph="1">
        <f>F9*33.183*LOOKUP(F11,密度!$A$2:$A$50,密度!$C$2:$C$50)</f>
        <v>217918.9595844</v>
      </c>
      <c r="G10" s="73" ph="1">
        <f xml:space="preserve"> (G9+2)*51.53*LOOKUP(G11,密度!$A$2:$A$50,密度!$B$2:$B$50)</f>
        <v>303715.67635199998</v>
      </c>
      <c r="H10" s="73" ph="1">
        <f>(H9)*51.53*LOOKUP(H11,密度!$A$2:$A$50,密度!$B$2:$B$50)</f>
        <v>52895.235820000009</v>
      </c>
      <c r="I10" s="73" ph="1">
        <f>I9*290.8*1.0267</f>
        <v>5215.9193691999999</v>
      </c>
      <c r="J10" s="73" ph="1">
        <f>J9*290.8*0.7892</f>
        <v>17703.580630400003</v>
      </c>
      <c r="K10" s="73" ph="1">
        <f>K9*290.8*1.1126</f>
        <v>2394.2261920000001</v>
      </c>
      <c r="L10" s="73" ph="1">
        <f>L9*290.8*0.777</f>
        <v>5971.9007879999999</v>
      </c>
      <c r="M10" s="73" ph="1">
        <f>M9*33.183*LOOKUP(M11,密度!$A$2:$A$50,密度!$D$2:$D$50)</f>
        <v>143611.13946239999</v>
      </c>
      <c r="N10" s="73" ph="1">
        <f>N9*33.183*LOOKUP(N11,密度!$A$2:$A$50,密度!$E$2:$E$50)</f>
        <v>89428.593814559994</v>
      </c>
      <c r="O10" s="73" ph="1">
        <f>O9*20.428*LOOKUP(O11,密度!$A$2:$A$50,密度!$C$2:$C$50)</f>
        <v>22787.699563999999</v>
      </c>
      <c r="P10" s="73" ph="1">
        <f>P9*51.53*LOOKUP(P11,密度!$A$2:$A$50,密度!$B$2:$B$50)</f>
        <v>70310.31461999999</v>
      </c>
      <c r="Q10" s="73" ph="1">
        <f>Q9*1.5*1.5*3.1416*LOOKUP(W11,密度!$A$2:$A$50,密度!$L$2:$L$50)</f>
        <v>46879.040023200003</v>
      </c>
      <c r="R10" s="73" ph="1">
        <f>R9*1.5*1.5*3.1416*LOOKUP(R11,密度!$A$2:$A$50,密度!$L$2:$L$50)</f>
        <v>14225.677666200001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5583.3316308000003</v>
      </c>
      <c r="X10" s="73" ph="1">
        <f>X9*1.5*1.5*3.1416*LOOKUP(X11,密度!$A$2:$A$50,密度!$L$2:$L$50)</f>
        <v>39009.765563999994</v>
      </c>
      <c r="Y10" s="73" ph="1">
        <f>Y9*1.5*1.5*3.1416*LOOKUP(Y11,密度!$A$2:$A$50,密度!$L$2:$L$50)</f>
        <v>19105.01208</v>
      </c>
      <c r="Z10" s="73" ph="1">
        <f>Z9*33.183*LOOKUP(Z11,密度!$A$2:$A$50,密度!$L$2:$L$50)</f>
        <v>49762.819584000004</v>
      </c>
      <c r="AA10" s="73" ph="1">
        <f>AA9*33.183*LOOKUP(AA11,密度!$A$2:$A$50,密度!$D$2:$D$50)</f>
        <v>43993.251554399998</v>
      </c>
      <c r="AB10" s="73" ph="1">
        <f>AB9*20.428*LOOKUP(AB11,密度!$A$2:$A$50,密度!$D$2:$D$50)</f>
        <v>53833.503925600002</v>
      </c>
      <c r="AC10" s="73" ph="1">
        <f>AC9*51.53*LOOKUP(AC11,密度!$A$2:$A$50,密度!$Q$2:$Q$50)</f>
        <v>243774.13042500001</v>
      </c>
      <c r="AD10" s="73" ph="1">
        <f>AD9*20.428*LOOKUP(AD11,密度!$A$2:$A$50,密度!$V$2:$V$50)</f>
        <v>66177.748022400003</v>
      </c>
      <c r="AE10" s="73" ph="1">
        <f>AE9*20.428</f>
        <v>98360.82</v>
      </c>
    </row>
    <row r="11" spans="1:99" ph="1">
      <c r="A11" s="64" t="s" ph="1">
        <v>162</v>
      </c>
      <c r="B11" s="238" ph="1"/>
      <c r="C11" s="157" t="s" ph="1">
        <v>179</v>
      </c>
      <c r="D11" s="74">
        <v>32</v>
      </c>
      <c r="E11" s="74">
        <v>35</v>
      </c>
      <c r="F11" s="74">
        <v>31</v>
      </c>
      <c r="G11" s="74">
        <v>31</v>
      </c>
      <c r="H11" s="74">
        <v>34</v>
      </c>
      <c r="I11" s="74">
        <v>25</v>
      </c>
      <c r="J11" s="74">
        <v>25</v>
      </c>
      <c r="K11" s="74">
        <v>25</v>
      </c>
      <c r="L11" s="74">
        <v>25</v>
      </c>
      <c r="M11" s="74">
        <v>35</v>
      </c>
      <c r="N11" s="74">
        <v>32</v>
      </c>
      <c r="O11" s="74">
        <v>43</v>
      </c>
      <c r="P11" s="74">
        <v>32</v>
      </c>
      <c r="Q11" s="74">
        <v>32</v>
      </c>
      <c r="R11" s="74">
        <v>35</v>
      </c>
      <c r="S11" s="74">
        <v>32</v>
      </c>
      <c r="T11" s="74">
        <v>35</v>
      </c>
      <c r="U11" s="74">
        <v>38</v>
      </c>
      <c r="V11" s="74">
        <v>32</v>
      </c>
      <c r="W11" s="74">
        <v>36</v>
      </c>
      <c r="X11" s="74">
        <v>22</v>
      </c>
      <c r="Y11" s="74">
        <v>30</v>
      </c>
      <c r="Z11" s="74">
        <v>34</v>
      </c>
      <c r="AA11" s="74">
        <v>36</v>
      </c>
      <c r="AB11" s="74">
        <v>26</v>
      </c>
      <c r="AC11" s="74">
        <v>33</v>
      </c>
      <c r="AD11" s="74">
        <v>33</v>
      </c>
      <c r="AE11" s="74">
        <v>33</v>
      </c>
    </row>
    <row r="12" spans="1:99" ht="9.9" customHeight="1" ph="1"/>
    <row r="13" spans="1:99" s="72" customFormat="1" ht="29.25" customHeight="1" ph="1">
      <c r="B13" s="215" t="s" ph="1">
        <v>37</v>
      </c>
      <c r="C13" s="157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6" ph="1"/>
      <c r="C14" s="67" t="s" ph="1">
        <v>36</v>
      </c>
      <c r="D14" s="77" t="s" ph="1">
        <v>616</v>
      </c>
      <c r="E14" s="77" t="s" ph="1">
        <v>616</v>
      </c>
      <c r="F14" s="144" t="s" ph="1">
        <v>636</v>
      </c>
      <c r="G14" s="77" t="s" ph="1">
        <v>617</v>
      </c>
      <c r="H14" s="77" t="s" ph="1">
        <v>637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638</v>
      </c>
      <c r="P14" s="77" t="s" ph="1">
        <v>622</v>
      </c>
      <c r="Q14" s="77" t="s" ph="1">
        <v>622</v>
      </c>
      <c r="R14" s="88" t="s" ph="1">
        <v>7</v>
      </c>
      <c r="S14" s="77" t="s" ph="1">
        <v>622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17" ph="1">
        <v>0.33333333333333331</v>
      </c>
      <c r="C15" s="157" t="s" ph="1">
        <v>177</v>
      </c>
      <c r="D15" s="78">
        <v>5914</v>
      </c>
      <c r="E15" s="78">
        <v>3602</v>
      </c>
      <c r="F15" s="78">
        <v>3929</v>
      </c>
      <c r="G15" s="78">
        <v>4217</v>
      </c>
      <c r="H15" s="78">
        <v>4366</v>
      </c>
      <c r="I15" s="78">
        <v>3130</v>
      </c>
      <c r="J15" s="78">
        <v>4671</v>
      </c>
      <c r="K15" s="78">
        <v>3659</v>
      </c>
      <c r="L15" s="78">
        <v>3969</v>
      </c>
      <c r="M15" s="78">
        <v>3718</v>
      </c>
      <c r="N15" s="78">
        <v>411</v>
      </c>
      <c r="O15" s="78">
        <v>2990</v>
      </c>
      <c r="P15" s="78">
        <v>7003</v>
      </c>
      <c r="Q15" s="78">
        <v>3807</v>
      </c>
      <c r="R15" s="78">
        <v>0</v>
      </c>
      <c r="S15" s="78">
        <v>0</v>
      </c>
      <c r="T15" s="78">
        <v>1991</v>
      </c>
      <c r="U15" s="78">
        <v>1823</v>
      </c>
      <c r="V15" s="78">
        <v>3723</v>
      </c>
      <c r="W15" s="71">
        <v>824</v>
      </c>
      <c r="X15" s="78">
        <v>861</v>
      </c>
      <c r="Y15" s="106">
        <v>-9907</v>
      </c>
      <c r="Z15" s="78">
        <v>0</v>
      </c>
      <c r="AA15" s="78">
        <v>2495</v>
      </c>
      <c r="AB15" s="78" ph="1">
        <v>0</v>
      </c>
      <c r="AC15" s="78" ph="1">
        <v>0</v>
      </c>
      <c r="AD15" s="78">
        <v>5.3</v>
      </c>
      <c r="AE15" s="78">
        <v>45.73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18" ph="1"/>
      <c r="C16" s="157" t="s" ph="1">
        <v>178</v>
      </c>
      <c r="D16" s="73" ph="1">
        <f>D15*7.0686*LOOKUP(D17,密度!$A$2:$A$50,密度!$L$2:$L$50)</f>
        <v>38961.048772800001</v>
      </c>
      <c r="E16" s="73" ph="1">
        <f>E15*7.0686*LOOKUP(E17,密度!$A$2:$A$50,密度!$L$2:$L$50)</f>
        <v>23729.742590400001</v>
      </c>
      <c r="F16" s="73" ph="1">
        <f>F15*9.0746*LOOKUP(F17,密度!$A$2:$A$50,密度!$L$2:$L$50)</f>
        <v>32766.121024600001</v>
      </c>
      <c r="G16" s="73" ph="1">
        <f>G15*9.0746*LOOKUP(G17,密度!$A$2:$A$50,密度!$B$2:$B$50)</f>
        <v>29703.301960839999</v>
      </c>
      <c r="H16" s="73" ph="1">
        <f>H15*9.0746*LOOKUP(H17,密度!$A$2:$A$50,密度!$L$2:$L$50)</f>
        <v>37084.042569600002</v>
      </c>
      <c r="I16" s="73" ph="1">
        <f>I15*9.0746*LOOKUP(I17,密度!$A$2:$A$50,密度!$U$2:$U$50)</f>
        <v>29028.374956</v>
      </c>
      <c r="J16" s="73" ph="1">
        <f>J15*9.0746*LOOKUP(J17,密度!$A$2:$A$50,密度!$L$2:$L$50)</f>
        <v>39462.722094600002</v>
      </c>
      <c r="K16" s="73" ph="1">
        <f>K15*9.0746*LOOKUP(K17,密度!$A$2:$A$50,密度!$C$2:$C$50)</f>
        <v>36693.697743140001</v>
      </c>
      <c r="L16" s="73" ph="1">
        <f>L15*9.0746*LOOKUP(L17,密度!$A$2:$A$50,密度!$E$2:$E$50)</f>
        <v>28006.88716224</v>
      </c>
      <c r="M16" s="73" ph="1">
        <f>M15*9.0746*LOOKUP(M17,密度!$A$2:$A$50,密度!$M$2:$M$50)</f>
        <v>29315.120156036002</v>
      </c>
      <c r="N16" s="73" ph="1">
        <f>N15*9.0746*LOOKUP(N17,密度!$A$2:$A$50,密度!$M$2:$M$50)</f>
        <v>3252.2640432000003</v>
      </c>
      <c r="O16" s="73" ph="1">
        <f>O15*9.0746*LOOKUP(O17,密度!$A$2:$A$50,密度!$G$2:$G$50)</f>
        <v>25903.926653800001</v>
      </c>
      <c r="P16" s="73" ph="1">
        <f ca="1">P15*9.0746*LOOKUP(P17,密度!$A$2:$A$51,密度!$Q$2:$Q$50)</f>
        <v>59948.077953254004</v>
      </c>
      <c r="Q16" s="73" ph="1">
        <f>Q15*9.0746*LOOKUP(Q17,密度!$A$2:$A$50,密度!$Q$2:$Q$50)</f>
        <v>32589.223585326003</v>
      </c>
      <c r="R16" s="73" ph="1">
        <f>MAX(R15*9.0746*LOOKUP(R17,密度!$A$2:$A$50,密度!$B$2:$B$50),0)</f>
        <v>0</v>
      </c>
      <c r="S16" s="73" ph="1">
        <f>S15*9.0746*LOOKUP(S17,密度!$A$2:$A$50,密度!$Q$2:$Q$50)</f>
        <v>0</v>
      </c>
      <c r="T16" s="73" ph="1">
        <f>T15*9.0746*LOOKUP(T17,密度!$A$2:$A$50,密度!$O$2:$O$50)</f>
        <v>16730.531483600003</v>
      </c>
      <c r="U16" s="73" ph="1">
        <f>U15*9.0746*LOOKUP(U17,密度!$A$2:$A$50,密度!$H$2:$H$50)</f>
        <v>15070.669173800001</v>
      </c>
      <c r="V16" s="73" ph="1">
        <f>MAX(5600*LOOKUP(V17,密度!$A$2:$A$50,密度!$Q$2:$Q$50)+V15*9.0476*LOOKUP(V17,密度!$A$2:$A$50,密度!$Q$2:$Q$50),0)</f>
        <v>37057.978347283992</v>
      </c>
      <c r="W16" s="73" ph="1">
        <f>MAX(5600*LOOKUP(W17,密度!$A$2:$A$50,密度!$Q$2:$Q$50)+W15*9.0476*LOOKUP(W17,密度!$A$2:$A$50,密度!$Q$2:$Q$50),0)</f>
        <v>12315.382946591999</v>
      </c>
      <c r="X16" s="73" ph="1">
        <f>MAX(5600*LOOKUP(X17,密度!$A$2:$A$50,密度!$I$2:$I$50)+X15*9.0476*LOOKUP(X17,密度!$A$2:$A$50,密度!$I$2:$I$50),0)</f>
        <v>13866.667016160001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17553.665763100002</v>
      </c>
      <c r="AB16" s="73" ph="1">
        <f>AB15*9.0746*LOOKUP(AB17,密度!$A$2:$A$50,密度!$L$2:$L$50)</f>
        <v>0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2331.0071183999999</v>
      </c>
      <c r="AE16" s="73" ph="1">
        <f>AE15*268.68*LOOKUP(AE17,密度!$A$2:$A$50,密度!B2:B50)+IF(AE15&lt;=0,0,1566*LOOKUP(AE17,密度!$A$2:$A$50,密度!B2:B50))</f>
        <v>10799.59329744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19" ph="1"/>
      <c r="C17" s="79" t="s" ph="1">
        <v>179</v>
      </c>
      <c r="D17" s="74">
        <v>30</v>
      </c>
      <c r="E17" s="74">
        <v>30</v>
      </c>
      <c r="F17" s="74">
        <v>43</v>
      </c>
      <c r="G17" s="74">
        <v>29</v>
      </c>
      <c r="H17" s="74">
        <v>26</v>
      </c>
      <c r="I17" s="74">
        <v>28</v>
      </c>
      <c r="J17" s="74">
        <v>31</v>
      </c>
      <c r="K17" s="74">
        <v>30</v>
      </c>
      <c r="L17" s="74">
        <v>30</v>
      </c>
      <c r="M17" s="74">
        <v>31</v>
      </c>
      <c r="N17" s="74">
        <v>28</v>
      </c>
      <c r="O17" s="74">
        <v>30</v>
      </c>
      <c r="P17" s="74">
        <v>30</v>
      </c>
      <c r="Q17" s="74">
        <v>30</v>
      </c>
      <c r="R17" s="74">
        <v>30</v>
      </c>
      <c r="S17" s="74">
        <v>29</v>
      </c>
      <c r="T17" s="74">
        <v>29</v>
      </c>
      <c r="U17" s="74">
        <v>29</v>
      </c>
      <c r="V17" s="74">
        <v>30</v>
      </c>
      <c r="W17" s="74">
        <v>30</v>
      </c>
      <c r="X17" s="74">
        <v>31</v>
      </c>
      <c r="Y17" s="108">
        <v>31</v>
      </c>
      <c r="Z17" s="74">
        <v>29</v>
      </c>
      <c r="AA17" s="74">
        <v>30</v>
      </c>
      <c r="AB17" s="74">
        <v>28</v>
      </c>
      <c r="AC17" s="74">
        <v>27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17" ph="1">
        <v>0.66666666666666663</v>
      </c>
      <c r="C18" s="79" t="s" ph="1">
        <v>180</v>
      </c>
      <c r="D18" s="71">
        <v>5918</v>
      </c>
      <c r="E18" s="71">
        <v>5297</v>
      </c>
      <c r="F18" s="71">
        <v>1685</v>
      </c>
      <c r="G18" s="71">
        <v>1723</v>
      </c>
      <c r="H18" s="71">
        <v>4369</v>
      </c>
      <c r="I18" s="71">
        <v>3132</v>
      </c>
      <c r="J18" s="71">
        <v>5122</v>
      </c>
      <c r="K18" s="71">
        <v>3660</v>
      </c>
      <c r="L18" s="71">
        <v>3976</v>
      </c>
      <c r="M18" s="71">
        <v>770</v>
      </c>
      <c r="N18" s="71">
        <v>1686</v>
      </c>
      <c r="O18" s="71">
        <v>2992</v>
      </c>
      <c r="P18" s="71">
        <v>7011</v>
      </c>
      <c r="Q18" s="71">
        <v>4972</v>
      </c>
      <c r="R18" s="71">
        <v>0</v>
      </c>
      <c r="S18" s="71">
        <v>0</v>
      </c>
      <c r="T18" s="71">
        <v>1558</v>
      </c>
      <c r="U18" s="71">
        <v>1819</v>
      </c>
      <c r="V18" s="71">
        <v>4220</v>
      </c>
      <c r="W18" s="71">
        <v>-322</v>
      </c>
      <c r="X18" s="71">
        <v>860</v>
      </c>
      <c r="Y18" s="109">
        <v>-9908</v>
      </c>
      <c r="Z18" s="71">
        <v>0</v>
      </c>
      <c r="AA18" s="71">
        <v>2498</v>
      </c>
      <c r="AB18" s="71">
        <v>0</v>
      </c>
      <c r="AC18" s="71">
        <v>0</v>
      </c>
      <c r="AD18" s="71">
        <v>14.3</v>
      </c>
      <c r="AE18" s="71">
        <v>84.28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18" ph="1"/>
      <c r="C19" s="157" t="s" ph="1">
        <v>178</v>
      </c>
      <c r="D19" s="73" ph="1">
        <f>D18*7.0686*LOOKUP(D20,密度!$A$2:$A$50,密度!$L$2:$L$50)</f>
        <v>38903.736564000006</v>
      </c>
      <c r="E19" s="73" ph="1">
        <f>E18*7.0686*LOOKUP(E20,密度!$A$2:$A$50,密度!$L$2:$L$50)</f>
        <v>34821.408005999998</v>
      </c>
      <c r="F19" s="73" ph="1">
        <f>F18*9.0746*LOOKUP(F20,密度!$A$2:$A$50,密度!$L$2:$L$50)</f>
        <v>14067.444920000002</v>
      </c>
      <c r="G19" s="73" ph="1">
        <f>G18*9.0746*LOOKUP(G20,密度!$A$2:$A$50,密度!$B$2:$B$50)</f>
        <v>12122.23090574</v>
      </c>
      <c r="H19" s="73" ph="1">
        <f>H18*9.0746*LOOKUP(H20,密度!$A$2:$A$50,密度!$L$2:$L$50)</f>
        <v>36633.760917600004</v>
      </c>
      <c r="I19" s="73" ph="1">
        <f>I18*9.0746*LOOKUP(I20,密度!$A$2:$A$50,密度!$U$2:$U$50)</f>
        <v>28847.971907999996</v>
      </c>
      <c r="J19" s="73" ph="1">
        <f>J18*9.0746*LOOKUP(J20,密度!$A$2:$A$50,密度!$L$2:$L$50)</f>
        <v>42854.653306400003</v>
      </c>
      <c r="K19" s="73" ph="1">
        <f>K18*9.0746*LOOKUP(K20,密度!$A$2:$A$50,密度!$C$2:$C$50)</f>
        <v>36633.978708000002</v>
      </c>
      <c r="L19" s="73" ph="1">
        <f>L18*9.0746*LOOKUP(L20,密度!$A$2:$A$50,密度!$E$2:$E$50)</f>
        <v>28014.789323920002</v>
      </c>
      <c r="M19" s="73" ph="1">
        <f>M18*9.0746*LOOKUP(M20,密度!$A$2:$A$50,密度!$M$2:$M$50)</f>
        <v>6021.0787713999998</v>
      </c>
      <c r="N19" s="73" ph="1">
        <f>N18*9.0746*LOOKUP(N20,密度!$A$2:$A$50,密度!$M$2:$M$50)</f>
        <v>13309.274794440002</v>
      </c>
      <c r="O19" s="73" ph="1">
        <f>O18*9.0746*LOOKUP(O20,密度!$A$2:$A$50,密度!$G$2:$G$50)</f>
        <v>25865.322216447999</v>
      </c>
      <c r="P19" s="73" ph="1">
        <f ca="1">P18*9.0746*LOOKUP(P20,密度!$A$2:$A$51,密度!$Q$2:$Q$50)</f>
        <v>59602.381338491999</v>
      </c>
      <c r="Q19" s="73" ph="1">
        <f>Q18*9.0746*LOOKUP(Q20,密度!$A$2:$A$50,密度!$Q$2:$Q$50)</f>
        <v>42497.502459280004</v>
      </c>
      <c r="R19" s="73" ph="1">
        <f>MAX(R18*9.0746*LOOKUP(R20,密度!$A$2:$A$50,密度!$B$2:$B$50),0)</f>
        <v>0</v>
      </c>
      <c r="S19" s="73" ph="1">
        <f>S18*9.0746*LOOKUP(S20,密度!$A$2:$A$50,密度!$Q$2:$Q$50)</f>
        <v>0</v>
      </c>
      <c r="T19" s="73" ph="1">
        <f>T18*9.0746*LOOKUP(T20,密度!$A$2:$A$50,密度!$O$2:$O$50)</f>
        <v>13035.445109600001</v>
      </c>
      <c r="U19" s="73" ph="1">
        <f>U18*9.0746*LOOKUP(U20,密度!$A$2:$A$50,密度!$H$2:$H$50)</f>
        <v>14989.401774992</v>
      </c>
      <c r="V19" s="73" ph="1">
        <f>MAX(5600*LOOKUP(V20,密度!$A$2:$A$50,密度!$Q$2:$Q$50)+V18*9.0476*LOOKUP(V20,密度!$A$2:$A$50,密度!$Q$2:$Q$50),0)</f>
        <v>41151.392827679992</v>
      </c>
      <c r="W19" s="73" ph="1">
        <f>MAX(5600*LOOKUP(W20,密度!$A$2:$A$50,密度!$Q$2:$Q$50)+W18*9.0476*LOOKUP(W20,密度!$A$2:$A$50,密度!$Q$2:$Q$50),0)</f>
        <v>2521.8454237199999</v>
      </c>
      <c r="X19" s="73" ph="1">
        <f>MAX(5600*LOOKUP(X20,密度!$A$2:$A$50,密度!$I$2:$I$50)+X18*9.0476*LOOKUP(X20,密度!$A$2:$A$50,密度!$I$2:$I$50),0)</f>
        <v>13811.802139199999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17533.969343799999</v>
      </c>
      <c r="AB19" s="73" ph="1">
        <f>AB18*9.0746*LOOKUP(AB20,密度!$A$2:$A$50,密度!$L$2:$L$50)</f>
        <v>0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4202.1123480000006</v>
      </c>
      <c r="AE19" s="73" ph="1">
        <f>AE18*268.68*LOOKUP(AE20,密度!$A$2:$A$50,密度!B5:B53)+IF(AE18&lt;=0,0,1566*LOOKUP(AE20,密度!$A$2:$A$50,密度!B5:B53))</f>
        <v>18811.442260799999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18" ph="1"/>
      <c r="C20" s="80" t="s" ph="1">
        <v>179</v>
      </c>
      <c r="D20" s="81">
        <v>32</v>
      </c>
      <c r="E20" s="81">
        <v>32</v>
      </c>
      <c r="F20" s="81">
        <v>42</v>
      </c>
      <c r="G20" s="81">
        <v>30</v>
      </c>
      <c r="H20" s="81">
        <v>38</v>
      </c>
      <c r="I20" s="81">
        <v>35</v>
      </c>
      <c r="J20" s="81">
        <v>40</v>
      </c>
      <c r="K20" s="81">
        <v>32</v>
      </c>
      <c r="L20" s="81">
        <v>31</v>
      </c>
      <c r="M20" s="81">
        <v>38</v>
      </c>
      <c r="N20" s="81">
        <v>30</v>
      </c>
      <c r="O20" s="81">
        <v>32</v>
      </c>
      <c r="P20" s="81">
        <v>40</v>
      </c>
      <c r="Q20" s="81">
        <v>32</v>
      </c>
      <c r="R20" s="81">
        <v>36</v>
      </c>
      <c r="S20" s="81">
        <v>35</v>
      </c>
      <c r="T20" s="81">
        <v>32</v>
      </c>
      <c r="U20" s="81">
        <v>32</v>
      </c>
      <c r="V20" s="81">
        <v>35</v>
      </c>
      <c r="W20" s="81">
        <v>37</v>
      </c>
      <c r="X20" s="81">
        <v>34</v>
      </c>
      <c r="Y20" s="110">
        <v>34</v>
      </c>
      <c r="Z20" s="81">
        <v>38</v>
      </c>
      <c r="AA20" s="81">
        <v>32</v>
      </c>
      <c r="AB20" s="81">
        <v>37</v>
      </c>
      <c r="AC20" s="81">
        <v>36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6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6" t="s" ph="1">
        <v>69</v>
      </c>
      <c r="AA22" s="227"/>
      <c r="AB22" s="227"/>
      <c r="AC22" s="227"/>
      <c r="AD22" s="227"/>
      <c r="AE22" s="228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0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610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229" t="s" ph="1">
        <v>644</v>
      </c>
      <c r="AA23" s="230"/>
      <c r="AB23" s="230"/>
      <c r="AC23" s="230"/>
      <c r="AD23" s="230"/>
      <c r="AE23" s="231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38" ph="1">
        <v>0.33333333333333331</v>
      </c>
      <c r="C24" s="157" t="s" ph="1">
        <v>177</v>
      </c>
      <c r="D24" s="71">
        <v>3.32</v>
      </c>
      <c r="E24" s="71">
        <v>5.61</v>
      </c>
      <c r="F24" s="71">
        <v>2503</v>
      </c>
      <c r="G24" s="71">
        <v>3025</v>
      </c>
      <c r="H24" s="71">
        <v>2805</v>
      </c>
      <c r="I24" s="71">
        <v>824</v>
      </c>
      <c r="J24" s="71">
        <v>303</v>
      </c>
      <c r="K24" s="71">
        <v>327</v>
      </c>
      <c r="L24" s="71">
        <v>301</v>
      </c>
      <c r="M24" s="71">
        <v>325</v>
      </c>
      <c r="N24" s="71">
        <v>329</v>
      </c>
      <c r="O24" s="71">
        <v>342</v>
      </c>
      <c r="P24" s="71">
        <v>373</v>
      </c>
      <c r="Q24" s="90">
        <v>2250</v>
      </c>
      <c r="R24" s="71">
        <v>290</v>
      </c>
      <c r="S24" s="71">
        <v>5617</v>
      </c>
      <c r="T24" s="71">
        <v>414</v>
      </c>
      <c r="U24" s="71">
        <v>5555</v>
      </c>
      <c r="V24" s="71">
        <v>734</v>
      </c>
      <c r="W24" s="71">
        <v>961</v>
      </c>
      <c r="X24" s="71">
        <v>2977</v>
      </c>
      <c r="Y24" s="71">
        <v>702</v>
      </c>
      <c r="Z24" s="232"/>
      <c r="AA24" s="233"/>
      <c r="AB24" s="233"/>
      <c r="AC24" s="233"/>
      <c r="AD24" s="233"/>
      <c r="AE24" s="234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38" ph="1"/>
      <c r="C25" s="68" t="s" ph="1">
        <v>178</v>
      </c>
      <c r="D25" s="91" ph="1">
        <f>D24*268.68*LOOKUP(D26,密度!$A$2:$A$50,密度!$Q$2:$Q$50)+IF(D24&lt;=0,0,1566*LOOKUP(D26,密度!$A$2:$A$50,密度!$Q$2:$Q$50))</f>
        <v>2327.103582624</v>
      </c>
      <c r="E25" s="91" ph="1">
        <f>E24*268.68*LOOKUP(E26,密度!$A$2:$A$50,密度!$C$2:$C$50)+IF(E24&lt;=0,0,1566*LOOKUP(E26,密度!$A$2:$A$50,密度!$C$2:$C$50))</f>
        <v>3407.9766037199997</v>
      </c>
      <c r="F25" s="91" ph="1">
        <f>F24*11.702*LOOKUP(F26,密度!$A$2:$A$50,密度!$Q$2:$Q$50)</f>
        <v>27647.809756580002</v>
      </c>
      <c r="G25" s="91" ph="1">
        <f>G24*18.322*LOOKUP(G26,密度!$A$2:$A$50,密度!$B$2:$B$50)</f>
        <v>42970.265964999999</v>
      </c>
      <c r="H25" s="91" ph="1">
        <f>H24*18.322*LOOKUP(H26,密度!$A$2:$A$50,密度!$B$2:$B$50)</f>
        <v>39891.409602</v>
      </c>
      <c r="I25" s="91" ph="1">
        <f>I24*18.322*LOOKUP(I26,密度!$A$2:$A$50,密度!$Q$2:$Q$50)</f>
        <v>14230.439426239998</v>
      </c>
      <c r="J25" s="91" ph="1">
        <f>J24*18.322*LOOKUP(J26,密度!$A$2:$A$50,密度!$Q$2:$Q$50)</f>
        <v>5240.2896943799997</v>
      </c>
      <c r="K25" s="91" ph="1">
        <f>K24*18.322*LOOKUP(K26,密度!$A$2:$A$50,密度!$Q$2:$Q$50)</f>
        <v>5655.3621454200002</v>
      </c>
      <c r="L25" s="91" ph="1">
        <f>L24*18.322*LOOKUP(L26,密度!$A$2:$A$50,密度!$Q$2:$Q$50)</f>
        <v>5202.3913702599993</v>
      </c>
      <c r="M25" s="91" ph="1">
        <f>M24*18.322*LOOKUP(M26,密度!$A$2:$A$50,密度!$Q$2:$Q$50)</f>
        <v>5617.1999845</v>
      </c>
      <c r="N25" s="91" ph="1">
        <f>N24*18.322*LOOKUP(N26,密度!$A$2:$A$50,密度!$Q$2:$Q$50)</f>
        <v>5686.3347535399998</v>
      </c>
      <c r="O25" s="91" ph="1">
        <f>O24*18.322*LOOKUP(O26,密度!$A$2:$A$50,密度!$C$2:$C$50)</f>
        <v>6924.6936323999998</v>
      </c>
      <c r="P25" s="91" ph="1">
        <f>P24*11.702*LOOKUP(P26,密度!$A$2:$A$50,密度!$B$2:$B$50)</f>
        <v>3387.9934651999997</v>
      </c>
      <c r="Q25" s="92" ph="1">
        <f>Q24*18.322*LOOKUP(Q26,密度!$A$2:$A$50,密度!$B$2:$B$50)</f>
        <v>31961.35485</v>
      </c>
      <c r="R25" s="91" ph="1">
        <f>R24*35.891*LOOKUP(R26,密度!$A$2:$A$50,密度!$C$2:$C$50)</f>
        <v>11502.311788999999</v>
      </c>
      <c r="S25" s="91" ph="1">
        <f>S24*35.891*LOOKUP(S26,密度!$A$2:$A$50,密度!$B$2:$B$50)</f>
        <v>156118.84407679999</v>
      </c>
      <c r="T25" s="91" ph="1">
        <f>T24*35.891*LOOKUP(T26,密度!$A$2:$A$50,密度!$Q$2:$Q$50)</f>
        <v>14005.67745492</v>
      </c>
      <c r="U25" s="91" ph="1">
        <f>U24*35.891</f>
        <v>199374.505</v>
      </c>
      <c r="V25" s="91" ph="1">
        <f>V24*47.051*LOOKUP(V26,密度!$A$2:$A$50,密度!$B$2:$B$50)</f>
        <v>26775.321980200002</v>
      </c>
      <c r="W25" s="91" ph="1">
        <f>W24*47.051*LOOKUP(W26,密度!$A$2:$A$50,密度!$B$2:$B$50)</f>
        <v>35055.973328299995</v>
      </c>
      <c r="X25" s="91" ph="1">
        <f>X24*47.051*LOOKUP(X26,密度!$A$2:$A$61,密度!$I$2:$I$61)</f>
        <v>145057.34844120004</v>
      </c>
      <c r="Y25" s="91" ph="1">
        <f>Y24*47.051*LOOKUP(Y26,密度!$A$2:$A$50,密度!$L$2:$L$50)</f>
        <v>30783.775464000006</v>
      </c>
      <c r="Z25" s="232"/>
      <c r="AA25" s="233"/>
      <c r="AB25" s="233"/>
      <c r="AC25" s="233"/>
      <c r="AD25" s="233"/>
      <c r="AE25" s="234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38" ph="1"/>
      <c r="C26" s="68" t="s" ph="1">
        <v>179</v>
      </c>
      <c r="D26" s="74">
        <v>25</v>
      </c>
      <c r="E26" s="74">
        <v>25</v>
      </c>
      <c r="F26" s="74">
        <v>29</v>
      </c>
      <c r="G26" s="74">
        <v>30</v>
      </c>
      <c r="H26" s="74">
        <v>29</v>
      </c>
      <c r="I26" s="74">
        <v>31</v>
      </c>
      <c r="J26" s="74">
        <v>29</v>
      </c>
      <c r="K26" s="74">
        <v>29</v>
      </c>
      <c r="L26" s="74">
        <v>30</v>
      </c>
      <c r="M26" s="74">
        <v>30</v>
      </c>
      <c r="N26" s="74">
        <v>30</v>
      </c>
      <c r="O26" s="74">
        <v>30</v>
      </c>
      <c r="P26" s="74">
        <v>29</v>
      </c>
      <c r="Q26" s="93">
        <v>30</v>
      </c>
      <c r="R26" s="74">
        <v>30</v>
      </c>
      <c r="S26" s="74">
        <v>31</v>
      </c>
      <c r="T26" s="74">
        <v>31</v>
      </c>
      <c r="U26" s="74">
        <v>30</v>
      </c>
      <c r="V26" s="74">
        <v>30</v>
      </c>
      <c r="W26" s="74">
        <v>30</v>
      </c>
      <c r="X26" s="74">
        <v>31</v>
      </c>
      <c r="Y26" s="74">
        <v>30</v>
      </c>
      <c r="Z26" s="232"/>
      <c r="AA26" s="233"/>
      <c r="AB26" s="233"/>
      <c r="AC26" s="233"/>
      <c r="AD26" s="233"/>
      <c r="AE26" s="234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38" ph="1">
        <v>0.66666666666666663</v>
      </c>
      <c r="C27" s="157" t="s" ph="1">
        <v>180</v>
      </c>
      <c r="D27" s="71">
        <v>3.31</v>
      </c>
      <c r="E27" s="71">
        <v>5.55</v>
      </c>
      <c r="F27" s="71">
        <v>1107</v>
      </c>
      <c r="G27" s="71">
        <v>2622</v>
      </c>
      <c r="H27" s="71">
        <v>2353</v>
      </c>
      <c r="I27" s="71">
        <v>1392</v>
      </c>
      <c r="J27" s="71">
        <v>297</v>
      </c>
      <c r="K27" s="71">
        <v>323</v>
      </c>
      <c r="L27" s="71">
        <v>294</v>
      </c>
      <c r="M27" s="71">
        <v>320</v>
      </c>
      <c r="N27" s="71">
        <v>322</v>
      </c>
      <c r="O27" s="71">
        <v>338</v>
      </c>
      <c r="P27" s="71">
        <v>370</v>
      </c>
      <c r="Q27" s="90">
        <v>2431</v>
      </c>
      <c r="R27" s="71">
        <v>285</v>
      </c>
      <c r="S27" s="71">
        <v>5614</v>
      </c>
      <c r="T27" s="71">
        <v>412</v>
      </c>
      <c r="U27" s="71">
        <v>5486</v>
      </c>
      <c r="V27" s="71">
        <v>734</v>
      </c>
      <c r="W27" s="71">
        <v>665</v>
      </c>
      <c r="X27" s="71">
        <v>3593</v>
      </c>
      <c r="Y27" s="71">
        <v>176</v>
      </c>
      <c r="Z27" s="232"/>
      <c r="AA27" s="233"/>
      <c r="AB27" s="233"/>
      <c r="AC27" s="233"/>
      <c r="AD27" s="233"/>
      <c r="AE27" s="234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38" ph="1"/>
      <c r="C28" s="157" t="s" ph="1">
        <v>178</v>
      </c>
      <c r="D28" s="91" ph="1">
        <f>D27*268.68*LOOKUP(D29,密度!$A$2:$A$50,密度!$Q$2:$Q$50)+IF(D27&lt;=0,0,1566*LOOKUP(D29,密度!$A$2:$A$50,密度!$Q$2:$Q$50))</f>
        <v>2324.5598815920002</v>
      </c>
      <c r="E28" s="91" ph="1">
        <f>E27*268.68*LOOKUP(E29,密度!$A$2:$A$50,密度!$C$2:$C$50)+IF(E27&lt;=0,0,1566*LOOKUP(E29,密度!$A$2:$A$50,密度!$C$2:$C$50))</f>
        <v>3390.1002485999998</v>
      </c>
      <c r="F28" s="91" ph="1">
        <f>F27*11.702*LOOKUP(F29,密度!$A$2:$A$50,密度!$Q$2:$Q$50)</f>
        <v>12193.0598025</v>
      </c>
      <c r="G28" s="91" ph="1">
        <f>G27*18.322*LOOKUP(G29,密度!$A$2:$A$50,密度!$B$2:$B$50)</f>
        <v>37159.159673999995</v>
      </c>
      <c r="H28" s="91" ph="1">
        <f>H27*18.322*LOOKUP(H29,密度!$A$2:$A$50,密度!$B$2:$B$50)</f>
        <v>33273.583818799998</v>
      </c>
      <c r="I28" s="91" ph="1">
        <f>I27*18.322*LOOKUP(I29,密度!$A$2:$A$50,密度!$Q$2:$Q$50)</f>
        <v>23972.440306559998</v>
      </c>
      <c r="J28" s="91" ph="1">
        <f>J27*18.322*LOOKUP(J29,密度!$A$2:$A$50,密度!$Q$2:$Q$50)</f>
        <v>5114.8094619599997</v>
      </c>
      <c r="K28" s="91" ph="1">
        <f>K27*18.322*LOOKUP(K29,密度!$A$2:$A$50,密度!$Q$2:$Q$50)</f>
        <v>5566.41726354</v>
      </c>
      <c r="L28" s="91" ph="1">
        <f>L27*18.322*LOOKUP(L29,密度!$A$2:$A$50,密度!$Q$2:$Q$50)</f>
        <v>5070.2012549999999</v>
      </c>
      <c r="M28" s="91" ph="1">
        <f>M27*18.322*LOOKUP(M29,密度!$A$2:$A$50,密度!$Q$2:$Q$50)</f>
        <v>5518.5864000000001</v>
      </c>
      <c r="N28" s="91" ph="1">
        <f>N27*18.322*LOOKUP(N29,密度!$A$2:$A$50,密度!$Q$2:$Q$50)</f>
        <v>5553.0775649999996</v>
      </c>
      <c r="O28" s="91" ph="1">
        <f>O27*18.322*LOOKUP(O29,密度!$A$2:$A$50,密度!$C$2:$C$50)</f>
        <v>6830.6981079999996</v>
      </c>
      <c r="P28" s="91" ph="1">
        <f>P27*11.702*LOOKUP(P29,密度!$A$2:$A$50,密度!$B$2:$B$50)</f>
        <v>3345.5900980000001</v>
      </c>
      <c r="Q28" s="92" ph="1">
        <f>Q27*18.322*LOOKUP(Q29,密度!$A$2:$A$50,密度!$B$2:$B$50)</f>
        <v>34452.294877</v>
      </c>
      <c r="R28" s="91" ph="1">
        <f>R27*35.891*LOOKUP(R29,密度!$A$2:$A$50,密度!$C$2:$C$50)</f>
        <v>11293.7671335</v>
      </c>
      <c r="S28" s="91" ph="1">
        <f>S27*35.891*LOOKUP(S29,密度!$A$2:$A$50,密度!$B$2:$B$50)</f>
        <v>155511.58271320001</v>
      </c>
      <c r="T28" s="91" ph="1">
        <f>T27*35.891*LOOKUP(T29,密度!$A$2:$A$50,密度!$Q$2:$Q$50)</f>
        <v>13898.979254479998</v>
      </c>
      <c r="U28" s="91" ph="1">
        <f>U27*35.891</f>
        <v>196898.02599999998</v>
      </c>
      <c r="V28" s="91" ph="1">
        <f>V27*47.051*LOOKUP(V29,密度!$A$2:$A$50,密度!$B$2:$B$50)</f>
        <v>26685.529851800002</v>
      </c>
      <c r="W28" s="91" ph="1">
        <f>W27*47.051*LOOKUP(W29,密度!$A$2:$A$50,密度!$B$2:$B$50)</f>
        <v>24120.624573500001</v>
      </c>
      <c r="X28" s="91" ph="1">
        <f>X27*47.051*LOOKUP(X29,密度!$A$2:$A$61,密度!$I$2:$I$61)</f>
        <v>173939.9106227</v>
      </c>
      <c r="Y28" s="91" ph="1">
        <f>Y27*47.051*LOOKUP(Y29,密度!$A$2:$A$50,密度!$L$2:$L$50)</f>
        <v>7676.4647520000008</v>
      </c>
      <c r="Z28" s="232"/>
      <c r="AA28" s="233"/>
      <c r="AB28" s="233"/>
      <c r="AC28" s="233"/>
      <c r="AD28" s="233"/>
      <c r="AE28" s="234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38" ph="1"/>
      <c r="C29" s="157" t="s" ph="1">
        <v>179</v>
      </c>
      <c r="D29" s="74">
        <v>25</v>
      </c>
      <c r="E29" s="74">
        <v>25</v>
      </c>
      <c r="F29" s="74">
        <v>33</v>
      </c>
      <c r="G29" s="74">
        <v>32</v>
      </c>
      <c r="H29" s="74">
        <v>34</v>
      </c>
      <c r="I29" s="74">
        <v>35</v>
      </c>
      <c r="J29" s="74">
        <v>35</v>
      </c>
      <c r="K29" s="74">
        <v>34</v>
      </c>
      <c r="L29" s="74">
        <v>33</v>
      </c>
      <c r="M29" s="74">
        <v>33</v>
      </c>
      <c r="N29" s="74">
        <v>33</v>
      </c>
      <c r="O29" s="74">
        <v>32</v>
      </c>
      <c r="P29" s="74">
        <v>33</v>
      </c>
      <c r="Q29" s="93">
        <v>32</v>
      </c>
      <c r="R29" s="74">
        <v>31</v>
      </c>
      <c r="S29" s="74">
        <v>34</v>
      </c>
      <c r="T29" s="74">
        <v>35</v>
      </c>
      <c r="U29" s="74">
        <v>32</v>
      </c>
      <c r="V29" s="74">
        <v>33</v>
      </c>
      <c r="W29" s="74">
        <v>35</v>
      </c>
      <c r="X29" s="74">
        <v>37</v>
      </c>
      <c r="Y29" s="74">
        <v>35</v>
      </c>
      <c r="Z29" s="235"/>
      <c r="AA29" s="236"/>
      <c r="AB29" s="236"/>
      <c r="AC29" s="236"/>
      <c r="AD29" s="236"/>
      <c r="AE29" s="237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1" t="s" ph="1">
        <v>35</v>
      </c>
      <c r="C31" s="222" ph="1"/>
      <c r="D31" s="225" t="s" ph="1">
        <v>9</v>
      </c>
      <c r="E31" s="200" ph="1"/>
      <c r="F31" s="201" ph="1"/>
      <c r="G31" s="225" t="s" ph="1">
        <v>18</v>
      </c>
      <c r="H31" s="200" ph="1"/>
      <c r="I31" s="201" ph="1"/>
      <c r="J31" s="199" t="s" ph="1">
        <v>1</v>
      </c>
      <c r="K31" s="200" ph="1"/>
      <c r="L31" s="201" ph="1"/>
      <c r="M31" s="199" t="s" ph="1">
        <v>7</v>
      </c>
      <c r="N31" s="200" ph="1"/>
      <c r="O31" s="201" ph="1"/>
      <c r="P31" s="199" t="s" ph="1">
        <v>41</v>
      </c>
      <c r="Q31" s="200"/>
      <c r="R31" s="201"/>
      <c r="S31" s="199" t="s" ph="1">
        <v>2</v>
      </c>
      <c r="T31" s="200"/>
      <c r="U31" s="201"/>
      <c r="V31" s="199" t="s" ph="1">
        <v>71</v>
      </c>
      <c r="W31" s="200" ph="1"/>
      <c r="X31" s="201" ph="1"/>
      <c r="Y31" s="199" t="s" ph="1">
        <v>3</v>
      </c>
      <c r="Z31" s="200" ph="1"/>
      <c r="AA31" s="201" ph="1"/>
      <c r="AB31" s="202" t="s">
        <v>42</v>
      </c>
      <c r="AC31" s="203"/>
      <c r="AD31" s="203"/>
      <c r="AE31" s="204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3" ph="1"/>
      <c r="C32" s="224" ph="1"/>
      <c r="D32" s="96" t="s" ph="1">
        <v>4</v>
      </c>
      <c r="E32" s="157" t="s" ph="1">
        <v>5</v>
      </c>
      <c r="F32" s="158" t="s" ph="1">
        <v>43</v>
      </c>
      <c r="G32" s="97" t="s" ph="1">
        <v>4</v>
      </c>
      <c r="H32" s="157" t="s" ph="1">
        <v>5</v>
      </c>
      <c r="I32" s="158" t="s" ph="1">
        <v>43</v>
      </c>
      <c r="J32" s="97" t="s" ph="1">
        <v>4</v>
      </c>
      <c r="K32" s="157" t="s" ph="1">
        <v>5</v>
      </c>
      <c r="L32" s="158" t="s" ph="1">
        <v>43</v>
      </c>
      <c r="M32" s="97" t="s" ph="1">
        <v>4</v>
      </c>
      <c r="N32" s="157" t="s" ph="1">
        <v>5</v>
      </c>
      <c r="O32" s="158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7" t="s" ph="1">
        <v>5</v>
      </c>
      <c r="U32" s="99" t="s" ph="1">
        <v>43</v>
      </c>
      <c r="V32" s="97" t="s" ph="1">
        <v>4</v>
      </c>
      <c r="W32" s="157" t="s" ph="1">
        <v>5</v>
      </c>
      <c r="X32" s="99" t="s" ph="1">
        <v>43</v>
      </c>
      <c r="Y32" s="100" t="s" ph="1">
        <v>4</v>
      </c>
      <c r="Z32" s="157" t="s" ph="1">
        <v>5</v>
      </c>
      <c r="AA32" s="158" t="s" ph="1">
        <v>43</v>
      </c>
      <c r="AB32" s="97" t="s" ph="1">
        <v>85</v>
      </c>
      <c r="AC32" s="157" t="s" ph="1">
        <v>84</v>
      </c>
      <c r="AD32" s="205" t="s" ph="1">
        <v>83</v>
      </c>
      <c r="AE32" s="206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7" t="s" ph="1">
        <v>181</v>
      </c>
      <c r="C33" s="208" ph="1"/>
      <c r="D33" s="187" ph="1">
        <f>AA10+AB10+Z19</f>
        <v>97826.755479999993</v>
      </c>
      <c r="E33" s="187" ph="1">
        <f>M10+I10</f>
        <v>148827.05883160001</v>
      </c>
      <c r="F33" s="211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1522252632456786910111213141516171819202123456789101112131415161718192022232424356789101112131415161718192021222345678910111213141516171819202345678910111213149101516171819222123234567891012131415161711181920212224252345678910111213113[[#This Row],[F25]]</f>
        <v>3880</v>
      </c>
      <c r="G33" s="213" ph="1">
        <f>N19</f>
        <v>13309.274794440002</v>
      </c>
      <c r="H33" s="187" ph="1">
        <f>M19</f>
        <v>6021.0787713999998</v>
      </c>
      <c r="I33" s="191" ph="1">
        <v>0</v>
      </c>
      <c r="J33" s="195" ph="1">
        <f>F10+O28</f>
        <v>224749.65769240001</v>
      </c>
      <c r="K33" s="187" ph="1">
        <f>O10+K10+E28+R28</f>
        <v>39865.793138099994</v>
      </c>
      <c r="L33" s="197" ph="1">
        <f>K19</f>
        <v>36633.978708000002</v>
      </c>
      <c r="M33" s="195" ph="1">
        <f>G10+H10+W28+S28+V28+E10+R19+P28+Q28</f>
        <v>742979.88642250001</v>
      </c>
      <c r="N33" s="187" ph="1">
        <f>L10+P10++G28+H28+AD19+AE19</f>
        <v>169728.51350959996</v>
      </c>
      <c r="O33" s="191" ph="1">
        <f>G19</f>
        <v>12122.23090574</v>
      </c>
      <c r="P33" s="195" ph="1">
        <f>L19</f>
        <v>28014.789323920002</v>
      </c>
      <c r="Q33" s="187" ph="1">
        <f>J10+N10</f>
        <v>107132.17444495999</v>
      </c>
      <c r="R33" s="191" ph="1">
        <f>BE23</f>
        <v>890</v>
      </c>
      <c r="S33" s="195" ph="1">
        <f>X28</f>
        <v>173939.9106227</v>
      </c>
      <c r="T33" s="187" ph="1">
        <f>X19</f>
        <v>13811.802139199999</v>
      </c>
      <c r="U33" s="176" ph="1">
        <f>BE21</f>
        <v>730</v>
      </c>
      <c r="V33" s="189" ph="1">
        <f ca="1">P19+Q19+S19+M28+N28+J28+D10+AC10+D19+E19+H19+J19+O19+V19+W19+K28+L28</f>
        <v>715781.23607512005</v>
      </c>
      <c r="W33" s="189" ph="1">
        <f>D28+F28+T28+I28</f>
        <v>52389.039245131993</v>
      </c>
      <c r="X33" s="191" ph="1">
        <f>BE29+BE31</f>
        <v>10200</v>
      </c>
      <c r="Y33" s="193" ph="1">
        <f>+Q10+R10+S10+T10+U10+V10+W10+X10+Y10</f>
        <v>124802.82696419999</v>
      </c>
      <c r="Z33" s="174" ph="1">
        <f>T19+U19+Y28+Z10</f>
        <v>85464.131220592011</v>
      </c>
      <c r="AA33" s="176" ph="1">
        <f>BE19</f>
        <v>1440</v>
      </c>
      <c r="AB33" s="178" ph="1">
        <f>I19</f>
        <v>28847.971907999996</v>
      </c>
      <c r="AC33" s="180" ph="1">
        <f>AD10+AB19</f>
        <v>66177.748022400003</v>
      </c>
      <c r="AD33" s="182" ph="1">
        <v>0</v>
      </c>
      <c r="AE33" s="183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9" ph="1"/>
      <c r="C34" s="210" ph="1"/>
      <c r="D34" s="188" ph="1"/>
      <c r="E34" s="188" ph="1"/>
      <c r="F34" s="212" ph="1"/>
      <c r="G34" s="214" ph="1"/>
      <c r="H34" s="188" ph="1"/>
      <c r="I34" s="192" ph="1"/>
      <c r="J34" s="196" ph="1"/>
      <c r="K34" s="188" ph="1"/>
      <c r="L34" s="198" ph="1"/>
      <c r="M34" s="196" ph="1"/>
      <c r="N34" s="188" ph="1"/>
      <c r="O34" s="192" ph="1"/>
      <c r="P34" s="196" ph="1"/>
      <c r="Q34" s="188" ph="1"/>
      <c r="R34" s="192" ph="1"/>
      <c r="S34" s="196" ph="1"/>
      <c r="T34" s="188"/>
      <c r="U34" s="177"/>
      <c r="V34" s="190" ph="1"/>
      <c r="W34" s="190" ph="1"/>
      <c r="X34" s="192" ph="1"/>
      <c r="Y34" s="194" ph="1"/>
      <c r="Z34" s="175" ph="1"/>
      <c r="AA34" s="177" ph="1"/>
      <c r="AB34" s="179"/>
      <c r="AC34" s="181"/>
      <c r="AD34" s="184"/>
      <c r="AE34" s="185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6" t="s" ph="1">
        <v>631</v>
      </c>
      <c r="AD35" s="186"/>
      <c r="AE35" s="186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2" t="s" ph="1">
        <v>183</v>
      </c>
      <c r="J36" s="172" ph="1"/>
      <c r="K36" s="101" ph="1"/>
      <c r="P36" s="101" ph="1"/>
      <c r="R36" s="172" t="s" ph="1">
        <v>184</v>
      </c>
      <c r="S36" s="172" ph="1"/>
      <c r="Y36" s="102" ph="1"/>
      <c r="Z36" s="159" t="s" ph="1">
        <v>185</v>
      </c>
      <c r="AA36" s="159" ph="1"/>
      <c r="AB36" s="173" t="s" ph="1">
        <v>643</v>
      </c>
      <c r="AC36" s="173" ph="1"/>
      <c r="AD36" s="173" ph="1"/>
      <c r="AE36" s="173" ph="1"/>
      <c r="BA36" s="64" ph="1">
        <v>2270</v>
      </c>
    </row>
    <row r="37" spans="1:57" s="159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9" t="s" ph="1">
        <v>342</v>
      </c>
      <c r="AI37" s="159" t="s" ph="1">
        <v>209</v>
      </c>
      <c r="AJ37" s="159" t="s" ph="1">
        <v>210</v>
      </c>
      <c r="AK37" s="159" t="s" ph="1">
        <v>211</v>
      </c>
      <c r="AM37" s="159" t="s" ph="1">
        <v>210</v>
      </c>
      <c r="AN37" s="159" t="s" ph="1">
        <v>211</v>
      </c>
      <c r="AO37" s="159" t="s" ph="1">
        <v>212</v>
      </c>
      <c r="AP37" s="159" t="s" ph="1">
        <v>210</v>
      </c>
      <c r="AQ37" s="159" t="s" ph="1">
        <v>211</v>
      </c>
      <c r="AR37" s="159" t="s" ph="1">
        <v>212</v>
      </c>
      <c r="AS37" s="159" t="s" ph="1">
        <v>210</v>
      </c>
      <c r="AT37" s="159" t="s" ph="1">
        <v>211</v>
      </c>
      <c r="AU37" s="159" t="s" ph="1">
        <v>212</v>
      </c>
      <c r="AV37" s="159" t="s" ph="1">
        <v>210</v>
      </c>
      <c r="AW37" s="159" t="s" ph="1">
        <v>211</v>
      </c>
      <c r="AX37" s="159" t="s" ph="1">
        <v>212</v>
      </c>
      <c r="AY37" s="159" t="s" ph="1">
        <v>211</v>
      </c>
      <c r="AZ37" s="159" t="s" ph="1">
        <v>213</v>
      </c>
      <c r="BD37" s="159" t="s" ph="1">
        <v>305</v>
      </c>
      <c r="BE37" s="159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P56" s="64" ph="1">
        <v>20260804</v>
      </c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1589" priority="102">
      <formula>ABS(D$7-D$10)&gt;=1000</formula>
    </cfRule>
  </conditionalFormatting>
  <conditionalFormatting sqref="E4 E6:E11">
    <cfRule type="expression" dxfId="1588" priority="101">
      <formula>ABS(E$7-E$10)&gt;=1000</formula>
    </cfRule>
  </conditionalFormatting>
  <conditionalFormatting sqref="F4:F11">
    <cfRule type="expression" dxfId="1587" priority="100">
      <formula>ABS(F$7-F$10)&gt;=1000</formula>
    </cfRule>
  </conditionalFormatting>
  <conditionalFormatting sqref="G4:G11">
    <cfRule type="expression" dxfId="1586" priority="99">
      <formula>ABS(G$7-G$10)&gt;=1000</formula>
    </cfRule>
  </conditionalFormatting>
  <conditionalFormatting sqref="H4:H11">
    <cfRule type="expression" dxfId="1585" priority="98">
      <formula>ABS(H$7-H$10)&gt;=1000</formula>
    </cfRule>
  </conditionalFormatting>
  <conditionalFormatting sqref="I4:I11">
    <cfRule type="expression" dxfId="1584" priority="97">
      <formula>ABS(I$7-I$10)&gt;=1000</formula>
    </cfRule>
  </conditionalFormatting>
  <conditionalFormatting sqref="J4:J11">
    <cfRule type="expression" dxfId="1583" priority="96">
      <formula>ABS(J$7-J$10)&gt;=1000</formula>
    </cfRule>
  </conditionalFormatting>
  <conditionalFormatting sqref="K4:K11">
    <cfRule type="expression" dxfId="1582" priority="95">
      <formula>ABS(K$7-K$10)&gt;=1000</formula>
    </cfRule>
  </conditionalFormatting>
  <conditionalFormatting sqref="L4:L11">
    <cfRule type="expression" dxfId="1581" priority="94">
      <formula>ABS(L$7-L$10)&gt;=1000</formula>
    </cfRule>
  </conditionalFormatting>
  <conditionalFormatting sqref="M4 M6:M11">
    <cfRule type="expression" dxfId="1580" priority="93">
      <formula>ABS(M$7-M$10)&gt;=1000</formula>
    </cfRule>
  </conditionalFormatting>
  <conditionalFormatting sqref="N4 N6:N11">
    <cfRule type="expression" dxfId="1579" priority="92">
      <formula>ABS(N$7-N$10)&gt;=1000</formula>
    </cfRule>
  </conditionalFormatting>
  <conditionalFormatting sqref="O4 O6:O11">
    <cfRule type="expression" dxfId="1578" priority="91">
      <formula>ABS(O$7-O$10)&gt;=1000</formula>
    </cfRule>
  </conditionalFormatting>
  <conditionalFormatting sqref="P4 P6:P11">
    <cfRule type="expression" dxfId="1577" priority="90">
      <formula>ABS(P$7-P$10)&gt;=1000</formula>
    </cfRule>
  </conditionalFormatting>
  <conditionalFormatting sqref="Q4:Q11">
    <cfRule type="expression" dxfId="1576" priority="89">
      <formula>ABS(Q$7-Q$10)&gt;=1000</formula>
    </cfRule>
  </conditionalFormatting>
  <conditionalFormatting sqref="R4:R11">
    <cfRule type="expression" dxfId="1575" priority="88">
      <formula>ABS(R$7-R$10)&gt;=1000</formula>
    </cfRule>
  </conditionalFormatting>
  <conditionalFormatting sqref="S4:S11">
    <cfRule type="expression" dxfId="1574" priority="87">
      <formula>ABS(S$7-S$10)&gt;=1000</formula>
    </cfRule>
  </conditionalFormatting>
  <conditionalFormatting sqref="T4:T9 T11">
    <cfRule type="expression" dxfId="1573" priority="86">
      <formula>ABS(T$7-T$10)&gt;=1000</formula>
    </cfRule>
  </conditionalFormatting>
  <conditionalFormatting sqref="U4:U9 U11">
    <cfRule type="expression" dxfId="1572" priority="85">
      <formula>ABS(U$7-U$10)&gt;=1000</formula>
    </cfRule>
  </conditionalFormatting>
  <conditionalFormatting sqref="V4:V9 V11">
    <cfRule type="expression" dxfId="1571" priority="84">
      <formula>ABS(V$7-V$10)&gt;=1000</formula>
    </cfRule>
  </conditionalFormatting>
  <conditionalFormatting sqref="W4:W9 W11">
    <cfRule type="expression" dxfId="1570" priority="83">
      <formula>ABS(W$7-W$10)&gt;=1000</formula>
    </cfRule>
  </conditionalFormatting>
  <conditionalFormatting sqref="X4:X9 X11">
    <cfRule type="expression" dxfId="1569" priority="82">
      <formula>ABS(X$7-X$10)&gt;=1000</formula>
    </cfRule>
  </conditionalFormatting>
  <conditionalFormatting sqref="Y4:Y9 Y11">
    <cfRule type="expression" dxfId="1568" priority="81">
      <formula>ABS(Y$7-Y$10)&gt;=1000</formula>
    </cfRule>
  </conditionalFormatting>
  <conditionalFormatting sqref="Z4:Z11">
    <cfRule type="expression" dxfId="1567" priority="80">
      <formula>ABS(Z$7-Z$10)&gt;=1000</formula>
    </cfRule>
  </conditionalFormatting>
  <conditionalFormatting sqref="AA4:AA11">
    <cfRule type="expression" dxfId="1566" priority="79">
      <formula>ABS(AA$7-AA$10)&gt;=1000</formula>
    </cfRule>
  </conditionalFormatting>
  <conditionalFormatting sqref="AB4:AB11">
    <cfRule type="expression" dxfId="1565" priority="78">
      <formula>ABS(AB$7-AB$10)&gt;=1000</formula>
    </cfRule>
  </conditionalFormatting>
  <conditionalFormatting sqref="AC4 AC6:AC11">
    <cfRule type="expression" dxfId="1564" priority="77">
      <formula>ABS(AC$7-AC$10)&gt;=1000</formula>
    </cfRule>
  </conditionalFormatting>
  <conditionalFormatting sqref="AD4 AD6:AD11">
    <cfRule type="expression" dxfId="1563" priority="76">
      <formula>ABS(AD$7-AD$10)&gt;=1000</formula>
    </cfRule>
  </conditionalFormatting>
  <conditionalFormatting sqref="AE4 AE6:AE11">
    <cfRule type="expression" dxfId="1562" priority="75">
      <formula>ABS(AE$7-AE$10)&gt;=1000</formula>
    </cfRule>
  </conditionalFormatting>
  <conditionalFormatting sqref="D13:D20">
    <cfRule type="expression" dxfId="1561" priority="74">
      <formula>ABS(D$16-D$19)&gt;=1000</formula>
    </cfRule>
  </conditionalFormatting>
  <conditionalFormatting sqref="E13:E20">
    <cfRule type="expression" dxfId="1560" priority="73">
      <formula>ABS(E$16-E$19)&gt;=1000</formula>
    </cfRule>
  </conditionalFormatting>
  <conditionalFormatting sqref="F13 F15:F20">
    <cfRule type="expression" dxfId="1559" priority="72">
      <formula>ABS(F$16-F$19)&gt;=1000</formula>
    </cfRule>
  </conditionalFormatting>
  <conditionalFormatting sqref="G13:G20">
    <cfRule type="expression" dxfId="1558" priority="71">
      <formula>ABS(G$16-G$19)&gt;=1000</formula>
    </cfRule>
  </conditionalFormatting>
  <conditionalFormatting sqref="H13 H15:H20">
    <cfRule type="expression" dxfId="1557" priority="70">
      <formula>ABS(H$16-H$19)&gt;=1000</formula>
    </cfRule>
  </conditionalFormatting>
  <conditionalFormatting sqref="I13:I20">
    <cfRule type="expression" dxfId="1556" priority="69">
      <formula>ABS(I$16-I$19)&gt;=1000</formula>
    </cfRule>
  </conditionalFormatting>
  <conditionalFormatting sqref="J13:J20">
    <cfRule type="expression" dxfId="1555" priority="68">
      <formula>ABS(J$16-J$19)&gt;=1000</formula>
    </cfRule>
  </conditionalFormatting>
  <conditionalFormatting sqref="L13:L20">
    <cfRule type="expression" dxfId="1554" priority="67">
      <formula>ABS(L$16-L$19)&gt;=1000</formula>
    </cfRule>
  </conditionalFormatting>
  <conditionalFormatting sqref="M13 M15 M17:M18 M20">
    <cfRule type="expression" dxfId="1553" priority="66">
      <formula>ABS(M$16-M$19)&gt;=1000</formula>
    </cfRule>
  </conditionalFormatting>
  <conditionalFormatting sqref="N13:N20">
    <cfRule type="expression" dxfId="1552" priority="65">
      <formula>ABS(N$16-N$19)&gt;=1000</formula>
    </cfRule>
  </conditionalFormatting>
  <conditionalFormatting sqref="O13:O20">
    <cfRule type="expression" dxfId="1551" priority="64">
      <formula>ABS(O$16-O$19)&gt;=1000</formula>
    </cfRule>
  </conditionalFormatting>
  <conditionalFormatting sqref="P13:P20">
    <cfRule type="expression" dxfId="1550" priority="63">
      <formula>ABS(P$16-P$19)&gt;=1000</formula>
    </cfRule>
  </conditionalFormatting>
  <conditionalFormatting sqref="Q13 Q15:Q20">
    <cfRule type="expression" dxfId="1549" priority="62">
      <formula>ABS(Q$16-Q$19)&gt;=1000</formula>
    </cfRule>
  </conditionalFormatting>
  <conditionalFormatting sqref="R13:R20">
    <cfRule type="expression" dxfId="1548" priority="61">
      <formula>ABS(R$16-R$19)&gt;=1000</formula>
    </cfRule>
  </conditionalFormatting>
  <conditionalFormatting sqref="S13:S20">
    <cfRule type="expression" dxfId="1547" priority="60">
      <formula>ABS(S$16-S$19)&gt;=1000</formula>
    </cfRule>
  </conditionalFormatting>
  <conditionalFormatting sqref="T13:T15 T17:T20">
    <cfRule type="expression" dxfId="1546" priority="59">
      <formula>ABS(T$16-T$19)&gt;=1000</formula>
    </cfRule>
  </conditionalFormatting>
  <conditionalFormatting sqref="U13:U20">
    <cfRule type="expression" dxfId="1545" priority="58">
      <formula>ABS(U$16-U$19)&gt;=1000</formula>
    </cfRule>
  </conditionalFormatting>
  <conditionalFormatting sqref="V13:V20">
    <cfRule type="expression" dxfId="1544" priority="57">
      <formula>ABS(V$16-V$19)&gt;=1000</formula>
    </cfRule>
  </conditionalFormatting>
  <conditionalFormatting sqref="W13 W20 W15:W18">
    <cfRule type="expression" dxfId="1543" priority="56">
      <formula>ABS(W$16-W$19)&gt;=1000</formula>
    </cfRule>
  </conditionalFormatting>
  <conditionalFormatting sqref="X13 X15:X20 Y19">
    <cfRule type="expression" dxfId="1542" priority="55">
      <formula>ABS(X$16-X$19)&gt;=1000</formula>
    </cfRule>
  </conditionalFormatting>
  <conditionalFormatting sqref="Y13 Y15:Y18 Y20">
    <cfRule type="expression" dxfId="1541" priority="54">
      <formula>ABS(Y$16-Y$19)&gt;=1000</formula>
    </cfRule>
  </conditionalFormatting>
  <conditionalFormatting sqref="Z13:Z20">
    <cfRule type="expression" dxfId="1540" priority="53">
      <formula>ABS(Z$16-Z$19)&gt;=1000</formula>
    </cfRule>
  </conditionalFormatting>
  <conditionalFormatting sqref="AA13:AA20">
    <cfRule type="expression" dxfId="1539" priority="52">
      <formula>ABS(AA$16-AA$19)&gt;=1000</formula>
    </cfRule>
  </conditionalFormatting>
  <conditionalFormatting sqref="AB13 AB15:AB20">
    <cfRule type="expression" dxfId="1538" priority="51">
      <formula>ABS(AB$16-AB$19)&gt;=1000</formula>
    </cfRule>
  </conditionalFormatting>
  <conditionalFormatting sqref="AC13 AC15:AC20">
    <cfRule type="expression" dxfId="1537" priority="50">
      <formula>ABS(AC$16-AC$19)&gt;=1000</formula>
    </cfRule>
  </conditionalFormatting>
  <conditionalFormatting sqref="AD13:AD20">
    <cfRule type="expression" dxfId="1536" priority="49">
      <formula>ABS(AD$16-AD$19)&gt;=1000</formula>
    </cfRule>
  </conditionalFormatting>
  <conditionalFormatting sqref="AE13:AE20">
    <cfRule type="expression" dxfId="1535" priority="48">
      <formula>ABS(AE$16-AE$19)&gt;=1000</formula>
    </cfRule>
  </conditionalFormatting>
  <conditionalFormatting sqref="D22:D29">
    <cfRule type="expression" dxfId="1534" priority="47">
      <formula>ABS(D$25-D$28)&gt;=1000</formula>
    </cfRule>
  </conditionalFormatting>
  <conditionalFormatting sqref="E22:E29">
    <cfRule type="expression" dxfId="1533" priority="46">
      <formula>ABS(E$25-E$28)&gt;=1000</formula>
    </cfRule>
  </conditionalFormatting>
  <conditionalFormatting sqref="F22:F29">
    <cfRule type="expression" dxfId="1532" priority="45">
      <formula>ABS(F$25-F$28)&gt;=1000</formula>
    </cfRule>
  </conditionalFormatting>
  <conditionalFormatting sqref="G22:G29">
    <cfRule type="expression" dxfId="1531" priority="44">
      <formula>ABS(G$25-G$28)&gt;=1000</formula>
    </cfRule>
  </conditionalFormatting>
  <conditionalFormatting sqref="H22:H29">
    <cfRule type="expression" dxfId="1530" priority="43">
      <formula>ABS(H$25-H$28)&gt;=1000</formula>
    </cfRule>
  </conditionalFormatting>
  <conditionalFormatting sqref="I22 I24:I29">
    <cfRule type="expression" dxfId="1529" priority="42">
      <formula>ABS(I$25-I$28)&gt;=1000</formula>
    </cfRule>
  </conditionalFormatting>
  <conditionalFormatting sqref="J22:J29 K22">
    <cfRule type="expression" dxfId="1528" priority="41">
      <formula>ABS(J$25-J$28)&gt;=1000</formula>
    </cfRule>
  </conditionalFormatting>
  <conditionalFormatting sqref="K23:K29 L25 L28">
    <cfRule type="expression" dxfId="1527" priority="40">
      <formula>ABS(K$25-K$28)&gt;=1000</formula>
    </cfRule>
  </conditionalFormatting>
  <conditionalFormatting sqref="L22 L26:L27 L29 L24">
    <cfRule type="expression" dxfId="1526" priority="39">
      <formula>ABS(L$25-L$28)&gt;=1000</formula>
    </cfRule>
  </conditionalFormatting>
  <conditionalFormatting sqref="M22:M29">
    <cfRule type="expression" dxfId="1525" priority="38">
      <formula>ABS(M$25-M$28)&gt;=1000</formula>
    </cfRule>
  </conditionalFormatting>
  <conditionalFormatting sqref="N22:N29">
    <cfRule type="expression" dxfId="1524" priority="37">
      <formula>ABS(N$25-N$28)&gt;=1000</formula>
    </cfRule>
  </conditionalFormatting>
  <conditionalFormatting sqref="O22 O24:O29">
    <cfRule type="expression" dxfId="1523" priority="36">
      <formula>ABS(O$25-O$28)&gt;=1000</formula>
    </cfRule>
  </conditionalFormatting>
  <conditionalFormatting sqref="P22:P29">
    <cfRule type="expression" dxfId="1522" priority="35">
      <formula>ABS(P$25-P$28)&gt;=1000</formula>
    </cfRule>
  </conditionalFormatting>
  <conditionalFormatting sqref="Q22:Q29">
    <cfRule type="expression" dxfId="1521" priority="34">
      <formula>ABS(Q$25-Q$28)&gt;=1000</formula>
    </cfRule>
  </conditionalFormatting>
  <conditionalFormatting sqref="R22:R29">
    <cfRule type="expression" dxfId="1520" priority="33">
      <formula>ABS(R$25-R$28)&gt;=1000</formula>
    </cfRule>
  </conditionalFormatting>
  <conditionalFormatting sqref="S22:S29">
    <cfRule type="expression" dxfId="1519" priority="32">
      <formula>ABS(S$25-S$28)&gt;=1000</formula>
    </cfRule>
  </conditionalFormatting>
  <conditionalFormatting sqref="T22:T29">
    <cfRule type="expression" dxfId="1518" priority="31">
      <formula>ABS(T$25-T$28)&gt;=1000</formula>
    </cfRule>
  </conditionalFormatting>
  <conditionalFormatting sqref="U22:U29">
    <cfRule type="expression" dxfId="1517" priority="30">
      <formula>ABS(U$25-U$28)&gt;=1000</formula>
    </cfRule>
  </conditionalFormatting>
  <conditionalFormatting sqref="V22:V29">
    <cfRule type="expression" dxfId="1516" priority="29">
      <formula>ABS(V$25-V$28)&gt;=1000</formula>
    </cfRule>
  </conditionalFormatting>
  <conditionalFormatting sqref="W22:W29">
    <cfRule type="expression" dxfId="1515" priority="28">
      <formula>ABS(W$25-W$28)&gt;=1000</formula>
    </cfRule>
  </conditionalFormatting>
  <conditionalFormatting sqref="X22:X29">
    <cfRule type="expression" dxfId="1514" priority="27">
      <formula>ABS(X$25-X$28)&gt;=1000</formula>
    </cfRule>
  </conditionalFormatting>
  <conditionalFormatting sqref="Y22:Y29">
    <cfRule type="expression" dxfId="1513" priority="26">
      <formula>ABS(Y$25-Y$28)&gt;=1000</formula>
    </cfRule>
  </conditionalFormatting>
  <conditionalFormatting sqref="I23">
    <cfRule type="expression" dxfId="1512" priority="25">
      <formula>ABS(I$25-I$28)&gt;=1000</formula>
    </cfRule>
  </conditionalFormatting>
  <conditionalFormatting sqref="Q14">
    <cfRule type="expression" dxfId="1511" priority="24">
      <formula>ABS(Q$16-Q$19)&gt;=1000</formula>
    </cfRule>
  </conditionalFormatting>
  <conditionalFormatting sqref="W14">
    <cfRule type="expression" dxfId="1510" priority="23">
      <formula>ABS(W$16-W$19)&gt;=1000</formula>
    </cfRule>
  </conditionalFormatting>
  <conditionalFormatting sqref="X14">
    <cfRule type="expression" dxfId="1509" priority="22">
      <formula>ABS(X$16-X$19)&gt;=1000</formula>
    </cfRule>
  </conditionalFormatting>
  <conditionalFormatting sqref="T10:Y10">
    <cfRule type="expression" dxfId="1508" priority="21">
      <formula>ABS(T$7-T$10)&gt;=1000</formula>
    </cfRule>
  </conditionalFormatting>
  <conditionalFormatting sqref="W19">
    <cfRule type="expression" dxfId="1507" priority="20">
      <formula>ABS(W$16-W$19)&gt;=1000</formula>
    </cfRule>
  </conditionalFormatting>
  <conditionalFormatting sqref="AC5">
    <cfRule type="expression" dxfId="1506" priority="19">
      <formula>ABS(AC$7-AC$10)&gt;=1000</formula>
    </cfRule>
  </conditionalFormatting>
  <conditionalFormatting sqref="M14">
    <cfRule type="expression" dxfId="1505" priority="18">
      <formula>ABS(M$16-M$19)&gt;=1000</formula>
    </cfRule>
  </conditionalFormatting>
  <conditionalFormatting sqref="M16">
    <cfRule type="expression" dxfId="1504" priority="17">
      <formula>ABS(M$16-M$19)&gt;=1000</formula>
    </cfRule>
  </conditionalFormatting>
  <conditionalFormatting sqref="M19">
    <cfRule type="expression" dxfId="1503" priority="16">
      <formula>ABS(M$16-M$19)&gt;=1000</formula>
    </cfRule>
  </conditionalFormatting>
  <conditionalFormatting sqref="K13:K20">
    <cfRule type="expression" dxfId="1502" priority="15">
      <formula>ABS(K$16-K$19)&gt;=1000</formula>
    </cfRule>
  </conditionalFormatting>
  <conditionalFormatting sqref="E5">
    <cfRule type="expression" dxfId="1501" priority="14">
      <formula>ABS(E$7-E$10)&gt;=1000</formula>
    </cfRule>
  </conditionalFormatting>
  <conditionalFormatting sqref="AB14:AC14">
    <cfRule type="expression" dxfId="1500" priority="13">
      <formula>ABS(AB$16-AB$19)&gt;=1000</formula>
    </cfRule>
  </conditionalFormatting>
  <conditionalFormatting sqref="M5">
    <cfRule type="expression" dxfId="1499" priority="12">
      <formula>ABS(M$7-M$10)&gt;=1000</formula>
    </cfRule>
  </conditionalFormatting>
  <conditionalFormatting sqref="N5">
    <cfRule type="expression" dxfId="1498" priority="11">
      <formula>ABS(N$7-N$10)&gt;=1000</formula>
    </cfRule>
  </conditionalFormatting>
  <conditionalFormatting sqref="O5">
    <cfRule type="expression" dxfId="1497" priority="10">
      <formula>ABS(O$7-O$10)&gt;=1000</formula>
    </cfRule>
  </conditionalFormatting>
  <conditionalFormatting sqref="P5">
    <cfRule type="expression" dxfId="1496" priority="9">
      <formula>ABS(P$7-P$10)&gt;=1000</formula>
    </cfRule>
  </conditionalFormatting>
  <conditionalFormatting sqref="L23">
    <cfRule type="expression" dxfId="1495" priority="8">
      <formula>ABS(L$25-L$28)&gt;=1000</formula>
    </cfRule>
  </conditionalFormatting>
  <conditionalFormatting sqref="Y14">
    <cfRule type="expression" dxfId="1494" priority="7">
      <formula>ABS(Y$16-Y$19)&gt;=1000</formula>
    </cfRule>
  </conditionalFormatting>
  <conditionalFormatting sqref="F14">
    <cfRule type="expression" dxfId="1493" priority="6">
      <formula>ABS(F$16-F$19)&gt;=1000</formula>
    </cfRule>
  </conditionalFormatting>
  <conditionalFormatting sqref="H14">
    <cfRule type="expression" dxfId="1492" priority="5">
      <formula>ABS(H$16-H$19)&gt;=1000</formula>
    </cfRule>
  </conditionalFormatting>
  <conditionalFormatting sqref="AD5">
    <cfRule type="expression" dxfId="1491" priority="4">
      <formula>ABS(AD$7-AD$10)&gt;=1000</formula>
    </cfRule>
  </conditionalFormatting>
  <conditionalFormatting sqref="AE5">
    <cfRule type="expression" dxfId="1490" priority="3">
      <formula>ABS(AE$7-AE$10)&gt;=1000</formula>
    </cfRule>
  </conditionalFormatting>
  <conditionalFormatting sqref="T16">
    <cfRule type="expression" dxfId="1489" priority="2">
      <formula>ABS(T$16-T$19)&gt;=1000</formula>
    </cfRule>
  </conditionalFormatting>
  <conditionalFormatting sqref="O23">
    <cfRule type="expression" dxfId="1488" priority="1">
      <formula>ABS(O$25-O$28)&gt;=1000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37857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955">
    <pageSetUpPr fitToPage="1"/>
  </sheetPr>
  <dimension ref="A1:CU223"/>
  <sheetViews>
    <sheetView view="pageBreakPreview" topLeftCell="L1" zoomScale="85" zoomScaleNormal="100" zoomScaleSheetLayoutView="85" workbookViewId="0">
      <selection activeCell="Z23" sqref="Z23:AE29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39" t="s" ph="1">
        <v>161</v>
      </c>
      <c r="C1" s="239" ph="1"/>
      <c r="D1" s="239" ph="1"/>
      <c r="E1" s="239" ph="1"/>
      <c r="F1" s="239" ph="1"/>
      <c r="G1" s="239" ph="1"/>
      <c r="H1" s="239" ph="1"/>
      <c r="I1" s="239" ph="1"/>
      <c r="J1" s="239" ph="1"/>
      <c r="K1" s="239" ph="1"/>
      <c r="L1" s="239" ph="1"/>
      <c r="M1" s="239" ph="1"/>
      <c r="N1" s="239" ph="1"/>
      <c r="O1" s="239" ph="1"/>
      <c r="P1" s="239" ph="1"/>
      <c r="Q1" s="239" ph="1"/>
      <c r="R1" s="239" ph="1"/>
      <c r="S1" s="239" ph="1"/>
      <c r="T1" s="239" ph="1"/>
      <c r="U1" s="239" ph="1"/>
      <c r="V1" s="239" ph="1"/>
      <c r="W1" s="239" ph="1"/>
      <c r="X1" s="239" ph="1"/>
      <c r="Y1" s="239" ph="1"/>
      <c r="Z1" s="239" ph="1"/>
      <c r="AA1" s="239" ph="1"/>
      <c r="AB1" s="239" ph="1"/>
      <c r="AC1" s="239" ph="1"/>
      <c r="AD1" s="239" ph="1"/>
      <c r="AE1" s="239" ph="1"/>
    </row>
    <row r="2" spans="1:99" s="66" customFormat="1" ht="24" customHeight="1" ph="1">
      <c r="B2" s="240" t="s" ph="1">
        <v>82</v>
      </c>
      <c r="C2" s="240" ph="1"/>
      <c r="D2" s="240" ph="1"/>
      <c r="E2" s="240" ph="1"/>
      <c r="F2" s="240" ph="1"/>
      <c r="G2" s="240" ph="1"/>
      <c r="H2" s="240" ph="1"/>
      <c r="I2" s="240" ph="1"/>
      <c r="J2" s="240" ph="1"/>
      <c r="K2" s="240" ph="1"/>
      <c r="L2" s="240" ph="1"/>
      <c r="M2" s="240" ph="1"/>
      <c r="N2" s="240" ph="1"/>
      <c r="O2" s="240" ph="1"/>
      <c r="P2" s="240" ph="1"/>
      <c r="Q2" s="240" ph="1"/>
      <c r="R2" s="240" ph="1"/>
      <c r="S2" s="240" ph="1"/>
      <c r="T2" s="240" ph="1"/>
      <c r="U2" s="240" ph="1"/>
      <c r="V2" s="240" ph="1"/>
      <c r="W2" s="240" ph="1"/>
      <c r="X2" s="240" ph="1"/>
      <c r="Y2" s="240" ph="1"/>
      <c r="Z2" s="240" ph="1"/>
      <c r="AA2" s="240" ph="1"/>
      <c r="AB2" s="240" ph="1"/>
      <c r="AC2" s="240" ph="1"/>
      <c r="AD2" s="240" ph="1"/>
      <c r="AE2" s="240" ph="1"/>
    </row>
    <row r="3" spans="1:99" ht="21" customHeight="1" ph="1">
      <c r="B3" s="241" ph="1">
        <v>46251</v>
      </c>
      <c r="C3" s="241"/>
      <c r="D3" s="241"/>
      <c r="E3" s="241"/>
      <c r="F3" s="241"/>
      <c r="G3" s="241"/>
      <c r="H3" s="241"/>
      <c r="I3" s="241"/>
      <c r="J3" s="241"/>
      <c r="K3" s="241"/>
      <c r="L3" s="241"/>
      <c r="M3" s="241"/>
      <c r="N3" s="241"/>
      <c r="O3" s="241"/>
      <c r="P3" s="241"/>
      <c r="Q3" s="241"/>
      <c r="R3" s="241"/>
      <c r="S3" s="241"/>
      <c r="T3" s="241"/>
      <c r="U3" s="241"/>
      <c r="V3" s="241"/>
      <c r="W3" s="241"/>
      <c r="X3" s="241"/>
      <c r="Y3" s="241"/>
      <c r="Z3" s="241"/>
      <c r="AA3" s="241"/>
      <c r="AB3" s="241"/>
      <c r="AC3" s="241"/>
      <c r="AD3" s="241"/>
      <c r="AE3" s="241"/>
    </row>
    <row r="4" spans="1:99" s="69" customFormat="1" ph="1">
      <c r="A4" s="65" ph="1"/>
      <c r="B4" s="220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0" ph="1"/>
      <c r="C5" s="67" t="s" ph="1">
        <v>36</v>
      </c>
      <c r="D5" s="70" t="s" ph="1">
        <v>160</v>
      </c>
      <c r="E5" s="142" t="s" ph="1">
        <v>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8" ph="1">
        <v>0.33333333333333331</v>
      </c>
      <c r="C6" s="157" t="s" ph="1">
        <v>177</v>
      </c>
      <c r="D6" s="71">
        <v>648</v>
      </c>
      <c r="E6" s="71">
        <v>3584</v>
      </c>
      <c r="F6" s="71">
        <v>5944</v>
      </c>
      <c r="G6" s="71">
        <v>7607</v>
      </c>
      <c r="H6" s="71">
        <v>1330</v>
      </c>
      <c r="I6" s="71">
        <v>17.57</v>
      </c>
      <c r="J6" s="71">
        <v>76.94</v>
      </c>
      <c r="K6" s="71">
        <v>7.43</v>
      </c>
      <c r="L6" s="71">
        <v>6.57</v>
      </c>
      <c r="M6" s="71">
        <v>4254</v>
      </c>
      <c r="N6" s="71">
        <v>3197</v>
      </c>
      <c r="O6" s="71">
        <v>1023</v>
      </c>
      <c r="P6" s="71">
        <v>1580</v>
      </c>
      <c r="Q6" s="71">
        <v>6073</v>
      </c>
      <c r="R6" s="71">
        <v>7025</v>
      </c>
      <c r="S6" s="71">
        <v>6029</v>
      </c>
      <c r="T6" s="71">
        <v>0</v>
      </c>
      <c r="U6" s="71">
        <v>0</v>
      </c>
      <c r="V6" s="71">
        <v>0</v>
      </c>
      <c r="W6" s="71">
        <v>0</v>
      </c>
      <c r="X6" s="71">
        <v>0</v>
      </c>
      <c r="Y6" s="71">
        <v>0</v>
      </c>
      <c r="Z6" s="71">
        <v>4278</v>
      </c>
      <c r="AA6" s="71">
        <v>1304</v>
      </c>
      <c r="AB6" s="71">
        <v>2571</v>
      </c>
      <c r="AC6" s="71">
        <v>5678</v>
      </c>
      <c r="AD6" s="71">
        <v>3381</v>
      </c>
      <c r="AE6" s="71">
        <v>4832</v>
      </c>
    </row>
    <row r="7" spans="1:99" s="72" customFormat="1" ht="22.2" ph="1">
      <c r="B7" s="238" ph="1"/>
      <c r="C7" s="68" t="s" ph="1">
        <v>178</v>
      </c>
      <c r="D7" s="73" ph="1">
        <f>D6*33.183*LOOKUP(D8,密度!$A$2:$A$50,密度!$Q$2:$Q$50)</f>
        <v>20311.770898079998</v>
      </c>
      <c r="E7" s="73" ph="1">
        <f>E6*51.53*LOOKUP(E8,密度!$A$2:$A$50,密度!$B$2:$B$50)</f>
        <v>143499.09504000001</v>
      </c>
      <c r="F7" s="73" ph="1">
        <f>F6*33.183*LOOKUP(F8,密度!$A$2:$A$50,密度!$C$2:$C$50)</f>
        <v>218127.44173680004</v>
      </c>
      <c r="G7" s="73" ph="1">
        <f xml:space="preserve"> (G6+2)*51.53*LOOKUP(G8,密度!$A$2:$A$50,密度!$B$2:$B$50)</f>
        <v>304341.63187400001</v>
      </c>
      <c r="H7" s="73" ph="1">
        <f>(H6)*51.53*LOOKUP(H8,密度!$A$2:$A$50,密度!$B$2:$B$50)</f>
        <v>53313.29871000001</v>
      </c>
      <c r="I7" s="73" ph="1">
        <f>I6*290.8*1.0267</f>
        <v>5245.7758052000008</v>
      </c>
      <c r="J7" s="73" ph="1">
        <f>J6*290.8*0.7892</f>
        <v>17657.680758400002</v>
      </c>
      <c r="K7" s="73" ph="1">
        <f>K6*290.8*1.1126</f>
        <v>2403.9325143999999</v>
      </c>
      <c r="L7" s="73" ph="1">
        <f>L6*290.8*0.777</f>
        <v>1484.5020120000001</v>
      </c>
      <c r="M7" s="73" ph="1">
        <f>M6*33.183*LOOKUP(M8,密度!$A$2:$A$50,密度!$D$2:$D$50)</f>
        <v>144393.05703779997</v>
      </c>
      <c r="N7" s="73" ph="1">
        <f>N6*33.183*LOOKUP(N8,密度!$A$2:$A$50,密度!$E$2:$E$50)</f>
        <v>82492.513257599989</v>
      </c>
      <c r="O7" s="73" ph="1">
        <f>O6*20.428*LOOKUP(O8,密度!$A$2:$A$50,密度!$C$2:$C$50)</f>
        <v>23094.2074044</v>
      </c>
      <c r="P7" s="73" ph="1">
        <f>P6*51.53*LOOKUP(P8,密度!$A$2:$A$50,密度!$B$2:$B$50)</f>
        <v>63261.319800000012</v>
      </c>
      <c r="Q7" s="73" ph="1">
        <f>Q6*1.5*1.5*3.1416*LOOKUP(W8,密度!$A$2:$A$50,密度!$L$2:$L$50)</f>
        <v>40137.313292999999</v>
      </c>
      <c r="R7" s="73" ph="1">
        <f>R6*1.5*1.5*3.1416*LOOKUP(R8,密度!$A$2:$A$50,密度!$L$2:$L$50)</f>
        <v>46031.960205000003</v>
      </c>
      <c r="S7" s="73" ph="1">
        <f>S6*1.5*1.5*3.1416*LOOKUP(S8,密度!$A$2:$A$50,密度!$L$2:$L$50)</f>
        <v>39931.744267800001</v>
      </c>
      <c r="T7" s="73" ph="1">
        <f>T6*1.5*1.5*3.1416*LOOKUP(T8,密度!$A$2:$A$50,密度!$L$2:$L$50)</f>
        <v>0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132871.63406400001</v>
      </c>
      <c r="AA7" s="73" ph="1">
        <f>AA6*33.183*LOOKUP(AA8,密度!$A$2:$A$50,密度!$D$2:$D$50)</f>
        <v>44222.585904</v>
      </c>
      <c r="AB7" s="73" ph="1">
        <f>AB6*20.428*LOOKUP(AB8,密度!$A$2:$A$50,密度!$D$2:$D$50)</f>
        <v>54069.739446000007</v>
      </c>
      <c r="AC7" s="73" ph="1">
        <f>AC6*51.53*LOOKUP(AC8,密度!$A$2:$A$50,密度!$Q$2:$Q$50)</f>
        <v>276383.85311080003</v>
      </c>
      <c r="AD7" s="73" ph="1">
        <f>AD6*20.428*LOOKUP(AD8,密度!$A$2:$A$50,密度!$V$2:$V$50)</f>
        <v>66138.624316799993</v>
      </c>
      <c r="AE7" s="73" ph="1">
        <f>AE6*20.428</f>
        <v>98708.096000000005</v>
      </c>
    </row>
    <row r="8" spans="1:99" ph="1">
      <c r="B8" s="238" ph="1"/>
      <c r="C8" s="68" t="s" ph="1">
        <v>179</v>
      </c>
      <c r="D8" s="74">
        <v>28</v>
      </c>
      <c r="E8" s="74">
        <v>28</v>
      </c>
      <c r="F8" s="74">
        <v>29</v>
      </c>
      <c r="G8" s="74">
        <v>29</v>
      </c>
      <c r="H8" s="74">
        <v>27</v>
      </c>
      <c r="I8" s="74">
        <v>25</v>
      </c>
      <c r="J8" s="74">
        <v>25</v>
      </c>
      <c r="K8" s="74">
        <v>25</v>
      </c>
      <c r="L8" s="74">
        <v>25</v>
      </c>
      <c r="M8" s="74">
        <v>29</v>
      </c>
      <c r="N8" s="74">
        <v>30</v>
      </c>
      <c r="O8" s="74">
        <v>30</v>
      </c>
      <c r="P8" s="74">
        <v>28</v>
      </c>
      <c r="Q8" s="74">
        <v>32</v>
      </c>
      <c r="R8" s="74">
        <v>35</v>
      </c>
      <c r="S8" s="74">
        <v>25</v>
      </c>
      <c r="T8" s="74">
        <v>23</v>
      </c>
      <c r="U8" s="74">
        <v>27</v>
      </c>
      <c r="V8" s="74">
        <v>25</v>
      </c>
      <c r="W8" s="74">
        <v>27</v>
      </c>
      <c r="X8" s="74">
        <v>19</v>
      </c>
      <c r="Y8" s="74">
        <v>28</v>
      </c>
      <c r="Z8" s="74">
        <v>26</v>
      </c>
      <c r="AA8" s="74">
        <v>30</v>
      </c>
      <c r="AB8" s="74">
        <v>22</v>
      </c>
      <c r="AC8" s="74">
        <v>28</v>
      </c>
      <c r="AD8" s="74">
        <v>27</v>
      </c>
      <c r="AE8" s="74">
        <v>30</v>
      </c>
    </row>
    <row r="9" spans="1:99" ht="26.4" ph="1">
      <c r="B9" s="238" ph="1">
        <v>0.66666666666666663</v>
      </c>
      <c r="C9" s="157" t="s" ph="1">
        <v>180</v>
      </c>
      <c r="D9" s="71">
        <v>968</v>
      </c>
      <c r="E9" s="71">
        <v>3583</v>
      </c>
      <c r="F9" s="71">
        <v>5948</v>
      </c>
      <c r="G9" s="71">
        <v>7611</v>
      </c>
      <c r="H9" s="71">
        <v>1332</v>
      </c>
      <c r="I9" s="71">
        <v>17.55</v>
      </c>
      <c r="J9" s="71">
        <v>77.11</v>
      </c>
      <c r="K9" s="71">
        <v>7.41</v>
      </c>
      <c r="L9" s="71">
        <v>67.36</v>
      </c>
      <c r="M9" s="71">
        <v>4254</v>
      </c>
      <c r="N9" s="71">
        <v>3200</v>
      </c>
      <c r="O9" s="71">
        <v>1022</v>
      </c>
      <c r="P9" s="71">
        <v>924</v>
      </c>
      <c r="Q9" s="71">
        <v>1880</v>
      </c>
      <c r="R9" s="71">
        <v>7033</v>
      </c>
      <c r="S9" s="71">
        <v>6039</v>
      </c>
      <c r="T9" s="71">
        <v>7163</v>
      </c>
      <c r="U9" s="71">
        <v>1149</v>
      </c>
      <c r="V9" s="71">
        <v>0</v>
      </c>
      <c r="W9" s="71">
        <v>0</v>
      </c>
      <c r="X9" s="71">
        <v>0</v>
      </c>
      <c r="Y9" s="71">
        <v>0</v>
      </c>
      <c r="Z9" s="71">
        <v>2105</v>
      </c>
      <c r="AA9" s="71">
        <v>1305</v>
      </c>
      <c r="AB9" s="71">
        <v>2493</v>
      </c>
      <c r="AC9" s="71">
        <v>5946</v>
      </c>
      <c r="AD9" s="71">
        <v>3348</v>
      </c>
      <c r="AE9" s="71">
        <v>4805</v>
      </c>
    </row>
    <row r="10" spans="1:99" s="72" customFormat="1" ht="22.2" ph="1">
      <c r="B10" s="238" ph="1"/>
      <c r="C10" s="157" t="s" ph="1">
        <v>178</v>
      </c>
      <c r="D10" s="73" ph="1">
        <f>D9*33.183*LOOKUP(D11,密度!$A$2:$A$50,密度!$Q$2:$Q$50)</f>
        <v>30276.74791152</v>
      </c>
      <c r="E10" s="73" ph="1">
        <f>E9*51.53*LOOKUP(E11,密度!$A$2:$A$50,密度!$B$2:$B$50)</f>
        <v>142665.13867300001</v>
      </c>
      <c r="F10" s="73" ph="1">
        <f>F9*33.183*LOOKUP(F11,密度!$A$2:$A$50,密度!$C$2:$C$50)</f>
        <v>218116.33206839999</v>
      </c>
      <c r="G10" s="73" ph="1">
        <f xml:space="preserve"> (G9+2)*51.53*LOOKUP(G11,密度!$A$2:$A$50,密度!$B$2:$B$50)</f>
        <v>302069.37530000001</v>
      </c>
      <c r="H10" s="73" ph="1">
        <f>(H9)*51.53*LOOKUP(H11,密度!$A$2:$A$50,密度!$B$2:$B$50)</f>
        <v>52672.770504</v>
      </c>
      <c r="I10" s="73" ph="1">
        <f>I9*290.8*1.0267</f>
        <v>5239.8045179999999</v>
      </c>
      <c r="J10" s="73" ph="1">
        <f>J9*290.8*0.7892</f>
        <v>17696.695649599998</v>
      </c>
      <c r="K10" s="73" ph="1">
        <f>K9*290.8*1.1126</f>
        <v>2397.4616328000002</v>
      </c>
      <c r="L10" s="73" ph="1">
        <f>L9*290.8*0.777</f>
        <v>15220.099776000001</v>
      </c>
      <c r="M10" s="73" ph="1">
        <f>M9*33.183*LOOKUP(M11,密度!$A$2:$A$50,密度!$D$2:$D$50)</f>
        <v>143898.99535079999</v>
      </c>
      <c r="N10" s="73" ph="1">
        <f>N9*33.183*LOOKUP(N11,密度!$A$2:$A$50,密度!$E$2:$E$50)</f>
        <v>82447.809120000005</v>
      </c>
      <c r="O10" s="73" ph="1">
        <f>O9*20.428*LOOKUP(O11,密度!$A$2:$A$50,密度!$C$2:$C$50)</f>
        <v>22852.419553600001</v>
      </c>
      <c r="P10" s="73" ph="1">
        <f>P9*51.53*LOOKUP(P11,密度!$A$2:$A$50,密度!$B$2:$B$50)</f>
        <v>36791.121444000004</v>
      </c>
      <c r="Q10" s="73" ph="1">
        <f>Q9*1.5*1.5*3.1416*LOOKUP(W11,密度!$A$2:$A$50,密度!$L$2:$L$50)</f>
        <v>12239.139528</v>
      </c>
      <c r="R10" s="73" ph="1">
        <f>R9*1.5*1.5*3.1416*LOOKUP(R11,密度!$A$2:$A$50,密度!$L$2:$L$50)</f>
        <v>46034.667478800002</v>
      </c>
      <c r="S10" s="73" ph="1">
        <f>S9*1.5*1.5*3.1416*LOOKUP(S11,密度!$A$2:$A$50,密度!$L$2:$L$50)</f>
        <v>39912.602499000001</v>
      </c>
      <c r="T10" s="73" ph="1">
        <f>T9*1.5*1.5*3.1416*LOOKUP(T11,密度!$A$2:$A$50,密度!$L$2:$L$50)</f>
        <v>47442.5417466</v>
      </c>
      <c r="U10" s="73" ph="1">
        <f>U9*1.5*1.5*3.1416*LOOKUP(U11,密度!$A$2:$A$50,密度!$L$2:$L$50)</f>
        <v>7585.7811876000005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0</v>
      </c>
      <c r="Z10" s="73" ph="1">
        <f>Z9*33.183*LOOKUP(Z11,密度!$A$2:$A$50,密度!$L$2:$L$50)</f>
        <v>65030.550165000001</v>
      </c>
      <c r="AA10" s="73" ph="1">
        <f>AA9*33.183*LOOKUP(AA11,密度!$A$2:$A$50,密度!$D$2:$D$50)</f>
        <v>44256.498930000002</v>
      </c>
      <c r="AB10" s="73" ph="1">
        <f>AB9*20.428*LOOKUP(AB11,密度!$A$2:$A$50,密度!$D$2:$D$50)</f>
        <v>52240.920703200005</v>
      </c>
      <c r="AC10" s="73" ph="1">
        <f>AC9*51.53*LOOKUP(AC11,密度!$A$2:$A$50,密度!$Q$2:$Q$50)</f>
        <v>288396.533925</v>
      </c>
      <c r="AD10" s="73" ph="1">
        <f>AD9*20.428*LOOKUP(AD11,密度!$A$2:$A$50,密度!$V$2:$V$50)</f>
        <v>65493.083174400002</v>
      </c>
      <c r="AE10" s="73" ph="1">
        <f>AE9*20.428</f>
        <v>98156.540000000008</v>
      </c>
    </row>
    <row r="11" spans="1:99" ph="1">
      <c r="A11" s="64" t="s" ph="1">
        <v>162</v>
      </c>
      <c r="B11" s="238" ph="1"/>
      <c r="C11" s="157" t="s" ph="1">
        <v>179</v>
      </c>
      <c r="D11" s="74">
        <v>31</v>
      </c>
      <c r="E11" s="74">
        <v>33</v>
      </c>
      <c r="F11" s="74">
        <v>30</v>
      </c>
      <c r="G11" s="74">
        <v>36</v>
      </c>
      <c r="H11" s="74">
        <v>39</v>
      </c>
      <c r="I11" s="74">
        <v>25</v>
      </c>
      <c r="J11" s="74">
        <v>25</v>
      </c>
      <c r="K11" s="74">
        <v>25</v>
      </c>
      <c r="L11" s="74">
        <v>25</v>
      </c>
      <c r="M11" s="74">
        <v>33</v>
      </c>
      <c r="N11" s="74">
        <v>31</v>
      </c>
      <c r="O11" s="74">
        <v>40</v>
      </c>
      <c r="P11" s="74">
        <v>33</v>
      </c>
      <c r="Q11" s="74">
        <v>36</v>
      </c>
      <c r="R11" s="74">
        <v>36</v>
      </c>
      <c r="S11" s="74">
        <v>27</v>
      </c>
      <c r="T11" s="74">
        <v>25</v>
      </c>
      <c r="U11" s="74">
        <v>28</v>
      </c>
      <c r="V11" s="74">
        <v>28</v>
      </c>
      <c r="W11" s="74">
        <v>41</v>
      </c>
      <c r="X11" s="74">
        <v>20</v>
      </c>
      <c r="Y11" s="74">
        <v>34</v>
      </c>
      <c r="Z11" s="74">
        <v>31</v>
      </c>
      <c r="AA11" s="74">
        <v>30</v>
      </c>
      <c r="AB11" s="74">
        <v>26</v>
      </c>
      <c r="AC11" s="74">
        <v>33</v>
      </c>
      <c r="AD11" s="74">
        <v>34</v>
      </c>
      <c r="AE11" s="74">
        <v>33</v>
      </c>
    </row>
    <row r="12" spans="1:99" ht="9.9" customHeight="1" ph="1"/>
    <row r="13" spans="1:99" s="72" customFormat="1" ht="29.25" customHeight="1" ph="1">
      <c r="B13" s="215" t="s" ph="1">
        <v>37</v>
      </c>
      <c r="C13" s="157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6" ph="1"/>
      <c r="C14" s="67" t="s" ph="1">
        <v>36</v>
      </c>
      <c r="D14" s="77" t="s" ph="1">
        <v>616</v>
      </c>
      <c r="E14" s="77" t="s" ph="1">
        <v>616</v>
      </c>
      <c r="F14" s="144" t="s" ph="1">
        <v>636</v>
      </c>
      <c r="G14" s="77" t="s" ph="1">
        <v>617</v>
      </c>
      <c r="H14" s="77" t="s" ph="1">
        <v>637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638</v>
      </c>
      <c r="P14" s="77" t="s" ph="1">
        <v>622</v>
      </c>
      <c r="Q14" s="77" t="s" ph="1">
        <v>622</v>
      </c>
      <c r="R14" s="88" t="s" ph="1">
        <v>7</v>
      </c>
      <c r="S14" s="77" t="s" ph="1">
        <v>622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17" ph="1">
        <v>0.33333333333333331</v>
      </c>
      <c r="C15" s="157" t="s" ph="1">
        <v>177</v>
      </c>
      <c r="D15" s="78">
        <v>5989</v>
      </c>
      <c r="E15" s="78">
        <v>4952</v>
      </c>
      <c r="F15" s="78">
        <v>1825</v>
      </c>
      <c r="G15" s="78">
        <v>2904</v>
      </c>
      <c r="H15" s="78">
        <v>4365</v>
      </c>
      <c r="I15" s="78">
        <v>3129</v>
      </c>
      <c r="J15" s="78">
        <v>2957</v>
      </c>
      <c r="K15" s="78">
        <v>3659</v>
      </c>
      <c r="L15" s="78">
        <v>3966</v>
      </c>
      <c r="M15" s="78">
        <v>2205</v>
      </c>
      <c r="N15" s="78">
        <v>2573</v>
      </c>
      <c r="O15" s="78">
        <v>3083</v>
      </c>
      <c r="P15" s="78">
        <v>7001</v>
      </c>
      <c r="Q15" s="78">
        <v>5600</v>
      </c>
      <c r="R15" s="78">
        <v>0</v>
      </c>
      <c r="S15" s="78">
        <v>3127</v>
      </c>
      <c r="T15" s="78">
        <v>1557</v>
      </c>
      <c r="U15" s="78">
        <v>1819</v>
      </c>
      <c r="V15" s="78">
        <v>2425</v>
      </c>
      <c r="W15" s="71">
        <v>1872</v>
      </c>
      <c r="X15" s="78">
        <v>861</v>
      </c>
      <c r="Y15" s="106">
        <v>-9908</v>
      </c>
      <c r="Z15" s="78">
        <v>0</v>
      </c>
      <c r="AA15" s="78">
        <v>2492</v>
      </c>
      <c r="AB15" s="78" ph="1">
        <v>0</v>
      </c>
      <c r="AC15" s="78" ph="1">
        <v>0</v>
      </c>
      <c r="AD15" s="78">
        <v>5.42</v>
      </c>
      <c r="AE15" s="78">
        <v>32.5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18" ph="1"/>
      <c r="C16" s="157" t="s" ph="1">
        <v>178</v>
      </c>
      <c r="D16" s="73" ph="1">
        <f>D15*7.0686*LOOKUP(D17,密度!$A$2:$A$50,密度!$L$2:$L$50)</f>
        <v>39455.143912799998</v>
      </c>
      <c r="E16" s="73" ph="1">
        <f>E15*7.0686*LOOKUP(E17,密度!$A$2:$A$50,密度!$L$2:$L$50)</f>
        <v>32623.455110399998</v>
      </c>
      <c r="F16" s="73" ph="1">
        <f>F15*9.0746*LOOKUP(F17,密度!$A$2:$A$50,密度!$L$2:$L$50)</f>
        <v>15434.987140000001</v>
      </c>
      <c r="G16" s="73" ph="1">
        <f>G15*9.0746*LOOKUP(G17,密度!$A$2:$A$50,密度!$B$2:$B$50)</f>
        <v>20476.0000368</v>
      </c>
      <c r="H16" s="73" ph="1">
        <f>H15*9.0746*LOOKUP(H17,密度!$A$2:$A$50,密度!$L$2:$L$50)</f>
        <v>37115.159373000002</v>
      </c>
      <c r="I16" s="73" ph="1">
        <f>I15*9.0746*LOOKUP(I17,密度!$A$2:$A$50,密度!$U$2:$U$50)</f>
        <v>29104.283984999998</v>
      </c>
      <c r="J16" s="73" ph="1">
        <f>J15*9.0746*LOOKUP(J17,密度!$A$2:$A$50,密度!$L$2:$L$50)</f>
        <v>25008.907930400001</v>
      </c>
      <c r="K16" s="73" ph="1">
        <f>K15*9.0746*LOOKUP(K17,密度!$A$2:$A$50,密度!$C$2:$C$50)</f>
        <v>36720.260912260004</v>
      </c>
      <c r="L16" s="73" ph="1">
        <f>L15*9.0746*LOOKUP(L17,密度!$A$2:$A$50,密度!$E$2:$E$50)</f>
        <v>27985.71793536</v>
      </c>
      <c r="M16" s="73" ph="1">
        <f>M15*9.0746*LOOKUP(M17,密度!$A$2:$A$50,密度!$M$2:$M$50)</f>
        <v>17385.648182910001</v>
      </c>
      <c r="N16" s="73" ph="1">
        <f>N15*9.0746*LOOKUP(N17,密度!$A$2:$A$50,密度!$M$2:$M$50)</f>
        <v>20409.313523780002</v>
      </c>
      <c r="O16" s="73" ph="1">
        <f>O15*9.0746*LOOKUP(O17,密度!$A$2:$A$50,密度!$G$2:$G$50)</f>
        <v>26743.20646162</v>
      </c>
      <c r="P16" s="73" ph="1">
        <f ca="1">P15*9.0746*LOOKUP(P17,密度!$A$2:$A$51,密度!$Q$2:$Q$50)</f>
        <v>59930.957268418002</v>
      </c>
      <c r="Q16" s="73" ph="1">
        <f>Q15*9.0746*LOOKUP(Q17,密度!$A$2:$A$50,密度!$Q$2:$Q$50)</f>
        <v>47937.917540800001</v>
      </c>
      <c r="R16" s="73" ph="1">
        <f>MAX(R15*9.0746*LOOKUP(R17,密度!$A$2:$A$50,密度!$B$2:$B$50),0)</f>
        <v>0</v>
      </c>
      <c r="S16" s="73" ph="1">
        <f>S15*9.0746*LOOKUP(S17,密度!$A$2:$A$50,密度!$Q$2:$Q$50)</f>
        <v>26671.995171547998</v>
      </c>
      <c r="T16" s="73" ph="1">
        <f>T15*9.0746*LOOKUP(T17,密度!$A$2:$A$50,密度!$O$2:$O$50)</f>
        <v>13083.594937200001</v>
      </c>
      <c r="U16" s="73" ph="1">
        <f>U15*9.0746*LOOKUP(U17,密度!$A$2:$A$50,密度!$H$2:$H$50)</f>
        <v>15037.601331400001</v>
      </c>
      <c r="V16" s="73" ph="1">
        <f>MAX(5600*LOOKUP(V17,密度!$A$2:$A$50,密度!$Q$2:$Q$50)+V15*9.0476*LOOKUP(V17,密度!$A$2:$A$50,密度!$Q$2:$Q$50),0)</f>
        <v>25922.429737499999</v>
      </c>
      <c r="W16" s="73" ph="1">
        <f>MAX(5600*LOOKUP(W17,密度!$A$2:$A$50,密度!$Q$2:$Q$50)+W15*9.0476*LOOKUP(W17,密度!$A$2:$A$50,密度!$Q$2:$Q$50),0)</f>
        <v>21213.052151999997</v>
      </c>
      <c r="X16" s="73" ph="1">
        <f>MAX(5600*LOOKUP(X17,密度!$A$2:$A$50,密度!$I$2:$I$50)+X15*9.0476*LOOKUP(X17,密度!$A$2:$A$50,密度!$I$2:$I$50),0)</f>
        <v>13866.667016160001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17532.559150960002</v>
      </c>
      <c r="AB16" s="73" ph="1">
        <f>AB15*9.0746*LOOKUP(AB17,密度!$A$2:$A$50,密度!$L$2:$L$50)</f>
        <v>0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2356.14266976</v>
      </c>
      <c r="AE16" s="73" ph="1">
        <f>AE15*268.68*LOOKUP(AE17,密度!$A$2:$A$50,密度!B2:B50)+IF(AE15&lt;=0,0,1566*LOOKUP(AE17,密度!$A$2:$A$50,密度!B2:B50))</f>
        <v>8028.39876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19" ph="1"/>
      <c r="C17" s="79" t="s" ph="1">
        <v>179</v>
      </c>
      <c r="D17" s="74">
        <v>30</v>
      </c>
      <c r="E17" s="74">
        <v>30</v>
      </c>
      <c r="F17" s="74">
        <v>30</v>
      </c>
      <c r="G17" s="74">
        <v>28</v>
      </c>
      <c r="H17" s="74">
        <v>25</v>
      </c>
      <c r="I17" s="74">
        <v>25</v>
      </c>
      <c r="J17" s="74">
        <v>30</v>
      </c>
      <c r="K17" s="74">
        <v>29</v>
      </c>
      <c r="L17" s="74">
        <v>30</v>
      </c>
      <c r="M17" s="74">
        <v>31</v>
      </c>
      <c r="N17" s="74">
        <v>26</v>
      </c>
      <c r="O17" s="74">
        <v>29</v>
      </c>
      <c r="P17" s="74">
        <v>30</v>
      </c>
      <c r="Q17" s="74">
        <v>30</v>
      </c>
      <c r="R17" s="74">
        <v>29</v>
      </c>
      <c r="S17" s="74">
        <v>35</v>
      </c>
      <c r="T17" s="74">
        <v>29</v>
      </c>
      <c r="U17" s="74">
        <v>29</v>
      </c>
      <c r="V17" s="74">
        <v>33</v>
      </c>
      <c r="W17" s="74">
        <v>33</v>
      </c>
      <c r="X17" s="74">
        <v>31</v>
      </c>
      <c r="Y17" s="108">
        <v>31</v>
      </c>
      <c r="Z17" s="74">
        <v>28</v>
      </c>
      <c r="AA17" s="74">
        <v>30</v>
      </c>
      <c r="AB17" s="74">
        <v>28</v>
      </c>
      <c r="AC17" s="74">
        <v>27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17" ph="1">
        <v>0.66666666666666663</v>
      </c>
      <c r="C18" s="79" t="s" ph="1">
        <v>180</v>
      </c>
      <c r="D18" s="71">
        <v>5573</v>
      </c>
      <c r="E18" s="71">
        <v>4811</v>
      </c>
      <c r="F18" s="71">
        <v>1940</v>
      </c>
      <c r="G18" s="71">
        <v>3034</v>
      </c>
      <c r="H18" s="71">
        <v>4368</v>
      </c>
      <c r="I18" s="71">
        <v>3132</v>
      </c>
      <c r="J18" s="71">
        <v>1478</v>
      </c>
      <c r="K18" s="71">
        <v>3660</v>
      </c>
      <c r="L18" s="71">
        <v>3975</v>
      </c>
      <c r="M18" s="71">
        <v>4203</v>
      </c>
      <c r="N18" s="71">
        <v>682</v>
      </c>
      <c r="O18" s="71">
        <v>3257</v>
      </c>
      <c r="P18" s="71">
        <v>7010</v>
      </c>
      <c r="Q18" s="71">
        <v>5605</v>
      </c>
      <c r="R18" s="71">
        <v>0</v>
      </c>
      <c r="S18" s="71">
        <v>3178</v>
      </c>
      <c r="T18" s="71">
        <v>1557</v>
      </c>
      <c r="U18" s="71">
        <v>1818</v>
      </c>
      <c r="V18" s="71">
        <v>2424</v>
      </c>
      <c r="W18" s="71">
        <v>708</v>
      </c>
      <c r="X18" s="71">
        <v>861</v>
      </c>
      <c r="Y18" s="109">
        <v>-9908</v>
      </c>
      <c r="Z18" s="71">
        <v>0</v>
      </c>
      <c r="AA18" s="71">
        <v>2491</v>
      </c>
      <c r="AB18" s="71">
        <v>22</v>
      </c>
      <c r="AC18" s="71">
        <v>0</v>
      </c>
      <c r="AD18" s="71">
        <v>5.36</v>
      </c>
      <c r="AE18" s="71">
        <v>78.25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18" ph="1"/>
      <c r="C19" s="157" t="s" ph="1">
        <v>178</v>
      </c>
      <c r="D19" s="73" ph="1">
        <f>D18*7.0686*LOOKUP(D20,密度!$A$2:$A$50,密度!$L$2:$L$50)</f>
        <v>36596.382946200007</v>
      </c>
      <c r="E19" s="73" ph="1">
        <f>E18*7.0686*LOOKUP(E20,密度!$A$2:$A$50,密度!$L$2:$L$50)</f>
        <v>31592.5351434</v>
      </c>
      <c r="F19" s="73" ph="1">
        <f>F18*9.0746*LOOKUP(F20,密度!$A$2:$A$50,密度!$L$2:$L$50)</f>
        <v>16389.998044000004</v>
      </c>
      <c r="G19" s="73" ph="1">
        <f>G18*9.0746*LOOKUP(G20,密度!$A$2:$A$50,密度!$B$2:$B$50)</f>
        <v>21321.041308159998</v>
      </c>
      <c r="H19" s="73" ph="1">
        <f>H18*9.0746*LOOKUP(H20,密度!$A$2:$A$50,密度!$L$2:$L$50)</f>
        <v>36982.116662400003</v>
      </c>
      <c r="I19" s="73" ph="1">
        <f>I18*9.0746*LOOKUP(I20,密度!$A$2:$A$50,密度!$U$2:$U$50)</f>
        <v>28961.658496799995</v>
      </c>
      <c r="J19" s="73" ph="1">
        <f>J18*9.0746*LOOKUP(J20,密度!$A$2:$A$50,密度!$L$2:$L$50)</f>
        <v>12459.988425200001</v>
      </c>
      <c r="K19" s="73" ph="1">
        <f>K18*9.0746*LOOKUP(K20,密度!$A$2:$A$50,密度!$C$2:$C$50)</f>
        <v>36703.726083599999</v>
      </c>
      <c r="L19" s="73" ph="1">
        <f>L18*9.0746*LOOKUP(L20,密度!$A$2:$A$50,密度!$E$2:$E$50)</f>
        <v>28007.743350750003</v>
      </c>
      <c r="M19" s="73" ph="1">
        <f>M18*9.0746*LOOKUP(M20,密度!$A$2:$A$50,密度!$M$2:$M$50)</f>
        <v>33019.031578536</v>
      </c>
      <c r="N19" s="73" ph="1">
        <f>N18*9.0746*LOOKUP(N20,密度!$A$2:$A$50,密度!$M$2:$M$50)</f>
        <v>5357.8347695840002</v>
      </c>
      <c r="O19" s="73" ph="1">
        <f>O18*9.0746*LOOKUP(O20,密度!$A$2:$A$50,密度!$G$2:$G$50)</f>
        <v>28124.576466353999</v>
      </c>
      <c r="P19" s="73" ph="1">
        <f ca="1">P18*9.0746*LOOKUP(P20,密度!$A$2:$A$51,密度!$Q$2:$Q$50)</f>
        <v>59960.290640680003</v>
      </c>
      <c r="Q19" s="73" ph="1">
        <f>Q18*9.0746*LOOKUP(Q20,密度!$A$2:$A$50,密度!$Q$2:$Q$50)</f>
        <v>47874.923936250001</v>
      </c>
      <c r="R19" s="73" ph="1">
        <f>MAX(R18*9.0746*LOOKUP(R20,密度!$A$2:$A$50,密度!$B$2:$B$50),0)</f>
        <v>0</v>
      </c>
      <c r="S19" s="73" ph="1">
        <f>S18*9.0746*LOOKUP(S20,密度!$A$2:$A$50,密度!$Q$2:$Q$50)</f>
        <v>27107.003727272</v>
      </c>
      <c r="T19" s="73" ph="1">
        <f>T18*9.0746*LOOKUP(T20,密度!$A$2:$A$50,密度!$O$2:$O$50)</f>
        <v>13015.77500664</v>
      </c>
      <c r="U19" s="73" ph="1">
        <f>U18*9.0746*LOOKUP(U20,密度!$A$2:$A$50,密度!$H$2:$H$50)</f>
        <v>14981.161312224001</v>
      </c>
      <c r="V19" s="73" ph="1">
        <f>MAX(5600*LOOKUP(V20,密度!$A$2:$A$50,密度!$Q$2:$Q$50)+V18*9.0476*LOOKUP(V20,密度!$A$2:$A$50,密度!$Q$2:$Q$50),0)</f>
        <v>25913.913683999999</v>
      </c>
      <c r="W19" s="73" ph="1">
        <f>MAX(5600*LOOKUP(W20,密度!$A$2:$A$50,密度!$Q$2:$Q$50)+W18*9.0476*LOOKUP(W20,密度!$A$2:$A$50,密度!$Q$2:$Q$50),0)</f>
        <v>11261.587464415999</v>
      </c>
      <c r="X19" s="73" ph="1">
        <f>MAX(5600*LOOKUP(X20,密度!$A$2:$A$50,密度!$I$2:$I$50)+X18*9.0476*LOOKUP(X20,密度!$A$2:$A$50,密度!$I$2:$I$50),0)</f>
        <v>13866.667016160001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17525.523613580001</v>
      </c>
      <c r="AB19" s="73" ph="1">
        <f>AB18*9.0746*LOOKUP(AB20,密度!$A$2:$A$50,密度!$L$2:$L$50)</f>
        <v>185.46667480000002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2335.7589696</v>
      </c>
      <c r="AE19" s="73" ph="1">
        <f>AE18*268.68*LOOKUP(AE20,密度!$A$2:$A$50,密度!B5:B53)+IF(AE18&lt;=0,0,1566*LOOKUP(AE20,密度!$A$2:$A$50,密度!B5:B53))</f>
        <v>17552.59317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18" ph="1"/>
      <c r="C20" s="80" t="s" ph="1">
        <v>179</v>
      </c>
      <c r="D20" s="81">
        <v>33</v>
      </c>
      <c r="E20" s="81">
        <v>33</v>
      </c>
      <c r="F20" s="81">
        <v>31</v>
      </c>
      <c r="G20" s="81">
        <v>31</v>
      </c>
      <c r="H20" s="81">
        <v>29</v>
      </c>
      <c r="I20" s="81">
        <v>31</v>
      </c>
      <c r="J20" s="81">
        <v>33</v>
      </c>
      <c r="K20" s="81">
        <v>30</v>
      </c>
      <c r="L20" s="81">
        <v>31</v>
      </c>
      <c r="M20" s="81">
        <v>34</v>
      </c>
      <c r="N20" s="81">
        <v>34</v>
      </c>
      <c r="O20" s="81">
        <v>33</v>
      </c>
      <c r="P20" s="81">
        <v>31</v>
      </c>
      <c r="Q20" s="81">
        <v>33</v>
      </c>
      <c r="R20" s="81">
        <v>36</v>
      </c>
      <c r="S20" s="81">
        <v>35</v>
      </c>
      <c r="T20" s="81">
        <v>33</v>
      </c>
      <c r="U20" s="81">
        <v>32</v>
      </c>
      <c r="V20" s="81">
        <v>33</v>
      </c>
      <c r="W20" s="81">
        <v>38</v>
      </c>
      <c r="X20" s="81">
        <v>31</v>
      </c>
      <c r="Y20" s="110">
        <v>31</v>
      </c>
      <c r="Z20" s="81">
        <v>34</v>
      </c>
      <c r="AA20" s="81">
        <v>30</v>
      </c>
      <c r="AB20" s="81">
        <v>33</v>
      </c>
      <c r="AC20" s="81">
        <v>31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6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6" t="s" ph="1">
        <v>69</v>
      </c>
      <c r="AA22" s="227"/>
      <c r="AB22" s="227"/>
      <c r="AC22" s="227"/>
      <c r="AD22" s="227"/>
      <c r="AE22" s="228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0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610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229" t="s" ph="1">
        <v>642</v>
      </c>
      <c r="AA23" s="230"/>
      <c r="AB23" s="230"/>
      <c r="AC23" s="230"/>
      <c r="AD23" s="230"/>
      <c r="AE23" s="231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38" ph="1">
        <v>0.33333333333333331</v>
      </c>
      <c r="C24" s="157" t="s" ph="1">
        <v>177</v>
      </c>
      <c r="D24" s="71">
        <v>3.46</v>
      </c>
      <c r="E24" s="71">
        <v>5.61</v>
      </c>
      <c r="F24" s="71">
        <v>1102</v>
      </c>
      <c r="G24" s="71">
        <v>3143</v>
      </c>
      <c r="H24" s="71">
        <v>2899</v>
      </c>
      <c r="I24" s="71">
        <v>3347</v>
      </c>
      <c r="J24" s="71">
        <v>304</v>
      </c>
      <c r="K24" s="71">
        <v>327</v>
      </c>
      <c r="L24" s="71">
        <v>301</v>
      </c>
      <c r="M24" s="71">
        <v>326</v>
      </c>
      <c r="N24" s="71">
        <v>329</v>
      </c>
      <c r="O24" s="71">
        <v>343</v>
      </c>
      <c r="P24" s="71">
        <v>374</v>
      </c>
      <c r="Q24" s="90">
        <v>2906</v>
      </c>
      <c r="R24" s="71">
        <v>289</v>
      </c>
      <c r="S24" s="71">
        <v>2730</v>
      </c>
      <c r="T24" s="71">
        <v>419</v>
      </c>
      <c r="U24" s="71">
        <v>5717</v>
      </c>
      <c r="V24" s="71">
        <v>739</v>
      </c>
      <c r="W24" s="71">
        <v>431</v>
      </c>
      <c r="X24" s="71">
        <v>3593</v>
      </c>
      <c r="Y24" s="71">
        <v>179</v>
      </c>
      <c r="Z24" s="232"/>
      <c r="AA24" s="233"/>
      <c r="AB24" s="233"/>
      <c r="AC24" s="233"/>
      <c r="AD24" s="233"/>
      <c r="AE24" s="234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38" ph="1"/>
      <c r="C25" s="68" t="s" ph="1">
        <v>178</v>
      </c>
      <c r="D25" s="91" ph="1">
        <f>D24*268.68*LOOKUP(D26,密度!$A$2:$A$50,密度!$Q$2:$Q$50)+IF(D24&lt;=0,0,1566*LOOKUP(D26,密度!$A$2:$A$50,密度!$Q$2:$Q$50))</f>
        <v>2362.7153970720001</v>
      </c>
      <c r="E25" s="91" ph="1">
        <f>E24*268.68*LOOKUP(E26,密度!$A$2:$A$50,密度!$C$2:$C$50)+IF(E24&lt;=0,0,1566*LOOKUP(E26,密度!$A$2:$A$50,密度!$C$2:$C$50))</f>
        <v>3407.9766037199997</v>
      </c>
      <c r="F25" s="91" ph="1">
        <f>F24*11.702*LOOKUP(F26,密度!$A$2:$A$50,密度!$Q$2:$Q$50)</f>
        <v>12164.810121319999</v>
      </c>
      <c r="G25" s="91" ph="1">
        <f>G24*18.322*LOOKUP(G26,密度!$A$2:$A$50,密度!$B$2:$B$50)</f>
        <v>44646.461463799998</v>
      </c>
      <c r="H25" s="91" ph="1">
        <f>H24*18.322*LOOKUP(H26,密度!$A$2:$A$50,密度!$B$2:$B$50)</f>
        <v>41132.626163199995</v>
      </c>
      <c r="I25" s="91" ph="1">
        <f>I24*18.322*LOOKUP(I26,密度!$A$2:$A$50,密度!$Q$2:$Q$50)</f>
        <v>57848.517994219997</v>
      </c>
      <c r="J25" s="91" ph="1">
        <f>J24*18.322*LOOKUP(J26,密度!$A$2:$A$50,密度!$Q$2:$Q$50)</f>
        <v>5250.0650310399997</v>
      </c>
      <c r="K25" s="91" ph="1">
        <f>K24*18.322*LOOKUP(K26,密度!$A$2:$A$50,密度!$Q$2:$Q$50)</f>
        <v>5655.3621454200002</v>
      </c>
      <c r="L25" s="91" ph="1">
        <f>L24*18.322*LOOKUP(L26,密度!$A$2:$A$50,密度!$Q$2:$Q$50)</f>
        <v>5202.3913702599993</v>
      </c>
      <c r="M25" s="91" ph="1">
        <f>M24*18.322*LOOKUP(M26,密度!$A$2:$A$50,密度!$Q$2:$Q$50)</f>
        <v>5630.0039477599994</v>
      </c>
      <c r="N25" s="91" ph="1">
        <f>N24*18.322*LOOKUP(N26,密度!$A$2:$A$50,密度!$Q$2:$Q$50)</f>
        <v>5686.3347535399998</v>
      </c>
      <c r="O25" s="91" ph="1">
        <f>O24*18.322*LOOKUP(O26,密度!$A$2:$A$50,密度!$C$2:$C$50)</f>
        <v>6949.9688314000005</v>
      </c>
      <c r="P25" s="91" ph="1">
        <f>P24*11.702*LOOKUP(P26,密度!$A$2:$A$50,密度!$B$2:$B$50)</f>
        <v>3397.0765575999999</v>
      </c>
      <c r="Q25" s="92" ph="1">
        <f>Q24*18.322*LOOKUP(Q26,密度!$A$2:$A$50,密度!$B$2:$B$50)</f>
        <v>41279.865419599999</v>
      </c>
      <c r="R25" s="91" ph="1">
        <f>R24*35.891*LOOKUP(R26,密度!$A$2:$A$50,密度!$C$2:$C$50)</f>
        <v>11462.6486449</v>
      </c>
      <c r="S25" s="91" ph="1">
        <f>S24*35.891*LOOKUP(S26,密度!$A$2:$A$50,密度!$B$2:$B$50)</f>
        <v>76053.962165999998</v>
      </c>
      <c r="T25" s="91" ph="1">
        <f>T24*35.891*LOOKUP(T26,密度!$A$2:$A$50,密度!$Q$2:$Q$50)</f>
        <v>14205.50633998</v>
      </c>
      <c r="U25" s="91" ph="1">
        <f>U24*35.891</f>
        <v>205188.84699999998</v>
      </c>
      <c r="V25" s="91" ph="1">
        <f>V24*47.051*LOOKUP(V26,密度!$A$2:$A$50,密度!$B$2:$B$50)</f>
        <v>26895.127941499999</v>
      </c>
      <c r="W25" s="91" ph="1">
        <f>W24*47.051*LOOKUP(W26,密度!$A$2:$A$50,密度!$B$2:$B$50)</f>
        <v>15722.293969299999</v>
      </c>
      <c r="X25" s="91" ph="1">
        <f>X24*47.051*LOOKUP(X26,密度!$A$2:$A$61,密度!$I$2:$I$61)</f>
        <v>174886.61438350001</v>
      </c>
      <c r="Y25" s="91" ph="1">
        <f>Y24*47.051*LOOKUP(Y26,密度!$A$2:$A$50,密度!$L$2:$L$50)</f>
        <v>7849.4242280000008</v>
      </c>
      <c r="Z25" s="232"/>
      <c r="AA25" s="233"/>
      <c r="AB25" s="233"/>
      <c r="AC25" s="233"/>
      <c r="AD25" s="233"/>
      <c r="AE25" s="234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38" ph="1"/>
      <c r="C26" s="68" t="s" ph="1">
        <v>179</v>
      </c>
      <c r="D26" s="74">
        <v>25</v>
      </c>
      <c r="E26" s="74">
        <v>25</v>
      </c>
      <c r="F26" s="74">
        <v>30</v>
      </c>
      <c r="G26" s="74">
        <v>30</v>
      </c>
      <c r="H26" s="74">
        <v>31</v>
      </c>
      <c r="I26" s="74">
        <v>30</v>
      </c>
      <c r="J26" s="74">
        <v>31</v>
      </c>
      <c r="K26" s="74">
        <v>29</v>
      </c>
      <c r="L26" s="74">
        <v>30</v>
      </c>
      <c r="M26" s="74">
        <v>31</v>
      </c>
      <c r="N26" s="74">
        <v>30</v>
      </c>
      <c r="O26" s="74">
        <v>29</v>
      </c>
      <c r="P26" s="74">
        <v>29</v>
      </c>
      <c r="Q26" s="93">
        <v>30</v>
      </c>
      <c r="R26" s="74">
        <v>30</v>
      </c>
      <c r="S26" s="74">
        <v>29</v>
      </c>
      <c r="T26" s="74">
        <v>28</v>
      </c>
      <c r="U26" s="74">
        <v>30</v>
      </c>
      <c r="V26" s="74">
        <v>32</v>
      </c>
      <c r="W26" s="74">
        <v>30</v>
      </c>
      <c r="X26" s="74">
        <v>32</v>
      </c>
      <c r="Y26" s="74">
        <v>30</v>
      </c>
      <c r="Z26" s="232"/>
      <c r="AA26" s="233"/>
      <c r="AB26" s="233"/>
      <c r="AC26" s="233"/>
      <c r="AD26" s="233"/>
      <c r="AE26" s="234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38" ph="1">
        <v>0.66666666666666663</v>
      </c>
      <c r="C27" s="157" t="s" ph="1">
        <v>180</v>
      </c>
      <c r="D27" s="71">
        <v>3.47</v>
      </c>
      <c r="E27" s="71">
        <v>5.59</v>
      </c>
      <c r="F27" s="71">
        <v>1100</v>
      </c>
      <c r="G27" s="71">
        <v>2711</v>
      </c>
      <c r="H27" s="71">
        <v>2457</v>
      </c>
      <c r="I27" s="71">
        <v>2407</v>
      </c>
      <c r="J27" s="71">
        <v>298</v>
      </c>
      <c r="K27" s="71">
        <v>324</v>
      </c>
      <c r="L27" s="71">
        <v>295</v>
      </c>
      <c r="M27" s="71">
        <v>321</v>
      </c>
      <c r="N27" s="71">
        <v>324</v>
      </c>
      <c r="O27" s="71">
        <v>338</v>
      </c>
      <c r="P27" s="71">
        <v>369</v>
      </c>
      <c r="Q27" s="90">
        <v>3217</v>
      </c>
      <c r="R27" s="71">
        <v>284</v>
      </c>
      <c r="S27" s="71">
        <v>2358</v>
      </c>
      <c r="T27" s="71">
        <v>417</v>
      </c>
      <c r="U27" s="71">
        <v>5726</v>
      </c>
      <c r="V27" s="71">
        <v>733</v>
      </c>
      <c r="W27" s="71">
        <v>427</v>
      </c>
      <c r="X27" s="71">
        <v>3830</v>
      </c>
      <c r="Y27" s="71">
        <v>173</v>
      </c>
      <c r="Z27" s="232"/>
      <c r="AA27" s="233"/>
      <c r="AB27" s="233"/>
      <c r="AC27" s="233"/>
      <c r="AD27" s="233"/>
      <c r="AE27" s="234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38" ph="1"/>
      <c r="C28" s="157" t="s" ph="1">
        <v>178</v>
      </c>
      <c r="D28" s="91" ph="1">
        <f>D27*268.68*LOOKUP(D29,密度!$A$2:$A$50,密度!$Q$2:$Q$50)+IF(D27&lt;=0,0,1566*LOOKUP(D29,密度!$A$2:$A$50,密度!$Q$2:$Q$50))</f>
        <v>2365.2590981040003</v>
      </c>
      <c r="E28" s="91" ph="1">
        <f>E27*268.68*LOOKUP(E29,密度!$A$2:$A$50,密度!$C$2:$C$50)+IF(E27&lt;=0,0,1566*LOOKUP(E29,密度!$A$2:$A$50,密度!$C$2:$C$50))</f>
        <v>3402.0178186799999</v>
      </c>
      <c r="F28" s="91" ph="1">
        <f>F27*11.702*LOOKUP(F29,密度!$A$2:$A$50,密度!$Q$2:$Q$50)</f>
        <v>12133.078276</v>
      </c>
      <c r="G28" s="91" ph="1">
        <f>G27*18.322*LOOKUP(G29,密度!$A$2:$A$50,密度!$B$2:$B$50)</f>
        <v>38465.177484799999</v>
      </c>
      <c r="H28" s="91" ph="1">
        <f>H27*18.322*LOOKUP(H29,密度!$A$2:$A$50,密度!$B$2:$B$50)</f>
        <v>34861.284057599994</v>
      </c>
      <c r="I28" s="91" ph="1">
        <f>I27*18.322*LOOKUP(I29,密度!$A$2:$A$50,密度!$Q$2:$Q$50)</f>
        <v>41510.117077499999</v>
      </c>
      <c r="J28" s="91" ph="1">
        <f>J27*18.322*LOOKUP(J29,密度!$A$2:$A$50,密度!$Q$2:$Q$50)</f>
        <v>5146.4453264800004</v>
      </c>
      <c r="K28" s="91" ph="1">
        <f>K27*18.322*LOOKUP(K29,密度!$A$2:$A$50,密度!$Q$2:$Q$50)</f>
        <v>5599.9162922399992</v>
      </c>
      <c r="L28" s="91" ph="1">
        <f>L27*18.322*LOOKUP(L29,密度!$A$2:$A$50,密度!$Q$2:$Q$50)</f>
        <v>5094.6354741999994</v>
      </c>
      <c r="M28" s="91" ph="1">
        <f>M27*18.322*LOOKUP(M29,密度!$A$2:$A$50,密度!$Q$2:$Q$50)</f>
        <v>5543.6541939600002</v>
      </c>
      <c r="N28" s="91" ph="1">
        <f>N27*18.322*LOOKUP(N29,密度!$A$2:$A$50,密度!$Q$2:$Q$50)</f>
        <v>5599.9162922399992</v>
      </c>
      <c r="O28" s="91" ph="1">
        <f>O27*18.322*LOOKUP(O29,密度!$A$2:$A$50,密度!$C$2:$C$50)</f>
        <v>6843.703063599999</v>
      </c>
      <c r="P28" s="91" ph="1">
        <f>P27*11.702*LOOKUP(P29,密度!$A$2:$A$50,密度!$B$2:$B$50)</f>
        <v>3343.8886271999995</v>
      </c>
      <c r="Q28" s="92" ph="1">
        <f>Q27*18.322*LOOKUP(Q29,密度!$A$2:$A$50,密度!$B$2:$B$50)</f>
        <v>45544.386039800003</v>
      </c>
      <c r="R28" s="91" ph="1">
        <f>R27*35.891*LOOKUP(R29,密度!$A$2:$A$50,密度!$C$2:$C$50)</f>
        <v>11221.5221396</v>
      </c>
      <c r="S28" s="91" ph="1">
        <f>S27*35.891*LOOKUP(S29,密度!$A$2:$A$50,密度!$B$2:$B$50)</f>
        <v>65538.229363200007</v>
      </c>
      <c r="T28" s="91" ph="1">
        <f>T27*35.891*LOOKUP(T29,密度!$A$2:$A$50,密度!$Q$2:$Q$50)</f>
        <v>14107.167871259999</v>
      </c>
      <c r="U28" s="91" ph="1">
        <f>U27*35.891</f>
        <v>205511.86599999998</v>
      </c>
      <c r="V28" s="91" ph="1">
        <f>V27*47.051*LOOKUP(V29,密度!$A$2:$A$50,密度!$B$2:$B$50)</f>
        <v>26676.7642505</v>
      </c>
      <c r="W28" s="91" ph="1">
        <f>W27*47.051*LOOKUP(W29,密度!$A$2:$A$50,密度!$B$2:$B$50)</f>
        <v>15540.2160095</v>
      </c>
      <c r="X28" s="91" ph="1">
        <f>X27*47.051*LOOKUP(X29,密度!$A$2:$A$61,密度!$I$2:$I$61)</f>
        <v>186224.18802200005</v>
      </c>
      <c r="Y28" s="91" ph="1">
        <f>Y27*47.051*LOOKUP(Y29,密度!$A$2:$A$50,密度!$L$2:$L$50)</f>
        <v>7553.755744000001</v>
      </c>
      <c r="Z28" s="232"/>
      <c r="AA28" s="233"/>
      <c r="AB28" s="233"/>
      <c r="AC28" s="233"/>
      <c r="AD28" s="233"/>
      <c r="AE28" s="234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38" ph="1"/>
      <c r="C29" s="157" t="s" ph="1">
        <v>179</v>
      </c>
      <c r="D29" s="74">
        <v>25</v>
      </c>
      <c r="E29" s="74">
        <v>25</v>
      </c>
      <c r="F29" s="74">
        <v>31</v>
      </c>
      <c r="G29" s="74">
        <v>31</v>
      </c>
      <c r="H29" s="74">
        <v>31</v>
      </c>
      <c r="I29" s="74">
        <v>33</v>
      </c>
      <c r="J29" s="74">
        <v>31</v>
      </c>
      <c r="K29" s="74">
        <v>30</v>
      </c>
      <c r="L29" s="74">
        <v>31</v>
      </c>
      <c r="M29" s="74">
        <v>31</v>
      </c>
      <c r="N29" s="74">
        <v>30</v>
      </c>
      <c r="O29" s="74">
        <v>30</v>
      </c>
      <c r="P29" s="74">
        <v>31</v>
      </c>
      <c r="Q29" s="93">
        <v>33</v>
      </c>
      <c r="R29" s="74">
        <v>34</v>
      </c>
      <c r="S29" s="74">
        <v>31</v>
      </c>
      <c r="T29" s="74">
        <v>31</v>
      </c>
      <c r="U29" s="74">
        <v>30</v>
      </c>
      <c r="V29" s="74">
        <v>32</v>
      </c>
      <c r="W29" s="74">
        <v>32</v>
      </c>
      <c r="X29" s="74">
        <v>33</v>
      </c>
      <c r="Y29" s="74">
        <v>34</v>
      </c>
      <c r="Z29" s="235"/>
      <c r="AA29" s="236"/>
      <c r="AB29" s="236"/>
      <c r="AC29" s="236"/>
      <c r="AD29" s="236"/>
      <c r="AE29" s="237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1" t="s" ph="1">
        <v>35</v>
      </c>
      <c r="C31" s="222" ph="1"/>
      <c r="D31" s="225" t="s" ph="1">
        <v>9</v>
      </c>
      <c r="E31" s="200" ph="1"/>
      <c r="F31" s="201" ph="1"/>
      <c r="G31" s="225" t="s" ph="1">
        <v>18</v>
      </c>
      <c r="H31" s="200" ph="1"/>
      <c r="I31" s="201" ph="1"/>
      <c r="J31" s="199" t="s" ph="1">
        <v>1</v>
      </c>
      <c r="K31" s="200" ph="1"/>
      <c r="L31" s="201" ph="1"/>
      <c r="M31" s="199" t="s" ph="1">
        <v>7</v>
      </c>
      <c r="N31" s="200" ph="1"/>
      <c r="O31" s="201" ph="1"/>
      <c r="P31" s="199" t="s" ph="1">
        <v>41</v>
      </c>
      <c r="Q31" s="200"/>
      <c r="R31" s="201"/>
      <c r="S31" s="199" t="s" ph="1">
        <v>2</v>
      </c>
      <c r="T31" s="200"/>
      <c r="U31" s="201"/>
      <c r="V31" s="199" t="s" ph="1">
        <v>71</v>
      </c>
      <c r="W31" s="200" ph="1"/>
      <c r="X31" s="201" ph="1"/>
      <c r="Y31" s="199" t="s" ph="1">
        <v>3</v>
      </c>
      <c r="Z31" s="200" ph="1"/>
      <c r="AA31" s="201" ph="1"/>
      <c r="AB31" s="202" t="s">
        <v>42</v>
      </c>
      <c r="AC31" s="203"/>
      <c r="AD31" s="203"/>
      <c r="AE31" s="204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3" ph="1"/>
      <c r="C32" s="224" ph="1"/>
      <c r="D32" s="96" t="s" ph="1">
        <v>4</v>
      </c>
      <c r="E32" s="157" t="s" ph="1">
        <v>5</v>
      </c>
      <c r="F32" s="158" t="s" ph="1">
        <v>43</v>
      </c>
      <c r="G32" s="97" t="s" ph="1">
        <v>4</v>
      </c>
      <c r="H32" s="157" t="s" ph="1">
        <v>5</v>
      </c>
      <c r="I32" s="158" t="s" ph="1">
        <v>43</v>
      </c>
      <c r="J32" s="97" t="s" ph="1">
        <v>4</v>
      </c>
      <c r="K32" s="157" t="s" ph="1">
        <v>5</v>
      </c>
      <c r="L32" s="158" t="s" ph="1">
        <v>43</v>
      </c>
      <c r="M32" s="97" t="s" ph="1">
        <v>4</v>
      </c>
      <c r="N32" s="157" t="s" ph="1">
        <v>5</v>
      </c>
      <c r="O32" s="158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7" t="s" ph="1">
        <v>5</v>
      </c>
      <c r="U32" s="99" t="s" ph="1">
        <v>43</v>
      </c>
      <c r="V32" s="97" t="s" ph="1">
        <v>4</v>
      </c>
      <c r="W32" s="157" t="s" ph="1">
        <v>5</v>
      </c>
      <c r="X32" s="99" t="s" ph="1">
        <v>43</v>
      </c>
      <c r="Y32" s="100" t="s" ph="1">
        <v>4</v>
      </c>
      <c r="Z32" s="157" t="s" ph="1">
        <v>5</v>
      </c>
      <c r="AA32" s="158" t="s" ph="1">
        <v>43</v>
      </c>
      <c r="AB32" s="97" t="s" ph="1">
        <v>85</v>
      </c>
      <c r="AC32" s="157" t="s" ph="1">
        <v>84</v>
      </c>
      <c r="AD32" s="205" t="s" ph="1">
        <v>83</v>
      </c>
      <c r="AE32" s="206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7" t="s" ph="1">
        <v>181</v>
      </c>
      <c r="C33" s="208" ph="1"/>
      <c r="D33" s="187" ph="1">
        <f>AA10+AB10+Z19</f>
        <v>96497.419633200014</v>
      </c>
      <c r="E33" s="187" ph="1">
        <f>M10+I10</f>
        <v>149138.79986879998</v>
      </c>
      <c r="F33" s="211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1522252632456786910111213141516171819202123456789101112131415161718192022232424356789101112131415161718192021222345678910111213141516171819202345678910111213149101516171819222123234567891012131415161711181920212224252345678910111213114[[#This Row],[F25]]</f>
        <v>3880</v>
      </c>
      <c r="G33" s="213" ph="1">
        <f>N19</f>
        <v>5357.8347695840002</v>
      </c>
      <c r="H33" s="187" ph="1">
        <f>M19</f>
        <v>33019.031578536</v>
      </c>
      <c r="I33" s="191" ph="1">
        <v>0</v>
      </c>
      <c r="J33" s="195" ph="1">
        <f>F10+O28</f>
        <v>224960.03513199999</v>
      </c>
      <c r="K33" s="187" ph="1">
        <f>O10+K10+E28+R28</f>
        <v>39873.421144680004</v>
      </c>
      <c r="L33" s="197" ph="1">
        <f>K19</f>
        <v>36703.726083599999</v>
      </c>
      <c r="M33" s="195" ph="1">
        <f>G10+H10+W28+S28+V28+E10+R19+P28+Q28</f>
        <v>654050.76876720018</v>
      </c>
      <c r="N33" s="187" ph="1">
        <f>L10+P10++G28+H28+AD19+AE19</f>
        <v>145226.03490199998</v>
      </c>
      <c r="O33" s="191" ph="1">
        <f>G19</f>
        <v>21321.041308159998</v>
      </c>
      <c r="P33" s="195" ph="1">
        <f>L19</f>
        <v>28007.743350750003</v>
      </c>
      <c r="Q33" s="187" ph="1">
        <f>J10+N10</f>
        <v>100144.5047696</v>
      </c>
      <c r="R33" s="191" ph="1">
        <f>BE23</f>
        <v>890</v>
      </c>
      <c r="S33" s="195" ph="1">
        <f>X28</f>
        <v>186224.18802200005</v>
      </c>
      <c r="T33" s="187" ph="1">
        <f>X19</f>
        <v>13866.667016160001</v>
      </c>
      <c r="U33" s="176" ph="1">
        <f>BE21</f>
        <v>730</v>
      </c>
      <c r="V33" s="189" ph="1">
        <f ca="1">P19+Q19+S19+M28+N28+J28+D10+AC10+D19+E19+H19+J19+O19+V19+W19+K28+L28</f>
        <v>663531.16851181211</v>
      </c>
      <c r="W33" s="189" ph="1">
        <f>D28+F28+T28+I28</f>
        <v>70115.622322864001</v>
      </c>
      <c r="X33" s="191" ph="1">
        <f>BE29+BE31</f>
        <v>10200</v>
      </c>
      <c r="Y33" s="193" ph="1">
        <f>+Q10+R10+S10+T10+U10+V10+W10+X10+Y10</f>
        <v>153214.73243999999</v>
      </c>
      <c r="Z33" s="174" ph="1">
        <f>T19+U19+Y28+Z10</f>
        <v>100581.242227864</v>
      </c>
      <c r="AA33" s="176" ph="1">
        <f>BE19</f>
        <v>1440</v>
      </c>
      <c r="AB33" s="178" ph="1">
        <f>I19</f>
        <v>28961.658496799995</v>
      </c>
      <c r="AC33" s="180" ph="1">
        <f>AD10+AB19</f>
        <v>65678.549849200004</v>
      </c>
      <c r="AD33" s="182" ph="1">
        <v>0</v>
      </c>
      <c r="AE33" s="183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9" ph="1"/>
      <c r="C34" s="210" ph="1"/>
      <c r="D34" s="188" ph="1"/>
      <c r="E34" s="188" ph="1"/>
      <c r="F34" s="212" ph="1"/>
      <c r="G34" s="214" ph="1"/>
      <c r="H34" s="188" ph="1"/>
      <c r="I34" s="192" ph="1"/>
      <c r="J34" s="196" ph="1"/>
      <c r="K34" s="188" ph="1"/>
      <c r="L34" s="198" ph="1"/>
      <c r="M34" s="196" ph="1"/>
      <c r="N34" s="188" ph="1"/>
      <c r="O34" s="192" ph="1"/>
      <c r="P34" s="196" ph="1"/>
      <c r="Q34" s="188" ph="1"/>
      <c r="R34" s="192" ph="1"/>
      <c r="S34" s="196" ph="1"/>
      <c r="T34" s="188"/>
      <c r="U34" s="177"/>
      <c r="V34" s="190" ph="1"/>
      <c r="W34" s="190" ph="1"/>
      <c r="X34" s="192" ph="1"/>
      <c r="Y34" s="194" ph="1"/>
      <c r="Z34" s="175" ph="1"/>
      <c r="AA34" s="177" ph="1"/>
      <c r="AB34" s="179"/>
      <c r="AC34" s="181"/>
      <c r="AD34" s="184"/>
      <c r="AE34" s="185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6" t="s" ph="1">
        <v>631</v>
      </c>
      <c r="AD35" s="186"/>
      <c r="AE35" s="186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2" t="s" ph="1">
        <v>183</v>
      </c>
      <c r="J36" s="172" ph="1"/>
      <c r="K36" s="101" ph="1"/>
      <c r="P36" s="101" ph="1"/>
      <c r="R36" s="172" t="s" ph="1">
        <v>184</v>
      </c>
      <c r="S36" s="172" ph="1"/>
      <c r="Y36" s="102" ph="1"/>
      <c r="Z36" s="159" t="s" ph="1">
        <v>185</v>
      </c>
      <c r="AA36" s="159" ph="1"/>
      <c r="AB36" s="173" t="s" ph="1">
        <v>643</v>
      </c>
      <c r="AC36" s="173" ph="1"/>
      <c r="AD36" s="173" ph="1"/>
      <c r="AE36" s="173" ph="1"/>
      <c r="BA36" s="64" ph="1">
        <v>2270</v>
      </c>
    </row>
    <row r="37" spans="1:57" s="159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9" t="s" ph="1">
        <v>342</v>
      </c>
      <c r="AI37" s="159" t="s" ph="1">
        <v>209</v>
      </c>
      <c r="AJ37" s="159" t="s" ph="1">
        <v>210</v>
      </c>
      <c r="AK37" s="159" t="s" ph="1">
        <v>211</v>
      </c>
      <c r="AM37" s="159" t="s" ph="1">
        <v>210</v>
      </c>
      <c r="AN37" s="159" t="s" ph="1">
        <v>211</v>
      </c>
      <c r="AO37" s="159" t="s" ph="1">
        <v>212</v>
      </c>
      <c r="AP37" s="159" t="s" ph="1">
        <v>210</v>
      </c>
      <c r="AQ37" s="159" t="s" ph="1">
        <v>211</v>
      </c>
      <c r="AR37" s="159" t="s" ph="1">
        <v>212</v>
      </c>
      <c r="AS37" s="159" t="s" ph="1">
        <v>210</v>
      </c>
      <c r="AT37" s="159" t="s" ph="1">
        <v>211</v>
      </c>
      <c r="AU37" s="159" t="s" ph="1">
        <v>212</v>
      </c>
      <c r="AV37" s="159" t="s" ph="1">
        <v>210</v>
      </c>
      <c r="AW37" s="159" t="s" ph="1">
        <v>211</v>
      </c>
      <c r="AX37" s="159" t="s" ph="1">
        <v>212</v>
      </c>
      <c r="AY37" s="159" t="s" ph="1">
        <v>211</v>
      </c>
      <c r="AZ37" s="159" t="s" ph="1">
        <v>213</v>
      </c>
      <c r="BD37" s="159" t="s" ph="1">
        <v>305</v>
      </c>
      <c r="BE37" s="159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P56" s="64" ph="1">
        <v>20260804</v>
      </c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1457" priority="102">
      <formula>ABS(D$7-D$10)&gt;=1000</formula>
    </cfRule>
  </conditionalFormatting>
  <conditionalFormatting sqref="E4 E6:E11">
    <cfRule type="expression" dxfId="1456" priority="101">
      <formula>ABS(E$7-E$10)&gt;=1000</formula>
    </cfRule>
  </conditionalFormatting>
  <conditionalFormatting sqref="F4:F11">
    <cfRule type="expression" dxfId="1455" priority="100">
      <formula>ABS(F$7-F$10)&gt;=1000</formula>
    </cfRule>
  </conditionalFormatting>
  <conditionalFormatting sqref="G4:G11">
    <cfRule type="expression" dxfId="1454" priority="99">
      <formula>ABS(G$7-G$10)&gt;=1000</formula>
    </cfRule>
  </conditionalFormatting>
  <conditionalFormatting sqref="H4:H11">
    <cfRule type="expression" dxfId="1453" priority="98">
      <formula>ABS(H$7-H$10)&gt;=1000</formula>
    </cfRule>
  </conditionalFormatting>
  <conditionalFormatting sqref="I4:I11">
    <cfRule type="expression" dxfId="1452" priority="97">
      <formula>ABS(I$7-I$10)&gt;=1000</formula>
    </cfRule>
  </conditionalFormatting>
  <conditionalFormatting sqref="J4:J11">
    <cfRule type="expression" dxfId="1451" priority="96">
      <formula>ABS(J$7-J$10)&gt;=1000</formula>
    </cfRule>
  </conditionalFormatting>
  <conditionalFormatting sqref="K4:K11">
    <cfRule type="expression" dxfId="1450" priority="95">
      <formula>ABS(K$7-K$10)&gt;=1000</formula>
    </cfRule>
  </conditionalFormatting>
  <conditionalFormatting sqref="L4:L11">
    <cfRule type="expression" dxfId="1449" priority="94">
      <formula>ABS(L$7-L$10)&gt;=1000</formula>
    </cfRule>
  </conditionalFormatting>
  <conditionalFormatting sqref="M4 M6:M11">
    <cfRule type="expression" dxfId="1448" priority="93">
      <formula>ABS(M$7-M$10)&gt;=1000</formula>
    </cfRule>
  </conditionalFormatting>
  <conditionalFormatting sqref="N4 N6:N11">
    <cfRule type="expression" dxfId="1447" priority="92">
      <formula>ABS(N$7-N$10)&gt;=1000</formula>
    </cfRule>
  </conditionalFormatting>
  <conditionalFormatting sqref="O4 O6:O11">
    <cfRule type="expression" dxfId="1446" priority="91">
      <formula>ABS(O$7-O$10)&gt;=1000</formula>
    </cfRule>
  </conditionalFormatting>
  <conditionalFormatting sqref="P4 P6:P11">
    <cfRule type="expression" dxfId="1445" priority="90">
      <formula>ABS(P$7-P$10)&gt;=1000</formula>
    </cfRule>
  </conditionalFormatting>
  <conditionalFormatting sqref="Q4:Q11">
    <cfRule type="expression" dxfId="1444" priority="89">
      <formula>ABS(Q$7-Q$10)&gt;=1000</formula>
    </cfRule>
  </conditionalFormatting>
  <conditionalFormatting sqref="R4:R11">
    <cfRule type="expression" dxfId="1443" priority="88">
      <formula>ABS(R$7-R$10)&gt;=1000</formula>
    </cfRule>
  </conditionalFormatting>
  <conditionalFormatting sqref="S4:S11">
    <cfRule type="expression" dxfId="1442" priority="87">
      <formula>ABS(S$7-S$10)&gt;=1000</formula>
    </cfRule>
  </conditionalFormatting>
  <conditionalFormatting sqref="T4:T9 T11">
    <cfRule type="expression" dxfId="1441" priority="86">
      <formula>ABS(T$7-T$10)&gt;=1000</formula>
    </cfRule>
  </conditionalFormatting>
  <conditionalFormatting sqref="U4:U9 U11">
    <cfRule type="expression" dxfId="1440" priority="85">
      <formula>ABS(U$7-U$10)&gt;=1000</formula>
    </cfRule>
  </conditionalFormatting>
  <conditionalFormatting sqref="V4:V9 V11">
    <cfRule type="expression" dxfId="1439" priority="84">
      <formula>ABS(V$7-V$10)&gt;=1000</formula>
    </cfRule>
  </conditionalFormatting>
  <conditionalFormatting sqref="W4:W9 W11">
    <cfRule type="expression" dxfId="1438" priority="83">
      <formula>ABS(W$7-W$10)&gt;=1000</formula>
    </cfRule>
  </conditionalFormatting>
  <conditionalFormatting sqref="X4:X9 X11">
    <cfRule type="expression" dxfId="1437" priority="82">
      <formula>ABS(X$7-X$10)&gt;=1000</formula>
    </cfRule>
  </conditionalFormatting>
  <conditionalFormatting sqref="Y4:Y9 Y11">
    <cfRule type="expression" dxfId="1436" priority="81">
      <formula>ABS(Y$7-Y$10)&gt;=1000</formula>
    </cfRule>
  </conditionalFormatting>
  <conditionalFormatting sqref="Z4:Z11">
    <cfRule type="expression" dxfId="1435" priority="80">
      <formula>ABS(Z$7-Z$10)&gt;=1000</formula>
    </cfRule>
  </conditionalFormatting>
  <conditionalFormatting sqref="AA4:AA11">
    <cfRule type="expression" dxfId="1434" priority="79">
      <formula>ABS(AA$7-AA$10)&gt;=1000</formula>
    </cfRule>
  </conditionalFormatting>
  <conditionalFormatting sqref="AB4:AB11">
    <cfRule type="expression" dxfId="1433" priority="78">
      <formula>ABS(AB$7-AB$10)&gt;=1000</formula>
    </cfRule>
  </conditionalFormatting>
  <conditionalFormatting sqref="AC4 AC6:AC11">
    <cfRule type="expression" dxfId="1432" priority="77">
      <formula>ABS(AC$7-AC$10)&gt;=1000</formula>
    </cfRule>
  </conditionalFormatting>
  <conditionalFormatting sqref="AD4 AD6:AD11">
    <cfRule type="expression" dxfId="1431" priority="76">
      <formula>ABS(AD$7-AD$10)&gt;=1000</formula>
    </cfRule>
  </conditionalFormatting>
  <conditionalFormatting sqref="AE4 AE6:AE11">
    <cfRule type="expression" dxfId="1430" priority="75">
      <formula>ABS(AE$7-AE$10)&gt;=1000</formula>
    </cfRule>
  </conditionalFormatting>
  <conditionalFormatting sqref="D13:D20">
    <cfRule type="expression" dxfId="1429" priority="74">
      <formula>ABS(D$16-D$19)&gt;=1000</formula>
    </cfRule>
  </conditionalFormatting>
  <conditionalFormatting sqref="E13:E20">
    <cfRule type="expression" dxfId="1428" priority="73">
      <formula>ABS(E$16-E$19)&gt;=1000</formula>
    </cfRule>
  </conditionalFormatting>
  <conditionalFormatting sqref="F13 F15:F20">
    <cfRule type="expression" dxfId="1427" priority="72">
      <formula>ABS(F$16-F$19)&gt;=1000</formula>
    </cfRule>
  </conditionalFormatting>
  <conditionalFormatting sqref="G13:G20">
    <cfRule type="expression" dxfId="1426" priority="71">
      <formula>ABS(G$16-G$19)&gt;=1000</formula>
    </cfRule>
  </conditionalFormatting>
  <conditionalFormatting sqref="H13 H15:H20">
    <cfRule type="expression" dxfId="1425" priority="70">
      <formula>ABS(H$16-H$19)&gt;=1000</formula>
    </cfRule>
  </conditionalFormatting>
  <conditionalFormatting sqref="I13:I20">
    <cfRule type="expression" dxfId="1424" priority="69">
      <formula>ABS(I$16-I$19)&gt;=1000</formula>
    </cfRule>
  </conditionalFormatting>
  <conditionalFormatting sqref="J13:J20">
    <cfRule type="expression" dxfId="1423" priority="68">
      <formula>ABS(J$16-J$19)&gt;=1000</formula>
    </cfRule>
  </conditionalFormatting>
  <conditionalFormatting sqref="L13:L20">
    <cfRule type="expression" dxfId="1422" priority="67">
      <formula>ABS(L$16-L$19)&gt;=1000</formula>
    </cfRule>
  </conditionalFormatting>
  <conditionalFormatting sqref="M13 M15 M17:M18 M20">
    <cfRule type="expression" dxfId="1421" priority="66">
      <formula>ABS(M$16-M$19)&gt;=1000</formula>
    </cfRule>
  </conditionalFormatting>
  <conditionalFormatting sqref="N13:N20">
    <cfRule type="expression" dxfId="1420" priority="65">
      <formula>ABS(N$16-N$19)&gt;=1000</formula>
    </cfRule>
  </conditionalFormatting>
  <conditionalFormatting sqref="O13:O20">
    <cfRule type="expression" dxfId="1419" priority="64">
      <formula>ABS(O$16-O$19)&gt;=1000</formula>
    </cfRule>
  </conditionalFormatting>
  <conditionalFormatting sqref="P13:P20">
    <cfRule type="expression" dxfId="1418" priority="63">
      <formula>ABS(P$16-P$19)&gt;=1000</formula>
    </cfRule>
  </conditionalFormatting>
  <conditionalFormatting sqref="Q13 Q15:Q20">
    <cfRule type="expression" dxfId="1417" priority="62">
      <formula>ABS(Q$16-Q$19)&gt;=1000</formula>
    </cfRule>
  </conditionalFormatting>
  <conditionalFormatting sqref="R13:R20">
    <cfRule type="expression" dxfId="1416" priority="61">
      <formula>ABS(R$16-R$19)&gt;=1000</formula>
    </cfRule>
  </conditionalFormatting>
  <conditionalFormatting sqref="S13:S20">
    <cfRule type="expression" dxfId="1415" priority="60">
      <formula>ABS(S$16-S$19)&gt;=1000</formula>
    </cfRule>
  </conditionalFormatting>
  <conditionalFormatting sqref="T13:T15 T17:T20">
    <cfRule type="expression" dxfId="1414" priority="59">
      <formula>ABS(T$16-T$19)&gt;=1000</formula>
    </cfRule>
  </conditionalFormatting>
  <conditionalFormatting sqref="U13:U20">
    <cfRule type="expression" dxfId="1413" priority="58">
      <formula>ABS(U$16-U$19)&gt;=1000</formula>
    </cfRule>
  </conditionalFormatting>
  <conditionalFormatting sqref="V13:V20">
    <cfRule type="expression" dxfId="1412" priority="57">
      <formula>ABS(V$16-V$19)&gt;=1000</formula>
    </cfRule>
  </conditionalFormatting>
  <conditionalFormatting sqref="W13 W20 W15:W18">
    <cfRule type="expression" dxfId="1411" priority="56">
      <formula>ABS(W$16-W$19)&gt;=1000</formula>
    </cfRule>
  </conditionalFormatting>
  <conditionalFormatting sqref="X13 X15:X20 Y19">
    <cfRule type="expression" dxfId="1410" priority="55">
      <formula>ABS(X$16-X$19)&gt;=1000</formula>
    </cfRule>
  </conditionalFormatting>
  <conditionalFormatting sqref="Y13 Y15:Y18 Y20">
    <cfRule type="expression" dxfId="1409" priority="54">
      <formula>ABS(Y$16-Y$19)&gt;=1000</formula>
    </cfRule>
  </conditionalFormatting>
  <conditionalFormatting sqref="Z13:Z20">
    <cfRule type="expression" dxfId="1408" priority="53">
      <formula>ABS(Z$16-Z$19)&gt;=1000</formula>
    </cfRule>
  </conditionalFormatting>
  <conditionalFormatting sqref="AA13:AA20">
    <cfRule type="expression" dxfId="1407" priority="52">
      <formula>ABS(AA$16-AA$19)&gt;=1000</formula>
    </cfRule>
  </conditionalFormatting>
  <conditionalFormatting sqref="AB13 AB15:AB20">
    <cfRule type="expression" dxfId="1406" priority="51">
      <formula>ABS(AB$16-AB$19)&gt;=1000</formula>
    </cfRule>
  </conditionalFormatting>
  <conditionalFormatting sqref="AC13 AC15:AC20">
    <cfRule type="expression" dxfId="1405" priority="50">
      <formula>ABS(AC$16-AC$19)&gt;=1000</formula>
    </cfRule>
  </conditionalFormatting>
  <conditionalFormatting sqref="AD13:AD20">
    <cfRule type="expression" dxfId="1404" priority="49">
      <formula>ABS(AD$16-AD$19)&gt;=1000</formula>
    </cfRule>
  </conditionalFormatting>
  <conditionalFormatting sqref="AE13:AE20">
    <cfRule type="expression" dxfId="1403" priority="48">
      <formula>ABS(AE$16-AE$19)&gt;=1000</formula>
    </cfRule>
  </conditionalFormatting>
  <conditionalFormatting sqref="D22:D29">
    <cfRule type="expression" dxfId="1402" priority="47">
      <formula>ABS(D$25-D$28)&gt;=1000</formula>
    </cfRule>
  </conditionalFormatting>
  <conditionalFormatting sqref="E22:E29">
    <cfRule type="expression" dxfId="1401" priority="46">
      <formula>ABS(E$25-E$28)&gt;=1000</formula>
    </cfRule>
  </conditionalFormatting>
  <conditionalFormatting sqref="F22:F29">
    <cfRule type="expression" dxfId="1400" priority="45">
      <formula>ABS(F$25-F$28)&gt;=1000</formula>
    </cfRule>
  </conditionalFormatting>
  <conditionalFormatting sqref="G22:G29">
    <cfRule type="expression" dxfId="1399" priority="44">
      <formula>ABS(G$25-G$28)&gt;=1000</formula>
    </cfRule>
  </conditionalFormatting>
  <conditionalFormatting sqref="H22:H29">
    <cfRule type="expression" dxfId="1398" priority="43">
      <formula>ABS(H$25-H$28)&gt;=1000</formula>
    </cfRule>
  </conditionalFormatting>
  <conditionalFormatting sqref="I22 I24:I29">
    <cfRule type="expression" dxfId="1397" priority="42">
      <formula>ABS(I$25-I$28)&gt;=1000</formula>
    </cfRule>
  </conditionalFormatting>
  <conditionalFormatting sqref="J22:J29 K22">
    <cfRule type="expression" dxfId="1396" priority="41">
      <formula>ABS(J$25-J$28)&gt;=1000</formula>
    </cfRule>
  </conditionalFormatting>
  <conditionalFormatting sqref="K23:K29 L25 L28">
    <cfRule type="expression" dxfId="1395" priority="40">
      <formula>ABS(K$25-K$28)&gt;=1000</formula>
    </cfRule>
  </conditionalFormatting>
  <conditionalFormatting sqref="L22 L26:L27 L29 L24">
    <cfRule type="expression" dxfId="1394" priority="39">
      <formula>ABS(L$25-L$28)&gt;=1000</formula>
    </cfRule>
  </conditionalFormatting>
  <conditionalFormatting sqref="M22:M29">
    <cfRule type="expression" dxfId="1393" priority="38">
      <formula>ABS(M$25-M$28)&gt;=1000</formula>
    </cfRule>
  </conditionalFormatting>
  <conditionalFormatting sqref="N22:N29">
    <cfRule type="expression" dxfId="1392" priority="37">
      <formula>ABS(N$25-N$28)&gt;=1000</formula>
    </cfRule>
  </conditionalFormatting>
  <conditionalFormatting sqref="O22 O24:O29">
    <cfRule type="expression" dxfId="1391" priority="36">
      <formula>ABS(O$25-O$28)&gt;=1000</formula>
    </cfRule>
  </conditionalFormatting>
  <conditionalFormatting sqref="P22:P29">
    <cfRule type="expression" dxfId="1390" priority="35">
      <formula>ABS(P$25-P$28)&gt;=1000</formula>
    </cfRule>
  </conditionalFormatting>
  <conditionalFormatting sqref="Q22:Q29">
    <cfRule type="expression" dxfId="1389" priority="34">
      <formula>ABS(Q$25-Q$28)&gt;=1000</formula>
    </cfRule>
  </conditionalFormatting>
  <conditionalFormatting sqref="R22:R29">
    <cfRule type="expression" dxfId="1388" priority="33">
      <formula>ABS(R$25-R$28)&gt;=1000</formula>
    </cfRule>
  </conditionalFormatting>
  <conditionalFormatting sqref="S22:S29">
    <cfRule type="expression" dxfId="1387" priority="32">
      <formula>ABS(S$25-S$28)&gt;=1000</formula>
    </cfRule>
  </conditionalFormatting>
  <conditionalFormatting sqref="T22:T29">
    <cfRule type="expression" dxfId="1386" priority="31">
      <formula>ABS(T$25-T$28)&gt;=1000</formula>
    </cfRule>
  </conditionalFormatting>
  <conditionalFormatting sqref="U22:U29">
    <cfRule type="expression" dxfId="1385" priority="30">
      <formula>ABS(U$25-U$28)&gt;=1000</formula>
    </cfRule>
  </conditionalFormatting>
  <conditionalFormatting sqref="V22:V29">
    <cfRule type="expression" dxfId="1384" priority="29">
      <formula>ABS(V$25-V$28)&gt;=1000</formula>
    </cfRule>
  </conditionalFormatting>
  <conditionalFormatting sqref="W22:W29">
    <cfRule type="expression" dxfId="1383" priority="28">
      <formula>ABS(W$25-W$28)&gt;=1000</formula>
    </cfRule>
  </conditionalFormatting>
  <conditionalFormatting sqref="X22:X29">
    <cfRule type="expression" dxfId="1382" priority="27">
      <formula>ABS(X$25-X$28)&gt;=1000</formula>
    </cfRule>
  </conditionalFormatting>
  <conditionalFormatting sqref="Y22:Y29">
    <cfRule type="expression" dxfId="1381" priority="26">
      <formula>ABS(Y$25-Y$28)&gt;=1000</formula>
    </cfRule>
  </conditionalFormatting>
  <conditionalFormatting sqref="I23">
    <cfRule type="expression" dxfId="1380" priority="25">
      <formula>ABS(I$25-I$28)&gt;=1000</formula>
    </cfRule>
  </conditionalFormatting>
  <conditionalFormatting sqref="Q14">
    <cfRule type="expression" dxfId="1379" priority="24">
      <formula>ABS(Q$16-Q$19)&gt;=1000</formula>
    </cfRule>
  </conditionalFormatting>
  <conditionalFormatting sqref="W14">
    <cfRule type="expression" dxfId="1378" priority="23">
      <formula>ABS(W$16-W$19)&gt;=1000</formula>
    </cfRule>
  </conditionalFormatting>
  <conditionalFormatting sqref="X14">
    <cfRule type="expression" dxfId="1377" priority="22">
      <formula>ABS(X$16-X$19)&gt;=1000</formula>
    </cfRule>
  </conditionalFormatting>
  <conditionalFormatting sqref="T10:Y10">
    <cfRule type="expression" dxfId="1376" priority="21">
      <formula>ABS(T$7-T$10)&gt;=1000</formula>
    </cfRule>
  </conditionalFormatting>
  <conditionalFormatting sqref="W19">
    <cfRule type="expression" dxfId="1375" priority="20">
      <formula>ABS(W$16-W$19)&gt;=1000</formula>
    </cfRule>
  </conditionalFormatting>
  <conditionalFormatting sqref="AC5">
    <cfRule type="expression" dxfId="1374" priority="19">
      <formula>ABS(AC$7-AC$10)&gt;=1000</formula>
    </cfRule>
  </conditionalFormatting>
  <conditionalFormatting sqref="M14">
    <cfRule type="expression" dxfId="1373" priority="18">
      <formula>ABS(M$16-M$19)&gt;=1000</formula>
    </cfRule>
  </conditionalFormatting>
  <conditionalFormatting sqref="M16">
    <cfRule type="expression" dxfId="1372" priority="17">
      <formula>ABS(M$16-M$19)&gt;=1000</formula>
    </cfRule>
  </conditionalFormatting>
  <conditionalFormatting sqref="M19">
    <cfRule type="expression" dxfId="1371" priority="16">
      <formula>ABS(M$16-M$19)&gt;=1000</formula>
    </cfRule>
  </conditionalFormatting>
  <conditionalFormatting sqref="K13:K20">
    <cfRule type="expression" dxfId="1370" priority="15">
      <formula>ABS(K$16-K$19)&gt;=1000</formula>
    </cfRule>
  </conditionalFormatting>
  <conditionalFormatting sqref="E5">
    <cfRule type="expression" dxfId="1369" priority="14">
      <formula>ABS(E$7-E$10)&gt;=1000</formula>
    </cfRule>
  </conditionalFormatting>
  <conditionalFormatting sqref="AB14:AC14">
    <cfRule type="expression" dxfId="1368" priority="13">
      <formula>ABS(AB$16-AB$19)&gt;=1000</formula>
    </cfRule>
  </conditionalFormatting>
  <conditionalFormatting sqref="M5">
    <cfRule type="expression" dxfId="1367" priority="12">
      <formula>ABS(M$7-M$10)&gt;=1000</formula>
    </cfRule>
  </conditionalFormatting>
  <conditionalFormatting sqref="N5">
    <cfRule type="expression" dxfId="1366" priority="11">
      <formula>ABS(N$7-N$10)&gt;=1000</formula>
    </cfRule>
  </conditionalFormatting>
  <conditionalFormatting sqref="O5">
    <cfRule type="expression" dxfId="1365" priority="10">
      <formula>ABS(O$7-O$10)&gt;=1000</formula>
    </cfRule>
  </conditionalFormatting>
  <conditionalFormatting sqref="P5">
    <cfRule type="expression" dxfId="1364" priority="9">
      <formula>ABS(P$7-P$10)&gt;=1000</formula>
    </cfRule>
  </conditionalFormatting>
  <conditionalFormatting sqref="L23">
    <cfRule type="expression" dxfId="1363" priority="8">
      <formula>ABS(L$25-L$28)&gt;=1000</formula>
    </cfRule>
  </conditionalFormatting>
  <conditionalFormatting sqref="Y14">
    <cfRule type="expression" dxfId="1362" priority="7">
      <formula>ABS(Y$16-Y$19)&gt;=1000</formula>
    </cfRule>
  </conditionalFormatting>
  <conditionalFormatting sqref="F14">
    <cfRule type="expression" dxfId="1361" priority="6">
      <formula>ABS(F$16-F$19)&gt;=1000</formula>
    </cfRule>
  </conditionalFormatting>
  <conditionalFormatting sqref="H14">
    <cfRule type="expression" dxfId="1360" priority="5">
      <formula>ABS(H$16-H$19)&gt;=1000</formula>
    </cfRule>
  </conditionalFormatting>
  <conditionalFormatting sqref="AD5">
    <cfRule type="expression" dxfId="1359" priority="4">
      <formula>ABS(AD$7-AD$10)&gt;=1000</formula>
    </cfRule>
  </conditionalFormatting>
  <conditionalFormatting sqref="AE5">
    <cfRule type="expression" dxfId="1358" priority="3">
      <formula>ABS(AE$7-AE$10)&gt;=1000</formula>
    </cfRule>
  </conditionalFormatting>
  <conditionalFormatting sqref="T16">
    <cfRule type="expression" dxfId="1357" priority="2">
      <formula>ABS(T$16-T$19)&gt;=1000</formula>
    </cfRule>
  </conditionalFormatting>
  <conditionalFormatting sqref="O23">
    <cfRule type="expression" dxfId="1356" priority="1">
      <formula>ABS(O$25-O$28)&gt;=1000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38881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956">
    <pageSetUpPr fitToPage="1"/>
  </sheetPr>
  <dimension ref="A1:CU223"/>
  <sheetViews>
    <sheetView view="pageBreakPreview" zoomScale="85" zoomScaleNormal="100" zoomScaleSheetLayoutView="85" workbookViewId="0">
      <selection activeCell="Z23" sqref="Z23:AE29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39" t="s" ph="1">
        <v>161</v>
      </c>
      <c r="C1" s="239" ph="1"/>
      <c r="D1" s="239" ph="1"/>
      <c r="E1" s="239" ph="1"/>
      <c r="F1" s="239" ph="1"/>
      <c r="G1" s="239" ph="1"/>
      <c r="H1" s="239" ph="1"/>
      <c r="I1" s="239" ph="1"/>
      <c r="J1" s="239" ph="1"/>
      <c r="K1" s="239" ph="1"/>
      <c r="L1" s="239" ph="1"/>
      <c r="M1" s="239" ph="1"/>
      <c r="N1" s="239" ph="1"/>
      <c r="O1" s="239" ph="1"/>
      <c r="P1" s="239" ph="1"/>
      <c r="Q1" s="239" ph="1"/>
      <c r="R1" s="239" ph="1"/>
      <c r="S1" s="239" ph="1"/>
      <c r="T1" s="239" ph="1"/>
      <c r="U1" s="239" ph="1"/>
      <c r="V1" s="239" ph="1"/>
      <c r="W1" s="239" ph="1"/>
      <c r="X1" s="239" ph="1"/>
      <c r="Y1" s="239" ph="1"/>
      <c r="Z1" s="239" ph="1"/>
      <c r="AA1" s="239" ph="1"/>
      <c r="AB1" s="239" ph="1"/>
      <c r="AC1" s="239" ph="1"/>
      <c r="AD1" s="239" ph="1"/>
      <c r="AE1" s="239" ph="1"/>
    </row>
    <row r="2" spans="1:99" s="66" customFormat="1" ht="24" customHeight="1" ph="1">
      <c r="B2" s="240" t="s" ph="1">
        <v>82</v>
      </c>
      <c r="C2" s="240" ph="1"/>
      <c r="D2" s="240" ph="1"/>
      <c r="E2" s="240" ph="1"/>
      <c r="F2" s="240" ph="1"/>
      <c r="G2" s="240" ph="1"/>
      <c r="H2" s="240" ph="1"/>
      <c r="I2" s="240" ph="1"/>
      <c r="J2" s="240" ph="1"/>
      <c r="K2" s="240" ph="1"/>
      <c r="L2" s="240" ph="1"/>
      <c r="M2" s="240" ph="1"/>
      <c r="N2" s="240" ph="1"/>
      <c r="O2" s="240" ph="1"/>
      <c r="P2" s="240" ph="1"/>
      <c r="Q2" s="240" ph="1"/>
      <c r="R2" s="240" ph="1"/>
      <c r="S2" s="240" ph="1"/>
      <c r="T2" s="240" ph="1"/>
      <c r="U2" s="240" ph="1"/>
      <c r="V2" s="240" ph="1"/>
      <c r="W2" s="240" ph="1"/>
      <c r="X2" s="240" ph="1"/>
      <c r="Y2" s="240" ph="1"/>
      <c r="Z2" s="240" ph="1"/>
      <c r="AA2" s="240" ph="1"/>
      <c r="AB2" s="240" ph="1"/>
      <c r="AC2" s="240" ph="1"/>
      <c r="AD2" s="240" ph="1"/>
      <c r="AE2" s="240" ph="1"/>
    </row>
    <row r="3" spans="1:99" ht="21" customHeight="1" ph="1">
      <c r="B3" s="241" ph="1">
        <v>46252</v>
      </c>
      <c r="C3" s="241"/>
      <c r="D3" s="241"/>
      <c r="E3" s="241"/>
      <c r="F3" s="241"/>
      <c r="G3" s="241"/>
      <c r="H3" s="241"/>
      <c r="I3" s="241"/>
      <c r="J3" s="241"/>
      <c r="K3" s="241"/>
      <c r="L3" s="241"/>
      <c r="M3" s="241"/>
      <c r="N3" s="241"/>
      <c r="O3" s="241"/>
      <c r="P3" s="241"/>
      <c r="Q3" s="241"/>
      <c r="R3" s="241"/>
      <c r="S3" s="241"/>
      <c r="T3" s="241"/>
      <c r="U3" s="241"/>
      <c r="V3" s="241"/>
      <c r="W3" s="241"/>
      <c r="X3" s="241"/>
      <c r="Y3" s="241"/>
      <c r="Z3" s="241"/>
      <c r="AA3" s="241"/>
      <c r="AB3" s="241"/>
      <c r="AC3" s="241"/>
      <c r="AD3" s="241"/>
      <c r="AE3" s="241"/>
    </row>
    <row r="4" spans="1:99" s="69" customFormat="1" ph="1">
      <c r="A4" s="65" ph="1"/>
      <c r="B4" s="220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0" ph="1"/>
      <c r="C5" s="67" t="s" ph="1">
        <v>36</v>
      </c>
      <c r="D5" s="70" t="s" ph="1">
        <v>160</v>
      </c>
      <c r="E5" s="142" t="s" ph="1">
        <v>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8" ph="1">
        <v>0.33333333333333331</v>
      </c>
      <c r="C6" s="157" t="s" ph="1">
        <v>177</v>
      </c>
      <c r="D6" s="71">
        <v>1718</v>
      </c>
      <c r="E6" s="71">
        <v>3584</v>
      </c>
      <c r="F6" s="71">
        <v>5946</v>
      </c>
      <c r="G6" s="71">
        <v>7607</v>
      </c>
      <c r="H6" s="71">
        <v>1330</v>
      </c>
      <c r="I6" s="71">
        <v>17.57</v>
      </c>
      <c r="J6" s="71">
        <v>76.97</v>
      </c>
      <c r="K6" s="71">
        <v>7.46</v>
      </c>
      <c r="L6" s="71">
        <v>6.48</v>
      </c>
      <c r="M6" s="71">
        <v>4254</v>
      </c>
      <c r="N6" s="71">
        <v>3198</v>
      </c>
      <c r="O6" s="71">
        <v>1023</v>
      </c>
      <c r="P6" s="71">
        <v>980</v>
      </c>
      <c r="Q6" s="71">
        <v>0</v>
      </c>
      <c r="R6" s="71">
        <v>1420</v>
      </c>
      <c r="S6" s="71">
        <v>6037</v>
      </c>
      <c r="T6" s="71">
        <v>7166</v>
      </c>
      <c r="U6" s="71">
        <v>1170</v>
      </c>
      <c r="V6" s="71">
        <v>0</v>
      </c>
      <c r="W6" s="71">
        <v>0</v>
      </c>
      <c r="X6" s="71">
        <v>0</v>
      </c>
      <c r="Y6" s="71">
        <v>0</v>
      </c>
      <c r="Z6" s="71">
        <v>3282</v>
      </c>
      <c r="AA6" s="71">
        <v>1305</v>
      </c>
      <c r="AB6" s="71">
        <v>2494</v>
      </c>
      <c r="AC6" s="71">
        <v>6115</v>
      </c>
      <c r="AD6" s="71">
        <v>3381</v>
      </c>
      <c r="AE6" s="71">
        <v>4804</v>
      </c>
    </row>
    <row r="7" spans="1:99" s="72" customFormat="1" ht="22.2" ph="1">
      <c r="B7" s="238" ph="1"/>
      <c r="C7" s="68" t="s" ph="1">
        <v>178</v>
      </c>
      <c r="D7" s="73" ph="1">
        <f>D6*33.183*LOOKUP(D8,密度!$A$2:$A$50,密度!$Q$2:$Q$50)</f>
        <v>53696.206308599998</v>
      </c>
      <c r="E7" s="73" ph="1">
        <f>E6*51.53*LOOKUP(E8,密度!$A$2:$A$50,密度!$B$2:$B$50)</f>
        <v>143351.34822400002</v>
      </c>
      <c r="F7" s="73" ph="1">
        <f>F6*33.183*LOOKUP(F8,密度!$A$2:$A$50,密度!$C$2:$C$50)</f>
        <v>218200.83589620001</v>
      </c>
      <c r="G7" s="73" ph="1">
        <f xml:space="preserve"> (G6+2)*51.53*LOOKUP(G8,密度!$A$2:$A$50,密度!$B$2:$B$50)</f>
        <v>303988.749281</v>
      </c>
      <c r="H7" s="73" ph="1">
        <f>(H6)*51.53*LOOKUP(H8,密度!$A$2:$A$50,密度!$B$2:$B$50)</f>
        <v>53251.617300000005</v>
      </c>
      <c r="I7" s="73" ph="1">
        <f>I6*290.8*1.0267</f>
        <v>5245.7758052000008</v>
      </c>
      <c r="J7" s="73" ph="1">
        <f>J6*290.8*0.7892</f>
        <v>17664.565739199999</v>
      </c>
      <c r="K7" s="73" ph="1">
        <f>K6*290.8*1.1126</f>
        <v>2413.6388367999998</v>
      </c>
      <c r="L7" s="73" ph="1">
        <f>L6*290.8*0.777</f>
        <v>1464.1663680000001</v>
      </c>
      <c r="M7" s="73" ph="1">
        <f>M6*33.183*LOOKUP(M8,密度!$A$2:$A$50,密度!$D$2:$D$50)</f>
        <v>144266.01260399999</v>
      </c>
      <c r="N7" s="73" ph="1">
        <f>N6*33.183*LOOKUP(N8,密度!$A$2:$A$50,密度!$E$2:$E$50)</f>
        <v>82518.316358399999</v>
      </c>
      <c r="O7" s="73" ph="1">
        <f>O6*20.428*LOOKUP(O8,密度!$A$2:$A$50,密度!$C$2:$C$50)</f>
        <v>23094.2074044</v>
      </c>
      <c r="P7" s="73" ph="1">
        <f>P6*51.53*LOOKUP(P8,密度!$A$2:$A$50,密度!$B$2:$B$50)</f>
        <v>39283.483260000001</v>
      </c>
      <c r="Q7" s="73" ph="1">
        <f>Q6*1.5*1.5*3.1416*LOOKUP(W8,密度!$A$2:$A$50,密度!$L$2:$L$50)</f>
        <v>0</v>
      </c>
      <c r="R7" s="73" ph="1">
        <f>R6*1.5*1.5*3.1416*LOOKUP(R8,密度!$A$2:$A$50,密度!$L$2:$L$50)</f>
        <v>9304.6809240000002</v>
      </c>
      <c r="S7" s="73" ph="1">
        <f>S6*1.5*1.5*3.1416*LOOKUP(S8,密度!$A$2:$A$50,密度!$L$2:$L$50)</f>
        <v>39942.057355200006</v>
      </c>
      <c r="T7" s="73" ph="1">
        <f>T6*1.5*1.5*3.1416*LOOKUP(T8,密度!$A$2:$A$50,密度!$L$2:$L$50)</f>
        <v>47513.0651688</v>
      </c>
      <c r="U7" s="73" ph="1">
        <f>U6*1.5*1.5*3.1416*LOOKUP(U8,密度!$A$2:$A$50,密度!$L$2:$L$50)</f>
        <v>7724.4247080000014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101718.77000400001</v>
      </c>
      <c r="AA7" s="73" ph="1">
        <f>AA6*33.183*LOOKUP(AA8,密度!$A$2:$A$50,密度!$D$2:$D$50)</f>
        <v>44256.498930000002</v>
      </c>
      <c r="AB7" s="73" ph="1">
        <f>AB6*20.428*LOOKUP(AB8,密度!$A$2:$A$50,密度!$D$2:$D$50)</f>
        <v>52450.381244000004</v>
      </c>
      <c r="AC7" s="73" ph="1">
        <f>AC6*51.53*LOOKUP(AC8,密度!$A$2:$A$50,密度!$Q$2:$Q$50)</f>
        <v>297655.38248900004</v>
      </c>
      <c r="AD7" s="73" ph="1">
        <f>AD6*20.428*LOOKUP(AD8,密度!$A$2:$A$50,密度!$V$2:$V$50)</f>
        <v>66138.624316799993</v>
      </c>
      <c r="AE7" s="73" ph="1">
        <f>AE6*20.428</f>
        <v>98136.112000000008</v>
      </c>
    </row>
    <row r="8" spans="1:99" ph="1">
      <c r="B8" s="238" ph="1"/>
      <c r="C8" s="68" t="s" ph="1">
        <v>179</v>
      </c>
      <c r="D8" s="74">
        <v>32</v>
      </c>
      <c r="E8" s="74">
        <v>29</v>
      </c>
      <c r="F8" s="74">
        <v>29</v>
      </c>
      <c r="G8" s="74">
        <v>30</v>
      </c>
      <c r="H8" s="74">
        <v>28</v>
      </c>
      <c r="I8" s="74">
        <v>25</v>
      </c>
      <c r="J8" s="74">
        <v>25</v>
      </c>
      <c r="K8" s="74">
        <v>25</v>
      </c>
      <c r="L8" s="74">
        <v>25</v>
      </c>
      <c r="M8" s="74">
        <v>30</v>
      </c>
      <c r="N8" s="74">
        <v>30</v>
      </c>
      <c r="O8" s="74">
        <v>30</v>
      </c>
      <c r="P8" s="74">
        <v>27</v>
      </c>
      <c r="Q8" s="74">
        <v>31</v>
      </c>
      <c r="R8" s="74">
        <v>35</v>
      </c>
      <c r="S8" s="74">
        <v>26</v>
      </c>
      <c r="T8" s="74">
        <v>24</v>
      </c>
      <c r="U8" s="74">
        <v>28</v>
      </c>
      <c r="V8" s="74">
        <v>28</v>
      </c>
      <c r="W8" s="74">
        <v>28</v>
      </c>
      <c r="X8" s="74">
        <v>20</v>
      </c>
      <c r="Y8" s="74">
        <v>29</v>
      </c>
      <c r="Z8" s="74">
        <v>28</v>
      </c>
      <c r="AA8" s="74">
        <v>30</v>
      </c>
      <c r="AB8" s="74">
        <v>22</v>
      </c>
      <c r="AC8" s="74">
        <v>28</v>
      </c>
      <c r="AD8" s="74">
        <v>29</v>
      </c>
      <c r="AE8" s="74">
        <v>30</v>
      </c>
    </row>
    <row r="9" spans="1:99" ht="26.4" ph="1">
      <c r="B9" s="238" ph="1">
        <v>0.66666666666666663</v>
      </c>
      <c r="C9" s="157" t="s" ph="1">
        <v>180</v>
      </c>
      <c r="D9" s="71">
        <v>2127</v>
      </c>
      <c r="E9" s="71">
        <v>3581</v>
      </c>
      <c r="F9" s="71">
        <v>5948</v>
      </c>
      <c r="G9" s="71">
        <v>7611</v>
      </c>
      <c r="H9" s="71">
        <v>1330</v>
      </c>
      <c r="I9" s="71">
        <v>17.52</v>
      </c>
      <c r="J9" s="71">
        <v>77.14</v>
      </c>
      <c r="K9" s="71">
        <v>7.42</v>
      </c>
      <c r="L9" s="71">
        <v>30.46</v>
      </c>
      <c r="M9" s="71">
        <v>4255</v>
      </c>
      <c r="N9" s="71">
        <v>3201</v>
      </c>
      <c r="O9" s="71">
        <v>1021</v>
      </c>
      <c r="P9" s="71">
        <v>867</v>
      </c>
      <c r="Q9" s="71">
        <v>1551</v>
      </c>
      <c r="R9" s="71">
        <v>0</v>
      </c>
      <c r="S9" s="71">
        <v>2315</v>
      </c>
      <c r="T9" s="71">
        <v>7176</v>
      </c>
      <c r="U9" s="71">
        <v>4422</v>
      </c>
      <c r="V9" s="71">
        <v>2499</v>
      </c>
      <c r="W9" s="71">
        <v>0</v>
      </c>
      <c r="X9" s="71">
        <v>0</v>
      </c>
      <c r="Y9" s="71">
        <v>0</v>
      </c>
      <c r="Z9" s="71">
        <v>969</v>
      </c>
      <c r="AA9" s="71">
        <v>1305</v>
      </c>
      <c r="AB9" s="71">
        <v>2371</v>
      </c>
      <c r="AC9" s="71">
        <v>6201</v>
      </c>
      <c r="AD9" s="71">
        <v>3384</v>
      </c>
      <c r="AE9" s="71">
        <v>4758</v>
      </c>
    </row>
    <row r="10" spans="1:99" s="72" customFormat="1" ht="22.2" ph="1">
      <c r="B10" s="238" ph="1"/>
      <c r="C10" s="157" t="s" ph="1">
        <v>178</v>
      </c>
      <c r="D10" s="73" ph="1">
        <f>D9*33.183*LOOKUP(D11,密度!$A$2:$A$50,密度!$Q$2:$Q$50)</f>
        <v>66387.068882189997</v>
      </c>
      <c r="E10" s="73" ph="1">
        <f>E9*51.53*LOOKUP(E11,密度!$A$2:$A$50,密度!$B$2:$B$50)</f>
        <v>142419.428174</v>
      </c>
      <c r="F10" s="73" ph="1">
        <f>F9*33.183*LOOKUP(F11,密度!$A$2:$A$50,密度!$C$2:$C$50)</f>
        <v>218274.23005560003</v>
      </c>
      <c r="G10" s="73" ph="1">
        <f xml:space="preserve"> (G9+2)*51.53*LOOKUP(G11,密度!$A$2:$A$50,密度!$B$2:$B$50)</f>
        <v>302775.51150200004</v>
      </c>
      <c r="H10" s="73" ph="1">
        <f>(H9)*51.53*LOOKUP(H11,密度!$A$2:$A$50,密度!$B$2:$B$50)</f>
        <v>52895.235820000009</v>
      </c>
      <c r="I10" s="73" ph="1">
        <f>I9*290.8*1.0267</f>
        <v>5230.8475871999999</v>
      </c>
      <c r="J10" s="73" ph="1">
        <f>J9*290.8*0.7892</f>
        <v>17703.580630400003</v>
      </c>
      <c r="K10" s="73" ph="1">
        <f>K9*290.8*1.1126</f>
        <v>2400.6970735999998</v>
      </c>
      <c r="L10" s="73" ph="1">
        <f>L9*290.8*0.777</f>
        <v>6882.4857360000005</v>
      </c>
      <c r="M10" s="73" ph="1">
        <f>M9*33.183*LOOKUP(M11,密度!$A$2:$A$50,密度!$D$2:$D$50)</f>
        <v>143932.82210100003</v>
      </c>
      <c r="N10" s="73" ph="1">
        <f>N9*33.183*LOOKUP(N11,密度!$A$2:$A$50,密度!$E$2:$E$50)</f>
        <v>82353.546835560002</v>
      </c>
      <c r="O10" s="73" ph="1">
        <f>O9*20.428*LOOKUP(O11,密度!$A$2:$A$50,密度!$C$2:$C$50)</f>
        <v>22830.059064800003</v>
      </c>
      <c r="P10" s="73" ph="1">
        <f>P9*51.53*LOOKUP(P11,密度!$A$2:$A$50,密度!$B$2:$B$50)</f>
        <v>34597.489344000001</v>
      </c>
      <c r="Q10" s="73" ph="1">
        <f>Q9*1.5*1.5*3.1416*LOOKUP(W11,密度!$A$2:$A$50,密度!$L$2:$L$50)</f>
        <v>10141.143705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15267.433797</v>
      </c>
      <c r="T10" s="73" ph="1">
        <f>T9*1.5*1.5*3.1416*LOOKUP(T11,密度!$A$2:$A$50,密度!$L$2:$L$50)</f>
        <v>47528.644363200001</v>
      </c>
      <c r="U10" s="73" ph="1">
        <f>U9*1.5*1.5*3.1416*LOOKUP(U11,密度!$A$2:$A$50,密度!$L$2:$L$50)</f>
        <v>29225.621502000002</v>
      </c>
      <c r="V10" s="73" ph="1">
        <f>V9*1.5*1.5*3.1416*LOOKUP(V11,密度!$A$2:$A$50,密度!$L$2:$L$50)</f>
        <v>16480.914496200003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0</v>
      </c>
      <c r="Z10" s="73" ph="1">
        <f>Z9*33.183*LOOKUP(Z11,密度!$A$2:$A$50,密度!$L$2:$L$50)</f>
        <v>30032.141418000003</v>
      </c>
      <c r="AA10" s="73" ph="1">
        <f>AA9*33.183*LOOKUP(AA11,密度!$A$2:$A$50,密度!$D$2:$D$50)</f>
        <v>44104.9355775</v>
      </c>
      <c r="AB10" s="73" ph="1">
        <f>AB9*20.428*LOOKUP(AB11,密度!$A$2:$A$50,密度!$D$2:$D$50)</f>
        <v>49912.049033999996</v>
      </c>
      <c r="AC10" s="73" ph="1">
        <f>AC9*51.53*LOOKUP(AC11,密度!$A$2:$A$50,密度!$Q$2:$Q$50)</f>
        <v>301189.68502740003</v>
      </c>
      <c r="AD10" s="73" ph="1">
        <f>AD9*20.428*LOOKUP(AD11,密度!$A$2:$A$50,密度!$V$2:$V$50)</f>
        <v>66197.309875199993</v>
      </c>
      <c r="AE10" s="73" ph="1">
        <f>AE9*20.428</f>
        <v>97196.423999999999</v>
      </c>
    </row>
    <row r="11" spans="1:99" ph="1">
      <c r="A11" s="64" t="s" ph="1">
        <v>162</v>
      </c>
      <c r="B11" s="238" ph="1"/>
      <c r="C11" s="157" t="s" ph="1">
        <v>179</v>
      </c>
      <c r="D11" s="74">
        <v>34</v>
      </c>
      <c r="E11" s="74">
        <v>34</v>
      </c>
      <c r="F11" s="74">
        <v>29</v>
      </c>
      <c r="G11" s="74">
        <v>34</v>
      </c>
      <c r="H11" s="74">
        <v>34</v>
      </c>
      <c r="I11" s="74">
        <v>25</v>
      </c>
      <c r="J11" s="74">
        <v>25</v>
      </c>
      <c r="K11" s="74">
        <v>25</v>
      </c>
      <c r="L11" s="74">
        <v>25</v>
      </c>
      <c r="M11" s="74">
        <v>33</v>
      </c>
      <c r="N11" s="74">
        <v>32</v>
      </c>
      <c r="O11" s="74">
        <v>40</v>
      </c>
      <c r="P11" s="74">
        <v>31</v>
      </c>
      <c r="Q11" s="74">
        <v>36</v>
      </c>
      <c r="R11" s="74">
        <v>39</v>
      </c>
      <c r="S11" s="74">
        <v>29</v>
      </c>
      <c r="T11" s="74">
        <v>25</v>
      </c>
      <c r="U11" s="74">
        <v>27</v>
      </c>
      <c r="V11" s="74">
        <v>29</v>
      </c>
      <c r="W11" s="74">
        <v>37</v>
      </c>
      <c r="X11" s="74">
        <v>27</v>
      </c>
      <c r="Y11" s="74">
        <v>34</v>
      </c>
      <c r="Z11" s="74">
        <v>28</v>
      </c>
      <c r="AA11" s="74">
        <v>34</v>
      </c>
      <c r="AB11" s="74">
        <v>21</v>
      </c>
      <c r="AC11" s="74">
        <v>31</v>
      </c>
      <c r="AD11" s="74">
        <v>34</v>
      </c>
      <c r="AE11" s="74">
        <v>32</v>
      </c>
    </row>
    <row r="12" spans="1:99" ht="9.9" customHeight="1" ph="1"/>
    <row r="13" spans="1:99" s="72" customFormat="1" ht="29.25" customHeight="1" ph="1">
      <c r="B13" s="215" t="s" ph="1">
        <v>37</v>
      </c>
      <c r="C13" s="157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6" ph="1"/>
      <c r="C14" s="67" t="s" ph="1">
        <v>36</v>
      </c>
      <c r="D14" s="77" t="s" ph="1">
        <v>616</v>
      </c>
      <c r="E14" s="77" t="s" ph="1">
        <v>616</v>
      </c>
      <c r="F14" s="144" t="s" ph="1">
        <v>636</v>
      </c>
      <c r="G14" s="77" t="s" ph="1">
        <v>617</v>
      </c>
      <c r="H14" s="77" t="s" ph="1">
        <v>637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638</v>
      </c>
      <c r="P14" s="77" t="s" ph="1">
        <v>622</v>
      </c>
      <c r="Q14" s="77" t="s" ph="1">
        <v>622</v>
      </c>
      <c r="R14" s="88" t="s" ph="1">
        <v>7</v>
      </c>
      <c r="S14" s="77" t="s" ph="1">
        <v>622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17" ph="1">
        <v>0.33333333333333331</v>
      </c>
      <c r="C15" s="157" t="s" ph="1">
        <v>177</v>
      </c>
      <c r="D15" s="78">
        <v>5931</v>
      </c>
      <c r="E15" s="78">
        <v>3244</v>
      </c>
      <c r="F15" s="78">
        <v>2080</v>
      </c>
      <c r="G15" s="78">
        <v>3367</v>
      </c>
      <c r="H15" s="78">
        <v>4366</v>
      </c>
      <c r="I15" s="78">
        <v>3130</v>
      </c>
      <c r="J15" s="78">
        <v>0</v>
      </c>
      <c r="K15" s="78">
        <v>3659</v>
      </c>
      <c r="L15" s="78">
        <v>3967</v>
      </c>
      <c r="M15" s="78">
        <v>4402</v>
      </c>
      <c r="N15" s="78">
        <v>382</v>
      </c>
      <c r="O15" s="78">
        <v>3627</v>
      </c>
      <c r="P15" s="78">
        <v>7003</v>
      </c>
      <c r="Q15" s="78">
        <v>5601</v>
      </c>
      <c r="R15" s="78">
        <v>0</v>
      </c>
      <c r="S15" s="78">
        <v>1365</v>
      </c>
      <c r="T15" s="78">
        <v>1558</v>
      </c>
      <c r="U15" s="78">
        <v>1820</v>
      </c>
      <c r="V15" s="78">
        <v>1261</v>
      </c>
      <c r="W15" s="71">
        <v>-789</v>
      </c>
      <c r="X15" s="78">
        <v>860</v>
      </c>
      <c r="Y15" s="106">
        <v>-9907</v>
      </c>
      <c r="Z15" s="78">
        <v>0</v>
      </c>
      <c r="AA15" s="78">
        <v>2488</v>
      </c>
      <c r="AB15" s="78" ph="1">
        <v>0</v>
      </c>
      <c r="AC15" s="78" ph="1">
        <v>0</v>
      </c>
      <c r="AD15" s="78">
        <v>5.64</v>
      </c>
      <c r="AE15" s="78">
        <v>43.88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18" ph="1"/>
      <c r="C16" s="157" t="s" ph="1">
        <v>178</v>
      </c>
      <c r="D16" s="73" ph="1">
        <f>D15*7.0686*LOOKUP(D17,密度!$A$2:$A$50,密度!$L$2:$L$50)</f>
        <v>39073.043671200001</v>
      </c>
      <c r="E16" s="73" ph="1">
        <f>E15*7.0686*LOOKUP(E17,密度!$A$2:$A$50,密度!$L$2:$L$50)</f>
        <v>21371.261788800002</v>
      </c>
      <c r="F16" s="73" ph="1">
        <f>F15*9.0746*LOOKUP(F17,密度!$A$2:$A$50,密度!$L$2:$L$50)</f>
        <v>17591.656576000001</v>
      </c>
      <c r="G16" s="73" ph="1">
        <f>G15*9.0746*LOOKUP(G17,密度!$A$2:$A$50,密度!$B$2:$B$50)</f>
        <v>23716.15311884</v>
      </c>
      <c r="H16" s="73" ph="1">
        <f>H15*9.0746*LOOKUP(H17,密度!$A$2:$A$50,密度!$L$2:$L$50)</f>
        <v>37123.662273200003</v>
      </c>
      <c r="I16" s="73" ph="1">
        <f>I15*9.0746*LOOKUP(I17,密度!$A$2:$A$50,密度!$U$2:$U$50)</f>
        <v>29056.778453999996</v>
      </c>
      <c r="J16" s="73" ph="1">
        <f>J15*9.0746*LOOKUP(J17,密度!$A$2:$A$50,密度!$L$2:$L$50)</f>
        <v>0</v>
      </c>
      <c r="K16" s="73" ph="1">
        <f>K15*9.0746*LOOKUP(K17,密度!$A$2:$A$50,密度!$C$2:$C$50)</f>
        <v>36720.260912260004</v>
      </c>
      <c r="L16" s="73" ph="1">
        <f>L15*9.0746*LOOKUP(L17,密度!$A$2:$A$50,密度!$E$2:$E$50)</f>
        <v>27992.774344320002</v>
      </c>
      <c r="M16" s="73" ph="1">
        <f>M15*9.0746*LOOKUP(M17,密度!$A$2:$A$50,密度!$M$2:$M$50)</f>
        <v>34708.219184203997</v>
      </c>
      <c r="N16" s="73" ph="1">
        <f>N15*9.0746*LOOKUP(N17,密度!$A$2:$A$50,密度!$M$2:$M$50)</f>
        <v>3030.0652025200002</v>
      </c>
      <c r="O16" s="73" ph="1">
        <f>O15*9.0746*LOOKUP(O17,密度!$A$2:$A$50,密度!$G$2:$G$50)</f>
        <v>31462.085577780002</v>
      </c>
      <c r="P16" s="73" ph="1">
        <f ca="1">P15*9.0746*LOOKUP(P17,密度!$A$2:$A$51,密度!$Q$2:$Q$50)</f>
        <v>59986.207607534008</v>
      </c>
      <c r="Q16" s="73" ph="1">
        <f>Q15*9.0746*LOOKUP(Q17,密度!$A$2:$A$50,密度!$Q$2:$Q$50)</f>
        <v>47946.477883218002</v>
      </c>
      <c r="R16" s="73" ph="1">
        <f>MAX(R15*9.0746*LOOKUP(R17,密度!$A$2:$A$50,密度!$B$2:$B$50),0)</f>
        <v>0</v>
      </c>
      <c r="S16" s="73" ph="1">
        <f>S15*9.0746*LOOKUP(S17,密度!$A$2:$A$50,密度!$Q$2:$Q$50)</f>
        <v>11675.577278819999</v>
      </c>
      <c r="T16" s="73" ph="1">
        <f>T15*9.0746*LOOKUP(T17,密度!$A$2:$A$50,密度!$O$2:$O$50)</f>
        <v>13091.9980168</v>
      </c>
      <c r="U16" s="73" ph="1">
        <f>U15*9.0746*LOOKUP(U17,密度!$A$2:$A$50,密度!$H$2:$H$50)</f>
        <v>15045.868292000001</v>
      </c>
      <c r="V16" s="73" ph="1">
        <f>MAX(5600*LOOKUP(V17,密度!$A$2:$A$50,密度!$Q$2:$Q$50)+V15*9.0476*LOOKUP(V17,密度!$A$2:$A$50,密度!$Q$2:$Q$50),0)</f>
        <v>16045.122232587997</v>
      </c>
      <c r="W16" s="73" ph="1">
        <f>MAX(5600*LOOKUP(W17,密度!$A$2:$A$50,密度!$Q$2:$Q$50)+W15*9.0476*LOOKUP(W17,密度!$A$2:$A$50,密度!$Q$2:$Q$50),0)</f>
        <v>0</v>
      </c>
      <c r="X16" s="73" ph="1">
        <f>MAX(5600*LOOKUP(X17,密度!$A$2:$A$50,密度!$I$2:$I$50)+X15*9.0476*LOOKUP(X17,密度!$A$2:$A$50,密度!$I$2:$I$50),0)</f>
        <v>13857.297321600001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17504.417001440001</v>
      </c>
      <c r="AB16" s="73" ph="1">
        <f>AB15*9.0746*LOOKUP(AB17,密度!$A$2:$A$50,密度!$L$2:$L$50)</f>
        <v>0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2402.2245139199999</v>
      </c>
      <c r="AE16" s="73" ph="1">
        <f>AE15*268.68*LOOKUP(AE17,密度!$A$2:$A$50,密度!B2:B50)+IF(AE15&lt;=0,0,1566*LOOKUP(AE17,密度!$A$2:$A$50,密度!B2:B50))</f>
        <v>10412.086880640001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19" ph="1"/>
      <c r="C17" s="79" t="s" ph="1">
        <v>179</v>
      </c>
      <c r="D17" s="74">
        <v>30</v>
      </c>
      <c r="E17" s="74">
        <v>30</v>
      </c>
      <c r="F17" s="74">
        <v>30</v>
      </c>
      <c r="G17" s="74">
        <v>29</v>
      </c>
      <c r="H17" s="74">
        <v>25</v>
      </c>
      <c r="I17" s="74">
        <v>27</v>
      </c>
      <c r="J17" s="74">
        <v>29</v>
      </c>
      <c r="K17" s="74">
        <v>29</v>
      </c>
      <c r="L17" s="74">
        <v>30</v>
      </c>
      <c r="M17" s="74">
        <v>31</v>
      </c>
      <c r="N17" s="74">
        <v>26</v>
      </c>
      <c r="O17" s="74">
        <v>29</v>
      </c>
      <c r="P17" s="74">
        <v>29</v>
      </c>
      <c r="Q17" s="74">
        <v>30</v>
      </c>
      <c r="R17" s="74">
        <v>29</v>
      </c>
      <c r="S17" s="74">
        <v>31</v>
      </c>
      <c r="T17" s="74">
        <v>29</v>
      </c>
      <c r="U17" s="74">
        <v>29</v>
      </c>
      <c r="V17" s="74">
        <v>30</v>
      </c>
      <c r="W17" s="74">
        <v>32</v>
      </c>
      <c r="X17" s="74">
        <v>31</v>
      </c>
      <c r="Y17" s="108">
        <v>31</v>
      </c>
      <c r="Z17" s="74">
        <v>29</v>
      </c>
      <c r="AA17" s="74">
        <v>30</v>
      </c>
      <c r="AB17" s="74">
        <v>28</v>
      </c>
      <c r="AC17" s="74">
        <v>27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17" ph="1">
        <v>0.66666666666666663</v>
      </c>
      <c r="C18" s="79" t="s" ph="1">
        <v>180</v>
      </c>
      <c r="D18" s="71">
        <v>5940</v>
      </c>
      <c r="E18" s="71">
        <v>4613</v>
      </c>
      <c r="F18" s="71">
        <v>2081</v>
      </c>
      <c r="G18" s="71">
        <v>3516</v>
      </c>
      <c r="H18" s="71">
        <v>4370</v>
      </c>
      <c r="I18" s="71">
        <v>3132</v>
      </c>
      <c r="J18" s="71">
        <v>59</v>
      </c>
      <c r="K18" s="71">
        <v>3661</v>
      </c>
      <c r="L18" s="71">
        <v>3977</v>
      </c>
      <c r="M18" s="71">
        <v>1950</v>
      </c>
      <c r="N18" s="71">
        <v>2590</v>
      </c>
      <c r="O18" s="71">
        <v>3755</v>
      </c>
      <c r="P18" s="71">
        <v>7012</v>
      </c>
      <c r="Q18" s="71">
        <v>5607</v>
      </c>
      <c r="R18" s="71">
        <v>0</v>
      </c>
      <c r="S18" s="71">
        <v>189</v>
      </c>
      <c r="T18" s="71">
        <v>1005</v>
      </c>
      <c r="U18" s="71">
        <v>1820</v>
      </c>
      <c r="V18" s="71">
        <v>-12</v>
      </c>
      <c r="W18" s="71">
        <v>-796</v>
      </c>
      <c r="X18" s="71">
        <v>860</v>
      </c>
      <c r="Y18" s="109">
        <v>-9908</v>
      </c>
      <c r="Z18" s="71">
        <v>0</v>
      </c>
      <c r="AA18" s="71">
        <v>2490</v>
      </c>
      <c r="AB18" s="71">
        <v>0</v>
      </c>
      <c r="AC18" s="71">
        <v>0</v>
      </c>
      <c r="AD18" s="71">
        <v>17.809999999999999</v>
      </c>
      <c r="AE18" s="71">
        <v>83.21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18" ph="1"/>
      <c r="C19" s="157" t="s" ph="1">
        <v>178</v>
      </c>
      <c r="D19" s="73" ph="1">
        <f>D18*7.0686*LOOKUP(D20,密度!$A$2:$A$50,密度!$L$2:$L$50)</f>
        <v>39006.372636</v>
      </c>
      <c r="E19" s="73" ph="1">
        <f>E18*7.0686*LOOKUP(E20,密度!$A$2:$A$50,密度!$L$2:$L$50)</f>
        <v>30292.322722200002</v>
      </c>
      <c r="F19" s="73" ph="1">
        <f>F18*9.0746*LOOKUP(F20,密度!$A$2:$A$50,密度!$L$2:$L$50)</f>
        <v>17543.461375400002</v>
      </c>
      <c r="G19" s="73" ph="1">
        <f>G18*9.0746*LOOKUP(G20,密度!$A$2:$A$50,密度!$B$2:$B$50)</f>
        <v>24736.949428079999</v>
      </c>
      <c r="H19" s="73" ph="1">
        <f>H18*9.0746*LOOKUP(H20,密度!$A$2:$A$50,密度!$L$2:$L$50)</f>
        <v>36761.113854000003</v>
      </c>
      <c r="I19" s="73" ph="1">
        <f>I18*9.0746*LOOKUP(I20,密度!$A$2:$A$50,密度!$U$2:$U$50)</f>
        <v>28904.815202399997</v>
      </c>
      <c r="J19" s="73" ph="1">
        <f>J18*9.0746*LOOKUP(J20,密度!$A$2:$A$50,密度!$L$2:$L$50)</f>
        <v>498.45870339999999</v>
      </c>
      <c r="K19" s="73" ph="1">
        <f>K18*9.0746*LOOKUP(K20,密度!$A$2:$A$50,密度!$C$2:$C$50)</f>
        <v>36643.987991800001</v>
      </c>
      <c r="L19" s="73" ph="1">
        <f>L18*9.0746*LOOKUP(L20,密度!$A$2:$A$50,密度!$E$2:$E$50)</f>
        <v>28063.338433920002</v>
      </c>
      <c r="M19" s="73" ph="1">
        <f>M18*9.0746*LOOKUP(M20,密度!$A$2:$A$50,密度!$M$2:$M$50)</f>
        <v>15300.742044900002</v>
      </c>
      <c r="N19" s="73" ph="1">
        <f>N18*9.0746*LOOKUP(N20,密度!$A$2:$A$50,密度!$M$2:$M$50)</f>
        <v>20471.299394000001</v>
      </c>
      <c r="O19" s="73" ph="1">
        <f>O18*9.0746*LOOKUP(O20,密度!$A$2:$A$50,密度!$G$2:$G$50)</f>
        <v>32497.785556329996</v>
      </c>
      <c r="P19" s="73" ph="1">
        <f ca="1">P18*9.0746*LOOKUP(P20,密度!$A$2:$A$51,密度!$Q$2:$Q$50)</f>
        <v>59977.397713616003</v>
      </c>
      <c r="Q19" s="73" ph="1">
        <f>Q18*9.0746*LOOKUP(Q20,密度!$A$2:$A$50,密度!$Q$2:$Q$50)</f>
        <v>47892.006870750003</v>
      </c>
      <c r="R19" s="73" ph="1">
        <f>MAX(R18*9.0746*LOOKUP(R20,密度!$A$2:$A$50,密度!$B$2:$B$50),0)</f>
        <v>0</v>
      </c>
      <c r="S19" s="73" ph="1">
        <f>S18*9.0746*LOOKUP(S20,密度!$A$2:$A$50,密度!$Q$2:$Q$50)</f>
        <v>1612.090530036</v>
      </c>
      <c r="T19" s="73" ph="1">
        <f>T18*9.0746*LOOKUP(T20,密度!$A$2:$A$50,密度!$O$2:$O$50)</f>
        <v>8379.4311923999994</v>
      </c>
      <c r="U19" s="73" ph="1">
        <f>U18*9.0746*LOOKUP(U20,密度!$A$2:$A$50,密度!$H$2:$H$50)</f>
        <v>15013.662536600001</v>
      </c>
      <c r="V19" s="73" ph="1">
        <f>MAX(5600*LOOKUP(V20,密度!$A$2:$A$50,密度!$Q$2:$Q$50)+V18*9.0476*LOOKUP(V20,密度!$A$2:$A$50,密度!$Q$2:$Q$50),0)</f>
        <v>5161.6135862719993</v>
      </c>
      <c r="W19" s="73" ph="1">
        <f>MAX(5600*LOOKUP(W20,密度!$A$2:$A$50,密度!$Q$2:$Q$50)+W18*9.0476*LOOKUP(W20,密度!$A$2:$A$50,密度!$Q$2:$Q$50),0)</f>
        <v>0</v>
      </c>
      <c r="X19" s="73" ph="1">
        <f>MAX(5600*LOOKUP(X20,密度!$A$2:$A$50,密度!$I$2:$I$50)+X18*9.0476*LOOKUP(X20,密度!$A$2:$A$50,密度!$I$2:$I$50),0)</f>
        <v>13842.578291999998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17518.488076199999</v>
      </c>
      <c r="AB19" s="73" ph="1">
        <f>AB18*9.0746*LOOKUP(AB20,密度!$A$2:$A$50,密度!$L$2:$L$50)</f>
        <v>0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4934.8752515999995</v>
      </c>
      <c r="AE19" s="73" ph="1">
        <f>AE18*268.68*LOOKUP(AE20,密度!$A$2:$A$50,密度!B5:B53)+IF(AE18&lt;=0,0,1566*LOOKUP(AE20,密度!$A$2:$A$50,密度!B5:B53))</f>
        <v>18588.064395599999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18" ph="1"/>
      <c r="C20" s="80" t="s" ph="1">
        <v>179</v>
      </c>
      <c r="D20" s="81">
        <v>33</v>
      </c>
      <c r="E20" s="81">
        <v>33</v>
      </c>
      <c r="F20" s="81">
        <v>33</v>
      </c>
      <c r="G20" s="81">
        <v>30</v>
      </c>
      <c r="H20" s="81">
        <v>35</v>
      </c>
      <c r="I20" s="81">
        <v>33</v>
      </c>
      <c r="J20" s="81">
        <v>31</v>
      </c>
      <c r="K20" s="81">
        <v>32</v>
      </c>
      <c r="L20" s="81">
        <v>30</v>
      </c>
      <c r="M20" s="81">
        <v>35</v>
      </c>
      <c r="N20" s="81">
        <v>29</v>
      </c>
      <c r="O20" s="81">
        <v>31</v>
      </c>
      <c r="P20" s="81">
        <v>31</v>
      </c>
      <c r="Q20" s="81">
        <v>33</v>
      </c>
      <c r="R20" s="81">
        <v>36</v>
      </c>
      <c r="S20" s="81">
        <v>35</v>
      </c>
      <c r="T20" s="81">
        <v>36</v>
      </c>
      <c r="U20" s="81">
        <v>31</v>
      </c>
      <c r="V20" s="81">
        <v>35</v>
      </c>
      <c r="W20" s="81">
        <v>37</v>
      </c>
      <c r="X20" s="81">
        <v>32</v>
      </c>
      <c r="Y20" s="110">
        <v>32</v>
      </c>
      <c r="Z20" s="81">
        <v>34</v>
      </c>
      <c r="AA20" s="81">
        <v>30</v>
      </c>
      <c r="AB20" s="81">
        <v>34</v>
      </c>
      <c r="AC20" s="81">
        <v>33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6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6" t="s" ph="1">
        <v>69</v>
      </c>
      <c r="AA22" s="227"/>
      <c r="AB22" s="227"/>
      <c r="AC22" s="227"/>
      <c r="AD22" s="227"/>
      <c r="AE22" s="228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0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610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229" t="s" ph="1">
        <v>644</v>
      </c>
      <c r="AA23" s="230"/>
      <c r="AB23" s="230"/>
      <c r="AC23" s="230"/>
      <c r="AD23" s="230"/>
      <c r="AE23" s="231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38" ph="1">
        <v>0.33333333333333331</v>
      </c>
      <c r="C24" s="157" t="s" ph="1">
        <v>177</v>
      </c>
      <c r="D24" s="71">
        <v>3.53</v>
      </c>
      <c r="E24" s="71">
        <v>5.61</v>
      </c>
      <c r="F24" s="71">
        <v>1101</v>
      </c>
      <c r="G24" s="71">
        <v>3205</v>
      </c>
      <c r="H24" s="71">
        <v>2625</v>
      </c>
      <c r="I24" s="71">
        <v>3320</v>
      </c>
      <c r="J24" s="71">
        <v>305</v>
      </c>
      <c r="K24" s="71">
        <v>327</v>
      </c>
      <c r="L24" s="71">
        <v>302</v>
      </c>
      <c r="M24" s="71">
        <v>326</v>
      </c>
      <c r="N24" s="71">
        <v>329</v>
      </c>
      <c r="O24" s="71">
        <v>343</v>
      </c>
      <c r="P24" s="71">
        <v>374</v>
      </c>
      <c r="Q24" s="90">
        <v>3282</v>
      </c>
      <c r="R24" s="71">
        <v>290</v>
      </c>
      <c r="S24" s="71">
        <v>1535</v>
      </c>
      <c r="T24" s="71">
        <v>421</v>
      </c>
      <c r="U24" s="71">
        <v>5886</v>
      </c>
      <c r="V24" s="71">
        <v>740</v>
      </c>
      <c r="W24" s="71">
        <v>431</v>
      </c>
      <c r="X24" s="71">
        <v>3830</v>
      </c>
      <c r="Y24" s="71">
        <v>465</v>
      </c>
      <c r="Z24" s="232"/>
      <c r="AA24" s="233"/>
      <c r="AB24" s="233"/>
      <c r="AC24" s="233"/>
      <c r="AD24" s="233"/>
      <c r="AE24" s="234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38" ph="1"/>
      <c r="C25" s="68" t="s" ph="1">
        <v>178</v>
      </c>
      <c r="D25" s="91" ph="1">
        <f>D24*268.68*LOOKUP(D26,密度!$A$2:$A$50,密度!$Q$2:$Q$50)+IF(D24&lt;=0,0,1566*LOOKUP(D26,密度!$A$2:$A$50,密度!$Q$2:$Q$50))</f>
        <v>2380.5213042959999</v>
      </c>
      <c r="E25" s="91" ph="1">
        <f>E24*268.68*LOOKUP(E26,密度!$A$2:$A$50,密度!$C$2:$C$50)+IF(E24&lt;=0,0,1566*LOOKUP(E26,密度!$A$2:$A$50,密度!$C$2:$C$50))</f>
        <v>3407.9766037199997</v>
      </c>
      <c r="F25" s="91" ph="1">
        <f>F24*11.702*LOOKUP(F26,密度!$A$2:$A$50,密度!$Q$2:$Q$50)</f>
        <v>12153.771273660001</v>
      </c>
      <c r="G25" s="91" ph="1">
        <f>G24*18.322*LOOKUP(G26,密度!$A$2:$A$50,密度!$B$2:$B$50)</f>
        <v>45527.174352999995</v>
      </c>
      <c r="H25" s="91" ph="1">
        <f>H24*18.322*LOOKUP(H26,密度!$A$2:$A$50,密度!$B$2:$B$50)</f>
        <v>37331.533049999998</v>
      </c>
      <c r="I25" s="91" ph="1">
        <f>I24*18.322*LOOKUP(I26,密度!$A$2:$A$50,密度!$Q$2:$Q$50)</f>
        <v>57381.858303200002</v>
      </c>
      <c r="J25" s="91" ph="1">
        <f>J24*18.322*LOOKUP(J26,密度!$A$2:$A$50,密度!$Q$2:$Q$50)</f>
        <v>5271.5261393000001</v>
      </c>
      <c r="K25" s="91" ph="1">
        <f>K24*18.322*LOOKUP(K26,密度!$A$2:$A$50,密度!$Q$2:$Q$50)</f>
        <v>5655.3621454200002</v>
      </c>
      <c r="L25" s="91" ph="1">
        <f>L24*18.322*LOOKUP(L26,密度!$A$2:$A$50,密度!$Q$2:$Q$50)</f>
        <v>5219.6750625199993</v>
      </c>
      <c r="M25" s="91" ph="1">
        <f>M24*18.322*LOOKUP(M26,密度!$A$2:$A$50,密度!$Q$2:$Q$50)</f>
        <v>5634.48367676</v>
      </c>
      <c r="N25" s="91" ph="1">
        <f>N24*18.322*LOOKUP(N26,密度!$A$2:$A$50,密度!$Q$2:$Q$50)</f>
        <v>5694.1107935600003</v>
      </c>
      <c r="O25" s="91" ph="1">
        <f>O24*18.322*LOOKUP(O26,密度!$A$2:$A$50,密度!$C$2:$C$50)</f>
        <v>6954.3679436000002</v>
      </c>
      <c r="P25" s="91" ph="1">
        <f>P24*11.702*LOOKUP(P26,密度!$A$2:$A$50,密度!$B$2:$B$50)</f>
        <v>3393.1376643999997</v>
      </c>
      <c r="Q25" s="92" ph="1">
        <f>Q24*18.322*LOOKUP(Q26,密度!$A$2:$A$50,密度!$B$2:$B$50)</f>
        <v>46675.082464799998</v>
      </c>
      <c r="R25" s="91" ph="1">
        <f>R24*35.891*LOOKUP(R26,密度!$A$2:$A$50,密度!$C$2:$C$50)</f>
        <v>11510.638501000001</v>
      </c>
      <c r="S25" s="91" ph="1">
        <f>S24*35.891*LOOKUP(S26,密度!$A$2:$A$50,密度!$B$2:$B$50)</f>
        <v>42807.016244999999</v>
      </c>
      <c r="T25" s="91" ph="1">
        <f>T24*35.891*LOOKUP(T26,密度!$A$2:$A$50,密度!$Q$2:$Q$50)</f>
        <v>14262.887076229999</v>
      </c>
      <c r="U25" s="91" ph="1">
        <f>U24*35.891</f>
        <v>211254.42599999998</v>
      </c>
      <c r="V25" s="91" ph="1">
        <f>V24*47.051*LOOKUP(V26,密度!$A$2:$A$50,密度!$B$2:$B$50)</f>
        <v>26962.857855999999</v>
      </c>
      <c r="W25" s="91" ph="1">
        <f>W24*47.051*LOOKUP(W26,密度!$A$2:$A$50,密度!$B$2:$B$50)</f>
        <v>15704.042886399999</v>
      </c>
      <c r="X25" s="91" ph="1">
        <f>X24*47.051*LOOKUP(X26,密度!$A$2:$A$61,密度!$I$2:$I$61)</f>
        <v>186224.18802200005</v>
      </c>
      <c r="Y25" s="91" ph="1">
        <f>Y24*47.051*LOOKUP(Y26,密度!$A$2:$A$50,密度!$L$2:$L$50)</f>
        <v>20390.962380000001</v>
      </c>
      <c r="Z25" s="232"/>
      <c r="AA25" s="233"/>
      <c r="AB25" s="233"/>
      <c r="AC25" s="233"/>
      <c r="AD25" s="233"/>
      <c r="AE25" s="234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38" ph="1"/>
      <c r="C26" s="68" t="s" ph="1">
        <v>179</v>
      </c>
      <c r="D26" s="74">
        <v>25</v>
      </c>
      <c r="E26" s="74">
        <v>25</v>
      </c>
      <c r="F26" s="74">
        <v>30</v>
      </c>
      <c r="G26" s="74">
        <v>30</v>
      </c>
      <c r="H26" s="74">
        <v>29</v>
      </c>
      <c r="I26" s="74">
        <v>30</v>
      </c>
      <c r="J26" s="74">
        <v>30</v>
      </c>
      <c r="K26" s="74">
        <v>29</v>
      </c>
      <c r="L26" s="74">
        <v>30</v>
      </c>
      <c r="M26" s="74">
        <v>30</v>
      </c>
      <c r="N26" s="74">
        <v>28</v>
      </c>
      <c r="O26" s="74">
        <v>28</v>
      </c>
      <c r="P26" s="74">
        <v>30</v>
      </c>
      <c r="Q26" s="93">
        <v>29</v>
      </c>
      <c r="R26" s="74">
        <v>29</v>
      </c>
      <c r="S26" s="74">
        <v>28</v>
      </c>
      <c r="T26" s="74">
        <v>29</v>
      </c>
      <c r="U26" s="74">
        <v>30</v>
      </c>
      <c r="V26" s="74">
        <v>31</v>
      </c>
      <c r="W26" s="74">
        <v>31</v>
      </c>
      <c r="X26" s="74">
        <v>33</v>
      </c>
      <c r="Y26" s="74">
        <v>30</v>
      </c>
      <c r="Z26" s="232"/>
      <c r="AA26" s="233"/>
      <c r="AB26" s="233"/>
      <c r="AC26" s="233"/>
      <c r="AD26" s="233"/>
      <c r="AE26" s="234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38" ph="1">
        <v>0.66666666666666663</v>
      </c>
      <c r="C27" s="157" t="s" ph="1">
        <v>180</v>
      </c>
      <c r="D27" s="71">
        <v>3.55</v>
      </c>
      <c r="E27" s="71">
        <v>5.58</v>
      </c>
      <c r="F27" s="71">
        <v>1101</v>
      </c>
      <c r="G27" s="71">
        <v>2691</v>
      </c>
      <c r="H27" s="71">
        <v>1891</v>
      </c>
      <c r="I27" s="71">
        <v>2139</v>
      </c>
      <c r="J27" s="71">
        <v>298</v>
      </c>
      <c r="K27" s="71">
        <v>324</v>
      </c>
      <c r="L27" s="71">
        <v>296</v>
      </c>
      <c r="M27" s="71">
        <v>322</v>
      </c>
      <c r="N27" s="71">
        <v>3540</v>
      </c>
      <c r="O27" s="71">
        <v>339</v>
      </c>
      <c r="P27" s="71">
        <v>370</v>
      </c>
      <c r="Q27" s="90">
        <v>3422</v>
      </c>
      <c r="R27" s="71">
        <v>286</v>
      </c>
      <c r="S27" s="71">
        <v>1109</v>
      </c>
      <c r="T27" s="71">
        <v>423</v>
      </c>
      <c r="U27" s="71">
        <v>5903</v>
      </c>
      <c r="V27" s="71">
        <v>734</v>
      </c>
      <c r="W27" s="71">
        <v>428</v>
      </c>
      <c r="X27" s="71">
        <v>4308</v>
      </c>
      <c r="Y27" s="71">
        <v>1253</v>
      </c>
      <c r="Z27" s="232"/>
      <c r="AA27" s="233"/>
      <c r="AB27" s="233"/>
      <c r="AC27" s="233"/>
      <c r="AD27" s="233"/>
      <c r="AE27" s="234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38" ph="1"/>
      <c r="C28" s="157" t="s" ph="1">
        <v>178</v>
      </c>
      <c r="D28" s="91" ph="1">
        <f>D27*268.68*LOOKUP(D29,密度!$A$2:$A$50,密度!$Q$2:$Q$50)+IF(D27&lt;=0,0,1566*LOOKUP(D29,密度!$A$2:$A$50,密度!$Q$2:$Q$50))</f>
        <v>2385.6087063599998</v>
      </c>
      <c r="E28" s="91" ph="1">
        <f>E27*268.68*LOOKUP(E29,密度!$A$2:$A$50,密度!$C$2:$C$50)+IF(E27&lt;=0,0,1566*LOOKUP(E29,密度!$A$2:$A$50,密度!$C$2:$C$50))</f>
        <v>3399.0384261600002</v>
      </c>
      <c r="F28" s="91" ph="1">
        <f>F27*11.702*LOOKUP(F29,密度!$A$2:$A$50,密度!$Q$2:$Q$50)</f>
        <v>12153.771273660001</v>
      </c>
      <c r="G28" s="91" ph="1">
        <f>G27*18.322*LOOKUP(G29,密度!$A$2:$A$50,密度!$B$2:$B$50)</f>
        <v>38225.780400600001</v>
      </c>
      <c r="H28" s="91" ph="1">
        <f>H27*18.322*LOOKUP(H29,密度!$A$2:$A$50,密度!$B$2:$B$50)</f>
        <v>26830.560908800002</v>
      </c>
      <c r="I28" s="91" ph="1">
        <f>I27*18.322*LOOKUP(I29,密度!$A$2:$A$50,密度!$Q$2:$Q$50)</f>
        <v>36940.424675640003</v>
      </c>
      <c r="J28" s="91" ph="1">
        <f>J27*18.322*LOOKUP(J29,密度!$A$2:$A$50,密度!$Q$2:$Q$50)</f>
        <v>5142.7325564000002</v>
      </c>
      <c r="K28" s="91" ph="1">
        <f>K27*18.322*LOOKUP(K29,密度!$A$2:$A$50,密度!$Q$2:$Q$50)</f>
        <v>5599.9162922399992</v>
      </c>
      <c r="L28" s="91" ph="1">
        <f>L27*18.322*LOOKUP(L29,密度!$A$2:$A$50,密度!$Q$2:$Q$50)</f>
        <v>5115.9729089599996</v>
      </c>
      <c r="M28" s="91" ph="1">
        <f>M27*18.322*LOOKUP(M29,密度!$A$2:$A$50,密度!$Q$2:$Q$50)</f>
        <v>5556.912359599999</v>
      </c>
      <c r="N28" s="91" ph="1">
        <f>N27*18.322*LOOKUP(N29,密度!$A$2:$A$50,密度!$Q$2:$Q$50)</f>
        <v>61135.625690399997</v>
      </c>
      <c r="O28" s="91" ph="1">
        <f>O27*18.322*LOOKUP(O29,密度!$A$2:$A$50,密度!$C$2:$C$50)</f>
        <v>6857.7395477999999</v>
      </c>
      <c r="P28" s="91" ph="1">
        <f>P27*11.702*LOOKUP(P29,密度!$A$2:$A$50,密度!$B$2:$B$50)</f>
        <v>3352.9506559999995</v>
      </c>
      <c r="Q28" s="92" ph="1">
        <f>Q27*18.322*LOOKUP(Q29,密度!$A$2:$A$50,密度!$B$2:$B$50)</f>
        <v>48496.813273999993</v>
      </c>
      <c r="R28" s="91" ph="1">
        <f>R27*35.891*LOOKUP(R29,密度!$A$2:$A$50,密度!$C$2:$C$50)</f>
        <v>11322.103077999998</v>
      </c>
      <c r="S28" s="91" ph="1">
        <f>S27*35.891*LOOKUP(S29,密度!$A$2:$A$50,密度!$B$2:$B$50)</f>
        <v>30755.8700513</v>
      </c>
      <c r="T28" s="91" ph="1">
        <f>T27*35.891*LOOKUP(T29,密度!$A$2:$A$50,密度!$Q$2:$Q$50)</f>
        <v>14279.93673687</v>
      </c>
      <c r="U28" s="91" ph="1">
        <f>U27*35.891</f>
        <v>211864.573</v>
      </c>
      <c r="V28" s="91" ph="1">
        <f>V27*47.051*LOOKUP(V29,密度!$A$2:$A$50,密度!$B$2:$B$50)</f>
        <v>26713.158199000001</v>
      </c>
      <c r="W28" s="91" ph="1">
        <f>W27*47.051*LOOKUP(W29,密度!$A$2:$A$50,密度!$B$2:$B$50)</f>
        <v>15594.734003200001</v>
      </c>
      <c r="X28" s="91" ph="1">
        <f>X27*47.051*LOOKUP(X29,密度!$A$2:$A$61,密度!$I$2:$I$61)</f>
        <v>209911.67520480003</v>
      </c>
      <c r="Y28" s="91" ph="1">
        <f>Y27*47.051*LOOKUP(Y29,密度!$A$2:$A$50,密度!$L$2:$L$50)</f>
        <v>54945.96959600001</v>
      </c>
      <c r="Z28" s="232"/>
      <c r="AA28" s="233"/>
      <c r="AB28" s="233"/>
      <c r="AC28" s="233"/>
      <c r="AD28" s="233"/>
      <c r="AE28" s="234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38" ph="1"/>
      <c r="C29" s="157" t="s" ph="1">
        <v>179</v>
      </c>
      <c r="D29" s="74">
        <v>25</v>
      </c>
      <c r="E29" s="74">
        <v>25</v>
      </c>
      <c r="F29" s="74">
        <v>30</v>
      </c>
      <c r="G29" s="74">
        <v>30</v>
      </c>
      <c r="H29" s="74">
        <v>31</v>
      </c>
      <c r="I29" s="74">
        <v>31</v>
      </c>
      <c r="J29" s="74">
        <v>32</v>
      </c>
      <c r="K29" s="74">
        <v>30</v>
      </c>
      <c r="L29" s="74">
        <v>30</v>
      </c>
      <c r="M29" s="74">
        <v>32</v>
      </c>
      <c r="N29" s="74">
        <v>31</v>
      </c>
      <c r="O29" s="74">
        <v>31</v>
      </c>
      <c r="P29" s="74">
        <v>31</v>
      </c>
      <c r="Q29" s="93">
        <v>32</v>
      </c>
      <c r="R29" s="74">
        <v>32</v>
      </c>
      <c r="S29" s="74">
        <v>33</v>
      </c>
      <c r="T29" s="74">
        <v>34</v>
      </c>
      <c r="U29" s="74">
        <v>32</v>
      </c>
      <c r="V29" s="74">
        <v>32</v>
      </c>
      <c r="W29" s="74">
        <v>31</v>
      </c>
      <c r="X29" s="74">
        <v>31</v>
      </c>
      <c r="Y29" s="74">
        <v>30</v>
      </c>
      <c r="Z29" s="235"/>
      <c r="AA29" s="236"/>
      <c r="AB29" s="236"/>
      <c r="AC29" s="236"/>
      <c r="AD29" s="236"/>
      <c r="AE29" s="237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1" t="s" ph="1">
        <v>35</v>
      </c>
      <c r="C31" s="222" ph="1"/>
      <c r="D31" s="225" t="s" ph="1">
        <v>9</v>
      </c>
      <c r="E31" s="200" ph="1"/>
      <c r="F31" s="201" ph="1"/>
      <c r="G31" s="225" t="s" ph="1">
        <v>18</v>
      </c>
      <c r="H31" s="200" ph="1"/>
      <c r="I31" s="201" ph="1"/>
      <c r="J31" s="199" t="s" ph="1">
        <v>1</v>
      </c>
      <c r="K31" s="200" ph="1"/>
      <c r="L31" s="201" ph="1"/>
      <c r="M31" s="199" t="s" ph="1">
        <v>7</v>
      </c>
      <c r="N31" s="200" ph="1"/>
      <c r="O31" s="201" ph="1"/>
      <c r="P31" s="199" t="s" ph="1">
        <v>41</v>
      </c>
      <c r="Q31" s="200"/>
      <c r="R31" s="201"/>
      <c r="S31" s="199" t="s" ph="1">
        <v>2</v>
      </c>
      <c r="T31" s="200"/>
      <c r="U31" s="201"/>
      <c r="V31" s="199" t="s" ph="1">
        <v>71</v>
      </c>
      <c r="W31" s="200" ph="1"/>
      <c r="X31" s="201" ph="1"/>
      <c r="Y31" s="199" t="s" ph="1">
        <v>3</v>
      </c>
      <c r="Z31" s="200" ph="1"/>
      <c r="AA31" s="201" ph="1"/>
      <c r="AB31" s="202" t="s">
        <v>42</v>
      </c>
      <c r="AC31" s="203"/>
      <c r="AD31" s="203"/>
      <c r="AE31" s="204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3" ph="1"/>
      <c r="C32" s="224" ph="1"/>
      <c r="D32" s="96" t="s" ph="1">
        <v>4</v>
      </c>
      <c r="E32" s="157" t="s" ph="1">
        <v>5</v>
      </c>
      <c r="F32" s="158" t="s" ph="1">
        <v>43</v>
      </c>
      <c r="G32" s="97" t="s" ph="1">
        <v>4</v>
      </c>
      <c r="H32" s="157" t="s" ph="1">
        <v>5</v>
      </c>
      <c r="I32" s="158" t="s" ph="1">
        <v>43</v>
      </c>
      <c r="J32" s="97" t="s" ph="1">
        <v>4</v>
      </c>
      <c r="K32" s="157" t="s" ph="1">
        <v>5</v>
      </c>
      <c r="L32" s="158" t="s" ph="1">
        <v>43</v>
      </c>
      <c r="M32" s="97" t="s" ph="1">
        <v>4</v>
      </c>
      <c r="N32" s="157" t="s" ph="1">
        <v>5</v>
      </c>
      <c r="O32" s="158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7" t="s" ph="1">
        <v>5</v>
      </c>
      <c r="U32" s="99" t="s" ph="1">
        <v>43</v>
      </c>
      <c r="V32" s="97" t="s" ph="1">
        <v>4</v>
      </c>
      <c r="W32" s="157" t="s" ph="1">
        <v>5</v>
      </c>
      <c r="X32" s="99" t="s" ph="1">
        <v>43</v>
      </c>
      <c r="Y32" s="100" t="s" ph="1">
        <v>4</v>
      </c>
      <c r="Z32" s="157" t="s" ph="1">
        <v>5</v>
      </c>
      <c r="AA32" s="158" t="s" ph="1">
        <v>43</v>
      </c>
      <c r="AB32" s="97" t="s" ph="1">
        <v>85</v>
      </c>
      <c r="AC32" s="157" t="s" ph="1">
        <v>84</v>
      </c>
      <c r="AD32" s="205" t="s" ph="1">
        <v>83</v>
      </c>
      <c r="AE32" s="206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7" t="s" ph="1">
        <v>181</v>
      </c>
      <c r="C33" s="208" ph="1"/>
      <c r="D33" s="187" ph="1">
        <f>AA10+AB10+Z19</f>
        <v>94016.984611499996</v>
      </c>
      <c r="E33" s="187" ph="1">
        <f>M10+I10</f>
        <v>149163.66968820003</v>
      </c>
      <c r="F33" s="211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1522252632456786910111213141516171819202123456789101112131415161718192022232424356789101112131415161718192021222345678910111213141516171819202345678910111213149101516171819222123234567891012131415161711181920212224252345678910111213115[[#This Row],[F25]]</f>
        <v>3880</v>
      </c>
      <c r="G33" s="213" ph="1">
        <f>N19</f>
        <v>20471.299394000001</v>
      </c>
      <c r="H33" s="187" ph="1">
        <f>M19</f>
        <v>15300.742044900002</v>
      </c>
      <c r="I33" s="191" ph="1">
        <v>0</v>
      </c>
      <c r="J33" s="195" ph="1">
        <f>F10+O28</f>
        <v>225131.96960340004</v>
      </c>
      <c r="K33" s="187" ph="1">
        <f>O10+K10+E28+R28</f>
        <v>39951.897642560005</v>
      </c>
      <c r="L33" s="197" ph="1">
        <f>K19</f>
        <v>36643.987991800001</v>
      </c>
      <c r="M33" s="195" ph="1">
        <f>G10+H10+W28+S28+V28+E10+R19+P28+Q28</f>
        <v>623003.70167949994</v>
      </c>
      <c r="N33" s="187" ph="1">
        <f>L10+P10++G28+H28+AD19+AE19</f>
        <v>130059.2560366</v>
      </c>
      <c r="O33" s="191" ph="1">
        <f>G19</f>
        <v>24736.949428079999</v>
      </c>
      <c r="P33" s="195" ph="1">
        <f>L19</f>
        <v>28063.338433920002</v>
      </c>
      <c r="Q33" s="187" ph="1">
        <f>J10+N10</f>
        <v>100057.12746596</v>
      </c>
      <c r="R33" s="191" ph="1">
        <f>BE23</f>
        <v>890</v>
      </c>
      <c r="S33" s="195" ph="1">
        <f>X28</f>
        <v>209911.67520480003</v>
      </c>
      <c r="T33" s="187" ph="1">
        <f>X19</f>
        <v>13842.578291999998</v>
      </c>
      <c r="U33" s="176" ph="1">
        <f>BE21</f>
        <v>730</v>
      </c>
      <c r="V33" s="189" ph="1">
        <f ca="1">P19+Q19+S19+M28+N28+J28+D10+AC10+D19+E19+H19+J19+O19+V19+W19+K28+L28</f>
        <v>703827.07588979404</v>
      </c>
      <c r="W33" s="189" ph="1">
        <f>D28+F28+T28+I28</f>
        <v>65759.741392530006</v>
      </c>
      <c r="X33" s="191" ph="1">
        <f>BE29+BE31</f>
        <v>10200</v>
      </c>
      <c r="Y33" s="193" ph="1">
        <f>+Q10+R10+S10+T10+U10+V10+W10+X10+Y10</f>
        <v>118643.75786339999</v>
      </c>
      <c r="Z33" s="174" ph="1">
        <f>T19+U19+Y28+Z10</f>
        <v>108371.20474300001</v>
      </c>
      <c r="AA33" s="176" ph="1">
        <f>BE19</f>
        <v>1440</v>
      </c>
      <c r="AB33" s="178" ph="1">
        <f>I19</f>
        <v>28904.815202399997</v>
      </c>
      <c r="AC33" s="180" ph="1">
        <f>AD10+AB19</f>
        <v>66197.309875199993</v>
      </c>
      <c r="AD33" s="182" ph="1">
        <v>0</v>
      </c>
      <c r="AE33" s="183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9" ph="1"/>
      <c r="C34" s="210" ph="1"/>
      <c r="D34" s="188" ph="1"/>
      <c r="E34" s="188" ph="1"/>
      <c r="F34" s="212" ph="1"/>
      <c r="G34" s="214" ph="1"/>
      <c r="H34" s="188" ph="1"/>
      <c r="I34" s="192" ph="1"/>
      <c r="J34" s="196" ph="1"/>
      <c r="K34" s="188" ph="1"/>
      <c r="L34" s="198" ph="1"/>
      <c r="M34" s="196" ph="1"/>
      <c r="N34" s="188" ph="1"/>
      <c r="O34" s="192" ph="1"/>
      <c r="P34" s="196" ph="1"/>
      <c r="Q34" s="188" ph="1"/>
      <c r="R34" s="192" ph="1"/>
      <c r="S34" s="196" ph="1"/>
      <c r="T34" s="188"/>
      <c r="U34" s="177"/>
      <c r="V34" s="190" ph="1"/>
      <c r="W34" s="190" ph="1"/>
      <c r="X34" s="192" ph="1"/>
      <c r="Y34" s="194" ph="1"/>
      <c r="Z34" s="175" ph="1"/>
      <c r="AA34" s="177" ph="1"/>
      <c r="AB34" s="179"/>
      <c r="AC34" s="181"/>
      <c r="AD34" s="184"/>
      <c r="AE34" s="185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6" t="s" ph="1">
        <v>631</v>
      </c>
      <c r="AD35" s="186"/>
      <c r="AE35" s="186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2" t="s" ph="1">
        <v>183</v>
      </c>
      <c r="J36" s="172" ph="1"/>
      <c r="K36" s="101" ph="1"/>
      <c r="P36" s="101" ph="1"/>
      <c r="R36" s="172" t="s" ph="1">
        <v>184</v>
      </c>
      <c r="S36" s="172" ph="1"/>
      <c r="Y36" s="102" ph="1"/>
      <c r="Z36" s="159" t="s" ph="1">
        <v>185</v>
      </c>
      <c r="AA36" s="159" ph="1"/>
      <c r="AB36" s="173" t="s" ph="1">
        <v>643</v>
      </c>
      <c r="AC36" s="173" ph="1"/>
      <c r="AD36" s="173" ph="1"/>
      <c r="AE36" s="173" ph="1"/>
      <c r="BA36" s="64" ph="1">
        <v>2270</v>
      </c>
    </row>
    <row r="37" spans="1:57" s="159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9" t="s" ph="1">
        <v>342</v>
      </c>
      <c r="AI37" s="159" t="s" ph="1">
        <v>209</v>
      </c>
      <c r="AJ37" s="159" t="s" ph="1">
        <v>210</v>
      </c>
      <c r="AK37" s="159" t="s" ph="1">
        <v>211</v>
      </c>
      <c r="AM37" s="159" t="s" ph="1">
        <v>210</v>
      </c>
      <c r="AN37" s="159" t="s" ph="1">
        <v>211</v>
      </c>
      <c r="AO37" s="159" t="s" ph="1">
        <v>212</v>
      </c>
      <c r="AP37" s="159" t="s" ph="1">
        <v>210</v>
      </c>
      <c r="AQ37" s="159" t="s" ph="1">
        <v>211</v>
      </c>
      <c r="AR37" s="159" t="s" ph="1">
        <v>212</v>
      </c>
      <c r="AS37" s="159" t="s" ph="1">
        <v>210</v>
      </c>
      <c r="AT37" s="159" t="s" ph="1">
        <v>211</v>
      </c>
      <c r="AU37" s="159" t="s" ph="1">
        <v>212</v>
      </c>
      <c r="AV37" s="159" t="s" ph="1">
        <v>210</v>
      </c>
      <c r="AW37" s="159" t="s" ph="1">
        <v>211</v>
      </c>
      <c r="AX37" s="159" t="s" ph="1">
        <v>212</v>
      </c>
      <c r="AY37" s="159" t="s" ph="1">
        <v>211</v>
      </c>
      <c r="AZ37" s="159" t="s" ph="1">
        <v>213</v>
      </c>
      <c r="BD37" s="159" t="s" ph="1">
        <v>305</v>
      </c>
      <c r="BE37" s="159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P56" s="64" ph="1">
        <v>20260804</v>
      </c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1325" priority="102">
      <formula>ABS(D$7-D$10)&gt;=1000</formula>
    </cfRule>
  </conditionalFormatting>
  <conditionalFormatting sqref="E4 E6:E11">
    <cfRule type="expression" dxfId="1324" priority="101">
      <formula>ABS(E$7-E$10)&gt;=1000</formula>
    </cfRule>
  </conditionalFormatting>
  <conditionalFormatting sqref="F4:F11">
    <cfRule type="expression" dxfId="1323" priority="100">
      <formula>ABS(F$7-F$10)&gt;=1000</formula>
    </cfRule>
  </conditionalFormatting>
  <conditionalFormatting sqref="G4:G11">
    <cfRule type="expression" dxfId="1322" priority="99">
      <formula>ABS(G$7-G$10)&gt;=1000</formula>
    </cfRule>
  </conditionalFormatting>
  <conditionalFormatting sqref="H4:H11">
    <cfRule type="expression" dxfId="1321" priority="98">
      <formula>ABS(H$7-H$10)&gt;=1000</formula>
    </cfRule>
  </conditionalFormatting>
  <conditionalFormatting sqref="I4:I11">
    <cfRule type="expression" dxfId="1320" priority="97">
      <formula>ABS(I$7-I$10)&gt;=1000</formula>
    </cfRule>
  </conditionalFormatting>
  <conditionalFormatting sqref="J4:J11">
    <cfRule type="expression" dxfId="1319" priority="96">
      <formula>ABS(J$7-J$10)&gt;=1000</formula>
    </cfRule>
  </conditionalFormatting>
  <conditionalFormatting sqref="K4:K11">
    <cfRule type="expression" dxfId="1318" priority="95">
      <formula>ABS(K$7-K$10)&gt;=1000</formula>
    </cfRule>
  </conditionalFormatting>
  <conditionalFormatting sqref="L4:L11">
    <cfRule type="expression" dxfId="1317" priority="94">
      <formula>ABS(L$7-L$10)&gt;=1000</formula>
    </cfRule>
  </conditionalFormatting>
  <conditionalFormatting sqref="M4 M6:M11">
    <cfRule type="expression" dxfId="1316" priority="93">
      <formula>ABS(M$7-M$10)&gt;=1000</formula>
    </cfRule>
  </conditionalFormatting>
  <conditionalFormatting sqref="N4 N6:N11">
    <cfRule type="expression" dxfId="1315" priority="92">
      <formula>ABS(N$7-N$10)&gt;=1000</formula>
    </cfRule>
  </conditionalFormatting>
  <conditionalFormatting sqref="O4 O6:O11">
    <cfRule type="expression" dxfId="1314" priority="91">
      <formula>ABS(O$7-O$10)&gt;=1000</formula>
    </cfRule>
  </conditionalFormatting>
  <conditionalFormatting sqref="P4 P6:P11">
    <cfRule type="expression" dxfId="1313" priority="90">
      <formula>ABS(P$7-P$10)&gt;=1000</formula>
    </cfRule>
  </conditionalFormatting>
  <conditionalFormatting sqref="Q4:Q11">
    <cfRule type="expression" dxfId="1312" priority="89">
      <formula>ABS(Q$7-Q$10)&gt;=1000</formula>
    </cfRule>
  </conditionalFormatting>
  <conditionalFormatting sqref="R4:R11">
    <cfRule type="expression" dxfId="1311" priority="88">
      <formula>ABS(R$7-R$10)&gt;=1000</formula>
    </cfRule>
  </conditionalFormatting>
  <conditionalFormatting sqref="S4:S11">
    <cfRule type="expression" dxfId="1310" priority="87">
      <formula>ABS(S$7-S$10)&gt;=1000</formula>
    </cfRule>
  </conditionalFormatting>
  <conditionalFormatting sqref="T4:T9 T11">
    <cfRule type="expression" dxfId="1309" priority="86">
      <formula>ABS(T$7-T$10)&gt;=1000</formula>
    </cfRule>
  </conditionalFormatting>
  <conditionalFormatting sqref="U4:U9 U11">
    <cfRule type="expression" dxfId="1308" priority="85">
      <formula>ABS(U$7-U$10)&gt;=1000</formula>
    </cfRule>
  </conditionalFormatting>
  <conditionalFormatting sqref="V4:V9 V11">
    <cfRule type="expression" dxfId="1307" priority="84">
      <formula>ABS(V$7-V$10)&gt;=1000</formula>
    </cfRule>
  </conditionalFormatting>
  <conditionalFormatting sqref="W4:W9 W11">
    <cfRule type="expression" dxfId="1306" priority="83">
      <formula>ABS(W$7-W$10)&gt;=1000</formula>
    </cfRule>
  </conditionalFormatting>
  <conditionalFormatting sqref="X4:X9 X11">
    <cfRule type="expression" dxfId="1305" priority="82">
      <formula>ABS(X$7-X$10)&gt;=1000</formula>
    </cfRule>
  </conditionalFormatting>
  <conditionalFormatting sqref="Y4:Y9 Y11">
    <cfRule type="expression" dxfId="1304" priority="81">
      <formula>ABS(Y$7-Y$10)&gt;=1000</formula>
    </cfRule>
  </conditionalFormatting>
  <conditionalFormatting sqref="Z4:Z11">
    <cfRule type="expression" dxfId="1303" priority="80">
      <formula>ABS(Z$7-Z$10)&gt;=1000</formula>
    </cfRule>
  </conditionalFormatting>
  <conditionalFormatting sqref="AA4:AA11">
    <cfRule type="expression" dxfId="1302" priority="79">
      <formula>ABS(AA$7-AA$10)&gt;=1000</formula>
    </cfRule>
  </conditionalFormatting>
  <conditionalFormatting sqref="AB4:AB11">
    <cfRule type="expression" dxfId="1301" priority="78">
      <formula>ABS(AB$7-AB$10)&gt;=1000</formula>
    </cfRule>
  </conditionalFormatting>
  <conditionalFormatting sqref="AC4 AC6:AC11">
    <cfRule type="expression" dxfId="1300" priority="77">
      <formula>ABS(AC$7-AC$10)&gt;=1000</formula>
    </cfRule>
  </conditionalFormatting>
  <conditionalFormatting sqref="AD4 AD6:AD11">
    <cfRule type="expression" dxfId="1299" priority="76">
      <formula>ABS(AD$7-AD$10)&gt;=1000</formula>
    </cfRule>
  </conditionalFormatting>
  <conditionalFormatting sqref="AE4 AE6:AE11">
    <cfRule type="expression" dxfId="1298" priority="75">
      <formula>ABS(AE$7-AE$10)&gt;=1000</formula>
    </cfRule>
  </conditionalFormatting>
  <conditionalFormatting sqref="D13:D20">
    <cfRule type="expression" dxfId="1297" priority="74">
      <formula>ABS(D$16-D$19)&gt;=1000</formula>
    </cfRule>
  </conditionalFormatting>
  <conditionalFormatting sqref="E13:E20">
    <cfRule type="expression" dxfId="1296" priority="73">
      <formula>ABS(E$16-E$19)&gt;=1000</formula>
    </cfRule>
  </conditionalFormatting>
  <conditionalFormatting sqref="F13 F15:F20">
    <cfRule type="expression" dxfId="1295" priority="72">
      <formula>ABS(F$16-F$19)&gt;=1000</formula>
    </cfRule>
  </conditionalFormatting>
  <conditionalFormatting sqref="G13:G20">
    <cfRule type="expression" dxfId="1294" priority="71">
      <formula>ABS(G$16-G$19)&gt;=1000</formula>
    </cfRule>
  </conditionalFormatting>
  <conditionalFormatting sqref="H13 H15:H20">
    <cfRule type="expression" dxfId="1293" priority="70">
      <formula>ABS(H$16-H$19)&gt;=1000</formula>
    </cfRule>
  </conditionalFormatting>
  <conditionalFormatting sqref="I13:I20">
    <cfRule type="expression" dxfId="1292" priority="69">
      <formula>ABS(I$16-I$19)&gt;=1000</formula>
    </cfRule>
  </conditionalFormatting>
  <conditionalFormatting sqref="J13:J20">
    <cfRule type="expression" dxfId="1291" priority="68">
      <formula>ABS(J$16-J$19)&gt;=1000</formula>
    </cfRule>
  </conditionalFormatting>
  <conditionalFormatting sqref="L13:L20">
    <cfRule type="expression" dxfId="1290" priority="67">
      <formula>ABS(L$16-L$19)&gt;=1000</formula>
    </cfRule>
  </conditionalFormatting>
  <conditionalFormatting sqref="M13 M15 M17:M18 M20">
    <cfRule type="expression" dxfId="1289" priority="66">
      <formula>ABS(M$16-M$19)&gt;=1000</formula>
    </cfRule>
  </conditionalFormatting>
  <conditionalFormatting sqref="N13:N20">
    <cfRule type="expression" dxfId="1288" priority="65">
      <formula>ABS(N$16-N$19)&gt;=1000</formula>
    </cfRule>
  </conditionalFormatting>
  <conditionalFormatting sqref="O13:O20">
    <cfRule type="expression" dxfId="1287" priority="64">
      <formula>ABS(O$16-O$19)&gt;=1000</formula>
    </cfRule>
  </conditionalFormatting>
  <conditionalFormatting sqref="P13:P20">
    <cfRule type="expression" dxfId="1286" priority="63">
      <formula>ABS(P$16-P$19)&gt;=1000</formula>
    </cfRule>
  </conditionalFormatting>
  <conditionalFormatting sqref="Q13 Q15:Q20">
    <cfRule type="expression" dxfId="1285" priority="62">
      <formula>ABS(Q$16-Q$19)&gt;=1000</formula>
    </cfRule>
  </conditionalFormatting>
  <conditionalFormatting sqref="R13:R20">
    <cfRule type="expression" dxfId="1284" priority="61">
      <formula>ABS(R$16-R$19)&gt;=1000</formula>
    </cfRule>
  </conditionalFormatting>
  <conditionalFormatting sqref="S13:S20">
    <cfRule type="expression" dxfId="1283" priority="60">
      <formula>ABS(S$16-S$19)&gt;=1000</formula>
    </cfRule>
  </conditionalFormatting>
  <conditionalFormatting sqref="T13:T15 T17:T20">
    <cfRule type="expression" dxfId="1282" priority="59">
      <formula>ABS(T$16-T$19)&gt;=1000</formula>
    </cfRule>
  </conditionalFormatting>
  <conditionalFormatting sqref="U13:U20">
    <cfRule type="expression" dxfId="1281" priority="58">
      <formula>ABS(U$16-U$19)&gt;=1000</formula>
    </cfRule>
  </conditionalFormatting>
  <conditionalFormatting sqref="V13:V20">
    <cfRule type="expression" dxfId="1280" priority="57">
      <formula>ABS(V$16-V$19)&gt;=1000</formula>
    </cfRule>
  </conditionalFormatting>
  <conditionalFormatting sqref="W13 W20 W15:W18">
    <cfRule type="expression" dxfId="1279" priority="56">
      <formula>ABS(W$16-W$19)&gt;=1000</formula>
    </cfRule>
  </conditionalFormatting>
  <conditionalFormatting sqref="X13 X15:X20 Y19">
    <cfRule type="expression" dxfId="1278" priority="55">
      <formula>ABS(X$16-X$19)&gt;=1000</formula>
    </cfRule>
  </conditionalFormatting>
  <conditionalFormatting sqref="Y13 Y15:Y18 Y20">
    <cfRule type="expression" dxfId="1277" priority="54">
      <formula>ABS(Y$16-Y$19)&gt;=1000</formula>
    </cfRule>
  </conditionalFormatting>
  <conditionalFormatting sqref="Z13:Z20">
    <cfRule type="expression" dxfId="1276" priority="53">
      <formula>ABS(Z$16-Z$19)&gt;=1000</formula>
    </cfRule>
  </conditionalFormatting>
  <conditionalFormatting sqref="AA13:AA20">
    <cfRule type="expression" dxfId="1275" priority="52">
      <formula>ABS(AA$16-AA$19)&gt;=1000</formula>
    </cfRule>
  </conditionalFormatting>
  <conditionalFormatting sqref="AB13 AB15:AB20">
    <cfRule type="expression" dxfId="1274" priority="51">
      <formula>ABS(AB$16-AB$19)&gt;=1000</formula>
    </cfRule>
  </conditionalFormatting>
  <conditionalFormatting sqref="AC13 AC15:AC20">
    <cfRule type="expression" dxfId="1273" priority="50">
      <formula>ABS(AC$16-AC$19)&gt;=1000</formula>
    </cfRule>
  </conditionalFormatting>
  <conditionalFormatting sqref="AD13:AD20">
    <cfRule type="expression" dxfId="1272" priority="49">
      <formula>ABS(AD$16-AD$19)&gt;=1000</formula>
    </cfRule>
  </conditionalFormatting>
  <conditionalFormatting sqref="AE13:AE20">
    <cfRule type="expression" dxfId="1271" priority="48">
      <formula>ABS(AE$16-AE$19)&gt;=1000</formula>
    </cfRule>
  </conditionalFormatting>
  <conditionalFormatting sqref="D22:D29">
    <cfRule type="expression" dxfId="1270" priority="47">
      <formula>ABS(D$25-D$28)&gt;=1000</formula>
    </cfRule>
  </conditionalFormatting>
  <conditionalFormatting sqref="E22:E29">
    <cfRule type="expression" dxfId="1269" priority="46">
      <formula>ABS(E$25-E$28)&gt;=1000</formula>
    </cfRule>
  </conditionalFormatting>
  <conditionalFormatting sqref="F22:F29">
    <cfRule type="expression" dxfId="1268" priority="45">
      <formula>ABS(F$25-F$28)&gt;=1000</formula>
    </cfRule>
  </conditionalFormatting>
  <conditionalFormatting sqref="G22:G29">
    <cfRule type="expression" dxfId="1267" priority="44">
      <formula>ABS(G$25-G$28)&gt;=1000</formula>
    </cfRule>
  </conditionalFormatting>
  <conditionalFormatting sqref="H22:H29">
    <cfRule type="expression" dxfId="1266" priority="43">
      <formula>ABS(H$25-H$28)&gt;=1000</formula>
    </cfRule>
  </conditionalFormatting>
  <conditionalFormatting sqref="I22 I24:I29">
    <cfRule type="expression" dxfId="1265" priority="42">
      <formula>ABS(I$25-I$28)&gt;=1000</formula>
    </cfRule>
  </conditionalFormatting>
  <conditionalFormatting sqref="J22:J29 K22">
    <cfRule type="expression" dxfId="1264" priority="41">
      <formula>ABS(J$25-J$28)&gt;=1000</formula>
    </cfRule>
  </conditionalFormatting>
  <conditionalFormatting sqref="K23:K29 L25 L28">
    <cfRule type="expression" dxfId="1263" priority="40">
      <formula>ABS(K$25-K$28)&gt;=1000</formula>
    </cfRule>
  </conditionalFormatting>
  <conditionalFormatting sqref="L22 L26:L27 L29 L24">
    <cfRule type="expression" dxfId="1262" priority="39">
      <formula>ABS(L$25-L$28)&gt;=1000</formula>
    </cfRule>
  </conditionalFormatting>
  <conditionalFormatting sqref="M22:M29">
    <cfRule type="expression" dxfId="1261" priority="38">
      <formula>ABS(M$25-M$28)&gt;=1000</formula>
    </cfRule>
  </conditionalFormatting>
  <conditionalFormatting sqref="N22:N29">
    <cfRule type="expression" dxfId="1260" priority="37">
      <formula>ABS(N$25-N$28)&gt;=1000</formula>
    </cfRule>
  </conditionalFormatting>
  <conditionalFormatting sqref="O22 O24:O29">
    <cfRule type="expression" dxfId="1259" priority="36">
      <formula>ABS(O$25-O$28)&gt;=1000</formula>
    </cfRule>
  </conditionalFormatting>
  <conditionalFormatting sqref="P22:P29">
    <cfRule type="expression" dxfId="1258" priority="35">
      <formula>ABS(P$25-P$28)&gt;=1000</formula>
    </cfRule>
  </conditionalFormatting>
  <conditionalFormatting sqref="Q22:Q29">
    <cfRule type="expression" dxfId="1257" priority="34">
      <formula>ABS(Q$25-Q$28)&gt;=1000</formula>
    </cfRule>
  </conditionalFormatting>
  <conditionalFormatting sqref="R22:R29">
    <cfRule type="expression" dxfId="1256" priority="33">
      <formula>ABS(R$25-R$28)&gt;=1000</formula>
    </cfRule>
  </conditionalFormatting>
  <conditionalFormatting sqref="S22:S29">
    <cfRule type="expression" dxfId="1255" priority="32">
      <formula>ABS(S$25-S$28)&gt;=1000</formula>
    </cfRule>
  </conditionalFormatting>
  <conditionalFormatting sqref="T22:T29">
    <cfRule type="expression" dxfId="1254" priority="31">
      <formula>ABS(T$25-T$28)&gt;=1000</formula>
    </cfRule>
  </conditionalFormatting>
  <conditionalFormatting sqref="U22:U29">
    <cfRule type="expression" dxfId="1253" priority="30">
      <formula>ABS(U$25-U$28)&gt;=1000</formula>
    </cfRule>
  </conditionalFormatting>
  <conditionalFormatting sqref="V22:V29">
    <cfRule type="expression" dxfId="1252" priority="29">
      <formula>ABS(V$25-V$28)&gt;=1000</formula>
    </cfRule>
  </conditionalFormatting>
  <conditionalFormatting sqref="W22:W29">
    <cfRule type="expression" dxfId="1251" priority="28">
      <formula>ABS(W$25-W$28)&gt;=1000</formula>
    </cfRule>
  </conditionalFormatting>
  <conditionalFormatting sqref="X22:X29">
    <cfRule type="expression" dxfId="1250" priority="27">
      <formula>ABS(X$25-X$28)&gt;=1000</formula>
    </cfRule>
  </conditionalFormatting>
  <conditionalFormatting sqref="Y22:Y29">
    <cfRule type="expression" dxfId="1249" priority="26">
      <formula>ABS(Y$25-Y$28)&gt;=1000</formula>
    </cfRule>
  </conditionalFormatting>
  <conditionalFormatting sqref="I23">
    <cfRule type="expression" dxfId="1248" priority="25">
      <formula>ABS(I$25-I$28)&gt;=1000</formula>
    </cfRule>
  </conditionalFormatting>
  <conditionalFormatting sqref="Q14">
    <cfRule type="expression" dxfId="1247" priority="24">
      <formula>ABS(Q$16-Q$19)&gt;=1000</formula>
    </cfRule>
  </conditionalFormatting>
  <conditionalFormatting sqref="W14">
    <cfRule type="expression" dxfId="1246" priority="23">
      <formula>ABS(W$16-W$19)&gt;=1000</formula>
    </cfRule>
  </conditionalFormatting>
  <conditionalFormatting sqref="X14">
    <cfRule type="expression" dxfId="1245" priority="22">
      <formula>ABS(X$16-X$19)&gt;=1000</formula>
    </cfRule>
  </conditionalFormatting>
  <conditionalFormatting sqref="T10:Y10">
    <cfRule type="expression" dxfId="1244" priority="21">
      <formula>ABS(T$7-T$10)&gt;=1000</formula>
    </cfRule>
  </conditionalFormatting>
  <conditionalFormatting sqref="W19">
    <cfRule type="expression" dxfId="1243" priority="20">
      <formula>ABS(W$16-W$19)&gt;=1000</formula>
    </cfRule>
  </conditionalFormatting>
  <conditionalFormatting sqref="AC5">
    <cfRule type="expression" dxfId="1242" priority="19">
      <formula>ABS(AC$7-AC$10)&gt;=1000</formula>
    </cfRule>
  </conditionalFormatting>
  <conditionalFormatting sqref="M14">
    <cfRule type="expression" dxfId="1241" priority="18">
      <formula>ABS(M$16-M$19)&gt;=1000</formula>
    </cfRule>
  </conditionalFormatting>
  <conditionalFormatting sqref="M16">
    <cfRule type="expression" dxfId="1240" priority="17">
      <formula>ABS(M$16-M$19)&gt;=1000</formula>
    </cfRule>
  </conditionalFormatting>
  <conditionalFormatting sqref="M19">
    <cfRule type="expression" dxfId="1239" priority="16">
      <formula>ABS(M$16-M$19)&gt;=1000</formula>
    </cfRule>
  </conditionalFormatting>
  <conditionalFormatting sqref="K13:K20">
    <cfRule type="expression" dxfId="1238" priority="15">
      <formula>ABS(K$16-K$19)&gt;=1000</formula>
    </cfRule>
  </conditionalFormatting>
  <conditionalFormatting sqref="E5">
    <cfRule type="expression" dxfId="1237" priority="14">
      <formula>ABS(E$7-E$10)&gt;=1000</formula>
    </cfRule>
  </conditionalFormatting>
  <conditionalFormatting sqref="AB14:AC14">
    <cfRule type="expression" dxfId="1236" priority="13">
      <formula>ABS(AB$16-AB$19)&gt;=1000</formula>
    </cfRule>
  </conditionalFormatting>
  <conditionalFormatting sqref="M5">
    <cfRule type="expression" dxfId="1235" priority="12">
      <formula>ABS(M$7-M$10)&gt;=1000</formula>
    </cfRule>
  </conditionalFormatting>
  <conditionalFormatting sqref="N5">
    <cfRule type="expression" dxfId="1234" priority="11">
      <formula>ABS(N$7-N$10)&gt;=1000</formula>
    </cfRule>
  </conditionalFormatting>
  <conditionalFormatting sqref="O5">
    <cfRule type="expression" dxfId="1233" priority="10">
      <formula>ABS(O$7-O$10)&gt;=1000</formula>
    </cfRule>
  </conditionalFormatting>
  <conditionalFormatting sqref="P5">
    <cfRule type="expression" dxfId="1232" priority="9">
      <formula>ABS(P$7-P$10)&gt;=1000</formula>
    </cfRule>
  </conditionalFormatting>
  <conditionalFormatting sqref="L23">
    <cfRule type="expression" dxfId="1231" priority="8">
      <formula>ABS(L$25-L$28)&gt;=1000</formula>
    </cfRule>
  </conditionalFormatting>
  <conditionalFormatting sqref="Y14">
    <cfRule type="expression" dxfId="1230" priority="7">
      <formula>ABS(Y$16-Y$19)&gt;=1000</formula>
    </cfRule>
  </conditionalFormatting>
  <conditionalFormatting sqref="F14">
    <cfRule type="expression" dxfId="1229" priority="6">
      <formula>ABS(F$16-F$19)&gt;=1000</formula>
    </cfRule>
  </conditionalFormatting>
  <conditionalFormatting sqref="H14">
    <cfRule type="expression" dxfId="1228" priority="5">
      <formula>ABS(H$16-H$19)&gt;=1000</formula>
    </cfRule>
  </conditionalFormatting>
  <conditionalFormatting sqref="AD5">
    <cfRule type="expression" dxfId="1227" priority="4">
      <formula>ABS(AD$7-AD$10)&gt;=1000</formula>
    </cfRule>
  </conditionalFormatting>
  <conditionalFormatting sqref="AE5">
    <cfRule type="expression" dxfId="1226" priority="3">
      <formula>ABS(AE$7-AE$10)&gt;=1000</formula>
    </cfRule>
  </conditionalFormatting>
  <conditionalFormatting sqref="T16">
    <cfRule type="expression" dxfId="1225" priority="2">
      <formula>ABS(T$16-T$19)&gt;=1000</formula>
    </cfRule>
  </conditionalFormatting>
  <conditionalFormatting sqref="O23">
    <cfRule type="expression" dxfId="1224" priority="1">
      <formula>ABS(O$25-O$28)&gt;=1000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39905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957">
    <pageSetUpPr fitToPage="1"/>
  </sheetPr>
  <dimension ref="A1:CU223"/>
  <sheetViews>
    <sheetView view="pageBreakPreview" zoomScale="85" zoomScaleNormal="100" zoomScaleSheetLayoutView="85" workbookViewId="0">
      <selection activeCell="Z23" sqref="Z23:AE29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39" t="s" ph="1">
        <v>161</v>
      </c>
      <c r="C1" s="239" ph="1"/>
      <c r="D1" s="239" ph="1"/>
      <c r="E1" s="239" ph="1"/>
      <c r="F1" s="239" ph="1"/>
      <c r="G1" s="239" ph="1"/>
      <c r="H1" s="239" ph="1"/>
      <c r="I1" s="239" ph="1"/>
      <c r="J1" s="239" ph="1"/>
      <c r="K1" s="239" ph="1"/>
      <c r="L1" s="239" ph="1"/>
      <c r="M1" s="239" ph="1"/>
      <c r="N1" s="239" ph="1"/>
      <c r="O1" s="239" ph="1"/>
      <c r="P1" s="239" ph="1"/>
      <c r="Q1" s="239" ph="1"/>
      <c r="R1" s="239" ph="1"/>
      <c r="S1" s="239" ph="1"/>
      <c r="T1" s="239" ph="1"/>
      <c r="U1" s="239" ph="1"/>
      <c r="V1" s="239" ph="1"/>
      <c r="W1" s="239" ph="1"/>
      <c r="X1" s="239" ph="1"/>
      <c r="Y1" s="239" ph="1"/>
      <c r="Z1" s="239" ph="1"/>
      <c r="AA1" s="239" ph="1"/>
      <c r="AB1" s="239" ph="1"/>
      <c r="AC1" s="239" ph="1"/>
      <c r="AD1" s="239" ph="1"/>
      <c r="AE1" s="239" ph="1"/>
    </row>
    <row r="2" spans="1:99" s="66" customFormat="1" ht="24" customHeight="1" ph="1">
      <c r="B2" s="240" t="s" ph="1">
        <v>82</v>
      </c>
      <c r="C2" s="240" ph="1"/>
      <c r="D2" s="240" ph="1"/>
      <c r="E2" s="240" ph="1"/>
      <c r="F2" s="240" ph="1"/>
      <c r="G2" s="240" ph="1"/>
      <c r="H2" s="240" ph="1"/>
      <c r="I2" s="240" ph="1"/>
      <c r="J2" s="240" ph="1"/>
      <c r="K2" s="240" ph="1"/>
      <c r="L2" s="240" ph="1"/>
      <c r="M2" s="240" ph="1"/>
      <c r="N2" s="240" ph="1"/>
      <c r="O2" s="240" ph="1"/>
      <c r="P2" s="240" ph="1"/>
      <c r="Q2" s="240" ph="1"/>
      <c r="R2" s="240" ph="1"/>
      <c r="S2" s="240" ph="1"/>
      <c r="T2" s="240" ph="1"/>
      <c r="U2" s="240" ph="1"/>
      <c r="V2" s="240" ph="1"/>
      <c r="W2" s="240" ph="1"/>
      <c r="X2" s="240" ph="1"/>
      <c r="Y2" s="240" ph="1"/>
      <c r="Z2" s="240" ph="1"/>
      <c r="AA2" s="240" ph="1"/>
      <c r="AB2" s="240" ph="1"/>
      <c r="AC2" s="240" ph="1"/>
      <c r="AD2" s="240" ph="1"/>
      <c r="AE2" s="240" ph="1"/>
    </row>
    <row r="3" spans="1:99" ht="21" customHeight="1" ph="1">
      <c r="B3" s="241" ph="1">
        <v>46253</v>
      </c>
      <c r="C3" s="241"/>
      <c r="D3" s="241"/>
      <c r="E3" s="241"/>
      <c r="F3" s="241"/>
      <c r="G3" s="241"/>
      <c r="H3" s="241"/>
      <c r="I3" s="241"/>
      <c r="J3" s="241"/>
      <c r="K3" s="241"/>
      <c r="L3" s="241"/>
      <c r="M3" s="241"/>
      <c r="N3" s="241"/>
      <c r="O3" s="241"/>
      <c r="P3" s="241"/>
      <c r="Q3" s="241"/>
      <c r="R3" s="241"/>
      <c r="S3" s="241"/>
      <c r="T3" s="241"/>
      <c r="U3" s="241"/>
      <c r="V3" s="241"/>
      <c r="W3" s="241"/>
      <c r="X3" s="241"/>
      <c r="Y3" s="241"/>
      <c r="Z3" s="241"/>
      <c r="AA3" s="241"/>
      <c r="AB3" s="241"/>
      <c r="AC3" s="241"/>
      <c r="AD3" s="241"/>
      <c r="AE3" s="241"/>
    </row>
    <row r="4" spans="1:99" s="69" customFormat="1" ph="1">
      <c r="A4" s="65" ph="1"/>
      <c r="B4" s="220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0" ph="1"/>
      <c r="C5" s="67" t="s" ph="1">
        <v>36</v>
      </c>
      <c r="D5" s="70" t="s" ph="1">
        <v>160</v>
      </c>
      <c r="E5" s="142" t="s" ph="1">
        <v>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8" ph="1">
        <v>0.33333333333333331</v>
      </c>
      <c r="C6" s="157" t="s" ph="1">
        <v>177</v>
      </c>
      <c r="D6" s="71">
        <v>2852</v>
      </c>
      <c r="E6" s="71">
        <v>3584</v>
      </c>
      <c r="F6" s="71">
        <v>5947</v>
      </c>
      <c r="G6" s="71">
        <v>7602</v>
      </c>
      <c r="H6" s="71">
        <v>1332</v>
      </c>
      <c r="I6" s="71">
        <v>17.57</v>
      </c>
      <c r="J6" s="71">
        <v>77.040000000000006</v>
      </c>
      <c r="K6" s="71">
        <v>7.36</v>
      </c>
      <c r="L6" s="71">
        <v>7.2</v>
      </c>
      <c r="M6" s="71">
        <v>4254</v>
      </c>
      <c r="N6" s="71">
        <v>3198</v>
      </c>
      <c r="O6" s="71">
        <v>1024</v>
      </c>
      <c r="P6" s="71">
        <v>1079</v>
      </c>
      <c r="Q6" s="71">
        <v>1550</v>
      </c>
      <c r="R6" s="71">
        <v>0</v>
      </c>
      <c r="S6" s="71">
        <v>0</v>
      </c>
      <c r="T6" s="71">
        <v>2852</v>
      </c>
      <c r="U6" s="71">
        <v>4425</v>
      </c>
      <c r="V6" s="71">
        <v>2501</v>
      </c>
      <c r="W6" s="71">
        <v>0</v>
      </c>
      <c r="X6" s="71">
        <v>0</v>
      </c>
      <c r="Y6" s="71">
        <v>0</v>
      </c>
      <c r="Z6" s="71">
        <v>970</v>
      </c>
      <c r="AA6" s="71">
        <v>1305</v>
      </c>
      <c r="AB6" s="71">
        <v>2371</v>
      </c>
      <c r="AC6" s="71">
        <v>5770</v>
      </c>
      <c r="AD6" s="71">
        <v>3383</v>
      </c>
      <c r="AE6" s="71">
        <v>4765</v>
      </c>
    </row>
    <row r="7" spans="1:99" s="72" customFormat="1" ht="22.2" ph="1">
      <c r="B7" s="238" ph="1"/>
      <c r="C7" s="68" t="s" ph="1">
        <v>178</v>
      </c>
      <c r="D7" s="73" ph="1">
        <f>D6*33.183*LOOKUP(D8,密度!$A$2:$A$50,密度!$Q$2:$Q$50)</f>
        <v>89015.477410439998</v>
      </c>
      <c r="E7" s="73" ph="1">
        <f>E6*51.53*LOOKUP(E8,密度!$A$2:$A$50,密度!$B$2:$B$50)</f>
        <v>143351.34822400002</v>
      </c>
      <c r="F7" s="73" ph="1">
        <f>F6*33.183*LOOKUP(F8,密度!$A$2:$A$50,密度!$C$2:$C$50)</f>
        <v>218237.53297590002</v>
      </c>
      <c r="G7" s="73" ph="1">
        <f xml:space="preserve"> (G6+2)*51.53*LOOKUP(G8,密度!$A$2:$A$50,密度!$B$2:$B$50)</f>
        <v>303788.99323600001</v>
      </c>
      <c r="H7" s="73" ph="1">
        <f>(H6)*51.53*LOOKUP(H8,密度!$A$2:$A$50,密度!$B$2:$B$50)</f>
        <v>53331.694920000009</v>
      </c>
      <c r="I7" s="73" ph="1">
        <f>I6*290.8*1.0267</f>
        <v>5245.7758052000008</v>
      </c>
      <c r="J7" s="73" ph="1">
        <f>J6*290.8*0.7892</f>
        <v>17680.630694400003</v>
      </c>
      <c r="K7" s="73" ph="1">
        <f>K6*290.8*1.1126</f>
        <v>2381.2844288000001</v>
      </c>
      <c r="L7" s="73" ph="1">
        <f>L6*290.8*0.777</f>
        <v>1626.8515200000002</v>
      </c>
      <c r="M7" s="73" ph="1">
        <f>M6*33.183*LOOKUP(M8,密度!$A$2:$A$50,密度!$D$2:$D$50)</f>
        <v>144266.01260399999</v>
      </c>
      <c r="N7" s="73" ph="1">
        <f>N6*33.183*LOOKUP(N8,密度!$A$2:$A$50,密度!$E$2:$E$50)</f>
        <v>82518.316358399999</v>
      </c>
      <c r="O7" s="73" ph="1">
        <f>O6*20.428*LOOKUP(O8,密度!$A$2:$A$50,密度!$C$2:$C$50)</f>
        <v>23116.782387200001</v>
      </c>
      <c r="P7" s="73" ph="1">
        <f>P6*51.53*LOOKUP(P8,密度!$A$2:$A$50,密度!$B$2:$B$50)</f>
        <v>43251.916773000004</v>
      </c>
      <c r="Q7" s="73" ph="1">
        <f>Q6*1.5*1.5*3.1416*LOOKUP(W8,密度!$A$2:$A$50,密度!$L$2:$L$50)</f>
        <v>10233.212220000001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18909.7490736</v>
      </c>
      <c r="U7" s="73" ph="1">
        <f>U6*1.5*1.5*3.1416*LOOKUP(U8,密度!$A$2:$A$50,密度!$L$2:$L$50)</f>
        <v>29245.448925000001</v>
      </c>
      <c r="V7" s="73" ph="1">
        <f>V6*1.5*1.5*3.1416*LOOKUP(V8,密度!$A$2:$A$50,密度!$L$2:$L$50)</f>
        <v>16511.783072400001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30127.50936</v>
      </c>
      <c r="AA7" s="73" ph="1">
        <f>AA6*33.183*LOOKUP(AA8,密度!$A$2:$A$50,密度!$D$2:$D$50)</f>
        <v>44256.498930000002</v>
      </c>
      <c r="AB7" s="73" ph="1">
        <f>AB6*20.428*LOOKUP(AB8,密度!$A$2:$A$50,密度!$D$2:$D$50)</f>
        <v>49820.0229368</v>
      </c>
      <c r="AC7" s="73" ph="1">
        <f>AC6*51.53*LOOKUP(AC8,密度!$A$2:$A$50,密度!$Q$2:$Q$50)</f>
        <v>280862.06982200005</v>
      </c>
      <c r="AD7" s="73" ph="1">
        <f>AD6*20.428*LOOKUP(AD8,密度!$A$2:$A$50,密度!$V$2:$V$50)</f>
        <v>66177.748022400003</v>
      </c>
      <c r="AE7" s="73" ph="1">
        <f>AE6*20.428</f>
        <v>97339.42</v>
      </c>
    </row>
    <row r="8" spans="1:99" ph="1">
      <c r="B8" s="238" ph="1"/>
      <c r="C8" s="68" t="s" ph="1">
        <v>179</v>
      </c>
      <c r="D8" s="74">
        <v>34</v>
      </c>
      <c r="E8" s="74">
        <v>29</v>
      </c>
      <c r="F8" s="74">
        <v>29</v>
      </c>
      <c r="G8" s="74">
        <v>30</v>
      </c>
      <c r="H8" s="74">
        <v>28</v>
      </c>
      <c r="I8" s="74">
        <v>25</v>
      </c>
      <c r="J8" s="74">
        <v>25</v>
      </c>
      <c r="K8" s="74">
        <v>25</v>
      </c>
      <c r="L8" s="74">
        <v>25</v>
      </c>
      <c r="M8" s="74">
        <v>30</v>
      </c>
      <c r="N8" s="74">
        <v>30</v>
      </c>
      <c r="O8" s="74">
        <v>30</v>
      </c>
      <c r="P8" s="74">
        <v>27</v>
      </c>
      <c r="Q8" s="74">
        <v>33</v>
      </c>
      <c r="R8" s="74">
        <v>35</v>
      </c>
      <c r="S8" s="74">
        <v>27</v>
      </c>
      <c r="T8" s="74">
        <v>24</v>
      </c>
      <c r="U8" s="74">
        <v>27</v>
      </c>
      <c r="V8" s="74">
        <v>28</v>
      </c>
      <c r="W8" s="74">
        <v>28</v>
      </c>
      <c r="X8" s="74">
        <v>20</v>
      </c>
      <c r="Y8" s="74">
        <v>30</v>
      </c>
      <c r="Z8" s="74">
        <v>26</v>
      </c>
      <c r="AA8" s="74">
        <v>30</v>
      </c>
      <c r="AB8" s="74">
        <v>23</v>
      </c>
      <c r="AC8" s="74">
        <v>28</v>
      </c>
      <c r="AD8" s="74">
        <v>27</v>
      </c>
      <c r="AE8" s="74">
        <v>30</v>
      </c>
    </row>
    <row r="9" spans="1:99" ht="26.4" ph="1">
      <c r="B9" s="238" ph="1">
        <v>0.66666666666666663</v>
      </c>
      <c r="C9" s="157" t="s" ph="1">
        <v>180</v>
      </c>
      <c r="D9" s="71">
        <v>3229</v>
      </c>
      <c r="E9" s="71">
        <v>3583</v>
      </c>
      <c r="F9" s="71">
        <v>5950</v>
      </c>
      <c r="G9" s="71">
        <v>7029</v>
      </c>
      <c r="H9" s="71">
        <v>1332</v>
      </c>
      <c r="I9" s="71">
        <v>17.55</v>
      </c>
      <c r="J9" s="71">
        <v>77.2</v>
      </c>
      <c r="K9" s="71">
        <v>7.37</v>
      </c>
      <c r="L9" s="71">
        <v>90.92</v>
      </c>
      <c r="M9" s="71">
        <v>4255</v>
      </c>
      <c r="N9" s="71">
        <v>2910</v>
      </c>
      <c r="O9" s="71">
        <v>139</v>
      </c>
      <c r="P9" s="71">
        <v>1123</v>
      </c>
      <c r="Q9" s="71">
        <v>1550</v>
      </c>
      <c r="R9" s="71">
        <v>0</v>
      </c>
      <c r="S9" s="71">
        <v>0</v>
      </c>
      <c r="T9" s="71">
        <v>0</v>
      </c>
      <c r="U9" s="71">
        <v>4394</v>
      </c>
      <c r="V9" s="71">
        <v>5182</v>
      </c>
      <c r="W9" s="71">
        <v>0</v>
      </c>
      <c r="X9" s="71">
        <v>0</v>
      </c>
      <c r="Y9" s="71">
        <v>0</v>
      </c>
      <c r="Z9" s="71">
        <v>965</v>
      </c>
      <c r="AA9" s="71">
        <v>1305</v>
      </c>
      <c r="AB9" s="71">
        <v>2371</v>
      </c>
      <c r="AC9" s="71">
        <v>5735</v>
      </c>
      <c r="AD9" s="71">
        <v>2391</v>
      </c>
      <c r="AE9" s="71">
        <v>4743</v>
      </c>
    </row>
    <row r="10" spans="1:99" s="72" customFormat="1" ht="22.2" ph="1">
      <c r="B10" s="238" ph="1"/>
      <c r="C10" s="157" t="s" ph="1">
        <v>178</v>
      </c>
      <c r="D10" s="73" ph="1">
        <f>D9*33.183*LOOKUP(D11,密度!$A$2:$A$50,密度!$Q$2:$Q$50)</f>
        <v>100782.24984513001</v>
      </c>
      <c r="E10" s="73" ph="1">
        <f>E9*51.53*LOOKUP(E11,密度!$A$2:$A$50,密度!$B$2:$B$50)</f>
        <v>142332.801091</v>
      </c>
      <c r="F10" s="73" ph="1">
        <f>F9*33.183*LOOKUP(F11,密度!$A$2:$A$50,密度!$C$2:$C$50)</f>
        <v>218347.62421500002</v>
      </c>
      <c r="G10" s="73" ph="1">
        <f xml:space="preserve"> (G9+2)*51.53*LOOKUP(G11,密度!$A$2:$A$50,密度!$B$2:$B$50)</f>
        <v>279302.79778700002</v>
      </c>
      <c r="H10" s="73" ph="1">
        <f>(H9)*51.53*LOOKUP(H11,密度!$A$2:$A$50,密度!$B$2:$B$50)</f>
        <v>52913.003364000004</v>
      </c>
      <c r="I10" s="73" ph="1">
        <f>I9*290.8*1.0267</f>
        <v>5239.8045179999999</v>
      </c>
      <c r="J10" s="73" ph="1">
        <f>J9*290.8*0.7892</f>
        <v>17717.350592000003</v>
      </c>
      <c r="K10" s="73" ph="1">
        <f>K9*290.8*1.1126</f>
        <v>2384.5198695999998</v>
      </c>
      <c r="L10" s="73" ph="1">
        <f>L9*290.8*0.777</f>
        <v>20543.519472</v>
      </c>
      <c r="M10" s="73" ph="1">
        <f>M9*33.183*LOOKUP(M11,密度!$A$2:$A$50,密度!$D$2:$D$50)</f>
        <v>143805.7478025</v>
      </c>
      <c r="N10" s="73" ph="1">
        <f>N9*33.183*LOOKUP(N11,密度!$A$2:$A$50,密度!$E$2:$E$50)</f>
        <v>74757.745100700005</v>
      </c>
      <c r="O10" s="73" ph="1">
        <f>O9*20.428*LOOKUP(O11,密度!$A$2:$A$50,密度!$C$2:$C$50)</f>
        <v>3102.1450100000002</v>
      </c>
      <c r="P10" s="73" ph="1">
        <f>P9*51.53*LOOKUP(P11,密度!$A$2:$A$50,密度!$B$2:$B$50)</f>
        <v>44714.750413000002</v>
      </c>
      <c r="Q10" s="73" ph="1">
        <f>Q9*1.5*1.5*3.1416*LOOKUP(W11,密度!$A$2:$A$50,密度!$L$2:$L$50)</f>
        <v>10090.779930000001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28978.446697200001</v>
      </c>
      <c r="V10" s="73" ph="1">
        <f>V9*1.5*1.5*3.1416*LOOKUP(V11,密度!$A$2:$A$50,密度!$L$2:$L$50)</f>
        <v>34211.939176800006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0</v>
      </c>
      <c r="Z10" s="73" ph="1">
        <f>Z9*33.183*LOOKUP(Z11,密度!$A$2:$A$50,密度!$L$2:$L$50)</f>
        <v>29876.148135000003</v>
      </c>
      <c r="AA10" s="73" ph="1">
        <f>AA9*33.183*LOOKUP(AA11,密度!$A$2:$A$50,密度!$D$2:$D$50)</f>
        <v>44065.962144000005</v>
      </c>
      <c r="AB10" s="73" ph="1">
        <f>AB9*20.428*LOOKUP(AB11,密度!$A$2:$A$50,密度!$D$2:$D$50)</f>
        <v>49912.049033999996</v>
      </c>
      <c r="AC10" s="73" ph="1">
        <f>AC9*51.53*LOOKUP(AC11,密度!$A$2:$A$50,密度!$Q$2:$Q$50)</f>
        <v>278555.53033899999</v>
      </c>
      <c r="AD10" s="73" ph="1">
        <f>AD9*20.428*LOOKUP(AD11,密度!$A$2:$A$50,密度!$V$2:$V$50)</f>
        <v>46772.390044800006</v>
      </c>
      <c r="AE10" s="73" ph="1">
        <f>AE9*20.428</f>
        <v>96890.004000000001</v>
      </c>
    </row>
    <row r="11" spans="1:99" ph="1">
      <c r="A11" s="64" t="s" ph="1">
        <v>162</v>
      </c>
      <c r="B11" s="238" ph="1"/>
      <c r="C11" s="157" t="s" ph="1">
        <v>179</v>
      </c>
      <c r="D11" s="74">
        <v>34</v>
      </c>
      <c r="E11" s="74">
        <v>35</v>
      </c>
      <c r="F11" s="74">
        <v>29</v>
      </c>
      <c r="G11" s="74">
        <v>35</v>
      </c>
      <c r="H11" s="74">
        <v>35</v>
      </c>
      <c r="I11" s="74">
        <v>25</v>
      </c>
      <c r="J11" s="74">
        <v>25</v>
      </c>
      <c r="K11" s="74">
        <v>25</v>
      </c>
      <c r="L11" s="74">
        <v>25</v>
      </c>
      <c r="M11" s="74">
        <v>34</v>
      </c>
      <c r="N11" s="74">
        <v>33</v>
      </c>
      <c r="O11" s="74">
        <v>42</v>
      </c>
      <c r="P11" s="74">
        <v>33</v>
      </c>
      <c r="Q11" s="74">
        <v>35</v>
      </c>
      <c r="R11" s="74">
        <v>40</v>
      </c>
      <c r="S11" s="74">
        <v>30</v>
      </c>
      <c r="T11" s="74">
        <v>34</v>
      </c>
      <c r="U11" s="74">
        <v>29</v>
      </c>
      <c r="V11" s="74">
        <v>28</v>
      </c>
      <c r="W11" s="74">
        <v>41</v>
      </c>
      <c r="X11" s="74">
        <v>29</v>
      </c>
      <c r="Y11" s="74">
        <v>34</v>
      </c>
      <c r="Z11" s="74">
        <v>29</v>
      </c>
      <c r="AA11" s="74">
        <v>35</v>
      </c>
      <c r="AB11" s="74">
        <v>21</v>
      </c>
      <c r="AC11" s="74">
        <v>31</v>
      </c>
      <c r="AD11" s="74">
        <v>34</v>
      </c>
      <c r="AE11" s="74">
        <v>33</v>
      </c>
    </row>
    <row r="12" spans="1:99" ht="9.9" customHeight="1" ph="1"/>
    <row r="13" spans="1:99" s="72" customFormat="1" ht="29.25" customHeight="1" ph="1">
      <c r="B13" s="215" t="s" ph="1">
        <v>37</v>
      </c>
      <c r="C13" s="157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6" ph="1"/>
      <c r="C14" s="67" t="s" ph="1">
        <v>36</v>
      </c>
      <c r="D14" s="77" t="s" ph="1">
        <v>616</v>
      </c>
      <c r="E14" s="77" t="s" ph="1">
        <v>616</v>
      </c>
      <c r="F14" s="144" t="s" ph="1">
        <v>636</v>
      </c>
      <c r="G14" s="77" t="s" ph="1">
        <v>617</v>
      </c>
      <c r="H14" s="77" t="s" ph="1">
        <v>637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638</v>
      </c>
      <c r="P14" s="77" t="s" ph="1">
        <v>622</v>
      </c>
      <c r="Q14" s="77" t="s" ph="1">
        <v>622</v>
      </c>
      <c r="R14" s="88" t="s" ph="1">
        <v>7</v>
      </c>
      <c r="S14" s="77" t="s" ph="1">
        <v>622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17" ph="1">
        <v>0.33333333333333331</v>
      </c>
      <c r="C15" s="157" t="s" ph="1">
        <v>177</v>
      </c>
      <c r="D15" s="78">
        <v>5934</v>
      </c>
      <c r="E15" s="78">
        <v>3131</v>
      </c>
      <c r="F15" s="78">
        <v>2312</v>
      </c>
      <c r="G15" s="78">
        <v>3793</v>
      </c>
      <c r="H15" s="78">
        <v>4368</v>
      </c>
      <c r="I15" s="78">
        <v>3130</v>
      </c>
      <c r="J15" s="78">
        <v>583</v>
      </c>
      <c r="K15" s="78">
        <v>3660</v>
      </c>
      <c r="L15" s="78">
        <v>3969</v>
      </c>
      <c r="M15" s="78">
        <v>3950</v>
      </c>
      <c r="N15" s="78">
        <v>480</v>
      </c>
      <c r="O15" s="78">
        <v>4256</v>
      </c>
      <c r="P15" s="78">
        <v>6549</v>
      </c>
      <c r="Q15" s="78">
        <v>5603</v>
      </c>
      <c r="R15" s="78">
        <v>0</v>
      </c>
      <c r="S15" s="78">
        <v>189</v>
      </c>
      <c r="T15" s="78">
        <v>1005</v>
      </c>
      <c r="U15" s="78">
        <v>1819</v>
      </c>
      <c r="V15" s="78">
        <v>-817</v>
      </c>
      <c r="W15" s="71">
        <v>-785</v>
      </c>
      <c r="X15" s="78">
        <v>861</v>
      </c>
      <c r="Y15" s="106">
        <v>-9908</v>
      </c>
      <c r="Z15" s="78">
        <v>0</v>
      </c>
      <c r="AA15" s="78">
        <v>2488</v>
      </c>
      <c r="AB15" s="78" ph="1">
        <v>0</v>
      </c>
      <c r="AC15" s="78" ph="1">
        <v>0</v>
      </c>
      <c r="AD15" s="78">
        <v>5.63</v>
      </c>
      <c r="AE15" s="78">
        <v>44.31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18" ph="1"/>
      <c r="C16" s="157" t="s" ph="1">
        <v>178</v>
      </c>
      <c r="D16" s="73" ph="1">
        <f>D15*7.0686*LOOKUP(D17,密度!$A$2:$A$50,密度!$L$2:$L$50)</f>
        <v>39050.862404400003</v>
      </c>
      <c r="E16" s="73" ph="1">
        <f>E15*7.0686*LOOKUP(E17,密度!$A$2:$A$50,密度!$L$2:$L$50)</f>
        <v>20604.693324600001</v>
      </c>
      <c r="F16" s="73" ph="1">
        <f>F15*9.0746*LOOKUP(F17,密度!$A$2:$A$50,密度!$L$2:$L$50)</f>
        <v>19553.802886400001</v>
      </c>
      <c r="G16" s="73" ph="1">
        <f>G15*9.0746*LOOKUP(G17,密度!$A$2:$A$50,密度!$B$2:$B$50)</f>
        <v>26716.771244360003</v>
      </c>
      <c r="H16" s="73" ph="1">
        <f>H15*9.0746*LOOKUP(H17,密度!$A$2:$A$50,密度!$L$2:$L$50)</f>
        <v>37140.668073600005</v>
      </c>
      <c r="I16" s="73" ph="1">
        <f>I15*9.0746*LOOKUP(I17,密度!$A$2:$A$50,密度!$U$2:$U$50)</f>
        <v>29056.778453999996</v>
      </c>
      <c r="J16" s="73" ph="1">
        <f>J15*9.0746*LOOKUP(J17,密度!$A$2:$A$50,密度!$L$2:$L$50)</f>
        <v>4930.7383576000002</v>
      </c>
      <c r="K16" s="73" ph="1">
        <f>K15*9.0746*LOOKUP(K17,密度!$A$2:$A$50,密度!$C$2:$C$50)</f>
        <v>36730.296512400004</v>
      </c>
      <c r="L16" s="73" ph="1">
        <f>L15*9.0746*LOOKUP(L17,密度!$A$2:$A$50,密度!$E$2:$E$50)</f>
        <v>28046.505958380003</v>
      </c>
      <c r="M16" s="73" ph="1">
        <f>M15*9.0746*LOOKUP(M17,密度!$A$2:$A$50,密度!$M$2:$M$50)</f>
        <v>31144.358422900001</v>
      </c>
      <c r="N16" s="73" ph="1">
        <f>N15*9.0746*LOOKUP(N17,密度!$A$2:$A$50,密度!$M$2:$M$50)</f>
        <v>3803.0559647999999</v>
      </c>
      <c r="O16" s="73" ph="1">
        <f>O15*9.0746*LOOKUP(O17,密度!$A$2:$A$50,密度!$G$2:$G$50)</f>
        <v>36871.943758720001</v>
      </c>
      <c r="P16" s="73" ph="1">
        <f ca="1">P15*9.0746*LOOKUP(P17,密度!$A$2:$A$51,密度!$Q$2:$Q$50)</f>
        <v>56061.682495482004</v>
      </c>
      <c r="Q16" s="73" ph="1">
        <f>Q15*9.0746*LOOKUP(Q17,密度!$A$2:$A$50,密度!$Q$2:$Q$50)</f>
        <v>47925.464830204</v>
      </c>
      <c r="R16" s="73" ph="1">
        <f>MAX(R15*9.0746*LOOKUP(R17,密度!$A$2:$A$50,密度!$B$2:$B$50),0)</f>
        <v>0</v>
      </c>
      <c r="S16" s="73" ph="1">
        <f>S15*9.0746*LOOKUP(S17,密度!$A$2:$A$50,密度!$Q$2:$Q$50)</f>
        <v>1618.9337766420001</v>
      </c>
      <c r="T16" s="73" ph="1">
        <f>T15*9.0746*LOOKUP(T17,密度!$A$2:$A$50,密度!$O$2:$O$50)</f>
        <v>8445.0949980000005</v>
      </c>
      <c r="U16" s="73" ph="1">
        <f>U15*9.0746*LOOKUP(U17,密度!$A$2:$A$50,密度!$H$2:$H$50)</f>
        <v>15037.601331400001</v>
      </c>
      <c r="V16" s="73" ph="1">
        <f>MAX(5600*LOOKUP(V17,密度!$A$2:$A$50,密度!$Q$2:$Q$50)+V15*9.0476*LOOKUP(V17,密度!$A$2:$A$50,密度!$Q$2:$Q$50),0)</f>
        <v>0</v>
      </c>
      <c r="W16" s="73" ph="1">
        <f>MAX(5600*LOOKUP(W17,密度!$A$2:$A$50,密度!$Q$2:$Q$50)+W15*9.0476*LOOKUP(W17,密度!$A$2:$A$50,密度!$Q$2:$Q$50),0)</f>
        <v>0</v>
      </c>
      <c r="X16" s="73" ph="1">
        <f>MAX(5600*LOOKUP(X17,密度!$A$2:$A$50,密度!$I$2:$I$50)+X15*9.0476*LOOKUP(X17,密度!$A$2:$A$50,密度!$I$2:$I$50),0)</f>
        <v>13866.667016160001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17504.417001440001</v>
      </c>
      <c r="AB16" s="73" ph="1">
        <f>AB15*9.0746*LOOKUP(AB17,密度!$A$2:$A$50,密度!$L$2:$L$50)</f>
        <v>0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2400.1298846399995</v>
      </c>
      <c r="AE16" s="73" ph="1">
        <f>AE15*268.68*LOOKUP(AE17,密度!$A$2:$A$50,密度!B2:B50)+IF(AE15&lt;=0,0,1566*LOOKUP(AE17,密度!$A$2:$A$50,密度!B2:B50))</f>
        <v>10502.15593968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19" ph="1"/>
      <c r="C17" s="79" t="s" ph="1">
        <v>179</v>
      </c>
      <c r="D17" s="74">
        <v>31</v>
      </c>
      <c r="E17" s="74">
        <v>31</v>
      </c>
      <c r="F17" s="74">
        <v>30</v>
      </c>
      <c r="G17" s="74">
        <v>29</v>
      </c>
      <c r="H17" s="74">
        <v>25</v>
      </c>
      <c r="I17" s="74">
        <v>27</v>
      </c>
      <c r="J17" s="74">
        <v>30</v>
      </c>
      <c r="K17" s="74">
        <v>29</v>
      </c>
      <c r="L17" s="74">
        <v>29</v>
      </c>
      <c r="M17" s="74">
        <v>31</v>
      </c>
      <c r="N17" s="74">
        <v>27</v>
      </c>
      <c r="O17" s="74">
        <v>30</v>
      </c>
      <c r="P17" s="74">
        <v>30</v>
      </c>
      <c r="Q17" s="74">
        <v>31</v>
      </c>
      <c r="R17" s="74">
        <v>30</v>
      </c>
      <c r="S17" s="74">
        <v>29</v>
      </c>
      <c r="T17" s="74">
        <v>29</v>
      </c>
      <c r="U17" s="74">
        <v>29</v>
      </c>
      <c r="V17" s="74">
        <v>30</v>
      </c>
      <c r="W17" s="74">
        <v>30</v>
      </c>
      <c r="X17" s="74">
        <v>31</v>
      </c>
      <c r="Y17" s="108">
        <v>31</v>
      </c>
      <c r="Z17" s="74">
        <v>29</v>
      </c>
      <c r="AA17" s="74">
        <v>30</v>
      </c>
      <c r="AB17" s="74">
        <v>28</v>
      </c>
      <c r="AC17" s="74">
        <v>28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17" ph="1">
        <v>0.66666666666666663</v>
      </c>
      <c r="C18" s="79" t="s" ph="1">
        <v>180</v>
      </c>
      <c r="D18" s="71">
        <v>5189</v>
      </c>
      <c r="E18" s="71">
        <v>2985</v>
      </c>
      <c r="F18" s="71">
        <v>2504</v>
      </c>
      <c r="G18" s="71">
        <v>3939</v>
      </c>
      <c r="H18" s="71">
        <v>4372</v>
      </c>
      <c r="I18" s="71">
        <v>3122</v>
      </c>
      <c r="J18" s="71">
        <v>661</v>
      </c>
      <c r="K18" s="71">
        <v>3662</v>
      </c>
      <c r="L18" s="71">
        <v>3978</v>
      </c>
      <c r="M18" s="71">
        <v>1006</v>
      </c>
      <c r="N18" s="71">
        <v>481</v>
      </c>
      <c r="O18" s="71">
        <v>4556</v>
      </c>
      <c r="P18" s="71">
        <v>6557</v>
      </c>
      <c r="Q18" s="71">
        <v>3950</v>
      </c>
      <c r="R18" s="71">
        <v>0</v>
      </c>
      <c r="S18" s="71">
        <v>190</v>
      </c>
      <c r="T18" s="71">
        <v>1004</v>
      </c>
      <c r="U18" s="71">
        <v>1820</v>
      </c>
      <c r="V18" s="71">
        <v>-817</v>
      </c>
      <c r="W18" s="71">
        <v>-149</v>
      </c>
      <c r="X18" s="71">
        <v>861</v>
      </c>
      <c r="Y18" s="109">
        <v>-9908</v>
      </c>
      <c r="Z18" s="71">
        <v>0</v>
      </c>
      <c r="AA18" s="71">
        <v>2490</v>
      </c>
      <c r="AB18" s="71">
        <v>0</v>
      </c>
      <c r="AC18" s="71">
        <v>0</v>
      </c>
      <c r="AD18" s="71">
        <v>15.58</v>
      </c>
      <c r="AE18" s="71">
        <v>84.58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18" ph="1"/>
      <c r="C19" s="157" t="s" ph="1">
        <v>178</v>
      </c>
      <c r="D19" s="73" ph="1">
        <f>D18*7.0686*LOOKUP(D20,密度!$A$2:$A$50,密度!$L$2:$L$50)</f>
        <v>34074.758856600005</v>
      </c>
      <c r="E19" s="73" ph="1">
        <f>E18*7.0686*LOOKUP(E20,密度!$A$2:$A$50,密度!$L$2:$L$50)</f>
        <v>19601.687259000002</v>
      </c>
      <c r="F19" s="73" ph="1">
        <f>F18*9.0746*LOOKUP(F20,密度!$A$2:$A$50,密度!$L$2:$L$50)</f>
        <v>21086.7569152</v>
      </c>
      <c r="G19" s="73" ph="1">
        <f>G18*9.0746*LOOKUP(G20,密度!$A$2:$A$50,密度!$B$2:$B$50)</f>
        <v>27745.152104279998</v>
      </c>
      <c r="H19" s="73" ph="1">
        <f>H18*9.0746*LOOKUP(H20,密度!$A$2:$A$50,密度!$L$2:$L$50)</f>
        <v>37055.6572208</v>
      </c>
      <c r="I19" s="73" ph="1">
        <f>I18*9.0746*LOOKUP(I20,密度!$A$2:$A$50,密度!$U$2:$U$50)</f>
        <v>28755.864717999997</v>
      </c>
      <c r="J19" s="73" ph="1">
        <f>J18*9.0746*LOOKUP(J20,密度!$A$2:$A$50,密度!$L$2:$L$50)</f>
        <v>5566.4322368000003</v>
      </c>
      <c r="K19" s="73" ph="1">
        <f>K18*9.0746*LOOKUP(K20,密度!$A$2:$A$50,密度!$C$2:$C$50)</f>
        <v>36653.997275599999</v>
      </c>
      <c r="L19" s="73" ph="1">
        <f>L18*9.0746*LOOKUP(L20,密度!$A$2:$A$50,密度!$E$2:$E$50)</f>
        <v>27947.298075372004</v>
      </c>
      <c r="M19" s="73" ph="1">
        <f>M18*9.0746*LOOKUP(M20,密度!$A$2:$A$50,密度!$M$2:$M$50)</f>
        <v>7884.0280883120004</v>
      </c>
      <c r="N19" s="73" ph="1">
        <f>N18*9.0746*LOOKUP(N20,密度!$A$2:$A$50,密度!$M$2:$M$50)</f>
        <v>3792.5155446620001</v>
      </c>
      <c r="O19" s="73" ph="1">
        <f>O18*9.0746*LOOKUP(O20,密度!$A$2:$A$50,密度!$G$2:$G$50)</f>
        <v>39341.593607832001</v>
      </c>
      <c r="P19" s="73" ph="1">
        <f ca="1">P18*9.0746*LOOKUP(P20,密度!$A$2:$A$51,密度!$Q$2:$Q$50)</f>
        <v>56045.07715718</v>
      </c>
      <c r="Q19" s="73" ph="1">
        <f>Q18*9.0746*LOOKUP(Q20,密度!$A$2:$A$50,密度!$Q$2:$Q$50)</f>
        <v>33738.795637499999</v>
      </c>
      <c r="R19" s="73" ph="1">
        <f>MAX(R18*9.0746*LOOKUP(R20,密度!$A$2:$A$50,密度!$B$2:$B$50),0)</f>
        <v>0</v>
      </c>
      <c r="S19" s="73" ph="1">
        <f>S18*9.0746*LOOKUP(S20,密度!$A$2:$A$50,密度!$Q$2:$Q$50)</f>
        <v>1620.6201095599999</v>
      </c>
      <c r="T19" s="73" ph="1">
        <f>T18*9.0746*LOOKUP(T20,密度!$A$2:$A$50,密度!$O$2:$O$50)</f>
        <v>8400.2483248000008</v>
      </c>
      <c r="U19" s="73" ph="1">
        <f>U18*9.0746*LOOKUP(U20,密度!$A$2:$A$50,密度!$H$2:$H$50)</f>
        <v>15013.662536600001</v>
      </c>
      <c r="V19" s="73" ph="1">
        <f>MAX(5600*LOOKUP(V20,密度!$A$2:$A$50,密度!$Q$2:$Q$50)+V18*9.0476*LOOKUP(V20,密度!$A$2:$A$50,密度!$Q$2:$Q$50),0)</f>
        <v>0</v>
      </c>
      <c r="W19" s="73" ph="1">
        <f>MAX(5600*LOOKUP(W20,密度!$A$2:$A$50,密度!$Q$2:$Q$50)+W18*9.0476*LOOKUP(W20,密度!$A$2:$A$50,密度!$Q$2:$Q$50),0)</f>
        <v>3993.8168086800001</v>
      </c>
      <c r="X19" s="73" ph="1">
        <f>MAX(5600*LOOKUP(X20,密度!$A$2:$A$50,密度!$I$2:$I$50)+X18*9.0476*LOOKUP(X20,密度!$A$2:$A$50,密度!$I$2:$I$50),0)</f>
        <v>13866.667016160001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17518.488076199999</v>
      </c>
      <c r="AB19" s="73" ph="1">
        <f>AB18*9.0746*LOOKUP(AB20,密度!$A$2:$A$50,密度!$L$2:$L$50)</f>
        <v>0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4469.3307288000005</v>
      </c>
      <c r="AE19" s="73" ph="1">
        <f>AE18*268.68*LOOKUP(AE20,密度!$A$2:$A$50,密度!B5:B53)+IF(AE18&lt;=0,0,1566*LOOKUP(AE20,密度!$A$2:$A$50,密度!B5:B53))</f>
        <v>18874.071568799998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18" ph="1"/>
      <c r="C20" s="80" t="s" ph="1">
        <v>179</v>
      </c>
      <c r="D20" s="81">
        <v>33</v>
      </c>
      <c r="E20" s="81">
        <v>33</v>
      </c>
      <c r="F20" s="81">
        <v>34</v>
      </c>
      <c r="G20" s="81">
        <v>29</v>
      </c>
      <c r="H20" s="81">
        <v>28</v>
      </c>
      <c r="I20" s="81">
        <v>35</v>
      </c>
      <c r="J20" s="81">
        <v>34</v>
      </c>
      <c r="K20" s="81">
        <v>32</v>
      </c>
      <c r="L20" s="81">
        <v>33</v>
      </c>
      <c r="M20" s="81">
        <v>36</v>
      </c>
      <c r="N20" s="81">
        <v>31</v>
      </c>
      <c r="O20" s="81">
        <v>33</v>
      </c>
      <c r="P20" s="81">
        <v>32</v>
      </c>
      <c r="Q20" s="81">
        <v>33</v>
      </c>
      <c r="R20" s="81">
        <v>37</v>
      </c>
      <c r="S20" s="81">
        <v>35</v>
      </c>
      <c r="T20" s="81">
        <v>39</v>
      </c>
      <c r="U20" s="81">
        <v>31</v>
      </c>
      <c r="V20" s="81">
        <v>35</v>
      </c>
      <c r="W20" s="81">
        <v>36</v>
      </c>
      <c r="X20" s="81">
        <v>31</v>
      </c>
      <c r="Y20" s="110">
        <v>31</v>
      </c>
      <c r="Z20" s="81">
        <v>35</v>
      </c>
      <c r="AA20" s="81">
        <v>30</v>
      </c>
      <c r="AB20" s="81">
        <v>34</v>
      </c>
      <c r="AC20" s="81">
        <v>33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6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6" t="s" ph="1">
        <v>69</v>
      </c>
      <c r="AA22" s="227"/>
      <c r="AB22" s="227"/>
      <c r="AC22" s="227"/>
      <c r="AD22" s="227"/>
      <c r="AE22" s="228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0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610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229" t="s" ph="1">
        <v>642</v>
      </c>
      <c r="AA23" s="230"/>
      <c r="AB23" s="230"/>
      <c r="AC23" s="230"/>
      <c r="AD23" s="230"/>
      <c r="AE23" s="231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38" ph="1">
        <v>0.33333333333333331</v>
      </c>
      <c r="C24" s="157" t="s" ph="1">
        <v>177</v>
      </c>
      <c r="D24" s="71">
        <v>3.6</v>
      </c>
      <c r="E24" s="71">
        <v>5.6</v>
      </c>
      <c r="F24" s="71">
        <v>1101</v>
      </c>
      <c r="G24" s="71">
        <v>3260</v>
      </c>
      <c r="H24" s="71">
        <v>2561</v>
      </c>
      <c r="I24" s="71">
        <v>2762</v>
      </c>
      <c r="J24" s="71">
        <v>304</v>
      </c>
      <c r="K24" s="71">
        <v>327</v>
      </c>
      <c r="L24" s="71">
        <v>301</v>
      </c>
      <c r="M24" s="71">
        <v>326</v>
      </c>
      <c r="N24" s="71">
        <v>3665</v>
      </c>
      <c r="O24" s="71">
        <v>343</v>
      </c>
      <c r="P24" s="71">
        <v>374</v>
      </c>
      <c r="Q24" s="90">
        <v>3495</v>
      </c>
      <c r="R24" s="71">
        <v>289</v>
      </c>
      <c r="S24" s="71">
        <v>344</v>
      </c>
      <c r="T24" s="71">
        <v>426</v>
      </c>
      <c r="U24" s="71">
        <v>6070</v>
      </c>
      <c r="V24" s="71">
        <v>739</v>
      </c>
      <c r="W24" s="71">
        <v>432</v>
      </c>
      <c r="X24" s="71">
        <v>4308</v>
      </c>
      <c r="Y24" s="71">
        <v>2181</v>
      </c>
      <c r="Z24" s="232"/>
      <c r="AA24" s="233"/>
      <c r="AB24" s="233"/>
      <c r="AC24" s="233"/>
      <c r="AD24" s="233"/>
      <c r="AE24" s="234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38" ph="1"/>
      <c r="C25" s="68" t="s" ph="1">
        <v>178</v>
      </c>
      <c r="D25" s="91" ph="1">
        <f>D24*268.68*LOOKUP(D26,密度!$A$2:$A$50,密度!$Q$2:$Q$50)+IF(D24&lt;=0,0,1566*LOOKUP(D26,密度!$A$2:$A$50,密度!$Q$2:$Q$50))</f>
        <v>2398.3272115199998</v>
      </c>
      <c r="E25" s="91" ph="1">
        <f>E24*268.68*LOOKUP(E26,密度!$A$2:$A$50,密度!$C$2:$C$50)+IF(E24&lt;=0,0,1566*LOOKUP(E26,密度!$A$2:$A$50,密度!$C$2:$C$50))</f>
        <v>3404.9972111999996</v>
      </c>
      <c r="F25" s="91" ph="1">
        <f>F24*11.702*LOOKUP(F26,密度!$A$2:$A$50,密度!$Q$2:$Q$50)</f>
        <v>12153.771273660001</v>
      </c>
      <c r="G25" s="91" ph="1">
        <f>G24*18.322*LOOKUP(G26,密度!$A$2:$A$50,密度!$B$2:$B$50)</f>
        <v>46308.451915999998</v>
      </c>
      <c r="H25" s="91" ph="1">
        <f>H24*18.322*LOOKUP(H26,密度!$A$2:$A$50,密度!$B$2:$B$50)</f>
        <v>36379.1243426</v>
      </c>
      <c r="I25" s="91" ph="1">
        <f>I24*18.322*LOOKUP(I26,密度!$A$2:$A$50,密度!$Q$2:$Q$50)</f>
        <v>47737.558022119993</v>
      </c>
      <c r="J25" s="91" ph="1">
        <f>J24*18.322*LOOKUP(J26,密度!$A$2:$A$50,密度!$Q$2:$Q$50)</f>
        <v>5254.2424470400001</v>
      </c>
      <c r="K25" s="91" ph="1">
        <f>K24*18.322*LOOKUP(K26,密度!$A$2:$A$50,密度!$Q$2:$Q$50)</f>
        <v>5655.3621454200002</v>
      </c>
      <c r="L25" s="91" ph="1">
        <f>L24*18.322*LOOKUP(L26,密度!$A$2:$A$50,密度!$Q$2:$Q$50)</f>
        <v>5202.3913702599993</v>
      </c>
      <c r="M25" s="91" ph="1">
        <f>M24*18.322*LOOKUP(M26,密度!$A$2:$A$50,密度!$Q$2:$Q$50)</f>
        <v>5638.0674599599997</v>
      </c>
      <c r="N25" s="91" ph="1">
        <f>N24*18.322*LOOKUP(N26,密度!$A$2:$A$50,密度!$Q$2:$Q$50)</f>
        <v>63431.355800599995</v>
      </c>
      <c r="O25" s="91" ph="1">
        <f>O24*18.322*LOOKUP(O26,密度!$A$2:$A$50,密度!$C$2:$C$50)</f>
        <v>6949.9688314000005</v>
      </c>
      <c r="P25" s="91" ph="1">
        <f>P24*11.702*LOOKUP(P26,密度!$A$2:$A$50,密度!$B$2:$B$50)</f>
        <v>3393.1376643999997</v>
      </c>
      <c r="Q25" s="92" ph="1">
        <f>Q24*18.322*LOOKUP(Q26,密度!$A$2:$A$50,密度!$B$2:$B$50)</f>
        <v>49704.269718000003</v>
      </c>
      <c r="R25" s="91" ph="1">
        <f>R24*35.891*LOOKUP(R26,密度!$A$2:$A$50,密度!$C$2:$C$50)</f>
        <v>11470.9466441</v>
      </c>
      <c r="S25" s="91" ph="1">
        <f>S24*35.891*LOOKUP(S26,密度!$A$2:$A$50,密度!$B$2:$B$50)</f>
        <v>9572.2445511999995</v>
      </c>
      <c r="T25" s="91" ph="1">
        <f>T24*35.891*LOOKUP(T26,密度!$A$2:$A$50,密度!$Q$2:$Q$50)</f>
        <v>14442.829834919999</v>
      </c>
      <c r="U25" s="91" ph="1">
        <f>U24*35.891</f>
        <v>217858.37</v>
      </c>
      <c r="V25" s="91" ph="1">
        <f>V24*47.051*LOOKUP(V26,密度!$A$2:$A$50,密度!$B$2:$B$50)</f>
        <v>26989.008801799999</v>
      </c>
      <c r="W25" s="91" ph="1">
        <f>W24*47.051*LOOKUP(W26,密度!$A$2:$A$50,密度!$B$2:$B$50)</f>
        <v>15758.772609599999</v>
      </c>
      <c r="X25" s="91" ph="1">
        <f>X24*47.051*LOOKUP(X26,密度!$A$2:$A$61,密度!$I$2:$I$61)</f>
        <v>209688.70992600001</v>
      </c>
      <c r="Y25" s="91" ph="1">
        <f>Y24*47.051*LOOKUP(Y26,密度!$A$2:$A$50,密度!$L$2:$L$50)</f>
        <v>95640.191292000003</v>
      </c>
      <c r="Z25" s="232"/>
      <c r="AA25" s="233"/>
      <c r="AB25" s="233"/>
      <c r="AC25" s="233"/>
      <c r="AD25" s="233"/>
      <c r="AE25" s="234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38" ph="1"/>
      <c r="C26" s="68" t="s" ph="1">
        <v>179</v>
      </c>
      <c r="D26" s="74">
        <v>25</v>
      </c>
      <c r="E26" s="74">
        <v>25</v>
      </c>
      <c r="F26" s="74">
        <v>30</v>
      </c>
      <c r="G26" s="74">
        <v>30</v>
      </c>
      <c r="H26" s="74">
        <v>30</v>
      </c>
      <c r="I26" s="74">
        <v>30</v>
      </c>
      <c r="J26" s="74">
        <v>30</v>
      </c>
      <c r="K26" s="74">
        <v>29</v>
      </c>
      <c r="L26" s="74">
        <v>30</v>
      </c>
      <c r="M26" s="74">
        <v>29</v>
      </c>
      <c r="N26" s="74">
        <v>28</v>
      </c>
      <c r="O26" s="74">
        <v>29</v>
      </c>
      <c r="P26" s="74">
        <v>30</v>
      </c>
      <c r="Q26" s="93">
        <v>29</v>
      </c>
      <c r="R26" s="74">
        <v>29</v>
      </c>
      <c r="S26" s="74">
        <v>30</v>
      </c>
      <c r="T26" s="74">
        <v>28</v>
      </c>
      <c r="U26" s="74">
        <v>30</v>
      </c>
      <c r="V26" s="74">
        <v>29</v>
      </c>
      <c r="W26" s="74">
        <v>30</v>
      </c>
      <c r="X26" s="74">
        <v>32</v>
      </c>
      <c r="Y26" s="74">
        <v>30</v>
      </c>
      <c r="Z26" s="232"/>
      <c r="AA26" s="233"/>
      <c r="AB26" s="233"/>
      <c r="AC26" s="233"/>
      <c r="AD26" s="233"/>
      <c r="AE26" s="234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38" ph="1">
        <v>0.66666666666666663</v>
      </c>
      <c r="C27" s="157" t="s" ph="1">
        <v>180</v>
      </c>
      <c r="D27" s="71">
        <v>3.59</v>
      </c>
      <c r="E27" s="71">
        <v>5.59</v>
      </c>
      <c r="F27" s="71">
        <v>0</v>
      </c>
      <c r="G27" s="71">
        <v>2568</v>
      </c>
      <c r="H27" s="71">
        <v>1870</v>
      </c>
      <c r="I27" s="71">
        <v>1882</v>
      </c>
      <c r="J27" s="71">
        <v>298</v>
      </c>
      <c r="K27" s="71">
        <v>2548</v>
      </c>
      <c r="L27" s="71">
        <v>296</v>
      </c>
      <c r="M27" s="71">
        <v>321</v>
      </c>
      <c r="N27" s="71">
        <v>4779</v>
      </c>
      <c r="O27" s="71">
        <v>338</v>
      </c>
      <c r="P27" s="71">
        <v>370</v>
      </c>
      <c r="Q27" s="90">
        <v>3665</v>
      </c>
      <c r="R27" s="71">
        <v>286</v>
      </c>
      <c r="S27" s="71">
        <v>340</v>
      </c>
      <c r="T27" s="71">
        <v>421</v>
      </c>
      <c r="U27" s="71">
        <v>5965</v>
      </c>
      <c r="V27" s="71">
        <v>734</v>
      </c>
      <c r="W27" s="71">
        <v>429</v>
      </c>
      <c r="X27" s="71">
        <v>4794</v>
      </c>
      <c r="Y27" s="71">
        <v>1847</v>
      </c>
      <c r="Z27" s="232"/>
      <c r="AA27" s="233"/>
      <c r="AB27" s="233"/>
      <c r="AC27" s="233"/>
      <c r="AD27" s="233"/>
      <c r="AE27" s="234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38" ph="1"/>
      <c r="C28" s="157" t="s" ph="1">
        <v>178</v>
      </c>
      <c r="D28" s="91" ph="1">
        <f>D27*268.68*LOOKUP(D29,密度!$A$2:$A$50,密度!$Q$2:$Q$50)+IF(D27&lt;=0,0,1566*LOOKUP(D29,密度!$A$2:$A$50,密度!$Q$2:$Q$50))</f>
        <v>2395.783510488</v>
      </c>
      <c r="E28" s="91" ph="1">
        <f>E27*268.68*LOOKUP(E29,密度!$A$2:$A$50,密度!$C$2:$C$50)+IF(E27&lt;=0,0,1566*LOOKUP(E29,密度!$A$2:$A$50,密度!$C$2:$C$50))</f>
        <v>3402.0178186799999</v>
      </c>
      <c r="F28" s="91" ph="1">
        <f>F27*11.702*LOOKUP(F29,密度!$A$2:$A$50,密度!$Q$2:$Q$50)</f>
        <v>0</v>
      </c>
      <c r="G28" s="91" ph="1">
        <f>G27*18.322*LOOKUP(G29,密度!$A$2:$A$50,密度!$B$2:$B$50)</f>
        <v>36436.2138624</v>
      </c>
      <c r="H28" s="91" ph="1">
        <f>H27*18.322*LOOKUP(H29,密度!$A$2:$A$50,密度!$B$2:$B$50)</f>
        <v>26563.437141999999</v>
      </c>
      <c r="I28" s="91" ph="1">
        <f>I27*18.322*LOOKUP(I29,密度!$A$2:$A$50,密度!$Q$2:$Q$50)</f>
        <v>32456.186265</v>
      </c>
      <c r="J28" s="91" ph="1">
        <f>J27*18.322*LOOKUP(J29,密度!$A$2:$A$50,密度!$Q$2:$Q$50)</f>
        <v>5132.0310426400001</v>
      </c>
      <c r="K28" s="91" ph="1">
        <f>K27*18.322*LOOKUP(K29,密度!$A$2:$A$50,密度!$Q$2:$Q$50)</f>
        <v>43941.744209999997</v>
      </c>
      <c r="L28" s="91" ph="1">
        <f>L27*18.322*LOOKUP(L29,密度!$A$2:$A$50,密度!$Q$2:$Q$50)</f>
        <v>5104.6924200000003</v>
      </c>
      <c r="M28" s="91" ph="1">
        <f>M27*18.322*LOOKUP(M29,密度!$A$2:$A$50,密度!$Q$2:$Q$50)</f>
        <v>5548.0652154600002</v>
      </c>
      <c r="N28" s="91" ph="1">
        <f>N27*18.322*LOOKUP(N29,密度!$A$2:$A$50,密度!$Q$2:$Q$50)</f>
        <v>82473.553312199991</v>
      </c>
      <c r="O28" s="91" ph="1">
        <f>O27*18.322*LOOKUP(O29,密度!$A$2:$A$50,密度!$C$2:$C$50)</f>
        <v>6843.703063599999</v>
      </c>
      <c r="P28" s="91" ph="1">
        <f>P27*11.702*LOOKUP(P29,密度!$A$2:$A$50,密度!$B$2:$B$50)</f>
        <v>3356.8474219999998</v>
      </c>
      <c r="Q28" s="92" ph="1">
        <f>Q27*18.322*LOOKUP(Q29,密度!$A$2:$A$50,密度!$B$2:$B$50)</f>
        <v>52061.495788999993</v>
      </c>
      <c r="R28" s="91" ph="1">
        <f>R27*35.891*LOOKUP(R29,密度!$A$2:$A$50,密度!$C$2:$C$50)</f>
        <v>11333.394386599999</v>
      </c>
      <c r="S28" s="91" ph="1">
        <f>S27*35.891*LOOKUP(S29,密度!$A$2:$A$50,密度!$B$2:$B$50)</f>
        <v>9460.9393819999987</v>
      </c>
      <c r="T28" s="91" ph="1">
        <f>T27*35.891*LOOKUP(T29,密度!$A$2:$A$50,密度!$Q$2:$Q$50)</f>
        <v>14232.213550899998</v>
      </c>
      <c r="U28" s="91" ph="1">
        <f>U27*35.891</f>
        <v>214089.815</v>
      </c>
      <c r="V28" s="91" ph="1">
        <f>V27*47.051*LOOKUP(V29,密度!$A$2:$A$50,密度!$B$2:$B$50)</f>
        <v>26744.2400896</v>
      </c>
      <c r="W28" s="91" ph="1">
        <f>W27*47.051*LOOKUP(W29,密度!$A$2:$A$50,密度!$B$2:$B$50)</f>
        <v>15649.336688700001</v>
      </c>
      <c r="X28" s="91" ph="1">
        <f>X27*47.051*LOOKUP(X29,密度!$A$2:$A$61,密度!$I$2:$I$61)</f>
        <v>233840.63752980001</v>
      </c>
      <c r="Y28" s="91" ph="1">
        <f>Y27*47.051*LOOKUP(Y29,密度!$A$2:$A$50,密度!$L$2:$L$50)</f>
        <v>80906.876407000003</v>
      </c>
      <c r="Z28" s="232"/>
      <c r="AA28" s="233"/>
      <c r="AB28" s="233"/>
      <c r="AC28" s="233"/>
      <c r="AD28" s="233"/>
      <c r="AE28" s="234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38" ph="1"/>
      <c r="C29" s="157" t="s" ph="1">
        <v>179</v>
      </c>
      <c r="D29" s="74">
        <v>25</v>
      </c>
      <c r="E29" s="74">
        <v>25</v>
      </c>
      <c r="F29" s="74">
        <v>31</v>
      </c>
      <c r="G29" s="74">
        <v>31</v>
      </c>
      <c r="H29" s="74">
        <v>30</v>
      </c>
      <c r="I29" s="74">
        <v>33</v>
      </c>
      <c r="J29" s="74">
        <v>35</v>
      </c>
      <c r="K29" s="74">
        <v>33</v>
      </c>
      <c r="L29" s="74">
        <v>33</v>
      </c>
      <c r="M29" s="74">
        <v>30</v>
      </c>
      <c r="N29" s="74">
        <v>32</v>
      </c>
      <c r="O29" s="74">
        <v>30</v>
      </c>
      <c r="P29" s="74">
        <v>30</v>
      </c>
      <c r="Q29" s="93">
        <v>30</v>
      </c>
      <c r="R29" s="74">
        <v>31</v>
      </c>
      <c r="S29" s="74">
        <v>30</v>
      </c>
      <c r="T29" s="74">
        <v>32</v>
      </c>
      <c r="U29" s="74">
        <v>31</v>
      </c>
      <c r="V29" s="74">
        <v>31</v>
      </c>
      <c r="W29" s="74">
        <v>30</v>
      </c>
      <c r="X29" s="74">
        <v>30</v>
      </c>
      <c r="Y29" s="74">
        <v>31</v>
      </c>
      <c r="Z29" s="235"/>
      <c r="AA29" s="236"/>
      <c r="AB29" s="236"/>
      <c r="AC29" s="236"/>
      <c r="AD29" s="236"/>
      <c r="AE29" s="237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1" t="s" ph="1">
        <v>35</v>
      </c>
      <c r="C31" s="222" ph="1"/>
      <c r="D31" s="225" t="s" ph="1">
        <v>9</v>
      </c>
      <c r="E31" s="200" ph="1"/>
      <c r="F31" s="201" ph="1"/>
      <c r="G31" s="225" t="s" ph="1">
        <v>18</v>
      </c>
      <c r="H31" s="200" ph="1"/>
      <c r="I31" s="201" ph="1"/>
      <c r="J31" s="199" t="s" ph="1">
        <v>1</v>
      </c>
      <c r="K31" s="200" ph="1"/>
      <c r="L31" s="201" ph="1"/>
      <c r="M31" s="199" t="s" ph="1">
        <v>7</v>
      </c>
      <c r="N31" s="200" ph="1"/>
      <c r="O31" s="201" ph="1"/>
      <c r="P31" s="199" t="s" ph="1">
        <v>41</v>
      </c>
      <c r="Q31" s="200"/>
      <c r="R31" s="201"/>
      <c r="S31" s="199" t="s" ph="1">
        <v>2</v>
      </c>
      <c r="T31" s="200"/>
      <c r="U31" s="201"/>
      <c r="V31" s="199" t="s" ph="1">
        <v>71</v>
      </c>
      <c r="W31" s="200" ph="1"/>
      <c r="X31" s="201" ph="1"/>
      <c r="Y31" s="199" t="s" ph="1">
        <v>3</v>
      </c>
      <c r="Z31" s="200" ph="1"/>
      <c r="AA31" s="201" ph="1"/>
      <c r="AB31" s="202" t="s">
        <v>42</v>
      </c>
      <c r="AC31" s="203"/>
      <c r="AD31" s="203"/>
      <c r="AE31" s="204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3" ph="1"/>
      <c r="C32" s="224" ph="1"/>
      <c r="D32" s="96" t="s" ph="1">
        <v>4</v>
      </c>
      <c r="E32" s="157" t="s" ph="1">
        <v>5</v>
      </c>
      <c r="F32" s="158" t="s" ph="1">
        <v>43</v>
      </c>
      <c r="G32" s="97" t="s" ph="1">
        <v>4</v>
      </c>
      <c r="H32" s="157" t="s" ph="1">
        <v>5</v>
      </c>
      <c r="I32" s="158" t="s" ph="1">
        <v>43</v>
      </c>
      <c r="J32" s="97" t="s" ph="1">
        <v>4</v>
      </c>
      <c r="K32" s="157" t="s" ph="1">
        <v>5</v>
      </c>
      <c r="L32" s="158" t="s" ph="1">
        <v>43</v>
      </c>
      <c r="M32" s="97" t="s" ph="1">
        <v>4</v>
      </c>
      <c r="N32" s="157" t="s" ph="1">
        <v>5</v>
      </c>
      <c r="O32" s="158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7" t="s" ph="1">
        <v>5</v>
      </c>
      <c r="U32" s="99" t="s" ph="1">
        <v>43</v>
      </c>
      <c r="V32" s="97" t="s" ph="1">
        <v>4</v>
      </c>
      <c r="W32" s="157" t="s" ph="1">
        <v>5</v>
      </c>
      <c r="X32" s="99" t="s" ph="1">
        <v>43</v>
      </c>
      <c r="Y32" s="100" t="s" ph="1">
        <v>4</v>
      </c>
      <c r="Z32" s="157" t="s" ph="1">
        <v>5</v>
      </c>
      <c r="AA32" s="158" t="s" ph="1">
        <v>43</v>
      </c>
      <c r="AB32" s="97" t="s" ph="1">
        <v>85</v>
      </c>
      <c r="AC32" s="157" t="s" ph="1">
        <v>84</v>
      </c>
      <c r="AD32" s="205" t="s" ph="1">
        <v>83</v>
      </c>
      <c r="AE32" s="206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7" t="s" ph="1">
        <v>181</v>
      </c>
      <c r="C33" s="208" ph="1"/>
      <c r="D33" s="187" ph="1">
        <f>AA10+AB10+Z19</f>
        <v>93978.011178000001</v>
      </c>
      <c r="E33" s="187" ph="1">
        <f>M10+I10</f>
        <v>149045.55232049999</v>
      </c>
      <c r="F33" s="211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1522252632456786910111213141516171819202123456789101112131415161718192022232424356789101112131415161718192021222345678910111213141516171819202345678910111213149101516171819222123234567891012131415161711181920212224252345678910111213116[[#This Row],[F25]]</f>
        <v>3880</v>
      </c>
      <c r="G33" s="213" ph="1">
        <f>N19</f>
        <v>3792.5155446620001</v>
      </c>
      <c r="H33" s="187" ph="1">
        <f>M19</f>
        <v>7884.0280883120004</v>
      </c>
      <c r="I33" s="191" ph="1">
        <v>0</v>
      </c>
      <c r="J33" s="195" ph="1">
        <f>F10+O28</f>
        <v>225191.32727860002</v>
      </c>
      <c r="K33" s="187" ph="1">
        <f>O10+K10+E28+R28</f>
        <v>20222.077084879998</v>
      </c>
      <c r="L33" s="197" ph="1">
        <f>K19</f>
        <v>36653.997275599999</v>
      </c>
      <c r="M33" s="195" ph="1">
        <f>G10+H10+W28+S28+V28+E10+R19+P28+Q28</f>
        <v>581821.46161330002</v>
      </c>
      <c r="N33" s="187" ph="1">
        <f>L10+P10++G28+H28+AD19+AE19</f>
        <v>151601.32318699997</v>
      </c>
      <c r="O33" s="191" ph="1">
        <f>G19</f>
        <v>27745.152104279998</v>
      </c>
      <c r="P33" s="195" ph="1">
        <f>L19</f>
        <v>27947.298075372004</v>
      </c>
      <c r="Q33" s="187" ph="1">
        <f>J10+N10</f>
        <v>92475.095692700008</v>
      </c>
      <c r="R33" s="191" ph="1">
        <f>BE23</f>
        <v>890</v>
      </c>
      <c r="S33" s="195" ph="1">
        <f>X28</f>
        <v>233840.63752980001</v>
      </c>
      <c r="T33" s="187" ph="1">
        <f>X19</f>
        <v>13866.667016160001</v>
      </c>
      <c r="U33" s="176" ph="1">
        <f>BE21</f>
        <v>730</v>
      </c>
      <c r="V33" s="189" ph="1">
        <f ca="1">P19+Q19+S19+M28+N28+J28+D10+AC10+D19+E19+H19+J19+O19+V19+W19+K28+L28</f>
        <v>752576.30527838203</v>
      </c>
      <c r="W33" s="189" ph="1">
        <f>D28+F28+T28+I28</f>
        <v>49084.183326387996</v>
      </c>
      <c r="X33" s="191" ph="1">
        <f>BE29+BE31</f>
        <v>10200</v>
      </c>
      <c r="Y33" s="193" ph="1">
        <f>+Q10+R10+S10+T10+U10+V10+W10+X10+Y10</f>
        <v>73281.165804000004</v>
      </c>
      <c r="Z33" s="174" ph="1">
        <f>T19+U19+Y28+Z10</f>
        <v>134196.93540340001</v>
      </c>
      <c r="AA33" s="176" ph="1">
        <f>BE19</f>
        <v>1440</v>
      </c>
      <c r="AB33" s="178" ph="1">
        <f>I19</f>
        <v>28755.864717999997</v>
      </c>
      <c r="AC33" s="180" ph="1">
        <f>AD10+AB19</f>
        <v>46772.390044800006</v>
      </c>
      <c r="AD33" s="182" ph="1">
        <v>0</v>
      </c>
      <c r="AE33" s="183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9" ph="1"/>
      <c r="C34" s="210" ph="1"/>
      <c r="D34" s="188" ph="1"/>
      <c r="E34" s="188" ph="1"/>
      <c r="F34" s="212" ph="1"/>
      <c r="G34" s="214" ph="1"/>
      <c r="H34" s="188" ph="1"/>
      <c r="I34" s="192" ph="1"/>
      <c r="J34" s="196" ph="1"/>
      <c r="K34" s="188" ph="1"/>
      <c r="L34" s="198" ph="1"/>
      <c r="M34" s="196" ph="1"/>
      <c r="N34" s="188" ph="1"/>
      <c r="O34" s="192" ph="1"/>
      <c r="P34" s="196" ph="1"/>
      <c r="Q34" s="188" ph="1"/>
      <c r="R34" s="192" ph="1"/>
      <c r="S34" s="196" ph="1"/>
      <c r="T34" s="188"/>
      <c r="U34" s="177"/>
      <c r="V34" s="190" ph="1"/>
      <c r="W34" s="190" ph="1"/>
      <c r="X34" s="192" ph="1"/>
      <c r="Y34" s="194" ph="1"/>
      <c r="Z34" s="175" ph="1"/>
      <c r="AA34" s="177" ph="1"/>
      <c r="AB34" s="179"/>
      <c r="AC34" s="181"/>
      <c r="AD34" s="184"/>
      <c r="AE34" s="185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6" t="s" ph="1">
        <v>631</v>
      </c>
      <c r="AD35" s="186"/>
      <c r="AE35" s="186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2" t="s" ph="1">
        <v>183</v>
      </c>
      <c r="J36" s="172" ph="1"/>
      <c r="K36" s="101" ph="1"/>
      <c r="P36" s="101" ph="1"/>
      <c r="R36" s="172" t="s" ph="1">
        <v>184</v>
      </c>
      <c r="S36" s="172" ph="1"/>
      <c r="Y36" s="102" ph="1"/>
      <c r="Z36" s="159" t="s" ph="1">
        <v>185</v>
      </c>
      <c r="AA36" s="159" ph="1"/>
      <c r="AB36" s="173" t="s" ph="1">
        <v>643</v>
      </c>
      <c r="AC36" s="173" ph="1"/>
      <c r="AD36" s="173" ph="1"/>
      <c r="AE36" s="173" ph="1"/>
      <c r="BA36" s="64" ph="1">
        <v>2270</v>
      </c>
    </row>
    <row r="37" spans="1:57" s="159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9" t="s" ph="1">
        <v>342</v>
      </c>
      <c r="AI37" s="159" t="s" ph="1">
        <v>209</v>
      </c>
      <c r="AJ37" s="159" t="s" ph="1">
        <v>210</v>
      </c>
      <c r="AK37" s="159" t="s" ph="1">
        <v>211</v>
      </c>
      <c r="AM37" s="159" t="s" ph="1">
        <v>210</v>
      </c>
      <c r="AN37" s="159" t="s" ph="1">
        <v>211</v>
      </c>
      <c r="AO37" s="159" t="s" ph="1">
        <v>212</v>
      </c>
      <c r="AP37" s="159" t="s" ph="1">
        <v>210</v>
      </c>
      <c r="AQ37" s="159" t="s" ph="1">
        <v>211</v>
      </c>
      <c r="AR37" s="159" t="s" ph="1">
        <v>212</v>
      </c>
      <c r="AS37" s="159" t="s" ph="1">
        <v>210</v>
      </c>
      <c r="AT37" s="159" t="s" ph="1">
        <v>211</v>
      </c>
      <c r="AU37" s="159" t="s" ph="1">
        <v>212</v>
      </c>
      <c r="AV37" s="159" t="s" ph="1">
        <v>210</v>
      </c>
      <c r="AW37" s="159" t="s" ph="1">
        <v>211</v>
      </c>
      <c r="AX37" s="159" t="s" ph="1">
        <v>212</v>
      </c>
      <c r="AY37" s="159" t="s" ph="1">
        <v>211</v>
      </c>
      <c r="AZ37" s="159" t="s" ph="1">
        <v>213</v>
      </c>
      <c r="BD37" s="159" t="s" ph="1">
        <v>305</v>
      </c>
      <c r="BE37" s="159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P56" s="64" ph="1">
        <v>20260804</v>
      </c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1193" priority="102">
      <formula>ABS(D$7-D$10)&gt;=1000</formula>
    </cfRule>
  </conditionalFormatting>
  <conditionalFormatting sqref="E4 E6:E11">
    <cfRule type="expression" dxfId="1192" priority="101">
      <formula>ABS(E$7-E$10)&gt;=1000</formula>
    </cfRule>
  </conditionalFormatting>
  <conditionalFormatting sqref="F4:F11">
    <cfRule type="expression" dxfId="1191" priority="100">
      <formula>ABS(F$7-F$10)&gt;=1000</formula>
    </cfRule>
  </conditionalFormatting>
  <conditionalFormatting sqref="G4:G11">
    <cfRule type="expression" dxfId="1190" priority="99">
      <formula>ABS(G$7-G$10)&gt;=1000</formula>
    </cfRule>
  </conditionalFormatting>
  <conditionalFormatting sqref="H4:H11">
    <cfRule type="expression" dxfId="1189" priority="98">
      <formula>ABS(H$7-H$10)&gt;=1000</formula>
    </cfRule>
  </conditionalFormatting>
  <conditionalFormatting sqref="I4:I11">
    <cfRule type="expression" dxfId="1188" priority="97">
      <formula>ABS(I$7-I$10)&gt;=1000</formula>
    </cfRule>
  </conditionalFormatting>
  <conditionalFormatting sqref="J4:J11">
    <cfRule type="expression" dxfId="1187" priority="96">
      <formula>ABS(J$7-J$10)&gt;=1000</formula>
    </cfRule>
  </conditionalFormatting>
  <conditionalFormatting sqref="K4:K11">
    <cfRule type="expression" dxfId="1186" priority="95">
      <formula>ABS(K$7-K$10)&gt;=1000</formula>
    </cfRule>
  </conditionalFormatting>
  <conditionalFormatting sqref="L4:L11">
    <cfRule type="expression" dxfId="1185" priority="94">
      <formula>ABS(L$7-L$10)&gt;=1000</formula>
    </cfRule>
  </conditionalFormatting>
  <conditionalFormatting sqref="M4 M6:M11">
    <cfRule type="expression" dxfId="1184" priority="93">
      <formula>ABS(M$7-M$10)&gt;=1000</formula>
    </cfRule>
  </conditionalFormatting>
  <conditionalFormatting sqref="N4 N6:N11">
    <cfRule type="expression" dxfId="1183" priority="92">
      <formula>ABS(N$7-N$10)&gt;=1000</formula>
    </cfRule>
  </conditionalFormatting>
  <conditionalFormatting sqref="O4 O6:O11">
    <cfRule type="expression" dxfId="1182" priority="91">
      <formula>ABS(O$7-O$10)&gt;=1000</formula>
    </cfRule>
  </conditionalFormatting>
  <conditionalFormatting sqref="P4 P6:P11">
    <cfRule type="expression" dxfId="1181" priority="90">
      <formula>ABS(P$7-P$10)&gt;=1000</formula>
    </cfRule>
  </conditionalFormatting>
  <conditionalFormatting sqref="Q4:Q11">
    <cfRule type="expression" dxfId="1180" priority="89">
      <formula>ABS(Q$7-Q$10)&gt;=1000</formula>
    </cfRule>
  </conditionalFormatting>
  <conditionalFormatting sqref="R4:R11">
    <cfRule type="expression" dxfId="1179" priority="88">
      <formula>ABS(R$7-R$10)&gt;=1000</formula>
    </cfRule>
  </conditionalFormatting>
  <conditionalFormatting sqref="S4:S11">
    <cfRule type="expression" dxfId="1178" priority="87">
      <formula>ABS(S$7-S$10)&gt;=1000</formula>
    </cfRule>
  </conditionalFormatting>
  <conditionalFormatting sqref="T4:T9 T11">
    <cfRule type="expression" dxfId="1177" priority="86">
      <formula>ABS(T$7-T$10)&gt;=1000</formula>
    </cfRule>
  </conditionalFormatting>
  <conditionalFormatting sqref="U4:U9 U11">
    <cfRule type="expression" dxfId="1176" priority="85">
      <formula>ABS(U$7-U$10)&gt;=1000</formula>
    </cfRule>
  </conditionalFormatting>
  <conditionalFormatting sqref="V4:V9 V11">
    <cfRule type="expression" dxfId="1175" priority="84">
      <formula>ABS(V$7-V$10)&gt;=1000</formula>
    </cfRule>
  </conditionalFormatting>
  <conditionalFormatting sqref="W4:W9 W11">
    <cfRule type="expression" dxfId="1174" priority="83">
      <formula>ABS(W$7-W$10)&gt;=1000</formula>
    </cfRule>
  </conditionalFormatting>
  <conditionalFormatting sqref="X4:X9 X11">
    <cfRule type="expression" dxfId="1173" priority="82">
      <formula>ABS(X$7-X$10)&gt;=1000</formula>
    </cfRule>
  </conditionalFormatting>
  <conditionalFormatting sqref="Y4:Y9 Y11">
    <cfRule type="expression" dxfId="1172" priority="81">
      <formula>ABS(Y$7-Y$10)&gt;=1000</formula>
    </cfRule>
  </conditionalFormatting>
  <conditionalFormatting sqref="Z4:Z11">
    <cfRule type="expression" dxfId="1171" priority="80">
      <formula>ABS(Z$7-Z$10)&gt;=1000</formula>
    </cfRule>
  </conditionalFormatting>
  <conditionalFormatting sqref="AA4:AA11">
    <cfRule type="expression" dxfId="1170" priority="79">
      <formula>ABS(AA$7-AA$10)&gt;=1000</formula>
    </cfRule>
  </conditionalFormatting>
  <conditionalFormatting sqref="AB4:AB11">
    <cfRule type="expression" dxfId="1169" priority="78">
      <formula>ABS(AB$7-AB$10)&gt;=1000</formula>
    </cfRule>
  </conditionalFormatting>
  <conditionalFormatting sqref="AC4 AC6:AC11">
    <cfRule type="expression" dxfId="1168" priority="77">
      <formula>ABS(AC$7-AC$10)&gt;=1000</formula>
    </cfRule>
  </conditionalFormatting>
  <conditionalFormatting sqref="AD4 AD6:AD11">
    <cfRule type="expression" dxfId="1167" priority="76">
      <formula>ABS(AD$7-AD$10)&gt;=1000</formula>
    </cfRule>
  </conditionalFormatting>
  <conditionalFormatting sqref="AE4 AE6:AE11">
    <cfRule type="expression" dxfId="1166" priority="75">
      <formula>ABS(AE$7-AE$10)&gt;=1000</formula>
    </cfRule>
  </conditionalFormatting>
  <conditionalFormatting sqref="D13:D20">
    <cfRule type="expression" dxfId="1165" priority="74">
      <formula>ABS(D$16-D$19)&gt;=1000</formula>
    </cfRule>
  </conditionalFormatting>
  <conditionalFormatting sqref="E13:E20">
    <cfRule type="expression" dxfId="1164" priority="73">
      <formula>ABS(E$16-E$19)&gt;=1000</formula>
    </cfRule>
  </conditionalFormatting>
  <conditionalFormatting sqref="F13 F15:F20">
    <cfRule type="expression" dxfId="1163" priority="72">
      <formula>ABS(F$16-F$19)&gt;=1000</formula>
    </cfRule>
  </conditionalFormatting>
  <conditionalFormatting sqref="G13:G20">
    <cfRule type="expression" dxfId="1162" priority="71">
      <formula>ABS(G$16-G$19)&gt;=1000</formula>
    </cfRule>
  </conditionalFormatting>
  <conditionalFormatting sqref="H13 H15:H20">
    <cfRule type="expression" dxfId="1161" priority="70">
      <formula>ABS(H$16-H$19)&gt;=1000</formula>
    </cfRule>
  </conditionalFormatting>
  <conditionalFormatting sqref="I13:I20">
    <cfRule type="expression" dxfId="1160" priority="69">
      <formula>ABS(I$16-I$19)&gt;=1000</formula>
    </cfRule>
  </conditionalFormatting>
  <conditionalFormatting sqref="J13:J20">
    <cfRule type="expression" dxfId="1159" priority="68">
      <formula>ABS(J$16-J$19)&gt;=1000</formula>
    </cfRule>
  </conditionalFormatting>
  <conditionalFormatting sqref="L13:L20">
    <cfRule type="expression" dxfId="1158" priority="67">
      <formula>ABS(L$16-L$19)&gt;=1000</formula>
    </cfRule>
  </conditionalFormatting>
  <conditionalFormatting sqref="M13 M15 M17:M18 M20">
    <cfRule type="expression" dxfId="1157" priority="66">
      <formula>ABS(M$16-M$19)&gt;=1000</formula>
    </cfRule>
  </conditionalFormatting>
  <conditionalFormatting sqref="N13:N20">
    <cfRule type="expression" dxfId="1156" priority="65">
      <formula>ABS(N$16-N$19)&gt;=1000</formula>
    </cfRule>
  </conditionalFormatting>
  <conditionalFormatting sqref="O13:O20">
    <cfRule type="expression" dxfId="1155" priority="64">
      <formula>ABS(O$16-O$19)&gt;=1000</formula>
    </cfRule>
  </conditionalFormatting>
  <conditionalFormatting sqref="P13:P20">
    <cfRule type="expression" dxfId="1154" priority="63">
      <formula>ABS(P$16-P$19)&gt;=1000</formula>
    </cfRule>
  </conditionalFormatting>
  <conditionalFormatting sqref="Q13 Q15:Q20">
    <cfRule type="expression" dxfId="1153" priority="62">
      <formula>ABS(Q$16-Q$19)&gt;=1000</formula>
    </cfRule>
  </conditionalFormatting>
  <conditionalFormatting sqref="R13:R20">
    <cfRule type="expression" dxfId="1152" priority="61">
      <formula>ABS(R$16-R$19)&gt;=1000</formula>
    </cfRule>
  </conditionalFormatting>
  <conditionalFormatting sqref="S13:S20">
    <cfRule type="expression" dxfId="1151" priority="60">
      <formula>ABS(S$16-S$19)&gt;=1000</formula>
    </cfRule>
  </conditionalFormatting>
  <conditionalFormatting sqref="T13:T15 T17:T20">
    <cfRule type="expression" dxfId="1150" priority="59">
      <formula>ABS(T$16-T$19)&gt;=1000</formula>
    </cfRule>
  </conditionalFormatting>
  <conditionalFormatting sqref="U13:U20">
    <cfRule type="expression" dxfId="1149" priority="58">
      <formula>ABS(U$16-U$19)&gt;=1000</formula>
    </cfRule>
  </conditionalFormatting>
  <conditionalFormatting sqref="V13:V20">
    <cfRule type="expression" dxfId="1148" priority="57">
      <formula>ABS(V$16-V$19)&gt;=1000</formula>
    </cfRule>
  </conditionalFormatting>
  <conditionalFormatting sqref="W13 W20 W15:W18">
    <cfRule type="expression" dxfId="1147" priority="56">
      <formula>ABS(W$16-W$19)&gt;=1000</formula>
    </cfRule>
  </conditionalFormatting>
  <conditionalFormatting sqref="X13 X15:X20 Y19">
    <cfRule type="expression" dxfId="1146" priority="55">
      <formula>ABS(X$16-X$19)&gt;=1000</formula>
    </cfRule>
  </conditionalFormatting>
  <conditionalFormatting sqref="Y13 Y15:Y18 Y20">
    <cfRule type="expression" dxfId="1145" priority="54">
      <formula>ABS(Y$16-Y$19)&gt;=1000</formula>
    </cfRule>
  </conditionalFormatting>
  <conditionalFormatting sqref="Z13:Z20">
    <cfRule type="expression" dxfId="1144" priority="53">
      <formula>ABS(Z$16-Z$19)&gt;=1000</formula>
    </cfRule>
  </conditionalFormatting>
  <conditionalFormatting sqref="AA13:AA20">
    <cfRule type="expression" dxfId="1143" priority="52">
      <formula>ABS(AA$16-AA$19)&gt;=1000</formula>
    </cfRule>
  </conditionalFormatting>
  <conditionalFormatting sqref="AB13 AB15:AB20">
    <cfRule type="expression" dxfId="1142" priority="51">
      <formula>ABS(AB$16-AB$19)&gt;=1000</formula>
    </cfRule>
  </conditionalFormatting>
  <conditionalFormatting sqref="AC13 AC15:AC20">
    <cfRule type="expression" dxfId="1141" priority="50">
      <formula>ABS(AC$16-AC$19)&gt;=1000</formula>
    </cfRule>
  </conditionalFormatting>
  <conditionalFormatting sqref="AD13:AD20">
    <cfRule type="expression" dxfId="1140" priority="49">
      <formula>ABS(AD$16-AD$19)&gt;=1000</formula>
    </cfRule>
  </conditionalFormatting>
  <conditionalFormatting sqref="AE13:AE20">
    <cfRule type="expression" dxfId="1139" priority="48">
      <formula>ABS(AE$16-AE$19)&gt;=1000</formula>
    </cfRule>
  </conditionalFormatting>
  <conditionalFormatting sqref="D22:D29">
    <cfRule type="expression" dxfId="1138" priority="47">
      <formula>ABS(D$25-D$28)&gt;=1000</formula>
    </cfRule>
  </conditionalFormatting>
  <conditionalFormatting sqref="E22:E29">
    <cfRule type="expression" dxfId="1137" priority="46">
      <formula>ABS(E$25-E$28)&gt;=1000</formula>
    </cfRule>
  </conditionalFormatting>
  <conditionalFormatting sqref="F22:F29">
    <cfRule type="expression" dxfId="1136" priority="45">
      <formula>ABS(F$25-F$28)&gt;=1000</formula>
    </cfRule>
  </conditionalFormatting>
  <conditionalFormatting sqref="G22:G29">
    <cfRule type="expression" dxfId="1135" priority="44">
      <formula>ABS(G$25-G$28)&gt;=1000</formula>
    </cfRule>
  </conditionalFormatting>
  <conditionalFormatting sqref="H22:H29">
    <cfRule type="expression" dxfId="1134" priority="43">
      <formula>ABS(H$25-H$28)&gt;=1000</formula>
    </cfRule>
  </conditionalFormatting>
  <conditionalFormatting sqref="I22 I24:I29">
    <cfRule type="expression" dxfId="1133" priority="42">
      <formula>ABS(I$25-I$28)&gt;=1000</formula>
    </cfRule>
  </conditionalFormatting>
  <conditionalFormatting sqref="J22:J29 K22">
    <cfRule type="expression" dxfId="1132" priority="41">
      <formula>ABS(J$25-J$28)&gt;=1000</formula>
    </cfRule>
  </conditionalFormatting>
  <conditionalFormatting sqref="K23:K29 L25 L28">
    <cfRule type="expression" dxfId="1131" priority="40">
      <formula>ABS(K$25-K$28)&gt;=1000</formula>
    </cfRule>
  </conditionalFormatting>
  <conditionalFormatting sqref="L22 L26:L27 L29 L24">
    <cfRule type="expression" dxfId="1130" priority="39">
      <formula>ABS(L$25-L$28)&gt;=1000</formula>
    </cfRule>
  </conditionalFormatting>
  <conditionalFormatting sqref="M22:M29">
    <cfRule type="expression" dxfId="1129" priority="38">
      <formula>ABS(M$25-M$28)&gt;=1000</formula>
    </cfRule>
  </conditionalFormatting>
  <conditionalFormatting sqref="N22:N29">
    <cfRule type="expression" dxfId="1128" priority="37">
      <formula>ABS(N$25-N$28)&gt;=1000</formula>
    </cfRule>
  </conditionalFormatting>
  <conditionalFormatting sqref="O22 O24:O29">
    <cfRule type="expression" dxfId="1127" priority="36">
      <formula>ABS(O$25-O$28)&gt;=1000</formula>
    </cfRule>
  </conditionalFormatting>
  <conditionalFormatting sqref="P22:P29">
    <cfRule type="expression" dxfId="1126" priority="35">
      <formula>ABS(P$25-P$28)&gt;=1000</formula>
    </cfRule>
  </conditionalFormatting>
  <conditionalFormatting sqref="Q22:Q29">
    <cfRule type="expression" dxfId="1125" priority="34">
      <formula>ABS(Q$25-Q$28)&gt;=1000</formula>
    </cfRule>
  </conditionalFormatting>
  <conditionalFormatting sqref="R22:R29">
    <cfRule type="expression" dxfId="1124" priority="33">
      <formula>ABS(R$25-R$28)&gt;=1000</formula>
    </cfRule>
  </conditionalFormatting>
  <conditionalFormatting sqref="S22:S29">
    <cfRule type="expression" dxfId="1123" priority="32">
      <formula>ABS(S$25-S$28)&gt;=1000</formula>
    </cfRule>
  </conditionalFormatting>
  <conditionalFormatting sqref="T22:T29">
    <cfRule type="expression" dxfId="1122" priority="31">
      <formula>ABS(T$25-T$28)&gt;=1000</formula>
    </cfRule>
  </conditionalFormatting>
  <conditionalFormatting sqref="U22:U29">
    <cfRule type="expression" dxfId="1121" priority="30">
      <formula>ABS(U$25-U$28)&gt;=1000</formula>
    </cfRule>
  </conditionalFormatting>
  <conditionalFormatting sqref="V22:V29">
    <cfRule type="expression" dxfId="1120" priority="29">
      <formula>ABS(V$25-V$28)&gt;=1000</formula>
    </cfRule>
  </conditionalFormatting>
  <conditionalFormatting sqref="W22:W29">
    <cfRule type="expression" dxfId="1119" priority="28">
      <formula>ABS(W$25-W$28)&gt;=1000</formula>
    </cfRule>
  </conditionalFormatting>
  <conditionalFormatting sqref="X22:X29">
    <cfRule type="expression" dxfId="1118" priority="27">
      <formula>ABS(X$25-X$28)&gt;=1000</formula>
    </cfRule>
  </conditionalFormatting>
  <conditionalFormatting sqref="Y22:Y29">
    <cfRule type="expression" dxfId="1117" priority="26">
      <formula>ABS(Y$25-Y$28)&gt;=1000</formula>
    </cfRule>
  </conditionalFormatting>
  <conditionalFormatting sqref="I23">
    <cfRule type="expression" dxfId="1116" priority="25">
      <formula>ABS(I$25-I$28)&gt;=1000</formula>
    </cfRule>
  </conditionalFormatting>
  <conditionalFormatting sqref="Q14">
    <cfRule type="expression" dxfId="1115" priority="24">
      <formula>ABS(Q$16-Q$19)&gt;=1000</formula>
    </cfRule>
  </conditionalFormatting>
  <conditionalFormatting sqref="W14">
    <cfRule type="expression" dxfId="1114" priority="23">
      <formula>ABS(W$16-W$19)&gt;=1000</formula>
    </cfRule>
  </conditionalFormatting>
  <conditionalFormatting sqref="X14">
    <cfRule type="expression" dxfId="1113" priority="22">
      <formula>ABS(X$16-X$19)&gt;=1000</formula>
    </cfRule>
  </conditionalFormatting>
  <conditionalFormatting sqref="T10:Y10">
    <cfRule type="expression" dxfId="1112" priority="21">
      <formula>ABS(T$7-T$10)&gt;=1000</formula>
    </cfRule>
  </conditionalFormatting>
  <conditionalFormatting sqref="W19">
    <cfRule type="expression" dxfId="1111" priority="20">
      <formula>ABS(W$16-W$19)&gt;=1000</formula>
    </cfRule>
  </conditionalFormatting>
  <conditionalFormatting sqref="AC5">
    <cfRule type="expression" dxfId="1110" priority="19">
      <formula>ABS(AC$7-AC$10)&gt;=1000</formula>
    </cfRule>
  </conditionalFormatting>
  <conditionalFormatting sqref="M14">
    <cfRule type="expression" dxfId="1109" priority="18">
      <formula>ABS(M$16-M$19)&gt;=1000</formula>
    </cfRule>
  </conditionalFormatting>
  <conditionalFormatting sqref="M16">
    <cfRule type="expression" dxfId="1108" priority="17">
      <formula>ABS(M$16-M$19)&gt;=1000</formula>
    </cfRule>
  </conditionalFormatting>
  <conditionalFormatting sqref="M19">
    <cfRule type="expression" dxfId="1107" priority="16">
      <formula>ABS(M$16-M$19)&gt;=1000</formula>
    </cfRule>
  </conditionalFormatting>
  <conditionalFormatting sqref="K13:K20">
    <cfRule type="expression" dxfId="1106" priority="15">
      <formula>ABS(K$16-K$19)&gt;=1000</formula>
    </cfRule>
  </conditionalFormatting>
  <conditionalFormatting sqref="E5">
    <cfRule type="expression" dxfId="1105" priority="14">
      <formula>ABS(E$7-E$10)&gt;=1000</formula>
    </cfRule>
  </conditionalFormatting>
  <conditionalFormatting sqref="AB14:AC14">
    <cfRule type="expression" dxfId="1104" priority="13">
      <formula>ABS(AB$16-AB$19)&gt;=1000</formula>
    </cfRule>
  </conditionalFormatting>
  <conditionalFormatting sqref="M5">
    <cfRule type="expression" dxfId="1103" priority="12">
      <formula>ABS(M$7-M$10)&gt;=1000</formula>
    </cfRule>
  </conditionalFormatting>
  <conditionalFormatting sqref="N5">
    <cfRule type="expression" dxfId="1102" priority="11">
      <formula>ABS(N$7-N$10)&gt;=1000</formula>
    </cfRule>
  </conditionalFormatting>
  <conditionalFormatting sqref="O5">
    <cfRule type="expression" dxfId="1101" priority="10">
      <formula>ABS(O$7-O$10)&gt;=1000</formula>
    </cfRule>
  </conditionalFormatting>
  <conditionalFormatting sqref="P5">
    <cfRule type="expression" dxfId="1100" priority="9">
      <formula>ABS(P$7-P$10)&gt;=1000</formula>
    </cfRule>
  </conditionalFormatting>
  <conditionalFormatting sqref="L23">
    <cfRule type="expression" dxfId="1099" priority="8">
      <formula>ABS(L$25-L$28)&gt;=1000</formula>
    </cfRule>
  </conditionalFormatting>
  <conditionalFormatting sqref="Y14">
    <cfRule type="expression" dxfId="1098" priority="7">
      <formula>ABS(Y$16-Y$19)&gt;=1000</formula>
    </cfRule>
  </conditionalFormatting>
  <conditionalFormatting sqref="F14">
    <cfRule type="expression" dxfId="1097" priority="6">
      <formula>ABS(F$16-F$19)&gt;=1000</formula>
    </cfRule>
  </conditionalFormatting>
  <conditionalFormatting sqref="H14">
    <cfRule type="expression" dxfId="1096" priority="5">
      <formula>ABS(H$16-H$19)&gt;=1000</formula>
    </cfRule>
  </conditionalFormatting>
  <conditionalFormatting sqref="AD5">
    <cfRule type="expression" dxfId="1095" priority="4">
      <formula>ABS(AD$7-AD$10)&gt;=1000</formula>
    </cfRule>
  </conditionalFormatting>
  <conditionalFormatting sqref="AE5">
    <cfRule type="expression" dxfId="1094" priority="3">
      <formula>ABS(AE$7-AE$10)&gt;=1000</formula>
    </cfRule>
  </conditionalFormatting>
  <conditionalFormatting sqref="T16">
    <cfRule type="expression" dxfId="1093" priority="2">
      <formula>ABS(T$16-T$19)&gt;=1000</formula>
    </cfRule>
  </conditionalFormatting>
  <conditionalFormatting sqref="O23">
    <cfRule type="expression" dxfId="1092" priority="1">
      <formula>ABS(O$25-O$28)&gt;=1000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40929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958">
    <pageSetUpPr fitToPage="1"/>
  </sheetPr>
  <dimension ref="A1:CU223"/>
  <sheetViews>
    <sheetView view="pageBreakPreview" zoomScale="85" zoomScaleNormal="100" zoomScaleSheetLayoutView="85" workbookViewId="0">
      <selection activeCell="Z23" sqref="Z23:AE29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39" t="s" ph="1">
        <v>161</v>
      </c>
      <c r="C1" s="239" ph="1"/>
      <c r="D1" s="239" ph="1"/>
      <c r="E1" s="239" ph="1"/>
      <c r="F1" s="239" ph="1"/>
      <c r="G1" s="239" ph="1"/>
      <c r="H1" s="239" ph="1"/>
      <c r="I1" s="239" ph="1"/>
      <c r="J1" s="239" ph="1"/>
      <c r="K1" s="239" ph="1"/>
      <c r="L1" s="239" ph="1"/>
      <c r="M1" s="239" ph="1"/>
      <c r="N1" s="239" ph="1"/>
      <c r="O1" s="239" ph="1"/>
      <c r="P1" s="239" ph="1"/>
      <c r="Q1" s="239" ph="1"/>
      <c r="R1" s="239" ph="1"/>
      <c r="S1" s="239" ph="1"/>
      <c r="T1" s="239" ph="1"/>
      <c r="U1" s="239" ph="1"/>
      <c r="V1" s="239" ph="1"/>
      <c r="W1" s="239" ph="1"/>
      <c r="X1" s="239" ph="1"/>
      <c r="Y1" s="239" ph="1"/>
      <c r="Z1" s="239" ph="1"/>
      <c r="AA1" s="239" ph="1"/>
      <c r="AB1" s="239" ph="1"/>
      <c r="AC1" s="239" ph="1"/>
      <c r="AD1" s="239" ph="1"/>
      <c r="AE1" s="239" ph="1"/>
    </row>
    <row r="2" spans="1:99" s="66" customFormat="1" ht="24" customHeight="1" ph="1">
      <c r="B2" s="240" t="s" ph="1">
        <v>82</v>
      </c>
      <c r="C2" s="240" ph="1"/>
      <c r="D2" s="240" ph="1"/>
      <c r="E2" s="240" ph="1"/>
      <c r="F2" s="240" ph="1"/>
      <c r="G2" s="240" ph="1"/>
      <c r="H2" s="240" ph="1"/>
      <c r="I2" s="240" ph="1"/>
      <c r="J2" s="240" ph="1"/>
      <c r="K2" s="240" ph="1"/>
      <c r="L2" s="240" ph="1"/>
      <c r="M2" s="240" ph="1"/>
      <c r="N2" s="240" ph="1"/>
      <c r="O2" s="240" ph="1"/>
      <c r="P2" s="240" ph="1"/>
      <c r="Q2" s="240" ph="1"/>
      <c r="R2" s="240" ph="1"/>
      <c r="S2" s="240" ph="1"/>
      <c r="T2" s="240" ph="1"/>
      <c r="U2" s="240" ph="1"/>
      <c r="V2" s="240" ph="1"/>
      <c r="W2" s="240" ph="1"/>
      <c r="X2" s="240" ph="1"/>
      <c r="Y2" s="240" ph="1"/>
      <c r="Z2" s="240" ph="1"/>
      <c r="AA2" s="240" ph="1"/>
      <c r="AB2" s="240" ph="1"/>
      <c r="AC2" s="240" ph="1"/>
      <c r="AD2" s="240" ph="1"/>
      <c r="AE2" s="240" ph="1"/>
    </row>
    <row r="3" spans="1:99" ht="21" customHeight="1" ph="1">
      <c r="B3" s="241" ph="1">
        <v>46254</v>
      </c>
      <c r="C3" s="241"/>
      <c r="D3" s="241"/>
      <c r="E3" s="241"/>
      <c r="F3" s="241"/>
      <c r="G3" s="241"/>
      <c r="H3" s="241"/>
      <c r="I3" s="241"/>
      <c r="J3" s="241"/>
      <c r="K3" s="241"/>
      <c r="L3" s="241"/>
      <c r="M3" s="241"/>
      <c r="N3" s="241"/>
      <c r="O3" s="241"/>
      <c r="P3" s="241"/>
      <c r="Q3" s="241"/>
      <c r="R3" s="241"/>
      <c r="S3" s="241"/>
      <c r="T3" s="241"/>
      <c r="U3" s="241"/>
      <c r="V3" s="241"/>
      <c r="W3" s="241"/>
      <c r="X3" s="241"/>
      <c r="Y3" s="241"/>
      <c r="Z3" s="241"/>
      <c r="AA3" s="241"/>
      <c r="AB3" s="241"/>
      <c r="AC3" s="241"/>
      <c r="AD3" s="241"/>
      <c r="AE3" s="241"/>
    </row>
    <row r="4" spans="1:99" s="69" customFormat="1" ph="1">
      <c r="A4" s="65" ph="1"/>
      <c r="B4" s="220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0" ph="1"/>
      <c r="C5" s="67" t="s" ph="1">
        <v>36</v>
      </c>
      <c r="D5" s="70" t="s" ph="1">
        <v>160</v>
      </c>
      <c r="E5" s="142" t="s" ph="1">
        <v>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8" ph="1">
        <v>0.33333333333333331</v>
      </c>
      <c r="C6" s="157" t="s" ph="1">
        <v>177</v>
      </c>
      <c r="D6" s="71">
        <v>3937</v>
      </c>
      <c r="E6" s="71">
        <v>3583</v>
      </c>
      <c r="F6" s="71">
        <v>5944</v>
      </c>
      <c r="G6" s="71">
        <v>6491</v>
      </c>
      <c r="H6" s="71">
        <v>1330</v>
      </c>
      <c r="I6" s="71">
        <v>17.54</v>
      </c>
      <c r="J6" s="71">
        <v>76.86</v>
      </c>
      <c r="K6" s="71">
        <v>7.39</v>
      </c>
      <c r="L6" s="71">
        <v>5.86</v>
      </c>
      <c r="M6" s="71">
        <v>4253</v>
      </c>
      <c r="N6" s="71">
        <v>2903</v>
      </c>
      <c r="O6" s="71">
        <v>140</v>
      </c>
      <c r="P6" s="71">
        <v>1357</v>
      </c>
      <c r="Q6" s="71">
        <v>1547</v>
      </c>
      <c r="R6" s="71">
        <v>0</v>
      </c>
      <c r="S6" s="71">
        <v>0</v>
      </c>
      <c r="T6" s="71">
        <v>0</v>
      </c>
      <c r="U6" s="71">
        <v>0</v>
      </c>
      <c r="V6" s="71">
        <v>1860</v>
      </c>
      <c r="W6" s="71">
        <v>0</v>
      </c>
      <c r="X6" s="71">
        <v>0</v>
      </c>
      <c r="Y6" s="71">
        <v>0</v>
      </c>
      <c r="Z6" s="71">
        <v>965</v>
      </c>
      <c r="AA6" s="71">
        <v>1303</v>
      </c>
      <c r="AB6" s="71">
        <v>2369</v>
      </c>
      <c r="AC6" s="71">
        <v>5295</v>
      </c>
      <c r="AD6" s="71">
        <v>2389</v>
      </c>
      <c r="AE6" s="71">
        <v>5026</v>
      </c>
    </row>
    <row r="7" spans="1:99" s="72" customFormat="1" ht="22.2" ph="1">
      <c r="B7" s="238" ph="1"/>
      <c r="C7" s="68" t="s" ph="1">
        <v>178</v>
      </c>
      <c r="D7" s="73" ph="1">
        <f>D6*33.183*LOOKUP(D8,密度!$A$2:$A$50,密度!$Q$2:$Q$50)</f>
        <v>123051.2015349</v>
      </c>
      <c r="E7" s="73" ph="1">
        <f>E6*51.53*LOOKUP(E8,密度!$A$2:$A$50,密度!$B$2:$B$50)</f>
        <v>143459.05622999999</v>
      </c>
      <c r="F7" s="73" ph="1">
        <f>F6*33.183*LOOKUP(F8,密度!$A$2:$A$50,密度!$C$2:$C$50)</f>
        <v>218265.5095632</v>
      </c>
      <c r="G7" s="73" ph="1">
        <f xml:space="preserve"> (G6+2)*51.53*LOOKUP(G8,密度!$A$2:$A$50,密度!$B$2:$B$50)</f>
        <v>259704.32589799998</v>
      </c>
      <c r="H7" s="73" ph="1">
        <f>(H6)*51.53*LOOKUP(H8,密度!$A$2:$A$50,密度!$B$2:$B$50)</f>
        <v>53135.107970000005</v>
      </c>
      <c r="I7" s="73" ph="1">
        <f>I6*290.8*1.0267</f>
        <v>5236.818874399999</v>
      </c>
      <c r="J7" s="73" ph="1">
        <f>J6*290.8*0.7892</f>
        <v>17639.320809599998</v>
      </c>
      <c r="K7" s="73" ph="1">
        <f>K6*290.8*1.1126</f>
        <v>2390.9907512000004</v>
      </c>
      <c r="L7" s="73" ph="1">
        <f>L6*290.8*0.777</f>
        <v>1324.0763760000002</v>
      </c>
      <c r="M7" s="73" ph="1">
        <f>M6*33.183*LOOKUP(M8,密度!$A$2:$A$50,密度!$D$2:$D$50)</f>
        <v>144359.11414709999</v>
      </c>
      <c r="N7" s="73" ph="1">
        <f>N6*33.183*LOOKUP(N8,密度!$A$2:$A$50,密度!$E$2:$E$50)</f>
        <v>74906.401622399993</v>
      </c>
      <c r="O7" s="73" ph="1">
        <f>O6*20.428*LOOKUP(O8,密度!$A$2:$A$50,密度!$C$2:$C$50)</f>
        <v>3162.7855280000003</v>
      </c>
      <c r="P7" s="73" ph="1">
        <f>P6*51.53*LOOKUP(P8,密度!$A$2:$A$50,密度!$B$2:$B$50)</f>
        <v>54395.598759000008</v>
      </c>
      <c r="Q7" s="73" ph="1">
        <f>Q6*1.5*1.5*3.1416*LOOKUP(W8,密度!$A$2:$A$50,密度!$L$2:$L$50)</f>
        <v>10213.4060028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0</v>
      </c>
      <c r="V7" s="73" ph="1">
        <f>V6*1.5*1.5*3.1416*LOOKUP(V8,密度!$A$2:$A$50,密度!$L$2:$L$50)</f>
        <v>12253.559472000001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30036.256109999998</v>
      </c>
      <c r="AA7" s="73" ph="1">
        <f>AA6*33.183*LOOKUP(AA8,密度!$A$2:$A$50,密度!$D$2:$D$50)</f>
        <v>44270.824031100005</v>
      </c>
      <c r="AB7" s="73" ph="1">
        <f>AB6*20.428*LOOKUP(AB8,密度!$A$2:$A$50,密度!$D$2:$D$50)</f>
        <v>49821.552994000005</v>
      </c>
      <c r="AC7" s="73" ph="1">
        <f>AC6*51.53*LOOKUP(AC8,密度!$A$2:$A$50,密度!$Q$2:$Q$50)</f>
        <v>257740.84223700003</v>
      </c>
      <c r="AD7" s="73" ph="1">
        <f>AD6*20.428*LOOKUP(AD8,密度!$A$2:$A$50,密度!$V$2:$V$50)</f>
        <v>46733.266339199996</v>
      </c>
      <c r="AE7" s="73" ph="1">
        <f>AE6*20.428</f>
        <v>102671.128</v>
      </c>
    </row>
    <row r="8" spans="1:99" ph="1">
      <c r="B8" s="238" ph="1"/>
      <c r="C8" s="68" t="s" ph="1">
        <v>179</v>
      </c>
      <c r="D8" s="74">
        <v>32</v>
      </c>
      <c r="E8" s="74">
        <v>28</v>
      </c>
      <c r="F8" s="74">
        <v>28</v>
      </c>
      <c r="G8" s="74">
        <v>29</v>
      </c>
      <c r="H8" s="74">
        <v>30</v>
      </c>
      <c r="I8" s="74">
        <v>25</v>
      </c>
      <c r="J8" s="74">
        <v>25</v>
      </c>
      <c r="K8" s="74">
        <v>25</v>
      </c>
      <c r="L8" s="74">
        <v>25</v>
      </c>
      <c r="M8" s="74">
        <v>29</v>
      </c>
      <c r="N8" s="74">
        <v>30</v>
      </c>
      <c r="O8" s="74">
        <v>29</v>
      </c>
      <c r="P8" s="74">
        <v>27</v>
      </c>
      <c r="Q8" s="74">
        <v>32</v>
      </c>
      <c r="R8" s="74">
        <v>33</v>
      </c>
      <c r="S8" s="74">
        <v>28</v>
      </c>
      <c r="T8" s="74">
        <v>23</v>
      </c>
      <c r="U8" s="74">
        <v>27</v>
      </c>
      <c r="V8" s="74">
        <v>30</v>
      </c>
      <c r="W8" s="74">
        <v>28</v>
      </c>
      <c r="X8" s="74">
        <v>20</v>
      </c>
      <c r="Y8" s="74">
        <v>28</v>
      </c>
      <c r="Z8" s="74">
        <v>24</v>
      </c>
      <c r="AA8" s="74">
        <v>28</v>
      </c>
      <c r="AB8" s="74">
        <v>22</v>
      </c>
      <c r="AC8" s="74">
        <v>28</v>
      </c>
      <c r="AD8" s="74">
        <v>28</v>
      </c>
      <c r="AE8" s="74">
        <v>30</v>
      </c>
    </row>
    <row r="9" spans="1:99" ht="26.4" ph="1">
      <c r="B9" s="238" ph="1">
        <v>0.66666666666666663</v>
      </c>
      <c r="C9" s="157" t="s" ph="1">
        <v>180</v>
      </c>
      <c r="D9" s="71">
        <v>4299</v>
      </c>
      <c r="E9" s="71">
        <v>3581</v>
      </c>
      <c r="F9" s="71">
        <v>5948</v>
      </c>
      <c r="G9" s="71">
        <v>6218</v>
      </c>
      <c r="H9" s="71">
        <v>1332</v>
      </c>
      <c r="I9" s="71">
        <v>17.52</v>
      </c>
      <c r="J9" s="71">
        <v>77.010000000000005</v>
      </c>
      <c r="K9" s="71">
        <v>7.39</v>
      </c>
      <c r="L9" s="71">
        <v>6.16</v>
      </c>
      <c r="M9" s="71">
        <v>4253</v>
      </c>
      <c r="N9" s="71">
        <v>2905</v>
      </c>
      <c r="O9" s="71">
        <v>140</v>
      </c>
      <c r="P9" s="71">
        <v>1088</v>
      </c>
      <c r="Q9" s="71">
        <v>1540</v>
      </c>
      <c r="R9" s="71">
        <v>0</v>
      </c>
      <c r="S9" s="71">
        <v>0</v>
      </c>
      <c r="T9" s="71">
        <v>0</v>
      </c>
      <c r="U9" s="71">
        <v>0</v>
      </c>
      <c r="V9" s="71">
        <v>0</v>
      </c>
      <c r="W9" s="71">
        <v>5339</v>
      </c>
      <c r="X9" s="71">
        <v>2620</v>
      </c>
      <c r="Y9" s="71">
        <v>0</v>
      </c>
      <c r="Z9" s="71">
        <v>965</v>
      </c>
      <c r="AA9" s="71">
        <v>1305</v>
      </c>
      <c r="AB9" s="71">
        <v>2370</v>
      </c>
      <c r="AC9" s="71">
        <v>5276</v>
      </c>
      <c r="AD9" s="71">
        <v>2389</v>
      </c>
      <c r="AE9" s="71">
        <v>5198</v>
      </c>
    </row>
    <row r="10" spans="1:99" s="72" customFormat="1" ht="22.2" ph="1">
      <c r="B10" s="238" ph="1"/>
      <c r="C10" s="157" t="s" ph="1">
        <v>178</v>
      </c>
      <c r="D10" s="73" ph="1">
        <f>D9*33.183*LOOKUP(D11,密度!$A$2:$A$50,密度!$Q$2:$Q$50)</f>
        <v>134178.65967303002</v>
      </c>
      <c r="E10" s="73" ph="1">
        <f>E9*51.53*LOOKUP(E11,密度!$A$2:$A$50,密度!$B$2:$B$50)</f>
        <v>143065.27942899999</v>
      </c>
      <c r="F10" s="73" ph="1">
        <f>F9*33.183*LOOKUP(F11,密度!$A$2:$A$50,密度!$C$2:$C$50)</f>
        <v>218274.23005560003</v>
      </c>
      <c r="G10" s="73" ph="1">
        <f xml:space="preserve"> (G9+2)*51.53*LOOKUP(G11,密度!$A$2:$A$50,密度!$B$2:$B$50)</f>
        <v>247919.59010000003</v>
      </c>
      <c r="H10" s="73" ph="1">
        <f>(H9)*51.53*LOOKUP(H11,密度!$A$2:$A$50,密度!$B$2:$B$50)</f>
        <v>53153.236224</v>
      </c>
      <c r="I10" s="73" ph="1">
        <f>I9*290.8*1.0267</f>
        <v>5230.8475871999999</v>
      </c>
      <c r="J10" s="73" ph="1">
        <f>J9*290.8*0.7892</f>
        <v>17673.745713600001</v>
      </c>
      <c r="K10" s="73" ph="1">
        <f>K9*290.8*1.1126</f>
        <v>2390.9907512000004</v>
      </c>
      <c r="L10" s="73" ph="1">
        <f>L9*290.8*0.777</f>
        <v>1391.8618560000002</v>
      </c>
      <c r="M10" s="73" ph="1">
        <f>M9*33.183*LOOKUP(M11,密度!$A$2:$A$50,密度!$D$2:$D$50)</f>
        <v>143865.16860060001</v>
      </c>
      <c r="N10" s="73" ph="1">
        <f>N9*33.183*LOOKUP(N11,密度!$A$2:$A$50,密度!$E$2:$E$50)</f>
        <v>74738.223541800005</v>
      </c>
      <c r="O10" s="73" ph="1">
        <f>O9*20.428*LOOKUP(O11,密度!$A$2:$A$50,密度!$C$2:$C$50)</f>
        <v>3145.6260080000002</v>
      </c>
      <c r="P10" s="73" ph="1">
        <f>P9*51.53*LOOKUP(P11,密度!$A$2:$A$50,密度!$B$2:$B$50)</f>
        <v>43321.147327999999</v>
      </c>
      <c r="Q10" s="73" ph="1">
        <f>Q9*1.5*1.5*3.1416*LOOKUP(W11,密度!$A$2:$A$50,密度!$L$2:$L$50)</f>
        <v>10188.962784000001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35323.943054400006</v>
      </c>
      <c r="X10" s="73" ph="1">
        <f>X9*1.5*1.5*3.1416*LOOKUP(X11,密度!$A$2:$A$50,密度!$L$2:$L$50)</f>
        <v>17501.14674</v>
      </c>
      <c r="Y10" s="73" ph="1">
        <f>Y9*1.5*1.5*3.1416*LOOKUP(Y11,密度!$A$2:$A$50,密度!$L$2:$L$50)</f>
        <v>0</v>
      </c>
      <c r="Z10" s="73" ph="1">
        <f>Z9*33.183*LOOKUP(Z11,密度!$A$2:$A$50,密度!$L$2:$L$50)</f>
        <v>29940.191325000003</v>
      </c>
      <c r="AA10" s="73" ph="1">
        <f>AA9*33.183*LOOKUP(AA11,密度!$A$2:$A$50,密度!$D$2:$D$50)</f>
        <v>44104.9355775</v>
      </c>
      <c r="AB10" s="73" ph="1">
        <f>AB9*20.428*LOOKUP(AB11,密度!$A$2:$A$50,密度!$D$2:$D$50)</f>
        <v>49750.596336000002</v>
      </c>
      <c r="AC10" s="73" ph="1">
        <f>AC9*51.53*LOOKUP(AC11,密度!$A$2:$A$50,密度!$Q$2:$Q$50)</f>
        <v>256261.37368240001</v>
      </c>
      <c r="AD10" s="73" ph="1">
        <f>AD9*20.428*LOOKUP(AD11,密度!$A$2:$A$50,密度!$V$2:$V$50)</f>
        <v>46733.266339199996</v>
      </c>
      <c r="AE10" s="73" ph="1">
        <f>AE9*20.428</f>
        <v>106184.74400000001</v>
      </c>
    </row>
    <row r="11" spans="1:99" ph="1">
      <c r="A11" s="64" t="s" ph="1">
        <v>162</v>
      </c>
      <c r="B11" s="238" ph="1"/>
      <c r="C11" s="157" t="s" ph="1">
        <v>179</v>
      </c>
      <c r="D11" s="74">
        <v>34</v>
      </c>
      <c r="E11" s="74">
        <v>30</v>
      </c>
      <c r="F11" s="74">
        <v>29</v>
      </c>
      <c r="G11" s="74">
        <v>32</v>
      </c>
      <c r="H11" s="74">
        <v>31</v>
      </c>
      <c r="I11" s="74">
        <v>25</v>
      </c>
      <c r="J11" s="74">
        <v>25</v>
      </c>
      <c r="K11" s="74">
        <v>25</v>
      </c>
      <c r="L11" s="74">
        <v>25</v>
      </c>
      <c r="M11" s="74">
        <v>33</v>
      </c>
      <c r="N11" s="74">
        <v>32</v>
      </c>
      <c r="O11" s="74">
        <v>35</v>
      </c>
      <c r="P11" s="74">
        <v>33</v>
      </c>
      <c r="Q11" s="74">
        <v>34</v>
      </c>
      <c r="R11" s="74">
        <v>38</v>
      </c>
      <c r="S11" s="74">
        <v>30</v>
      </c>
      <c r="T11" s="74">
        <v>30</v>
      </c>
      <c r="U11" s="74">
        <v>31</v>
      </c>
      <c r="V11" s="74">
        <v>35</v>
      </c>
      <c r="W11" s="74">
        <v>26</v>
      </c>
      <c r="X11" s="74">
        <v>17</v>
      </c>
      <c r="Y11" s="74">
        <v>34</v>
      </c>
      <c r="Z11" s="74">
        <v>27</v>
      </c>
      <c r="AA11" s="74">
        <v>34</v>
      </c>
      <c r="AB11" s="74">
        <v>24</v>
      </c>
      <c r="AC11" s="74">
        <v>31</v>
      </c>
      <c r="AD11" s="74">
        <v>29</v>
      </c>
      <c r="AE11" s="74">
        <v>32</v>
      </c>
    </row>
    <row r="12" spans="1:99" ht="9.9" customHeight="1" ph="1"/>
    <row r="13" spans="1:99" s="72" customFormat="1" ht="29.25" customHeight="1" ph="1">
      <c r="B13" s="215" t="s" ph="1">
        <v>37</v>
      </c>
      <c r="C13" s="157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6" ph="1"/>
      <c r="C14" s="67" t="s" ph="1">
        <v>36</v>
      </c>
      <c r="D14" s="77" t="s" ph="1">
        <v>616</v>
      </c>
      <c r="E14" s="77" t="s" ph="1">
        <v>616</v>
      </c>
      <c r="F14" s="144" t="s" ph="1">
        <v>636</v>
      </c>
      <c r="G14" s="77" t="s" ph="1">
        <v>617</v>
      </c>
      <c r="H14" s="77" t="s" ph="1">
        <v>637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638</v>
      </c>
      <c r="P14" s="77" t="s" ph="1">
        <v>622</v>
      </c>
      <c r="Q14" s="77" t="s" ph="1">
        <v>622</v>
      </c>
      <c r="R14" s="88" t="s" ph="1">
        <v>7</v>
      </c>
      <c r="S14" s="77" t="s" ph="1">
        <v>622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17" ph="1">
        <v>0.33333333333333331</v>
      </c>
      <c r="C15" s="157" t="s" ph="1">
        <v>177</v>
      </c>
      <c r="D15" s="78">
        <v>5824</v>
      </c>
      <c r="E15" s="78">
        <v>744</v>
      </c>
      <c r="F15" s="78">
        <v>2809</v>
      </c>
      <c r="G15" s="78">
        <v>4189</v>
      </c>
      <c r="H15" s="78">
        <v>4365</v>
      </c>
      <c r="I15" s="78">
        <v>3128</v>
      </c>
      <c r="J15" s="78">
        <v>661</v>
      </c>
      <c r="K15" s="78">
        <v>3659</v>
      </c>
      <c r="L15" s="78">
        <v>3964</v>
      </c>
      <c r="M15" s="78">
        <v>1002</v>
      </c>
      <c r="N15" s="78">
        <v>481</v>
      </c>
      <c r="O15" s="78">
        <v>5079</v>
      </c>
      <c r="P15" s="78">
        <v>6542</v>
      </c>
      <c r="Q15" s="78">
        <v>3941</v>
      </c>
      <c r="R15" s="78">
        <v>0</v>
      </c>
      <c r="S15" s="78">
        <v>190</v>
      </c>
      <c r="T15" s="78">
        <v>1003</v>
      </c>
      <c r="U15" s="78">
        <v>1818</v>
      </c>
      <c r="V15" s="78">
        <v>-817</v>
      </c>
      <c r="W15" s="71">
        <v>-150</v>
      </c>
      <c r="X15" s="78">
        <v>861</v>
      </c>
      <c r="Y15" s="106">
        <v>-9907</v>
      </c>
      <c r="Z15" s="78">
        <v>0</v>
      </c>
      <c r="AA15" s="78">
        <v>2485</v>
      </c>
      <c r="AB15" s="78" ph="1">
        <v>0</v>
      </c>
      <c r="AC15" s="78" ph="1">
        <v>0</v>
      </c>
      <c r="AD15" s="78">
        <v>5.67</v>
      </c>
      <c r="AE15" s="78">
        <v>42.5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18" ph="1"/>
      <c r="C16" s="157" t="s" ph="1">
        <v>178</v>
      </c>
      <c r="D16" s="73" ph="1">
        <f>D15*7.0686*LOOKUP(D17,密度!$A$2:$A$50,密度!$L$2:$L$50)</f>
        <v>38368.134604800005</v>
      </c>
      <c r="E16" s="73" ph="1">
        <f>E15*7.0686*LOOKUP(E17,密度!$A$2:$A$50,密度!$L$2:$L$50)</f>
        <v>4901.4237888000007</v>
      </c>
      <c r="F16" s="73" ph="1">
        <f>F15*9.0746*LOOKUP(F17,密度!$A$2:$A$50,密度!$L$2:$L$50)</f>
        <v>23757.193904800002</v>
      </c>
      <c r="G16" s="73" ph="1">
        <f>G15*9.0746*LOOKUP(G17,密度!$A$2:$A$50,密度!$B$2:$B$50)</f>
        <v>29536.4890338</v>
      </c>
      <c r="H16" s="73" ph="1">
        <f>H15*9.0746*LOOKUP(H17,密度!$A$2:$A$50,密度!$L$2:$L$50)</f>
        <v>37115.159373000002</v>
      </c>
      <c r="I16" s="73" ph="1">
        <f>I15*9.0746*LOOKUP(I17,密度!$A$2:$A$50,密度!$U$2:$U$50)</f>
        <v>29038.211822399997</v>
      </c>
      <c r="J16" s="73" ph="1">
        <f>J15*9.0746*LOOKUP(J17,密度!$A$2:$A$50,密度!$L$2:$L$50)</f>
        <v>5596.4237898000001</v>
      </c>
      <c r="K16" s="73" ph="1">
        <f>K15*9.0746*LOOKUP(K17,密度!$A$2:$A$50,密度!$C$2:$C$50)</f>
        <v>36693.697743140001</v>
      </c>
      <c r="L16" s="73" ph="1">
        <f>L15*9.0746*LOOKUP(L17,密度!$A$2:$A$50,密度!$E$2:$E$50)</f>
        <v>27971.605117440002</v>
      </c>
      <c r="M16" s="73" ph="1">
        <f>M15*9.0746*LOOKUP(M17,密度!$A$2:$A$50,密度!$M$2:$M$50)</f>
        <v>7919.7845532000001</v>
      </c>
      <c r="N16" s="73" ph="1">
        <f>N15*9.0746*LOOKUP(N17,密度!$A$2:$A$50,密度!$M$2:$M$50)</f>
        <v>3819.7087632600001</v>
      </c>
      <c r="O16" s="73" ph="1">
        <f>O15*9.0746*LOOKUP(O17,密度!$A$2:$A$50,密度!$G$2:$G$50)</f>
        <v>44002.021228980004</v>
      </c>
      <c r="P16" s="73" ph="1">
        <f ca="1">P15*9.0746*LOOKUP(P17,密度!$A$2:$A$51,密度!$Q$2:$Q$50)</f>
        <v>56037.379718476004</v>
      </c>
      <c r="Q16" s="73" ph="1">
        <f>Q15*9.0746*LOOKUP(Q17,密度!$A$2:$A$50,密度!$Q$2:$Q$50)</f>
        <v>33736.309469337997</v>
      </c>
      <c r="R16" s="73" ph="1">
        <f>MAX(R15*9.0746*LOOKUP(R17,密度!$A$2:$A$50,密度!$B$2:$B$50),0)</f>
        <v>0</v>
      </c>
      <c r="S16" s="73" ph="1">
        <f>S15*9.0746*LOOKUP(S17,密度!$A$2:$A$50,密度!$Q$2:$Q$50)</f>
        <v>1627.49956382</v>
      </c>
      <c r="T16" s="73" ph="1">
        <f>T15*9.0746*LOOKUP(T17,密度!$A$2:$A$50,密度!$O$2:$O$50)</f>
        <v>8428.288838800001</v>
      </c>
      <c r="U16" s="73" ph="1">
        <f>U15*9.0746*LOOKUP(U17,密度!$A$2:$A$50,密度!$H$2:$H$50)</f>
        <v>15029.334370800001</v>
      </c>
      <c r="V16" s="73" ph="1">
        <f>MAX(5600*LOOKUP(V17,密度!$A$2:$A$50,密度!$Q$2:$Q$50)+V15*9.0476*LOOKUP(V17,密度!$A$2:$A$50,密度!$Q$2:$Q$50),0)</f>
        <v>0</v>
      </c>
      <c r="W16" s="73" ph="1">
        <f>MAX(5600*LOOKUP(W17,密度!$A$2:$A$50,密度!$Q$2:$Q$50)+W15*9.0476*LOOKUP(W17,密度!$A$2:$A$50,密度!$Q$2:$Q$50),0)</f>
        <v>4007.8904132000007</v>
      </c>
      <c r="X16" s="73" ph="1">
        <f>MAX(5600*LOOKUP(X17,密度!$A$2:$A$50,密度!$I$2:$I$50)+X15*9.0476*LOOKUP(X17,密度!$A$2:$A$50,密度!$I$2:$I$50),0)</f>
        <v>13881.395998119999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17503.605732200002</v>
      </c>
      <c r="AB16" s="73" ph="1">
        <f>AB15*9.0746*LOOKUP(AB17,密度!$A$2:$A$50,密度!$L$2:$L$50)</f>
        <v>0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2408.5084017600002</v>
      </c>
      <c r="AE16" s="73" ph="1">
        <f>AE15*268.68*LOOKUP(AE17,密度!$A$2:$A$50,密度!B2:B50)+IF(AE15&lt;=0,0,1566*LOOKUP(AE17,密度!$A$2:$A$50,密度!B2:B50))</f>
        <v>10123.028039999999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19" ph="1"/>
      <c r="C17" s="79" t="s" ph="1">
        <v>179</v>
      </c>
      <c r="D17" s="74">
        <v>30</v>
      </c>
      <c r="E17" s="74">
        <v>30</v>
      </c>
      <c r="F17" s="74">
        <v>30</v>
      </c>
      <c r="G17" s="74">
        <v>28</v>
      </c>
      <c r="H17" s="74">
        <v>25</v>
      </c>
      <c r="I17" s="74">
        <v>27</v>
      </c>
      <c r="J17" s="74">
        <v>29</v>
      </c>
      <c r="K17" s="74">
        <v>30</v>
      </c>
      <c r="L17" s="74">
        <v>30</v>
      </c>
      <c r="M17" s="74">
        <v>29</v>
      </c>
      <c r="N17" s="74">
        <v>25</v>
      </c>
      <c r="O17" s="74">
        <v>30</v>
      </c>
      <c r="P17" s="74">
        <v>29</v>
      </c>
      <c r="Q17" s="74">
        <v>30</v>
      </c>
      <c r="R17" s="74">
        <v>28</v>
      </c>
      <c r="S17" s="74">
        <v>29</v>
      </c>
      <c r="T17" s="74">
        <v>26</v>
      </c>
      <c r="U17" s="74">
        <v>29</v>
      </c>
      <c r="V17" s="74">
        <v>28</v>
      </c>
      <c r="W17" s="74">
        <v>28</v>
      </c>
      <c r="X17" s="74">
        <v>30</v>
      </c>
      <c r="Y17" s="108">
        <v>30</v>
      </c>
      <c r="Z17" s="74">
        <v>28</v>
      </c>
      <c r="AA17" s="74">
        <v>29</v>
      </c>
      <c r="AB17" s="74">
        <v>28</v>
      </c>
      <c r="AC17" s="74">
        <v>25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17" ph="1">
        <v>0.66666666666666663</v>
      </c>
      <c r="C18" s="79" t="s" ph="1">
        <v>180</v>
      </c>
      <c r="D18" s="71">
        <v>3732</v>
      </c>
      <c r="E18" s="71">
        <v>2971</v>
      </c>
      <c r="F18" s="71">
        <v>2936</v>
      </c>
      <c r="G18" s="71">
        <v>896</v>
      </c>
      <c r="H18" s="71">
        <v>4367</v>
      </c>
      <c r="I18" s="71">
        <v>3130</v>
      </c>
      <c r="J18" s="71">
        <v>661</v>
      </c>
      <c r="K18" s="71">
        <v>3660</v>
      </c>
      <c r="L18" s="71">
        <v>7256</v>
      </c>
      <c r="M18" s="71">
        <v>3139</v>
      </c>
      <c r="N18" s="71">
        <v>1784</v>
      </c>
      <c r="O18" s="71">
        <v>2523</v>
      </c>
      <c r="P18" s="71">
        <v>6547</v>
      </c>
      <c r="Q18" s="71">
        <v>2259</v>
      </c>
      <c r="R18" s="71">
        <v>0</v>
      </c>
      <c r="S18" s="71">
        <v>189</v>
      </c>
      <c r="T18" s="71">
        <v>459</v>
      </c>
      <c r="U18" s="71">
        <v>1818</v>
      </c>
      <c r="V18" s="71">
        <v>-817</v>
      </c>
      <c r="W18" s="71">
        <v>-151</v>
      </c>
      <c r="X18" s="71">
        <v>861</v>
      </c>
      <c r="Y18" s="109">
        <v>-9907</v>
      </c>
      <c r="Z18" s="71">
        <v>0</v>
      </c>
      <c r="AA18" s="71">
        <v>2486</v>
      </c>
      <c r="AB18" s="71">
        <v>0</v>
      </c>
      <c r="AC18" s="71">
        <v>0</v>
      </c>
      <c r="AD18" s="71">
        <v>10.86</v>
      </c>
      <c r="AE18" s="71">
        <v>84.47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18" ph="1"/>
      <c r="C19" s="157" t="s" ph="1">
        <v>178</v>
      </c>
      <c r="D19" s="73" ph="1">
        <f>D18*7.0686*LOOKUP(D20,密度!$A$2:$A$50,密度!$L$2:$L$50)</f>
        <v>24533.414136000003</v>
      </c>
      <c r="E19" s="73" ph="1">
        <f>E18*7.0686*LOOKUP(E20,密度!$A$2:$A$50,密度!$L$2:$L$50)</f>
        <v>19530.753858</v>
      </c>
      <c r="F19" s="73" ph="1">
        <f>F18*9.0746*LOOKUP(F20,密度!$A$2:$A$50,密度!$L$2:$L$50)</f>
        <v>24804.656833600002</v>
      </c>
      <c r="G19" s="73" ph="1">
        <f>G18*9.0746*LOOKUP(G20,密度!$A$2:$A$50,密度!$B$2:$B$50)</f>
        <v>6303.8414924799999</v>
      </c>
      <c r="H19" s="73" ph="1">
        <f>H18*9.0746*LOOKUP(H20,密度!$A$2:$A$50,密度!$L$2:$L$50)</f>
        <v>37013.278838800004</v>
      </c>
      <c r="I19" s="73" ph="1">
        <f>I18*9.0746*LOOKUP(I20,密度!$A$2:$A$50,密度!$U$2:$U$50)</f>
        <v>28829.550469999998</v>
      </c>
      <c r="J19" s="73" ph="1">
        <f>J18*9.0746*LOOKUP(J20,密度!$A$2:$A$50,密度!$L$2:$L$50)</f>
        <v>5566.4322368000003</v>
      </c>
      <c r="K19" s="73" ph="1">
        <f>K18*9.0746*LOOKUP(K20,密度!$A$2:$A$50,密度!$C$2:$C$50)</f>
        <v>36703.726083599999</v>
      </c>
      <c r="L19" s="73" ph="1">
        <f>L18*9.0746*LOOKUP(L20,密度!$A$2:$A$50,密度!$E$2:$E$50)</f>
        <v>51125.581321520003</v>
      </c>
      <c r="M19" s="73" ph="1">
        <f>M18*9.0746*LOOKUP(M20,密度!$A$2:$A$50,密度!$M$2:$M$50)</f>
        <v>24690.090280838005</v>
      </c>
      <c r="N19" s="73" ph="1">
        <f>N18*9.0746*LOOKUP(N20,密度!$A$2:$A$50,密度!$M$2:$M$50)</f>
        <v>14134.69133584</v>
      </c>
      <c r="O19" s="73" ph="1">
        <f>O18*9.0746*LOOKUP(O20,密度!$A$2:$A$50,密度!$G$2:$G$50)</f>
        <v>21858.06252426</v>
      </c>
      <c r="P19" s="73" ph="1">
        <f ca="1">P18*9.0746*LOOKUP(P20,密度!$A$2:$A$51,密度!$Q$2:$Q$50)</f>
        <v>56044.561810646002</v>
      </c>
      <c r="Q19" s="73" ph="1">
        <f>Q18*9.0746*LOOKUP(Q20,密度!$A$2:$A$50,密度!$Q$2:$Q$50)</f>
        <v>19295.174517750002</v>
      </c>
      <c r="R19" s="73" ph="1">
        <f>MAX(R18*9.0746*LOOKUP(R20,密度!$A$2:$A$50,密度!$B$2:$B$50),0)</f>
        <v>0</v>
      </c>
      <c r="S19" s="73" ph="1">
        <f>S18*9.0746*LOOKUP(S20,密度!$A$2:$A$50,密度!$Q$2:$Q$50)</f>
        <v>1614.3373102500002</v>
      </c>
      <c r="T19" s="73" ph="1">
        <f>T18*9.0746*LOOKUP(T20,密度!$A$2:$A$50,密度!$O$2:$O$50)</f>
        <v>3833.6881845600001</v>
      </c>
      <c r="U19" s="73" ph="1">
        <f>U18*9.0746*LOOKUP(U20,密度!$A$2:$A$50,密度!$H$2:$H$50)</f>
        <v>15012.836748000002</v>
      </c>
      <c r="V19" s="73" ph="1">
        <f>MAX(5600*LOOKUP(V20,密度!$A$2:$A$50,密度!$Q$2:$Q$50)+V18*9.0476*LOOKUP(V20,密度!$A$2:$A$50,密度!$Q$2:$Q$50),0)</f>
        <v>0</v>
      </c>
      <c r="W19" s="73" ph="1">
        <f>MAX(5600*LOOKUP(W20,密度!$A$2:$A$50,密度!$Q$2:$Q$50)+W18*9.0476*LOOKUP(W20,密度!$A$2:$A$50,密度!$Q$2:$Q$50),0)</f>
        <v>3982.281605316</v>
      </c>
      <c r="X19" s="73" ph="1">
        <f>MAX(5600*LOOKUP(X20,密度!$A$2:$A$50,密度!$I$2:$I$50)+X18*9.0476*LOOKUP(X20,密度!$A$2:$A$50,密度!$I$2:$I$50),0)</f>
        <v>13851.9380342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17449.7389066</v>
      </c>
      <c r="AB19" s="73" ph="1">
        <f>AB18*9.0746*LOOKUP(AB20,密度!$A$2:$A$50,密度!$L$2:$L$50)</f>
        <v>0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3483.9629495999998</v>
      </c>
      <c r="AE19" s="73" ph="1">
        <f>AE18*268.68*LOOKUP(AE20,密度!$A$2:$A$50,密度!B5:B53)+IF(AE18&lt;=0,0,1566*LOOKUP(AE20,密度!$A$2:$A$50,密度!B5:B53))</f>
        <v>18851.1074892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18" ph="1"/>
      <c r="C20" s="80" t="s" ph="1">
        <v>179</v>
      </c>
      <c r="D20" s="81">
        <v>32</v>
      </c>
      <c r="E20" s="81">
        <v>32</v>
      </c>
      <c r="F20" s="81">
        <v>31</v>
      </c>
      <c r="G20" s="81">
        <v>30</v>
      </c>
      <c r="H20" s="81">
        <v>28</v>
      </c>
      <c r="I20" s="81">
        <v>35</v>
      </c>
      <c r="J20" s="81">
        <v>34</v>
      </c>
      <c r="K20" s="81">
        <v>30</v>
      </c>
      <c r="L20" s="81">
        <v>31</v>
      </c>
      <c r="M20" s="81">
        <v>33</v>
      </c>
      <c r="N20" s="81">
        <v>27</v>
      </c>
      <c r="O20" s="81">
        <v>30</v>
      </c>
      <c r="P20" s="81">
        <v>30</v>
      </c>
      <c r="Q20" s="81">
        <v>33</v>
      </c>
      <c r="R20" s="81">
        <v>33</v>
      </c>
      <c r="S20" s="81">
        <v>33</v>
      </c>
      <c r="T20" s="81">
        <v>34</v>
      </c>
      <c r="U20" s="81">
        <v>30</v>
      </c>
      <c r="V20" s="81">
        <v>30</v>
      </c>
      <c r="W20" s="81">
        <v>34</v>
      </c>
      <c r="X20" s="81">
        <v>32</v>
      </c>
      <c r="Y20" s="110">
        <v>32</v>
      </c>
      <c r="Z20" s="81">
        <v>34</v>
      </c>
      <c r="AA20" s="81">
        <v>32</v>
      </c>
      <c r="AB20" s="81">
        <v>35</v>
      </c>
      <c r="AC20" s="81">
        <v>34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6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6" t="s" ph="1">
        <v>69</v>
      </c>
      <c r="AA22" s="227"/>
      <c r="AB22" s="227"/>
      <c r="AC22" s="227"/>
      <c r="AD22" s="227"/>
      <c r="AE22" s="228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0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610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229" t="s" ph="1">
        <v>642</v>
      </c>
      <c r="AA23" s="230"/>
      <c r="AB23" s="230"/>
      <c r="AC23" s="230"/>
      <c r="AD23" s="230"/>
      <c r="AE23" s="231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38" ph="1">
        <v>0.33333333333333331</v>
      </c>
      <c r="C24" s="157" t="s" ph="1">
        <v>177</v>
      </c>
      <c r="D24" s="71">
        <v>3.68</v>
      </c>
      <c r="E24" s="71">
        <v>5.61</v>
      </c>
      <c r="F24" s="71">
        <v>0</v>
      </c>
      <c r="G24" s="71">
        <v>3206</v>
      </c>
      <c r="H24" s="71">
        <v>2630</v>
      </c>
      <c r="I24" s="71">
        <v>1883</v>
      </c>
      <c r="J24" s="71">
        <v>304</v>
      </c>
      <c r="K24" s="71">
        <v>2548</v>
      </c>
      <c r="L24" s="71">
        <v>301</v>
      </c>
      <c r="M24" s="71">
        <v>326</v>
      </c>
      <c r="N24" s="71">
        <v>4776</v>
      </c>
      <c r="O24" s="71">
        <v>343</v>
      </c>
      <c r="P24" s="71">
        <v>373</v>
      </c>
      <c r="Q24" s="90">
        <v>3730</v>
      </c>
      <c r="R24" s="71">
        <v>289</v>
      </c>
      <c r="S24" s="71">
        <v>345</v>
      </c>
      <c r="T24" s="71">
        <v>425</v>
      </c>
      <c r="U24" s="71">
        <v>6125</v>
      </c>
      <c r="V24" s="71">
        <v>739</v>
      </c>
      <c r="W24" s="71">
        <v>430</v>
      </c>
      <c r="X24" s="71">
        <v>4793</v>
      </c>
      <c r="Y24" s="71">
        <v>2990</v>
      </c>
      <c r="Z24" s="232"/>
      <c r="AA24" s="233"/>
      <c r="AB24" s="233"/>
      <c r="AC24" s="233"/>
      <c r="AD24" s="233"/>
      <c r="AE24" s="234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38" ph="1"/>
      <c r="C25" s="68" t="s" ph="1">
        <v>178</v>
      </c>
      <c r="D25" s="91" ph="1">
        <f>D24*268.68*LOOKUP(D26,密度!$A$2:$A$50,密度!$Q$2:$Q$50)+IF(D24&lt;=0,0,1566*LOOKUP(D26,密度!$A$2:$A$50,密度!$Q$2:$Q$50))</f>
        <v>2418.6768197760002</v>
      </c>
      <c r="E25" s="91" ph="1">
        <f>E24*268.68*LOOKUP(E26,密度!$A$2:$A$50,密度!$C$2:$C$50)+IF(E24&lt;=0,0,1566*LOOKUP(E26,密度!$A$2:$A$50,密度!$C$2:$C$50))</f>
        <v>3407.9766037199997</v>
      </c>
      <c r="F25" s="91" ph="1">
        <f>F24*11.702*LOOKUP(F26,密度!$A$2:$A$50,密度!$Q$2:$Q$50)</f>
        <v>0</v>
      </c>
      <c r="G25" s="91" ph="1">
        <f>G24*18.322*LOOKUP(G26,密度!$A$2:$A$50,密度!$B$2:$B$50)</f>
        <v>45541.379399599995</v>
      </c>
      <c r="H25" s="91" ph="1">
        <f>H24*18.322*LOOKUP(H26,密度!$A$2:$A$50,密度!$B$2:$B$50)</f>
        <v>37359.272557999997</v>
      </c>
      <c r="I25" s="91" ph="1">
        <f>I24*18.322*LOOKUP(I26,密度!$A$2:$A$50,密度!$Q$2:$Q$50)</f>
        <v>32519.317281079999</v>
      </c>
      <c r="J25" s="91" ph="1">
        <f>J24*18.322*LOOKUP(J26,密度!$A$2:$A$50,密度!$Q$2:$Q$50)</f>
        <v>5254.2424470400001</v>
      </c>
      <c r="K25" s="91" ph="1">
        <f>K24*18.322*LOOKUP(K26,密度!$A$2:$A$50,密度!$Q$2:$Q$50)</f>
        <v>44066.858552079997</v>
      </c>
      <c r="L25" s="91" ph="1">
        <f>L24*18.322*LOOKUP(L26,密度!$A$2:$A$50,密度!$Q$2:$Q$50)</f>
        <v>5205.7003234599997</v>
      </c>
      <c r="M25" s="91" ph="1">
        <f>M24*18.322*LOOKUP(M26,密度!$A$2:$A$50,密度!$Q$2:$Q$50)</f>
        <v>5634.48367676</v>
      </c>
      <c r="N25" s="91" ph="1">
        <f>N24*18.322*LOOKUP(N26,密度!$A$2:$A$50,密度!$Q$2:$Q$50)</f>
        <v>82546.914233760006</v>
      </c>
      <c r="O25" s="91" ph="1">
        <f>O24*18.322*LOOKUP(O26,密度!$A$2:$A$50,密度!$C$2:$C$50)</f>
        <v>6944.9412745999998</v>
      </c>
      <c r="P25" s="91" ph="1">
        <f>P24*11.702*LOOKUP(P26,密度!$A$2:$A$50,密度!$B$2:$B$50)</f>
        <v>3387.9934651999997</v>
      </c>
      <c r="Q25" s="92" ph="1">
        <f>Q24*18.322*LOOKUP(Q26,密度!$A$2:$A$50,密度!$B$2:$B$50)</f>
        <v>53046.330772000001</v>
      </c>
      <c r="R25" s="91" ph="1">
        <f>R24*35.891*LOOKUP(R26,密度!$A$2:$A$50,密度!$C$2:$C$50)</f>
        <v>11478.2073934</v>
      </c>
      <c r="S25" s="91" ph="1">
        <f>S24*35.891*LOOKUP(S26,密度!$A$2:$A$50,密度!$B$2:$B$50)</f>
        <v>9611.2149989999998</v>
      </c>
      <c r="T25" s="91" ph="1">
        <f>T24*35.891*LOOKUP(T26,密度!$A$2:$A$50,密度!$Q$2:$Q$50)</f>
        <v>14389.24923775</v>
      </c>
      <c r="U25" s="91" ph="1">
        <f>U24*35.891</f>
        <v>219832.375</v>
      </c>
      <c r="V25" s="91" ph="1">
        <f>V24*47.051*LOOKUP(V26,密度!$A$2:$A$50,密度!$B$2:$B$50)</f>
        <v>26989.008801799999</v>
      </c>
      <c r="W25" s="91" ph="1">
        <f>W24*47.051*LOOKUP(W26,密度!$A$2:$A$50,密度!$B$2:$B$50)</f>
        <v>15704.024066</v>
      </c>
      <c r="X25" s="91" ph="1">
        <f>X24*47.051*LOOKUP(X26,密度!$A$2:$A$61,密度!$I$2:$I$61)</f>
        <v>233543.79277080001</v>
      </c>
      <c r="Y25" s="91" ph="1">
        <f>Y24*47.051*LOOKUP(Y26,密度!$A$2:$A$50,密度!$L$2:$L$50)</f>
        <v>131116.08068000001</v>
      </c>
      <c r="Z25" s="232"/>
      <c r="AA25" s="233"/>
      <c r="AB25" s="233"/>
      <c r="AC25" s="233"/>
      <c r="AD25" s="233"/>
      <c r="AE25" s="234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38" ph="1"/>
      <c r="C26" s="68" t="s" ph="1">
        <v>179</v>
      </c>
      <c r="D26" s="74">
        <v>25</v>
      </c>
      <c r="E26" s="74">
        <v>25</v>
      </c>
      <c r="F26" s="74">
        <v>28</v>
      </c>
      <c r="G26" s="74">
        <v>30</v>
      </c>
      <c r="H26" s="74">
        <v>30</v>
      </c>
      <c r="I26" s="74">
        <v>31</v>
      </c>
      <c r="J26" s="74">
        <v>30</v>
      </c>
      <c r="K26" s="74">
        <v>29</v>
      </c>
      <c r="L26" s="74">
        <v>29</v>
      </c>
      <c r="M26" s="74">
        <v>30</v>
      </c>
      <c r="N26" s="74">
        <v>30</v>
      </c>
      <c r="O26" s="74">
        <v>30</v>
      </c>
      <c r="P26" s="74">
        <v>29</v>
      </c>
      <c r="Q26" s="93">
        <v>29</v>
      </c>
      <c r="R26" s="74">
        <v>28</v>
      </c>
      <c r="S26" s="74">
        <v>29</v>
      </c>
      <c r="T26" s="74">
        <v>30</v>
      </c>
      <c r="U26" s="74">
        <v>30</v>
      </c>
      <c r="V26" s="74">
        <v>29</v>
      </c>
      <c r="W26" s="74">
        <v>29</v>
      </c>
      <c r="X26" s="74">
        <v>31</v>
      </c>
      <c r="Y26" s="74">
        <v>30</v>
      </c>
      <c r="Z26" s="232"/>
      <c r="AA26" s="233"/>
      <c r="AB26" s="233"/>
      <c r="AC26" s="233"/>
      <c r="AD26" s="233"/>
      <c r="AE26" s="234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38" ph="1">
        <v>0.66666666666666663</v>
      </c>
      <c r="C27" s="157" t="s" ph="1">
        <v>180</v>
      </c>
      <c r="D27" s="71">
        <v>3.64</v>
      </c>
      <c r="E27" s="71">
        <v>5.57</v>
      </c>
      <c r="F27" s="71">
        <v>0</v>
      </c>
      <c r="G27" s="71">
        <v>2670</v>
      </c>
      <c r="H27" s="71">
        <v>2025</v>
      </c>
      <c r="I27" s="71">
        <v>986</v>
      </c>
      <c r="J27" s="71">
        <v>299</v>
      </c>
      <c r="K27" s="71">
        <v>2547</v>
      </c>
      <c r="L27" s="71">
        <v>298</v>
      </c>
      <c r="M27" s="71">
        <v>322</v>
      </c>
      <c r="N27" s="71">
        <v>4775</v>
      </c>
      <c r="O27" s="71">
        <v>340</v>
      </c>
      <c r="P27" s="71">
        <v>372</v>
      </c>
      <c r="Q27" s="90">
        <v>3971</v>
      </c>
      <c r="R27" s="71">
        <v>287</v>
      </c>
      <c r="S27" s="71">
        <v>342</v>
      </c>
      <c r="T27" s="71">
        <v>197</v>
      </c>
      <c r="U27" s="71">
        <v>6101</v>
      </c>
      <c r="V27" s="71">
        <v>736</v>
      </c>
      <c r="W27" s="71">
        <v>430</v>
      </c>
      <c r="X27" s="71">
        <v>5031</v>
      </c>
      <c r="Y27" s="71">
        <v>3367</v>
      </c>
      <c r="Z27" s="232"/>
      <c r="AA27" s="233"/>
      <c r="AB27" s="233"/>
      <c r="AC27" s="233"/>
      <c r="AD27" s="233"/>
      <c r="AE27" s="234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38" ph="1"/>
      <c r="C28" s="157" t="s" ph="1">
        <v>178</v>
      </c>
      <c r="D28" s="91" ph="1">
        <f>D27*268.68*LOOKUP(D29,密度!$A$2:$A$50,密度!$Q$2:$Q$50)+IF(D27&lt;=0,0,1566*LOOKUP(D29,密度!$A$2:$A$50,密度!$Q$2:$Q$50))</f>
        <v>2408.502015648</v>
      </c>
      <c r="E28" s="91" ph="1">
        <f>E27*268.68*LOOKUP(E29,密度!$A$2:$A$50,密度!$C$2:$C$50)+IF(E27&lt;=0,0,1566*LOOKUP(E29,密度!$A$2:$A$50,密度!$C$2:$C$50))</f>
        <v>3396.0590336400001</v>
      </c>
      <c r="F28" s="91" ph="1">
        <f>F27*11.702*LOOKUP(F29,密度!$A$2:$A$50,密度!$Q$2:$Q$50)</f>
        <v>0</v>
      </c>
      <c r="G28" s="91" ph="1">
        <f>G27*18.322*LOOKUP(G29,密度!$A$2:$A$50,密度!$B$2:$B$50)</f>
        <v>37839.418889999994</v>
      </c>
      <c r="H28" s="91" ph="1">
        <f>H27*18.322*LOOKUP(H29,密度!$A$2:$A$50,密度!$B$2:$B$50)</f>
        <v>28698.435674999997</v>
      </c>
      <c r="I28" s="91" ph="1">
        <f>I27*18.322*LOOKUP(I29,密度!$A$2:$A$50,密度!$Q$2:$Q$50)</f>
        <v>17028.171449359997</v>
      </c>
      <c r="J28" s="91" ph="1">
        <f>J27*18.322*LOOKUP(J29,密度!$A$2:$A$50,密度!$Q$2:$Q$50)</f>
        <v>5167.8239857399994</v>
      </c>
      <c r="K28" s="91" ph="1">
        <f>K27*18.322*LOOKUP(K29,密度!$A$2:$A$50,密度!$Q$2:$Q$50)</f>
        <v>44021.564186219999</v>
      </c>
      <c r="L28" s="91" ph="1">
        <f>L27*18.322*LOOKUP(L29,密度!$A$2:$A$50,密度!$Q$2:$Q$50)</f>
        <v>5150.5402934800004</v>
      </c>
      <c r="M28" s="91" ph="1">
        <f>M27*18.322*LOOKUP(M29,密度!$A$2:$A$50,密度!$Q$2:$Q$50)</f>
        <v>5556.912359599999</v>
      </c>
      <c r="N28" s="91" ph="1">
        <f>N27*18.322*LOOKUP(N29,密度!$A$2:$A$50,密度!$Q$2:$Q$50)</f>
        <v>82529.63054150001</v>
      </c>
      <c r="O28" s="91" ph="1">
        <f>O27*18.322*LOOKUP(O29,密度!$A$2:$A$50,密度!$C$2:$C$50)</f>
        <v>6884.198347999999</v>
      </c>
      <c r="P28" s="91" ph="1">
        <f>P27*11.702*LOOKUP(P29,密度!$A$2:$A$50,密度!$B$2:$B$50)</f>
        <v>3374.9925432</v>
      </c>
      <c r="Q28" s="92" ph="1">
        <f>Q27*18.322*LOOKUP(Q29,密度!$A$2:$A$50,密度!$B$2:$B$50)</f>
        <v>56277.278056999996</v>
      </c>
      <c r="R28" s="91" ph="1">
        <f>R27*35.891*LOOKUP(R29,密度!$A$2:$A$50,密度!$C$2:$C$50)</f>
        <v>11383.322356699999</v>
      </c>
      <c r="S28" s="91" ph="1">
        <f>S27*35.891*LOOKUP(S29,密度!$A$2:$A$50,密度!$B$2:$B$50)</f>
        <v>9516.5919665999991</v>
      </c>
      <c r="T28" s="91" ph="1">
        <f>T27*35.891*LOOKUP(T29,密度!$A$2:$A$50,密度!$Q$2:$Q$50)</f>
        <v>6664.5373396599998</v>
      </c>
      <c r="U28" s="91" ph="1">
        <f>U27*35.891</f>
        <v>218970.99099999998</v>
      </c>
      <c r="V28" s="91" ph="1">
        <f>V27*47.051*LOOKUP(V29,密度!$A$2:$A$50,密度!$B$2:$B$50)</f>
        <v>26848.279260799998</v>
      </c>
      <c r="W28" s="91" ph="1">
        <f>W27*47.051*LOOKUP(W29,密度!$A$2:$A$50,密度!$B$2:$B$50)</f>
        <v>15649.397854999999</v>
      </c>
      <c r="X28" s="91" ph="1">
        <f>X27*47.051*LOOKUP(X29,密度!$A$2:$A$61,密度!$I$2:$I$61)</f>
        <v>244075.37336909998</v>
      </c>
      <c r="Y28" s="91" ph="1">
        <f>Y27*47.051*LOOKUP(Y29,密度!$A$2:$A$50,密度!$L$2:$L$50)</f>
        <v>147331.26681</v>
      </c>
      <c r="Z28" s="232"/>
      <c r="AA28" s="233"/>
      <c r="AB28" s="233"/>
      <c r="AC28" s="233"/>
      <c r="AD28" s="233"/>
      <c r="AE28" s="234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38" ph="1"/>
      <c r="C29" s="157" t="s" ph="1">
        <v>179</v>
      </c>
      <c r="D29" s="74">
        <v>25</v>
      </c>
      <c r="E29" s="74">
        <v>25</v>
      </c>
      <c r="F29" s="74">
        <v>30</v>
      </c>
      <c r="G29" s="74">
        <v>32</v>
      </c>
      <c r="H29" s="74">
        <v>32</v>
      </c>
      <c r="I29" s="74">
        <v>31</v>
      </c>
      <c r="J29" s="74">
        <v>30</v>
      </c>
      <c r="K29" s="74">
        <v>30</v>
      </c>
      <c r="L29" s="74">
        <v>30</v>
      </c>
      <c r="M29" s="74">
        <v>32</v>
      </c>
      <c r="N29" s="74">
        <v>30</v>
      </c>
      <c r="O29" s="74">
        <v>30</v>
      </c>
      <c r="P29" s="74">
        <v>30</v>
      </c>
      <c r="Q29" s="93">
        <v>32</v>
      </c>
      <c r="R29" s="74">
        <v>30</v>
      </c>
      <c r="S29" s="74">
        <v>30</v>
      </c>
      <c r="T29" s="74">
        <v>31</v>
      </c>
      <c r="U29" s="74">
        <v>31</v>
      </c>
      <c r="V29" s="74">
        <v>30</v>
      </c>
      <c r="W29" s="74">
        <v>32</v>
      </c>
      <c r="X29" s="74">
        <v>35</v>
      </c>
      <c r="Y29" s="74">
        <v>32</v>
      </c>
      <c r="Z29" s="235"/>
      <c r="AA29" s="236"/>
      <c r="AB29" s="236"/>
      <c r="AC29" s="236"/>
      <c r="AD29" s="236"/>
      <c r="AE29" s="237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1" t="s" ph="1">
        <v>35</v>
      </c>
      <c r="C31" s="222" ph="1"/>
      <c r="D31" s="225" t="s" ph="1">
        <v>9</v>
      </c>
      <c r="E31" s="200" ph="1"/>
      <c r="F31" s="201" ph="1"/>
      <c r="G31" s="225" t="s" ph="1">
        <v>18</v>
      </c>
      <c r="H31" s="200" ph="1"/>
      <c r="I31" s="201" ph="1"/>
      <c r="J31" s="199" t="s" ph="1">
        <v>1</v>
      </c>
      <c r="K31" s="200" ph="1"/>
      <c r="L31" s="201" ph="1"/>
      <c r="M31" s="199" t="s" ph="1">
        <v>7</v>
      </c>
      <c r="N31" s="200" ph="1"/>
      <c r="O31" s="201" ph="1"/>
      <c r="P31" s="199" t="s" ph="1">
        <v>41</v>
      </c>
      <c r="Q31" s="200"/>
      <c r="R31" s="201"/>
      <c r="S31" s="199" t="s" ph="1">
        <v>2</v>
      </c>
      <c r="T31" s="200"/>
      <c r="U31" s="201"/>
      <c r="V31" s="199" t="s" ph="1">
        <v>71</v>
      </c>
      <c r="W31" s="200" ph="1"/>
      <c r="X31" s="201" ph="1"/>
      <c r="Y31" s="199" t="s" ph="1">
        <v>3</v>
      </c>
      <c r="Z31" s="200" ph="1"/>
      <c r="AA31" s="201" ph="1"/>
      <c r="AB31" s="202" t="s">
        <v>42</v>
      </c>
      <c r="AC31" s="203"/>
      <c r="AD31" s="203"/>
      <c r="AE31" s="204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3" ph="1"/>
      <c r="C32" s="224" ph="1"/>
      <c r="D32" s="96" t="s" ph="1">
        <v>4</v>
      </c>
      <c r="E32" s="157" t="s" ph="1">
        <v>5</v>
      </c>
      <c r="F32" s="158" t="s" ph="1">
        <v>43</v>
      </c>
      <c r="G32" s="97" t="s" ph="1">
        <v>4</v>
      </c>
      <c r="H32" s="157" t="s" ph="1">
        <v>5</v>
      </c>
      <c r="I32" s="158" t="s" ph="1">
        <v>43</v>
      </c>
      <c r="J32" s="97" t="s" ph="1">
        <v>4</v>
      </c>
      <c r="K32" s="157" t="s" ph="1">
        <v>5</v>
      </c>
      <c r="L32" s="158" t="s" ph="1">
        <v>43</v>
      </c>
      <c r="M32" s="97" t="s" ph="1">
        <v>4</v>
      </c>
      <c r="N32" s="157" t="s" ph="1">
        <v>5</v>
      </c>
      <c r="O32" s="158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7" t="s" ph="1">
        <v>5</v>
      </c>
      <c r="U32" s="99" t="s" ph="1">
        <v>43</v>
      </c>
      <c r="V32" s="97" t="s" ph="1">
        <v>4</v>
      </c>
      <c r="W32" s="157" t="s" ph="1">
        <v>5</v>
      </c>
      <c r="X32" s="99" t="s" ph="1">
        <v>43</v>
      </c>
      <c r="Y32" s="100" t="s" ph="1">
        <v>4</v>
      </c>
      <c r="Z32" s="157" t="s" ph="1">
        <v>5</v>
      </c>
      <c r="AA32" s="158" t="s" ph="1">
        <v>43</v>
      </c>
      <c r="AB32" s="97" t="s" ph="1">
        <v>85</v>
      </c>
      <c r="AC32" s="157" t="s" ph="1">
        <v>84</v>
      </c>
      <c r="AD32" s="205" t="s" ph="1">
        <v>83</v>
      </c>
      <c r="AE32" s="206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7" t="s" ph="1">
        <v>181</v>
      </c>
      <c r="C33" s="208" ph="1"/>
      <c r="D33" s="187" ph="1">
        <f>AA10+AB10+Z19</f>
        <v>93855.531913500003</v>
      </c>
      <c r="E33" s="187" ph="1">
        <f>M10+I10</f>
        <v>149096.01618780001</v>
      </c>
      <c r="F33" s="211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1522252632456786910111213141516171819202123456789101112131415161718192022232424356789101112131415161718192021222345678910111213141516171819202345678910111213149101516171819222123234567891012131415161711181920212224252345678910111213117[[#This Row],[F25]]</f>
        <v>3880</v>
      </c>
      <c r="G33" s="213" ph="1">
        <f>N19</f>
        <v>14134.69133584</v>
      </c>
      <c r="H33" s="187" ph="1">
        <f>M19</f>
        <v>24690.090280838005</v>
      </c>
      <c r="I33" s="191" ph="1">
        <v>0</v>
      </c>
      <c r="J33" s="195" ph="1">
        <f>F10+O28</f>
        <v>225158.42840360003</v>
      </c>
      <c r="K33" s="187" ph="1">
        <f>O10+K10+E28+R28</f>
        <v>20315.998149539999</v>
      </c>
      <c r="L33" s="197" ph="1">
        <f>K19</f>
        <v>36703.726083599999</v>
      </c>
      <c r="M33" s="195" ph="1">
        <f>G10+H10+W28+S28+V28+E10+R19+P28+Q28</f>
        <v>555804.64543559996</v>
      </c>
      <c r="N33" s="187" ph="1">
        <f>L10+P10++G28+H28+AD19+AE19</f>
        <v>133585.93418779998</v>
      </c>
      <c r="O33" s="191" ph="1">
        <f>G19</f>
        <v>6303.8414924799999</v>
      </c>
      <c r="P33" s="195" ph="1">
        <f>L19</f>
        <v>51125.581321520003</v>
      </c>
      <c r="Q33" s="187" ph="1">
        <f>J10+N10</f>
        <v>92411.969255400007</v>
      </c>
      <c r="R33" s="191" ph="1">
        <f>BE23</f>
        <v>890</v>
      </c>
      <c r="S33" s="195" ph="1">
        <f>X28</f>
        <v>244075.37336909998</v>
      </c>
      <c r="T33" s="187" ph="1">
        <f>X19</f>
        <v>13851.9380342</v>
      </c>
      <c r="U33" s="176" ph="1">
        <f>BE21</f>
        <v>730</v>
      </c>
      <c r="V33" s="189" ph="1">
        <f ca="1">P19+Q19+S19+M28+N28+J28+D10+AC10+D19+E19+H19+J19+O19+V19+W19+K28+L28</f>
        <v>722304.80155979213</v>
      </c>
      <c r="W33" s="189" ph="1">
        <f>D28+F28+T28+I28</f>
        <v>26101.210804667997</v>
      </c>
      <c r="X33" s="191" ph="1">
        <f>BE29+BE31</f>
        <v>10200</v>
      </c>
      <c r="Y33" s="193" ph="1">
        <f>+Q10+R10+S10+T10+U10+V10+W10+X10+Y10</f>
        <v>63014.052578400006</v>
      </c>
      <c r="Z33" s="174" ph="1">
        <f>T19+U19+Y28+Z10</f>
        <v>196117.98306755998</v>
      </c>
      <c r="AA33" s="176" ph="1">
        <f>BE19</f>
        <v>1440</v>
      </c>
      <c r="AB33" s="178" ph="1">
        <f>I19</f>
        <v>28829.550469999998</v>
      </c>
      <c r="AC33" s="180" ph="1">
        <f>AD10+AB19</f>
        <v>46733.266339199996</v>
      </c>
      <c r="AD33" s="182" ph="1">
        <v>0</v>
      </c>
      <c r="AE33" s="183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9" ph="1"/>
      <c r="C34" s="210" ph="1"/>
      <c r="D34" s="188" ph="1"/>
      <c r="E34" s="188" ph="1"/>
      <c r="F34" s="212" ph="1"/>
      <c r="G34" s="214" ph="1"/>
      <c r="H34" s="188" ph="1"/>
      <c r="I34" s="192" ph="1"/>
      <c r="J34" s="196" ph="1"/>
      <c r="K34" s="188" ph="1"/>
      <c r="L34" s="198" ph="1"/>
      <c r="M34" s="196" ph="1"/>
      <c r="N34" s="188" ph="1"/>
      <c r="O34" s="192" ph="1"/>
      <c r="P34" s="196" ph="1"/>
      <c r="Q34" s="188" ph="1"/>
      <c r="R34" s="192" ph="1"/>
      <c r="S34" s="196" ph="1"/>
      <c r="T34" s="188"/>
      <c r="U34" s="177"/>
      <c r="V34" s="190" ph="1"/>
      <c r="W34" s="190" ph="1"/>
      <c r="X34" s="192" ph="1"/>
      <c r="Y34" s="194" ph="1"/>
      <c r="Z34" s="175" ph="1"/>
      <c r="AA34" s="177" ph="1"/>
      <c r="AB34" s="179"/>
      <c r="AC34" s="181"/>
      <c r="AD34" s="184"/>
      <c r="AE34" s="185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6" t="s" ph="1">
        <v>631</v>
      </c>
      <c r="AD35" s="186"/>
      <c r="AE35" s="186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2" t="s" ph="1">
        <v>183</v>
      </c>
      <c r="J36" s="172" ph="1"/>
      <c r="K36" s="101" ph="1"/>
      <c r="P36" s="101" ph="1"/>
      <c r="R36" s="172" t="s" ph="1">
        <v>184</v>
      </c>
      <c r="S36" s="172" ph="1"/>
      <c r="Y36" s="102" ph="1"/>
      <c r="Z36" s="159" t="s" ph="1">
        <v>185</v>
      </c>
      <c r="AA36" s="159" ph="1"/>
      <c r="AB36" s="173" t="s" ph="1">
        <v>643</v>
      </c>
      <c r="AC36" s="173" ph="1"/>
      <c r="AD36" s="173" ph="1"/>
      <c r="AE36" s="173" ph="1"/>
      <c r="BA36" s="64" ph="1">
        <v>2270</v>
      </c>
    </row>
    <row r="37" spans="1:57" s="159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9" t="s" ph="1">
        <v>342</v>
      </c>
      <c r="AI37" s="159" t="s" ph="1">
        <v>209</v>
      </c>
      <c r="AJ37" s="159" t="s" ph="1">
        <v>210</v>
      </c>
      <c r="AK37" s="159" t="s" ph="1">
        <v>211</v>
      </c>
      <c r="AM37" s="159" t="s" ph="1">
        <v>210</v>
      </c>
      <c r="AN37" s="159" t="s" ph="1">
        <v>211</v>
      </c>
      <c r="AO37" s="159" t="s" ph="1">
        <v>212</v>
      </c>
      <c r="AP37" s="159" t="s" ph="1">
        <v>210</v>
      </c>
      <c r="AQ37" s="159" t="s" ph="1">
        <v>211</v>
      </c>
      <c r="AR37" s="159" t="s" ph="1">
        <v>212</v>
      </c>
      <c r="AS37" s="159" t="s" ph="1">
        <v>210</v>
      </c>
      <c r="AT37" s="159" t="s" ph="1">
        <v>211</v>
      </c>
      <c r="AU37" s="159" t="s" ph="1">
        <v>212</v>
      </c>
      <c r="AV37" s="159" t="s" ph="1">
        <v>210</v>
      </c>
      <c r="AW37" s="159" t="s" ph="1">
        <v>211</v>
      </c>
      <c r="AX37" s="159" t="s" ph="1">
        <v>212</v>
      </c>
      <c r="AY37" s="159" t="s" ph="1">
        <v>211</v>
      </c>
      <c r="AZ37" s="159" t="s" ph="1">
        <v>213</v>
      </c>
      <c r="BD37" s="159" t="s" ph="1">
        <v>305</v>
      </c>
      <c r="BE37" s="159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P56" s="64" ph="1">
        <v>20260804</v>
      </c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1061" priority="102">
      <formula>ABS(D$7-D$10)&gt;=1000</formula>
    </cfRule>
  </conditionalFormatting>
  <conditionalFormatting sqref="E4 E6:E11">
    <cfRule type="expression" dxfId="1060" priority="101">
      <formula>ABS(E$7-E$10)&gt;=1000</formula>
    </cfRule>
  </conditionalFormatting>
  <conditionalFormatting sqref="F4:F11">
    <cfRule type="expression" dxfId="1059" priority="100">
      <formula>ABS(F$7-F$10)&gt;=1000</formula>
    </cfRule>
  </conditionalFormatting>
  <conditionalFormatting sqref="G4:G11">
    <cfRule type="expression" dxfId="1058" priority="99">
      <formula>ABS(G$7-G$10)&gt;=1000</formula>
    </cfRule>
  </conditionalFormatting>
  <conditionalFormatting sqref="H4:H11">
    <cfRule type="expression" dxfId="1057" priority="98">
      <formula>ABS(H$7-H$10)&gt;=1000</formula>
    </cfRule>
  </conditionalFormatting>
  <conditionalFormatting sqref="I4:I11">
    <cfRule type="expression" dxfId="1056" priority="97">
      <formula>ABS(I$7-I$10)&gt;=1000</formula>
    </cfRule>
  </conditionalFormatting>
  <conditionalFormatting sqref="J4:J11">
    <cfRule type="expression" dxfId="1055" priority="96">
      <formula>ABS(J$7-J$10)&gt;=1000</formula>
    </cfRule>
  </conditionalFormatting>
  <conditionalFormatting sqref="K4:K11">
    <cfRule type="expression" dxfId="1054" priority="95">
      <formula>ABS(K$7-K$10)&gt;=1000</formula>
    </cfRule>
  </conditionalFormatting>
  <conditionalFormatting sqref="L4:L11">
    <cfRule type="expression" dxfId="1053" priority="94">
      <formula>ABS(L$7-L$10)&gt;=1000</formula>
    </cfRule>
  </conditionalFormatting>
  <conditionalFormatting sqref="M4 M6:M11">
    <cfRule type="expression" dxfId="1052" priority="93">
      <formula>ABS(M$7-M$10)&gt;=1000</formula>
    </cfRule>
  </conditionalFormatting>
  <conditionalFormatting sqref="N4 N6:N11">
    <cfRule type="expression" dxfId="1051" priority="92">
      <formula>ABS(N$7-N$10)&gt;=1000</formula>
    </cfRule>
  </conditionalFormatting>
  <conditionalFormatting sqref="O4 O6:O11">
    <cfRule type="expression" dxfId="1050" priority="91">
      <formula>ABS(O$7-O$10)&gt;=1000</formula>
    </cfRule>
  </conditionalFormatting>
  <conditionalFormatting sqref="P4 P6:P11">
    <cfRule type="expression" dxfId="1049" priority="90">
      <formula>ABS(P$7-P$10)&gt;=1000</formula>
    </cfRule>
  </conditionalFormatting>
  <conditionalFormatting sqref="Q4:Q11">
    <cfRule type="expression" dxfId="1048" priority="89">
      <formula>ABS(Q$7-Q$10)&gt;=1000</formula>
    </cfRule>
  </conditionalFormatting>
  <conditionalFormatting sqref="R4:R11">
    <cfRule type="expression" dxfId="1047" priority="88">
      <formula>ABS(R$7-R$10)&gt;=1000</formula>
    </cfRule>
  </conditionalFormatting>
  <conditionalFormatting sqref="S4:S11">
    <cfRule type="expression" dxfId="1046" priority="87">
      <formula>ABS(S$7-S$10)&gt;=1000</formula>
    </cfRule>
  </conditionalFormatting>
  <conditionalFormatting sqref="T4:T9 T11">
    <cfRule type="expression" dxfId="1045" priority="86">
      <formula>ABS(T$7-T$10)&gt;=1000</formula>
    </cfRule>
  </conditionalFormatting>
  <conditionalFormatting sqref="U4:U9 U11">
    <cfRule type="expression" dxfId="1044" priority="85">
      <formula>ABS(U$7-U$10)&gt;=1000</formula>
    </cfRule>
  </conditionalFormatting>
  <conditionalFormatting sqref="V4:V9 V11">
    <cfRule type="expression" dxfId="1043" priority="84">
      <formula>ABS(V$7-V$10)&gt;=1000</formula>
    </cfRule>
  </conditionalFormatting>
  <conditionalFormatting sqref="W4:W9 W11">
    <cfRule type="expression" dxfId="1042" priority="83">
      <formula>ABS(W$7-W$10)&gt;=1000</formula>
    </cfRule>
  </conditionalFormatting>
  <conditionalFormatting sqref="X4:X9 X11">
    <cfRule type="expression" dxfId="1041" priority="82">
      <formula>ABS(X$7-X$10)&gt;=1000</formula>
    </cfRule>
  </conditionalFormatting>
  <conditionalFormatting sqref="Y4:Y9 Y11">
    <cfRule type="expression" dxfId="1040" priority="81">
      <formula>ABS(Y$7-Y$10)&gt;=1000</formula>
    </cfRule>
  </conditionalFormatting>
  <conditionalFormatting sqref="Z4:Z11">
    <cfRule type="expression" dxfId="1039" priority="80">
      <formula>ABS(Z$7-Z$10)&gt;=1000</formula>
    </cfRule>
  </conditionalFormatting>
  <conditionalFormatting sqref="AA4:AA11">
    <cfRule type="expression" dxfId="1038" priority="79">
      <formula>ABS(AA$7-AA$10)&gt;=1000</formula>
    </cfRule>
  </conditionalFormatting>
  <conditionalFormatting sqref="AB4:AB11">
    <cfRule type="expression" dxfId="1037" priority="78">
      <formula>ABS(AB$7-AB$10)&gt;=1000</formula>
    </cfRule>
  </conditionalFormatting>
  <conditionalFormatting sqref="AC4 AC6:AC11">
    <cfRule type="expression" dxfId="1036" priority="77">
      <formula>ABS(AC$7-AC$10)&gt;=1000</formula>
    </cfRule>
  </conditionalFormatting>
  <conditionalFormatting sqref="AD4 AD6:AD11">
    <cfRule type="expression" dxfId="1035" priority="76">
      <formula>ABS(AD$7-AD$10)&gt;=1000</formula>
    </cfRule>
  </conditionalFormatting>
  <conditionalFormatting sqref="AE4 AE6:AE11">
    <cfRule type="expression" dxfId="1034" priority="75">
      <formula>ABS(AE$7-AE$10)&gt;=1000</formula>
    </cfRule>
  </conditionalFormatting>
  <conditionalFormatting sqref="D13:D20">
    <cfRule type="expression" dxfId="1033" priority="74">
      <formula>ABS(D$16-D$19)&gt;=1000</formula>
    </cfRule>
  </conditionalFormatting>
  <conditionalFormatting sqref="E13:E20">
    <cfRule type="expression" dxfId="1032" priority="73">
      <formula>ABS(E$16-E$19)&gt;=1000</formula>
    </cfRule>
  </conditionalFormatting>
  <conditionalFormatting sqref="F13 F15:F20">
    <cfRule type="expression" dxfId="1031" priority="72">
      <formula>ABS(F$16-F$19)&gt;=1000</formula>
    </cfRule>
  </conditionalFormatting>
  <conditionalFormatting sqref="G13:G20">
    <cfRule type="expression" dxfId="1030" priority="71">
      <formula>ABS(G$16-G$19)&gt;=1000</formula>
    </cfRule>
  </conditionalFormatting>
  <conditionalFormatting sqref="H13 H15:H20">
    <cfRule type="expression" dxfId="1029" priority="70">
      <formula>ABS(H$16-H$19)&gt;=1000</formula>
    </cfRule>
  </conditionalFormatting>
  <conditionalFormatting sqref="I13:I20">
    <cfRule type="expression" dxfId="1028" priority="69">
      <formula>ABS(I$16-I$19)&gt;=1000</formula>
    </cfRule>
  </conditionalFormatting>
  <conditionalFormatting sqref="J13:J20">
    <cfRule type="expression" dxfId="1027" priority="68">
      <formula>ABS(J$16-J$19)&gt;=1000</formula>
    </cfRule>
  </conditionalFormatting>
  <conditionalFormatting sqref="L13:L20">
    <cfRule type="expression" dxfId="1026" priority="67">
      <formula>ABS(L$16-L$19)&gt;=1000</formula>
    </cfRule>
  </conditionalFormatting>
  <conditionalFormatting sqref="M13 M15 M17:M18 M20">
    <cfRule type="expression" dxfId="1025" priority="66">
      <formula>ABS(M$16-M$19)&gt;=1000</formula>
    </cfRule>
  </conditionalFormatting>
  <conditionalFormatting sqref="N13:N20">
    <cfRule type="expression" dxfId="1024" priority="65">
      <formula>ABS(N$16-N$19)&gt;=1000</formula>
    </cfRule>
  </conditionalFormatting>
  <conditionalFormatting sqref="O13:O20">
    <cfRule type="expression" dxfId="1023" priority="64">
      <formula>ABS(O$16-O$19)&gt;=1000</formula>
    </cfRule>
  </conditionalFormatting>
  <conditionalFormatting sqref="P13:P20">
    <cfRule type="expression" dxfId="1022" priority="63">
      <formula>ABS(P$16-P$19)&gt;=1000</formula>
    </cfRule>
  </conditionalFormatting>
  <conditionalFormatting sqref="Q13 Q15:Q20">
    <cfRule type="expression" dxfId="1021" priority="62">
      <formula>ABS(Q$16-Q$19)&gt;=1000</formula>
    </cfRule>
  </conditionalFormatting>
  <conditionalFormatting sqref="R13:R20">
    <cfRule type="expression" dxfId="1020" priority="61">
      <formula>ABS(R$16-R$19)&gt;=1000</formula>
    </cfRule>
  </conditionalFormatting>
  <conditionalFormatting sqref="S13:S20">
    <cfRule type="expression" dxfId="1019" priority="60">
      <formula>ABS(S$16-S$19)&gt;=1000</formula>
    </cfRule>
  </conditionalFormatting>
  <conditionalFormatting sqref="T13:T15 T17:T20">
    <cfRule type="expression" dxfId="1018" priority="59">
      <formula>ABS(T$16-T$19)&gt;=1000</formula>
    </cfRule>
  </conditionalFormatting>
  <conditionalFormatting sqref="U13:U20">
    <cfRule type="expression" dxfId="1017" priority="58">
      <formula>ABS(U$16-U$19)&gt;=1000</formula>
    </cfRule>
  </conditionalFormatting>
  <conditionalFormatting sqref="V13:V20">
    <cfRule type="expression" dxfId="1016" priority="57">
      <formula>ABS(V$16-V$19)&gt;=1000</formula>
    </cfRule>
  </conditionalFormatting>
  <conditionalFormatting sqref="W13 W20 W15:W18">
    <cfRule type="expression" dxfId="1015" priority="56">
      <formula>ABS(W$16-W$19)&gt;=1000</formula>
    </cfRule>
  </conditionalFormatting>
  <conditionalFormatting sqref="X13 X15:X20 Y19">
    <cfRule type="expression" dxfId="1014" priority="55">
      <formula>ABS(X$16-X$19)&gt;=1000</formula>
    </cfRule>
  </conditionalFormatting>
  <conditionalFormatting sqref="Y13 Y15:Y18 Y20">
    <cfRule type="expression" dxfId="1013" priority="54">
      <formula>ABS(Y$16-Y$19)&gt;=1000</formula>
    </cfRule>
  </conditionalFormatting>
  <conditionalFormatting sqref="Z13:Z20">
    <cfRule type="expression" dxfId="1012" priority="53">
      <formula>ABS(Z$16-Z$19)&gt;=1000</formula>
    </cfRule>
  </conditionalFormatting>
  <conditionalFormatting sqref="AA13:AA20">
    <cfRule type="expression" dxfId="1011" priority="52">
      <formula>ABS(AA$16-AA$19)&gt;=1000</formula>
    </cfRule>
  </conditionalFormatting>
  <conditionalFormatting sqref="AB13 AB15:AB20">
    <cfRule type="expression" dxfId="1010" priority="51">
      <formula>ABS(AB$16-AB$19)&gt;=1000</formula>
    </cfRule>
  </conditionalFormatting>
  <conditionalFormatting sqref="AC13 AC15:AC20">
    <cfRule type="expression" dxfId="1009" priority="50">
      <formula>ABS(AC$16-AC$19)&gt;=1000</formula>
    </cfRule>
  </conditionalFormatting>
  <conditionalFormatting sqref="AD13:AD20">
    <cfRule type="expression" dxfId="1008" priority="49">
      <formula>ABS(AD$16-AD$19)&gt;=1000</formula>
    </cfRule>
  </conditionalFormatting>
  <conditionalFormatting sqref="AE13:AE20">
    <cfRule type="expression" dxfId="1007" priority="48">
      <formula>ABS(AE$16-AE$19)&gt;=1000</formula>
    </cfRule>
  </conditionalFormatting>
  <conditionalFormatting sqref="D22:D29">
    <cfRule type="expression" dxfId="1006" priority="47">
      <formula>ABS(D$25-D$28)&gt;=1000</formula>
    </cfRule>
  </conditionalFormatting>
  <conditionalFormatting sqref="E22:E29">
    <cfRule type="expression" dxfId="1005" priority="46">
      <formula>ABS(E$25-E$28)&gt;=1000</formula>
    </cfRule>
  </conditionalFormatting>
  <conditionalFormatting sqref="F22:F29">
    <cfRule type="expression" dxfId="1004" priority="45">
      <formula>ABS(F$25-F$28)&gt;=1000</formula>
    </cfRule>
  </conditionalFormatting>
  <conditionalFormatting sqref="G22:G29">
    <cfRule type="expression" dxfId="1003" priority="44">
      <formula>ABS(G$25-G$28)&gt;=1000</formula>
    </cfRule>
  </conditionalFormatting>
  <conditionalFormatting sqref="H22:H29">
    <cfRule type="expression" dxfId="1002" priority="43">
      <formula>ABS(H$25-H$28)&gt;=1000</formula>
    </cfRule>
  </conditionalFormatting>
  <conditionalFormatting sqref="I22 I24:I29">
    <cfRule type="expression" dxfId="1001" priority="42">
      <formula>ABS(I$25-I$28)&gt;=1000</formula>
    </cfRule>
  </conditionalFormatting>
  <conditionalFormatting sqref="J22:J29 K22">
    <cfRule type="expression" dxfId="1000" priority="41">
      <formula>ABS(J$25-J$28)&gt;=1000</formula>
    </cfRule>
  </conditionalFormatting>
  <conditionalFormatting sqref="K23:K29 L25 L28">
    <cfRule type="expression" dxfId="999" priority="40">
      <formula>ABS(K$25-K$28)&gt;=1000</formula>
    </cfRule>
  </conditionalFormatting>
  <conditionalFormatting sqref="L22 L26:L27 L29 L24">
    <cfRule type="expression" dxfId="998" priority="39">
      <formula>ABS(L$25-L$28)&gt;=1000</formula>
    </cfRule>
  </conditionalFormatting>
  <conditionalFormatting sqref="M22:M29">
    <cfRule type="expression" dxfId="997" priority="38">
      <formula>ABS(M$25-M$28)&gt;=1000</formula>
    </cfRule>
  </conditionalFormatting>
  <conditionalFormatting sqref="N22:N29">
    <cfRule type="expression" dxfId="996" priority="37">
      <formula>ABS(N$25-N$28)&gt;=1000</formula>
    </cfRule>
  </conditionalFormatting>
  <conditionalFormatting sqref="O22 O24:O29">
    <cfRule type="expression" dxfId="995" priority="36">
      <formula>ABS(O$25-O$28)&gt;=1000</formula>
    </cfRule>
  </conditionalFormatting>
  <conditionalFormatting sqref="P22:P29">
    <cfRule type="expression" dxfId="994" priority="35">
      <formula>ABS(P$25-P$28)&gt;=1000</formula>
    </cfRule>
  </conditionalFormatting>
  <conditionalFormatting sqref="Q22:Q29">
    <cfRule type="expression" dxfId="993" priority="34">
      <formula>ABS(Q$25-Q$28)&gt;=1000</formula>
    </cfRule>
  </conditionalFormatting>
  <conditionalFormatting sqref="R22:R29">
    <cfRule type="expression" dxfId="992" priority="33">
      <formula>ABS(R$25-R$28)&gt;=1000</formula>
    </cfRule>
  </conditionalFormatting>
  <conditionalFormatting sqref="S22:S29">
    <cfRule type="expression" dxfId="991" priority="32">
      <formula>ABS(S$25-S$28)&gt;=1000</formula>
    </cfRule>
  </conditionalFormatting>
  <conditionalFormatting sqref="T22:T29">
    <cfRule type="expression" dxfId="990" priority="31">
      <formula>ABS(T$25-T$28)&gt;=1000</formula>
    </cfRule>
  </conditionalFormatting>
  <conditionalFormatting sqref="U22:U29">
    <cfRule type="expression" dxfId="989" priority="30">
      <formula>ABS(U$25-U$28)&gt;=1000</formula>
    </cfRule>
  </conditionalFormatting>
  <conditionalFormatting sqref="V22:V29">
    <cfRule type="expression" dxfId="988" priority="29">
      <formula>ABS(V$25-V$28)&gt;=1000</formula>
    </cfRule>
  </conditionalFormatting>
  <conditionalFormatting sqref="W22:W29">
    <cfRule type="expression" dxfId="987" priority="28">
      <formula>ABS(W$25-W$28)&gt;=1000</formula>
    </cfRule>
  </conditionalFormatting>
  <conditionalFormatting sqref="X22:X29">
    <cfRule type="expression" dxfId="986" priority="27">
      <formula>ABS(X$25-X$28)&gt;=1000</formula>
    </cfRule>
  </conditionalFormatting>
  <conditionalFormatting sqref="Y22:Y29">
    <cfRule type="expression" dxfId="985" priority="26">
      <formula>ABS(Y$25-Y$28)&gt;=1000</formula>
    </cfRule>
  </conditionalFormatting>
  <conditionalFormatting sqref="I23">
    <cfRule type="expression" dxfId="984" priority="25">
      <formula>ABS(I$25-I$28)&gt;=1000</formula>
    </cfRule>
  </conditionalFormatting>
  <conditionalFormatting sqref="Q14">
    <cfRule type="expression" dxfId="983" priority="24">
      <formula>ABS(Q$16-Q$19)&gt;=1000</formula>
    </cfRule>
  </conditionalFormatting>
  <conditionalFormatting sqref="W14">
    <cfRule type="expression" dxfId="982" priority="23">
      <formula>ABS(W$16-W$19)&gt;=1000</formula>
    </cfRule>
  </conditionalFormatting>
  <conditionalFormatting sqref="X14">
    <cfRule type="expression" dxfId="981" priority="22">
      <formula>ABS(X$16-X$19)&gt;=1000</formula>
    </cfRule>
  </conditionalFormatting>
  <conditionalFormatting sqref="T10:Y10">
    <cfRule type="expression" dxfId="980" priority="21">
      <formula>ABS(T$7-T$10)&gt;=1000</formula>
    </cfRule>
  </conditionalFormatting>
  <conditionalFormatting sqref="W19">
    <cfRule type="expression" dxfId="979" priority="20">
      <formula>ABS(W$16-W$19)&gt;=1000</formula>
    </cfRule>
  </conditionalFormatting>
  <conditionalFormatting sqref="AC5">
    <cfRule type="expression" dxfId="978" priority="19">
      <formula>ABS(AC$7-AC$10)&gt;=1000</formula>
    </cfRule>
  </conditionalFormatting>
  <conditionalFormatting sqref="M14">
    <cfRule type="expression" dxfId="977" priority="18">
      <formula>ABS(M$16-M$19)&gt;=1000</formula>
    </cfRule>
  </conditionalFormatting>
  <conditionalFormatting sqref="M16">
    <cfRule type="expression" dxfId="976" priority="17">
      <formula>ABS(M$16-M$19)&gt;=1000</formula>
    </cfRule>
  </conditionalFormatting>
  <conditionalFormatting sqref="M19">
    <cfRule type="expression" dxfId="975" priority="16">
      <formula>ABS(M$16-M$19)&gt;=1000</formula>
    </cfRule>
  </conditionalFormatting>
  <conditionalFormatting sqref="K13:K20">
    <cfRule type="expression" dxfId="974" priority="15">
      <formula>ABS(K$16-K$19)&gt;=1000</formula>
    </cfRule>
  </conditionalFormatting>
  <conditionalFormatting sqref="E5">
    <cfRule type="expression" dxfId="973" priority="14">
      <formula>ABS(E$7-E$10)&gt;=1000</formula>
    </cfRule>
  </conditionalFormatting>
  <conditionalFormatting sqref="AB14:AC14">
    <cfRule type="expression" dxfId="972" priority="13">
      <formula>ABS(AB$16-AB$19)&gt;=1000</formula>
    </cfRule>
  </conditionalFormatting>
  <conditionalFormatting sqref="M5">
    <cfRule type="expression" dxfId="971" priority="12">
      <formula>ABS(M$7-M$10)&gt;=1000</formula>
    </cfRule>
  </conditionalFormatting>
  <conditionalFormatting sqref="N5">
    <cfRule type="expression" dxfId="970" priority="11">
      <formula>ABS(N$7-N$10)&gt;=1000</formula>
    </cfRule>
  </conditionalFormatting>
  <conditionalFormatting sqref="O5">
    <cfRule type="expression" dxfId="969" priority="10">
      <formula>ABS(O$7-O$10)&gt;=1000</formula>
    </cfRule>
  </conditionalFormatting>
  <conditionalFormatting sqref="P5">
    <cfRule type="expression" dxfId="968" priority="9">
      <formula>ABS(P$7-P$10)&gt;=1000</formula>
    </cfRule>
  </conditionalFormatting>
  <conditionalFormatting sqref="L23">
    <cfRule type="expression" dxfId="967" priority="8">
      <formula>ABS(L$25-L$28)&gt;=1000</formula>
    </cfRule>
  </conditionalFormatting>
  <conditionalFormatting sqref="Y14">
    <cfRule type="expression" dxfId="966" priority="7">
      <formula>ABS(Y$16-Y$19)&gt;=1000</formula>
    </cfRule>
  </conditionalFormatting>
  <conditionalFormatting sqref="F14">
    <cfRule type="expression" dxfId="965" priority="6">
      <formula>ABS(F$16-F$19)&gt;=1000</formula>
    </cfRule>
  </conditionalFormatting>
  <conditionalFormatting sqref="H14">
    <cfRule type="expression" dxfId="964" priority="5">
      <formula>ABS(H$16-H$19)&gt;=1000</formula>
    </cfRule>
  </conditionalFormatting>
  <conditionalFormatting sqref="AD5">
    <cfRule type="expression" dxfId="963" priority="4">
      <formula>ABS(AD$7-AD$10)&gt;=1000</formula>
    </cfRule>
  </conditionalFormatting>
  <conditionalFormatting sqref="AE5">
    <cfRule type="expression" dxfId="962" priority="3">
      <formula>ABS(AE$7-AE$10)&gt;=1000</formula>
    </cfRule>
  </conditionalFormatting>
  <conditionalFormatting sqref="T16">
    <cfRule type="expression" dxfId="961" priority="2">
      <formula>ABS(T$16-T$19)&gt;=1000</formula>
    </cfRule>
  </conditionalFormatting>
  <conditionalFormatting sqref="O23">
    <cfRule type="expression" dxfId="960" priority="1">
      <formula>ABS(O$25-O$28)&gt;=1000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41953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959">
    <pageSetUpPr fitToPage="1"/>
  </sheetPr>
  <dimension ref="A1:CU223"/>
  <sheetViews>
    <sheetView view="pageBreakPreview" topLeftCell="A3" zoomScale="85" zoomScaleNormal="100" zoomScaleSheetLayoutView="85" workbookViewId="0">
      <selection activeCell="A21" sqref="A21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39" t="s" ph="1">
        <v>161</v>
      </c>
      <c r="C1" s="239" ph="1"/>
      <c r="D1" s="239" ph="1"/>
      <c r="E1" s="239" ph="1"/>
      <c r="F1" s="239" ph="1"/>
      <c r="G1" s="239" ph="1"/>
      <c r="H1" s="239" ph="1"/>
      <c r="I1" s="239" ph="1"/>
      <c r="J1" s="239" ph="1"/>
      <c r="K1" s="239" ph="1"/>
      <c r="L1" s="239" ph="1"/>
      <c r="M1" s="239" ph="1"/>
      <c r="N1" s="239" ph="1"/>
      <c r="O1" s="239" ph="1"/>
      <c r="P1" s="239" ph="1"/>
      <c r="Q1" s="239" ph="1"/>
      <c r="R1" s="239" ph="1"/>
      <c r="S1" s="239" ph="1"/>
      <c r="T1" s="239" ph="1"/>
      <c r="U1" s="239" ph="1"/>
      <c r="V1" s="239" ph="1"/>
      <c r="W1" s="239" ph="1"/>
      <c r="X1" s="239" ph="1"/>
      <c r="Y1" s="239" ph="1"/>
      <c r="Z1" s="239" ph="1"/>
      <c r="AA1" s="239" ph="1"/>
      <c r="AB1" s="239" ph="1"/>
      <c r="AC1" s="239" ph="1"/>
      <c r="AD1" s="239" ph="1"/>
      <c r="AE1" s="239" ph="1"/>
    </row>
    <row r="2" spans="1:99" s="66" customFormat="1" ht="24" customHeight="1" ph="1">
      <c r="B2" s="240" t="s" ph="1">
        <v>82</v>
      </c>
      <c r="C2" s="240" ph="1"/>
      <c r="D2" s="240" ph="1"/>
      <c r="E2" s="240" ph="1"/>
      <c r="F2" s="240" ph="1"/>
      <c r="G2" s="240" ph="1"/>
      <c r="H2" s="240" ph="1"/>
      <c r="I2" s="240" ph="1"/>
      <c r="J2" s="240" ph="1"/>
      <c r="K2" s="240" ph="1"/>
      <c r="L2" s="240" ph="1"/>
      <c r="M2" s="240" ph="1"/>
      <c r="N2" s="240" ph="1"/>
      <c r="O2" s="240" ph="1"/>
      <c r="P2" s="240" ph="1"/>
      <c r="Q2" s="240" ph="1"/>
      <c r="R2" s="240" ph="1"/>
      <c r="S2" s="240" ph="1"/>
      <c r="T2" s="240" ph="1"/>
      <c r="U2" s="240" ph="1"/>
      <c r="V2" s="240" ph="1"/>
      <c r="W2" s="240" ph="1"/>
      <c r="X2" s="240" ph="1"/>
      <c r="Y2" s="240" ph="1"/>
      <c r="Z2" s="240" ph="1"/>
      <c r="AA2" s="240" ph="1"/>
      <c r="AB2" s="240" ph="1"/>
      <c r="AC2" s="240" ph="1"/>
      <c r="AD2" s="240" ph="1"/>
      <c r="AE2" s="240" ph="1"/>
    </row>
    <row r="3" spans="1:99" ht="21" customHeight="1" ph="1">
      <c r="B3" s="241" ph="1">
        <v>46255</v>
      </c>
      <c r="C3" s="241"/>
      <c r="D3" s="241"/>
      <c r="E3" s="241"/>
      <c r="F3" s="241"/>
      <c r="G3" s="241"/>
      <c r="H3" s="241"/>
      <c r="I3" s="241"/>
      <c r="J3" s="241"/>
      <c r="K3" s="241"/>
      <c r="L3" s="241"/>
      <c r="M3" s="241"/>
      <c r="N3" s="241"/>
      <c r="O3" s="241"/>
      <c r="P3" s="241"/>
      <c r="Q3" s="241"/>
      <c r="R3" s="241"/>
      <c r="S3" s="241"/>
      <c r="T3" s="241"/>
      <c r="U3" s="241"/>
      <c r="V3" s="241"/>
      <c r="W3" s="241"/>
      <c r="X3" s="241"/>
      <c r="Y3" s="241"/>
      <c r="Z3" s="241"/>
      <c r="AA3" s="241"/>
      <c r="AB3" s="241"/>
      <c r="AC3" s="241"/>
      <c r="AD3" s="241"/>
      <c r="AE3" s="241"/>
    </row>
    <row r="4" spans="1:99" s="69" customFormat="1" ph="1">
      <c r="A4" s="65" ph="1"/>
      <c r="B4" s="220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0" ph="1"/>
      <c r="C5" s="67" t="s" ph="1">
        <v>36</v>
      </c>
      <c r="D5" s="70" t="s" ph="1">
        <v>160</v>
      </c>
      <c r="E5" s="142" t="s" ph="1">
        <v>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8" ph="1">
        <v>0.33333333333333331</v>
      </c>
      <c r="C6" s="157" t="s" ph="1">
        <v>177</v>
      </c>
      <c r="D6" s="71">
        <v>5030</v>
      </c>
      <c r="E6" s="71">
        <v>3581</v>
      </c>
      <c r="F6" s="71">
        <v>5944</v>
      </c>
      <c r="G6" s="71">
        <v>5640</v>
      </c>
      <c r="H6" s="71">
        <v>1330</v>
      </c>
      <c r="I6" s="71">
        <v>17.54</v>
      </c>
      <c r="J6" s="71">
        <v>76.83</v>
      </c>
      <c r="K6" s="71">
        <v>7.4</v>
      </c>
      <c r="L6" s="71">
        <v>6.11</v>
      </c>
      <c r="M6" s="71">
        <v>4251</v>
      </c>
      <c r="N6" s="71">
        <v>2901</v>
      </c>
      <c r="O6" s="71">
        <v>140</v>
      </c>
      <c r="P6" s="71">
        <v>828</v>
      </c>
      <c r="Q6" s="71">
        <v>1538</v>
      </c>
      <c r="R6" s="71">
        <v>0</v>
      </c>
      <c r="S6" s="71">
        <v>0</v>
      </c>
      <c r="T6" s="71">
        <v>0</v>
      </c>
      <c r="U6" s="71">
        <v>0</v>
      </c>
      <c r="V6" s="71">
        <v>0</v>
      </c>
      <c r="W6" s="71">
        <v>5338</v>
      </c>
      <c r="X6" s="71">
        <v>2621</v>
      </c>
      <c r="Y6" s="71">
        <v>327</v>
      </c>
      <c r="Z6" s="71">
        <v>965</v>
      </c>
      <c r="AA6" s="71">
        <v>1303</v>
      </c>
      <c r="AB6" s="71">
        <v>2368</v>
      </c>
      <c r="AC6" s="71">
        <v>4742</v>
      </c>
      <c r="AD6" s="71">
        <v>2387</v>
      </c>
      <c r="AE6" s="71">
        <v>5535</v>
      </c>
    </row>
    <row r="7" spans="1:99" s="72" customFormat="1" ht="22.2" ph="1">
      <c r="B7" s="238" ph="1"/>
      <c r="C7" s="68" t="s" ph="1">
        <v>178</v>
      </c>
      <c r="D7" s="73" ph="1">
        <f>D6*33.183*LOOKUP(D8,密度!$A$2:$A$50,密度!$Q$2:$Q$50)</f>
        <v>157212.99053099999</v>
      </c>
      <c r="E7" s="73" ph="1">
        <f>E6*51.53*LOOKUP(E8,密度!$A$2:$A$50,密度!$B$2:$B$50)</f>
        <v>143378.97860999999</v>
      </c>
      <c r="F7" s="73" ph="1">
        <f>F6*33.183*LOOKUP(F8,密度!$A$2:$A$50,密度!$C$2:$C$50)</f>
        <v>218265.5095632</v>
      </c>
      <c r="G7" s="73" ph="1">
        <f xml:space="preserve"> (G6+2)*51.53*LOOKUP(G8,密度!$A$2:$A$50,密度!$B$2:$B$50)</f>
        <v>225666.38021200002</v>
      </c>
      <c r="H7" s="73" ph="1">
        <f>(H6)*51.53*LOOKUP(H8,密度!$A$2:$A$50,密度!$B$2:$B$50)</f>
        <v>53313.29871000001</v>
      </c>
      <c r="I7" s="73" ph="1">
        <f>I6*290.8*1.0267</f>
        <v>5236.818874399999</v>
      </c>
      <c r="J7" s="73" ph="1">
        <f>J6*290.8*0.7892</f>
        <v>17632.4358288</v>
      </c>
      <c r="K7" s="73" ph="1">
        <f>K6*290.8*1.1126</f>
        <v>2394.2261920000001</v>
      </c>
      <c r="L7" s="73" ph="1">
        <f>L6*290.8*0.777</f>
        <v>1380.5642760000003</v>
      </c>
      <c r="M7" s="73" ph="1">
        <f>M6*33.183*LOOKUP(M8,密度!$A$2:$A$50,密度!$D$2:$D$50)</f>
        <v>144164.273526</v>
      </c>
      <c r="N7" s="73" ph="1">
        <f>N6*33.183*LOOKUP(N8,密度!$A$2:$A$50,密度!$E$2:$E$50)</f>
        <v>74854.795420800001</v>
      </c>
      <c r="O7" s="73" ph="1">
        <f>O6*20.428*LOOKUP(O8,密度!$A$2:$A$50,密度!$C$2:$C$50)</f>
        <v>3162.7855280000003</v>
      </c>
      <c r="P7" s="73" ph="1">
        <f>P6*51.53*LOOKUP(P8,密度!$A$2:$A$50,密度!$B$2:$B$50)</f>
        <v>33301.46862</v>
      </c>
      <c r="Q7" s="73" ph="1">
        <f>Q6*1.5*1.5*3.1416*LOOKUP(W8,密度!$A$2:$A$50,密度!$L$2:$L$50)</f>
        <v>10164.858858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35279.594657999995</v>
      </c>
      <c r="X7" s="73" ph="1">
        <f>X6*1.5*1.5*3.1416*LOOKUP(X8,密度!$A$2:$A$50,密度!$L$2:$L$50)</f>
        <v>17452.246165199998</v>
      </c>
      <c r="Y7" s="73" ph="1">
        <f>Y6*1.5*1.5*3.1416*LOOKUP(Y8,密度!$A$2:$A$50,密度!$L$2:$L$50)</f>
        <v>2158.8776748</v>
      </c>
      <c r="Z7" s="73" ph="1">
        <f>Z6*33.183*LOOKUP(Z8,密度!$A$2:$A$50,密度!$L$2:$L$50)</f>
        <v>29844.126540000001</v>
      </c>
      <c r="AA7" s="73" ph="1">
        <f>AA6*33.183*LOOKUP(AA8,密度!$A$2:$A$50,密度!$D$2:$D$50)</f>
        <v>44188.672878000005</v>
      </c>
      <c r="AB7" s="73" ph="1">
        <f>AB6*20.428*LOOKUP(AB8,密度!$A$2:$A$50,密度!$D$2:$D$50)</f>
        <v>49848.895872000001</v>
      </c>
      <c r="AC7" s="73" ph="1">
        <f>AC6*51.53*LOOKUP(AC8,密度!$A$2:$A$50,密度!$Q$2:$Q$50)</f>
        <v>230822.8657012</v>
      </c>
      <c r="AD7" s="73" ph="1">
        <f>AD6*20.428*LOOKUP(AD8,密度!$A$2:$A$50,密度!$V$2:$V$50)</f>
        <v>46694.1426336</v>
      </c>
      <c r="AE7" s="73" ph="1">
        <f>AE6*20.428</f>
        <v>113068.98000000001</v>
      </c>
    </row>
    <row r="8" spans="1:99" ph="1">
      <c r="B8" s="238" ph="1"/>
      <c r="C8" s="68" t="s" ph="1">
        <v>179</v>
      </c>
      <c r="D8" s="74">
        <v>32</v>
      </c>
      <c r="E8" s="74">
        <v>28</v>
      </c>
      <c r="F8" s="74">
        <v>28</v>
      </c>
      <c r="G8" s="74">
        <v>29</v>
      </c>
      <c r="H8" s="74">
        <v>27</v>
      </c>
      <c r="I8" s="74">
        <v>25</v>
      </c>
      <c r="J8" s="74">
        <v>25</v>
      </c>
      <c r="K8" s="74">
        <v>25</v>
      </c>
      <c r="L8" s="74">
        <v>25</v>
      </c>
      <c r="M8" s="74">
        <v>30</v>
      </c>
      <c r="N8" s="74">
        <v>30</v>
      </c>
      <c r="O8" s="74">
        <v>29</v>
      </c>
      <c r="P8" s="74">
        <v>24</v>
      </c>
      <c r="Q8" s="74">
        <v>32</v>
      </c>
      <c r="R8" s="74">
        <v>34</v>
      </c>
      <c r="S8" s="74">
        <v>26</v>
      </c>
      <c r="T8" s="74">
        <v>23</v>
      </c>
      <c r="U8" s="74">
        <v>28</v>
      </c>
      <c r="V8" s="74">
        <v>28</v>
      </c>
      <c r="W8" s="74">
        <v>27</v>
      </c>
      <c r="X8" s="74">
        <v>20</v>
      </c>
      <c r="Y8" s="74">
        <v>28</v>
      </c>
      <c r="Z8" s="74">
        <v>30</v>
      </c>
      <c r="AA8" s="74">
        <v>30</v>
      </c>
      <c r="AB8" s="74">
        <v>21</v>
      </c>
      <c r="AC8" s="74">
        <v>28</v>
      </c>
      <c r="AD8" s="74">
        <v>26</v>
      </c>
      <c r="AE8" s="74">
        <v>32</v>
      </c>
    </row>
    <row r="9" spans="1:99" ht="26.4" ph="1">
      <c r="B9" s="238" ph="1">
        <v>0.66666666666666663</v>
      </c>
      <c r="C9" s="157" t="s" ph="1">
        <v>180</v>
      </c>
      <c r="D9" s="71">
        <v>5374</v>
      </c>
      <c r="E9" s="71">
        <v>3583</v>
      </c>
      <c r="F9" s="71">
        <v>5947</v>
      </c>
      <c r="G9" s="71">
        <v>5384</v>
      </c>
      <c r="H9" s="71">
        <v>1330</v>
      </c>
      <c r="I9" s="71">
        <v>17.59</v>
      </c>
      <c r="J9" s="71">
        <v>76.97</v>
      </c>
      <c r="K9" s="71">
        <v>7.43</v>
      </c>
      <c r="L9" s="71">
        <v>41.98</v>
      </c>
      <c r="M9" s="71">
        <v>4252</v>
      </c>
      <c r="N9" s="71">
        <v>2902</v>
      </c>
      <c r="O9" s="71">
        <v>140</v>
      </c>
      <c r="P9" s="71">
        <v>753</v>
      </c>
      <c r="Q9" s="71">
        <v>4168</v>
      </c>
      <c r="R9" s="71">
        <v>0</v>
      </c>
      <c r="S9" s="71">
        <v>0</v>
      </c>
      <c r="T9" s="71">
        <v>0</v>
      </c>
      <c r="U9" s="71">
        <v>0</v>
      </c>
      <c r="V9" s="71">
        <v>0</v>
      </c>
      <c r="W9" s="71">
        <v>5343</v>
      </c>
      <c r="X9" s="71">
        <v>5669</v>
      </c>
      <c r="Y9" s="71">
        <v>2355</v>
      </c>
      <c r="Z9" s="71">
        <v>964</v>
      </c>
      <c r="AA9" s="71">
        <v>1304</v>
      </c>
      <c r="AB9" s="71">
        <v>2370</v>
      </c>
      <c r="AC9" s="71">
        <v>4714</v>
      </c>
      <c r="AD9" s="71">
        <v>2388</v>
      </c>
      <c r="AE9" s="71">
        <v>5493</v>
      </c>
    </row>
    <row r="10" spans="1:99" s="72" customFormat="1" ht="22.2" ph="1">
      <c r="B10" s="238" ph="1"/>
      <c r="C10" s="157" t="s" ph="1">
        <v>178</v>
      </c>
      <c r="D10" s="73" ph="1">
        <f>D9*33.183*LOOKUP(D11,密度!$A$2:$A$50,密度!$Q$2:$Q$50)</f>
        <v>168085.99512035999</v>
      </c>
      <c r="E10" s="73" ph="1">
        <f>E9*51.53*LOOKUP(E11,密度!$A$2:$A$50,密度!$B$2:$B$50)</f>
        <v>143459.05622999999</v>
      </c>
      <c r="F10" s="73" ph="1">
        <f>F9*33.183*LOOKUP(F11,密度!$A$2:$A$50,密度!$C$2:$C$50)</f>
        <v>218533.54192739999</v>
      </c>
      <c r="G10" s="73" ph="1">
        <f xml:space="preserve"> (G9+2)*51.53*LOOKUP(G11,密度!$A$2:$A$50,密度!$B$2:$B$50)</f>
        <v>215426.998196</v>
      </c>
      <c r="H10" s="73" ph="1">
        <f>(H9)*51.53*LOOKUP(H11,密度!$A$2:$A$50,密度!$B$2:$B$50)</f>
        <v>53313.29871000001</v>
      </c>
      <c r="I10" s="73" ph="1">
        <f>I9*290.8*1.0267</f>
        <v>5251.7470923999999</v>
      </c>
      <c r="J10" s="73" ph="1">
        <f>J9*290.8*0.7892</f>
        <v>17664.565739199999</v>
      </c>
      <c r="K10" s="73" ph="1">
        <f>K9*290.8*1.1126</f>
        <v>2403.9325143999999</v>
      </c>
      <c r="L10" s="73" ph="1">
        <f>L9*290.8*0.777</f>
        <v>9485.4481680000008</v>
      </c>
      <c r="M10" s="73" ph="1">
        <f>M9*33.183*LOOKUP(M11,密度!$A$2:$A$50,密度!$D$2:$D$50)</f>
        <v>144198.186552</v>
      </c>
      <c r="N10" s="73" ph="1">
        <f>N9*33.183*LOOKUP(N11,密度!$A$2:$A$50,密度!$E$2:$E$50)</f>
        <v>74880.598521599997</v>
      </c>
      <c r="O10" s="73" ph="1">
        <f>O9*20.428*LOOKUP(O11,密度!$A$2:$A$50,密度!$C$2:$C$50)</f>
        <v>3160.4975920000002</v>
      </c>
      <c r="P10" s="73" ph="1">
        <f>P9*51.53*LOOKUP(P11,密度!$A$2:$A$50,密度!$B$2:$B$50)</f>
        <v>30118.182258000004</v>
      </c>
      <c r="Q10" s="73" ph="1">
        <f>Q9*1.5*1.5*3.1416*LOOKUP(W11,密度!$A$2:$A$50,密度!$L$2:$L$50)</f>
        <v>27576.361612800003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35350.407892800002</v>
      </c>
      <c r="X10" s="73" ph="1">
        <f>X9*1.5*1.5*3.1416*LOOKUP(X11,密度!$A$2:$A$50,密度!$L$2:$L$50)</f>
        <v>37427.1484356</v>
      </c>
      <c r="Y10" s="73" ph="1">
        <f>Y9*1.5*1.5*3.1416*LOOKUP(Y11,密度!$A$2:$A$50,密度!$L$2:$L$50)</f>
        <v>15564.527055</v>
      </c>
      <c r="Z10" s="73" ph="1">
        <f>Z9*33.183*LOOKUP(Z11,密度!$A$2:$A$50,密度!$L$2:$L$50)</f>
        <v>30005.130455999999</v>
      </c>
      <c r="AA10" s="73" ph="1">
        <f>AA9*33.183*LOOKUP(AA11,密度!$A$2:$A$50,密度!$D$2:$D$50)</f>
        <v>44343.743673599995</v>
      </c>
      <c r="AB10" s="73" ph="1">
        <f>AB9*20.428*LOOKUP(AB11,密度!$A$2:$A$50,密度!$D$2:$D$50)</f>
        <v>49842.583620000005</v>
      </c>
      <c r="AC10" s="73" ph="1">
        <f>AC9*51.53*LOOKUP(AC11,密度!$A$2:$A$50,密度!$Q$2:$Q$50)</f>
        <v>229459.93018040003</v>
      </c>
      <c r="AD10" s="73" ph="1">
        <f>AD9*20.428*LOOKUP(AD11,密度!$A$2:$A$50,密度!$V$2:$V$50)</f>
        <v>46713.704486399998</v>
      </c>
      <c r="AE10" s="73" ph="1">
        <f>AE9*20.428</f>
        <v>112211.004</v>
      </c>
    </row>
    <row r="11" spans="1:99" ph="1">
      <c r="A11" s="64" t="s" ph="1">
        <v>162</v>
      </c>
      <c r="B11" s="238" ph="1"/>
      <c r="C11" s="157" t="s" ph="1">
        <v>179</v>
      </c>
      <c r="D11" s="74">
        <v>31</v>
      </c>
      <c r="E11" s="74">
        <v>28</v>
      </c>
      <c r="F11" s="74">
        <v>27</v>
      </c>
      <c r="G11" s="74">
        <v>29</v>
      </c>
      <c r="H11" s="74">
        <v>27</v>
      </c>
      <c r="I11" s="74">
        <v>25</v>
      </c>
      <c r="J11" s="74">
        <v>25</v>
      </c>
      <c r="K11" s="74">
        <v>25</v>
      </c>
      <c r="L11" s="74">
        <v>25</v>
      </c>
      <c r="M11" s="74">
        <v>30</v>
      </c>
      <c r="N11" s="74">
        <v>30</v>
      </c>
      <c r="O11" s="74">
        <v>30</v>
      </c>
      <c r="P11" s="74">
        <v>29</v>
      </c>
      <c r="Q11" s="74">
        <v>30</v>
      </c>
      <c r="R11" s="74">
        <v>35</v>
      </c>
      <c r="S11" s="74">
        <v>25</v>
      </c>
      <c r="T11" s="74">
        <v>25</v>
      </c>
      <c r="U11" s="74">
        <v>27</v>
      </c>
      <c r="V11" s="74">
        <v>27</v>
      </c>
      <c r="W11" s="74">
        <v>26</v>
      </c>
      <c r="X11" s="74">
        <v>28</v>
      </c>
      <c r="Y11" s="74">
        <v>27</v>
      </c>
      <c r="Z11" s="74">
        <v>24</v>
      </c>
      <c r="AA11" s="74">
        <v>27</v>
      </c>
      <c r="AB11" s="74">
        <v>22</v>
      </c>
      <c r="AC11" s="74">
        <v>28</v>
      </c>
      <c r="AD11" s="74">
        <v>27</v>
      </c>
      <c r="AE11" s="74">
        <v>32</v>
      </c>
    </row>
    <row r="12" spans="1:99" ht="9.9" customHeight="1" ph="1"/>
    <row r="13" spans="1:99" s="72" customFormat="1" ht="29.25" customHeight="1" ph="1">
      <c r="B13" s="215" t="s" ph="1">
        <v>37</v>
      </c>
      <c r="C13" s="157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6" ph="1"/>
      <c r="C14" s="67" t="s" ph="1">
        <v>36</v>
      </c>
      <c r="D14" s="77" t="s" ph="1">
        <v>616</v>
      </c>
      <c r="E14" s="77" t="s" ph="1">
        <v>616</v>
      </c>
      <c r="F14" s="144" t="s" ph="1">
        <v>636</v>
      </c>
      <c r="G14" s="77" t="s" ph="1">
        <v>617</v>
      </c>
      <c r="H14" s="77" t="s" ph="1">
        <v>637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638</v>
      </c>
      <c r="P14" s="77" t="s" ph="1">
        <v>622</v>
      </c>
      <c r="Q14" s="77" t="s" ph="1">
        <v>622</v>
      </c>
      <c r="R14" s="88" t="s" ph="1">
        <v>7</v>
      </c>
      <c r="S14" s="77" t="s" ph="1">
        <v>622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17" ph="1">
        <v>0.33333333333333331</v>
      </c>
      <c r="C15" s="157" t="s" ph="1">
        <v>177</v>
      </c>
      <c r="D15" s="78">
        <v>1773</v>
      </c>
      <c r="E15" s="78">
        <v>2967</v>
      </c>
      <c r="F15" s="78">
        <v>3627</v>
      </c>
      <c r="G15" s="78">
        <v>1216</v>
      </c>
      <c r="H15" s="78">
        <v>4363</v>
      </c>
      <c r="I15" s="78">
        <v>3128</v>
      </c>
      <c r="J15" s="78">
        <v>660</v>
      </c>
      <c r="K15" s="78">
        <v>3658</v>
      </c>
      <c r="L15" s="78">
        <v>7236</v>
      </c>
      <c r="M15" s="78">
        <v>3129</v>
      </c>
      <c r="N15" s="78">
        <v>1783</v>
      </c>
      <c r="O15" s="78">
        <v>3063</v>
      </c>
      <c r="P15" s="78">
        <v>6537</v>
      </c>
      <c r="Q15" s="78">
        <v>2256</v>
      </c>
      <c r="R15" s="78">
        <v>0</v>
      </c>
      <c r="S15" s="78">
        <v>188</v>
      </c>
      <c r="T15" s="78">
        <v>459</v>
      </c>
      <c r="U15" s="78">
        <v>1817</v>
      </c>
      <c r="V15" s="78">
        <v>-817</v>
      </c>
      <c r="W15" s="71">
        <v>-150</v>
      </c>
      <c r="X15" s="78">
        <v>861</v>
      </c>
      <c r="Y15" s="106">
        <v>-9908</v>
      </c>
      <c r="Z15" s="78">
        <v>0</v>
      </c>
      <c r="AA15" s="78">
        <v>2483</v>
      </c>
      <c r="AB15" s="78" ph="1">
        <v>0</v>
      </c>
      <c r="AC15" s="78" ph="1">
        <v>0</v>
      </c>
      <c r="AD15" s="78">
        <v>5.67</v>
      </c>
      <c r="AE15" s="78">
        <v>43.41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18" ph="1"/>
      <c r="C16" s="157" t="s" ph="1">
        <v>178</v>
      </c>
      <c r="D16" s="73" ph="1">
        <f>D15*7.0686*LOOKUP(D17,密度!$A$2:$A$50,密度!$L$2:$L$50)</f>
        <v>11680.409109600001</v>
      </c>
      <c r="E16" s="73" ph="1">
        <f>E15*7.0686*LOOKUP(E17,密度!$A$2:$A$50,密度!$L$2:$L$50)</f>
        <v>19546.4037384</v>
      </c>
      <c r="F16" s="73" ph="1">
        <f>F15*9.0746*LOOKUP(F17,密度!$A$2:$A$50,密度!$L$2:$L$50)</f>
        <v>30576.710431800006</v>
      </c>
      <c r="G16" s="73" ph="1">
        <f>G15*9.0746*LOOKUP(G17,密度!$A$2:$A$50,密度!$B$2:$B$50)</f>
        <v>8592.7314803200006</v>
      </c>
      <c r="H16" s="73" ph="1">
        <f>H15*9.0746*LOOKUP(H17,密度!$A$2:$A$50,密度!$L$2:$L$50)</f>
        <v>37098.1535726</v>
      </c>
      <c r="I16" s="73" ph="1">
        <f>I15*9.0746*LOOKUP(I17,密度!$A$2:$A$50,密度!$U$2:$U$50)</f>
        <v>28839.514380799999</v>
      </c>
      <c r="J16" s="73" ph="1">
        <f>J15*9.0746*LOOKUP(J17,密度!$A$2:$A$50,密度!$L$2:$L$50)</f>
        <v>5581.967952</v>
      </c>
      <c r="K16" s="73" ph="1">
        <f>K15*9.0746*LOOKUP(K17,密度!$A$2:$A$50,密度!$C$2:$C$50)</f>
        <v>36683.669402679996</v>
      </c>
      <c r="L16" s="73" ph="1">
        <f>L15*9.0746*LOOKUP(L17,密度!$A$2:$A$50,密度!$E$2:$E$50)</f>
        <v>51060.175234560003</v>
      </c>
      <c r="M16" s="73" ph="1">
        <f>M15*9.0746*LOOKUP(M17,密度!$A$2:$A$50,密度!$M$2:$M$50)</f>
        <v>24700.30891566</v>
      </c>
      <c r="N16" s="73" ph="1">
        <f>N15*9.0746*LOOKUP(N17,密度!$A$2:$A$50,密度!$M$2:$M$50)</f>
        <v>14108.9702896</v>
      </c>
      <c r="O16" s="73" ph="1">
        <f>O15*9.0746*LOOKUP(O17,密度!$A$2:$A$50,密度!$G$2:$G$50)</f>
        <v>26536.36365906</v>
      </c>
      <c r="P16" s="73" ph="1">
        <f ca="1">P15*9.0746*LOOKUP(P17,密度!$A$2:$A$51,密度!$Q$2:$Q$50)</f>
        <v>55994.550782586004</v>
      </c>
      <c r="Q16" s="73" ph="1">
        <f>Q15*9.0746*LOOKUP(Q17,密度!$A$2:$A$50,密度!$Q$2:$Q$50)</f>
        <v>19312.132495008002</v>
      </c>
      <c r="R16" s="73" ph="1">
        <f>MAX(R15*9.0746*LOOKUP(R17,密度!$A$2:$A$50,密度!$B$2:$B$50),0)</f>
        <v>0</v>
      </c>
      <c r="S16" s="73" ph="1">
        <f>S15*9.0746*LOOKUP(S17,密度!$A$2:$A$50,密度!$Q$2:$Q$50)</f>
        <v>1611.5451465760002</v>
      </c>
      <c r="T16" s="73" ph="1">
        <f>T15*9.0746*LOOKUP(T17,密度!$A$2:$A$50,密度!$O$2:$O$50)</f>
        <v>3857.0135364000002</v>
      </c>
      <c r="U16" s="73" ph="1">
        <f>U15*9.0746*LOOKUP(U17,密度!$A$2:$A$50,密度!$H$2:$H$50)</f>
        <v>15052.395651780002</v>
      </c>
      <c r="V16" s="73" ph="1">
        <f>MAX(5600*LOOKUP(V17,密度!$A$2:$A$50,密度!$Q$2:$Q$50)+V15*9.0476*LOOKUP(V17,密度!$A$2:$A$50,密度!$Q$2:$Q$50),0)</f>
        <v>0</v>
      </c>
      <c r="W16" s="73" ph="1">
        <f>MAX(5600*LOOKUP(W17,密度!$A$2:$A$50,密度!$Q$2:$Q$50)+W15*9.0476*LOOKUP(W17,密度!$A$2:$A$50,密度!$Q$2:$Q$50),0)</f>
        <v>4007.8904132000007</v>
      </c>
      <c r="X16" s="73" ph="1">
        <f>MAX(5600*LOOKUP(X17,密度!$A$2:$A$50,密度!$I$2:$I$50)+X15*9.0476*LOOKUP(X17,密度!$A$2:$A$50,密度!$I$2:$I$50),0)</f>
        <v>13881.395998119999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17507.544108600003</v>
      </c>
      <c r="AB16" s="73" ph="1">
        <f>AB15*9.0746*LOOKUP(AB17,密度!$A$2:$A$50,密度!$L$2:$L$50)</f>
        <v>0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2408.5084017600002</v>
      </c>
      <c r="AE16" s="73" ph="1">
        <f>AE15*268.68*LOOKUP(AE17,密度!$A$2:$A$50,密度!B2:B50)+IF(AE15&lt;=0,0,1566*LOOKUP(AE17,密度!$A$2:$A$50,密度!B2:B50))</f>
        <v>10313.639304479999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19" ph="1"/>
      <c r="C17" s="79" t="s" ph="1">
        <v>179</v>
      </c>
      <c r="D17" s="74">
        <v>30</v>
      </c>
      <c r="E17" s="74">
        <v>30</v>
      </c>
      <c r="F17" s="74">
        <v>33</v>
      </c>
      <c r="G17" s="74">
        <v>26</v>
      </c>
      <c r="H17" s="74">
        <v>25</v>
      </c>
      <c r="I17" s="74">
        <v>34</v>
      </c>
      <c r="J17" s="74">
        <v>30</v>
      </c>
      <c r="K17" s="74">
        <v>30</v>
      </c>
      <c r="L17" s="74">
        <v>30</v>
      </c>
      <c r="M17" s="74">
        <v>30</v>
      </c>
      <c r="N17" s="74">
        <v>28</v>
      </c>
      <c r="O17" s="74">
        <v>30</v>
      </c>
      <c r="P17" s="74">
        <v>29</v>
      </c>
      <c r="Q17" s="74">
        <v>30</v>
      </c>
      <c r="R17" s="74">
        <v>29</v>
      </c>
      <c r="S17" s="74">
        <v>28</v>
      </c>
      <c r="T17" s="74">
        <v>28</v>
      </c>
      <c r="U17" s="74">
        <v>27</v>
      </c>
      <c r="V17" s="74">
        <v>28</v>
      </c>
      <c r="W17" s="74">
        <v>28</v>
      </c>
      <c r="X17" s="74">
        <v>30</v>
      </c>
      <c r="Y17" s="108">
        <v>30</v>
      </c>
      <c r="Z17" s="74">
        <v>28</v>
      </c>
      <c r="AA17" s="74">
        <v>28</v>
      </c>
      <c r="AB17" s="74">
        <v>28</v>
      </c>
      <c r="AC17" s="74">
        <v>28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17" ph="1">
        <v>0.66666666666666663</v>
      </c>
      <c r="C18" s="79" t="s" ph="1">
        <v>180</v>
      </c>
      <c r="D18" s="71">
        <v>28</v>
      </c>
      <c r="E18" s="71">
        <v>5061</v>
      </c>
      <c r="F18" s="71">
        <v>3770</v>
      </c>
      <c r="G18" s="71">
        <v>1348</v>
      </c>
      <c r="H18" s="71">
        <v>4365</v>
      </c>
      <c r="I18" s="71">
        <v>3226</v>
      </c>
      <c r="J18" s="71">
        <v>672</v>
      </c>
      <c r="K18" s="71">
        <v>3659</v>
      </c>
      <c r="L18" s="71">
        <v>7244</v>
      </c>
      <c r="M18" s="71">
        <v>184</v>
      </c>
      <c r="N18" s="71">
        <v>1785</v>
      </c>
      <c r="O18" s="71">
        <v>3300</v>
      </c>
      <c r="P18" s="71">
        <v>6542</v>
      </c>
      <c r="Q18" s="71">
        <v>2257</v>
      </c>
      <c r="R18" s="71">
        <v>0</v>
      </c>
      <c r="S18" s="71">
        <v>189</v>
      </c>
      <c r="T18" s="71">
        <v>459</v>
      </c>
      <c r="U18" s="71">
        <v>1817</v>
      </c>
      <c r="V18" s="71">
        <v>-817</v>
      </c>
      <c r="W18" s="71">
        <v>-150</v>
      </c>
      <c r="X18" s="71">
        <v>860</v>
      </c>
      <c r="Y18" s="109">
        <v>-9908</v>
      </c>
      <c r="Z18" s="71">
        <v>0</v>
      </c>
      <c r="AA18" s="71">
        <v>2485</v>
      </c>
      <c r="AB18" s="71">
        <v>0</v>
      </c>
      <c r="AC18" s="71">
        <v>0</v>
      </c>
      <c r="AD18" s="71">
        <v>10.11</v>
      </c>
      <c r="AE18" s="71">
        <v>84.71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18" ph="1"/>
      <c r="C19" s="157" t="s" ph="1">
        <v>178</v>
      </c>
      <c r="D19" s="73" ph="1">
        <f>D18*7.0686*LOOKUP(D20,密度!$A$2:$A$50,密度!$L$2:$L$50)</f>
        <v>184.4621856</v>
      </c>
      <c r="E19" s="73" ph="1">
        <f>E18*7.0686*LOOKUP(E20,密度!$A$2:$A$50,密度!$L$2:$L$50)</f>
        <v>33341.540047200004</v>
      </c>
      <c r="F19" s="73" ph="1">
        <f>F18*9.0746*LOOKUP(F20,密度!$A$2:$A$50,密度!$L$2:$L$50)</f>
        <v>31748.032576000001</v>
      </c>
      <c r="G19" s="73" ph="1">
        <f>G18*9.0746*LOOKUP(G20,密度!$A$2:$A$50,密度!$B$2:$B$50)</f>
        <v>9494.9136929600008</v>
      </c>
      <c r="H19" s="73" ph="1">
        <f>H18*9.0746*LOOKUP(H20,密度!$A$2:$A$50,密度!$L$2:$L$50)</f>
        <v>37035.938115000004</v>
      </c>
      <c r="I19" s="73" ph="1">
        <f>I18*9.0746*LOOKUP(I20,密度!$A$2:$A$50,密度!$U$2:$U$50)</f>
        <v>29830.878132399997</v>
      </c>
      <c r="J19" s="73" ph="1">
        <f>J18*9.0746*LOOKUP(J20,密度!$A$2:$A$50,密度!$L$2:$L$50)</f>
        <v>5677.3601472</v>
      </c>
      <c r="K19" s="73" ph="1">
        <f>K18*9.0746*LOOKUP(K20,密度!$A$2:$A$50,密度!$C$2:$C$50)</f>
        <v>36693.697743140001</v>
      </c>
      <c r="L19" s="73" ph="1">
        <f>L18*9.0746*LOOKUP(L20,密度!$A$2:$A$50,密度!$E$2:$E$50)</f>
        <v>51116.626506240005</v>
      </c>
      <c r="M19" s="73" ph="1">
        <f>M18*9.0746*LOOKUP(M20,密度!$A$2:$A$50,密度!$M$2:$M$50)</f>
        <v>1450.775177168</v>
      </c>
      <c r="N19" s="73" ph="1">
        <f>N18*9.0746*LOOKUP(N20,密度!$A$2:$A$50,密度!$M$2:$M$50)</f>
        <v>14142.6143691</v>
      </c>
      <c r="O19" s="73" ph="1">
        <f>O18*9.0746*LOOKUP(O20,密度!$A$2:$A$50,密度!$G$2:$G$50)</f>
        <v>28625.553462</v>
      </c>
      <c r="P19" s="73" ph="1">
        <f ca="1">P18*9.0746*LOOKUP(P20,密度!$A$2:$A$51,密度!$Q$2:$Q$50)</f>
        <v>56001.760098555998</v>
      </c>
      <c r="Q19" s="73" ph="1">
        <f>Q18*9.0746*LOOKUP(Q20,密度!$A$2:$A$50,密度!$Q$2:$Q$50)</f>
        <v>19320.692837426002</v>
      </c>
      <c r="R19" s="73" ph="1">
        <f>MAX(R18*9.0746*LOOKUP(R20,密度!$A$2:$A$50,密度!$B$2:$B$50),0)</f>
        <v>0</v>
      </c>
      <c r="S19" s="73" ph="1">
        <f>S18*9.0746*LOOKUP(S20,密度!$A$2:$A$50,密度!$Q$2:$Q$50)</f>
        <v>1617.9047170020001</v>
      </c>
      <c r="T19" s="73" ph="1">
        <f>T18*9.0746*LOOKUP(T20,密度!$A$2:$A$50,密度!$O$2:$O$50)</f>
        <v>3857.0135364000002</v>
      </c>
      <c r="U19" s="73" ph="1">
        <f>U18*9.0746*LOOKUP(U20,密度!$A$2:$A$50,密度!$H$2:$H$50)</f>
        <v>15052.395651780002</v>
      </c>
      <c r="V19" s="73" ph="1">
        <f>MAX(5600*LOOKUP(V20,密度!$A$2:$A$50,密度!$Q$2:$Q$50)+V18*9.0476*LOOKUP(V20,密度!$A$2:$A$50,密度!$Q$2:$Q$50),0)</f>
        <v>0</v>
      </c>
      <c r="W19" s="73" ph="1">
        <f>MAX(5600*LOOKUP(W20,密度!$A$2:$A$50,密度!$Q$2:$Q$50)+W18*9.0476*LOOKUP(W20,密度!$A$2:$A$50,密度!$Q$2:$Q$50),0)</f>
        <v>4002.4171238000004</v>
      </c>
      <c r="X19" s="73" ph="1">
        <f>MAX(5600*LOOKUP(X20,密度!$A$2:$A$50,密度!$I$2:$I$50)+X18*9.0476*LOOKUP(X20,密度!$A$2:$A$50,密度!$I$2:$I$50),0)</f>
        <v>13872.0163512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17503.605732200002</v>
      </c>
      <c r="AB19" s="73" ph="1">
        <f>AB18*9.0746*LOOKUP(AB20,密度!$A$2:$A$50,密度!$L$2:$L$50)</f>
        <v>0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3327.3896795999999</v>
      </c>
      <c r="AE19" s="73" ph="1">
        <f>AE18*268.68*LOOKUP(AE20,密度!$A$2:$A$50,密度!B5:B53)+IF(AE18&lt;=0,0,1566*LOOKUP(AE20,密度!$A$2:$A$50,密度!B5:B53))</f>
        <v>18901.2109356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18" ph="1"/>
      <c r="C20" s="80" t="s" ph="1">
        <v>179</v>
      </c>
      <c r="D20" s="81">
        <v>30</v>
      </c>
      <c r="E20" s="81">
        <v>30</v>
      </c>
      <c r="F20" s="81">
        <v>34</v>
      </c>
      <c r="G20" s="81">
        <v>29</v>
      </c>
      <c r="H20" s="81">
        <v>27</v>
      </c>
      <c r="I20" s="81">
        <v>31</v>
      </c>
      <c r="J20" s="81">
        <v>31</v>
      </c>
      <c r="K20" s="81">
        <v>30</v>
      </c>
      <c r="L20" s="81">
        <v>30</v>
      </c>
      <c r="M20" s="81">
        <v>31</v>
      </c>
      <c r="N20" s="81">
        <v>27</v>
      </c>
      <c r="O20" s="81">
        <v>29</v>
      </c>
      <c r="P20" s="81">
        <v>30</v>
      </c>
      <c r="Q20" s="81">
        <v>30</v>
      </c>
      <c r="R20" s="81">
        <v>30</v>
      </c>
      <c r="S20" s="81">
        <v>30</v>
      </c>
      <c r="T20" s="81">
        <v>29</v>
      </c>
      <c r="U20" s="81">
        <v>27</v>
      </c>
      <c r="V20" s="81">
        <v>29</v>
      </c>
      <c r="W20" s="81">
        <v>30</v>
      </c>
      <c r="X20" s="81">
        <v>30</v>
      </c>
      <c r="Y20" s="110">
        <v>30</v>
      </c>
      <c r="Z20" s="81">
        <v>28</v>
      </c>
      <c r="AA20" s="81">
        <v>29</v>
      </c>
      <c r="AB20" s="81">
        <v>27</v>
      </c>
      <c r="AC20" s="81">
        <v>29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6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6" t="s" ph="1">
        <v>69</v>
      </c>
      <c r="AA22" s="227"/>
      <c r="AB22" s="227"/>
      <c r="AC22" s="227"/>
      <c r="AD22" s="227"/>
      <c r="AE22" s="228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0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610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229" t="s" ph="1">
        <v>642</v>
      </c>
      <c r="AA23" s="230"/>
      <c r="AB23" s="230"/>
      <c r="AC23" s="230"/>
      <c r="AD23" s="230"/>
      <c r="AE23" s="231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38" ph="1">
        <v>0.33333333333333331</v>
      </c>
      <c r="C24" s="157" t="s" ph="1">
        <v>177</v>
      </c>
      <c r="D24" s="71">
        <v>3.66</v>
      </c>
      <c r="E24" s="71">
        <v>5.61</v>
      </c>
      <c r="F24" s="71">
        <v>0</v>
      </c>
      <c r="G24" s="71">
        <v>3066</v>
      </c>
      <c r="H24" s="71">
        <v>2612</v>
      </c>
      <c r="I24" s="71">
        <v>985</v>
      </c>
      <c r="J24" s="71">
        <v>303</v>
      </c>
      <c r="K24" s="71">
        <v>2546</v>
      </c>
      <c r="L24" s="71">
        <v>301</v>
      </c>
      <c r="M24" s="71">
        <v>325</v>
      </c>
      <c r="N24" s="71">
        <v>4773</v>
      </c>
      <c r="O24" s="71">
        <v>342</v>
      </c>
      <c r="P24" s="71">
        <v>373</v>
      </c>
      <c r="Q24" s="90">
        <v>4050</v>
      </c>
      <c r="R24" s="71">
        <v>289</v>
      </c>
      <c r="S24" s="71">
        <v>344</v>
      </c>
      <c r="T24" s="71">
        <v>0</v>
      </c>
      <c r="U24" s="71">
        <v>6257</v>
      </c>
      <c r="V24" s="71">
        <v>738</v>
      </c>
      <c r="W24" s="71">
        <v>430</v>
      </c>
      <c r="X24" s="71">
        <v>5031</v>
      </c>
      <c r="Y24" s="71">
        <v>3365</v>
      </c>
      <c r="Z24" s="232"/>
      <c r="AA24" s="233"/>
      <c r="AB24" s="233"/>
      <c r="AC24" s="233"/>
      <c r="AD24" s="233"/>
      <c r="AE24" s="234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38" ph="1"/>
      <c r="C25" s="68" t="s" ph="1">
        <v>178</v>
      </c>
      <c r="D25" s="91" ph="1">
        <f>D24*268.68*LOOKUP(D26,密度!$A$2:$A$50,密度!$Q$2:$Q$50)+IF(D24&lt;=0,0,1566*LOOKUP(D26,密度!$A$2:$A$50,密度!$Q$2:$Q$50))</f>
        <v>2413.5894177119999</v>
      </c>
      <c r="E25" s="91" ph="1">
        <f>E24*268.68*LOOKUP(E26,密度!$A$2:$A$50,密度!$C$2:$C$50)+IF(E24&lt;=0,0,1566*LOOKUP(E26,密度!$A$2:$A$50,密度!$C$2:$C$50))</f>
        <v>3407.9766037199997</v>
      </c>
      <c r="F25" s="91" ph="1">
        <f>F24*11.702*LOOKUP(F26,密度!$A$2:$A$50,密度!$Q$2:$Q$50)</f>
        <v>0</v>
      </c>
      <c r="G25" s="91" ph="1">
        <f>G24*18.322*LOOKUP(G26,密度!$A$2:$A$50,密度!$B$2:$B$50)</f>
        <v>43648.170804000001</v>
      </c>
      <c r="H25" s="91" ph="1">
        <f>H24*18.322*LOOKUP(H26,密度!$A$2:$A$50,密度!$B$2:$B$50)</f>
        <v>37146.653076800001</v>
      </c>
      <c r="I25" s="91" ph="1">
        <f>I24*18.322*LOOKUP(I26,密度!$A$2:$A$50,密度!$Q$2:$Q$50)</f>
        <v>17035.265178099999</v>
      </c>
      <c r="J25" s="91" ph="1">
        <f>J24*18.322*LOOKUP(J26,密度!$A$2:$A$50,密度!$Q$2:$Q$50)</f>
        <v>5240.2896943799997</v>
      </c>
      <c r="K25" s="91" ph="1">
        <f>K24*18.322*LOOKUP(K26,密度!$A$2:$A$50,密度!$Q$2:$Q$50)</f>
        <v>44064.456171439997</v>
      </c>
      <c r="L25" s="91" ph="1">
        <f>L24*18.322*LOOKUP(L26,密度!$A$2:$A$50,密度!$Q$2:$Q$50)</f>
        <v>5205.7003234599997</v>
      </c>
      <c r="M25" s="91" ph="1">
        <f>M24*18.322*LOOKUP(M26,密度!$A$2:$A$50,密度!$Q$2:$Q$50)</f>
        <v>5617.1999845</v>
      </c>
      <c r="N25" s="91" ph="1">
        <f>N24*18.322*LOOKUP(N26,密度!$A$2:$A$50,密度!$Q$2:$Q$50)</f>
        <v>82547.53370058001</v>
      </c>
      <c r="O25" s="91" ph="1">
        <f>O24*18.322*LOOKUP(O26,密度!$A$2:$A$50,密度!$C$2:$C$50)</f>
        <v>6924.6936323999998</v>
      </c>
      <c r="P25" s="91" ph="1">
        <f>P24*11.702*LOOKUP(P26,密度!$A$2:$A$50,密度!$B$2:$B$50)</f>
        <v>3384.0651037999996</v>
      </c>
      <c r="Q25" s="92" ph="1">
        <f>Q24*18.322*LOOKUP(Q26,密度!$A$2:$A$50,密度!$B$2:$B$50)</f>
        <v>57597.222419999991</v>
      </c>
      <c r="R25" s="91" ph="1">
        <f>R24*35.891*LOOKUP(R26,密度!$A$2:$A$50,密度!$C$2:$C$50)</f>
        <v>11470.9466441</v>
      </c>
      <c r="S25" s="91" ph="1">
        <f>S24*35.891*LOOKUP(S26,密度!$A$2:$A$50,密度!$B$2:$B$50)</f>
        <v>9572.2445511999995</v>
      </c>
      <c r="T25" s="91" ph="1">
        <f>T24*35.891*LOOKUP(T26,密度!$A$2:$A$50,密度!$Q$2:$Q$50)</f>
        <v>0</v>
      </c>
      <c r="U25" s="91" ph="1">
        <f>U24*35.891</f>
        <v>224569.98699999999</v>
      </c>
      <c r="V25" s="91" ph="1">
        <f>V24*47.051*LOOKUP(V26,密度!$A$2:$A$50,密度!$B$2:$B$50)</f>
        <v>26921.236541399998</v>
      </c>
      <c r="W25" s="91" ph="1">
        <f>W24*47.051*LOOKUP(W26,密度!$A$2:$A$50,密度!$B$2:$B$50)</f>
        <v>15685.815328999999</v>
      </c>
      <c r="X25" s="91" ph="1">
        <f>X24*47.051*LOOKUP(X26,密度!$A$2:$A$61,密度!$I$2:$I$61)</f>
        <v>244880.19954450001</v>
      </c>
      <c r="Y25" s="91" ph="1">
        <f>Y24*47.051*LOOKUP(Y26,密度!$A$2:$A$50,密度!$L$2:$L$50)</f>
        <v>147560.40518000003</v>
      </c>
      <c r="Z25" s="232"/>
      <c r="AA25" s="233"/>
      <c r="AB25" s="233"/>
      <c r="AC25" s="233"/>
      <c r="AD25" s="233"/>
      <c r="AE25" s="234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38" ph="1"/>
      <c r="C26" s="68" t="s" ph="1">
        <v>179</v>
      </c>
      <c r="D26" s="74">
        <v>25</v>
      </c>
      <c r="E26" s="74">
        <v>25</v>
      </c>
      <c r="F26" s="74">
        <v>29</v>
      </c>
      <c r="G26" s="74">
        <v>28</v>
      </c>
      <c r="H26" s="74">
        <v>29</v>
      </c>
      <c r="I26" s="74">
        <v>29</v>
      </c>
      <c r="J26" s="74">
        <v>29</v>
      </c>
      <c r="K26" s="74">
        <v>28</v>
      </c>
      <c r="L26" s="74">
        <v>29</v>
      </c>
      <c r="M26" s="74">
        <v>30</v>
      </c>
      <c r="N26" s="74">
        <v>29</v>
      </c>
      <c r="O26" s="74">
        <v>30</v>
      </c>
      <c r="P26" s="74">
        <v>30</v>
      </c>
      <c r="Q26" s="93">
        <v>29</v>
      </c>
      <c r="R26" s="74">
        <v>29</v>
      </c>
      <c r="S26" s="74">
        <v>30</v>
      </c>
      <c r="T26" s="74">
        <v>30</v>
      </c>
      <c r="U26" s="74">
        <v>31</v>
      </c>
      <c r="V26" s="74">
        <v>30</v>
      </c>
      <c r="W26" s="74">
        <v>30</v>
      </c>
      <c r="X26" s="74">
        <v>32</v>
      </c>
      <c r="Y26" s="74">
        <v>30</v>
      </c>
      <c r="Z26" s="232"/>
      <c r="AA26" s="233"/>
      <c r="AB26" s="233"/>
      <c r="AC26" s="233"/>
      <c r="AD26" s="233"/>
      <c r="AE26" s="234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38" ph="1">
        <v>0.66666666666666663</v>
      </c>
      <c r="C27" s="157" t="s" ph="1">
        <v>180</v>
      </c>
      <c r="D27" s="71">
        <v>3.7</v>
      </c>
      <c r="E27" s="71">
        <v>5.6</v>
      </c>
      <c r="F27" s="71">
        <v>0</v>
      </c>
      <c r="G27" s="71">
        <v>2578</v>
      </c>
      <c r="H27" s="71">
        <v>2128</v>
      </c>
      <c r="I27" s="71">
        <v>228</v>
      </c>
      <c r="J27" s="71">
        <v>302</v>
      </c>
      <c r="K27" s="71">
        <v>2546</v>
      </c>
      <c r="L27" s="71">
        <v>301</v>
      </c>
      <c r="M27" s="71">
        <v>325</v>
      </c>
      <c r="N27" s="71">
        <v>4773</v>
      </c>
      <c r="O27" s="71">
        <v>343</v>
      </c>
      <c r="P27" s="71">
        <v>373</v>
      </c>
      <c r="Q27" s="90">
        <v>426</v>
      </c>
      <c r="R27" s="71">
        <v>289</v>
      </c>
      <c r="S27" s="71">
        <v>2345</v>
      </c>
      <c r="T27" s="71">
        <v>0</v>
      </c>
      <c r="U27" s="71">
        <v>6128</v>
      </c>
      <c r="V27" s="71">
        <v>738</v>
      </c>
      <c r="W27" s="71">
        <v>431</v>
      </c>
      <c r="X27" s="71">
        <v>5044</v>
      </c>
      <c r="Y27" s="71">
        <v>3362</v>
      </c>
      <c r="Z27" s="232"/>
      <c r="AA27" s="233"/>
      <c r="AB27" s="233"/>
      <c r="AC27" s="233"/>
      <c r="AD27" s="233"/>
      <c r="AE27" s="234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38" ph="1"/>
      <c r="C28" s="157" t="s" ph="1">
        <v>178</v>
      </c>
      <c r="D28" s="91" ph="1">
        <f>D27*268.68*LOOKUP(D29,密度!$A$2:$A$50,密度!$Q$2:$Q$50)+IF(D27&lt;=0,0,1566*LOOKUP(D29,密度!$A$2:$A$50,密度!$Q$2:$Q$50))</f>
        <v>2423.7642218400001</v>
      </c>
      <c r="E28" s="91" ph="1">
        <f>E27*268.68*LOOKUP(E29,密度!$A$2:$A$50,密度!$C$2:$C$50)+IF(E27&lt;=0,0,1566*LOOKUP(E29,密度!$A$2:$A$50,密度!$C$2:$C$50))</f>
        <v>3404.9972111999996</v>
      </c>
      <c r="F28" s="91" ph="1">
        <f>F27*11.702*LOOKUP(F29,密度!$A$2:$A$50,密度!$Q$2:$Q$50)</f>
        <v>0</v>
      </c>
      <c r="G28" s="91" ph="1">
        <f>G27*18.322*LOOKUP(G29,密度!$A$2:$A$50,密度!$B$2:$B$50)</f>
        <v>36700.908131999997</v>
      </c>
      <c r="H28" s="91" ph="1">
        <f>H27*18.322*LOOKUP(H29,密度!$A$2:$A$50,密度!$B$2:$B$50)</f>
        <v>30294.620832000001</v>
      </c>
      <c r="I28" s="91" ph="1">
        <f>I27*18.322*LOOKUP(I29,密度!$A$2:$A$50,密度!$Q$2:$Q$50)</f>
        <v>3943.1882848800005</v>
      </c>
      <c r="J28" s="91" ph="1">
        <f>J27*18.322*LOOKUP(J29,密度!$A$2:$A$50,密度!$Q$2:$Q$50)</f>
        <v>5222.9950089200001</v>
      </c>
      <c r="K28" s="91" ph="1">
        <f>K27*18.322*LOOKUP(K29,密度!$A$2:$A$50,密度!$Q$2:$Q$50)</f>
        <v>44032.269181160002</v>
      </c>
      <c r="L28" s="91" ph="1">
        <f>L27*18.322*LOOKUP(L29,密度!$A$2:$A$50,密度!$Q$2:$Q$50)</f>
        <v>5202.3913702599993</v>
      </c>
      <c r="M28" s="91" ph="1">
        <f>M27*18.322*LOOKUP(M29,密度!$A$2:$A$50,密度!$Q$2:$Q$50)</f>
        <v>5620.7727745000002</v>
      </c>
      <c r="N28" s="91" ph="1">
        <f>N27*18.322*LOOKUP(N29,密度!$A$2:$A$50,密度!$Q$2:$Q$50)</f>
        <v>82495.063156980003</v>
      </c>
      <c r="O28" s="91" ph="1">
        <f>O27*18.322*LOOKUP(O29,密度!$A$2:$A$50,密度!$C$2:$C$50)</f>
        <v>6944.9412745999998</v>
      </c>
      <c r="P28" s="91" ph="1">
        <f>P27*11.702*LOOKUP(P29,密度!$A$2:$A$50,密度!$B$2:$B$50)</f>
        <v>3384.0651037999996</v>
      </c>
      <c r="Q28" s="92" ph="1">
        <f>Q27*18.322*LOOKUP(Q29,密度!$A$2:$A$50,密度!$B$2:$B$50)</f>
        <v>6044.3251967999995</v>
      </c>
      <c r="R28" s="91" ph="1">
        <f>R27*35.891*LOOKUP(R29,密度!$A$2:$A$50,密度!$C$2:$C$50)</f>
        <v>11470.9466441</v>
      </c>
      <c r="S28" s="91" ph="1">
        <f>S27*35.891*LOOKUP(S29,密度!$A$2:$A$50,密度!$B$2:$B$50)</f>
        <v>65328.403398999995</v>
      </c>
      <c r="T28" s="91" ph="1">
        <f>T27*35.891*LOOKUP(T29,密度!$A$2:$A$50,密度!$Q$2:$Q$50)</f>
        <v>0</v>
      </c>
      <c r="U28" s="91" ph="1">
        <f>U27*35.891</f>
        <v>219940.04799999998</v>
      </c>
      <c r="V28" s="91" ph="1">
        <f>V27*47.051*LOOKUP(V29,密度!$A$2:$A$50,密度!$B$2:$B$50)</f>
        <v>26921.236541399998</v>
      </c>
      <c r="W28" s="91" ph="1">
        <f>W27*47.051*LOOKUP(W29,密度!$A$2:$A$50,密度!$B$2:$B$50)</f>
        <v>15756.768237</v>
      </c>
      <c r="X28" s="91" ph="1">
        <f>X27*47.051*LOOKUP(X29,密度!$A$2:$A$61,密度!$I$2:$I$61)</f>
        <v>246035.08045479999</v>
      </c>
      <c r="Y28" s="91" ph="1">
        <f>Y27*47.051*LOOKUP(Y29,密度!$A$2:$A$50,密度!$L$2:$L$50)</f>
        <v>147428.850584</v>
      </c>
      <c r="Z28" s="232"/>
      <c r="AA28" s="233"/>
      <c r="AB28" s="233"/>
      <c r="AC28" s="233"/>
      <c r="AD28" s="233"/>
      <c r="AE28" s="234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38" ph="1"/>
      <c r="C29" s="157" t="s" ph="1">
        <v>179</v>
      </c>
      <c r="D29" s="74">
        <v>25</v>
      </c>
      <c r="E29" s="74">
        <v>25</v>
      </c>
      <c r="F29" s="74">
        <v>27</v>
      </c>
      <c r="G29" s="74">
        <v>28</v>
      </c>
      <c r="H29" s="74">
        <v>28</v>
      </c>
      <c r="I29" s="74">
        <v>29</v>
      </c>
      <c r="J29" s="74">
        <v>29</v>
      </c>
      <c r="K29" s="74">
        <v>29</v>
      </c>
      <c r="L29" s="74">
        <v>30</v>
      </c>
      <c r="M29" s="74">
        <v>29</v>
      </c>
      <c r="N29" s="74">
        <v>30</v>
      </c>
      <c r="O29" s="74">
        <v>30</v>
      </c>
      <c r="P29" s="74">
        <v>30</v>
      </c>
      <c r="Q29" s="93">
        <v>31</v>
      </c>
      <c r="R29" s="74">
        <v>29</v>
      </c>
      <c r="S29" s="74">
        <v>29</v>
      </c>
      <c r="T29" s="74">
        <v>29</v>
      </c>
      <c r="U29" s="74">
        <v>30</v>
      </c>
      <c r="V29" s="74">
        <v>30</v>
      </c>
      <c r="W29" s="74">
        <v>28</v>
      </c>
      <c r="X29" s="74">
        <v>30</v>
      </c>
      <c r="Y29" s="74">
        <v>30</v>
      </c>
      <c r="Z29" s="235"/>
      <c r="AA29" s="236"/>
      <c r="AB29" s="236"/>
      <c r="AC29" s="236"/>
      <c r="AD29" s="236"/>
      <c r="AE29" s="237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1" t="s" ph="1">
        <v>35</v>
      </c>
      <c r="C31" s="222" ph="1"/>
      <c r="D31" s="225" t="s" ph="1">
        <v>9</v>
      </c>
      <c r="E31" s="200" ph="1"/>
      <c r="F31" s="201" ph="1"/>
      <c r="G31" s="225" t="s" ph="1">
        <v>18</v>
      </c>
      <c r="H31" s="200" ph="1"/>
      <c r="I31" s="201" ph="1"/>
      <c r="J31" s="199" t="s" ph="1">
        <v>1</v>
      </c>
      <c r="K31" s="200" ph="1"/>
      <c r="L31" s="201" ph="1"/>
      <c r="M31" s="199" t="s" ph="1">
        <v>7</v>
      </c>
      <c r="N31" s="200" ph="1"/>
      <c r="O31" s="201" ph="1"/>
      <c r="P31" s="199" t="s" ph="1">
        <v>41</v>
      </c>
      <c r="Q31" s="200"/>
      <c r="R31" s="201"/>
      <c r="S31" s="199" t="s" ph="1">
        <v>2</v>
      </c>
      <c r="T31" s="200"/>
      <c r="U31" s="201"/>
      <c r="V31" s="199" t="s" ph="1">
        <v>71</v>
      </c>
      <c r="W31" s="200" ph="1"/>
      <c r="X31" s="201" ph="1"/>
      <c r="Y31" s="199" t="s" ph="1">
        <v>3</v>
      </c>
      <c r="Z31" s="200" ph="1"/>
      <c r="AA31" s="201" ph="1"/>
      <c r="AB31" s="202" t="s">
        <v>42</v>
      </c>
      <c r="AC31" s="203"/>
      <c r="AD31" s="203"/>
      <c r="AE31" s="204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3" ph="1"/>
      <c r="C32" s="224" ph="1"/>
      <c r="D32" s="96" t="s" ph="1">
        <v>4</v>
      </c>
      <c r="E32" s="157" t="s" ph="1">
        <v>5</v>
      </c>
      <c r="F32" s="158" t="s" ph="1">
        <v>43</v>
      </c>
      <c r="G32" s="97" t="s" ph="1">
        <v>4</v>
      </c>
      <c r="H32" s="157" t="s" ph="1">
        <v>5</v>
      </c>
      <c r="I32" s="158" t="s" ph="1">
        <v>43</v>
      </c>
      <c r="J32" s="97" t="s" ph="1">
        <v>4</v>
      </c>
      <c r="K32" s="157" t="s" ph="1">
        <v>5</v>
      </c>
      <c r="L32" s="158" t="s" ph="1">
        <v>43</v>
      </c>
      <c r="M32" s="97" t="s" ph="1">
        <v>4</v>
      </c>
      <c r="N32" s="157" t="s" ph="1">
        <v>5</v>
      </c>
      <c r="O32" s="158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7" t="s" ph="1">
        <v>5</v>
      </c>
      <c r="U32" s="99" t="s" ph="1">
        <v>43</v>
      </c>
      <c r="V32" s="97" t="s" ph="1">
        <v>4</v>
      </c>
      <c r="W32" s="157" t="s" ph="1">
        <v>5</v>
      </c>
      <c r="X32" s="99" t="s" ph="1">
        <v>43</v>
      </c>
      <c r="Y32" s="100" t="s" ph="1">
        <v>4</v>
      </c>
      <c r="Z32" s="157" t="s" ph="1">
        <v>5</v>
      </c>
      <c r="AA32" s="158" t="s" ph="1">
        <v>43</v>
      </c>
      <c r="AB32" s="97" t="s" ph="1">
        <v>85</v>
      </c>
      <c r="AC32" s="157" t="s" ph="1">
        <v>84</v>
      </c>
      <c r="AD32" s="205" t="s" ph="1">
        <v>83</v>
      </c>
      <c r="AE32" s="206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7" t="s" ph="1">
        <v>181</v>
      </c>
      <c r="C33" s="208" ph="1"/>
      <c r="D33" s="187" ph="1">
        <f>AA10+AB10+Z19</f>
        <v>94186.327293599999</v>
      </c>
      <c r="E33" s="187" ph="1">
        <f>M10+I10</f>
        <v>149449.93364440001</v>
      </c>
      <c r="F33" s="211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1522252632456786910111213141516171819202123456789101112131415161718192022232424356789101112131415161718192021222345678910111213141516171819202345678910111213149101516171819222123234567891012131415161711181920212224252345678910111213118[[#This Row],[F25]]</f>
        <v>3880</v>
      </c>
      <c r="G33" s="213" ph="1">
        <f>N19</f>
        <v>14142.6143691</v>
      </c>
      <c r="H33" s="187" ph="1">
        <f>M19</f>
        <v>1450.775177168</v>
      </c>
      <c r="I33" s="191" ph="1">
        <v>0</v>
      </c>
      <c r="J33" s="195" ph="1">
        <f>F10+O28</f>
        <v>225478.48320199997</v>
      </c>
      <c r="K33" s="187" ph="1">
        <f>O10+K10+E28+R28</f>
        <v>20440.373961699999</v>
      </c>
      <c r="L33" s="197" ph="1">
        <f>K19</f>
        <v>36693.697743140001</v>
      </c>
      <c r="M33" s="195" ph="1">
        <f>G10+H10+W28+S28+V28+E10+R19+P28+Q28</f>
        <v>529634.15161399997</v>
      </c>
      <c r="N33" s="187" ph="1">
        <f>L10+P10++G28+H28+AD19+AE19</f>
        <v>128827.76000520001</v>
      </c>
      <c r="O33" s="191" ph="1">
        <f>G19</f>
        <v>9494.9136929600008</v>
      </c>
      <c r="P33" s="195" ph="1">
        <f>L19</f>
        <v>51116.626506240005</v>
      </c>
      <c r="Q33" s="187" ph="1">
        <f>J10+N10</f>
        <v>92545.164260799997</v>
      </c>
      <c r="R33" s="191" ph="1">
        <f>BE23</f>
        <v>890</v>
      </c>
      <c r="S33" s="195" ph="1">
        <f>X28</f>
        <v>246035.08045479999</v>
      </c>
      <c r="T33" s="187" ph="1">
        <f>X19</f>
        <v>13872.0163512</v>
      </c>
      <c r="U33" s="176" ph="1">
        <f>BE21</f>
        <v>730</v>
      </c>
      <c r="V33" s="189" ph="1">
        <f ca="1">P19+Q19+S19+M28+N28+J28+D10+AC10+D19+E19+H19+J19+O19+V19+W19+K28+L28</f>
        <v>725927.04552636412</v>
      </c>
      <c r="W33" s="189" ph="1">
        <f>D28+F28+T28+I28</f>
        <v>6366.9525067200011</v>
      </c>
      <c r="X33" s="191" ph="1">
        <f>BE29+BE31</f>
        <v>10200</v>
      </c>
      <c r="Y33" s="193" ph="1">
        <f>+Q10+R10+S10+T10+U10+V10+W10+X10+Y10</f>
        <v>115918.44499620001</v>
      </c>
      <c r="Z33" s="174" ph="1">
        <f>T19+U19+Y28+Z10</f>
        <v>196343.39022817998</v>
      </c>
      <c r="AA33" s="176" ph="1">
        <f>BE19</f>
        <v>1440</v>
      </c>
      <c r="AB33" s="178" ph="1">
        <f>I19</f>
        <v>29830.878132399997</v>
      </c>
      <c r="AC33" s="180" ph="1">
        <f>AD10+AB19</f>
        <v>46713.704486399998</v>
      </c>
      <c r="AD33" s="182" ph="1">
        <v>0</v>
      </c>
      <c r="AE33" s="183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9" ph="1"/>
      <c r="C34" s="210" ph="1"/>
      <c r="D34" s="188" ph="1"/>
      <c r="E34" s="188" ph="1"/>
      <c r="F34" s="212" ph="1"/>
      <c r="G34" s="214" ph="1"/>
      <c r="H34" s="188" ph="1"/>
      <c r="I34" s="192" ph="1"/>
      <c r="J34" s="196" ph="1"/>
      <c r="K34" s="188" ph="1"/>
      <c r="L34" s="198" ph="1"/>
      <c r="M34" s="196" ph="1"/>
      <c r="N34" s="188" ph="1"/>
      <c r="O34" s="192" ph="1"/>
      <c r="P34" s="196" ph="1"/>
      <c r="Q34" s="188" ph="1"/>
      <c r="R34" s="192" ph="1"/>
      <c r="S34" s="196" ph="1"/>
      <c r="T34" s="188"/>
      <c r="U34" s="177"/>
      <c r="V34" s="190" ph="1"/>
      <c r="W34" s="190" ph="1"/>
      <c r="X34" s="192" ph="1"/>
      <c r="Y34" s="194" ph="1"/>
      <c r="Z34" s="175" ph="1"/>
      <c r="AA34" s="177" ph="1"/>
      <c r="AB34" s="179"/>
      <c r="AC34" s="181"/>
      <c r="AD34" s="184"/>
      <c r="AE34" s="185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6" t="s" ph="1">
        <v>631</v>
      </c>
      <c r="AD35" s="186"/>
      <c r="AE35" s="186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2" t="s" ph="1">
        <v>183</v>
      </c>
      <c r="J36" s="172" ph="1"/>
      <c r="K36" s="101" ph="1"/>
      <c r="P36" s="101" ph="1"/>
      <c r="R36" s="172" t="s" ph="1">
        <v>184</v>
      </c>
      <c r="S36" s="172" ph="1"/>
      <c r="Y36" s="102" ph="1"/>
      <c r="Z36" s="159" t="s" ph="1">
        <v>185</v>
      </c>
      <c r="AA36" s="159" ph="1"/>
      <c r="AB36" s="173" t="s" ph="1">
        <v>643</v>
      </c>
      <c r="AC36" s="173" ph="1"/>
      <c r="AD36" s="173" ph="1"/>
      <c r="AE36" s="173" ph="1"/>
      <c r="BA36" s="64" ph="1">
        <v>2270</v>
      </c>
    </row>
    <row r="37" spans="1:57" s="159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9" t="s" ph="1">
        <v>342</v>
      </c>
      <c r="AI37" s="159" t="s" ph="1">
        <v>209</v>
      </c>
      <c r="AJ37" s="159" t="s" ph="1">
        <v>210</v>
      </c>
      <c r="AK37" s="159" t="s" ph="1">
        <v>211</v>
      </c>
      <c r="AM37" s="159" t="s" ph="1">
        <v>210</v>
      </c>
      <c r="AN37" s="159" t="s" ph="1">
        <v>211</v>
      </c>
      <c r="AO37" s="159" t="s" ph="1">
        <v>212</v>
      </c>
      <c r="AP37" s="159" t="s" ph="1">
        <v>210</v>
      </c>
      <c r="AQ37" s="159" t="s" ph="1">
        <v>211</v>
      </c>
      <c r="AR37" s="159" t="s" ph="1">
        <v>212</v>
      </c>
      <c r="AS37" s="159" t="s" ph="1">
        <v>210</v>
      </c>
      <c r="AT37" s="159" t="s" ph="1">
        <v>211</v>
      </c>
      <c r="AU37" s="159" t="s" ph="1">
        <v>212</v>
      </c>
      <c r="AV37" s="159" t="s" ph="1">
        <v>210</v>
      </c>
      <c r="AW37" s="159" t="s" ph="1">
        <v>211</v>
      </c>
      <c r="AX37" s="159" t="s" ph="1">
        <v>212</v>
      </c>
      <c r="AY37" s="159" t="s" ph="1">
        <v>211</v>
      </c>
      <c r="AZ37" s="159" t="s" ph="1">
        <v>213</v>
      </c>
      <c r="BD37" s="159" t="s" ph="1">
        <v>305</v>
      </c>
      <c r="BE37" s="159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P56" s="64" ph="1">
        <v>20260804</v>
      </c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929" priority="102">
      <formula>ABS(D$7-D$10)&gt;=1000</formula>
    </cfRule>
  </conditionalFormatting>
  <conditionalFormatting sqref="E4 E6:E11">
    <cfRule type="expression" dxfId="928" priority="101">
      <formula>ABS(E$7-E$10)&gt;=1000</formula>
    </cfRule>
  </conditionalFormatting>
  <conditionalFormatting sqref="F4:F11">
    <cfRule type="expression" dxfId="927" priority="100">
      <formula>ABS(F$7-F$10)&gt;=1000</formula>
    </cfRule>
  </conditionalFormatting>
  <conditionalFormatting sqref="G4:G11">
    <cfRule type="expression" dxfId="926" priority="99">
      <formula>ABS(G$7-G$10)&gt;=1000</formula>
    </cfRule>
  </conditionalFormatting>
  <conditionalFormatting sqref="H4:H11">
    <cfRule type="expression" dxfId="925" priority="98">
      <formula>ABS(H$7-H$10)&gt;=1000</formula>
    </cfRule>
  </conditionalFormatting>
  <conditionalFormatting sqref="I4:I11">
    <cfRule type="expression" dxfId="924" priority="97">
      <formula>ABS(I$7-I$10)&gt;=1000</formula>
    </cfRule>
  </conditionalFormatting>
  <conditionalFormatting sqref="J4:J11">
    <cfRule type="expression" dxfId="923" priority="96">
      <formula>ABS(J$7-J$10)&gt;=1000</formula>
    </cfRule>
  </conditionalFormatting>
  <conditionalFormatting sqref="K4:K11">
    <cfRule type="expression" dxfId="922" priority="95">
      <formula>ABS(K$7-K$10)&gt;=1000</formula>
    </cfRule>
  </conditionalFormatting>
  <conditionalFormatting sqref="L4:L11">
    <cfRule type="expression" dxfId="921" priority="94">
      <formula>ABS(L$7-L$10)&gt;=1000</formula>
    </cfRule>
  </conditionalFormatting>
  <conditionalFormatting sqref="M4 M6:M11">
    <cfRule type="expression" dxfId="920" priority="93">
      <formula>ABS(M$7-M$10)&gt;=1000</formula>
    </cfRule>
  </conditionalFormatting>
  <conditionalFormatting sqref="N4 N6:N11">
    <cfRule type="expression" dxfId="919" priority="92">
      <formula>ABS(N$7-N$10)&gt;=1000</formula>
    </cfRule>
  </conditionalFormatting>
  <conditionalFormatting sqref="O4 O6:O11">
    <cfRule type="expression" dxfId="918" priority="91">
      <formula>ABS(O$7-O$10)&gt;=1000</formula>
    </cfRule>
  </conditionalFormatting>
  <conditionalFormatting sqref="P4 P6:P11">
    <cfRule type="expression" dxfId="917" priority="90">
      <formula>ABS(P$7-P$10)&gt;=1000</formula>
    </cfRule>
  </conditionalFormatting>
  <conditionalFormatting sqref="Q4:Q11">
    <cfRule type="expression" dxfId="916" priority="89">
      <formula>ABS(Q$7-Q$10)&gt;=1000</formula>
    </cfRule>
  </conditionalFormatting>
  <conditionalFormatting sqref="R4:R11">
    <cfRule type="expression" dxfId="915" priority="88">
      <formula>ABS(R$7-R$10)&gt;=1000</formula>
    </cfRule>
  </conditionalFormatting>
  <conditionalFormatting sqref="S4:S11">
    <cfRule type="expression" dxfId="914" priority="87">
      <formula>ABS(S$7-S$10)&gt;=1000</formula>
    </cfRule>
  </conditionalFormatting>
  <conditionalFormatting sqref="T4:T9 T11">
    <cfRule type="expression" dxfId="913" priority="86">
      <formula>ABS(T$7-T$10)&gt;=1000</formula>
    </cfRule>
  </conditionalFormatting>
  <conditionalFormatting sqref="U4:U9 U11">
    <cfRule type="expression" dxfId="912" priority="85">
      <formula>ABS(U$7-U$10)&gt;=1000</formula>
    </cfRule>
  </conditionalFormatting>
  <conditionalFormatting sqref="V4:V9 V11">
    <cfRule type="expression" dxfId="911" priority="84">
      <formula>ABS(V$7-V$10)&gt;=1000</formula>
    </cfRule>
  </conditionalFormatting>
  <conditionalFormatting sqref="W4:W9 W11">
    <cfRule type="expression" dxfId="910" priority="83">
      <formula>ABS(W$7-W$10)&gt;=1000</formula>
    </cfRule>
  </conditionalFormatting>
  <conditionalFormatting sqref="X4:X9 X11">
    <cfRule type="expression" dxfId="909" priority="82">
      <formula>ABS(X$7-X$10)&gt;=1000</formula>
    </cfRule>
  </conditionalFormatting>
  <conditionalFormatting sqref="Y4:Y9 Y11">
    <cfRule type="expression" dxfId="908" priority="81">
      <formula>ABS(Y$7-Y$10)&gt;=1000</formula>
    </cfRule>
  </conditionalFormatting>
  <conditionalFormatting sqref="Z4:Z11">
    <cfRule type="expression" dxfId="907" priority="80">
      <formula>ABS(Z$7-Z$10)&gt;=1000</formula>
    </cfRule>
  </conditionalFormatting>
  <conditionalFormatting sqref="AA4:AA11">
    <cfRule type="expression" dxfId="906" priority="79">
      <formula>ABS(AA$7-AA$10)&gt;=1000</formula>
    </cfRule>
  </conditionalFormatting>
  <conditionalFormatting sqref="AB4:AB11">
    <cfRule type="expression" dxfId="905" priority="78">
      <formula>ABS(AB$7-AB$10)&gt;=1000</formula>
    </cfRule>
  </conditionalFormatting>
  <conditionalFormatting sqref="AC4 AC6:AC11">
    <cfRule type="expression" dxfId="904" priority="77">
      <formula>ABS(AC$7-AC$10)&gt;=1000</formula>
    </cfRule>
  </conditionalFormatting>
  <conditionalFormatting sqref="AD4 AD6:AD11">
    <cfRule type="expression" dxfId="903" priority="76">
      <formula>ABS(AD$7-AD$10)&gt;=1000</formula>
    </cfRule>
  </conditionalFormatting>
  <conditionalFormatting sqref="AE4 AE6:AE11">
    <cfRule type="expression" dxfId="902" priority="75">
      <formula>ABS(AE$7-AE$10)&gt;=1000</formula>
    </cfRule>
  </conditionalFormatting>
  <conditionalFormatting sqref="D13:D20">
    <cfRule type="expression" dxfId="901" priority="74">
      <formula>ABS(D$16-D$19)&gt;=1000</formula>
    </cfRule>
  </conditionalFormatting>
  <conditionalFormatting sqref="E13:E20">
    <cfRule type="expression" dxfId="900" priority="73">
      <formula>ABS(E$16-E$19)&gt;=1000</formula>
    </cfRule>
  </conditionalFormatting>
  <conditionalFormatting sqref="F13 F15:F20">
    <cfRule type="expression" dxfId="899" priority="72">
      <formula>ABS(F$16-F$19)&gt;=1000</formula>
    </cfRule>
  </conditionalFormatting>
  <conditionalFormatting sqref="G13:G20">
    <cfRule type="expression" dxfId="898" priority="71">
      <formula>ABS(G$16-G$19)&gt;=1000</formula>
    </cfRule>
  </conditionalFormatting>
  <conditionalFormatting sqref="H13 H15:H20">
    <cfRule type="expression" dxfId="897" priority="70">
      <formula>ABS(H$16-H$19)&gt;=1000</formula>
    </cfRule>
  </conditionalFormatting>
  <conditionalFormatting sqref="I13:I20">
    <cfRule type="expression" dxfId="896" priority="69">
      <formula>ABS(I$16-I$19)&gt;=1000</formula>
    </cfRule>
  </conditionalFormatting>
  <conditionalFormatting sqref="J13:J20">
    <cfRule type="expression" dxfId="895" priority="68">
      <formula>ABS(J$16-J$19)&gt;=1000</formula>
    </cfRule>
  </conditionalFormatting>
  <conditionalFormatting sqref="L13:L20">
    <cfRule type="expression" dxfId="894" priority="67">
      <formula>ABS(L$16-L$19)&gt;=1000</formula>
    </cfRule>
  </conditionalFormatting>
  <conditionalFormatting sqref="M13 M15 M17:M18 M20">
    <cfRule type="expression" dxfId="893" priority="66">
      <formula>ABS(M$16-M$19)&gt;=1000</formula>
    </cfRule>
  </conditionalFormatting>
  <conditionalFormatting sqref="N13:N20">
    <cfRule type="expression" dxfId="892" priority="65">
      <formula>ABS(N$16-N$19)&gt;=1000</formula>
    </cfRule>
  </conditionalFormatting>
  <conditionalFormatting sqref="O13:O20">
    <cfRule type="expression" dxfId="891" priority="64">
      <formula>ABS(O$16-O$19)&gt;=1000</formula>
    </cfRule>
  </conditionalFormatting>
  <conditionalFormatting sqref="P13:P20">
    <cfRule type="expression" dxfId="890" priority="63">
      <formula>ABS(P$16-P$19)&gt;=1000</formula>
    </cfRule>
  </conditionalFormatting>
  <conditionalFormatting sqref="Q13 Q15:Q20">
    <cfRule type="expression" dxfId="889" priority="62">
      <formula>ABS(Q$16-Q$19)&gt;=1000</formula>
    </cfRule>
  </conditionalFormatting>
  <conditionalFormatting sqref="R13:R20">
    <cfRule type="expression" dxfId="888" priority="61">
      <formula>ABS(R$16-R$19)&gt;=1000</formula>
    </cfRule>
  </conditionalFormatting>
  <conditionalFormatting sqref="S13:S20">
    <cfRule type="expression" dxfId="887" priority="60">
      <formula>ABS(S$16-S$19)&gt;=1000</formula>
    </cfRule>
  </conditionalFormatting>
  <conditionalFormatting sqref="T13:T15 T17:T20">
    <cfRule type="expression" dxfId="886" priority="59">
      <formula>ABS(T$16-T$19)&gt;=1000</formula>
    </cfRule>
  </conditionalFormatting>
  <conditionalFormatting sqref="U13:U20">
    <cfRule type="expression" dxfId="885" priority="58">
      <formula>ABS(U$16-U$19)&gt;=1000</formula>
    </cfRule>
  </conditionalFormatting>
  <conditionalFormatting sqref="V13:V20">
    <cfRule type="expression" dxfId="884" priority="57">
      <formula>ABS(V$16-V$19)&gt;=1000</formula>
    </cfRule>
  </conditionalFormatting>
  <conditionalFormatting sqref="W13 W20 W15:W18">
    <cfRule type="expression" dxfId="883" priority="56">
      <formula>ABS(W$16-W$19)&gt;=1000</formula>
    </cfRule>
  </conditionalFormatting>
  <conditionalFormatting sqref="X13 X15:X20 Y19">
    <cfRule type="expression" dxfId="882" priority="55">
      <formula>ABS(X$16-X$19)&gt;=1000</formula>
    </cfRule>
  </conditionalFormatting>
  <conditionalFormatting sqref="Y13 Y15:Y18 Y20">
    <cfRule type="expression" dxfId="881" priority="54">
      <formula>ABS(Y$16-Y$19)&gt;=1000</formula>
    </cfRule>
  </conditionalFormatting>
  <conditionalFormatting sqref="Z13:Z20">
    <cfRule type="expression" dxfId="880" priority="53">
      <formula>ABS(Z$16-Z$19)&gt;=1000</formula>
    </cfRule>
  </conditionalFormatting>
  <conditionalFormatting sqref="AA13:AA20">
    <cfRule type="expression" dxfId="879" priority="52">
      <formula>ABS(AA$16-AA$19)&gt;=1000</formula>
    </cfRule>
  </conditionalFormatting>
  <conditionalFormatting sqref="AB13 AB15:AB20">
    <cfRule type="expression" dxfId="878" priority="51">
      <formula>ABS(AB$16-AB$19)&gt;=1000</formula>
    </cfRule>
  </conditionalFormatting>
  <conditionalFormatting sqref="AC13 AC15:AC20">
    <cfRule type="expression" dxfId="877" priority="50">
      <formula>ABS(AC$16-AC$19)&gt;=1000</formula>
    </cfRule>
  </conditionalFormatting>
  <conditionalFormatting sqref="AD13:AD20">
    <cfRule type="expression" dxfId="876" priority="49">
      <formula>ABS(AD$16-AD$19)&gt;=1000</formula>
    </cfRule>
  </conditionalFormatting>
  <conditionalFormatting sqref="AE13:AE20">
    <cfRule type="expression" dxfId="875" priority="48">
      <formula>ABS(AE$16-AE$19)&gt;=1000</formula>
    </cfRule>
  </conditionalFormatting>
  <conditionalFormatting sqref="D22:D29">
    <cfRule type="expression" dxfId="874" priority="47">
      <formula>ABS(D$25-D$28)&gt;=1000</formula>
    </cfRule>
  </conditionalFormatting>
  <conditionalFormatting sqref="E22:E29">
    <cfRule type="expression" dxfId="873" priority="46">
      <formula>ABS(E$25-E$28)&gt;=1000</formula>
    </cfRule>
  </conditionalFormatting>
  <conditionalFormatting sqref="F22:F29">
    <cfRule type="expression" dxfId="872" priority="45">
      <formula>ABS(F$25-F$28)&gt;=1000</formula>
    </cfRule>
  </conditionalFormatting>
  <conditionalFormatting sqref="G22:G29">
    <cfRule type="expression" dxfId="871" priority="44">
      <formula>ABS(G$25-G$28)&gt;=1000</formula>
    </cfRule>
  </conditionalFormatting>
  <conditionalFormatting sqref="H22:H29">
    <cfRule type="expression" dxfId="870" priority="43">
      <formula>ABS(H$25-H$28)&gt;=1000</formula>
    </cfRule>
  </conditionalFormatting>
  <conditionalFormatting sqref="I22 I24:I29">
    <cfRule type="expression" dxfId="869" priority="42">
      <formula>ABS(I$25-I$28)&gt;=1000</formula>
    </cfRule>
  </conditionalFormatting>
  <conditionalFormatting sqref="J22:J29 K22">
    <cfRule type="expression" dxfId="868" priority="41">
      <formula>ABS(J$25-J$28)&gt;=1000</formula>
    </cfRule>
  </conditionalFormatting>
  <conditionalFormatting sqref="K23:K29 L25 L28">
    <cfRule type="expression" dxfId="867" priority="40">
      <formula>ABS(K$25-K$28)&gt;=1000</formula>
    </cfRule>
  </conditionalFormatting>
  <conditionalFormatting sqref="L22 L26:L27 L29 L24">
    <cfRule type="expression" dxfId="866" priority="39">
      <formula>ABS(L$25-L$28)&gt;=1000</formula>
    </cfRule>
  </conditionalFormatting>
  <conditionalFormatting sqref="M22:M29">
    <cfRule type="expression" dxfId="865" priority="38">
      <formula>ABS(M$25-M$28)&gt;=1000</formula>
    </cfRule>
  </conditionalFormatting>
  <conditionalFormatting sqref="N22:N29">
    <cfRule type="expression" dxfId="864" priority="37">
      <formula>ABS(N$25-N$28)&gt;=1000</formula>
    </cfRule>
  </conditionalFormatting>
  <conditionalFormatting sqref="O22 O24:O29">
    <cfRule type="expression" dxfId="863" priority="36">
      <formula>ABS(O$25-O$28)&gt;=1000</formula>
    </cfRule>
  </conditionalFormatting>
  <conditionalFormatting sqref="P22:P29">
    <cfRule type="expression" dxfId="862" priority="35">
      <formula>ABS(P$25-P$28)&gt;=1000</formula>
    </cfRule>
  </conditionalFormatting>
  <conditionalFormatting sqref="Q22:Q29">
    <cfRule type="expression" dxfId="861" priority="34">
      <formula>ABS(Q$25-Q$28)&gt;=1000</formula>
    </cfRule>
  </conditionalFormatting>
  <conditionalFormatting sqref="R22:R29">
    <cfRule type="expression" dxfId="860" priority="33">
      <formula>ABS(R$25-R$28)&gt;=1000</formula>
    </cfRule>
  </conditionalFormatting>
  <conditionalFormatting sqref="S22:S29">
    <cfRule type="expression" dxfId="859" priority="32">
      <formula>ABS(S$25-S$28)&gt;=1000</formula>
    </cfRule>
  </conditionalFormatting>
  <conditionalFormatting sqref="T22:T29">
    <cfRule type="expression" dxfId="858" priority="31">
      <formula>ABS(T$25-T$28)&gt;=1000</formula>
    </cfRule>
  </conditionalFormatting>
  <conditionalFormatting sqref="U22:U29">
    <cfRule type="expression" dxfId="857" priority="30">
      <formula>ABS(U$25-U$28)&gt;=1000</formula>
    </cfRule>
  </conditionalFormatting>
  <conditionalFormatting sqref="V22:V29">
    <cfRule type="expression" dxfId="856" priority="29">
      <formula>ABS(V$25-V$28)&gt;=1000</formula>
    </cfRule>
  </conditionalFormatting>
  <conditionalFormatting sqref="W22:W29">
    <cfRule type="expression" dxfId="855" priority="28">
      <formula>ABS(W$25-W$28)&gt;=1000</formula>
    </cfRule>
  </conditionalFormatting>
  <conditionalFormatting sqref="X22:X29">
    <cfRule type="expression" dxfId="854" priority="27">
      <formula>ABS(X$25-X$28)&gt;=1000</formula>
    </cfRule>
  </conditionalFormatting>
  <conditionalFormatting sqref="Y22:Y29">
    <cfRule type="expression" dxfId="853" priority="26">
      <formula>ABS(Y$25-Y$28)&gt;=1000</formula>
    </cfRule>
  </conditionalFormatting>
  <conditionalFormatting sqref="I23">
    <cfRule type="expression" dxfId="852" priority="25">
      <formula>ABS(I$25-I$28)&gt;=1000</formula>
    </cfRule>
  </conditionalFormatting>
  <conditionalFormatting sqref="Q14">
    <cfRule type="expression" dxfId="851" priority="24">
      <formula>ABS(Q$16-Q$19)&gt;=1000</formula>
    </cfRule>
  </conditionalFormatting>
  <conditionalFormatting sqref="W14">
    <cfRule type="expression" dxfId="850" priority="23">
      <formula>ABS(W$16-W$19)&gt;=1000</formula>
    </cfRule>
  </conditionalFormatting>
  <conditionalFormatting sqref="X14">
    <cfRule type="expression" dxfId="849" priority="22">
      <formula>ABS(X$16-X$19)&gt;=1000</formula>
    </cfRule>
  </conditionalFormatting>
  <conditionalFormatting sqref="T10:Y10">
    <cfRule type="expression" dxfId="848" priority="21">
      <formula>ABS(T$7-T$10)&gt;=1000</formula>
    </cfRule>
  </conditionalFormatting>
  <conditionalFormatting sqref="W19">
    <cfRule type="expression" dxfId="847" priority="20">
      <formula>ABS(W$16-W$19)&gt;=1000</formula>
    </cfRule>
  </conditionalFormatting>
  <conditionalFormatting sqref="AC5">
    <cfRule type="expression" dxfId="846" priority="19">
      <formula>ABS(AC$7-AC$10)&gt;=1000</formula>
    </cfRule>
  </conditionalFormatting>
  <conditionalFormatting sqref="M14">
    <cfRule type="expression" dxfId="845" priority="18">
      <formula>ABS(M$16-M$19)&gt;=1000</formula>
    </cfRule>
  </conditionalFormatting>
  <conditionalFormatting sqref="M16">
    <cfRule type="expression" dxfId="844" priority="17">
      <formula>ABS(M$16-M$19)&gt;=1000</formula>
    </cfRule>
  </conditionalFormatting>
  <conditionalFormatting sqref="M19">
    <cfRule type="expression" dxfId="843" priority="16">
      <formula>ABS(M$16-M$19)&gt;=1000</formula>
    </cfRule>
  </conditionalFormatting>
  <conditionalFormatting sqref="K13:K20">
    <cfRule type="expression" dxfId="842" priority="15">
      <formula>ABS(K$16-K$19)&gt;=1000</formula>
    </cfRule>
  </conditionalFormatting>
  <conditionalFormatting sqref="E5">
    <cfRule type="expression" dxfId="841" priority="14">
      <formula>ABS(E$7-E$10)&gt;=1000</formula>
    </cfRule>
  </conditionalFormatting>
  <conditionalFormatting sqref="AB14:AC14">
    <cfRule type="expression" dxfId="840" priority="13">
      <formula>ABS(AB$16-AB$19)&gt;=1000</formula>
    </cfRule>
  </conditionalFormatting>
  <conditionalFormatting sqref="M5">
    <cfRule type="expression" dxfId="839" priority="12">
      <formula>ABS(M$7-M$10)&gt;=1000</formula>
    </cfRule>
  </conditionalFormatting>
  <conditionalFormatting sqref="N5">
    <cfRule type="expression" dxfId="838" priority="11">
      <formula>ABS(N$7-N$10)&gt;=1000</formula>
    </cfRule>
  </conditionalFormatting>
  <conditionalFormatting sqref="O5">
    <cfRule type="expression" dxfId="837" priority="10">
      <formula>ABS(O$7-O$10)&gt;=1000</formula>
    </cfRule>
  </conditionalFormatting>
  <conditionalFormatting sqref="P5">
    <cfRule type="expression" dxfId="836" priority="9">
      <formula>ABS(P$7-P$10)&gt;=1000</formula>
    </cfRule>
  </conditionalFormatting>
  <conditionalFormatting sqref="L23">
    <cfRule type="expression" dxfId="835" priority="8">
      <formula>ABS(L$25-L$28)&gt;=1000</formula>
    </cfRule>
  </conditionalFormatting>
  <conditionalFormatting sqref="Y14">
    <cfRule type="expression" dxfId="834" priority="7">
      <formula>ABS(Y$16-Y$19)&gt;=1000</formula>
    </cfRule>
  </conditionalFormatting>
  <conditionalFormatting sqref="F14">
    <cfRule type="expression" dxfId="833" priority="6">
      <formula>ABS(F$16-F$19)&gt;=1000</formula>
    </cfRule>
  </conditionalFormatting>
  <conditionalFormatting sqref="H14">
    <cfRule type="expression" dxfId="832" priority="5">
      <formula>ABS(H$16-H$19)&gt;=1000</formula>
    </cfRule>
  </conditionalFormatting>
  <conditionalFormatting sqref="AD5">
    <cfRule type="expression" dxfId="831" priority="4">
      <formula>ABS(AD$7-AD$10)&gt;=1000</formula>
    </cfRule>
  </conditionalFormatting>
  <conditionalFormatting sqref="AE5">
    <cfRule type="expression" dxfId="830" priority="3">
      <formula>ABS(AE$7-AE$10)&gt;=1000</formula>
    </cfRule>
  </conditionalFormatting>
  <conditionalFormatting sqref="T16">
    <cfRule type="expression" dxfId="829" priority="2">
      <formula>ABS(T$16-T$19)&gt;=1000</formula>
    </cfRule>
  </conditionalFormatting>
  <conditionalFormatting sqref="O23">
    <cfRule type="expression" dxfId="828" priority="1">
      <formula>ABS(O$25-O$28)&gt;=1000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42977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960">
    <pageSetUpPr fitToPage="1"/>
  </sheetPr>
  <dimension ref="A1:CU223"/>
  <sheetViews>
    <sheetView view="pageBreakPreview" topLeftCell="B1" zoomScale="85" zoomScaleNormal="100" zoomScaleSheetLayoutView="85" workbookViewId="0">
      <selection activeCell="G8" sqref="G8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39" t="s" ph="1">
        <v>161</v>
      </c>
      <c r="C1" s="239" ph="1"/>
      <c r="D1" s="239" ph="1"/>
      <c r="E1" s="239" ph="1"/>
      <c r="F1" s="239" ph="1"/>
      <c r="G1" s="239" ph="1"/>
      <c r="H1" s="239" ph="1"/>
      <c r="I1" s="239" ph="1"/>
      <c r="J1" s="239" ph="1"/>
      <c r="K1" s="239" ph="1"/>
      <c r="L1" s="239" ph="1"/>
      <c r="M1" s="239" ph="1"/>
      <c r="N1" s="239" ph="1"/>
      <c r="O1" s="239" ph="1"/>
      <c r="P1" s="239" ph="1"/>
      <c r="Q1" s="239" ph="1"/>
      <c r="R1" s="239" ph="1"/>
      <c r="S1" s="239" ph="1"/>
      <c r="T1" s="239" ph="1"/>
      <c r="U1" s="239" ph="1"/>
      <c r="V1" s="239" ph="1"/>
      <c r="W1" s="239" ph="1"/>
      <c r="X1" s="239" ph="1"/>
      <c r="Y1" s="239" ph="1"/>
      <c r="Z1" s="239" ph="1"/>
      <c r="AA1" s="239" ph="1"/>
      <c r="AB1" s="239" ph="1"/>
      <c r="AC1" s="239" ph="1"/>
      <c r="AD1" s="239" ph="1"/>
      <c r="AE1" s="239" ph="1"/>
    </row>
    <row r="2" spans="1:99" s="66" customFormat="1" ht="24" customHeight="1" ph="1">
      <c r="B2" s="240" t="s" ph="1">
        <v>82</v>
      </c>
      <c r="C2" s="240" ph="1"/>
      <c r="D2" s="240" ph="1"/>
      <c r="E2" s="240" ph="1"/>
      <c r="F2" s="240" ph="1"/>
      <c r="G2" s="240" ph="1"/>
      <c r="H2" s="240" ph="1"/>
      <c r="I2" s="240" ph="1"/>
      <c r="J2" s="240" ph="1"/>
      <c r="K2" s="240" ph="1"/>
      <c r="L2" s="240" ph="1"/>
      <c r="M2" s="240" ph="1"/>
      <c r="N2" s="240" ph="1"/>
      <c r="O2" s="240" ph="1"/>
      <c r="P2" s="240" ph="1"/>
      <c r="Q2" s="240" ph="1"/>
      <c r="R2" s="240" ph="1"/>
      <c r="S2" s="240" ph="1"/>
      <c r="T2" s="240" ph="1"/>
      <c r="U2" s="240" ph="1"/>
      <c r="V2" s="240" ph="1"/>
      <c r="W2" s="240" ph="1"/>
      <c r="X2" s="240" ph="1"/>
      <c r="Y2" s="240" ph="1"/>
      <c r="Z2" s="240" ph="1"/>
      <c r="AA2" s="240" ph="1"/>
      <c r="AB2" s="240" ph="1"/>
      <c r="AC2" s="240" ph="1"/>
      <c r="AD2" s="240" ph="1"/>
      <c r="AE2" s="240" ph="1"/>
    </row>
    <row r="3" spans="1:99" ht="21" customHeight="1" ph="1">
      <c r="B3" s="241" ph="1">
        <v>46258</v>
      </c>
      <c r="C3" s="241"/>
      <c r="D3" s="241"/>
      <c r="E3" s="241"/>
      <c r="F3" s="241"/>
      <c r="G3" s="241"/>
      <c r="H3" s="241"/>
      <c r="I3" s="241"/>
      <c r="J3" s="241"/>
      <c r="K3" s="241"/>
      <c r="L3" s="241"/>
      <c r="M3" s="241"/>
      <c r="N3" s="241"/>
      <c r="O3" s="241"/>
      <c r="P3" s="241"/>
      <c r="Q3" s="241"/>
      <c r="R3" s="241"/>
      <c r="S3" s="241"/>
      <c r="T3" s="241"/>
      <c r="U3" s="241"/>
      <c r="V3" s="241"/>
      <c r="W3" s="241"/>
      <c r="X3" s="241"/>
      <c r="Y3" s="241"/>
      <c r="Z3" s="241"/>
      <c r="AA3" s="241"/>
      <c r="AB3" s="241"/>
      <c r="AC3" s="241"/>
      <c r="AD3" s="241"/>
      <c r="AE3" s="241"/>
    </row>
    <row r="4" spans="1:99" s="69" customFormat="1" ph="1">
      <c r="A4" s="65" ph="1"/>
      <c r="B4" s="220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0" ph="1"/>
      <c r="C5" s="67" t="s" ph="1">
        <v>36</v>
      </c>
      <c r="D5" s="70" t="s" ph="1">
        <v>160</v>
      </c>
      <c r="E5" s="142" t="s" ph="1">
        <v>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8" ph="1">
        <v>0.33333333333333331</v>
      </c>
      <c r="C6" s="160" t="s" ph="1">
        <v>177</v>
      </c>
      <c r="D6" s="71">
        <v>7087</v>
      </c>
      <c r="E6" s="71">
        <v>3576</v>
      </c>
      <c r="F6" s="71">
        <v>5937</v>
      </c>
      <c r="G6" s="71">
        <v>3155</v>
      </c>
      <c r="H6" s="71">
        <v>1327</v>
      </c>
      <c r="I6" s="71">
        <v>17.54</v>
      </c>
      <c r="J6" s="71">
        <v>76.489999999999995</v>
      </c>
      <c r="K6" s="71">
        <v>49.96</v>
      </c>
      <c r="L6" s="71">
        <v>6.89</v>
      </c>
      <c r="M6" s="71">
        <v>4244</v>
      </c>
      <c r="N6" s="71">
        <v>2622</v>
      </c>
      <c r="O6" s="71">
        <v>141</v>
      </c>
      <c r="P6" s="71">
        <v>907</v>
      </c>
      <c r="Q6" s="71">
        <v>7168</v>
      </c>
      <c r="R6" s="71">
        <v>5532</v>
      </c>
      <c r="S6" s="71">
        <v>5775</v>
      </c>
      <c r="T6" s="71">
        <v>3861</v>
      </c>
      <c r="U6" s="71">
        <v>0</v>
      </c>
      <c r="V6" s="71">
        <v>1196</v>
      </c>
      <c r="W6" s="71">
        <v>0</v>
      </c>
      <c r="X6" s="71">
        <v>5654</v>
      </c>
      <c r="Y6" s="71">
        <v>4760</v>
      </c>
      <c r="Z6" s="71">
        <v>2170</v>
      </c>
      <c r="AA6" s="71">
        <v>1299</v>
      </c>
      <c r="AB6" s="71">
        <v>2364</v>
      </c>
      <c r="AC6" s="71">
        <v>3834</v>
      </c>
      <c r="AD6" s="71">
        <v>2384</v>
      </c>
      <c r="AE6" s="71">
        <v>5673</v>
      </c>
    </row>
    <row r="7" spans="1:99" s="72" customFormat="1" ht="22.2" ph="1">
      <c r="B7" s="238" ph="1"/>
      <c r="C7" s="68" t="s" ph="1">
        <v>178</v>
      </c>
      <c r="D7" s="73" ph="1">
        <f>D6*33.183*LOOKUP(D8,密度!$A$2:$A$50,密度!$Q$2:$Q$50)</f>
        <v>222144.32153502002</v>
      </c>
      <c r="E7" s="73" ph="1">
        <f>E6*51.53*LOOKUP(E8,密度!$A$2:$A$50,密度!$B$2:$B$50)</f>
        <v>143657.88988800001</v>
      </c>
      <c r="F7" s="73" ph="1">
        <f>F6*33.183*LOOKUP(F8,密度!$A$2:$A$50,密度!$C$2:$C$50)</f>
        <v>218461.5845919</v>
      </c>
      <c r="G7" s="73" ph="1">
        <f xml:space="preserve"> (G6+2)*51.53*LOOKUP(G8,密度!$A$2:$A$50,密度!$B$2:$B$50)</f>
        <v>126825.49171599999</v>
      </c>
      <c r="H7" s="73" ph="1">
        <f>(H6)*51.53*LOOKUP(H8,密度!$A$2:$A$50,密度!$B$2:$B$50)</f>
        <v>53247.747396999992</v>
      </c>
      <c r="I7" s="73" ph="1">
        <f>I6*290.8*1.0267</f>
        <v>5236.818874399999</v>
      </c>
      <c r="J7" s="73" ph="1">
        <f>J6*290.8*0.7892</f>
        <v>17554.406046399999</v>
      </c>
      <c r="K7" s="73" ph="1">
        <f>K6*290.8*1.1126</f>
        <v>16164.262236800001</v>
      </c>
      <c r="L7" s="73" ph="1">
        <f>L6*290.8*0.777</f>
        <v>1556.8065240000001</v>
      </c>
      <c r="M7" s="73" ph="1">
        <f>M6*33.183*LOOKUP(M8,密度!$A$2:$A$50,密度!$D$2:$D$50)</f>
        <v>144588.77700840001</v>
      </c>
      <c r="N7" s="73" ph="1">
        <f>N6*33.183*LOOKUP(N8,密度!$A$2:$A$50,密度!$E$2:$E$50)</f>
        <v>68047.256514599998</v>
      </c>
      <c r="O7" s="73" ph="1">
        <f>O6*20.428*LOOKUP(O8,密度!$A$2:$A$50,密度!$C$2:$C$50)</f>
        <v>3200.3546627999999</v>
      </c>
      <c r="P7" s="73" ph="1">
        <f>P6*51.53*LOOKUP(P8,密度!$A$2:$A$50,密度!$B$2:$B$50)</f>
        <v>36478.782654999995</v>
      </c>
      <c r="Q7" s="73" ph="1">
        <f>Q6*1.5*1.5*3.1416*LOOKUP(W8,密度!$A$2:$A$50,密度!$L$2:$L$50)</f>
        <v>47526.325862399994</v>
      </c>
      <c r="R7" s="73" ph="1">
        <f>R6*1.5*1.5*3.1416*LOOKUP(R8,密度!$A$2:$A$50,密度!$L$2:$L$50)</f>
        <v>36366.250536</v>
      </c>
      <c r="S7" s="73" ph="1">
        <f>S6*1.5*1.5*3.1416*LOOKUP(S8,密度!$A$2:$A$50,密度!$L$2:$L$50)</f>
        <v>38249.431605000005</v>
      </c>
      <c r="T7" s="73" ph="1">
        <f>T6*1.5*1.5*3.1416*LOOKUP(T8,密度!$A$2:$A$50,密度!$L$2:$L$50)</f>
        <v>25708.9364532</v>
      </c>
      <c r="U7" s="73" ph="1">
        <f>U6*1.5*1.5*3.1416*LOOKUP(U8,密度!$A$2:$A$50,密度!$L$2:$L$50)</f>
        <v>0</v>
      </c>
      <c r="V7" s="73" ph="1">
        <f>V6*1.5*1.5*3.1416*LOOKUP(V8,密度!$A$2:$A$50,密度!$L$2:$L$50)</f>
        <v>7921.4407271999999</v>
      </c>
      <c r="W7" s="73" ph="1">
        <f>W6*1.5*1.5*3.1416*LOOKUP(W8,密度!$A$2:$A$50,密度!$L$2:$L$50)</f>
        <v>0</v>
      </c>
      <c r="X7" s="73" ph="1">
        <f>X6*1.5*1.5*3.1416*LOOKUP(X8,密度!$A$2:$A$50,密度!$L$2:$L$50)</f>
        <v>37847.673586799996</v>
      </c>
      <c r="Y7" s="73" ph="1">
        <f>Y6*1.5*1.5*3.1416*LOOKUP(Y8,密度!$A$2:$A$50,密度!$L$2:$L$50)</f>
        <v>31526.804232000002</v>
      </c>
      <c r="Z7" s="73" ph="1">
        <f>Z6*33.183*LOOKUP(Z8,密度!$A$2:$A$50,密度!$L$2:$L$50)</f>
        <v>67110.626520000005</v>
      </c>
      <c r="AA7" s="73" ph="1">
        <f>AA6*33.183*LOOKUP(AA8,密度!$A$2:$A$50,密度!$D$2:$D$50)</f>
        <v>44255.612943899992</v>
      </c>
      <c r="AB7" s="73" ph="1">
        <f>AB6*20.428*LOOKUP(AB8,密度!$A$2:$A$50,密度!$D$2:$D$50)</f>
        <v>49672.937251199997</v>
      </c>
      <c r="AC7" s="73" ph="1">
        <f>AC6*51.53*LOOKUP(AC8,密度!$A$2:$A$50,密度!$Q$2:$Q$50)</f>
        <v>187043.65377480001</v>
      </c>
      <c r="AD7" s="73" ph="1">
        <f>AD6*20.428*LOOKUP(AD8,密度!$A$2:$A$50,密度!$V$2:$V$50)</f>
        <v>46635.4570752</v>
      </c>
      <c r="AE7" s="73" ph="1">
        <f>AE6*20.428</f>
        <v>115888.04400000001</v>
      </c>
    </row>
    <row r="8" spans="1:99" ph="1">
      <c r="B8" s="238" ph="1"/>
      <c r="C8" s="68" t="s" ph="1">
        <v>179</v>
      </c>
      <c r="D8" s="74">
        <v>28</v>
      </c>
      <c r="E8" s="74">
        <v>25</v>
      </c>
      <c r="F8" s="74">
        <v>25</v>
      </c>
      <c r="G8" s="74">
        <v>25</v>
      </c>
      <c r="H8" s="74">
        <v>26</v>
      </c>
      <c r="I8" s="74">
        <v>25</v>
      </c>
      <c r="J8" s="74">
        <v>25</v>
      </c>
      <c r="K8" s="74">
        <v>25</v>
      </c>
      <c r="L8" s="74">
        <v>25</v>
      </c>
      <c r="M8" s="74">
        <v>25</v>
      </c>
      <c r="N8" s="74">
        <v>26</v>
      </c>
      <c r="O8" s="74">
        <v>22</v>
      </c>
      <c r="P8" s="74">
        <v>24</v>
      </c>
      <c r="Q8" s="74">
        <v>28</v>
      </c>
      <c r="R8" s="74">
        <v>32</v>
      </c>
      <c r="S8" s="74">
        <v>25</v>
      </c>
      <c r="T8" s="74">
        <v>20</v>
      </c>
      <c r="U8" s="74">
        <v>24</v>
      </c>
      <c r="V8" s="74">
        <v>25</v>
      </c>
      <c r="W8" s="74">
        <v>24</v>
      </c>
      <c r="X8" s="74">
        <v>15</v>
      </c>
      <c r="Y8" s="74">
        <v>25</v>
      </c>
      <c r="Z8" s="74">
        <v>30</v>
      </c>
      <c r="AA8" s="74">
        <v>25</v>
      </c>
      <c r="AB8" s="74">
        <v>23</v>
      </c>
      <c r="AC8" s="74">
        <v>25</v>
      </c>
      <c r="AD8" s="74">
        <v>26</v>
      </c>
      <c r="AE8" s="74">
        <v>27</v>
      </c>
    </row>
    <row r="9" spans="1:99" ht="26.4" ph="1">
      <c r="B9" s="238" ph="1">
        <v>0.66666666666666663</v>
      </c>
      <c r="C9" s="160" t="s" ph="1">
        <v>180</v>
      </c>
      <c r="D9" s="71">
        <v>7084</v>
      </c>
      <c r="E9" s="71">
        <v>3573</v>
      </c>
      <c r="F9" s="71">
        <v>5937</v>
      </c>
      <c r="G9" s="71">
        <v>2892</v>
      </c>
      <c r="H9" s="71">
        <v>1327</v>
      </c>
      <c r="I9" s="71">
        <v>17.54</v>
      </c>
      <c r="J9" s="71">
        <v>76.5</v>
      </c>
      <c r="K9" s="71">
        <v>13.92</v>
      </c>
      <c r="L9" s="71">
        <v>82.02</v>
      </c>
      <c r="M9" s="71">
        <v>4094</v>
      </c>
      <c r="N9" s="71">
        <v>2572</v>
      </c>
      <c r="O9" s="71">
        <v>1026</v>
      </c>
      <c r="P9" s="71">
        <v>769</v>
      </c>
      <c r="Q9" s="71">
        <v>7168</v>
      </c>
      <c r="R9" s="71">
        <v>5532</v>
      </c>
      <c r="S9" s="71">
        <v>5777</v>
      </c>
      <c r="T9" s="71">
        <v>5662</v>
      </c>
      <c r="U9" s="71">
        <v>2704</v>
      </c>
      <c r="V9" s="71">
        <v>2779</v>
      </c>
      <c r="W9" s="71">
        <v>0</v>
      </c>
      <c r="X9" s="71">
        <v>1523</v>
      </c>
      <c r="Y9" s="71">
        <v>1759</v>
      </c>
      <c r="Z9" s="71">
        <v>3059</v>
      </c>
      <c r="AA9" s="71">
        <v>1301</v>
      </c>
      <c r="AB9" s="71">
        <v>2267</v>
      </c>
      <c r="AC9" s="71">
        <v>4119</v>
      </c>
      <c r="AD9" s="71">
        <v>2383</v>
      </c>
      <c r="AE9" s="71">
        <v>5670</v>
      </c>
    </row>
    <row r="10" spans="1:99" s="72" customFormat="1" ht="22.2" ph="1">
      <c r="B10" s="238" ph="1"/>
      <c r="C10" s="160" t="s" ph="1">
        <v>178</v>
      </c>
      <c r="D10" s="73" ph="1">
        <f>D9*33.183*LOOKUP(D11,密度!$A$2:$A$50,密度!$Q$2:$Q$50)</f>
        <v>222050.28555864</v>
      </c>
      <c r="E10" s="73" ph="1">
        <f>E9*51.53*LOOKUP(E11,密度!$A$2:$A$50,密度!$B$2:$B$50)</f>
        <v>143537.37152399999</v>
      </c>
      <c r="F10" s="73" ph="1">
        <f>F9*33.183*LOOKUP(F11,密度!$A$2:$A$50,密度!$C$2:$C$50)</f>
        <v>218461.5845919</v>
      </c>
      <c r="G10" s="73" ph="1">
        <f xml:space="preserve"> (G9+2)*51.53*LOOKUP(G11,密度!$A$2:$A$50,密度!$B$2:$B$50)</f>
        <v>116125.833434</v>
      </c>
      <c r="H10" s="73" ph="1">
        <f>(H9)*51.53*LOOKUP(H11,密度!$A$2:$A$50,密度!$B$2:$B$50)</f>
        <v>53370.831954999994</v>
      </c>
      <c r="I10" s="73" ph="1">
        <f>I9*290.8*1.0267</f>
        <v>5236.818874399999</v>
      </c>
      <c r="J10" s="73" ph="1">
        <f>J9*290.8*0.7892</f>
        <v>17556.70104</v>
      </c>
      <c r="K10" s="73" ph="1">
        <f>K9*290.8*1.1126</f>
        <v>4503.7335935999999</v>
      </c>
      <c r="L10" s="73" ph="1">
        <f>L9*290.8*0.777</f>
        <v>18532.550232000001</v>
      </c>
      <c r="M10" s="73" ph="1">
        <f>M9*33.183*LOOKUP(M11,密度!$A$2:$A$50,密度!$D$2:$D$50)</f>
        <v>139356.1630116</v>
      </c>
      <c r="N10" s="73" ph="1">
        <f>N9*33.183*LOOKUP(N11,密度!$A$2:$A$50,密度!$E$2:$E$50)</f>
        <v>66553.337944800005</v>
      </c>
      <c r="O10" s="73" ph="1">
        <f>O9*20.428*LOOKUP(O11,密度!$A$2:$A$50,密度!$C$2:$C$50)</f>
        <v>23193.371044800002</v>
      </c>
      <c r="P10" s="73" ph="1">
        <f>P9*51.53*LOOKUP(P11,密度!$A$2:$A$50,密度!$B$2:$B$50)</f>
        <v>30964.201797999998</v>
      </c>
      <c r="Q10" s="73" ph="1">
        <f>Q9*1.5*1.5*3.1416*LOOKUP(W11,密度!$A$2:$A$50,密度!$L$2:$L$50)</f>
        <v>47475.658137599996</v>
      </c>
      <c r="R10" s="73" ph="1">
        <f>R9*1.5*1.5*3.1416*LOOKUP(R11,密度!$A$2:$A$50,密度!$L$2:$L$50)</f>
        <v>36366.250536</v>
      </c>
      <c r="S10" s="73" ph="1">
        <f>S9*1.5*1.5*3.1416*LOOKUP(S11,密度!$A$2:$A$50,密度!$L$2:$L$50)</f>
        <v>38181.007556999997</v>
      </c>
      <c r="T10" s="73" ph="1">
        <f>T9*1.5*1.5*3.1416*LOOKUP(T11,密度!$A$2:$A$50,密度!$L$2:$L$50)</f>
        <v>37701.1132344</v>
      </c>
      <c r="U10" s="73" ph="1">
        <f>U9*1.5*1.5*3.1416*LOOKUP(U11,密度!$A$2:$A$50,密度!$L$2:$L$50)</f>
        <v>17928.457747199998</v>
      </c>
      <c r="V10" s="73" ph="1">
        <f>V9*1.5*1.5*3.1416*LOOKUP(V11,密度!$A$2:$A$50,密度!$L$2:$L$50)</f>
        <v>18366.802839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10141.080087599999</v>
      </c>
      <c r="Y10" s="73" ph="1">
        <f>Y9*1.5*1.5*3.1416*LOOKUP(Y11,密度!$A$2:$A$50,密度!$L$2:$L$50)</f>
        <v>11625.479019</v>
      </c>
      <c r="Z10" s="73" ph="1">
        <f>Z9*33.183*LOOKUP(Z11,密度!$A$2:$A$50,密度!$L$2:$L$50)</f>
        <v>95517.895977000007</v>
      </c>
      <c r="AA10" s="73" ph="1">
        <f>AA9*33.183*LOOKUP(AA11,密度!$A$2:$A$50,密度!$D$2:$D$50)</f>
        <v>44284.896941400002</v>
      </c>
      <c r="AB10" s="73" ph="1">
        <f>AB9*20.428*LOOKUP(AB11,密度!$A$2:$A$50,密度!$D$2:$D$50)</f>
        <v>47801.466887200004</v>
      </c>
      <c r="AC10" s="73" ph="1">
        <f>AC9*51.53*LOOKUP(AC11,密度!$A$2:$A$50,密度!$Q$2:$Q$50)</f>
        <v>200796.8257821</v>
      </c>
      <c r="AD10" s="73" ph="1">
        <f>AD9*20.428*LOOKUP(AD11,密度!$A$2:$A$50,密度!$V$2:$V$50)</f>
        <v>46771.670979199997</v>
      </c>
      <c r="AE10" s="73" ph="1">
        <f>AE9*20.428</f>
        <v>115826.76000000001</v>
      </c>
    </row>
    <row r="11" spans="1:99" ph="1">
      <c r="A11" s="64" t="s" ph="1">
        <v>162</v>
      </c>
      <c r="B11" s="238" ph="1"/>
      <c r="C11" s="160" t="s" ph="1">
        <v>179</v>
      </c>
      <c r="D11" s="74">
        <v>28</v>
      </c>
      <c r="E11" s="74">
        <v>25</v>
      </c>
      <c r="F11" s="74">
        <v>25</v>
      </c>
      <c r="G11" s="74">
        <v>26</v>
      </c>
      <c r="H11" s="74">
        <v>24</v>
      </c>
      <c r="I11" s="74">
        <v>25</v>
      </c>
      <c r="J11" s="74">
        <v>25</v>
      </c>
      <c r="K11" s="74">
        <v>25</v>
      </c>
      <c r="L11" s="74">
        <v>25</v>
      </c>
      <c r="M11" s="74">
        <v>26</v>
      </c>
      <c r="N11" s="74">
        <v>28</v>
      </c>
      <c r="O11" s="74">
        <v>28</v>
      </c>
      <c r="P11" s="74">
        <v>23</v>
      </c>
      <c r="Q11" s="74">
        <v>28</v>
      </c>
      <c r="R11" s="74">
        <v>32</v>
      </c>
      <c r="S11" s="74">
        <v>27</v>
      </c>
      <c r="T11" s="74">
        <v>20</v>
      </c>
      <c r="U11" s="74">
        <v>24</v>
      </c>
      <c r="V11" s="74">
        <v>27</v>
      </c>
      <c r="W11" s="74">
        <v>25</v>
      </c>
      <c r="X11" s="74">
        <v>20</v>
      </c>
      <c r="Y11" s="74">
        <v>27</v>
      </c>
      <c r="Z11" s="74">
        <v>21</v>
      </c>
      <c r="AA11" s="74">
        <v>26</v>
      </c>
      <c r="AB11" s="74">
        <v>19</v>
      </c>
      <c r="AC11" s="74">
        <v>26</v>
      </c>
      <c r="AD11" s="74">
        <v>23</v>
      </c>
      <c r="AE11" s="74">
        <v>27</v>
      </c>
    </row>
    <row r="12" spans="1:99" ht="9.9" customHeight="1" ph="1"/>
    <row r="13" spans="1:99" s="72" customFormat="1" ht="29.25" customHeight="1" ph="1">
      <c r="B13" s="215" t="s" ph="1">
        <v>37</v>
      </c>
      <c r="C13" s="160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6" ph="1"/>
      <c r="C14" s="67" t="s" ph="1">
        <v>36</v>
      </c>
      <c r="D14" s="77" t="s" ph="1">
        <v>616</v>
      </c>
      <c r="E14" s="77" t="s" ph="1">
        <v>616</v>
      </c>
      <c r="F14" s="77" t="s" ph="1">
        <v>647</v>
      </c>
      <c r="G14" s="77" t="s" ph="1">
        <v>617</v>
      </c>
      <c r="H14" s="77" t="s" ph="1">
        <v>637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638</v>
      </c>
      <c r="P14" s="77" t="s" ph="1">
        <v>622</v>
      </c>
      <c r="Q14" s="77" t="s" ph="1">
        <v>622</v>
      </c>
      <c r="R14" s="88" t="s" ph="1">
        <v>7</v>
      </c>
      <c r="S14" s="77" t="s" ph="1">
        <v>622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17" ph="1">
        <v>0.33333333333333331</v>
      </c>
      <c r="C15" s="160" t="s" ph="1">
        <v>177</v>
      </c>
      <c r="D15" s="78">
        <v>2423</v>
      </c>
      <c r="E15" s="78">
        <v>1073</v>
      </c>
      <c r="F15" s="78">
        <v>4570</v>
      </c>
      <c r="G15" s="78">
        <v>2388</v>
      </c>
      <c r="H15" s="78">
        <v>4349</v>
      </c>
      <c r="I15" s="78">
        <v>3217</v>
      </c>
      <c r="J15" s="78">
        <v>1126</v>
      </c>
      <c r="K15" s="78">
        <v>3651</v>
      </c>
      <c r="L15" s="78">
        <v>7197</v>
      </c>
      <c r="M15" s="78">
        <v>1861</v>
      </c>
      <c r="N15" s="78">
        <v>2389</v>
      </c>
      <c r="O15" s="78">
        <v>4613</v>
      </c>
      <c r="P15" s="78">
        <v>4432</v>
      </c>
      <c r="Q15" s="78">
        <v>2249</v>
      </c>
      <c r="R15" s="78">
        <v>0</v>
      </c>
      <c r="S15" s="78">
        <v>190</v>
      </c>
      <c r="T15" s="78">
        <v>460</v>
      </c>
      <c r="U15" s="78">
        <v>1813</v>
      </c>
      <c r="V15" s="78">
        <v>788</v>
      </c>
      <c r="W15" s="71">
        <v>-151</v>
      </c>
      <c r="X15" s="78">
        <v>860</v>
      </c>
      <c r="Y15" s="106">
        <v>-9907</v>
      </c>
      <c r="Z15" s="78">
        <v>0</v>
      </c>
      <c r="AA15" s="78">
        <v>2474</v>
      </c>
      <c r="AB15" s="78" ph="1">
        <v>0</v>
      </c>
      <c r="AC15" s="78" ph="1">
        <v>24</v>
      </c>
      <c r="AD15" s="78">
        <v>5.45</v>
      </c>
      <c r="AE15" s="78">
        <v>36.1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18" ph="1"/>
      <c r="C16" s="160" t="s" ph="1">
        <v>178</v>
      </c>
      <c r="D16" s="73" ph="1">
        <f>D15*7.0686*LOOKUP(D17,密度!$A$2:$A$50,密度!$L$2:$L$50)</f>
        <v>16048.2030786</v>
      </c>
      <c r="E16" s="73" ph="1">
        <f>E15*7.0686*LOOKUP(E17,密度!$A$2:$A$50,密度!$L$2:$L$50)</f>
        <v>7106.7775086000001</v>
      </c>
      <c r="F16" s="73" ph="1">
        <f>F15*9.0746*LOOKUP(F17,密度!$A$2:$A$50,密度!$L$2:$L$50)</f>
        <v>38858.253914000001</v>
      </c>
      <c r="G16" s="73" ph="1">
        <f>G15*9.0746*LOOKUP(G17,密度!$A$2:$A$50,密度!$B$2:$B$50)</f>
        <v>16952.554277040002</v>
      </c>
      <c r="H16" s="73" ph="1">
        <f>H15*9.0746*LOOKUP(H17,密度!$A$2:$A$50,密度!$L$2:$L$50)</f>
        <v>36979.112969800008</v>
      </c>
      <c r="I16" s="73" ph="1">
        <f>I15*9.0746*LOOKUP(I17,密度!$A$2:$A$50,密度!$U$2:$U$50)</f>
        <v>30010.3918696</v>
      </c>
      <c r="J16" s="73" ph="1">
        <f>J15*9.0746*LOOKUP(J17,密度!$A$2:$A$50,密度!$L$2:$L$50)</f>
        <v>9564.047625600002</v>
      </c>
      <c r="K16" s="73" ph="1">
        <f>K15*9.0746*LOOKUP(K17,密度!$A$2:$A$50,密度!$C$2:$C$50)</f>
        <v>36739.370204940002</v>
      </c>
      <c r="L16" s="73" ph="1">
        <f>L15*9.0746*LOOKUP(L17,密度!$A$2:$A$50,密度!$E$2:$E$50)</f>
        <v>51150.710703840006</v>
      </c>
      <c r="M16" s="73" ph="1">
        <f>M15*9.0746*LOOKUP(M17,密度!$A$2:$A$50,密度!$M$2:$M$50)</f>
        <v>14778.54055806</v>
      </c>
      <c r="N16" s="73" ph="1">
        <f>N15*9.0746*LOOKUP(N17,密度!$A$2:$A$50,密度!$M$2:$M$50)</f>
        <v>18904.279316800003</v>
      </c>
      <c r="O16" s="73" ph="1">
        <f>O15*9.0746*LOOKUP(O17,密度!$A$2:$A$50,密度!$G$2:$G$50)</f>
        <v>40195.056833960007</v>
      </c>
      <c r="P16" s="73" ph="1">
        <f ca="1">P15*9.0746*LOOKUP(P17,密度!$A$2:$A$51,密度!$Q$2:$Q$50)</f>
        <v>38076.583115328001</v>
      </c>
      <c r="Q16" s="73" ph="1">
        <f>Q15*9.0746*LOOKUP(Q17,密度!$A$2:$A$50,密度!$Q$2:$Q$50)</f>
        <v>19321.804022196004</v>
      </c>
      <c r="R16" s="73" ph="1">
        <f>MAX(R15*9.0746*LOOKUP(R17,密度!$A$2:$A$50,密度!$B$2:$B$50),0)</f>
        <v>0</v>
      </c>
      <c r="S16" s="73" ph="1">
        <f>S15*9.0746*LOOKUP(S17,密度!$A$2:$A$50,密度!$Q$2:$Q$50)</f>
        <v>1632.3444927600001</v>
      </c>
      <c r="T16" s="73" ph="1">
        <f>T15*9.0746*LOOKUP(T17,密度!$A$2:$A$50,密度!$O$2:$O$50)</f>
        <v>3882.1138799999999</v>
      </c>
      <c r="U16" s="73" ph="1">
        <f>U15*9.0746*LOOKUP(U17,密度!$A$2:$A$50,密度!$H$2:$H$50)</f>
        <v>14939.958998384001</v>
      </c>
      <c r="V16" s="73" ph="1">
        <f>MAX(5600*LOOKUP(V17,密度!$A$2:$A$50,密度!$Q$2:$Q$50)+V15*9.0476*LOOKUP(V17,密度!$A$2:$A$50,密度!$Q$2:$Q$50),0)</f>
        <v>12033.459258816001</v>
      </c>
      <c r="W16" s="73" ph="1">
        <f>MAX(5600*LOOKUP(W17,密度!$A$2:$A$50,密度!$Q$2:$Q$50)+W15*9.0476*LOOKUP(W17,密度!$A$2:$A$50,密度!$Q$2:$Q$50),0)</f>
        <v>3993.8822512920001</v>
      </c>
      <c r="X16" s="73" ph="1">
        <f>MAX(5600*LOOKUP(X17,密度!$A$2:$A$50,密度!$I$2:$I$50)+X15*9.0476*LOOKUP(X17,密度!$A$2:$A$50,密度!$I$2:$I$50),0)</f>
        <v>13872.0163512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17522.6623922</v>
      </c>
      <c r="AB16" s="73" ph="1">
        <f>AB15*9.0746*LOOKUP(AB17,密度!$A$2:$A$50,密度!$L$2:$L$50)</f>
        <v>0</v>
      </c>
      <c r="AC16" s="73" ph="1">
        <f>AC15*9.0746*LOOKUP(AC17,密度!$A$2:$A$50,密度!$L$2:$L$50)</f>
        <v>204.28739519999999</v>
      </c>
      <c r="AD16" s="73" ph="1">
        <f>AD15*268.68*LOOKUP(AD17,密度!$A$2:$A$50,密度!B2:B50)+IF(AD15&lt;=0,0,1566*LOOKUP(AD17,密度!$A$2:$A$50,密度!B2:B50))</f>
        <v>2362.4265575999998</v>
      </c>
      <c r="AE16" s="73" ph="1">
        <f>AE15*268.68*LOOKUP(AE17,密度!$A$2:$A$50,密度!B2:B50)+IF(AE15&lt;=0,0,1566*LOOKUP(AE17,密度!$A$2:$A$50,密度!B2:B50))</f>
        <v>8782.4653007999987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19" ph="1"/>
      <c r="C17" s="79" t="s" ph="1">
        <v>179</v>
      </c>
      <c r="D17" s="74">
        <v>25</v>
      </c>
      <c r="E17" s="74">
        <v>25</v>
      </c>
      <c r="F17" s="74">
        <v>25</v>
      </c>
      <c r="G17" s="74">
        <v>22</v>
      </c>
      <c r="H17" s="74">
        <v>25</v>
      </c>
      <c r="I17" s="74">
        <v>21</v>
      </c>
      <c r="J17" s="74">
        <v>26</v>
      </c>
      <c r="K17" s="74">
        <v>25</v>
      </c>
      <c r="L17" s="74">
        <v>25</v>
      </c>
      <c r="M17" s="74">
        <v>25</v>
      </c>
      <c r="N17" s="74">
        <v>28</v>
      </c>
      <c r="O17" s="74">
        <v>25</v>
      </c>
      <c r="P17" s="74">
        <v>25</v>
      </c>
      <c r="Q17" s="74">
        <v>25</v>
      </c>
      <c r="R17" s="74">
        <v>25</v>
      </c>
      <c r="S17" s="74">
        <v>25</v>
      </c>
      <c r="T17" s="74">
        <v>24</v>
      </c>
      <c r="U17" s="74">
        <v>32</v>
      </c>
      <c r="V17" s="74">
        <v>27</v>
      </c>
      <c r="W17" s="74">
        <v>30</v>
      </c>
      <c r="X17" s="74">
        <v>30</v>
      </c>
      <c r="Y17" s="108">
        <v>24</v>
      </c>
      <c r="Z17" s="74">
        <v>25</v>
      </c>
      <c r="AA17" s="74">
        <v>24</v>
      </c>
      <c r="AB17" s="74">
        <v>23</v>
      </c>
      <c r="AC17" s="74">
        <v>24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17" ph="1">
        <v>0.66666666666666663</v>
      </c>
      <c r="C18" s="79" t="s" ph="1">
        <v>180</v>
      </c>
      <c r="D18" s="71">
        <v>3444</v>
      </c>
      <c r="E18" s="71">
        <v>1176</v>
      </c>
      <c r="F18" s="71">
        <v>4568</v>
      </c>
      <c r="G18" s="71">
        <v>2515</v>
      </c>
      <c r="H18" s="71">
        <v>4347</v>
      </c>
      <c r="I18" s="71">
        <v>3217</v>
      </c>
      <c r="J18" s="71">
        <v>1126</v>
      </c>
      <c r="K18" s="71">
        <v>3651</v>
      </c>
      <c r="L18" s="71">
        <v>7194</v>
      </c>
      <c r="M18" s="71">
        <v>4110</v>
      </c>
      <c r="N18" s="71">
        <v>1318</v>
      </c>
      <c r="O18" s="71">
        <v>4612</v>
      </c>
      <c r="P18" s="71">
        <v>3313</v>
      </c>
      <c r="Q18" s="71">
        <v>2248</v>
      </c>
      <c r="R18" s="71">
        <v>0</v>
      </c>
      <c r="S18" s="71">
        <v>189</v>
      </c>
      <c r="T18" s="71">
        <v>459</v>
      </c>
      <c r="U18" s="71">
        <v>1813</v>
      </c>
      <c r="V18" s="71">
        <v>820</v>
      </c>
      <c r="W18" s="71">
        <v>-152</v>
      </c>
      <c r="X18" s="71">
        <v>860</v>
      </c>
      <c r="Y18" s="109">
        <v>-9907</v>
      </c>
      <c r="Z18" s="71">
        <v>0</v>
      </c>
      <c r="AA18" s="71">
        <v>2474</v>
      </c>
      <c r="AB18" s="71">
        <v>0</v>
      </c>
      <c r="AC18" s="71">
        <v>22</v>
      </c>
      <c r="AD18" s="71">
        <v>5.09</v>
      </c>
      <c r="AE18" s="71">
        <v>84.46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18" ph="1"/>
      <c r="C19" s="160" t="s" ph="1">
        <v>178</v>
      </c>
      <c r="D19" s="73" ph="1">
        <f>D18*7.0686*LOOKUP(D20,密度!$A$2:$A$50,密度!$L$2:$L$50)</f>
        <v>22810.570120799999</v>
      </c>
      <c r="E19" s="73" ph="1">
        <f>E18*7.0686*LOOKUP(E20,密度!$A$2:$A$50,密度!$L$2:$L$50)</f>
        <v>7788.9751632000007</v>
      </c>
      <c r="F19" s="73" ph="1">
        <f>F18*9.0746*LOOKUP(F20,密度!$A$2:$A$50,密度!$L$2:$L$50)</f>
        <v>38799.795340800003</v>
      </c>
      <c r="G19" s="73" ph="1">
        <f>G18*9.0746*LOOKUP(G20,密度!$A$2:$A$50,密度!$B$2:$B$50)</f>
        <v>17792.513772399998</v>
      </c>
      <c r="H19" s="73" ph="1">
        <f>H18*9.0746*LOOKUP(H20,密度!$A$2:$A$50,密度!$L$2:$L$50)</f>
        <v>37159.343600400003</v>
      </c>
      <c r="I19" s="73" ph="1">
        <f>I18*9.0746*LOOKUP(I20,密度!$A$2:$A$50,密度!$U$2:$U$50)</f>
        <v>29922.812904999999</v>
      </c>
      <c r="J19" s="73" ph="1">
        <f>J18*9.0746*LOOKUP(J20,密度!$A$2:$A$50,密度!$L$2:$L$50)</f>
        <v>9574.2656252000015</v>
      </c>
      <c r="K19" s="73" ph="1">
        <f>K18*9.0746*LOOKUP(K20,密度!$A$2:$A$50,密度!$C$2:$C$50)</f>
        <v>36739.370204940002</v>
      </c>
      <c r="L19" s="73" ph="1">
        <f>L18*9.0746*LOOKUP(L20,密度!$A$2:$A$50,密度!$E$2:$E$50)</f>
        <v>51129.38902368</v>
      </c>
      <c r="M19" s="73" ph="1">
        <f>M18*9.0746*LOOKUP(M20,密度!$A$2:$A$50,密度!$M$2:$M$50)</f>
        <v>32563.666698599998</v>
      </c>
      <c r="N19" s="73" ph="1">
        <f>N18*9.0746*LOOKUP(N20,密度!$A$2:$A$50,密度!$M$2:$M$50)</f>
        <v>10466.478482279999</v>
      </c>
      <c r="O19" s="73" ph="1">
        <f>O18*9.0746*LOOKUP(O20,密度!$A$2:$A$50,密度!$G$2:$G$50)</f>
        <v>40094.268881600001</v>
      </c>
      <c r="P19" s="73" ph="1">
        <f ca="1">P18*9.0746*LOOKUP(P20,密度!$A$2:$A$51,密度!$Q$2:$Q$50)</f>
        <v>28462.933181651999</v>
      </c>
      <c r="Q19" s="73" ph="1">
        <f>Q18*9.0746*LOOKUP(Q20,密度!$A$2:$A$50,密度!$Q$2:$Q$50)</f>
        <v>19313.212735392</v>
      </c>
      <c r="R19" s="73" ph="1">
        <f>MAX(R18*9.0746*LOOKUP(R20,密度!$A$2:$A$50,密度!$B$2:$B$50),0)</f>
        <v>0</v>
      </c>
      <c r="S19" s="73" ph="1">
        <f>S18*9.0746*LOOKUP(S20,密度!$A$2:$A$50,密度!$Q$2:$Q$50)</f>
        <v>1623.7532059560001</v>
      </c>
      <c r="T19" s="73" ph="1">
        <f>T18*9.0746*LOOKUP(T20,密度!$A$2:$A$50,密度!$O$2:$O$50)</f>
        <v>3857.0135364000002</v>
      </c>
      <c r="U19" s="73" ph="1">
        <f>U18*9.0746*LOOKUP(U20,密度!$A$2:$A$50,密度!$H$2:$H$50)</f>
        <v>15065.325141860001</v>
      </c>
      <c r="V19" s="73" ph="1">
        <f>MAX(5600*LOOKUP(V20,密度!$A$2:$A$50,密度!$Q$2:$Q$50)+V18*9.0476*LOOKUP(V20,密度!$A$2:$A$50,密度!$Q$2:$Q$50),0)</f>
        <v>12307.15133024</v>
      </c>
      <c r="W19" s="73" ph="1">
        <f>MAX(5600*LOOKUP(W20,密度!$A$2:$A$50,密度!$Q$2:$Q$50)+W18*9.0476*LOOKUP(W20,密度!$A$2:$A$50,密度!$Q$2:$Q$50),0)</f>
        <v>3993.7546607360005</v>
      </c>
      <c r="X19" s="73" ph="1">
        <f>MAX(5600*LOOKUP(X20,密度!$A$2:$A$50,密度!$I$2:$I$50)+X18*9.0476*LOOKUP(X20,密度!$A$2:$A$50,密度!$I$2:$I$50),0)</f>
        <v>13886.735380800001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17482.251383480001</v>
      </c>
      <c r="AB19" s="73" ph="1">
        <f>AB18*9.0746*LOOKUP(AB20,密度!$A$2:$A$50,密度!$L$2:$L$50)</f>
        <v>0</v>
      </c>
      <c r="AC19" s="73" ph="1">
        <f>AC18*9.0746*LOOKUP(AC20,密度!$A$2:$A$50,密度!$L$2:$L$50)</f>
        <v>187.06380440000001</v>
      </c>
      <c r="AD19" s="73" ph="1">
        <f>AD18*268.68*LOOKUP(AD20,密度!$A$2:$A$50,密度!B5:B53)+IF(AD18&lt;=0,0,1566*LOOKUP(AD20,密度!$A$2:$A$50,密度!B5:B53))</f>
        <v>2279.3925924</v>
      </c>
      <c r="AE19" s="73" ph="1">
        <f>AE18*268.68*LOOKUP(AE20,密度!$A$2:$A$50,密度!B5:B53)+IF(AE18&lt;=0,0,1566*LOOKUP(AE20,密度!$A$2:$A$50,密度!B5:B53))</f>
        <v>18849.019845599996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18" ph="1"/>
      <c r="C20" s="80" t="s" ph="1">
        <v>179</v>
      </c>
      <c r="D20" s="81">
        <v>25</v>
      </c>
      <c r="E20" s="81">
        <v>25</v>
      </c>
      <c r="F20" s="81">
        <v>26</v>
      </c>
      <c r="G20" s="81">
        <v>25</v>
      </c>
      <c r="H20" s="81">
        <v>20</v>
      </c>
      <c r="I20" s="81">
        <v>25</v>
      </c>
      <c r="J20" s="81">
        <v>25</v>
      </c>
      <c r="K20" s="81">
        <v>25</v>
      </c>
      <c r="L20" s="81">
        <v>25</v>
      </c>
      <c r="M20" s="81">
        <v>27</v>
      </c>
      <c r="N20" s="81">
        <v>25</v>
      </c>
      <c r="O20" s="81">
        <v>27</v>
      </c>
      <c r="P20" s="81">
        <v>25</v>
      </c>
      <c r="Q20" s="81">
        <v>25</v>
      </c>
      <c r="R20" s="81">
        <v>25</v>
      </c>
      <c r="S20" s="81">
        <v>25</v>
      </c>
      <c r="T20" s="81">
        <v>25</v>
      </c>
      <c r="U20" s="81">
        <v>24</v>
      </c>
      <c r="V20" s="81">
        <v>27</v>
      </c>
      <c r="W20" s="81">
        <v>27</v>
      </c>
      <c r="X20" s="81">
        <v>29</v>
      </c>
      <c r="Y20" s="110">
        <v>29</v>
      </c>
      <c r="Z20" s="81">
        <v>25</v>
      </c>
      <c r="AA20" s="81">
        <v>26</v>
      </c>
      <c r="AB20" s="81">
        <v>25</v>
      </c>
      <c r="AC20" s="81">
        <v>25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6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6" t="s" ph="1">
        <v>69</v>
      </c>
      <c r="AA22" s="227"/>
      <c r="AB22" s="227"/>
      <c r="AC22" s="227"/>
      <c r="AD22" s="227"/>
      <c r="AE22" s="228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0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610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229" t="s" ph="1">
        <v>646</v>
      </c>
      <c r="AA23" s="230"/>
      <c r="AB23" s="230"/>
      <c r="AC23" s="230"/>
      <c r="AD23" s="230"/>
      <c r="AE23" s="231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38" ph="1">
        <v>0.33333333333333331</v>
      </c>
      <c r="C24" s="160" t="s" ph="1">
        <v>177</v>
      </c>
      <c r="D24" s="71">
        <v>3.68</v>
      </c>
      <c r="E24" s="71">
        <v>5.61</v>
      </c>
      <c r="F24" s="71">
        <v>0</v>
      </c>
      <c r="G24" s="71">
        <v>3192</v>
      </c>
      <c r="H24" s="71">
        <v>3199</v>
      </c>
      <c r="I24" s="71">
        <v>113</v>
      </c>
      <c r="J24" s="71">
        <v>304</v>
      </c>
      <c r="K24" s="71">
        <v>2539</v>
      </c>
      <c r="L24" s="71">
        <v>302</v>
      </c>
      <c r="M24" s="71">
        <v>326</v>
      </c>
      <c r="N24" s="71">
        <v>4760</v>
      </c>
      <c r="O24" s="71">
        <v>1778</v>
      </c>
      <c r="P24" s="71">
        <v>374</v>
      </c>
      <c r="Q24" s="90">
        <v>943</v>
      </c>
      <c r="R24" s="71">
        <v>290</v>
      </c>
      <c r="S24" s="71">
        <v>2342</v>
      </c>
      <c r="T24" s="71">
        <v>3</v>
      </c>
      <c r="U24" s="71">
        <v>6341</v>
      </c>
      <c r="V24" s="71">
        <v>739</v>
      </c>
      <c r="W24" s="71">
        <v>432</v>
      </c>
      <c r="X24" s="71">
        <v>5044</v>
      </c>
      <c r="Y24" s="71">
        <v>3344</v>
      </c>
      <c r="Z24" s="232"/>
      <c r="AA24" s="233"/>
      <c r="AB24" s="233"/>
      <c r="AC24" s="233"/>
      <c r="AD24" s="233"/>
      <c r="AE24" s="234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38" ph="1"/>
      <c r="C25" s="68" t="s" ph="1">
        <v>178</v>
      </c>
      <c r="D25" s="91" ph="1">
        <f>D24*268.68*LOOKUP(D26,密度!$A$2:$A$50,密度!$Q$2:$Q$50)+IF(D24&lt;=0,0,1566*LOOKUP(D26,密度!$A$2:$A$50,密度!$Q$2:$Q$50))</f>
        <v>2418.6768197760002</v>
      </c>
      <c r="E25" s="91" ph="1">
        <f>E24*268.68*LOOKUP(E26,密度!$A$2:$A$50,密度!$C$2:$C$50)+IF(E24&lt;=0,0,1566*LOOKUP(E26,密度!$A$2:$A$50,密度!$C$2:$C$50))</f>
        <v>3407.9766037199997</v>
      </c>
      <c r="F25" s="91" ph="1">
        <f>F24*11.702*LOOKUP(F26,密度!$A$2:$A$50,密度!$Q$2:$Q$50)</f>
        <v>0</v>
      </c>
      <c r="G25" s="91" ph="1">
        <f>G24*18.322*LOOKUP(G26,密度!$A$2:$A$50,密度!$B$2:$B$50)</f>
        <v>45593.989190399996</v>
      </c>
      <c r="H25" s="91" ph="1">
        <f>H24*18.322*LOOKUP(H26,密度!$A$2:$A$50,密度!$B$2:$B$50)</f>
        <v>45693.976008799997</v>
      </c>
      <c r="I25" s="91" ph="1">
        <f>I24*18.322*LOOKUP(I26,密度!$A$2:$A$50,密度!$Q$2:$Q$50)</f>
        <v>1958.6472675800001</v>
      </c>
      <c r="J25" s="91" ph="1">
        <f>J24*18.322*LOOKUP(J26,密度!$A$2:$A$50,密度!$Q$2:$Q$50)</f>
        <v>5273.23576512</v>
      </c>
      <c r="K25" s="91" ph="1">
        <f>K24*18.322*LOOKUP(K26,密度!$A$2:$A$50,密度!$Q$2:$Q$50)</f>
        <v>44041.926340919999</v>
      </c>
      <c r="L25" s="91" ph="1">
        <f>L24*18.322*LOOKUP(L26,密度!$A$2:$A$50,密度!$Q$2:$Q$50)</f>
        <v>5219.6750625199993</v>
      </c>
      <c r="M25" s="91" ph="1">
        <f>M24*18.322*LOOKUP(M26,密度!$A$2:$A$50,密度!$Q$2:$Q$50)</f>
        <v>5642.1888106400002</v>
      </c>
      <c r="N25" s="91" ph="1">
        <f>N24*18.322*LOOKUP(N26,密度!$A$2:$A$50,密度!$Q$2:$Q$50)</f>
        <v>82382.879566400006</v>
      </c>
      <c r="O25" s="91" ph="1">
        <f>O24*18.322*LOOKUP(O26,密度!$A$2:$A$50,密度!$C$2:$C$50)</f>
        <v>36124.098592399998</v>
      </c>
      <c r="P25" s="91" ph="1">
        <f>P24*11.702*LOOKUP(P26,密度!$A$2:$A$50,密度!$B$2:$B$50)</f>
        <v>3411.9568207999996</v>
      </c>
      <c r="Q25" s="92" ph="1">
        <f>Q24*18.322*LOOKUP(Q26,密度!$A$2:$A$50,密度!$B$2:$B$50)</f>
        <v>13469.652821600001</v>
      </c>
      <c r="R25" s="91" ph="1">
        <f>R24*35.891*LOOKUP(R26,密度!$A$2:$A$50,密度!$C$2:$C$50)</f>
        <v>11533.536959000001</v>
      </c>
      <c r="S25" s="91" ph="1">
        <f>S24*35.891*LOOKUP(S26,密度!$A$2:$A$50,密度!$B$2:$B$50)</f>
        <v>65454.96942139999</v>
      </c>
      <c r="T25" s="91" ph="1">
        <f>T24*35.891*LOOKUP(T26,密度!$A$2:$A$50,密度!$Q$2:$Q$50)</f>
        <v>101.71006926</v>
      </c>
      <c r="U25" s="91" ph="1">
        <f>U24*35.891</f>
        <v>227584.83099999998</v>
      </c>
      <c r="V25" s="91" ph="1">
        <f>V24*47.051*LOOKUP(V26,密度!$A$2:$A$50,密度!$B$2:$B$50)</f>
        <v>27107.229144399997</v>
      </c>
      <c r="W25" s="91" ph="1">
        <f>W24*47.051*LOOKUP(W26,密度!$A$2:$A$50,密度!$B$2:$B$50)</f>
        <v>15793.326864000001</v>
      </c>
      <c r="X25" s="91" ph="1">
        <f>X24*47.051*LOOKUP(X26,密度!$A$2:$A$61,密度!$I$2:$I$61)</f>
        <v>246035.08045479999</v>
      </c>
      <c r="Y25" s="91" ph="1">
        <f>Y24*47.051*LOOKUP(Y26,密度!$A$2:$A$50,密度!$L$2:$L$50)</f>
        <v>146954.20009600002</v>
      </c>
      <c r="Z25" s="232"/>
      <c r="AA25" s="233"/>
      <c r="AB25" s="233"/>
      <c r="AC25" s="233"/>
      <c r="AD25" s="233"/>
      <c r="AE25" s="234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38" ph="1"/>
      <c r="C26" s="68" t="s" ph="1">
        <v>179</v>
      </c>
      <c r="D26" s="74">
        <v>25</v>
      </c>
      <c r="E26" s="74">
        <v>25</v>
      </c>
      <c r="F26" s="74">
        <v>28</v>
      </c>
      <c r="G26" s="74">
        <v>25</v>
      </c>
      <c r="H26" s="74">
        <v>25</v>
      </c>
      <c r="I26" s="74">
        <v>26</v>
      </c>
      <c r="J26" s="74">
        <v>25</v>
      </c>
      <c r="K26" s="74">
        <v>25</v>
      </c>
      <c r="L26" s="74">
        <v>30</v>
      </c>
      <c r="M26" s="74">
        <v>28</v>
      </c>
      <c r="N26" s="74">
        <v>28</v>
      </c>
      <c r="O26" s="74">
        <v>25</v>
      </c>
      <c r="P26" s="74">
        <v>25</v>
      </c>
      <c r="Q26" s="93">
        <v>25</v>
      </c>
      <c r="R26" s="74">
        <v>26</v>
      </c>
      <c r="S26" s="74">
        <v>26</v>
      </c>
      <c r="T26" s="74">
        <v>28</v>
      </c>
      <c r="U26" s="74">
        <v>28</v>
      </c>
      <c r="V26" s="74">
        <v>25</v>
      </c>
      <c r="W26" s="74">
        <v>28</v>
      </c>
      <c r="X26" s="74">
        <v>30</v>
      </c>
      <c r="Y26" s="74">
        <v>28</v>
      </c>
      <c r="Z26" s="232"/>
      <c r="AA26" s="233"/>
      <c r="AB26" s="233"/>
      <c r="AC26" s="233"/>
      <c r="AD26" s="233"/>
      <c r="AE26" s="234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38" ph="1">
        <v>0.66666666666666663</v>
      </c>
      <c r="C27" s="160" t="s" ph="1">
        <v>180</v>
      </c>
      <c r="D27" s="71">
        <v>3.68</v>
      </c>
      <c r="E27" s="71">
        <v>5.6</v>
      </c>
      <c r="F27" s="71">
        <v>0</v>
      </c>
      <c r="G27" s="71">
        <v>2602</v>
      </c>
      <c r="H27" s="71">
        <v>2507</v>
      </c>
      <c r="I27" s="71">
        <v>589</v>
      </c>
      <c r="J27" s="71">
        <v>303</v>
      </c>
      <c r="K27" s="71">
        <v>2538</v>
      </c>
      <c r="L27" s="71">
        <v>300</v>
      </c>
      <c r="M27" s="71">
        <v>325</v>
      </c>
      <c r="N27" s="71">
        <v>4758</v>
      </c>
      <c r="O27" s="71">
        <v>3038</v>
      </c>
      <c r="P27" s="71">
        <v>373</v>
      </c>
      <c r="Q27" s="90">
        <v>1144</v>
      </c>
      <c r="R27" s="71">
        <v>290</v>
      </c>
      <c r="S27" s="71">
        <v>2340</v>
      </c>
      <c r="T27" s="71">
        <v>3</v>
      </c>
      <c r="U27" s="71">
        <v>6326</v>
      </c>
      <c r="V27" s="71">
        <v>737</v>
      </c>
      <c r="W27" s="71">
        <v>431</v>
      </c>
      <c r="X27" s="71">
        <v>4918</v>
      </c>
      <c r="Y27" s="71">
        <v>3342</v>
      </c>
      <c r="Z27" s="232"/>
      <c r="AA27" s="233"/>
      <c r="AB27" s="233"/>
      <c r="AC27" s="233"/>
      <c r="AD27" s="233"/>
      <c r="AE27" s="234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38" ph="1"/>
      <c r="C28" s="160" t="s" ph="1">
        <v>178</v>
      </c>
      <c r="D28" s="91" ph="1">
        <f>D27*268.68*LOOKUP(D29,密度!$A$2:$A$50,密度!$Q$2:$Q$50)+IF(D27&lt;=0,0,1566*LOOKUP(D29,密度!$A$2:$A$50,密度!$Q$2:$Q$50))</f>
        <v>2418.6768197760002</v>
      </c>
      <c r="E28" s="91" ph="1">
        <f>E27*268.68*LOOKUP(E29,密度!$A$2:$A$50,密度!$C$2:$C$50)+IF(E27&lt;=0,0,1566*LOOKUP(E29,密度!$A$2:$A$50,密度!$C$2:$C$50))</f>
        <v>3404.9972111999996</v>
      </c>
      <c r="F28" s="91" ph="1">
        <f>F27*11.702*LOOKUP(F29,密度!$A$2:$A$50,密度!$Q$2:$Q$50)</f>
        <v>0</v>
      </c>
      <c r="G28" s="91" ph="1">
        <f>G27*18.322*LOOKUP(G29,密度!$A$2:$A$50,密度!$B$2:$B$50)</f>
        <v>37166.528782399997</v>
      </c>
      <c r="H28" s="91" ph="1">
        <f>H27*18.322*LOOKUP(H29,密度!$A$2:$A$50,密度!$B$2:$B$50)</f>
        <v>35690.138358000004</v>
      </c>
      <c r="I28" s="91" ph="1">
        <f>I27*18.322*LOOKUP(I29,密度!$A$2:$A$50,密度!$Q$2:$Q$50)</f>
        <v>10216.894294919999</v>
      </c>
      <c r="J28" s="91" ph="1">
        <f>J27*18.322*LOOKUP(J29,密度!$A$2:$A$50,密度!$Q$2:$Q$50)</f>
        <v>5248.00637112</v>
      </c>
      <c r="K28" s="91" ph="1">
        <f>K27*18.322*LOOKUP(K29,密度!$A$2:$A$50,密度!$Q$2:$Q$50)</f>
        <v>43991.564293080002</v>
      </c>
      <c r="L28" s="91" ph="1">
        <f>L27*18.322*LOOKUP(L29,密度!$A$2:$A$50,密度!$Q$2:$Q$50)</f>
        <v>5199.9484979999997</v>
      </c>
      <c r="M28" s="91" ph="1">
        <f>M27*18.322*LOOKUP(M29,密度!$A$2:$A$50,密度!$Q$2:$Q$50)</f>
        <v>5637.505341</v>
      </c>
      <c r="N28" s="91" ph="1">
        <f>N27*18.322*LOOKUP(N29,密度!$A$2:$A$50,密度!$Q$2:$Q$50)</f>
        <v>82533.078192240006</v>
      </c>
      <c r="O28" s="91" ph="1">
        <f>O27*18.322*LOOKUP(O29,密度!$A$2:$A$50,密度!$C$2:$C$50)</f>
        <v>61679.323711600002</v>
      </c>
      <c r="P28" s="91" ph="1">
        <f>P27*11.702*LOOKUP(P29,密度!$A$2:$A$50,密度!$B$2:$B$50)</f>
        <v>3402.8339415999994</v>
      </c>
      <c r="Q28" s="92" ph="1">
        <f>Q27*18.322*LOOKUP(Q29,密度!$A$2:$A$50,密度!$B$2:$B$50)</f>
        <v>16340.702892799998</v>
      </c>
      <c r="R28" s="91" ph="1">
        <f>R27*35.891*LOOKUP(R29,密度!$A$2:$A$50,密度!$C$2:$C$50)</f>
        <v>11541.863670999999</v>
      </c>
      <c r="S28" s="91" ph="1">
        <f>S27*35.891*LOOKUP(S29,密度!$A$2:$A$50,密度!$B$2:$B$50)</f>
        <v>65474.659223999995</v>
      </c>
      <c r="T28" s="91" ph="1">
        <f>T27*35.891*LOOKUP(T29,密度!$A$2:$A$50,密度!$Q$2:$Q$50)</f>
        <v>101.71006926</v>
      </c>
      <c r="U28" s="91" ph="1">
        <f>U27*35.891</f>
        <v>227046.46599999999</v>
      </c>
      <c r="V28" s="91" ph="1">
        <f>V27*47.051*LOOKUP(V29,密度!$A$2:$A$50,密度!$B$2:$B$50)</f>
        <v>26974.917027300002</v>
      </c>
      <c r="W28" s="91" ph="1">
        <f>W27*47.051*LOOKUP(W29,密度!$A$2:$A$50,密度!$B$2:$B$50)</f>
        <v>15756.768237</v>
      </c>
      <c r="X28" s="91" ph="1">
        <f>X27*47.051*LOOKUP(X29,密度!$A$2:$A$61,密度!$I$2:$I$61)</f>
        <v>240143.61772040001</v>
      </c>
      <c r="Y28" s="91" ph="1">
        <f>Y27*47.051*LOOKUP(Y29,密度!$A$2:$A$50,密度!$L$2:$L$50)</f>
        <v>146866.30882800001</v>
      </c>
      <c r="Z28" s="232"/>
      <c r="AA28" s="233"/>
      <c r="AB28" s="233"/>
      <c r="AC28" s="233"/>
      <c r="AD28" s="233"/>
      <c r="AE28" s="234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38" ph="1"/>
      <c r="C29" s="160" t="s" ph="1">
        <v>179</v>
      </c>
      <c r="D29" s="74">
        <v>25</v>
      </c>
      <c r="E29" s="74">
        <v>25</v>
      </c>
      <c r="F29" s="74">
        <v>25</v>
      </c>
      <c r="G29" s="74">
        <v>25</v>
      </c>
      <c r="H29" s="74">
        <v>28</v>
      </c>
      <c r="I29" s="74">
        <v>25</v>
      </c>
      <c r="J29" s="74">
        <v>27</v>
      </c>
      <c r="K29" s="74">
        <v>26</v>
      </c>
      <c r="L29" s="74">
        <v>26</v>
      </c>
      <c r="M29" s="74">
        <v>25</v>
      </c>
      <c r="N29" s="74">
        <v>25</v>
      </c>
      <c r="O29" s="74">
        <v>26</v>
      </c>
      <c r="P29" s="74">
        <v>25</v>
      </c>
      <c r="Q29" s="93">
        <v>25</v>
      </c>
      <c r="R29" s="74">
        <v>25</v>
      </c>
      <c r="S29" s="74">
        <v>25</v>
      </c>
      <c r="T29" s="74">
        <v>28</v>
      </c>
      <c r="U29" s="74">
        <v>27</v>
      </c>
      <c r="V29" s="74">
        <v>27</v>
      </c>
      <c r="W29" s="74">
        <v>28</v>
      </c>
      <c r="X29" s="74">
        <v>29</v>
      </c>
      <c r="Y29" s="74">
        <v>28</v>
      </c>
      <c r="Z29" s="235"/>
      <c r="AA29" s="236"/>
      <c r="AB29" s="236"/>
      <c r="AC29" s="236"/>
      <c r="AD29" s="236"/>
      <c r="AE29" s="237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1" t="s" ph="1">
        <v>35</v>
      </c>
      <c r="C31" s="222" ph="1"/>
      <c r="D31" s="225" t="s" ph="1">
        <v>9</v>
      </c>
      <c r="E31" s="200" ph="1"/>
      <c r="F31" s="201" ph="1"/>
      <c r="G31" s="225" t="s" ph="1">
        <v>18</v>
      </c>
      <c r="H31" s="200" ph="1"/>
      <c r="I31" s="201" ph="1"/>
      <c r="J31" s="199" t="s" ph="1">
        <v>1</v>
      </c>
      <c r="K31" s="200" ph="1"/>
      <c r="L31" s="201" ph="1"/>
      <c r="M31" s="199" t="s" ph="1">
        <v>7</v>
      </c>
      <c r="N31" s="200" ph="1"/>
      <c r="O31" s="201" ph="1"/>
      <c r="P31" s="199" t="s" ph="1">
        <v>41</v>
      </c>
      <c r="Q31" s="200"/>
      <c r="R31" s="201"/>
      <c r="S31" s="199" t="s" ph="1">
        <v>2</v>
      </c>
      <c r="T31" s="200"/>
      <c r="U31" s="201"/>
      <c r="V31" s="199" t="s" ph="1">
        <v>71</v>
      </c>
      <c r="W31" s="200" ph="1"/>
      <c r="X31" s="201" ph="1"/>
      <c r="Y31" s="199" t="s" ph="1">
        <v>3</v>
      </c>
      <c r="Z31" s="200" ph="1"/>
      <c r="AA31" s="201" ph="1"/>
      <c r="AB31" s="202" t="s">
        <v>42</v>
      </c>
      <c r="AC31" s="203"/>
      <c r="AD31" s="203"/>
      <c r="AE31" s="204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3" ph="1"/>
      <c r="C32" s="224" ph="1"/>
      <c r="D32" s="96" t="s" ph="1">
        <v>4</v>
      </c>
      <c r="E32" s="160" t="s" ph="1">
        <v>5</v>
      </c>
      <c r="F32" s="161" t="s" ph="1">
        <v>43</v>
      </c>
      <c r="G32" s="97" t="s" ph="1">
        <v>4</v>
      </c>
      <c r="H32" s="160" t="s" ph="1">
        <v>5</v>
      </c>
      <c r="I32" s="161" t="s" ph="1">
        <v>43</v>
      </c>
      <c r="J32" s="97" t="s" ph="1">
        <v>4</v>
      </c>
      <c r="K32" s="160" t="s" ph="1">
        <v>5</v>
      </c>
      <c r="L32" s="161" t="s" ph="1">
        <v>43</v>
      </c>
      <c r="M32" s="97" t="s" ph="1">
        <v>4</v>
      </c>
      <c r="N32" s="160" t="s" ph="1">
        <v>5</v>
      </c>
      <c r="O32" s="161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60" t="s" ph="1">
        <v>5</v>
      </c>
      <c r="U32" s="99" t="s" ph="1">
        <v>43</v>
      </c>
      <c r="V32" s="97" t="s" ph="1">
        <v>4</v>
      </c>
      <c r="W32" s="160" t="s" ph="1">
        <v>5</v>
      </c>
      <c r="X32" s="99" t="s" ph="1">
        <v>43</v>
      </c>
      <c r="Y32" s="100" t="s" ph="1">
        <v>4</v>
      </c>
      <c r="Z32" s="160" t="s" ph="1">
        <v>5</v>
      </c>
      <c r="AA32" s="161" t="s" ph="1">
        <v>43</v>
      </c>
      <c r="AB32" s="97" t="s" ph="1">
        <v>85</v>
      </c>
      <c r="AC32" s="160" t="s" ph="1">
        <v>84</v>
      </c>
      <c r="AD32" s="205" t="s" ph="1">
        <v>83</v>
      </c>
      <c r="AE32" s="206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7" t="s" ph="1">
        <v>181</v>
      </c>
      <c r="C33" s="208" ph="1"/>
      <c r="D33" s="187" ph="1">
        <f>AA10+AB10+Z19</f>
        <v>92086.363828600006</v>
      </c>
      <c r="E33" s="187" ph="1">
        <f>M10+I10</f>
        <v>144592.98188599999</v>
      </c>
      <c r="F33" s="211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1522252632456786910111213141516171819202123456789101112131415161718192022232424356789101112131415161718192021222345678910111213141516171819202345678910111213149101516171819222123234567891012131415161711181920212224252345678910111213119[[#This Row],[F25]]</f>
        <v>3880</v>
      </c>
      <c r="G33" s="213" ph="1">
        <f>N19</f>
        <v>10466.478482279999</v>
      </c>
      <c r="H33" s="187" ph="1">
        <f>M19</f>
        <v>32563.666698599998</v>
      </c>
      <c r="I33" s="191" ph="1">
        <v>0</v>
      </c>
      <c r="J33" s="195" ph="1">
        <f>F10+O28</f>
        <v>280140.90830349998</v>
      </c>
      <c r="K33" s="187" ph="1">
        <f>O10+K10+E28+R28</f>
        <v>42643.965520600002</v>
      </c>
      <c r="L33" s="197" ph="1">
        <f>K19</f>
        <v>36739.370204940002</v>
      </c>
      <c r="M33" s="195" ph="1">
        <f>G10+H10+W28+S28+V28+E10+R19+P28+Q28</f>
        <v>440983.91823569994</v>
      </c>
      <c r="N33" s="187" ph="1">
        <f>L10+P10++G28+H28+AD19+AE19</f>
        <v>143481.83160840001</v>
      </c>
      <c r="O33" s="191" ph="1">
        <f>G19</f>
        <v>17792.513772399998</v>
      </c>
      <c r="P33" s="195" ph="1">
        <f>L19</f>
        <v>51129.38902368</v>
      </c>
      <c r="Q33" s="187" ph="1">
        <f>J10+N10</f>
        <v>84110.038984800005</v>
      </c>
      <c r="R33" s="191" ph="1">
        <f>BE23</f>
        <v>890</v>
      </c>
      <c r="S33" s="195" ph="1">
        <f>X28</f>
        <v>240143.61772040001</v>
      </c>
      <c r="T33" s="187" ph="1">
        <f>X19</f>
        <v>13886.735380800001</v>
      </c>
      <c r="U33" s="176" ph="1">
        <f>BE21</f>
        <v>730</v>
      </c>
      <c r="V33" s="189" ph="1">
        <f ca="1">P19+Q19+S19+M28+N28+J28+D10+AC10+D19+E19+H19+J19+O19+V19+W19+K28+L28</f>
        <v>748585.44254135608</v>
      </c>
      <c r="W33" s="189" ph="1">
        <f>D28+F28+T28+I28</f>
        <v>12737.281183956</v>
      </c>
      <c r="X33" s="191" ph="1">
        <f>BE29+BE31</f>
        <v>10200</v>
      </c>
      <c r="Y33" s="193" ph="1">
        <f>+Q10+R10+S10+T10+U10+V10+W10+X10+Y10</f>
        <v>217785.8491578</v>
      </c>
      <c r="Z33" s="174" ph="1">
        <f>T19+U19+Y28+Z10</f>
        <v>261306.54348326003</v>
      </c>
      <c r="AA33" s="176" ph="1">
        <f>BE19</f>
        <v>1440</v>
      </c>
      <c r="AB33" s="178" ph="1">
        <f>I19</f>
        <v>29922.812904999999</v>
      </c>
      <c r="AC33" s="180" ph="1">
        <f>AD10+AB19</f>
        <v>46771.670979199997</v>
      </c>
      <c r="AD33" s="182" ph="1">
        <v>0</v>
      </c>
      <c r="AE33" s="183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9" ph="1"/>
      <c r="C34" s="210" ph="1"/>
      <c r="D34" s="188" ph="1"/>
      <c r="E34" s="188" ph="1"/>
      <c r="F34" s="212" ph="1"/>
      <c r="G34" s="214" ph="1"/>
      <c r="H34" s="188" ph="1"/>
      <c r="I34" s="192" ph="1"/>
      <c r="J34" s="196" ph="1"/>
      <c r="K34" s="188" ph="1"/>
      <c r="L34" s="198" ph="1"/>
      <c r="M34" s="196" ph="1"/>
      <c r="N34" s="188" ph="1"/>
      <c r="O34" s="192" ph="1"/>
      <c r="P34" s="196" ph="1"/>
      <c r="Q34" s="188" ph="1"/>
      <c r="R34" s="192" ph="1"/>
      <c r="S34" s="196" ph="1"/>
      <c r="T34" s="188"/>
      <c r="U34" s="177"/>
      <c r="V34" s="190" ph="1"/>
      <c r="W34" s="190" ph="1"/>
      <c r="X34" s="192" ph="1"/>
      <c r="Y34" s="194" ph="1"/>
      <c r="Z34" s="175" ph="1"/>
      <c r="AA34" s="177" ph="1"/>
      <c r="AB34" s="179"/>
      <c r="AC34" s="181"/>
      <c r="AD34" s="184"/>
      <c r="AE34" s="185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6" t="s" ph="1">
        <v>631</v>
      </c>
      <c r="AD35" s="186"/>
      <c r="AE35" s="186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2" t="s" ph="1">
        <v>183</v>
      </c>
      <c r="J36" s="172" ph="1"/>
      <c r="K36" s="101" ph="1"/>
      <c r="P36" s="101" ph="1"/>
      <c r="R36" s="172" t="s" ph="1">
        <v>184</v>
      </c>
      <c r="S36" s="172" ph="1"/>
      <c r="Y36" s="102" ph="1"/>
      <c r="Z36" s="162" t="s" ph="1">
        <v>185</v>
      </c>
      <c r="AA36" s="162" ph="1"/>
      <c r="AB36" s="173" t="s" ph="1">
        <v>643</v>
      </c>
      <c r="AC36" s="173" ph="1"/>
      <c r="AD36" s="173" ph="1"/>
      <c r="AE36" s="173" ph="1"/>
      <c r="BA36" s="64" ph="1">
        <v>2270</v>
      </c>
    </row>
    <row r="37" spans="1:57" s="162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62" t="s" ph="1">
        <v>342</v>
      </c>
      <c r="AI37" s="162" t="s" ph="1">
        <v>209</v>
      </c>
      <c r="AJ37" s="162" t="s" ph="1">
        <v>210</v>
      </c>
      <c r="AK37" s="162" t="s" ph="1">
        <v>211</v>
      </c>
      <c r="AM37" s="162" t="s" ph="1">
        <v>210</v>
      </c>
      <c r="AN37" s="162" t="s" ph="1">
        <v>211</v>
      </c>
      <c r="AO37" s="162" t="s" ph="1">
        <v>212</v>
      </c>
      <c r="AP37" s="162" t="s" ph="1">
        <v>210</v>
      </c>
      <c r="AQ37" s="162" t="s" ph="1">
        <v>211</v>
      </c>
      <c r="AR37" s="162" t="s" ph="1">
        <v>212</v>
      </c>
      <c r="AS37" s="162" t="s" ph="1">
        <v>210</v>
      </c>
      <c r="AT37" s="162" t="s" ph="1">
        <v>211</v>
      </c>
      <c r="AU37" s="162" t="s" ph="1">
        <v>212</v>
      </c>
      <c r="AV37" s="162" t="s" ph="1">
        <v>210</v>
      </c>
      <c r="AW37" s="162" t="s" ph="1">
        <v>211</v>
      </c>
      <c r="AX37" s="162" t="s" ph="1">
        <v>212</v>
      </c>
      <c r="AY37" s="162" t="s" ph="1">
        <v>211</v>
      </c>
      <c r="AZ37" s="162" t="s" ph="1">
        <v>213</v>
      </c>
      <c r="BD37" s="162" t="s" ph="1">
        <v>305</v>
      </c>
      <c r="BE37" s="162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P56" s="64" ph="1">
        <v>20260804</v>
      </c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N33:N34"/>
    <mergeCell ref="O33:O34"/>
    <mergeCell ref="P33:P34"/>
    <mergeCell ref="Q33:Q34"/>
    <mergeCell ref="R33:R34"/>
    <mergeCell ref="S33:S34"/>
    <mergeCell ref="H33:H34"/>
    <mergeCell ref="I33:I34"/>
    <mergeCell ref="J33:J34"/>
    <mergeCell ref="K33:K34"/>
    <mergeCell ref="L33:L34"/>
    <mergeCell ref="M33:M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B31:C32"/>
    <mergeCell ref="D31:F31"/>
    <mergeCell ref="G31:I31"/>
    <mergeCell ref="J31:L31"/>
    <mergeCell ref="M31:O31"/>
    <mergeCell ref="P31:R31"/>
    <mergeCell ref="B13:B14"/>
    <mergeCell ref="B15:B17"/>
    <mergeCell ref="B18:B20"/>
    <mergeCell ref="B22:B23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797" priority="103">
      <formula>ABS(D$7-D$10)&gt;=1000</formula>
    </cfRule>
  </conditionalFormatting>
  <conditionalFormatting sqref="E4 E6:E11">
    <cfRule type="expression" dxfId="796" priority="102">
      <formula>ABS(E$7-E$10)&gt;=1000</formula>
    </cfRule>
  </conditionalFormatting>
  <conditionalFormatting sqref="F4:F11">
    <cfRule type="expression" dxfId="795" priority="101">
      <formula>ABS(F$7-F$10)&gt;=1000</formula>
    </cfRule>
  </conditionalFormatting>
  <conditionalFormatting sqref="G4:G11">
    <cfRule type="expression" dxfId="794" priority="100">
      <formula>ABS(G$7-G$10)&gt;=1000</formula>
    </cfRule>
  </conditionalFormatting>
  <conditionalFormatting sqref="H4:H11">
    <cfRule type="expression" dxfId="793" priority="99">
      <formula>ABS(H$7-H$10)&gt;=1000</formula>
    </cfRule>
  </conditionalFormatting>
  <conditionalFormatting sqref="I4:I11">
    <cfRule type="expression" dxfId="792" priority="98">
      <formula>ABS(I$7-I$10)&gt;=1000</formula>
    </cfRule>
  </conditionalFormatting>
  <conditionalFormatting sqref="J4:J11">
    <cfRule type="expression" dxfId="791" priority="97">
      <formula>ABS(J$7-J$10)&gt;=1000</formula>
    </cfRule>
  </conditionalFormatting>
  <conditionalFormatting sqref="K4:K11">
    <cfRule type="expression" dxfId="790" priority="96">
      <formula>ABS(K$7-K$10)&gt;=1000</formula>
    </cfRule>
  </conditionalFormatting>
  <conditionalFormatting sqref="L4:L11">
    <cfRule type="expression" dxfId="789" priority="95">
      <formula>ABS(L$7-L$10)&gt;=1000</formula>
    </cfRule>
  </conditionalFormatting>
  <conditionalFormatting sqref="M4 M6:M11">
    <cfRule type="expression" dxfId="788" priority="94">
      <formula>ABS(M$7-M$10)&gt;=1000</formula>
    </cfRule>
  </conditionalFormatting>
  <conditionalFormatting sqref="N4 N6:N11">
    <cfRule type="expression" dxfId="787" priority="93">
      <formula>ABS(N$7-N$10)&gt;=1000</formula>
    </cfRule>
  </conditionalFormatting>
  <conditionalFormatting sqref="O4 O6:O11">
    <cfRule type="expression" dxfId="786" priority="92">
      <formula>ABS(O$7-O$10)&gt;=1000</formula>
    </cfRule>
  </conditionalFormatting>
  <conditionalFormatting sqref="P4 P6:P11">
    <cfRule type="expression" dxfId="785" priority="91">
      <formula>ABS(P$7-P$10)&gt;=1000</formula>
    </cfRule>
  </conditionalFormatting>
  <conditionalFormatting sqref="Q4:Q11">
    <cfRule type="expression" dxfId="784" priority="90">
      <formula>ABS(Q$7-Q$10)&gt;=1000</formula>
    </cfRule>
  </conditionalFormatting>
  <conditionalFormatting sqref="R4:R11">
    <cfRule type="expression" dxfId="783" priority="89">
      <formula>ABS(R$7-R$10)&gt;=1000</formula>
    </cfRule>
  </conditionalFormatting>
  <conditionalFormatting sqref="S4:S11">
    <cfRule type="expression" dxfId="782" priority="88">
      <formula>ABS(S$7-S$10)&gt;=1000</formula>
    </cfRule>
  </conditionalFormatting>
  <conditionalFormatting sqref="T4:T9 T11">
    <cfRule type="expression" dxfId="781" priority="87">
      <formula>ABS(T$7-T$10)&gt;=1000</formula>
    </cfRule>
  </conditionalFormatting>
  <conditionalFormatting sqref="U4:U9 U11">
    <cfRule type="expression" dxfId="780" priority="86">
      <formula>ABS(U$7-U$10)&gt;=1000</formula>
    </cfRule>
  </conditionalFormatting>
  <conditionalFormatting sqref="V4:V9 V11">
    <cfRule type="expression" dxfId="779" priority="85">
      <formula>ABS(V$7-V$10)&gt;=1000</formula>
    </cfRule>
  </conditionalFormatting>
  <conditionalFormatting sqref="W4:W9 W11">
    <cfRule type="expression" dxfId="778" priority="84">
      <formula>ABS(W$7-W$10)&gt;=1000</formula>
    </cfRule>
  </conditionalFormatting>
  <conditionalFormatting sqref="X4:X9 X11">
    <cfRule type="expression" dxfId="777" priority="83">
      <formula>ABS(X$7-X$10)&gt;=1000</formula>
    </cfRule>
  </conditionalFormatting>
  <conditionalFormatting sqref="Y4:Y9 Y11">
    <cfRule type="expression" dxfId="776" priority="82">
      <formula>ABS(Y$7-Y$10)&gt;=1000</formula>
    </cfRule>
  </conditionalFormatting>
  <conditionalFormatting sqref="Z4:Z11">
    <cfRule type="expression" dxfId="775" priority="81">
      <formula>ABS(Z$7-Z$10)&gt;=1000</formula>
    </cfRule>
  </conditionalFormatting>
  <conditionalFormatting sqref="AA4:AA11">
    <cfRule type="expression" dxfId="774" priority="80">
      <formula>ABS(AA$7-AA$10)&gt;=1000</formula>
    </cfRule>
  </conditionalFormatting>
  <conditionalFormatting sqref="AB4:AB11">
    <cfRule type="expression" dxfId="773" priority="79">
      <formula>ABS(AB$7-AB$10)&gt;=1000</formula>
    </cfRule>
  </conditionalFormatting>
  <conditionalFormatting sqref="AC4 AC6:AC11">
    <cfRule type="expression" dxfId="772" priority="78">
      <formula>ABS(AC$7-AC$10)&gt;=1000</formula>
    </cfRule>
  </conditionalFormatting>
  <conditionalFormatting sqref="AD4 AD6:AD11">
    <cfRule type="expression" dxfId="771" priority="77">
      <formula>ABS(AD$7-AD$10)&gt;=1000</formula>
    </cfRule>
  </conditionalFormatting>
  <conditionalFormatting sqref="AE4 AE6:AE11">
    <cfRule type="expression" dxfId="770" priority="76">
      <formula>ABS(AE$7-AE$10)&gt;=1000</formula>
    </cfRule>
  </conditionalFormatting>
  <conditionalFormatting sqref="D13:D20">
    <cfRule type="expression" dxfId="769" priority="75">
      <formula>ABS(D$16-D$19)&gt;=1000</formula>
    </cfRule>
  </conditionalFormatting>
  <conditionalFormatting sqref="E13:E20">
    <cfRule type="expression" dxfId="768" priority="74">
      <formula>ABS(E$16-E$19)&gt;=1000</formula>
    </cfRule>
  </conditionalFormatting>
  <conditionalFormatting sqref="F13 F15:F20">
    <cfRule type="expression" dxfId="767" priority="73">
      <formula>ABS(F$16-F$19)&gt;=1000</formula>
    </cfRule>
  </conditionalFormatting>
  <conditionalFormatting sqref="G13:G20">
    <cfRule type="expression" dxfId="766" priority="72">
      <formula>ABS(G$16-G$19)&gt;=1000</formula>
    </cfRule>
  </conditionalFormatting>
  <conditionalFormatting sqref="H13 H15:H20">
    <cfRule type="expression" dxfId="765" priority="71">
      <formula>ABS(H$16-H$19)&gt;=1000</formula>
    </cfRule>
  </conditionalFormatting>
  <conditionalFormatting sqref="I13:I20">
    <cfRule type="expression" dxfId="764" priority="70">
      <formula>ABS(I$16-I$19)&gt;=1000</formula>
    </cfRule>
  </conditionalFormatting>
  <conditionalFormatting sqref="J13:J20">
    <cfRule type="expression" dxfId="763" priority="69">
      <formula>ABS(J$16-J$19)&gt;=1000</formula>
    </cfRule>
  </conditionalFormatting>
  <conditionalFormatting sqref="L13:L20">
    <cfRule type="expression" dxfId="762" priority="68">
      <formula>ABS(L$16-L$19)&gt;=1000</formula>
    </cfRule>
  </conditionalFormatting>
  <conditionalFormatting sqref="M13 M15 M17:M18 M20">
    <cfRule type="expression" dxfId="761" priority="67">
      <formula>ABS(M$16-M$19)&gt;=1000</formula>
    </cfRule>
  </conditionalFormatting>
  <conditionalFormatting sqref="N13:N20">
    <cfRule type="expression" dxfId="760" priority="66">
      <formula>ABS(N$16-N$19)&gt;=1000</formula>
    </cfRule>
  </conditionalFormatting>
  <conditionalFormatting sqref="O13:O20">
    <cfRule type="expression" dxfId="759" priority="65">
      <formula>ABS(O$16-O$19)&gt;=1000</formula>
    </cfRule>
  </conditionalFormatting>
  <conditionalFormatting sqref="P13:P20">
    <cfRule type="expression" dxfId="758" priority="64">
      <formula>ABS(P$16-P$19)&gt;=1000</formula>
    </cfRule>
  </conditionalFormatting>
  <conditionalFormatting sqref="Q13 Q15:Q20">
    <cfRule type="expression" dxfId="757" priority="63">
      <formula>ABS(Q$16-Q$19)&gt;=1000</formula>
    </cfRule>
  </conditionalFormatting>
  <conditionalFormatting sqref="R13:R20">
    <cfRule type="expression" dxfId="756" priority="62">
      <formula>ABS(R$16-R$19)&gt;=1000</formula>
    </cfRule>
  </conditionalFormatting>
  <conditionalFormatting sqref="S13:S20">
    <cfRule type="expression" dxfId="755" priority="61">
      <formula>ABS(S$16-S$19)&gt;=1000</formula>
    </cfRule>
  </conditionalFormatting>
  <conditionalFormatting sqref="T13:T15 T17:T20">
    <cfRule type="expression" dxfId="754" priority="60">
      <formula>ABS(T$16-T$19)&gt;=1000</formula>
    </cfRule>
  </conditionalFormatting>
  <conditionalFormatting sqref="U13:U20">
    <cfRule type="expression" dxfId="753" priority="59">
      <formula>ABS(U$16-U$19)&gt;=1000</formula>
    </cfRule>
  </conditionalFormatting>
  <conditionalFormatting sqref="V13:V20">
    <cfRule type="expression" dxfId="752" priority="58">
      <formula>ABS(V$16-V$19)&gt;=1000</formula>
    </cfRule>
  </conditionalFormatting>
  <conditionalFormatting sqref="W13 W20 W15:W18">
    <cfRule type="expression" dxfId="751" priority="57">
      <formula>ABS(W$16-W$19)&gt;=1000</formula>
    </cfRule>
  </conditionalFormatting>
  <conditionalFormatting sqref="X13 X15:X20 Y19">
    <cfRule type="expression" dxfId="750" priority="56">
      <formula>ABS(X$16-X$19)&gt;=1000</formula>
    </cfRule>
  </conditionalFormatting>
  <conditionalFormatting sqref="Y13 Y15:Y18 Y20">
    <cfRule type="expression" dxfId="749" priority="55">
      <formula>ABS(Y$16-Y$19)&gt;=1000</formula>
    </cfRule>
  </conditionalFormatting>
  <conditionalFormatting sqref="Z13:Z20">
    <cfRule type="expression" dxfId="748" priority="54">
      <formula>ABS(Z$16-Z$19)&gt;=1000</formula>
    </cfRule>
  </conditionalFormatting>
  <conditionalFormatting sqref="AA13:AA20">
    <cfRule type="expression" dxfId="747" priority="53">
      <formula>ABS(AA$16-AA$19)&gt;=1000</formula>
    </cfRule>
  </conditionalFormatting>
  <conditionalFormatting sqref="AB13 AB15:AB20">
    <cfRule type="expression" dxfId="746" priority="52">
      <formula>ABS(AB$16-AB$19)&gt;=1000</formula>
    </cfRule>
  </conditionalFormatting>
  <conditionalFormatting sqref="AC13 AC15:AC20">
    <cfRule type="expression" dxfId="745" priority="51">
      <formula>ABS(AC$16-AC$19)&gt;=1000</formula>
    </cfRule>
  </conditionalFormatting>
  <conditionalFormatting sqref="AD13:AD20">
    <cfRule type="expression" dxfId="744" priority="50">
      <formula>ABS(AD$16-AD$19)&gt;=1000</formula>
    </cfRule>
  </conditionalFormatting>
  <conditionalFormatting sqref="AE13:AE20">
    <cfRule type="expression" dxfId="743" priority="49">
      <formula>ABS(AE$16-AE$19)&gt;=1000</formula>
    </cfRule>
  </conditionalFormatting>
  <conditionalFormatting sqref="D22:D29">
    <cfRule type="expression" dxfId="742" priority="48">
      <formula>ABS(D$25-D$28)&gt;=1000</formula>
    </cfRule>
  </conditionalFormatting>
  <conditionalFormatting sqref="E22:E29">
    <cfRule type="expression" dxfId="741" priority="47">
      <formula>ABS(E$25-E$28)&gt;=1000</formula>
    </cfRule>
  </conditionalFormatting>
  <conditionalFormatting sqref="F22:F29">
    <cfRule type="expression" dxfId="740" priority="46">
      <formula>ABS(F$25-F$28)&gt;=1000</formula>
    </cfRule>
  </conditionalFormatting>
  <conditionalFormatting sqref="G22:G29">
    <cfRule type="expression" dxfId="739" priority="45">
      <formula>ABS(G$25-G$28)&gt;=1000</formula>
    </cfRule>
  </conditionalFormatting>
  <conditionalFormatting sqref="H22:H29">
    <cfRule type="expression" dxfId="738" priority="44">
      <formula>ABS(H$25-H$28)&gt;=1000</formula>
    </cfRule>
  </conditionalFormatting>
  <conditionalFormatting sqref="I22 I24:I29">
    <cfRule type="expression" dxfId="737" priority="43">
      <formula>ABS(I$25-I$28)&gt;=1000</formula>
    </cfRule>
  </conditionalFormatting>
  <conditionalFormatting sqref="J22:J29 K22">
    <cfRule type="expression" dxfId="736" priority="42">
      <formula>ABS(J$25-J$28)&gt;=1000</formula>
    </cfRule>
  </conditionalFormatting>
  <conditionalFormatting sqref="K23:K29 L25 L28">
    <cfRule type="expression" dxfId="735" priority="41">
      <formula>ABS(K$25-K$28)&gt;=1000</formula>
    </cfRule>
  </conditionalFormatting>
  <conditionalFormatting sqref="L22 L26:L27 L29 L24">
    <cfRule type="expression" dxfId="734" priority="40">
      <formula>ABS(L$25-L$28)&gt;=1000</formula>
    </cfRule>
  </conditionalFormatting>
  <conditionalFormatting sqref="M22:M29">
    <cfRule type="expression" dxfId="733" priority="39">
      <formula>ABS(M$25-M$28)&gt;=1000</formula>
    </cfRule>
  </conditionalFormatting>
  <conditionalFormatting sqref="N22:N29">
    <cfRule type="expression" dxfId="732" priority="38">
      <formula>ABS(N$25-N$28)&gt;=1000</formula>
    </cfRule>
  </conditionalFormatting>
  <conditionalFormatting sqref="O22 O24:O29">
    <cfRule type="expression" dxfId="731" priority="37">
      <formula>ABS(O$25-O$28)&gt;=1000</formula>
    </cfRule>
  </conditionalFormatting>
  <conditionalFormatting sqref="P22:P29">
    <cfRule type="expression" dxfId="730" priority="36">
      <formula>ABS(P$25-P$28)&gt;=1000</formula>
    </cfRule>
  </conditionalFormatting>
  <conditionalFormatting sqref="Q22:Q29">
    <cfRule type="expression" dxfId="729" priority="35">
      <formula>ABS(Q$25-Q$28)&gt;=1000</formula>
    </cfRule>
  </conditionalFormatting>
  <conditionalFormatting sqref="R22:R29">
    <cfRule type="expression" dxfId="728" priority="34">
      <formula>ABS(R$25-R$28)&gt;=1000</formula>
    </cfRule>
  </conditionalFormatting>
  <conditionalFormatting sqref="S22:S29">
    <cfRule type="expression" dxfId="727" priority="33">
      <formula>ABS(S$25-S$28)&gt;=1000</formula>
    </cfRule>
  </conditionalFormatting>
  <conditionalFormatting sqref="T22:T29">
    <cfRule type="expression" dxfId="726" priority="32">
      <formula>ABS(T$25-T$28)&gt;=1000</formula>
    </cfRule>
  </conditionalFormatting>
  <conditionalFormatting sqref="U22:U29">
    <cfRule type="expression" dxfId="725" priority="31">
      <formula>ABS(U$25-U$28)&gt;=1000</formula>
    </cfRule>
  </conditionalFormatting>
  <conditionalFormatting sqref="V22:V29">
    <cfRule type="expression" dxfId="724" priority="30">
      <formula>ABS(V$25-V$28)&gt;=1000</formula>
    </cfRule>
  </conditionalFormatting>
  <conditionalFormatting sqref="W22:W29">
    <cfRule type="expression" dxfId="723" priority="29">
      <formula>ABS(W$25-W$28)&gt;=1000</formula>
    </cfRule>
  </conditionalFormatting>
  <conditionalFormatting sqref="X22:X29">
    <cfRule type="expression" dxfId="722" priority="28">
      <formula>ABS(X$25-X$28)&gt;=1000</formula>
    </cfRule>
  </conditionalFormatting>
  <conditionalFormatting sqref="Y22:Y29">
    <cfRule type="expression" dxfId="721" priority="27">
      <formula>ABS(Y$25-Y$28)&gt;=1000</formula>
    </cfRule>
  </conditionalFormatting>
  <conditionalFormatting sqref="I23">
    <cfRule type="expression" dxfId="720" priority="26">
      <formula>ABS(I$25-I$28)&gt;=1000</formula>
    </cfRule>
  </conditionalFormatting>
  <conditionalFormatting sqref="Q14">
    <cfRule type="expression" dxfId="719" priority="25">
      <formula>ABS(Q$16-Q$19)&gt;=1000</formula>
    </cfRule>
  </conditionalFormatting>
  <conditionalFormatting sqref="W14">
    <cfRule type="expression" dxfId="718" priority="24">
      <formula>ABS(W$16-W$19)&gt;=1000</formula>
    </cfRule>
  </conditionalFormatting>
  <conditionalFormatting sqref="X14">
    <cfRule type="expression" dxfId="717" priority="23">
      <formula>ABS(X$16-X$19)&gt;=1000</formula>
    </cfRule>
  </conditionalFormatting>
  <conditionalFormatting sqref="T10:Y10">
    <cfRule type="expression" dxfId="716" priority="22">
      <formula>ABS(T$7-T$10)&gt;=1000</formula>
    </cfRule>
  </conditionalFormatting>
  <conditionalFormatting sqref="W19">
    <cfRule type="expression" dxfId="715" priority="21">
      <formula>ABS(W$16-W$19)&gt;=1000</formula>
    </cfRule>
  </conditionalFormatting>
  <conditionalFormatting sqref="AC5">
    <cfRule type="expression" dxfId="714" priority="20">
      <formula>ABS(AC$7-AC$10)&gt;=1000</formula>
    </cfRule>
  </conditionalFormatting>
  <conditionalFormatting sqref="M14">
    <cfRule type="expression" dxfId="713" priority="19">
      <formula>ABS(M$16-M$19)&gt;=1000</formula>
    </cfRule>
  </conditionalFormatting>
  <conditionalFormatting sqref="M16">
    <cfRule type="expression" dxfId="712" priority="18">
      <formula>ABS(M$16-M$19)&gt;=1000</formula>
    </cfRule>
  </conditionalFormatting>
  <conditionalFormatting sqref="M19">
    <cfRule type="expression" dxfId="711" priority="17">
      <formula>ABS(M$16-M$19)&gt;=1000</formula>
    </cfRule>
  </conditionalFormatting>
  <conditionalFormatting sqref="K13:K20">
    <cfRule type="expression" dxfId="710" priority="16">
      <formula>ABS(K$16-K$19)&gt;=1000</formula>
    </cfRule>
  </conditionalFormatting>
  <conditionalFormatting sqref="E5">
    <cfRule type="expression" dxfId="709" priority="15">
      <formula>ABS(E$7-E$10)&gt;=1000</formula>
    </cfRule>
  </conditionalFormatting>
  <conditionalFormatting sqref="AB14:AC14">
    <cfRule type="expression" dxfId="708" priority="14">
      <formula>ABS(AB$16-AB$19)&gt;=1000</formula>
    </cfRule>
  </conditionalFormatting>
  <conditionalFormatting sqref="M5">
    <cfRule type="expression" dxfId="707" priority="13">
      <formula>ABS(M$7-M$10)&gt;=1000</formula>
    </cfRule>
  </conditionalFormatting>
  <conditionalFormatting sqref="N5">
    <cfRule type="expression" dxfId="706" priority="12">
      <formula>ABS(N$7-N$10)&gt;=1000</formula>
    </cfRule>
  </conditionalFormatting>
  <conditionalFormatting sqref="O5">
    <cfRule type="expression" dxfId="705" priority="11">
      <formula>ABS(O$7-O$10)&gt;=1000</formula>
    </cfRule>
  </conditionalFormatting>
  <conditionalFormatting sqref="P5">
    <cfRule type="expression" dxfId="704" priority="10">
      <formula>ABS(P$7-P$10)&gt;=1000</formula>
    </cfRule>
  </conditionalFormatting>
  <conditionalFormatting sqref="L23">
    <cfRule type="expression" dxfId="703" priority="9">
      <formula>ABS(L$25-L$28)&gt;=1000</formula>
    </cfRule>
  </conditionalFormatting>
  <conditionalFormatting sqref="Y14">
    <cfRule type="expression" dxfId="702" priority="8">
      <formula>ABS(Y$16-Y$19)&gt;=1000</formula>
    </cfRule>
  </conditionalFormatting>
  <conditionalFormatting sqref="H14">
    <cfRule type="expression" dxfId="700" priority="6">
      <formula>ABS(H$16-H$19)&gt;=1000</formula>
    </cfRule>
  </conditionalFormatting>
  <conditionalFormatting sqref="AD5">
    <cfRule type="expression" dxfId="699" priority="5">
      <formula>ABS(AD$7-AD$10)&gt;=1000</formula>
    </cfRule>
  </conditionalFormatting>
  <conditionalFormatting sqref="AE5">
    <cfRule type="expression" dxfId="698" priority="4">
      <formula>ABS(AE$7-AE$10)&gt;=1000</formula>
    </cfRule>
  </conditionalFormatting>
  <conditionalFormatting sqref="T16">
    <cfRule type="expression" dxfId="697" priority="3">
      <formula>ABS(T$16-T$19)&gt;=1000</formula>
    </cfRule>
  </conditionalFormatting>
  <conditionalFormatting sqref="O23">
    <cfRule type="expression" dxfId="696" priority="2">
      <formula>ABS(O$25-O$28)&gt;=1000</formula>
    </cfRule>
  </conditionalFormatting>
  <conditionalFormatting sqref="F14">
    <cfRule type="expression" dxfId="665" priority="1">
      <formula>ABS(F$16-F$19)&gt;=1000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46049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961">
    <pageSetUpPr fitToPage="1"/>
  </sheetPr>
  <dimension ref="A1:CU223"/>
  <sheetViews>
    <sheetView view="pageBreakPreview" topLeftCell="B13" zoomScale="85" zoomScaleNormal="100" zoomScaleSheetLayoutView="85" workbookViewId="0">
      <selection activeCell="R25" sqref="R25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39" t="s" ph="1">
        <v>161</v>
      </c>
      <c r="C1" s="239" ph="1"/>
      <c r="D1" s="239" ph="1"/>
      <c r="E1" s="239" ph="1"/>
      <c r="F1" s="239" ph="1"/>
      <c r="G1" s="239" ph="1"/>
      <c r="H1" s="239" ph="1"/>
      <c r="I1" s="239" ph="1"/>
      <c r="J1" s="239" ph="1"/>
      <c r="K1" s="239" ph="1"/>
      <c r="L1" s="239" ph="1"/>
      <c r="M1" s="239" ph="1"/>
      <c r="N1" s="239" ph="1"/>
      <c r="O1" s="239" ph="1"/>
      <c r="P1" s="239" ph="1"/>
      <c r="Q1" s="239" ph="1"/>
      <c r="R1" s="239" ph="1"/>
      <c r="S1" s="239" ph="1"/>
      <c r="T1" s="239" ph="1"/>
      <c r="U1" s="239" ph="1"/>
      <c r="V1" s="239" ph="1"/>
      <c r="W1" s="239" ph="1"/>
      <c r="X1" s="239" ph="1"/>
      <c r="Y1" s="239" ph="1"/>
      <c r="Z1" s="239" ph="1"/>
      <c r="AA1" s="239" ph="1"/>
      <c r="AB1" s="239" ph="1"/>
      <c r="AC1" s="239" ph="1"/>
      <c r="AD1" s="239" ph="1"/>
      <c r="AE1" s="239" ph="1"/>
    </row>
    <row r="2" spans="1:99" s="66" customFormat="1" ht="24" customHeight="1" ph="1">
      <c r="B2" s="240" t="s" ph="1">
        <v>82</v>
      </c>
      <c r="C2" s="240" ph="1"/>
      <c r="D2" s="240" ph="1"/>
      <c r="E2" s="240" ph="1"/>
      <c r="F2" s="240" ph="1"/>
      <c r="G2" s="240" ph="1"/>
      <c r="H2" s="240" ph="1"/>
      <c r="I2" s="240" ph="1"/>
      <c r="J2" s="240" ph="1"/>
      <c r="K2" s="240" ph="1"/>
      <c r="L2" s="240" ph="1"/>
      <c r="M2" s="240" ph="1"/>
      <c r="N2" s="240" ph="1"/>
      <c r="O2" s="240" ph="1"/>
      <c r="P2" s="240" ph="1"/>
      <c r="Q2" s="240" ph="1"/>
      <c r="R2" s="240" ph="1"/>
      <c r="S2" s="240" ph="1"/>
      <c r="T2" s="240" ph="1"/>
      <c r="U2" s="240" ph="1"/>
      <c r="V2" s="240" ph="1"/>
      <c r="W2" s="240" ph="1"/>
      <c r="X2" s="240" ph="1"/>
      <c r="Y2" s="240" ph="1"/>
      <c r="Z2" s="240" ph="1"/>
      <c r="AA2" s="240" ph="1"/>
      <c r="AB2" s="240" ph="1"/>
      <c r="AC2" s="240" ph="1"/>
      <c r="AD2" s="240" ph="1"/>
      <c r="AE2" s="240" ph="1"/>
    </row>
    <row r="3" spans="1:99" ht="21" customHeight="1" ph="1">
      <c r="B3" s="241" ph="1">
        <v>46259</v>
      </c>
      <c r="C3" s="241"/>
      <c r="D3" s="241"/>
      <c r="E3" s="241"/>
      <c r="F3" s="241"/>
      <c r="G3" s="241"/>
      <c r="H3" s="241"/>
      <c r="I3" s="241"/>
      <c r="J3" s="241"/>
      <c r="K3" s="241"/>
      <c r="L3" s="241"/>
      <c r="M3" s="241"/>
      <c r="N3" s="241"/>
      <c r="O3" s="241"/>
      <c r="P3" s="241"/>
      <c r="Q3" s="241"/>
      <c r="R3" s="241"/>
      <c r="S3" s="241"/>
      <c r="T3" s="241"/>
      <c r="U3" s="241"/>
      <c r="V3" s="241"/>
      <c r="W3" s="241"/>
      <c r="X3" s="241"/>
      <c r="Y3" s="241"/>
      <c r="Z3" s="241"/>
      <c r="AA3" s="241"/>
      <c r="AB3" s="241"/>
      <c r="AC3" s="241"/>
      <c r="AD3" s="241"/>
      <c r="AE3" s="241"/>
    </row>
    <row r="4" spans="1:99" s="69" customFormat="1" ph="1">
      <c r="A4" s="65" ph="1"/>
      <c r="B4" s="220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0" ph="1"/>
      <c r="C5" s="67" t="s" ph="1">
        <v>36</v>
      </c>
      <c r="D5" s="70" t="s" ph="1">
        <v>160</v>
      </c>
      <c r="E5" s="142" t="s" ph="1">
        <v>617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8" ph="1">
        <v>0.33333333333333331</v>
      </c>
      <c r="C6" s="160" t="s" ph="1">
        <v>177</v>
      </c>
      <c r="D6" s="71">
        <v>7076</v>
      </c>
      <c r="E6" s="71">
        <v>3571</v>
      </c>
      <c r="F6" s="71">
        <v>5633</v>
      </c>
      <c r="G6" s="71">
        <v>2333</v>
      </c>
      <c r="H6" s="71">
        <v>1327</v>
      </c>
      <c r="I6" s="71">
        <v>17.5</v>
      </c>
      <c r="J6" s="71">
        <v>76.42</v>
      </c>
      <c r="K6" s="71">
        <v>48.88</v>
      </c>
      <c r="L6" s="71">
        <v>6.96</v>
      </c>
      <c r="M6" s="71">
        <v>3645</v>
      </c>
      <c r="N6" s="71">
        <v>2570</v>
      </c>
      <c r="O6" s="71">
        <v>1305</v>
      </c>
      <c r="P6" s="71">
        <v>1192</v>
      </c>
      <c r="Q6" s="71">
        <v>5698</v>
      </c>
      <c r="R6" s="71">
        <v>5530</v>
      </c>
      <c r="S6" s="71">
        <v>5776</v>
      </c>
      <c r="T6" s="71">
        <v>5661</v>
      </c>
      <c r="U6" s="71">
        <v>2921</v>
      </c>
      <c r="V6" s="71">
        <v>3189</v>
      </c>
      <c r="W6" s="71">
        <v>0</v>
      </c>
      <c r="X6" s="71">
        <v>0</v>
      </c>
      <c r="Y6" s="71">
        <v>0</v>
      </c>
      <c r="Z6" s="71">
        <v>4678</v>
      </c>
      <c r="AA6" s="71">
        <v>1298</v>
      </c>
      <c r="AB6" s="71">
        <v>2266</v>
      </c>
      <c r="AC6" s="71">
        <v>4270</v>
      </c>
      <c r="AD6" s="71">
        <v>2382</v>
      </c>
      <c r="AE6" s="71">
        <v>5673</v>
      </c>
    </row>
    <row r="7" spans="1:99" s="72" customFormat="1" ht="22.2" ph="1">
      <c r="B7" s="238" ph="1"/>
      <c r="C7" s="68" t="s" ph="1">
        <v>178</v>
      </c>
      <c r="D7" s="73" ph="1">
        <f>D6*33.183*LOOKUP(D8,密度!$A$2:$A$50,密度!$Q$2:$Q$50)</f>
        <v>222297.30511992</v>
      </c>
      <c r="E7" s="73" ph="1">
        <f>E6*51.53*LOOKUP(E8,密度!$A$2:$A$50,密度!$B$2:$B$50)</f>
        <v>143457.02594799999</v>
      </c>
      <c r="F7" s="73" ph="1">
        <f>F6*33.183*LOOKUP(F8,密度!$A$2:$A$50,密度!$C$2:$C$50)</f>
        <v>207275.40946710002</v>
      </c>
      <c r="G7" s="73" ph="1">
        <f xml:space="preserve"> (G6+2)*51.53*LOOKUP(G8,密度!$A$2:$A$50,密度!$B$2:$B$50)</f>
        <v>93695.169685000001</v>
      </c>
      <c r="H7" s="73" ph="1">
        <f>(H6)*51.53*LOOKUP(H8,密度!$A$2:$A$50,密度!$B$2:$B$50)</f>
        <v>53247.747396999992</v>
      </c>
      <c r="I7" s="73" ph="1">
        <f>I6*290.8*1.0267</f>
        <v>5224.8762999999999</v>
      </c>
      <c r="J7" s="73" ph="1">
        <f>J6*290.8*0.7892</f>
        <v>17538.3410912</v>
      </c>
      <c r="K7" s="73" ph="1">
        <f>K6*290.8*1.1126</f>
        <v>15814.834630400002</v>
      </c>
      <c r="L7" s="73" ph="1">
        <f>L6*290.8*0.777</f>
        <v>1572.6231360000002</v>
      </c>
      <c r="M7" s="73" ph="1">
        <f>M6*33.183*LOOKUP(M8,密度!$A$2:$A$50,密度!$D$2:$D$50)</f>
        <v>124181.4543345</v>
      </c>
      <c r="N7" s="73" ph="1">
        <f>N6*33.183*LOOKUP(N8,密度!$A$2:$A$50,密度!$E$2:$E$50)</f>
        <v>66791.538791999992</v>
      </c>
      <c r="O7" s="73" ph="1">
        <f>O6*20.428*LOOKUP(O8,密度!$A$2:$A$50,密度!$C$2:$C$50)</f>
        <v>29601.642816000003</v>
      </c>
      <c r="P7" s="73" ph="1">
        <f>P6*51.53*LOOKUP(P8,密度!$A$2:$A$50,密度!$B$2:$B$50)</f>
        <v>47941.244680000003</v>
      </c>
      <c r="Q7" s="73" ph="1">
        <f>Q6*1.5*1.5*3.1416*LOOKUP(W8,密度!$A$2:$A$50,密度!$L$2:$L$50)</f>
        <v>37819.992949199994</v>
      </c>
      <c r="R7" s="73" ph="1">
        <f>R6*1.5*1.5*3.1416*LOOKUP(R8,密度!$A$2:$A$50,密度!$L$2:$L$50)</f>
        <v>36353.102940000004</v>
      </c>
      <c r="S7" s="73" ph="1">
        <f>S6*1.5*1.5*3.1416*LOOKUP(S8,密度!$A$2:$A$50,密度!$L$2:$L$50)</f>
        <v>38337.711350400001</v>
      </c>
      <c r="T7" s="73" ph="1">
        <f>T6*1.5*1.5*3.1416*LOOKUP(T8,密度!$A$2:$A$50,密度!$L$2:$L$50)</f>
        <v>37694.454613199996</v>
      </c>
      <c r="U7" s="73" ph="1">
        <f>U6*1.5*1.5*3.1416*LOOKUP(U8,密度!$A$2:$A$50,密度!$L$2:$L$50)</f>
        <v>19367.243002799998</v>
      </c>
      <c r="V7" s="73" ph="1">
        <f>V6*1.5*1.5*3.1416*LOOKUP(V8,密度!$A$2:$A$50,密度!$L$2:$L$50)</f>
        <v>21099.092414400002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146226.729708</v>
      </c>
      <c r="AA7" s="73" ph="1">
        <f>AA6*33.183*LOOKUP(AA8,密度!$A$2:$A$50,密度!$D$2:$D$50)</f>
        <v>44221.5439578</v>
      </c>
      <c r="AB7" s="73" ph="1">
        <f>AB6*20.428*LOOKUP(AB8,密度!$A$2:$A$50,密度!$D$2:$D$50)</f>
        <v>47822.041968800004</v>
      </c>
      <c r="AC7" s="73" ph="1">
        <f>AC6*51.53*LOOKUP(AC8,密度!$A$2:$A$50,密度!$Q$2:$Q$50)</f>
        <v>208314.13709400001</v>
      </c>
      <c r="AD7" s="73" ph="1">
        <f>AD6*20.428*LOOKUP(AD8,密度!$A$2:$A$50,密度!$V$2:$V$50)</f>
        <v>46752.043756799998</v>
      </c>
      <c r="AE7" s="73" ph="1">
        <f>AE6*20.428</f>
        <v>115888.04400000001</v>
      </c>
    </row>
    <row r="8" spans="1:99" ph="1">
      <c r="B8" s="238" ph="1"/>
      <c r="C8" s="68" t="s" ph="1">
        <v>179</v>
      </c>
      <c r="D8" s="74">
        <v>25</v>
      </c>
      <c r="E8" s="74">
        <v>25</v>
      </c>
      <c r="F8" s="74">
        <v>25</v>
      </c>
      <c r="G8" s="74">
        <v>26</v>
      </c>
      <c r="H8" s="74">
        <v>26</v>
      </c>
      <c r="I8" s="74">
        <v>25</v>
      </c>
      <c r="J8" s="74">
        <v>25</v>
      </c>
      <c r="K8" s="74">
        <v>25</v>
      </c>
      <c r="L8" s="74">
        <v>25</v>
      </c>
      <c r="M8" s="74">
        <v>25</v>
      </c>
      <c r="N8" s="74">
        <v>25</v>
      </c>
      <c r="O8" s="74">
        <v>23</v>
      </c>
      <c r="P8" s="74">
        <v>24</v>
      </c>
      <c r="Q8" s="74">
        <v>28</v>
      </c>
      <c r="R8" s="74">
        <v>32</v>
      </c>
      <c r="S8" s="74">
        <v>23</v>
      </c>
      <c r="T8" s="74">
        <v>20</v>
      </c>
      <c r="U8" s="74">
        <v>24</v>
      </c>
      <c r="V8" s="74">
        <v>26</v>
      </c>
      <c r="W8" s="74">
        <v>23</v>
      </c>
      <c r="X8" s="74">
        <v>15</v>
      </c>
      <c r="Y8" s="74">
        <v>25</v>
      </c>
      <c r="Z8" s="74">
        <v>20</v>
      </c>
      <c r="AA8" s="74">
        <v>25</v>
      </c>
      <c r="AB8" s="74">
        <v>18</v>
      </c>
      <c r="AC8" s="74">
        <v>25</v>
      </c>
      <c r="AD8" s="74">
        <v>22</v>
      </c>
      <c r="AE8" s="74">
        <v>25</v>
      </c>
    </row>
    <row r="9" spans="1:99" ht="26.4" ph="1">
      <c r="B9" s="238" ph="1">
        <v>0.66666666666666663</v>
      </c>
      <c r="C9" s="160" t="s" ph="1">
        <v>180</v>
      </c>
      <c r="D9" s="71">
        <v>7074</v>
      </c>
      <c r="E9" s="71">
        <v>3569</v>
      </c>
      <c r="F9" s="71">
        <v>5933</v>
      </c>
      <c r="G9" s="71">
        <v>2044</v>
      </c>
      <c r="H9" s="71">
        <v>2208</v>
      </c>
      <c r="I9" s="71">
        <v>17.5</v>
      </c>
      <c r="J9" s="71">
        <v>76.430000000000007</v>
      </c>
      <c r="K9" s="71">
        <v>10.78</v>
      </c>
      <c r="L9" s="71">
        <v>82.15</v>
      </c>
      <c r="M9" s="71">
        <v>3643</v>
      </c>
      <c r="N9" s="71">
        <v>2570</v>
      </c>
      <c r="O9" s="71">
        <v>1094</v>
      </c>
      <c r="P9" s="71">
        <v>651</v>
      </c>
      <c r="Q9" s="71">
        <v>793</v>
      </c>
      <c r="R9" s="71">
        <v>5532</v>
      </c>
      <c r="S9" s="71">
        <v>5776</v>
      </c>
      <c r="T9" s="71">
        <v>7148</v>
      </c>
      <c r="U9" s="71">
        <v>6644</v>
      </c>
      <c r="V9" s="71">
        <v>5895</v>
      </c>
      <c r="W9" s="71">
        <v>0</v>
      </c>
      <c r="X9" s="71">
        <v>0</v>
      </c>
      <c r="Y9" s="71">
        <v>0</v>
      </c>
      <c r="Z9" s="71">
        <v>5651</v>
      </c>
      <c r="AA9" s="71">
        <v>1299</v>
      </c>
      <c r="AB9" s="71">
        <v>2164</v>
      </c>
      <c r="AC9" s="71">
        <v>4374</v>
      </c>
      <c r="AD9" s="71">
        <v>2382</v>
      </c>
      <c r="AE9" s="71">
        <v>5675</v>
      </c>
    </row>
    <row r="10" spans="1:99" s="72" customFormat="1" ht="22.2" ph="1">
      <c r="B10" s="238" ph="1"/>
      <c r="C10" s="160" t="s" ph="1">
        <v>178</v>
      </c>
      <c r="D10" s="73" ph="1">
        <f>D9*33.183*LOOKUP(D11,密度!$A$2:$A$50,密度!$Q$2:$Q$50)</f>
        <v>222067.81082826</v>
      </c>
      <c r="E10" s="73" ph="1">
        <f>E9*51.53*LOOKUP(E11,密度!$A$2:$A$50,密度!$B$2:$B$50)</f>
        <v>143376.680372</v>
      </c>
      <c r="F10" s="73" ph="1">
        <f>F9*33.183*LOOKUP(F11,密度!$A$2:$A$50,密度!$C$2:$C$50)</f>
        <v>218314.39807709999</v>
      </c>
      <c r="G10" s="73" ph="1">
        <f xml:space="preserve"> (G9+2)*51.53*LOOKUP(G11,密度!$A$2:$A$50,密度!$B$2:$B$50)</f>
        <v>82098.636906</v>
      </c>
      <c r="H10" s="73" ph="1">
        <f>(H9)*51.53*LOOKUP(H11,密度!$A$2:$A$50,密度!$B$2:$B$50)</f>
        <v>88803.916320000004</v>
      </c>
      <c r="I10" s="73" ph="1">
        <f>I9*290.8*1.0267</f>
        <v>5224.8762999999999</v>
      </c>
      <c r="J10" s="73" ph="1">
        <f>J9*290.8*0.7892</f>
        <v>17540.636084800004</v>
      </c>
      <c r="K10" s="73" ph="1">
        <f>K9*290.8*1.1126</f>
        <v>3487.8051824000004</v>
      </c>
      <c r="L10" s="73" ph="1">
        <f>L9*290.8*0.777</f>
        <v>18561.923940000001</v>
      </c>
      <c r="M10" s="73" ph="1">
        <f>M9*33.183*LOOKUP(M11,密度!$A$2:$A$50,密度!$D$2:$D$50)</f>
        <v>124113.31636229999</v>
      </c>
      <c r="N10" s="73" ph="1">
        <f>N9*33.183*LOOKUP(N11,密度!$A$2:$A$50,密度!$E$2:$E$50)</f>
        <v>66791.538791999992</v>
      </c>
      <c r="O10" s="73" ph="1">
        <f>O9*20.428*LOOKUP(O11,密度!$A$2:$A$50,密度!$C$2:$C$50)</f>
        <v>24797.598227199996</v>
      </c>
      <c r="P10" s="73" ph="1">
        <f>P9*51.53*LOOKUP(P11,密度!$A$2:$A$50,密度!$B$2:$B$50)</f>
        <v>26182.676414999998</v>
      </c>
      <c r="Q10" s="73" ph="1">
        <f>Q9*1.5*1.5*3.1416*LOOKUP(W11,密度!$A$2:$A$50,密度!$L$2:$L$50)</f>
        <v>5252.2596126000008</v>
      </c>
      <c r="R10" s="73" ph="1">
        <f>R9*1.5*1.5*3.1416*LOOKUP(R11,密度!$A$2:$A$50,密度!$L$2:$L$50)</f>
        <v>36366.250536</v>
      </c>
      <c r="S10" s="73" ph="1">
        <f>S9*1.5*1.5*3.1416*LOOKUP(S11,密度!$A$2:$A$50,密度!$L$2:$L$50)</f>
        <v>38337.711350400001</v>
      </c>
      <c r="T10" s="73" ph="1">
        <f>T9*1.5*1.5*3.1416*LOOKUP(T11,密度!$A$2:$A$50,密度!$L$2:$L$50)</f>
        <v>47595.824337599995</v>
      </c>
      <c r="U10" s="73" ph="1">
        <f>U9*1.5*1.5*3.1416*LOOKUP(U11,密度!$A$2:$A$50,密度!$L$2:$L$50)</f>
        <v>44052.024139199995</v>
      </c>
      <c r="V10" s="73" ph="1">
        <f>V9*1.5*1.5*3.1416*LOOKUP(V11,密度!$A$2:$A$50,密度!$L$2:$L$50)</f>
        <v>39044.224989000002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0</v>
      </c>
      <c r="Z10" s="73" ph="1">
        <f>Z9*33.183*LOOKUP(Z11,密度!$A$2:$A$50,密度!$L$2:$L$50)</f>
        <v>176266.10501999999</v>
      </c>
      <c r="AA10" s="73" ph="1">
        <f>AA9*33.183*LOOKUP(AA11,密度!$A$2:$A$50,密度!$D$2:$D$50)</f>
        <v>44255.612943899992</v>
      </c>
      <c r="AB10" s="73" ph="1">
        <f>AB9*20.428*LOOKUP(AB11,密度!$A$2:$A$50,密度!$D$2:$D$50)</f>
        <v>45470.489091200005</v>
      </c>
      <c r="AC10" s="73" ph="1">
        <f>AC9*51.53*LOOKUP(AC11,密度!$A$2:$A$50,密度!$Q$2:$Q$50)</f>
        <v>213387.83036280001</v>
      </c>
      <c r="AD10" s="73" ph="1">
        <f>AD9*20.428*LOOKUP(AD11,密度!$A$2:$A$50,密度!$V$2:$V$50)</f>
        <v>46752.043756799998</v>
      </c>
      <c r="AE10" s="73" ph="1">
        <f>AE9*20.428</f>
        <v>115928.90000000001</v>
      </c>
    </row>
    <row r="11" spans="1:99" ph="1">
      <c r="A11" s="64" t="s" ph="1">
        <v>162</v>
      </c>
      <c r="B11" s="238" ph="1"/>
      <c r="C11" s="160" t="s" ph="1">
        <v>179</v>
      </c>
      <c r="D11" s="74">
        <v>26</v>
      </c>
      <c r="E11" s="74">
        <v>25</v>
      </c>
      <c r="F11" s="74">
        <v>25</v>
      </c>
      <c r="G11" s="74">
        <v>26</v>
      </c>
      <c r="H11" s="74">
        <v>24</v>
      </c>
      <c r="I11" s="74">
        <v>25</v>
      </c>
      <c r="J11" s="74">
        <v>25</v>
      </c>
      <c r="K11" s="74">
        <v>25</v>
      </c>
      <c r="L11" s="74">
        <v>25</v>
      </c>
      <c r="M11" s="74">
        <v>25</v>
      </c>
      <c r="N11" s="74">
        <v>25</v>
      </c>
      <c r="O11" s="74">
        <v>24</v>
      </c>
      <c r="P11" s="74">
        <v>24</v>
      </c>
      <c r="Q11" s="74">
        <v>28</v>
      </c>
      <c r="R11" s="74">
        <v>32</v>
      </c>
      <c r="S11" s="74">
        <v>23</v>
      </c>
      <c r="T11" s="74">
        <v>20</v>
      </c>
      <c r="U11" s="74">
        <v>24</v>
      </c>
      <c r="V11" s="74">
        <v>25</v>
      </c>
      <c r="W11" s="74">
        <v>25</v>
      </c>
      <c r="X11" s="74">
        <v>16</v>
      </c>
      <c r="Y11" s="74">
        <v>26</v>
      </c>
      <c r="Z11" s="74">
        <v>22</v>
      </c>
      <c r="AA11" s="74">
        <v>25</v>
      </c>
      <c r="AB11" s="74">
        <v>23</v>
      </c>
      <c r="AC11" s="74">
        <v>25</v>
      </c>
      <c r="AD11" s="74">
        <v>23</v>
      </c>
      <c r="AE11" s="74">
        <v>26</v>
      </c>
    </row>
    <row r="12" spans="1:99" ht="9.9" customHeight="1" ph="1"/>
    <row r="13" spans="1:99" s="72" customFormat="1" ht="29.25" customHeight="1" ph="1">
      <c r="B13" s="215" t="s" ph="1">
        <v>37</v>
      </c>
      <c r="C13" s="160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6" ph="1"/>
      <c r="C14" s="67" t="s" ph="1">
        <v>36</v>
      </c>
      <c r="D14" s="77" t="s" ph="1">
        <v>616</v>
      </c>
      <c r="E14" s="77" t="s" ph="1">
        <v>616</v>
      </c>
      <c r="F14" s="77" t="s" ph="1">
        <v>647</v>
      </c>
      <c r="G14" s="77" t="s" ph="1">
        <v>617</v>
      </c>
      <c r="H14" s="77" t="s" ph="1">
        <v>637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638</v>
      </c>
      <c r="P14" s="77" t="s" ph="1">
        <v>622</v>
      </c>
      <c r="Q14" s="77" t="s" ph="1">
        <v>622</v>
      </c>
      <c r="R14" s="77" t="s" ph="1">
        <v>622</v>
      </c>
      <c r="S14" s="77" t="s" ph="1">
        <v>622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17" ph="1">
        <v>0.33333333333333331</v>
      </c>
      <c r="C15" s="160" t="s" ph="1">
        <v>177</v>
      </c>
      <c r="D15" s="78">
        <v>2063</v>
      </c>
      <c r="E15" s="78">
        <v>1184</v>
      </c>
      <c r="F15" s="78">
        <v>4562</v>
      </c>
      <c r="G15" s="78">
        <v>2849</v>
      </c>
      <c r="H15" s="78">
        <v>4344</v>
      </c>
      <c r="I15" s="78">
        <v>3214</v>
      </c>
      <c r="J15" s="78">
        <v>1224</v>
      </c>
      <c r="K15" s="78">
        <v>3649</v>
      </c>
      <c r="L15" s="78">
        <v>7185</v>
      </c>
      <c r="M15" s="78">
        <v>5106</v>
      </c>
      <c r="N15" s="78">
        <v>231</v>
      </c>
      <c r="O15" s="78">
        <v>4609</v>
      </c>
      <c r="P15" s="78">
        <v>2007</v>
      </c>
      <c r="Q15" s="78">
        <v>2247</v>
      </c>
      <c r="R15" s="78">
        <v>0</v>
      </c>
      <c r="S15" s="78">
        <v>190</v>
      </c>
      <c r="T15" s="78">
        <v>459</v>
      </c>
      <c r="U15" s="78">
        <v>1811</v>
      </c>
      <c r="V15" s="78">
        <v>-246</v>
      </c>
      <c r="W15" s="71">
        <v>-152</v>
      </c>
      <c r="X15" s="78">
        <v>860</v>
      </c>
      <c r="Y15" s="106">
        <v>-9907</v>
      </c>
      <c r="Z15" s="78">
        <v>0</v>
      </c>
      <c r="AA15" s="78">
        <v>2472</v>
      </c>
      <c r="AB15" s="78" ph="1">
        <v>0</v>
      </c>
      <c r="AC15" s="78" ph="1">
        <v>20</v>
      </c>
      <c r="AD15" s="78">
        <v>5.25</v>
      </c>
      <c r="AE15" s="78">
        <v>32.229999999999997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18" ph="1"/>
      <c r="C16" s="160" t="s" ph="1">
        <v>178</v>
      </c>
      <c r="D16" s="73" ph="1">
        <f>D15*7.0686*LOOKUP(D17,密度!$A$2:$A$50,密度!$L$2:$L$50)</f>
        <v>13663.822926600002</v>
      </c>
      <c r="E16" s="73" ph="1">
        <f>E15*7.0686*LOOKUP(E17,密度!$A$2:$A$50,密度!$L$2:$L$50)</f>
        <v>7841.9613888000013</v>
      </c>
      <c r="F16" s="73" ph="1">
        <f>F15*9.0746*LOOKUP(F17,密度!$A$2:$A$50,密度!$L$2:$L$50)</f>
        <v>38790.2307124</v>
      </c>
      <c r="G16" s="73" ph="1">
        <f>G15*9.0746*LOOKUP(G17,密度!$A$2:$A$50,密度!$B$2:$B$50)</f>
        <v>20225.220743419999</v>
      </c>
      <c r="H16" s="73" ph="1">
        <f>H15*9.0746*LOOKUP(H17,密度!$A$2:$A$50,密度!$L$2:$L$50)</f>
        <v>37133.698780799998</v>
      </c>
      <c r="I16" s="73" ph="1">
        <f>I15*9.0746*LOOKUP(I17,密度!$A$2:$A$50,密度!$U$2:$U$50)</f>
        <v>29894.908509999997</v>
      </c>
      <c r="J16" s="73" ph="1">
        <f>J15*9.0746*LOOKUP(J17,密度!$A$2:$A$50,密度!$L$2:$L$50)</f>
        <v>10407.549844800002</v>
      </c>
      <c r="K16" s="73" ph="1">
        <f>K15*9.0746*LOOKUP(K17,密度!$A$2:$A$50,密度!$C$2:$C$50)</f>
        <v>36768.91438016</v>
      </c>
      <c r="L16" s="73" ph="1">
        <f>L15*9.0746*LOOKUP(L17,密度!$A$2:$A$50,密度!$E$2:$E$50)</f>
        <v>51221.906385599999</v>
      </c>
      <c r="M16" s="73" ph="1">
        <f>M15*9.0746*LOOKUP(M17,密度!$A$2:$A$50,密度!$M$2:$M$50)</f>
        <v>40547.677640759997</v>
      </c>
      <c r="N16" s="73" ph="1">
        <f>N15*9.0746*LOOKUP(N17,密度!$A$2:$A$50,密度!$M$2:$M$50)</f>
        <v>1840.4922228000003</v>
      </c>
      <c r="O16" s="73" ph="1">
        <f>O15*9.0746*LOOKUP(O17,密度!$A$2:$A$50,密度!$G$2:$G$50)</f>
        <v>40160.203110280003</v>
      </c>
      <c r="P16" s="73" ph="1">
        <f ca="1">P15*9.0746*LOOKUP(P17,密度!$A$2:$A$51,密度!$Q$2:$Q$50)</f>
        <v>17285.512512797999</v>
      </c>
      <c r="Q16" s="73" ph="1">
        <f>Q15*9.0746*LOOKUP(Q17,密度!$A$2:$A$50,密度!$Q$2:$Q$50)</f>
        <v>19304.621448588001</v>
      </c>
      <c r="R16" s="73" ph="1">
        <f>MAX(R15*9.0746*LOOKUP(R17,密度!$A$2:$A$50,密度!$Q$2:$Q$50),0)</f>
        <v>0</v>
      </c>
      <c r="S16" s="73" ph="1">
        <f>S15*9.0746*LOOKUP(S17,密度!$A$2:$A$50,密度!$Q$2:$Q$50)</f>
        <v>1634.8617868000001</v>
      </c>
      <c r="T16" s="73" ph="1">
        <f>T15*9.0746*LOOKUP(T17,密度!$A$2:$A$50,密度!$O$2:$O$50)</f>
        <v>3873.6745020000003</v>
      </c>
      <c r="U16" s="73" ph="1">
        <f>U15*9.0746*LOOKUP(U17,密度!$A$2:$A$50,密度!$H$2:$H$50)</f>
        <v>15083.21753068</v>
      </c>
      <c r="V16" s="73" ph="1">
        <f>MAX(5600*LOOKUP(V17,密度!$A$2:$A$50,密度!$Q$2:$Q$50)+V15*9.0476*LOOKUP(V17,密度!$A$2:$A$50,密度!$Q$2:$Q$50),0)</f>
        <v>3199.5021572800001</v>
      </c>
      <c r="W16" s="73" ph="1">
        <f>MAX(5600*LOOKUP(W17,密度!$A$2:$A$50,密度!$Q$2:$Q$50)+W15*9.0476*LOOKUP(W17,密度!$A$2:$A$50,密度!$Q$2:$Q$50),0)</f>
        <v>4002.8379050560006</v>
      </c>
      <c r="X16" s="73" ph="1">
        <f>MAX(5600*LOOKUP(X17,密度!$A$2:$A$50,密度!$I$2:$I$50)+X15*9.0476*LOOKUP(X17,密度!$A$2:$A$50,密度!$I$2:$I$50),0)</f>
        <v>13917.5115336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17488.307771520002</v>
      </c>
      <c r="AB16" s="73" ph="1">
        <f>AB15*9.0746*LOOKUP(AB17,密度!$A$2:$A$50,密度!$L$2:$L$50)</f>
        <v>0</v>
      </c>
      <c r="AC16" s="73" ph="1">
        <f>AC15*9.0746*LOOKUP(AC17,密度!$A$2:$A$50,密度!$L$2:$L$50)</f>
        <v>170.60248000000001</v>
      </c>
      <c r="AD16" s="73" ph="1">
        <f>AD15*268.68*LOOKUP(AD17,密度!$A$2:$A$50,密度!B2:B50)+IF(AD15&lt;=0,0,1566*LOOKUP(AD17,密度!$A$2:$A$50,密度!B2:B50))</f>
        <v>2320.5339719999997</v>
      </c>
      <c r="AE16" s="73" ph="1">
        <f>AE15*268.68*LOOKUP(AE17,密度!$A$2:$A$50,密度!B2:B50)+IF(AE15&lt;=0,0,1566*LOOKUP(AE17,密度!$A$2:$A$50,密度!B2:B50))</f>
        <v>7971.84376944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19" ph="1"/>
      <c r="C17" s="79" t="s" ph="1">
        <v>179</v>
      </c>
      <c r="D17" s="74">
        <v>25</v>
      </c>
      <c r="E17" s="74">
        <v>25</v>
      </c>
      <c r="F17" s="74">
        <v>25</v>
      </c>
      <c r="G17" s="74">
        <v>22</v>
      </c>
      <c r="H17" s="74">
        <v>20</v>
      </c>
      <c r="I17" s="74">
        <v>25</v>
      </c>
      <c r="J17" s="74">
        <v>25</v>
      </c>
      <c r="K17" s="74">
        <v>23</v>
      </c>
      <c r="L17" s="74">
        <v>23</v>
      </c>
      <c r="M17" s="74">
        <v>25</v>
      </c>
      <c r="N17" s="74">
        <v>22</v>
      </c>
      <c r="O17" s="74">
        <v>25</v>
      </c>
      <c r="P17" s="74">
        <v>22</v>
      </c>
      <c r="Q17" s="74">
        <v>25</v>
      </c>
      <c r="R17" s="74">
        <v>25</v>
      </c>
      <c r="S17" s="74">
        <v>23</v>
      </c>
      <c r="T17" s="74">
        <v>23</v>
      </c>
      <c r="U17" s="74">
        <v>22</v>
      </c>
      <c r="V17" s="74">
        <v>23</v>
      </c>
      <c r="W17" s="74">
        <v>24</v>
      </c>
      <c r="X17" s="74">
        <v>27</v>
      </c>
      <c r="Y17" s="108">
        <v>27</v>
      </c>
      <c r="Z17" s="74">
        <v>24</v>
      </c>
      <c r="AA17" s="74">
        <v>25</v>
      </c>
      <c r="AB17" s="74">
        <v>23</v>
      </c>
      <c r="AC17" s="74">
        <v>22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17" ph="1">
        <v>0.66666666666666663</v>
      </c>
      <c r="C18" s="79" t="s" ph="1">
        <v>180</v>
      </c>
      <c r="D18" s="71">
        <v>886</v>
      </c>
      <c r="E18" s="71">
        <v>5514</v>
      </c>
      <c r="F18" s="71">
        <v>2190</v>
      </c>
      <c r="G18" s="71">
        <v>2976</v>
      </c>
      <c r="H18" s="71">
        <v>4343</v>
      </c>
      <c r="I18" s="71">
        <v>3213</v>
      </c>
      <c r="J18" s="71">
        <v>1224</v>
      </c>
      <c r="K18" s="71">
        <v>3648</v>
      </c>
      <c r="L18" s="71">
        <v>7185</v>
      </c>
      <c r="M18" s="71">
        <v>2163</v>
      </c>
      <c r="N18" s="71">
        <v>230</v>
      </c>
      <c r="O18" s="71">
        <v>4607</v>
      </c>
      <c r="P18" s="71">
        <v>2005</v>
      </c>
      <c r="Q18" s="71">
        <v>2250</v>
      </c>
      <c r="R18" s="71">
        <v>0</v>
      </c>
      <c r="S18" s="71">
        <v>190</v>
      </c>
      <c r="T18" s="71">
        <v>2785</v>
      </c>
      <c r="U18" s="71">
        <v>165</v>
      </c>
      <c r="V18" s="71">
        <v>-817</v>
      </c>
      <c r="W18" s="71">
        <v>-152</v>
      </c>
      <c r="X18" s="71">
        <v>857</v>
      </c>
      <c r="Y18" s="109">
        <v>-9907</v>
      </c>
      <c r="Z18" s="71">
        <v>0</v>
      </c>
      <c r="AA18" s="71">
        <v>2471</v>
      </c>
      <c r="AB18" s="71">
        <v>0</v>
      </c>
      <c r="AC18" s="71">
        <v>14</v>
      </c>
      <c r="AD18" s="71">
        <v>5.22</v>
      </c>
      <c r="AE18" s="71">
        <v>80.849999999999994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18" ph="1"/>
      <c r="C19" s="160" t="s" ph="1">
        <v>178</v>
      </c>
      <c r="D19" s="73" ph="1">
        <f>D18*7.0686*LOOKUP(D20,密度!$A$2:$A$50,密度!$L$2:$L$50)</f>
        <v>5868.2244852000003</v>
      </c>
      <c r="E19" s="73" ph="1">
        <f>E18*7.0686*LOOKUP(E20,密度!$A$2:$A$50,密度!$L$2:$L$50)</f>
        <v>36520.755994799998</v>
      </c>
      <c r="F19" s="73" ph="1">
        <f>F18*9.0746*LOOKUP(F20,密度!$A$2:$A$50,密度!$L$2:$L$50)</f>
        <v>18621.351438000002</v>
      </c>
      <c r="G19" s="73" ph="1">
        <f>G18*9.0746*LOOKUP(G20,密度!$A$2:$A$50,密度!$B$2:$B$50)</f>
        <v>21102.495901440001</v>
      </c>
      <c r="H19" s="73" ph="1">
        <f>H18*9.0746*LOOKUP(H20,密度!$A$2:$A$50,密度!$L$2:$L$50)</f>
        <v>37125.150507600003</v>
      </c>
      <c r="I19" s="73" ph="1">
        <f>I18*9.0746*LOOKUP(I20,密度!$A$2:$A$50,密度!$U$2:$U$50)</f>
        <v>29973.077114399999</v>
      </c>
      <c r="J19" s="73" ph="1">
        <f>J18*9.0746*LOOKUP(J20,密度!$A$2:$A$50,密度!$L$2:$L$50)</f>
        <v>10407.549844800002</v>
      </c>
      <c r="K19" s="73" ph="1">
        <f>K18*9.0746*LOOKUP(K20,密度!$A$2:$A$50,密度!$C$2:$C$50)</f>
        <v>36709.18173312</v>
      </c>
      <c r="L19" s="73" ph="1">
        <f>L18*9.0746*LOOKUP(L20,密度!$A$2:$A$50,密度!$E$2:$E$50)</f>
        <v>51065.423983200002</v>
      </c>
      <c r="M19" s="73" ph="1">
        <f>M18*9.0746*LOOKUP(M20,密度!$A$2:$A$50,密度!$M$2:$M$50)</f>
        <v>17157.149301180001</v>
      </c>
      <c r="N19" s="73" ph="1">
        <f>N18*9.0746*LOOKUP(N20,密度!$A$2:$A$50,密度!$M$2:$M$50)</f>
        <v>1828.1416921999999</v>
      </c>
      <c r="O19" s="73" ph="1">
        <f>O18*9.0746*LOOKUP(O20,密度!$A$2:$A$50,密度!$G$2:$G$50)</f>
        <v>40092.608229800004</v>
      </c>
      <c r="P19" s="73" ph="1">
        <f ca="1">P18*9.0746*LOOKUP(P20,密度!$A$2:$A$51,密度!$Q$2:$Q$50)</f>
        <v>17252.094118600002</v>
      </c>
      <c r="Q19" s="73" ph="1">
        <f>Q18*9.0746*LOOKUP(Q20,密度!$A$2:$A$50,密度!$Q$2:$Q$50)</f>
        <v>19330.395309000003</v>
      </c>
      <c r="R19" s="73" ph="1">
        <f>MAX(R18*9.0746*LOOKUP(R20,密度!$A$2:$A$50,密度!$Q$2:$Q$50),0)</f>
        <v>0</v>
      </c>
      <c r="S19" s="73" ph="1">
        <f>S18*9.0746*LOOKUP(S20,密度!$A$2:$A$50,密度!$Q$2:$Q$50)</f>
        <v>1632.3444927600001</v>
      </c>
      <c r="T19" s="73" ph="1">
        <f>T18*9.0746*LOOKUP(T20,密度!$A$2:$A$50,密度!$O$2:$O$50)</f>
        <v>23503.667730000005</v>
      </c>
      <c r="U19" s="73" ph="1">
        <f>U18*9.0746*LOOKUP(U20,密度!$A$2:$A$50,密度!$H$2:$H$50)</f>
        <v>1371.0858512999998</v>
      </c>
      <c r="V19" s="73" ph="1">
        <f>MAX(5600*LOOKUP(V20,密度!$A$2:$A$50,密度!$Q$2:$Q$50)+V18*9.0476*LOOKUP(V20,密度!$A$2:$A$50,密度!$Q$2:$Q$50),0)</f>
        <v>0</v>
      </c>
      <c r="W19" s="73" ph="1">
        <f>MAX(5600*LOOKUP(W20,密度!$A$2:$A$50,密度!$Q$2:$Q$50)+W18*9.0476*LOOKUP(W20,密度!$A$2:$A$50,密度!$Q$2:$Q$50),0)</f>
        <v>3996.7542437440002</v>
      </c>
      <c r="X19" s="73" ph="1">
        <f>MAX(5600*LOOKUP(X20,密度!$A$2:$A$50,密度!$I$2:$I$50)+X18*9.0476*LOOKUP(X20,密度!$A$2:$A$50,密度!$I$2:$I$50),0)</f>
        <v>13874.591134799997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17481.233213359999</v>
      </c>
      <c r="AB19" s="73" ph="1">
        <f>AB18*9.0746*LOOKUP(AB20,密度!$A$2:$A$50,密度!$L$2:$L$50)</f>
        <v>0</v>
      </c>
      <c r="AC19" s="73" ph="1">
        <f>AC18*9.0746*LOOKUP(AC20,密度!$A$2:$A$50,密度!$L$2:$L$50)</f>
        <v>119.0406028</v>
      </c>
      <c r="AD19" s="73" ph="1">
        <f>AD18*268.68*LOOKUP(AD20,密度!$A$2:$A$50,密度!B5:B53)+IF(AD18&lt;=0,0,1566*LOOKUP(AD20,密度!$A$2:$A$50,密度!B5:B53))</f>
        <v>2306.5319591999996</v>
      </c>
      <c r="AE19" s="73" ph="1">
        <f>AE18*268.68*LOOKUP(AE20,密度!$A$2:$A$50,密度!B5:B53)+IF(AE18&lt;=0,0,1566*LOOKUP(AE20,密度!$A$2:$A$50,密度!B5:B53))</f>
        <v>18095.380505999998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18" ph="1"/>
      <c r="C20" s="80" t="s" ph="1">
        <v>179</v>
      </c>
      <c r="D20" s="81">
        <v>25</v>
      </c>
      <c r="E20" s="81">
        <v>25</v>
      </c>
      <c r="F20" s="81">
        <v>25</v>
      </c>
      <c r="G20" s="81">
        <v>23</v>
      </c>
      <c r="H20" s="81">
        <v>20</v>
      </c>
      <c r="I20" s="81">
        <v>22</v>
      </c>
      <c r="J20" s="81">
        <v>25</v>
      </c>
      <c r="K20" s="81">
        <v>25</v>
      </c>
      <c r="L20" s="81">
        <v>25</v>
      </c>
      <c r="M20" s="81">
        <v>26</v>
      </c>
      <c r="N20" s="81">
        <v>24</v>
      </c>
      <c r="O20" s="81">
        <v>26</v>
      </c>
      <c r="P20" s="81">
        <v>23</v>
      </c>
      <c r="Q20" s="81">
        <v>25</v>
      </c>
      <c r="R20" s="81">
        <v>25</v>
      </c>
      <c r="S20" s="81">
        <v>25</v>
      </c>
      <c r="T20" s="81">
        <v>24</v>
      </c>
      <c r="U20" s="81">
        <v>24</v>
      </c>
      <c r="V20" s="81">
        <v>26</v>
      </c>
      <c r="W20" s="81">
        <v>26</v>
      </c>
      <c r="X20" s="81">
        <v>28</v>
      </c>
      <c r="Y20" s="110">
        <v>28</v>
      </c>
      <c r="Z20" s="81">
        <v>25</v>
      </c>
      <c r="AA20" s="81">
        <v>25</v>
      </c>
      <c r="AB20" s="81">
        <v>25</v>
      </c>
      <c r="AC20" s="81">
        <v>25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6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6" t="s" ph="1">
        <v>69</v>
      </c>
      <c r="AA22" s="227"/>
      <c r="AB22" s="227"/>
      <c r="AC22" s="227"/>
      <c r="AD22" s="227"/>
      <c r="AE22" s="228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0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610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229" t="s" ph="1">
        <v>646</v>
      </c>
      <c r="AA23" s="230"/>
      <c r="AB23" s="230"/>
      <c r="AC23" s="230"/>
      <c r="AD23" s="230"/>
      <c r="AE23" s="231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38" ph="1">
        <v>0.33333333333333331</v>
      </c>
      <c r="C24" s="160" t="s" ph="1">
        <v>177</v>
      </c>
      <c r="D24" s="71">
        <v>3.68</v>
      </c>
      <c r="E24" s="71">
        <v>5.59</v>
      </c>
      <c r="F24" s="71">
        <v>0</v>
      </c>
      <c r="G24" s="71">
        <v>3091</v>
      </c>
      <c r="H24" s="71">
        <v>3628</v>
      </c>
      <c r="I24" s="71">
        <v>1737</v>
      </c>
      <c r="J24" s="71">
        <v>304</v>
      </c>
      <c r="K24" s="71">
        <v>2536</v>
      </c>
      <c r="L24" s="71">
        <v>302</v>
      </c>
      <c r="M24" s="71">
        <v>327</v>
      </c>
      <c r="N24" s="71">
        <v>4754</v>
      </c>
      <c r="O24" s="71">
        <v>2158</v>
      </c>
      <c r="P24" s="71">
        <v>374</v>
      </c>
      <c r="Q24" s="90">
        <v>1196</v>
      </c>
      <c r="R24" s="71">
        <v>290</v>
      </c>
      <c r="S24" s="71">
        <v>2339</v>
      </c>
      <c r="T24" s="71">
        <v>3</v>
      </c>
      <c r="U24" s="71">
        <v>6450</v>
      </c>
      <c r="V24" s="71">
        <v>737</v>
      </c>
      <c r="W24" s="71">
        <v>432</v>
      </c>
      <c r="X24" s="71">
        <v>4917</v>
      </c>
      <c r="Y24" s="71">
        <v>3340</v>
      </c>
      <c r="Z24" s="232"/>
      <c r="AA24" s="233"/>
      <c r="AB24" s="233"/>
      <c r="AC24" s="233"/>
      <c r="AD24" s="233"/>
      <c r="AE24" s="234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38" ph="1"/>
      <c r="C25" s="68" t="s" ph="1">
        <v>178</v>
      </c>
      <c r="D25" s="91" ph="1">
        <f>D24*268.68*LOOKUP(D26,密度!$A$2:$A$50,密度!$Q$2:$Q$50)+IF(D24&lt;=0,0,1566*LOOKUP(D26,密度!$A$2:$A$50,密度!$Q$2:$Q$50))</f>
        <v>2418.6768197760002</v>
      </c>
      <c r="E25" s="91" ph="1">
        <f>E24*268.68*LOOKUP(E26,密度!$A$2:$A$50,密度!$C$2:$C$50)+IF(E24&lt;=0,0,1566*LOOKUP(E26,密度!$A$2:$A$50,密度!$C$2:$C$50))</f>
        <v>3402.0178186799999</v>
      </c>
      <c r="F25" s="91" ph="1">
        <f>F24*11.702*LOOKUP(F26,密度!$A$2:$A$50,密度!$Q$2:$Q$50)</f>
        <v>0</v>
      </c>
      <c r="G25" s="91" ph="1">
        <f>G24*18.322*LOOKUP(G26,密度!$A$2:$A$50,密度!$B$2:$B$50)</f>
        <v>44253.262182799997</v>
      </c>
      <c r="H25" s="91" ph="1">
        <f>H24*18.322*LOOKUP(H26,密度!$A$2:$A$50,密度!$B$2:$B$50)</f>
        <v>51821.739593599996</v>
      </c>
      <c r="I25" s="91" ph="1">
        <f>I24*18.322*LOOKUP(I26,密度!$A$2:$A$50,密度!$Q$2:$Q$50)</f>
        <v>30130.297776359999</v>
      </c>
      <c r="J25" s="91" ph="1">
        <f>J24*18.322*LOOKUP(J26,密度!$A$2:$A$50,密度!$Q$2:$Q$50)</f>
        <v>5281.3678016000003</v>
      </c>
      <c r="K25" s="91" ph="1">
        <f>K24*18.322*LOOKUP(K26,密度!$A$2:$A$50,密度!$Q$2:$Q$50)</f>
        <v>44099.079621279998</v>
      </c>
      <c r="L25" s="91" ph="1">
        <f>L24*18.322*LOOKUP(L26,密度!$A$2:$A$50,密度!$Q$2:$Q$50)</f>
        <v>5242.58269268</v>
      </c>
      <c r="M25" s="91" ph="1">
        <f>M24*18.322*LOOKUP(M26,密度!$A$2:$A$50,密度!$Q$2:$Q$50)</f>
        <v>5672.1976815600001</v>
      </c>
      <c r="N25" s="91" ph="1">
        <f>N24*18.322*LOOKUP(N26,密度!$A$2:$A$50,密度!$Q$2:$Q$50)</f>
        <v>82463.69351112</v>
      </c>
      <c r="O25" s="91" ph="1">
        <f>O24*18.322*LOOKUP(O26,密度!$A$2:$A$50,密度!$C$2:$C$50)</f>
        <v>43844.659596399993</v>
      </c>
      <c r="P25" s="91" ph="1">
        <f>P24*11.702*LOOKUP(P26,密度!$A$2:$A$50,密度!$B$2:$B$50)</f>
        <v>3408.0179275999994</v>
      </c>
      <c r="Q25" s="92" ph="1">
        <f>Q24*18.322*LOOKUP(Q26,密度!$A$2:$A$50,密度!$B$2:$B$50)</f>
        <v>17122.905716799996</v>
      </c>
      <c r="R25" s="91" ph="1">
        <f>R24*35.891*LOOKUP(R26,密度!$A$2:$A$50,密度!$C$2:$C$50)</f>
        <v>11541.863670999999</v>
      </c>
      <c r="S25" s="91" ph="1">
        <f>S24*35.891*LOOKUP(S26,密度!$A$2:$A$50,密度!$B$2:$B$50)</f>
        <v>65446.678600399995</v>
      </c>
      <c r="T25" s="91" ph="1">
        <f>T24*35.891*LOOKUP(T26,密度!$A$2:$A$50,密度!$Q$2:$Q$50)</f>
        <v>102.09553860000001</v>
      </c>
      <c r="U25" s="91" ph="1">
        <f>U24*35.891</f>
        <v>231496.94999999998</v>
      </c>
      <c r="V25" s="91" ph="1">
        <f>V24*47.051*LOOKUP(V26,密度!$A$2:$A$50,密度!$B$2:$B$50)</f>
        <v>27033.8672252</v>
      </c>
      <c r="W25" s="91" ph="1">
        <f>W24*47.051*LOOKUP(W26,密度!$A$2:$A$50,密度!$B$2:$B$50)</f>
        <v>15846.174547199998</v>
      </c>
      <c r="X25" s="91" ph="1">
        <f>X24*47.051*LOOKUP(X26,密度!$A$2:$A$61,密度!$I$2:$I$61)</f>
        <v>240372.407913</v>
      </c>
      <c r="Y25" s="91" ph="1">
        <f>Y24*47.051*LOOKUP(Y26,密度!$A$2:$A$50,密度!$L$2:$L$50)</f>
        <v>147092.71824000002</v>
      </c>
      <c r="Z25" s="232"/>
      <c r="AA25" s="233"/>
      <c r="AB25" s="233"/>
      <c r="AC25" s="233"/>
      <c r="AD25" s="233"/>
      <c r="AE25" s="234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38" ph="1"/>
      <c r="C26" s="68" t="s" ph="1">
        <v>179</v>
      </c>
      <c r="D26" s="74">
        <v>25</v>
      </c>
      <c r="E26" s="74">
        <v>25</v>
      </c>
      <c r="F26" s="74">
        <v>23</v>
      </c>
      <c r="G26" s="74">
        <v>23</v>
      </c>
      <c r="H26" s="74">
        <v>25</v>
      </c>
      <c r="I26" s="74">
        <v>25</v>
      </c>
      <c r="J26" s="74">
        <v>23</v>
      </c>
      <c r="K26" s="74">
        <v>22</v>
      </c>
      <c r="L26" s="74">
        <v>24</v>
      </c>
      <c r="M26" s="74">
        <v>25</v>
      </c>
      <c r="N26" s="74">
        <v>25</v>
      </c>
      <c r="O26" s="74">
        <v>25</v>
      </c>
      <c r="P26" s="74">
        <v>26</v>
      </c>
      <c r="Q26" s="93">
        <v>23</v>
      </c>
      <c r="R26" s="74">
        <v>25</v>
      </c>
      <c r="S26" s="74">
        <v>25</v>
      </c>
      <c r="T26" s="74">
        <v>23</v>
      </c>
      <c r="U26" s="74">
        <v>25</v>
      </c>
      <c r="V26" s="74">
        <v>25</v>
      </c>
      <c r="W26" s="74">
        <v>25</v>
      </c>
      <c r="X26" s="74">
        <v>28</v>
      </c>
      <c r="Y26" s="74">
        <v>26</v>
      </c>
      <c r="Z26" s="232"/>
      <c r="AA26" s="233"/>
      <c r="AB26" s="233"/>
      <c r="AC26" s="233"/>
      <c r="AD26" s="233"/>
      <c r="AE26" s="234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38" ph="1">
        <v>0.66666666666666663</v>
      </c>
      <c r="C27" s="160" t="s" ph="1">
        <v>180</v>
      </c>
      <c r="D27" s="71">
        <v>27.39</v>
      </c>
      <c r="E27" s="71">
        <v>5.59</v>
      </c>
      <c r="F27" s="71">
        <v>0</v>
      </c>
      <c r="G27" s="71">
        <v>2566</v>
      </c>
      <c r="H27" s="71">
        <v>2928</v>
      </c>
      <c r="I27" s="71">
        <v>1947</v>
      </c>
      <c r="J27" s="71">
        <v>303</v>
      </c>
      <c r="K27" s="71">
        <v>2161</v>
      </c>
      <c r="L27" s="71">
        <v>302</v>
      </c>
      <c r="M27" s="71">
        <v>325</v>
      </c>
      <c r="N27" s="71">
        <v>4754</v>
      </c>
      <c r="O27" s="71">
        <v>1728</v>
      </c>
      <c r="P27" s="71">
        <v>373</v>
      </c>
      <c r="Q27" s="90">
        <v>1465</v>
      </c>
      <c r="R27" s="71">
        <v>289</v>
      </c>
      <c r="S27" s="71">
        <v>2338</v>
      </c>
      <c r="T27" s="71">
        <v>2</v>
      </c>
      <c r="U27" s="71">
        <v>6559</v>
      </c>
      <c r="V27" s="71">
        <v>737</v>
      </c>
      <c r="W27" s="71">
        <v>432</v>
      </c>
      <c r="X27" s="71">
        <v>4792</v>
      </c>
      <c r="Y27" s="71">
        <v>2260</v>
      </c>
      <c r="Z27" s="232"/>
      <c r="AA27" s="233"/>
      <c r="AB27" s="233"/>
      <c r="AC27" s="233"/>
      <c r="AD27" s="233"/>
      <c r="AE27" s="234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38" ph="1"/>
      <c r="C28" s="160" t="s" ph="1">
        <v>178</v>
      </c>
      <c r="D28" s="91" ph="1">
        <f>D27*268.68*LOOKUP(D29,密度!$A$2:$A$50,密度!$Q$2:$Q$50)+IF(D27&lt;=0,0,1566*LOOKUP(D29,密度!$A$2:$A$50,密度!$Q$2:$Q$50))</f>
        <v>8449.7919666480011</v>
      </c>
      <c r="E28" s="91" ph="1">
        <f>E27*268.68*LOOKUP(E29,密度!$A$2:$A$50,密度!$C$2:$C$50)+IF(E27&lt;=0,0,1566*LOOKUP(E29,密度!$A$2:$A$50,密度!$C$2:$C$50))</f>
        <v>3402.0178186799999</v>
      </c>
      <c r="F28" s="91" ph="1">
        <f>F27*11.702*LOOKUP(F29,密度!$A$2:$A$50,密度!$Q$2:$Q$50)</f>
        <v>0</v>
      </c>
      <c r="G28" s="91" ph="1">
        <f>G27*18.322*LOOKUP(G29,密度!$A$2:$A$50,密度!$B$2:$B$50)</f>
        <v>36609.998032399999</v>
      </c>
      <c r="H28" s="91" ph="1">
        <f>H27*18.322*LOOKUP(H29,密度!$A$2:$A$50,密度!$B$2:$B$50)</f>
        <v>41774.775619199994</v>
      </c>
      <c r="I28" s="91" ph="1">
        <f>I27*18.322*LOOKUP(I29,密度!$A$2:$A$50,密度!$Q$2:$Q$50)</f>
        <v>33825.076018800006</v>
      </c>
      <c r="J28" s="91" ph="1">
        <f>J27*18.322*LOOKUP(J29,密度!$A$2:$A$50,密度!$Q$2:$Q$50)</f>
        <v>5255.8895948399995</v>
      </c>
      <c r="K28" s="91" ph="1">
        <f>K27*18.322*LOOKUP(K29,密度!$A$2:$A$50,密度!$Q$2:$Q$50)</f>
        <v>37485.073975079998</v>
      </c>
      <c r="L28" s="91" ph="1">
        <f>L27*18.322*LOOKUP(L29,密度!$A$2:$A$50,密度!$Q$2:$Q$50)</f>
        <v>5234.6148213199995</v>
      </c>
      <c r="M28" s="91" ph="1">
        <f>M27*18.322*LOOKUP(M29,密度!$A$2:$A$50,密度!$Q$2:$Q$50)</f>
        <v>5646.19913</v>
      </c>
      <c r="N28" s="91" ph="1">
        <f>N27*18.322*LOOKUP(N29,密度!$A$2:$A$50,密度!$Q$2:$Q$50)</f>
        <v>82590.863581600002</v>
      </c>
      <c r="O28" s="91" ph="1">
        <f>O27*18.322*LOOKUP(O29,密度!$A$2:$A$50,密度!$C$2:$C$50)</f>
        <v>35130.397593599992</v>
      </c>
      <c r="P28" s="91" ph="1">
        <f>P27*11.702*LOOKUP(P29,密度!$A$2:$A$50,密度!$B$2:$B$50)</f>
        <v>3410.6906643999996</v>
      </c>
      <c r="Q28" s="92" ph="1">
        <f>Q27*18.322*LOOKUP(Q29,密度!$A$2:$A$50,密度!$B$2:$B$50)</f>
        <v>20925.812707999998</v>
      </c>
      <c r="R28" s="91" ph="1">
        <f>R27*35.891*LOOKUP(R29,密度!$A$2:$A$50,密度!$C$2:$C$50)</f>
        <v>11502.0641411</v>
      </c>
      <c r="S28" s="91" ph="1">
        <f>S27*35.891*LOOKUP(S29,密度!$A$2:$A$50,密度!$B$2:$B$50)</f>
        <v>65569.741661199994</v>
      </c>
      <c r="T28" s="91" ph="1">
        <f>T27*35.891*LOOKUP(T29,密度!$A$2:$A$50,密度!$Q$2:$Q$50)</f>
        <v>67.958890679999996</v>
      </c>
      <c r="U28" s="91" ph="1">
        <f>U27*35.891</f>
        <v>235409.06899999999</v>
      </c>
      <c r="V28" s="91" ph="1">
        <f>V27*47.051*LOOKUP(V29,密度!$A$2:$A$50,密度!$B$2:$B$50)</f>
        <v>27002.658296899997</v>
      </c>
      <c r="W28" s="91" ph="1">
        <f>W27*47.051*LOOKUP(W29,密度!$A$2:$A$50,密度!$B$2:$B$50)</f>
        <v>15827.881118399999</v>
      </c>
      <c r="X28" s="91" ph="1">
        <f>X27*47.051*LOOKUP(X29,密度!$A$2:$A$61,密度!$I$2:$I$61)</f>
        <v>234261.659288</v>
      </c>
      <c r="Y28" s="91" ph="1">
        <f>Y27*47.051*LOOKUP(Y29,密度!$A$2:$A$50,密度!$L$2:$L$50)</f>
        <v>99636.138620000012</v>
      </c>
      <c r="Z28" s="232"/>
      <c r="AA28" s="233"/>
      <c r="AB28" s="233"/>
      <c r="AC28" s="233"/>
      <c r="AD28" s="233"/>
      <c r="AE28" s="234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38" ph="1"/>
      <c r="C29" s="160" t="s" ph="1">
        <v>179</v>
      </c>
      <c r="D29" s="74">
        <v>25</v>
      </c>
      <c r="E29" s="74">
        <v>25</v>
      </c>
      <c r="F29" s="74">
        <v>27</v>
      </c>
      <c r="G29" s="74">
        <v>26</v>
      </c>
      <c r="H29" s="74">
        <v>26</v>
      </c>
      <c r="I29" s="74">
        <v>23</v>
      </c>
      <c r="J29" s="74">
        <v>25</v>
      </c>
      <c r="K29" s="74">
        <v>25</v>
      </c>
      <c r="L29" s="74">
        <v>26</v>
      </c>
      <c r="M29" s="74">
        <v>23</v>
      </c>
      <c r="N29" s="74">
        <v>23</v>
      </c>
      <c r="O29" s="74">
        <v>24</v>
      </c>
      <c r="P29" s="74">
        <v>23</v>
      </c>
      <c r="Q29" s="93">
        <v>25</v>
      </c>
      <c r="R29" s="74">
        <v>25</v>
      </c>
      <c r="S29" s="74">
        <v>23</v>
      </c>
      <c r="T29" s="74">
        <v>25</v>
      </c>
      <c r="U29" s="74">
        <v>26</v>
      </c>
      <c r="V29" s="74">
        <v>26</v>
      </c>
      <c r="W29" s="74">
        <v>26</v>
      </c>
      <c r="X29" s="74">
        <v>28</v>
      </c>
      <c r="Y29" s="74">
        <v>25</v>
      </c>
      <c r="Z29" s="235"/>
      <c r="AA29" s="236"/>
      <c r="AB29" s="236"/>
      <c r="AC29" s="236"/>
      <c r="AD29" s="236"/>
      <c r="AE29" s="237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1" t="s" ph="1">
        <v>35</v>
      </c>
      <c r="C31" s="222" ph="1"/>
      <c r="D31" s="225" t="s" ph="1">
        <v>9</v>
      </c>
      <c r="E31" s="200" ph="1"/>
      <c r="F31" s="201" ph="1"/>
      <c r="G31" s="225" t="s" ph="1">
        <v>18</v>
      </c>
      <c r="H31" s="200" ph="1"/>
      <c r="I31" s="201" ph="1"/>
      <c r="J31" s="199" t="s" ph="1">
        <v>1</v>
      </c>
      <c r="K31" s="200" ph="1"/>
      <c r="L31" s="201" ph="1"/>
      <c r="M31" s="199" t="s" ph="1">
        <v>7</v>
      </c>
      <c r="N31" s="200" ph="1"/>
      <c r="O31" s="201" ph="1"/>
      <c r="P31" s="199" t="s" ph="1">
        <v>41</v>
      </c>
      <c r="Q31" s="200"/>
      <c r="R31" s="201"/>
      <c r="S31" s="199" t="s" ph="1">
        <v>2</v>
      </c>
      <c r="T31" s="200"/>
      <c r="U31" s="201"/>
      <c r="V31" s="199" t="s" ph="1">
        <v>71</v>
      </c>
      <c r="W31" s="200" ph="1"/>
      <c r="X31" s="201" ph="1"/>
      <c r="Y31" s="199" t="s" ph="1">
        <v>3</v>
      </c>
      <c r="Z31" s="200" ph="1"/>
      <c r="AA31" s="201" ph="1"/>
      <c r="AB31" s="202" t="s">
        <v>42</v>
      </c>
      <c r="AC31" s="203"/>
      <c r="AD31" s="203"/>
      <c r="AE31" s="204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3" ph="1"/>
      <c r="C32" s="224" ph="1"/>
      <c r="D32" s="96" t="s" ph="1">
        <v>4</v>
      </c>
      <c r="E32" s="160" t="s" ph="1">
        <v>5</v>
      </c>
      <c r="F32" s="161" t="s" ph="1">
        <v>43</v>
      </c>
      <c r="G32" s="97" t="s" ph="1">
        <v>4</v>
      </c>
      <c r="H32" s="160" t="s" ph="1">
        <v>5</v>
      </c>
      <c r="I32" s="161" t="s" ph="1">
        <v>43</v>
      </c>
      <c r="J32" s="97" t="s" ph="1">
        <v>4</v>
      </c>
      <c r="K32" s="160" t="s" ph="1">
        <v>5</v>
      </c>
      <c r="L32" s="161" t="s" ph="1">
        <v>43</v>
      </c>
      <c r="M32" s="97" t="s" ph="1">
        <v>4</v>
      </c>
      <c r="N32" s="160" t="s" ph="1">
        <v>5</v>
      </c>
      <c r="O32" s="161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60" t="s" ph="1">
        <v>5</v>
      </c>
      <c r="U32" s="99" t="s" ph="1">
        <v>43</v>
      </c>
      <c r="V32" s="97" t="s" ph="1">
        <v>4</v>
      </c>
      <c r="W32" s="160" t="s" ph="1">
        <v>5</v>
      </c>
      <c r="X32" s="99" t="s" ph="1">
        <v>43</v>
      </c>
      <c r="Y32" s="100" t="s" ph="1">
        <v>4</v>
      </c>
      <c r="Z32" s="160" t="s" ph="1">
        <v>5</v>
      </c>
      <c r="AA32" s="161" t="s" ph="1">
        <v>43</v>
      </c>
      <c r="AB32" s="97" t="s" ph="1">
        <v>85</v>
      </c>
      <c r="AC32" s="160" t="s" ph="1">
        <v>84</v>
      </c>
      <c r="AD32" s="205" t="s" ph="1">
        <v>83</v>
      </c>
      <c r="AE32" s="206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7" t="s" ph="1">
        <v>181</v>
      </c>
      <c r="C33" s="208" ph="1"/>
      <c r="D33" s="187" ph="1">
        <f>AA10+AB10+Z19</f>
        <v>89726.10203509999</v>
      </c>
      <c r="E33" s="187" ph="1">
        <f>M10+I10</f>
        <v>129338.19266229999</v>
      </c>
      <c r="F33" s="211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1522252632456786910111213141516171819202123456789101112131415161718192022232424356789101112131415161718192021222345678910111213141516171819202345678910111213149101516171819222123234567891012131415161711181920212224252345678910111213120[[#This Row],[F25]]</f>
        <v>3880</v>
      </c>
      <c r="G33" s="213" ph="1">
        <f>N19</f>
        <v>1828.1416921999999</v>
      </c>
      <c r="H33" s="187" ph="1">
        <f>M19</f>
        <v>17157.149301180001</v>
      </c>
      <c r="I33" s="191" ph="1">
        <v>0</v>
      </c>
      <c r="J33" s="195" ph="1">
        <f>F10+O28</f>
        <v>253444.79567069997</v>
      </c>
      <c r="K33" s="187" ph="1">
        <f>O10+K10+E28+R28</f>
        <v>43189.485369379996</v>
      </c>
      <c r="L33" s="197" ph="1">
        <f>K19</f>
        <v>36709.18173312</v>
      </c>
      <c r="M33" s="195" ph="1">
        <f>G10+H10+W28+S28+V28+E10+R19+P28+Q28</f>
        <v>447016.01804689999</v>
      </c>
      <c r="N33" s="187" ph="1">
        <f>L10+P10++G28+H28+AD19+AE19</f>
        <v>143531.28647180001</v>
      </c>
      <c r="O33" s="191" ph="1">
        <f>G19</f>
        <v>21102.495901440001</v>
      </c>
      <c r="P33" s="195" ph="1">
        <f>L19</f>
        <v>51065.423983200002</v>
      </c>
      <c r="Q33" s="187" ph="1">
        <f>J10+N10</f>
        <v>84332.174876799996</v>
      </c>
      <c r="R33" s="191" ph="1">
        <f>BE23</f>
        <v>890</v>
      </c>
      <c r="S33" s="195" ph="1">
        <f>X28</f>
        <v>234261.659288</v>
      </c>
      <c r="T33" s="187" ph="1">
        <f>X19</f>
        <v>13874.591134799997</v>
      </c>
      <c r="U33" s="176" ph="1">
        <f>BE21</f>
        <v>730</v>
      </c>
      <c r="V33" s="189" ph="1">
        <f ca="1">P19+Q19+S19+M28+N28+J28+D10+AC10+D19+E19+H19+J19+O19+V19+W19+K28+L28</f>
        <v>743894.15952020418</v>
      </c>
      <c r="W33" s="189" ph="1">
        <f>D28+F28+T28+I28</f>
        <v>42342.826876128005</v>
      </c>
      <c r="X33" s="191" ph="1">
        <f>BE29+BE31</f>
        <v>10200</v>
      </c>
      <c r="Y33" s="193" ph="1">
        <f>+Q10+R10+S10+T10+U10+V10+W10+X10+Y10</f>
        <v>210648.29496480001</v>
      </c>
      <c r="Z33" s="174" ph="1">
        <f>T19+U19+Y28+Z10</f>
        <v>300776.99722130003</v>
      </c>
      <c r="AA33" s="176" ph="1">
        <f>BE19</f>
        <v>1440</v>
      </c>
      <c r="AB33" s="178" ph="1">
        <f>I19</f>
        <v>29973.077114399999</v>
      </c>
      <c r="AC33" s="180" ph="1">
        <f>AD10+AB19</f>
        <v>46752.043756799998</v>
      </c>
      <c r="AD33" s="182" ph="1">
        <v>0</v>
      </c>
      <c r="AE33" s="183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9" ph="1"/>
      <c r="C34" s="210" ph="1"/>
      <c r="D34" s="188" ph="1"/>
      <c r="E34" s="188" ph="1"/>
      <c r="F34" s="212" ph="1"/>
      <c r="G34" s="214" ph="1"/>
      <c r="H34" s="188" ph="1"/>
      <c r="I34" s="192" ph="1"/>
      <c r="J34" s="196" ph="1"/>
      <c r="K34" s="188" ph="1"/>
      <c r="L34" s="198" ph="1"/>
      <c r="M34" s="196" ph="1"/>
      <c r="N34" s="188" ph="1"/>
      <c r="O34" s="192" ph="1"/>
      <c r="P34" s="196" ph="1"/>
      <c r="Q34" s="188" ph="1"/>
      <c r="R34" s="192" ph="1"/>
      <c r="S34" s="196" ph="1"/>
      <c r="T34" s="188"/>
      <c r="U34" s="177"/>
      <c r="V34" s="190" ph="1"/>
      <c r="W34" s="190" ph="1"/>
      <c r="X34" s="192" ph="1"/>
      <c r="Y34" s="194" ph="1"/>
      <c r="Z34" s="175" ph="1"/>
      <c r="AA34" s="177" ph="1"/>
      <c r="AB34" s="179"/>
      <c r="AC34" s="181"/>
      <c r="AD34" s="184"/>
      <c r="AE34" s="185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6" t="s" ph="1">
        <v>631</v>
      </c>
      <c r="AD35" s="186"/>
      <c r="AE35" s="186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2" t="s" ph="1">
        <v>183</v>
      </c>
      <c r="J36" s="172" ph="1"/>
      <c r="K36" s="101" ph="1"/>
      <c r="P36" s="101" ph="1"/>
      <c r="R36" s="172" t="s" ph="1">
        <v>184</v>
      </c>
      <c r="S36" s="172" ph="1"/>
      <c r="Y36" s="102" ph="1"/>
      <c r="Z36" s="162" t="s" ph="1">
        <v>185</v>
      </c>
      <c r="AA36" s="162" ph="1"/>
      <c r="AB36" s="173" t="s" ph="1">
        <v>643</v>
      </c>
      <c r="AC36" s="173" ph="1"/>
      <c r="AD36" s="173" ph="1"/>
      <c r="AE36" s="173" ph="1"/>
      <c r="BA36" s="64" ph="1">
        <v>2270</v>
      </c>
    </row>
    <row r="37" spans="1:57" s="162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62" t="s" ph="1">
        <v>342</v>
      </c>
      <c r="AI37" s="162" t="s" ph="1">
        <v>209</v>
      </c>
      <c r="AJ37" s="162" t="s" ph="1">
        <v>210</v>
      </c>
      <c r="AK37" s="162" t="s" ph="1">
        <v>211</v>
      </c>
      <c r="AM37" s="162" t="s" ph="1">
        <v>210</v>
      </c>
      <c r="AN37" s="162" t="s" ph="1">
        <v>211</v>
      </c>
      <c r="AO37" s="162" t="s" ph="1">
        <v>212</v>
      </c>
      <c r="AP37" s="162" t="s" ph="1">
        <v>210</v>
      </c>
      <c r="AQ37" s="162" t="s" ph="1">
        <v>211</v>
      </c>
      <c r="AR37" s="162" t="s" ph="1">
        <v>212</v>
      </c>
      <c r="AS37" s="162" t="s" ph="1">
        <v>210</v>
      </c>
      <c r="AT37" s="162" t="s" ph="1">
        <v>211</v>
      </c>
      <c r="AU37" s="162" t="s" ph="1">
        <v>212</v>
      </c>
      <c r="AV37" s="162" t="s" ph="1">
        <v>210</v>
      </c>
      <c r="AW37" s="162" t="s" ph="1">
        <v>211</v>
      </c>
      <c r="AX37" s="162" t="s" ph="1">
        <v>212</v>
      </c>
      <c r="AY37" s="162" t="s" ph="1">
        <v>211</v>
      </c>
      <c r="AZ37" s="162" t="s" ph="1">
        <v>213</v>
      </c>
      <c r="BD37" s="162" t="s" ph="1">
        <v>305</v>
      </c>
      <c r="BE37" s="162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P56" s="64" ph="1">
        <v>20260804</v>
      </c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N33:N34"/>
    <mergeCell ref="O33:O34"/>
    <mergeCell ref="P33:P34"/>
    <mergeCell ref="Q33:Q34"/>
    <mergeCell ref="R33:R34"/>
    <mergeCell ref="S33:S34"/>
    <mergeCell ref="H33:H34"/>
    <mergeCell ref="I33:I34"/>
    <mergeCell ref="J33:J34"/>
    <mergeCell ref="K33:K34"/>
    <mergeCell ref="L33:L34"/>
    <mergeCell ref="M33:M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B31:C32"/>
    <mergeCell ref="D31:F31"/>
    <mergeCell ref="G31:I31"/>
    <mergeCell ref="J31:L31"/>
    <mergeCell ref="M31:O31"/>
    <mergeCell ref="P31:R31"/>
    <mergeCell ref="B13:B14"/>
    <mergeCell ref="B15:B17"/>
    <mergeCell ref="B18:B20"/>
    <mergeCell ref="B22:B23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664" priority="103">
      <formula>ABS(D$7-D$10)&gt;=1000</formula>
    </cfRule>
  </conditionalFormatting>
  <conditionalFormatting sqref="E4 E6:E11">
    <cfRule type="expression" dxfId="663" priority="102">
      <formula>ABS(E$7-E$10)&gt;=1000</formula>
    </cfRule>
  </conditionalFormatting>
  <conditionalFormatting sqref="F4:F11">
    <cfRule type="expression" dxfId="662" priority="101">
      <formula>ABS(F$7-F$10)&gt;=1000</formula>
    </cfRule>
  </conditionalFormatting>
  <conditionalFormatting sqref="G4:G11">
    <cfRule type="expression" dxfId="661" priority="100">
      <formula>ABS(G$7-G$10)&gt;=1000</formula>
    </cfRule>
  </conditionalFormatting>
  <conditionalFormatting sqref="H4:H11">
    <cfRule type="expression" dxfId="660" priority="99">
      <formula>ABS(H$7-H$10)&gt;=1000</formula>
    </cfRule>
  </conditionalFormatting>
  <conditionalFormatting sqref="I4:I11">
    <cfRule type="expression" dxfId="659" priority="98">
      <formula>ABS(I$7-I$10)&gt;=1000</formula>
    </cfRule>
  </conditionalFormatting>
  <conditionalFormatting sqref="J4:J11">
    <cfRule type="expression" dxfId="658" priority="97">
      <formula>ABS(J$7-J$10)&gt;=1000</formula>
    </cfRule>
  </conditionalFormatting>
  <conditionalFormatting sqref="K4:K11">
    <cfRule type="expression" dxfId="657" priority="96">
      <formula>ABS(K$7-K$10)&gt;=1000</formula>
    </cfRule>
  </conditionalFormatting>
  <conditionalFormatting sqref="L4:L11">
    <cfRule type="expression" dxfId="656" priority="95">
      <formula>ABS(L$7-L$10)&gt;=1000</formula>
    </cfRule>
  </conditionalFormatting>
  <conditionalFormatting sqref="M4 M6:M11">
    <cfRule type="expression" dxfId="655" priority="94">
      <formula>ABS(M$7-M$10)&gt;=1000</formula>
    </cfRule>
  </conditionalFormatting>
  <conditionalFormatting sqref="N4 N6:N11">
    <cfRule type="expression" dxfId="654" priority="93">
      <formula>ABS(N$7-N$10)&gt;=1000</formula>
    </cfRule>
  </conditionalFormatting>
  <conditionalFormatting sqref="O4 O6:O11">
    <cfRule type="expression" dxfId="653" priority="92">
      <formula>ABS(O$7-O$10)&gt;=1000</formula>
    </cfRule>
  </conditionalFormatting>
  <conditionalFormatting sqref="P4 P6:P11">
    <cfRule type="expression" dxfId="652" priority="91">
      <formula>ABS(P$7-P$10)&gt;=1000</formula>
    </cfRule>
  </conditionalFormatting>
  <conditionalFormatting sqref="Q4:Q11">
    <cfRule type="expression" dxfId="651" priority="90">
      <formula>ABS(Q$7-Q$10)&gt;=1000</formula>
    </cfRule>
  </conditionalFormatting>
  <conditionalFormatting sqref="R4:R11">
    <cfRule type="expression" dxfId="650" priority="89">
      <formula>ABS(R$7-R$10)&gt;=1000</formula>
    </cfRule>
  </conditionalFormatting>
  <conditionalFormatting sqref="S4:S11">
    <cfRule type="expression" dxfId="649" priority="88">
      <formula>ABS(S$7-S$10)&gt;=1000</formula>
    </cfRule>
  </conditionalFormatting>
  <conditionalFormatting sqref="T4:T9 T11">
    <cfRule type="expression" dxfId="648" priority="87">
      <formula>ABS(T$7-T$10)&gt;=1000</formula>
    </cfRule>
  </conditionalFormatting>
  <conditionalFormatting sqref="U4:U9 U11">
    <cfRule type="expression" dxfId="647" priority="86">
      <formula>ABS(U$7-U$10)&gt;=1000</formula>
    </cfRule>
  </conditionalFormatting>
  <conditionalFormatting sqref="V4:V9 V11">
    <cfRule type="expression" dxfId="646" priority="85">
      <formula>ABS(V$7-V$10)&gt;=1000</formula>
    </cfRule>
  </conditionalFormatting>
  <conditionalFormatting sqref="W4:W9 W11">
    <cfRule type="expression" dxfId="645" priority="84">
      <formula>ABS(W$7-W$10)&gt;=1000</formula>
    </cfRule>
  </conditionalFormatting>
  <conditionalFormatting sqref="X4:X9 X11">
    <cfRule type="expression" dxfId="644" priority="83">
      <formula>ABS(X$7-X$10)&gt;=1000</formula>
    </cfRule>
  </conditionalFormatting>
  <conditionalFormatting sqref="Y4:Y9 Y11">
    <cfRule type="expression" dxfId="643" priority="82">
      <formula>ABS(Y$7-Y$10)&gt;=1000</formula>
    </cfRule>
  </conditionalFormatting>
  <conditionalFormatting sqref="Z4:Z11">
    <cfRule type="expression" dxfId="642" priority="81">
      <formula>ABS(Z$7-Z$10)&gt;=1000</formula>
    </cfRule>
  </conditionalFormatting>
  <conditionalFormatting sqref="AA4:AA11">
    <cfRule type="expression" dxfId="641" priority="80">
      <formula>ABS(AA$7-AA$10)&gt;=1000</formula>
    </cfRule>
  </conditionalFormatting>
  <conditionalFormatting sqref="AB4:AB11">
    <cfRule type="expression" dxfId="640" priority="79">
      <formula>ABS(AB$7-AB$10)&gt;=1000</formula>
    </cfRule>
  </conditionalFormatting>
  <conditionalFormatting sqref="AC4 AC6:AC11">
    <cfRule type="expression" dxfId="639" priority="78">
      <formula>ABS(AC$7-AC$10)&gt;=1000</formula>
    </cfRule>
  </conditionalFormatting>
  <conditionalFormatting sqref="AD4 AD6:AD11">
    <cfRule type="expression" dxfId="638" priority="77">
      <formula>ABS(AD$7-AD$10)&gt;=1000</formula>
    </cfRule>
  </conditionalFormatting>
  <conditionalFormatting sqref="AE4 AE6:AE11">
    <cfRule type="expression" dxfId="637" priority="76">
      <formula>ABS(AE$7-AE$10)&gt;=1000</formula>
    </cfRule>
  </conditionalFormatting>
  <conditionalFormatting sqref="D13:D20">
    <cfRule type="expression" dxfId="636" priority="75">
      <formula>ABS(D$16-D$19)&gt;=1000</formula>
    </cfRule>
  </conditionalFormatting>
  <conditionalFormatting sqref="E13:E20">
    <cfRule type="expression" dxfId="635" priority="74">
      <formula>ABS(E$16-E$19)&gt;=1000</formula>
    </cfRule>
  </conditionalFormatting>
  <conditionalFormatting sqref="F13 F15:F20">
    <cfRule type="expression" dxfId="634" priority="73">
      <formula>ABS(F$16-F$19)&gt;=1000</formula>
    </cfRule>
  </conditionalFormatting>
  <conditionalFormatting sqref="G13:G20">
    <cfRule type="expression" dxfId="633" priority="72">
      <formula>ABS(G$16-G$19)&gt;=1000</formula>
    </cfRule>
  </conditionalFormatting>
  <conditionalFormatting sqref="H13 H15:H20">
    <cfRule type="expression" dxfId="632" priority="71">
      <formula>ABS(H$16-H$19)&gt;=1000</formula>
    </cfRule>
  </conditionalFormatting>
  <conditionalFormatting sqref="I13:I20">
    <cfRule type="expression" dxfId="631" priority="70">
      <formula>ABS(I$16-I$19)&gt;=1000</formula>
    </cfRule>
  </conditionalFormatting>
  <conditionalFormatting sqref="J13:J20">
    <cfRule type="expression" dxfId="630" priority="69">
      <formula>ABS(J$16-J$19)&gt;=1000</formula>
    </cfRule>
  </conditionalFormatting>
  <conditionalFormatting sqref="L13:L20">
    <cfRule type="expression" dxfId="629" priority="68">
      <formula>ABS(L$16-L$19)&gt;=1000</formula>
    </cfRule>
  </conditionalFormatting>
  <conditionalFormatting sqref="M13 M15 M17:M18 M20">
    <cfRule type="expression" dxfId="628" priority="67">
      <formula>ABS(M$16-M$19)&gt;=1000</formula>
    </cfRule>
  </conditionalFormatting>
  <conditionalFormatting sqref="N13:N20">
    <cfRule type="expression" dxfId="627" priority="66">
      <formula>ABS(N$16-N$19)&gt;=1000</formula>
    </cfRule>
  </conditionalFormatting>
  <conditionalFormatting sqref="O13:O20">
    <cfRule type="expression" dxfId="626" priority="65">
      <formula>ABS(O$16-O$19)&gt;=1000</formula>
    </cfRule>
  </conditionalFormatting>
  <conditionalFormatting sqref="P13:P20">
    <cfRule type="expression" dxfId="625" priority="64">
      <formula>ABS(P$16-P$19)&gt;=1000</formula>
    </cfRule>
  </conditionalFormatting>
  <conditionalFormatting sqref="Q13 Q15:Q20">
    <cfRule type="expression" dxfId="624" priority="63">
      <formula>ABS(Q$16-Q$19)&gt;=1000</formula>
    </cfRule>
  </conditionalFormatting>
  <conditionalFormatting sqref="R13 R15:R20">
    <cfRule type="expression" dxfId="623" priority="62">
      <formula>ABS(R$16-R$19)&gt;=1000</formula>
    </cfRule>
  </conditionalFormatting>
  <conditionalFormatting sqref="S13:S20">
    <cfRule type="expression" dxfId="622" priority="61">
      <formula>ABS(S$16-S$19)&gt;=1000</formula>
    </cfRule>
  </conditionalFormatting>
  <conditionalFormatting sqref="T13:T15 T17:T20">
    <cfRule type="expression" dxfId="621" priority="60">
      <formula>ABS(T$16-T$19)&gt;=1000</formula>
    </cfRule>
  </conditionalFormatting>
  <conditionalFormatting sqref="U13:U20">
    <cfRule type="expression" dxfId="620" priority="59">
      <formula>ABS(U$16-U$19)&gt;=1000</formula>
    </cfRule>
  </conditionalFormatting>
  <conditionalFormatting sqref="V13:V20">
    <cfRule type="expression" dxfId="619" priority="58">
      <formula>ABS(V$16-V$19)&gt;=1000</formula>
    </cfRule>
  </conditionalFormatting>
  <conditionalFormatting sqref="W13 W20 W15:W18">
    <cfRule type="expression" dxfId="618" priority="57">
      <formula>ABS(W$16-W$19)&gt;=1000</formula>
    </cfRule>
  </conditionalFormatting>
  <conditionalFormatting sqref="X13 X15:X20 Y19">
    <cfRule type="expression" dxfId="617" priority="56">
      <formula>ABS(X$16-X$19)&gt;=1000</formula>
    </cfRule>
  </conditionalFormatting>
  <conditionalFormatting sqref="Y13 Y15:Y18 Y20">
    <cfRule type="expression" dxfId="616" priority="55">
      <formula>ABS(Y$16-Y$19)&gt;=1000</formula>
    </cfRule>
  </conditionalFormatting>
  <conditionalFormatting sqref="Z13:Z20">
    <cfRule type="expression" dxfId="615" priority="54">
      <formula>ABS(Z$16-Z$19)&gt;=1000</formula>
    </cfRule>
  </conditionalFormatting>
  <conditionalFormatting sqref="AA13:AA20">
    <cfRule type="expression" dxfId="614" priority="53">
      <formula>ABS(AA$16-AA$19)&gt;=1000</formula>
    </cfRule>
  </conditionalFormatting>
  <conditionalFormatting sqref="AB13 AB15:AB20">
    <cfRule type="expression" dxfId="613" priority="52">
      <formula>ABS(AB$16-AB$19)&gt;=1000</formula>
    </cfRule>
  </conditionalFormatting>
  <conditionalFormatting sqref="AC13 AC15:AC20">
    <cfRule type="expression" dxfId="612" priority="51">
      <formula>ABS(AC$16-AC$19)&gt;=1000</formula>
    </cfRule>
  </conditionalFormatting>
  <conditionalFormatting sqref="AD13:AD20">
    <cfRule type="expression" dxfId="611" priority="50">
      <formula>ABS(AD$16-AD$19)&gt;=1000</formula>
    </cfRule>
  </conditionalFormatting>
  <conditionalFormatting sqref="AE13:AE20">
    <cfRule type="expression" dxfId="610" priority="49">
      <formula>ABS(AE$16-AE$19)&gt;=1000</formula>
    </cfRule>
  </conditionalFormatting>
  <conditionalFormatting sqref="D22:D29">
    <cfRule type="expression" dxfId="609" priority="48">
      <formula>ABS(D$25-D$28)&gt;=1000</formula>
    </cfRule>
  </conditionalFormatting>
  <conditionalFormatting sqref="E22:E29">
    <cfRule type="expression" dxfId="608" priority="47">
      <formula>ABS(E$25-E$28)&gt;=1000</formula>
    </cfRule>
  </conditionalFormatting>
  <conditionalFormatting sqref="F22:F29">
    <cfRule type="expression" dxfId="607" priority="46">
      <formula>ABS(F$25-F$28)&gt;=1000</formula>
    </cfRule>
  </conditionalFormatting>
  <conditionalFormatting sqref="G22:G29">
    <cfRule type="expression" dxfId="606" priority="45">
      <formula>ABS(G$25-G$28)&gt;=1000</formula>
    </cfRule>
  </conditionalFormatting>
  <conditionalFormatting sqref="H22:H29">
    <cfRule type="expression" dxfId="605" priority="44">
      <formula>ABS(H$25-H$28)&gt;=1000</formula>
    </cfRule>
  </conditionalFormatting>
  <conditionalFormatting sqref="I22 I24:I29">
    <cfRule type="expression" dxfId="604" priority="43">
      <formula>ABS(I$25-I$28)&gt;=1000</formula>
    </cfRule>
  </conditionalFormatting>
  <conditionalFormatting sqref="J22:J29 K22">
    <cfRule type="expression" dxfId="603" priority="42">
      <formula>ABS(J$25-J$28)&gt;=1000</formula>
    </cfRule>
  </conditionalFormatting>
  <conditionalFormatting sqref="K23:K29 L25 L28">
    <cfRule type="expression" dxfId="602" priority="41">
      <formula>ABS(K$25-K$28)&gt;=1000</formula>
    </cfRule>
  </conditionalFormatting>
  <conditionalFormatting sqref="L22 L26:L27 L29 L24">
    <cfRule type="expression" dxfId="601" priority="40">
      <formula>ABS(L$25-L$28)&gt;=1000</formula>
    </cfRule>
  </conditionalFormatting>
  <conditionalFormatting sqref="M22:M29">
    <cfRule type="expression" dxfId="600" priority="39">
      <formula>ABS(M$25-M$28)&gt;=1000</formula>
    </cfRule>
  </conditionalFormatting>
  <conditionalFormatting sqref="N22:N29">
    <cfRule type="expression" dxfId="599" priority="38">
      <formula>ABS(N$25-N$28)&gt;=1000</formula>
    </cfRule>
  </conditionalFormatting>
  <conditionalFormatting sqref="O22 O24:O29">
    <cfRule type="expression" dxfId="598" priority="37">
      <formula>ABS(O$25-O$28)&gt;=1000</formula>
    </cfRule>
  </conditionalFormatting>
  <conditionalFormatting sqref="P22:P29">
    <cfRule type="expression" dxfId="597" priority="36">
      <formula>ABS(P$25-P$28)&gt;=1000</formula>
    </cfRule>
  </conditionalFormatting>
  <conditionalFormatting sqref="Q22:Q29">
    <cfRule type="expression" dxfId="596" priority="35">
      <formula>ABS(Q$25-Q$28)&gt;=1000</formula>
    </cfRule>
  </conditionalFormatting>
  <conditionalFormatting sqref="R22:R29">
    <cfRule type="expression" dxfId="595" priority="34">
      <formula>ABS(R$25-R$28)&gt;=1000</formula>
    </cfRule>
  </conditionalFormatting>
  <conditionalFormatting sqref="S22:S29">
    <cfRule type="expression" dxfId="594" priority="33">
      <formula>ABS(S$25-S$28)&gt;=1000</formula>
    </cfRule>
  </conditionalFormatting>
  <conditionalFormatting sqref="T22:T29">
    <cfRule type="expression" dxfId="593" priority="32">
      <formula>ABS(T$25-T$28)&gt;=1000</formula>
    </cfRule>
  </conditionalFormatting>
  <conditionalFormatting sqref="U22:U29">
    <cfRule type="expression" dxfId="592" priority="31">
      <formula>ABS(U$25-U$28)&gt;=1000</formula>
    </cfRule>
  </conditionalFormatting>
  <conditionalFormatting sqref="V22:V29">
    <cfRule type="expression" dxfId="591" priority="30">
      <formula>ABS(V$25-V$28)&gt;=1000</formula>
    </cfRule>
  </conditionalFormatting>
  <conditionalFormatting sqref="W22:W29">
    <cfRule type="expression" dxfId="590" priority="29">
      <formula>ABS(W$25-W$28)&gt;=1000</formula>
    </cfRule>
  </conditionalFormatting>
  <conditionalFormatting sqref="X22:X29">
    <cfRule type="expression" dxfId="589" priority="28">
      <formula>ABS(X$25-X$28)&gt;=1000</formula>
    </cfRule>
  </conditionalFormatting>
  <conditionalFormatting sqref="Y22:Y29">
    <cfRule type="expression" dxfId="588" priority="27">
      <formula>ABS(Y$25-Y$28)&gt;=1000</formula>
    </cfRule>
  </conditionalFormatting>
  <conditionalFormatting sqref="I23">
    <cfRule type="expression" dxfId="587" priority="26">
      <formula>ABS(I$25-I$28)&gt;=1000</formula>
    </cfRule>
  </conditionalFormatting>
  <conditionalFormatting sqref="Q14">
    <cfRule type="expression" dxfId="586" priority="25">
      <formula>ABS(Q$16-Q$19)&gt;=1000</formula>
    </cfRule>
  </conditionalFormatting>
  <conditionalFormatting sqref="W14">
    <cfRule type="expression" dxfId="585" priority="24">
      <formula>ABS(W$16-W$19)&gt;=1000</formula>
    </cfRule>
  </conditionalFormatting>
  <conditionalFormatting sqref="X14">
    <cfRule type="expression" dxfId="584" priority="23">
      <formula>ABS(X$16-X$19)&gt;=1000</formula>
    </cfRule>
  </conditionalFormatting>
  <conditionalFormatting sqref="T10:Y10">
    <cfRule type="expression" dxfId="583" priority="22">
      <formula>ABS(T$7-T$10)&gt;=1000</formula>
    </cfRule>
  </conditionalFormatting>
  <conditionalFormatting sqref="W19">
    <cfRule type="expression" dxfId="582" priority="21">
      <formula>ABS(W$16-W$19)&gt;=1000</formula>
    </cfRule>
  </conditionalFormatting>
  <conditionalFormatting sqref="AC5">
    <cfRule type="expression" dxfId="581" priority="20">
      <formula>ABS(AC$7-AC$10)&gt;=1000</formula>
    </cfRule>
  </conditionalFormatting>
  <conditionalFormatting sqref="M14">
    <cfRule type="expression" dxfId="580" priority="19">
      <formula>ABS(M$16-M$19)&gt;=1000</formula>
    </cfRule>
  </conditionalFormatting>
  <conditionalFormatting sqref="M16">
    <cfRule type="expression" dxfId="579" priority="18">
      <formula>ABS(M$16-M$19)&gt;=1000</formula>
    </cfRule>
  </conditionalFormatting>
  <conditionalFormatting sqref="M19">
    <cfRule type="expression" dxfId="578" priority="17">
      <formula>ABS(M$16-M$19)&gt;=1000</formula>
    </cfRule>
  </conditionalFormatting>
  <conditionalFormatting sqref="K13:K20">
    <cfRule type="expression" dxfId="577" priority="16">
      <formula>ABS(K$16-K$19)&gt;=1000</formula>
    </cfRule>
  </conditionalFormatting>
  <conditionalFormatting sqref="E5">
    <cfRule type="expression" dxfId="576" priority="15">
      <formula>ABS(E$7-E$10)&gt;=1000</formula>
    </cfRule>
  </conditionalFormatting>
  <conditionalFormatting sqref="AB14:AC14">
    <cfRule type="expression" dxfId="575" priority="14">
      <formula>ABS(AB$16-AB$19)&gt;=1000</formula>
    </cfRule>
  </conditionalFormatting>
  <conditionalFormatting sqref="M5">
    <cfRule type="expression" dxfId="574" priority="13">
      <formula>ABS(M$7-M$10)&gt;=1000</formula>
    </cfRule>
  </conditionalFormatting>
  <conditionalFormatting sqref="N5">
    <cfRule type="expression" dxfId="573" priority="12">
      <formula>ABS(N$7-N$10)&gt;=1000</formula>
    </cfRule>
  </conditionalFormatting>
  <conditionalFormatting sqref="O5">
    <cfRule type="expression" dxfId="572" priority="11">
      <formula>ABS(O$7-O$10)&gt;=1000</formula>
    </cfRule>
  </conditionalFormatting>
  <conditionalFormatting sqref="P5">
    <cfRule type="expression" dxfId="571" priority="10">
      <formula>ABS(P$7-P$10)&gt;=1000</formula>
    </cfRule>
  </conditionalFormatting>
  <conditionalFormatting sqref="L23">
    <cfRule type="expression" dxfId="570" priority="9">
      <formula>ABS(L$25-L$28)&gt;=1000</formula>
    </cfRule>
  </conditionalFormatting>
  <conditionalFormatting sqref="Y14">
    <cfRule type="expression" dxfId="569" priority="8">
      <formula>ABS(Y$16-Y$19)&gt;=1000</formula>
    </cfRule>
  </conditionalFormatting>
  <conditionalFormatting sqref="H14">
    <cfRule type="expression" dxfId="568" priority="7">
      <formula>ABS(H$16-H$19)&gt;=1000</formula>
    </cfRule>
  </conditionalFormatting>
  <conditionalFormatting sqref="AD5">
    <cfRule type="expression" dxfId="567" priority="6">
      <formula>ABS(AD$7-AD$10)&gt;=1000</formula>
    </cfRule>
  </conditionalFormatting>
  <conditionalFormatting sqref="AE5">
    <cfRule type="expression" dxfId="566" priority="5">
      <formula>ABS(AE$7-AE$10)&gt;=1000</formula>
    </cfRule>
  </conditionalFormatting>
  <conditionalFormatting sqref="T16">
    <cfRule type="expression" dxfId="565" priority="4">
      <formula>ABS(T$16-T$19)&gt;=1000</formula>
    </cfRule>
  </conditionalFormatting>
  <conditionalFormatting sqref="O23">
    <cfRule type="expression" dxfId="564" priority="3">
      <formula>ABS(O$25-O$28)&gt;=1000</formula>
    </cfRule>
  </conditionalFormatting>
  <conditionalFormatting sqref="F14">
    <cfRule type="expression" dxfId="563" priority="2">
      <formula>ABS(F$16-F$19)&gt;=1000</formula>
    </cfRule>
  </conditionalFormatting>
  <conditionalFormatting sqref="R14">
    <cfRule type="expression" dxfId="532" priority="1">
      <formula>ABS(R$16-R$19)&gt;=1000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47073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962">
    <pageSetUpPr fitToPage="1"/>
  </sheetPr>
  <dimension ref="A1:CU223"/>
  <sheetViews>
    <sheetView view="pageBreakPreview" topLeftCell="B1" zoomScale="85" zoomScaleNormal="100" zoomScaleSheetLayoutView="85" workbookViewId="0">
      <selection activeCell="Z23" sqref="Z23:AE29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39" t="s" ph="1">
        <v>161</v>
      </c>
      <c r="C1" s="239" ph="1"/>
      <c r="D1" s="239" ph="1"/>
      <c r="E1" s="239" ph="1"/>
      <c r="F1" s="239" ph="1"/>
      <c r="G1" s="239" ph="1"/>
      <c r="H1" s="239" ph="1"/>
      <c r="I1" s="239" ph="1"/>
      <c r="J1" s="239" ph="1"/>
      <c r="K1" s="239" ph="1"/>
      <c r="L1" s="239" ph="1"/>
      <c r="M1" s="239" ph="1"/>
      <c r="N1" s="239" ph="1"/>
      <c r="O1" s="239" ph="1"/>
      <c r="P1" s="239" ph="1"/>
      <c r="Q1" s="239" ph="1"/>
      <c r="R1" s="239" ph="1"/>
      <c r="S1" s="239" ph="1"/>
      <c r="T1" s="239" ph="1"/>
      <c r="U1" s="239" ph="1"/>
      <c r="V1" s="239" ph="1"/>
      <c r="W1" s="239" ph="1"/>
      <c r="X1" s="239" ph="1"/>
      <c r="Y1" s="239" ph="1"/>
      <c r="Z1" s="239" ph="1"/>
      <c r="AA1" s="239" ph="1"/>
      <c r="AB1" s="239" ph="1"/>
      <c r="AC1" s="239" ph="1"/>
      <c r="AD1" s="239" ph="1"/>
      <c r="AE1" s="239" ph="1"/>
    </row>
    <row r="2" spans="1:99" s="66" customFormat="1" ht="24" customHeight="1" ph="1">
      <c r="B2" s="240" t="s" ph="1">
        <v>82</v>
      </c>
      <c r="C2" s="240" ph="1"/>
      <c r="D2" s="240" ph="1"/>
      <c r="E2" s="240" ph="1"/>
      <c r="F2" s="240" ph="1"/>
      <c r="G2" s="240" ph="1"/>
      <c r="H2" s="240" ph="1"/>
      <c r="I2" s="240" ph="1"/>
      <c r="J2" s="240" ph="1"/>
      <c r="K2" s="240" ph="1"/>
      <c r="L2" s="240" ph="1"/>
      <c r="M2" s="240" ph="1"/>
      <c r="N2" s="240" ph="1"/>
      <c r="O2" s="240" ph="1"/>
      <c r="P2" s="240" ph="1"/>
      <c r="Q2" s="240" ph="1"/>
      <c r="R2" s="240" ph="1"/>
      <c r="S2" s="240" ph="1"/>
      <c r="T2" s="240" ph="1"/>
      <c r="U2" s="240" ph="1"/>
      <c r="V2" s="240" ph="1"/>
      <c r="W2" s="240" ph="1"/>
      <c r="X2" s="240" ph="1"/>
      <c r="Y2" s="240" ph="1"/>
      <c r="Z2" s="240" ph="1"/>
      <c r="AA2" s="240" ph="1"/>
      <c r="AB2" s="240" ph="1"/>
      <c r="AC2" s="240" ph="1"/>
      <c r="AD2" s="240" ph="1"/>
      <c r="AE2" s="240" ph="1"/>
    </row>
    <row r="3" spans="1:99" ht="21" customHeight="1" ph="1">
      <c r="B3" s="241" ph="1">
        <v>46260</v>
      </c>
      <c r="C3" s="241"/>
      <c r="D3" s="241"/>
      <c r="E3" s="241"/>
      <c r="F3" s="241"/>
      <c r="G3" s="241"/>
      <c r="H3" s="241"/>
      <c r="I3" s="241"/>
      <c r="J3" s="241"/>
      <c r="K3" s="241"/>
      <c r="L3" s="241"/>
      <c r="M3" s="241"/>
      <c r="N3" s="241"/>
      <c r="O3" s="241"/>
      <c r="P3" s="241"/>
      <c r="Q3" s="241"/>
      <c r="R3" s="241"/>
      <c r="S3" s="241"/>
      <c r="T3" s="241"/>
      <c r="U3" s="241"/>
      <c r="V3" s="241"/>
      <c r="W3" s="241"/>
      <c r="X3" s="241"/>
      <c r="Y3" s="241"/>
      <c r="Z3" s="241"/>
      <c r="AA3" s="241"/>
      <c r="AB3" s="241"/>
      <c r="AC3" s="241"/>
      <c r="AD3" s="241"/>
      <c r="AE3" s="241"/>
    </row>
    <row r="4" spans="1:99" s="69" customFormat="1" ph="1">
      <c r="A4" s="65" ph="1"/>
      <c r="B4" s="220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0" ph="1"/>
      <c r="C5" s="67" t="s" ph="1">
        <v>36</v>
      </c>
      <c r="D5" s="70" t="s" ph="1">
        <v>160</v>
      </c>
      <c r="E5" s="142" t="s" ph="1">
        <v>617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8" ph="1">
        <v>0.33333333333333331</v>
      </c>
      <c r="C6" s="160" t="s" ph="1">
        <v>177</v>
      </c>
      <c r="D6" s="71">
        <v>7071</v>
      </c>
      <c r="E6" s="71">
        <v>3567</v>
      </c>
      <c r="F6" s="71">
        <v>5931</v>
      </c>
      <c r="G6" s="71">
        <v>1498</v>
      </c>
      <c r="H6" s="71">
        <v>3087</v>
      </c>
      <c r="I6" s="71">
        <v>17.53</v>
      </c>
      <c r="J6" s="71">
        <v>76.45</v>
      </c>
      <c r="K6" s="71">
        <v>39.92</v>
      </c>
      <c r="L6" s="71">
        <v>6.89</v>
      </c>
      <c r="M6" s="71">
        <v>3643</v>
      </c>
      <c r="N6" s="71">
        <v>2568</v>
      </c>
      <c r="O6" s="71">
        <v>1502</v>
      </c>
      <c r="P6" s="71">
        <v>1056</v>
      </c>
      <c r="Q6" s="71">
        <v>0</v>
      </c>
      <c r="R6" s="71">
        <v>0</v>
      </c>
      <c r="S6" s="71">
        <v>2635</v>
      </c>
      <c r="T6" s="71">
        <v>7148</v>
      </c>
      <c r="U6" s="71">
        <v>6646</v>
      </c>
      <c r="V6" s="71">
        <v>5897</v>
      </c>
      <c r="W6" s="71">
        <v>0</v>
      </c>
      <c r="X6" s="71">
        <v>0</v>
      </c>
      <c r="Y6" s="71">
        <v>0</v>
      </c>
      <c r="Z6" s="71">
        <v>6243</v>
      </c>
      <c r="AA6" s="71">
        <v>1299</v>
      </c>
      <c r="AB6" s="71">
        <v>2166</v>
      </c>
      <c r="AC6" s="71">
        <v>4527</v>
      </c>
      <c r="AD6" s="71">
        <v>2381</v>
      </c>
      <c r="AE6" s="71">
        <v>5670</v>
      </c>
    </row>
    <row r="7" spans="1:99" s="72" customFormat="1" ht="22.2" ph="1">
      <c r="B7" s="238" ph="1"/>
      <c r="C7" s="68" t="s" ph="1">
        <v>178</v>
      </c>
      <c r="D7" s="73" ph="1">
        <f>D6*33.183*LOOKUP(D8,密度!$A$2:$A$50,密度!$Q$2:$Q$50)</f>
        <v>221973.63448779</v>
      </c>
      <c r="E7" s="73" ph="1">
        <f>E6*51.53*LOOKUP(E8,密度!$A$2:$A$50,密度!$B$2:$B$50)</f>
        <v>143296.33479600001</v>
      </c>
      <c r="F7" s="73" ph="1">
        <f>F6*33.183*LOOKUP(F8,密度!$A$2:$A$50,密度!$C$2:$C$50)</f>
        <v>218240.80481969999</v>
      </c>
      <c r="G7" s="73" ph="1">
        <f xml:space="preserve"> (G6+2)*51.53*LOOKUP(G8,密度!$A$2:$A$50,密度!$B$2:$B$50)</f>
        <v>60189.616499999996</v>
      </c>
      <c r="H7" s="73" ph="1">
        <f>(H6)*51.53*LOOKUP(H8,密度!$A$2:$A$50,密度!$B$2:$B$50)</f>
        <v>124156.562355</v>
      </c>
      <c r="I7" s="73" ph="1">
        <f>I6*290.8*1.0267</f>
        <v>5233.8332307999999</v>
      </c>
      <c r="J7" s="73" ph="1">
        <f>J6*290.8*0.7892</f>
        <v>17545.226072000001</v>
      </c>
      <c r="K7" s="73" ph="1">
        <f>K6*290.8*1.1126</f>
        <v>12915.8796736</v>
      </c>
      <c r="L7" s="73" ph="1">
        <f>L6*290.8*0.777</f>
        <v>1556.8065240000001</v>
      </c>
      <c r="M7" s="73" ph="1">
        <f>M6*33.183*LOOKUP(M8,密度!$A$2:$A$50,密度!$D$2:$D$50)</f>
        <v>124113.31636229999</v>
      </c>
      <c r="N7" s="73" ph="1">
        <f>N6*33.183*LOOKUP(N8,密度!$A$2:$A$50,密度!$E$2:$E$50)</f>
        <v>66841.817673600002</v>
      </c>
      <c r="O7" s="73" ph="1">
        <f>O6*20.428*LOOKUP(O8,密度!$A$2:$A$50,密度!$C$2:$C$50)</f>
        <v>33907.624165599998</v>
      </c>
      <c r="P7" s="73" ph="1">
        <f>P6*51.53*LOOKUP(P8,密度!$A$2:$A$50,密度!$B$2:$B$50)</f>
        <v>42520.412351999999</v>
      </c>
      <c r="Q7" s="73" ph="1">
        <f>Q6*1.5*1.5*3.1416*LOOKUP(W8,密度!$A$2:$A$50,密度!$L$2:$L$50)</f>
        <v>0</v>
      </c>
      <c r="R7" s="73" ph="1">
        <f>R6*1.5*1.5*3.1416*LOOKUP(R8,密度!$A$2:$A$50,密度!$L$2:$L$50)</f>
        <v>0</v>
      </c>
      <c r="S7" s="73" ph="1">
        <f>S6*1.5*1.5*3.1416*LOOKUP(S8,密度!$A$2:$A$50,密度!$L$2:$L$50)</f>
        <v>17489.589578999996</v>
      </c>
      <c r="T7" s="73" ph="1">
        <f>T6*1.5*1.5*3.1416*LOOKUP(T8,密度!$A$2:$A$50,密度!$L$2:$L$50)</f>
        <v>47595.824337599995</v>
      </c>
      <c r="U7" s="73" ph="1">
        <f>U6*1.5*1.5*3.1416*LOOKUP(U8,密度!$A$2:$A$50,密度!$L$2:$L$50)</f>
        <v>44018.306917200003</v>
      </c>
      <c r="V7" s="73" ph="1">
        <f>V6*1.5*1.5*3.1416*LOOKUP(V8,密度!$A$2:$A$50,密度!$L$2:$L$50)</f>
        <v>39057.471545400003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193903.13498400003</v>
      </c>
      <c r="AA7" s="73" ph="1">
        <f>AA6*33.183*LOOKUP(AA8,密度!$A$2:$A$50,密度!$D$2:$D$50)</f>
        <v>44255.612943899992</v>
      </c>
      <c r="AB7" s="73" ph="1">
        <f>AB6*20.428*LOOKUP(AB8,密度!$A$2:$A$50,密度!$D$2:$D$50)</f>
        <v>45671.8029456</v>
      </c>
      <c r="AC7" s="73" ph="1">
        <f>AC6*51.53*LOOKUP(AC8,密度!$A$2:$A$50,密度!$Q$2:$Q$50)</f>
        <v>220686.38754930001</v>
      </c>
      <c r="AD7" s="73" ph="1">
        <f>AD6*20.428*LOOKUP(AD8,密度!$A$2:$A$50,密度!$V$2:$V$50)</f>
        <v>46732.416534399999</v>
      </c>
      <c r="AE7" s="73" ph="1">
        <f>AE6*20.428</f>
        <v>115826.76000000001</v>
      </c>
    </row>
    <row r="8" spans="1:99" ph="1">
      <c r="B8" s="238" ph="1"/>
      <c r="C8" s="68" t="s" ph="1">
        <v>179</v>
      </c>
      <c r="D8" s="74">
        <v>26</v>
      </c>
      <c r="E8" s="74">
        <v>25</v>
      </c>
      <c r="F8" s="74">
        <v>25</v>
      </c>
      <c r="G8" s="74">
        <v>26</v>
      </c>
      <c r="H8" s="74">
        <v>24</v>
      </c>
      <c r="I8" s="74">
        <v>25</v>
      </c>
      <c r="J8" s="74">
        <v>25</v>
      </c>
      <c r="K8" s="74">
        <v>25</v>
      </c>
      <c r="L8" s="74">
        <v>25</v>
      </c>
      <c r="M8" s="74">
        <v>25</v>
      </c>
      <c r="N8" s="74">
        <v>24</v>
      </c>
      <c r="O8" s="74">
        <v>30</v>
      </c>
      <c r="P8" s="74">
        <v>23</v>
      </c>
      <c r="Q8" s="74">
        <v>28</v>
      </c>
      <c r="R8" s="74">
        <v>32</v>
      </c>
      <c r="S8" s="74">
        <v>23</v>
      </c>
      <c r="T8" s="74">
        <v>20</v>
      </c>
      <c r="U8" s="74">
        <v>25</v>
      </c>
      <c r="V8" s="74">
        <v>25</v>
      </c>
      <c r="W8" s="74">
        <v>25</v>
      </c>
      <c r="X8" s="74">
        <v>20</v>
      </c>
      <c r="Y8" s="74">
        <v>27</v>
      </c>
      <c r="Z8" s="74">
        <v>26</v>
      </c>
      <c r="AA8" s="74">
        <v>25</v>
      </c>
      <c r="AB8" s="74">
        <v>19</v>
      </c>
      <c r="AC8" s="74">
        <v>26</v>
      </c>
      <c r="AD8" s="74">
        <v>23</v>
      </c>
      <c r="AE8" s="74">
        <v>27</v>
      </c>
    </row>
    <row r="9" spans="1:99" ht="26.4" ph="1">
      <c r="B9" s="238" ph="1">
        <v>0.66666666666666663</v>
      </c>
      <c r="C9" s="160" t="s" ph="1">
        <v>180</v>
      </c>
      <c r="D9" s="71">
        <v>7074</v>
      </c>
      <c r="E9" s="71">
        <v>3564</v>
      </c>
      <c r="F9" s="71">
        <v>5935</v>
      </c>
      <c r="G9" s="71">
        <v>1252</v>
      </c>
      <c r="H9" s="71">
        <v>3516</v>
      </c>
      <c r="I9" s="71">
        <v>17.440000000000001</v>
      </c>
      <c r="J9" s="71">
        <v>76.69</v>
      </c>
      <c r="K9" s="71">
        <v>9.67</v>
      </c>
      <c r="L9" s="71">
        <v>6.88</v>
      </c>
      <c r="M9" s="71">
        <v>3643</v>
      </c>
      <c r="N9" s="71">
        <v>2456</v>
      </c>
      <c r="O9" s="71">
        <v>1334</v>
      </c>
      <c r="P9" s="71">
        <v>517</v>
      </c>
      <c r="Q9" s="71">
        <v>0</v>
      </c>
      <c r="R9" s="71">
        <v>0</v>
      </c>
      <c r="S9" s="71">
        <v>0</v>
      </c>
      <c r="T9" s="71">
        <v>7148</v>
      </c>
      <c r="U9" s="71">
        <v>6653</v>
      </c>
      <c r="V9" s="71">
        <v>5905</v>
      </c>
      <c r="W9" s="71">
        <v>6950</v>
      </c>
      <c r="X9" s="71">
        <v>4324</v>
      </c>
      <c r="Y9" s="71">
        <v>0</v>
      </c>
      <c r="Z9" s="71">
        <v>3170</v>
      </c>
      <c r="AA9" s="71">
        <v>1301</v>
      </c>
      <c r="AB9" s="71">
        <v>2041</v>
      </c>
      <c r="AC9" s="71">
        <v>4851</v>
      </c>
      <c r="AD9" s="71">
        <v>2381</v>
      </c>
      <c r="AE9" s="71">
        <v>5643</v>
      </c>
    </row>
    <row r="10" spans="1:99" s="72" customFormat="1" ht="22.2" ph="1">
      <c r="B10" s="238" ph="1"/>
      <c r="C10" s="160" t="s" ph="1">
        <v>178</v>
      </c>
      <c r="D10" s="73" ph="1">
        <f>D9*33.183*LOOKUP(D11,密度!$A$2:$A$50,密度!$Q$2:$Q$50)</f>
        <v>221736.83230404</v>
      </c>
      <c r="E10" s="73" ph="1">
        <f>E9*51.53*LOOKUP(E11,密度!$A$2:$A$50,密度!$B$2:$B$50)</f>
        <v>142386.10887600001</v>
      </c>
      <c r="F10" s="73" ph="1">
        <f>F9*33.183*LOOKUP(F11,密度!$A$2:$A$50,密度!$C$2:$C$50)</f>
        <v>218092.579677</v>
      </c>
      <c r="G10" s="73" ph="1">
        <f xml:space="preserve"> (G9+2)*51.53*LOOKUP(G11,密度!$A$2:$A$50,密度!$B$2:$B$50)</f>
        <v>50098.816085999999</v>
      </c>
      <c r="H10" s="73" ph="1">
        <f>(H9)*51.53*LOOKUP(H11,密度!$A$2:$A$50,密度!$B$2:$B$50)</f>
        <v>140468.45084400001</v>
      </c>
      <c r="I10" s="73" ph="1">
        <f>I9*290.8*1.0267</f>
        <v>5206.9624383999999</v>
      </c>
      <c r="J10" s="73" ph="1">
        <f>J9*290.8*0.7892</f>
        <v>17600.305918400001</v>
      </c>
      <c r="K10" s="73" ph="1">
        <f>K9*290.8*1.1126</f>
        <v>3128.6712536</v>
      </c>
      <c r="L10" s="73" ph="1">
        <f>L9*290.8*0.777</f>
        <v>1554.547008</v>
      </c>
      <c r="M10" s="73" ph="1">
        <f>M9*33.183*LOOKUP(M11,密度!$A$2:$A$50,密度!$D$2:$D$50)</f>
        <v>123327.55951379999</v>
      </c>
      <c r="N10" s="73" ph="1">
        <f>N9*33.183*LOOKUP(N11,密度!$A$2:$A$50,密度!$E$2:$E$50)</f>
        <v>63828.801273600002</v>
      </c>
      <c r="O10" s="73" ph="1">
        <f>O9*20.428*LOOKUP(O11,密度!$A$2:$A$50,密度!$C$2:$C$50)</f>
        <v>29973.322104800005</v>
      </c>
      <c r="P10" s="73" ph="1">
        <f>P9*51.53*LOOKUP(P11,密度!$A$2:$A$50,密度!$B$2:$B$50)</f>
        <v>20561.531518000003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47494.771631999996</v>
      </c>
      <c r="U10" s="73" ph="1">
        <f>U9*1.5*1.5*3.1416*LOOKUP(U11,密度!$A$2:$A$50,密度!$L$2:$L$50)</f>
        <v>44064.6698646</v>
      </c>
      <c r="V10" s="73" ph="1">
        <f>V9*1.5*1.5*3.1416*LOOKUP(V11,密度!$A$2:$A$50,密度!$L$2:$L$50)</f>
        <v>38985.237522000003</v>
      </c>
      <c r="W10" s="73" ph="1">
        <f>W9*1.5*1.5*3.1416*LOOKUP(W11,密度!$A$2:$A$50,密度!$L$2:$L$50)</f>
        <v>45982.656719999999</v>
      </c>
      <c r="X10" s="73" ph="1">
        <f>X9*1.5*1.5*3.1416*LOOKUP(X11,密度!$A$2:$A$50,密度!$L$2:$L$50)</f>
        <v>28791.878068800001</v>
      </c>
      <c r="Y10" s="73" ph="1">
        <f>Y9*1.5*1.5*3.1416*LOOKUP(Y11,密度!$A$2:$A$50,密度!$L$2:$L$50)</f>
        <v>0</v>
      </c>
      <c r="Z10" s="73" ph="1">
        <f>Z9*33.183*LOOKUP(Z11,密度!$A$2:$A$50,密度!$L$2:$L$50)</f>
        <v>98247.562740000008</v>
      </c>
      <c r="AA10" s="73" ph="1">
        <f>AA9*33.183*LOOKUP(AA11,密度!$A$2:$A$50,密度!$D$2:$D$50)</f>
        <v>44120.846826000001</v>
      </c>
      <c r="AB10" s="73" ph="1">
        <f>AB9*20.428*LOOKUP(AB11,密度!$A$2:$A$50,密度!$D$2:$D$50)</f>
        <v>42965.201214000001</v>
      </c>
      <c r="AC10" s="73" ph="1">
        <f>AC9*51.53*LOOKUP(AC11,密度!$A$2:$A$50,密度!$Q$2:$Q$50)</f>
        <v>235806.11505990001</v>
      </c>
      <c r="AD10" s="73" ph="1">
        <f>AD9*20.428*LOOKUP(AD11,密度!$A$2:$A$50,密度!$V$2:$V$50)</f>
        <v>46576.7715168</v>
      </c>
      <c r="AE10" s="73" ph="1">
        <f>AE9*20.428</f>
        <v>115275.204</v>
      </c>
    </row>
    <row r="11" spans="1:99" ph="1">
      <c r="A11" s="64" t="s" ph="1">
        <v>162</v>
      </c>
      <c r="B11" s="238" ph="1"/>
      <c r="C11" s="160" t="s" ph="1">
        <v>179</v>
      </c>
      <c r="D11" s="74">
        <v>28</v>
      </c>
      <c r="E11" s="74">
        <v>30</v>
      </c>
      <c r="F11" s="74">
        <v>27</v>
      </c>
      <c r="G11" s="74">
        <v>30</v>
      </c>
      <c r="H11" s="74">
        <v>30</v>
      </c>
      <c r="I11" s="74">
        <v>25</v>
      </c>
      <c r="J11" s="74">
        <v>25</v>
      </c>
      <c r="K11" s="74">
        <v>25</v>
      </c>
      <c r="L11" s="74">
        <v>25</v>
      </c>
      <c r="M11" s="74">
        <v>32</v>
      </c>
      <c r="N11" s="74">
        <v>25</v>
      </c>
      <c r="O11" s="74">
        <v>35</v>
      </c>
      <c r="P11" s="74">
        <v>34</v>
      </c>
      <c r="Q11" s="74">
        <v>38</v>
      </c>
      <c r="R11" s="74">
        <v>35</v>
      </c>
      <c r="S11" s="74">
        <v>32</v>
      </c>
      <c r="T11" s="74">
        <v>22</v>
      </c>
      <c r="U11" s="74">
        <v>25</v>
      </c>
      <c r="V11" s="74">
        <v>28</v>
      </c>
      <c r="W11" s="74">
        <v>26</v>
      </c>
      <c r="X11" s="74">
        <v>20</v>
      </c>
      <c r="Y11" s="74">
        <v>36</v>
      </c>
      <c r="Z11" s="74">
        <v>28</v>
      </c>
      <c r="AA11" s="74">
        <v>30</v>
      </c>
      <c r="AB11" s="74">
        <v>21</v>
      </c>
      <c r="AC11" s="74">
        <v>30</v>
      </c>
      <c r="AD11" s="74">
        <v>29</v>
      </c>
      <c r="AE11" s="74">
        <v>31</v>
      </c>
    </row>
    <row r="12" spans="1:99" ht="9.9" customHeight="1" ph="1"/>
    <row r="13" spans="1:99" s="72" customFormat="1" ht="29.25" customHeight="1" ph="1">
      <c r="B13" s="215" t="s" ph="1">
        <v>37</v>
      </c>
      <c r="C13" s="160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6" ph="1"/>
      <c r="C14" s="67" t="s" ph="1">
        <v>36</v>
      </c>
      <c r="D14" s="77" t="s" ph="1">
        <v>616</v>
      </c>
      <c r="E14" s="77" t="s" ph="1">
        <v>616</v>
      </c>
      <c r="F14" s="77" t="s" ph="1">
        <v>647</v>
      </c>
      <c r="G14" s="77" t="s" ph="1">
        <v>617</v>
      </c>
      <c r="H14" s="77" t="s" ph="1">
        <v>637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638</v>
      </c>
      <c r="P14" s="77" t="s" ph="1">
        <v>622</v>
      </c>
      <c r="Q14" s="77" t="s" ph="1">
        <v>622</v>
      </c>
      <c r="R14" s="77" t="s" ph="1">
        <v>622</v>
      </c>
      <c r="S14" s="77" t="s" ph="1">
        <v>622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17" ph="1">
        <v>0.33333333333333331</v>
      </c>
      <c r="C15" s="160" t="s" ph="1">
        <v>177</v>
      </c>
      <c r="D15" s="78">
        <v>0</v>
      </c>
      <c r="E15" s="78">
        <v>4457</v>
      </c>
      <c r="F15" s="78">
        <v>2189</v>
      </c>
      <c r="G15" s="78">
        <v>3246</v>
      </c>
      <c r="H15" s="78">
        <v>4343</v>
      </c>
      <c r="I15" s="78">
        <v>3213</v>
      </c>
      <c r="J15" s="78">
        <v>1223</v>
      </c>
      <c r="K15" s="78">
        <v>3647</v>
      </c>
      <c r="L15" s="78">
        <v>7183</v>
      </c>
      <c r="M15" s="78">
        <v>2161</v>
      </c>
      <c r="N15" s="78">
        <v>230</v>
      </c>
      <c r="O15" s="78">
        <v>4607</v>
      </c>
      <c r="P15" s="78">
        <v>2005</v>
      </c>
      <c r="Q15" s="78">
        <v>2246</v>
      </c>
      <c r="R15" s="78">
        <v>0</v>
      </c>
      <c r="S15" s="78">
        <v>189</v>
      </c>
      <c r="T15" s="78">
        <v>2801</v>
      </c>
      <c r="U15" s="78">
        <v>165</v>
      </c>
      <c r="V15" s="78">
        <v>-817</v>
      </c>
      <c r="W15" s="71">
        <v>-152</v>
      </c>
      <c r="X15" s="78">
        <v>857</v>
      </c>
      <c r="Y15" s="106">
        <v>-9907</v>
      </c>
      <c r="Z15" s="78">
        <v>0</v>
      </c>
      <c r="AA15" s="78">
        <v>2469</v>
      </c>
      <c r="AB15" s="78" ph="1">
        <v>0</v>
      </c>
      <c r="AC15" s="78" ph="1">
        <v>0</v>
      </c>
      <c r="AD15" s="78">
        <v>5.76</v>
      </c>
      <c r="AE15" s="78">
        <v>47.42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18" ph="1"/>
      <c r="C16" s="160" t="s" ph="1">
        <v>178</v>
      </c>
      <c r="D16" s="73" ph="1">
        <f>D15*7.0686*LOOKUP(D17,密度!$A$2:$A$50,密度!$L$2:$L$50)</f>
        <v>0</v>
      </c>
      <c r="E16" s="73" ph="1">
        <f>E15*7.0686*LOOKUP(E17,密度!$A$2:$A$50,密度!$L$2:$L$50)</f>
        <v>29519.950937400001</v>
      </c>
      <c r="F16" s="73" ph="1">
        <f>F15*9.0746*LOOKUP(F17,密度!$A$2:$A$50,密度!$L$2:$L$50)</f>
        <v>18592.9842384</v>
      </c>
      <c r="G16" s="73" ph="1">
        <f>G15*9.0746*LOOKUP(G17,密度!$A$2:$A$50,密度!$B$2:$B$50)</f>
        <v>23017.036860240001</v>
      </c>
      <c r="H16" s="73" ph="1">
        <f>H15*9.0746*LOOKUP(H17,密度!$A$2:$A$50,密度!$L$2:$L$50)</f>
        <v>37125.150507600003</v>
      </c>
      <c r="I16" s="73" ph="1">
        <f>I15*9.0746*LOOKUP(I17,密度!$A$2:$A$50,密度!$U$2:$U$50)</f>
        <v>29885.607044999997</v>
      </c>
      <c r="J16" s="73" ph="1">
        <f>J15*9.0746*LOOKUP(J17,密度!$A$2:$A$50,密度!$L$2:$L$50)</f>
        <v>10387.948708800001</v>
      </c>
      <c r="K16" s="73" ph="1">
        <f>K15*9.0746*LOOKUP(K17,密度!$A$2:$A$50,密度!$C$2:$C$50)</f>
        <v>36699.118909180004</v>
      </c>
      <c r="L16" s="73" ph="1">
        <f>L15*9.0746*LOOKUP(L17,密度!$A$2:$A$50,密度!$E$2:$E$50)</f>
        <v>51051.209529760003</v>
      </c>
      <c r="M16" s="73" ph="1">
        <f>M15*9.0746*LOOKUP(M17,密度!$A$2:$A$50,密度!$M$2:$M$50)</f>
        <v>17121.67487486</v>
      </c>
      <c r="N16" s="73" ph="1">
        <f>N15*9.0746*LOOKUP(N17,密度!$A$2:$A$50,密度!$M$2:$M$50)</f>
        <v>1830.4375659999998</v>
      </c>
      <c r="O16" s="73" ph="1">
        <f>O15*9.0746*LOOKUP(O17,密度!$A$2:$A$50,密度!$G$2:$G$50)</f>
        <v>40142.776248440008</v>
      </c>
      <c r="P16" s="73" ph="1">
        <f ca="1">P15*9.0746*LOOKUP(P17,密度!$A$2:$A$51,密度!$Q$2:$Q$50)</f>
        <v>17225.53004202</v>
      </c>
      <c r="Q16" s="73" ph="1">
        <f>Q15*9.0746*LOOKUP(Q17,密度!$A$2:$A$50,密度!$Q$2:$Q$50)</f>
        <v>19296.030161783998</v>
      </c>
      <c r="R16" s="73" ph="1">
        <f>MAX(R15*9.0746*LOOKUP(R17,密度!$A$2:$A$50,密度!$Q$2:$Q$50),0)</f>
        <v>0</v>
      </c>
      <c r="S16" s="73" ph="1">
        <f>S15*9.0746*LOOKUP(S17,密度!$A$2:$A$50,密度!$Q$2:$Q$50)</f>
        <v>1623.7532059560001</v>
      </c>
      <c r="T16" s="73" ph="1">
        <f>T15*9.0746*LOOKUP(T17,密度!$A$2:$A$50,密度!$O$2:$O$50)</f>
        <v>23638.697778000002</v>
      </c>
      <c r="U16" s="73" ph="1">
        <f>U15*9.0746*LOOKUP(U17,密度!$A$2:$A$50,密度!$H$2:$H$50)</f>
        <v>1371.0858512999998</v>
      </c>
      <c r="V16" s="73" ph="1">
        <f>MAX(5600*LOOKUP(V17,密度!$A$2:$A$50,密度!$Q$2:$Q$50)+V15*9.0476*LOOKUP(V17,密度!$A$2:$A$50,密度!$Q$2:$Q$50),0)</f>
        <v>0</v>
      </c>
      <c r="W16" s="73" ph="1">
        <f>MAX(5600*LOOKUP(W17,密度!$A$2:$A$50,密度!$Q$2:$Q$50)+W15*9.0476*LOOKUP(W17,密度!$A$2:$A$50,密度!$Q$2:$Q$50),0)</f>
        <v>3996.7542437440002</v>
      </c>
      <c r="X16" s="73" ph="1">
        <f>MAX(5600*LOOKUP(X17,密度!$A$2:$A$50,密度!$I$2:$I$50)+X15*9.0476*LOOKUP(X17,密度!$A$2:$A$50,密度!$I$2:$I$50),0)</f>
        <v>13889.280307319999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17446.919428379999</v>
      </c>
      <c r="AB16" s="73" ph="1">
        <f>AB15*9.0746*LOOKUP(AB17,密度!$A$2:$A$50,密度!$L$2:$L$50)</f>
        <v>0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2427.3600652799996</v>
      </c>
      <c r="AE16" s="73" ph="1">
        <f>AE15*268.68*LOOKUP(AE17,密度!$A$2:$A$50,密度!B2:B50)+IF(AE15&lt;=0,0,1566*LOOKUP(AE17,密度!$A$2:$A$50,密度!B2:B50))</f>
        <v>11153.58564576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19" ph="1"/>
      <c r="C17" s="79" t="s" ph="1">
        <v>179</v>
      </c>
      <c r="D17" s="74">
        <v>25</v>
      </c>
      <c r="E17" s="74">
        <v>25</v>
      </c>
      <c r="F17" s="74">
        <v>26</v>
      </c>
      <c r="G17" s="74">
        <v>23</v>
      </c>
      <c r="H17" s="74">
        <v>20</v>
      </c>
      <c r="I17" s="74">
        <v>25</v>
      </c>
      <c r="J17" s="74">
        <v>26</v>
      </c>
      <c r="K17" s="74">
        <v>25</v>
      </c>
      <c r="L17" s="74">
        <v>25</v>
      </c>
      <c r="M17" s="74">
        <v>27</v>
      </c>
      <c r="N17" s="74">
        <v>23</v>
      </c>
      <c r="O17" s="74">
        <v>25</v>
      </c>
      <c r="P17" s="74">
        <v>25</v>
      </c>
      <c r="Q17" s="74">
        <v>25</v>
      </c>
      <c r="R17" s="74">
        <v>25</v>
      </c>
      <c r="S17" s="74">
        <v>25</v>
      </c>
      <c r="T17" s="74">
        <v>24</v>
      </c>
      <c r="U17" s="74">
        <v>24</v>
      </c>
      <c r="V17" s="74">
        <v>27</v>
      </c>
      <c r="W17" s="74">
        <v>26</v>
      </c>
      <c r="X17" s="74">
        <v>27</v>
      </c>
      <c r="Y17" s="108">
        <v>27</v>
      </c>
      <c r="Z17" s="74">
        <v>25</v>
      </c>
      <c r="AA17" s="74">
        <v>26</v>
      </c>
      <c r="AB17" s="74">
        <v>25</v>
      </c>
      <c r="AC17" s="74">
        <v>25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17" ph="1">
        <v>0.66666666666666663</v>
      </c>
      <c r="C18" s="79" t="s" ph="1">
        <v>180</v>
      </c>
      <c r="D18" s="71">
        <v>1565</v>
      </c>
      <c r="E18" s="71">
        <v>2143</v>
      </c>
      <c r="F18" s="71">
        <v>2190</v>
      </c>
      <c r="G18" s="71">
        <v>983</v>
      </c>
      <c r="H18" s="71">
        <v>4346</v>
      </c>
      <c r="I18" s="71">
        <v>3214</v>
      </c>
      <c r="J18" s="71">
        <v>1224</v>
      </c>
      <c r="K18" s="71">
        <v>3648</v>
      </c>
      <c r="L18" s="71">
        <v>7200</v>
      </c>
      <c r="M18" s="71">
        <v>2165</v>
      </c>
      <c r="N18" s="71">
        <v>2917</v>
      </c>
      <c r="O18" s="71">
        <v>1902</v>
      </c>
      <c r="P18" s="71">
        <v>2003</v>
      </c>
      <c r="Q18" s="71">
        <v>544</v>
      </c>
      <c r="R18" s="71">
        <v>0</v>
      </c>
      <c r="S18" s="71">
        <v>189</v>
      </c>
      <c r="T18" s="71">
        <v>2802</v>
      </c>
      <c r="U18" s="71">
        <v>162</v>
      </c>
      <c r="V18" s="71">
        <v>-817</v>
      </c>
      <c r="W18" s="71">
        <v>-153</v>
      </c>
      <c r="X18" s="71">
        <v>854</v>
      </c>
      <c r="Y18" s="109">
        <v>-9907</v>
      </c>
      <c r="Z18" s="71">
        <v>0</v>
      </c>
      <c r="AA18" s="71">
        <v>2473</v>
      </c>
      <c r="AB18" s="71">
        <v>0</v>
      </c>
      <c r="AC18" s="71">
        <v>0</v>
      </c>
      <c r="AD18" s="71">
        <v>11.38</v>
      </c>
      <c r="AE18" s="71">
        <v>84.72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18" ph="1"/>
      <c r="C19" s="160" t="s" ph="1">
        <v>178</v>
      </c>
      <c r="D19" s="73" ph="1">
        <f>D18*7.0686*LOOKUP(D20,密度!$A$2:$A$50,密度!$L$2:$L$50)</f>
        <v>10332.243306</v>
      </c>
      <c r="E19" s="73" ph="1">
        <f>E18*7.0686*LOOKUP(E20,密度!$A$2:$A$50,密度!$L$2:$L$50)</f>
        <v>14148.241153200001</v>
      </c>
      <c r="F19" s="73" ph="1">
        <f>F18*9.0746*LOOKUP(F20,密度!$A$2:$A$50,密度!$L$2:$L$50)</f>
        <v>18482.237820000002</v>
      </c>
      <c r="G19" s="73" ph="1">
        <f>G18*9.0746*LOOKUP(G20,密度!$A$2:$A$50,密度!$B$2:$B$50)</f>
        <v>6907.9049459199996</v>
      </c>
      <c r="H19" s="73" ph="1">
        <f>H18*9.0746*LOOKUP(H20,密度!$A$2:$A$50,密度!$L$2:$L$50)</f>
        <v>36874.727846000002</v>
      </c>
      <c r="I19" s="73" ph="1">
        <f>I18*9.0746*LOOKUP(I20,密度!$A$2:$A$50,密度!$U$2:$U$50)</f>
        <v>29894.908509999997</v>
      </c>
      <c r="J19" s="73" ph="1">
        <f>J18*9.0746*LOOKUP(J20,密度!$A$2:$A$50,密度!$L$2:$L$50)</f>
        <v>10374.227913600002</v>
      </c>
      <c r="K19" s="73" ph="1">
        <f>K18*9.0746*LOOKUP(K20,密度!$A$2:$A$50,密度!$C$2:$C$50)</f>
        <v>36609.869310720002</v>
      </c>
      <c r="L19" s="73" ph="1">
        <f>L18*9.0746*LOOKUP(L20,密度!$A$2:$A$50,密度!$E$2:$E$50)</f>
        <v>51028.290720000005</v>
      </c>
      <c r="M19" s="73" ph="1">
        <f>M18*9.0746*LOOKUP(M20,密度!$A$2:$A$50,密度!$M$2:$M$50)</f>
        <v>17090.498179100003</v>
      </c>
      <c r="N19" s="73" ph="1">
        <f>N18*9.0746*LOOKUP(N20,密度!$A$2:$A$50,密度!$M$2:$M$50)</f>
        <v>23082.3703504</v>
      </c>
      <c r="O19" s="73" ph="1">
        <f>O18*9.0746*LOOKUP(O20,密度!$A$2:$A$50,密度!$G$2:$G$50)</f>
        <v>16517.713964400002</v>
      </c>
      <c r="P19" s="73" ph="1">
        <f ca="1">P18*9.0746*LOOKUP(P20,密度!$A$2:$A$51,密度!$Q$2:$Q$50)</f>
        <v>17169.813449956</v>
      </c>
      <c r="Q19" s="73" ph="1">
        <f>Q18*9.0746*LOOKUP(Q20,密度!$A$2:$A$50,密度!$Q$2:$Q$50)</f>
        <v>4663.1944666879999</v>
      </c>
      <c r="R19" s="73" ph="1">
        <f>MAX(R18*9.0746*LOOKUP(R20,密度!$A$2:$A$50,密度!$Q$2:$Q$50),0)</f>
        <v>0</v>
      </c>
      <c r="S19" s="73" ph="1">
        <f>S18*9.0746*LOOKUP(S20,密度!$A$2:$A$50,密度!$Q$2:$Q$50)</f>
        <v>1608.797539188</v>
      </c>
      <c r="T19" s="73" ph="1">
        <f>T18*9.0746*LOOKUP(T20,密度!$A$2:$A$50,密度!$O$2:$O$50)</f>
        <v>23545.4290392</v>
      </c>
      <c r="U19" s="73" ph="1">
        <f>U18*9.0746*LOOKUP(U20,密度!$A$2:$A$50,密度!$H$2:$H$50)</f>
        <v>1330.677020484</v>
      </c>
      <c r="V19" s="73" ph="1">
        <f>MAX(5600*LOOKUP(V20,密度!$A$2:$A$50,密度!$Q$2:$Q$50)+V18*9.0476*LOOKUP(V20,密度!$A$2:$A$50,密度!$Q$2:$Q$50),0)</f>
        <v>0</v>
      </c>
      <c r="W19" s="73" ph="1">
        <f>MAX(5600*LOOKUP(W20,密度!$A$2:$A$50,密度!$Q$2:$Q$50)+W18*9.0476*LOOKUP(W20,密度!$A$2:$A$50,密度!$Q$2:$Q$50),0)</f>
        <v>3962.5212249679998</v>
      </c>
      <c r="X19" s="73" ph="1">
        <f>MAX(5600*LOOKUP(X20,密度!$A$2:$A$50,密度!$I$2:$I$50)+X18*9.0476*LOOKUP(X20,密度!$A$2:$A$50,密度!$I$2:$I$50),0)</f>
        <v>13815.73846968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17437.034466600002</v>
      </c>
      <c r="AB19" s="73" ph="1">
        <f>AB18*9.0746*LOOKUP(AB20,密度!$A$2:$A$50,密度!$L$2:$L$50)</f>
        <v>0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3592.5204168</v>
      </c>
      <c r="AE19" s="73" ph="1">
        <f>AE18*268.68*LOOKUP(AE20,密度!$A$2:$A$50,密度!B5:B53)+IF(AE18&lt;=0,0,1566*LOOKUP(AE20,密度!$A$2:$A$50,密度!B5:B53))</f>
        <v>18903.2985792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18" ph="1"/>
      <c r="C20" s="80" t="s" ph="1">
        <v>179</v>
      </c>
      <c r="D20" s="81">
        <v>28</v>
      </c>
      <c r="E20" s="81">
        <v>28</v>
      </c>
      <c r="F20" s="81">
        <v>32</v>
      </c>
      <c r="G20" s="81">
        <v>31</v>
      </c>
      <c r="H20" s="81">
        <v>27</v>
      </c>
      <c r="I20" s="81">
        <v>25</v>
      </c>
      <c r="J20" s="81">
        <v>28</v>
      </c>
      <c r="K20" s="81">
        <v>29</v>
      </c>
      <c r="L20" s="81">
        <v>27</v>
      </c>
      <c r="M20" s="81">
        <v>30</v>
      </c>
      <c r="N20" s="81">
        <v>28</v>
      </c>
      <c r="O20" s="81">
        <v>28</v>
      </c>
      <c r="P20" s="81">
        <v>28</v>
      </c>
      <c r="Q20" s="81">
        <v>28</v>
      </c>
      <c r="R20" s="81">
        <v>37</v>
      </c>
      <c r="S20" s="81">
        <v>38</v>
      </c>
      <c r="T20" s="81">
        <v>28</v>
      </c>
      <c r="U20" s="81">
        <v>35</v>
      </c>
      <c r="V20" s="81">
        <v>37</v>
      </c>
      <c r="W20" s="81">
        <v>35</v>
      </c>
      <c r="X20" s="81">
        <v>30</v>
      </c>
      <c r="Y20" s="110">
        <v>30</v>
      </c>
      <c r="Z20" s="81">
        <v>29</v>
      </c>
      <c r="AA20" s="81">
        <v>28</v>
      </c>
      <c r="AB20" s="81">
        <v>36</v>
      </c>
      <c r="AC20" s="81">
        <v>35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6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6" t="s" ph="1">
        <v>69</v>
      </c>
      <c r="AA22" s="227"/>
      <c r="AB22" s="227"/>
      <c r="AC22" s="227"/>
      <c r="AD22" s="227"/>
      <c r="AE22" s="228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0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610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229" t="s" ph="1">
        <v>642</v>
      </c>
      <c r="AA23" s="230"/>
      <c r="AB23" s="230"/>
      <c r="AC23" s="230"/>
      <c r="AD23" s="230"/>
      <c r="AE23" s="231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38" ph="1">
        <v>0.33333333333333331</v>
      </c>
      <c r="C24" s="160" t="s" ph="1">
        <v>177</v>
      </c>
      <c r="D24" s="71">
        <v>48</v>
      </c>
      <c r="E24" s="71">
        <v>5.59</v>
      </c>
      <c r="F24" s="71">
        <v>1300</v>
      </c>
      <c r="G24" s="71">
        <v>2672</v>
      </c>
      <c r="H24" s="71">
        <v>3319</v>
      </c>
      <c r="I24" s="71">
        <v>1947</v>
      </c>
      <c r="J24" s="71">
        <v>302</v>
      </c>
      <c r="K24" s="71">
        <v>992</v>
      </c>
      <c r="L24" s="71">
        <v>301</v>
      </c>
      <c r="M24" s="71">
        <v>325</v>
      </c>
      <c r="N24" s="71">
        <v>4753</v>
      </c>
      <c r="O24" s="71">
        <v>813</v>
      </c>
      <c r="P24" s="71">
        <v>373</v>
      </c>
      <c r="Q24" s="90">
        <v>1578</v>
      </c>
      <c r="R24" s="71">
        <v>290</v>
      </c>
      <c r="S24" s="71">
        <v>2339</v>
      </c>
      <c r="T24" s="71">
        <v>2</v>
      </c>
      <c r="U24" s="71">
        <v>6684</v>
      </c>
      <c r="V24" s="71">
        <v>737</v>
      </c>
      <c r="W24" s="71">
        <v>431</v>
      </c>
      <c r="X24" s="71">
        <v>4791</v>
      </c>
      <c r="Y24" s="71">
        <v>3297</v>
      </c>
      <c r="Z24" s="232"/>
      <c r="AA24" s="233"/>
      <c r="AB24" s="233"/>
      <c r="AC24" s="233"/>
      <c r="AD24" s="233"/>
      <c r="AE24" s="234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38" ph="1"/>
      <c r="C25" s="68" t="s" ph="1">
        <v>178</v>
      </c>
      <c r="D25" s="91" ph="1">
        <f>D24*268.68*LOOKUP(D26,密度!$A$2:$A$50,密度!$Q$2:$Q$50)+IF(D24&lt;=0,0,1566*LOOKUP(D26,密度!$A$2:$A$50,密度!$Q$2:$Q$50))</f>
        <v>13692.359793599999</v>
      </c>
      <c r="E25" s="91" ph="1">
        <f>E24*268.68*LOOKUP(E26,密度!$A$2:$A$50,密度!$C$2:$C$50)+IF(E24&lt;=0,0,1566*LOOKUP(E26,密度!$A$2:$A$50,密度!$C$2:$C$50))</f>
        <v>3402.0178186799999</v>
      </c>
      <c r="F25" s="91" ph="1">
        <f>F24*11.702*LOOKUP(F26,密度!$A$2:$A$50,密度!$Q$2:$Q$50)</f>
        <v>14424.587320000001</v>
      </c>
      <c r="G25" s="91" ph="1">
        <f>G24*18.322*LOOKUP(G26,密度!$A$2:$A$50,密度!$B$2:$B$50)</f>
        <v>38210.457711999996</v>
      </c>
      <c r="H25" s="91" ph="1">
        <f>H24*18.322*LOOKUP(H26,密度!$A$2:$A$50,密度!$B$2:$B$50)</f>
        <v>47462.765398999996</v>
      </c>
      <c r="I25" s="91" ph="1">
        <f>I24*18.322*LOOKUP(I26,密度!$A$2:$A$50,密度!$Q$2:$Q$50)</f>
        <v>33747.665752020002</v>
      </c>
      <c r="J25" s="91" ph="1">
        <f>J24*18.322*LOOKUP(J26,密度!$A$2:$A$50,密度!$Q$2:$Q$50)</f>
        <v>5234.6148213199995</v>
      </c>
      <c r="K25" s="91" ph="1">
        <f>K24*18.322*LOOKUP(K26,密度!$A$2:$A$50,密度!$Q$2:$Q$50)</f>
        <v>17207.400917759998</v>
      </c>
      <c r="L25" s="91" ph="1">
        <f>L24*18.322*LOOKUP(L26,密度!$A$2:$A$50,密度!$Q$2:$Q$50)</f>
        <v>5221.1972542799995</v>
      </c>
      <c r="M25" s="91" ph="1">
        <f>M24*18.322*LOOKUP(M26,密度!$A$2:$A$50,密度!$Q$2:$Q$50)</f>
        <v>5637.505341</v>
      </c>
      <c r="N25" s="91" ph="1">
        <f>N24*18.322*LOOKUP(N26,密度!$A$2:$A$50,密度!$Q$2:$Q$50)</f>
        <v>82509.919001019996</v>
      </c>
      <c r="O25" s="91" ph="1">
        <f>O24*18.322*LOOKUP(O26,密度!$A$2:$A$50,密度!$C$2:$C$50)</f>
        <v>16495.593416399999</v>
      </c>
      <c r="P25" s="91" ph="1">
        <f>P24*11.702*LOOKUP(P26,密度!$A$2:$A$50,密度!$B$2:$B$50)</f>
        <v>3395.4137034</v>
      </c>
      <c r="Q25" s="92" ph="1">
        <f>Q24*18.322*LOOKUP(Q26,密度!$A$2:$A$50,密度!$B$2:$B$50)</f>
        <v>22490.735036400001</v>
      </c>
      <c r="R25" s="91" ph="1">
        <f>R24*35.891*LOOKUP(R26,密度!$A$2:$A$50,密度!$C$2:$C$50)</f>
        <v>11541.863670999999</v>
      </c>
      <c r="S25" s="91" ph="1">
        <f>S24*35.891*LOOKUP(S26,密度!$A$2:$A$50,密度!$B$2:$B$50)</f>
        <v>65371.124456299993</v>
      </c>
      <c r="T25" s="91" ph="1">
        <f>T24*35.891*LOOKUP(T26,密度!$A$2:$A$50,密度!$Q$2:$Q$50)</f>
        <v>67.856960240000006</v>
      </c>
      <c r="U25" s="91" ph="1">
        <f>U24*35.891</f>
        <v>239895.44399999999</v>
      </c>
      <c r="V25" s="91" ph="1">
        <f>V24*47.051*LOOKUP(V26,密度!$A$2:$A$50,密度!$B$2:$B$50)</f>
        <v>27033.8672252</v>
      </c>
      <c r="W25" s="91" ph="1">
        <f>W24*47.051*LOOKUP(W26,密度!$A$2:$A$50,密度!$B$2:$B$50)</f>
        <v>15756.768237</v>
      </c>
      <c r="X25" s="91" ph="1">
        <f>X24*47.051*LOOKUP(X26,密度!$A$2:$A$61,密度!$I$2:$I$61)</f>
        <v>233694.30421470001</v>
      </c>
      <c r="Y25" s="91" ph="1">
        <f>Y24*47.051*LOOKUP(Y26,密度!$A$2:$A$50,密度!$L$2:$L$50)</f>
        <v>144888.755298</v>
      </c>
      <c r="Z25" s="232"/>
      <c r="AA25" s="233"/>
      <c r="AB25" s="233"/>
      <c r="AC25" s="233"/>
      <c r="AD25" s="233"/>
      <c r="AE25" s="234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38" ph="1"/>
      <c r="C26" s="68" t="s" ph="1">
        <v>179</v>
      </c>
      <c r="D26" s="74">
        <v>25</v>
      </c>
      <c r="E26" s="74">
        <v>25</v>
      </c>
      <c r="F26" s="74">
        <v>23</v>
      </c>
      <c r="G26" s="74">
        <v>24</v>
      </c>
      <c r="H26" s="74">
        <v>24</v>
      </c>
      <c r="I26" s="74">
        <v>26</v>
      </c>
      <c r="J26" s="74">
        <v>26</v>
      </c>
      <c r="K26" s="74">
        <v>25</v>
      </c>
      <c r="L26" s="74">
        <v>25</v>
      </c>
      <c r="M26" s="74">
        <v>25</v>
      </c>
      <c r="N26" s="74">
        <v>24</v>
      </c>
      <c r="O26" s="74">
        <v>27</v>
      </c>
      <c r="P26" s="74">
        <v>27</v>
      </c>
      <c r="Q26" s="93">
        <v>27</v>
      </c>
      <c r="R26" s="74">
        <v>25</v>
      </c>
      <c r="S26" s="74">
        <v>26</v>
      </c>
      <c r="T26" s="74">
        <v>27</v>
      </c>
      <c r="U26" s="74">
        <v>25</v>
      </c>
      <c r="V26" s="74">
        <v>25</v>
      </c>
      <c r="W26" s="74">
        <v>28</v>
      </c>
      <c r="X26" s="74">
        <v>30</v>
      </c>
      <c r="Y26" s="74">
        <v>28</v>
      </c>
      <c r="Z26" s="232"/>
      <c r="AA26" s="233"/>
      <c r="AB26" s="233"/>
      <c r="AC26" s="233"/>
      <c r="AD26" s="233"/>
      <c r="AE26" s="234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38" ph="1">
        <v>0.66666666666666663</v>
      </c>
      <c r="C27" s="160" t="s" ph="1">
        <v>180</v>
      </c>
      <c r="D27" s="71">
        <v>7.15</v>
      </c>
      <c r="E27" s="71">
        <v>5.55</v>
      </c>
      <c r="F27" s="71">
        <v>3044</v>
      </c>
      <c r="G27" s="71">
        <v>2212</v>
      </c>
      <c r="H27" s="71">
        <v>2873</v>
      </c>
      <c r="I27" s="71">
        <v>1039</v>
      </c>
      <c r="J27" s="71">
        <v>295</v>
      </c>
      <c r="K27" s="71">
        <v>470</v>
      </c>
      <c r="L27" s="71">
        <v>293</v>
      </c>
      <c r="M27" s="71">
        <v>320</v>
      </c>
      <c r="N27" s="71">
        <v>4751</v>
      </c>
      <c r="O27" s="71">
        <v>404</v>
      </c>
      <c r="P27" s="71">
        <v>368</v>
      </c>
      <c r="Q27" s="90">
        <v>1803</v>
      </c>
      <c r="R27" s="71">
        <v>284</v>
      </c>
      <c r="S27" s="71">
        <v>2333</v>
      </c>
      <c r="T27" s="71">
        <v>0</v>
      </c>
      <c r="U27" s="71">
        <v>6679</v>
      </c>
      <c r="V27" s="71">
        <v>731</v>
      </c>
      <c r="W27" s="71">
        <v>426</v>
      </c>
      <c r="X27" s="71">
        <v>4617</v>
      </c>
      <c r="Y27" s="71">
        <v>3760</v>
      </c>
      <c r="Z27" s="232"/>
      <c r="AA27" s="233"/>
      <c r="AB27" s="233"/>
      <c r="AC27" s="233"/>
      <c r="AD27" s="233"/>
      <c r="AE27" s="234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38" ph="1"/>
      <c r="C28" s="160" t="s" ph="1">
        <v>178</v>
      </c>
      <c r="D28" s="91" ph="1">
        <f>D27*268.68*LOOKUP(D29,密度!$A$2:$A$50,密度!$Q$2:$Q$50)+IF(D27&lt;=0,0,1566*LOOKUP(D29,密度!$A$2:$A$50,密度!$Q$2:$Q$50))</f>
        <v>3301.3410778799998</v>
      </c>
      <c r="E28" s="91" ph="1">
        <f>E27*268.68*LOOKUP(E29,密度!$A$2:$A$50,密度!$C$2:$C$50)+IF(E27&lt;=0,0,1566*LOOKUP(E29,密度!$A$2:$A$50,密度!$C$2:$C$50))</f>
        <v>3390.1002485999998</v>
      </c>
      <c r="F28" s="91" ph="1">
        <f>F27*11.702*LOOKUP(F29,密度!$A$2:$A$50,密度!$Q$2:$Q$50)</f>
        <v>33481.49746672</v>
      </c>
      <c r="G28" s="91" ph="1">
        <f>G27*18.322*LOOKUP(G29,密度!$A$2:$A$50,密度!$B$2:$B$50)</f>
        <v>31279.714155199999</v>
      </c>
      <c r="H28" s="91" ph="1">
        <f>H27*18.322*LOOKUP(H29,密度!$A$2:$A$50,密度!$B$2:$B$50)</f>
        <v>40674.237206199999</v>
      </c>
      <c r="I28" s="91" ph="1">
        <f>I27*18.322*LOOKUP(I29,密度!$A$2:$A$50,密度!$Q$2:$Q$50)</f>
        <v>17918.160217500001</v>
      </c>
      <c r="J28" s="91" ph="1">
        <f>J27*18.322*LOOKUP(J29,密度!$A$2:$A$50,密度!$Q$2:$Q$50)</f>
        <v>5080.3663005999997</v>
      </c>
      <c r="K28" s="91" ph="1">
        <f>K27*18.322*LOOKUP(K29,密度!$A$2:$A$50,密度!$Q$2:$Q$50)</f>
        <v>8111.021146</v>
      </c>
      <c r="L28" s="91" ph="1">
        <f>L27*18.322*LOOKUP(L29,密度!$A$2:$A$50,密度!$Q$2:$Q$50)</f>
        <v>5056.4450973999992</v>
      </c>
      <c r="M28" s="91" ph="1">
        <f>M27*18.322*LOOKUP(M29,密度!$A$2:$A$50,密度!$Q$2:$Q$50)</f>
        <v>5514.7167936000005</v>
      </c>
      <c r="N28" s="91" ph="1">
        <f>N27*18.322*LOOKUP(N29,密度!$A$2:$A$50,密度!$Q$2:$Q$50)</f>
        <v>81819.729810680001</v>
      </c>
      <c r="O28" s="91" ph="1">
        <f>O27*18.322*LOOKUP(O29,密度!$A$2:$A$50,密度!$C$2:$C$50)</f>
        <v>8141.5565912000002</v>
      </c>
      <c r="P28" s="91" ph="1">
        <f>P27*11.702*LOOKUP(P29,密度!$A$2:$A$50,密度!$B$2:$B$50)</f>
        <v>3327.5058272000006</v>
      </c>
      <c r="Q28" s="92" ph="1">
        <f>Q27*18.322*LOOKUP(Q29,密度!$A$2:$A$50,密度!$B$2:$B$50)</f>
        <v>25552.236800999999</v>
      </c>
      <c r="R28" s="91" ph="1">
        <f>R27*35.891*LOOKUP(R29,密度!$A$2:$A$50,密度!$C$2:$C$50)</f>
        <v>11254.1398804</v>
      </c>
      <c r="S28" s="91" ph="1">
        <f>S27*35.891*LOOKUP(S29,密度!$A$2:$A$50,密度!$B$2:$B$50)</f>
        <v>64843.379603199995</v>
      </c>
      <c r="T28" s="91" ph="1">
        <f>T27*35.891*LOOKUP(T29,密度!$A$2:$A$50,密度!$Q$2:$Q$50)</f>
        <v>0</v>
      </c>
      <c r="U28" s="91" ph="1">
        <f>U27*35.891</f>
        <v>239715.989</v>
      </c>
      <c r="V28" s="91" ph="1">
        <f>V27*47.051*LOOKUP(V29,密度!$A$2:$A$50,密度!$B$2:$B$50)</f>
        <v>26603.976353500002</v>
      </c>
      <c r="W28" s="91" ph="1">
        <f>W27*47.051*LOOKUP(W29,密度!$A$2:$A$50,密度!$B$2:$B$50)</f>
        <v>15503.822061000001</v>
      </c>
      <c r="X28" s="91" ph="1">
        <f>X27*47.051*LOOKUP(X29,密度!$A$2:$A$61,密度!$I$2:$I$61)</f>
        <v>223990.45892369997</v>
      </c>
      <c r="Y28" s="91" ph="1">
        <f>Y27*47.051*LOOKUP(Y29,密度!$A$2:$A$50,密度!$L$2:$L$50)</f>
        <v>164351.02504000001</v>
      </c>
      <c r="Z28" s="232"/>
      <c r="AA28" s="233"/>
      <c r="AB28" s="233"/>
      <c r="AC28" s="233"/>
      <c r="AD28" s="233"/>
      <c r="AE28" s="234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38" ph="1"/>
      <c r="C29" s="160" t="s" ph="1">
        <v>179</v>
      </c>
      <c r="D29" s="74">
        <v>25</v>
      </c>
      <c r="E29" s="74">
        <v>25</v>
      </c>
      <c r="F29" s="74">
        <v>35</v>
      </c>
      <c r="G29" s="74">
        <v>34</v>
      </c>
      <c r="H29" s="74">
        <v>33</v>
      </c>
      <c r="I29" s="74">
        <v>33</v>
      </c>
      <c r="J29" s="74">
        <v>35</v>
      </c>
      <c r="K29" s="74">
        <v>32</v>
      </c>
      <c r="L29" s="74">
        <v>32</v>
      </c>
      <c r="M29" s="74">
        <v>34</v>
      </c>
      <c r="N29" s="74">
        <v>35</v>
      </c>
      <c r="O29" s="74">
        <v>35</v>
      </c>
      <c r="P29" s="74">
        <v>33</v>
      </c>
      <c r="Q29" s="93">
        <v>32</v>
      </c>
      <c r="R29" s="74">
        <v>31</v>
      </c>
      <c r="S29" s="74">
        <v>31</v>
      </c>
      <c r="T29" s="74">
        <v>31</v>
      </c>
      <c r="U29" s="74">
        <v>32</v>
      </c>
      <c r="V29" s="74">
        <v>32</v>
      </c>
      <c r="W29" s="74">
        <v>32</v>
      </c>
      <c r="X29" s="74">
        <v>35</v>
      </c>
      <c r="Y29" s="74">
        <v>33</v>
      </c>
      <c r="Z29" s="235"/>
      <c r="AA29" s="236"/>
      <c r="AB29" s="236"/>
      <c r="AC29" s="236"/>
      <c r="AD29" s="236"/>
      <c r="AE29" s="237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1" t="s" ph="1">
        <v>35</v>
      </c>
      <c r="C31" s="222" ph="1"/>
      <c r="D31" s="225" t="s" ph="1">
        <v>9</v>
      </c>
      <c r="E31" s="200" ph="1"/>
      <c r="F31" s="201" ph="1"/>
      <c r="G31" s="225" t="s" ph="1">
        <v>18</v>
      </c>
      <c r="H31" s="200" ph="1"/>
      <c r="I31" s="201" ph="1"/>
      <c r="J31" s="199" t="s" ph="1">
        <v>1</v>
      </c>
      <c r="K31" s="200" ph="1"/>
      <c r="L31" s="201" ph="1"/>
      <c r="M31" s="199" t="s" ph="1">
        <v>7</v>
      </c>
      <c r="N31" s="200" ph="1"/>
      <c r="O31" s="201" ph="1"/>
      <c r="P31" s="199" t="s" ph="1">
        <v>41</v>
      </c>
      <c r="Q31" s="200"/>
      <c r="R31" s="201"/>
      <c r="S31" s="199" t="s" ph="1">
        <v>2</v>
      </c>
      <c r="T31" s="200"/>
      <c r="U31" s="201"/>
      <c r="V31" s="199" t="s" ph="1">
        <v>71</v>
      </c>
      <c r="W31" s="200" ph="1"/>
      <c r="X31" s="201" ph="1"/>
      <c r="Y31" s="199" t="s" ph="1">
        <v>3</v>
      </c>
      <c r="Z31" s="200" ph="1"/>
      <c r="AA31" s="201" ph="1"/>
      <c r="AB31" s="202" t="s">
        <v>42</v>
      </c>
      <c r="AC31" s="203"/>
      <c r="AD31" s="203"/>
      <c r="AE31" s="204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3" ph="1"/>
      <c r="C32" s="224" ph="1"/>
      <c r="D32" s="96" t="s" ph="1">
        <v>4</v>
      </c>
      <c r="E32" s="160" t="s" ph="1">
        <v>5</v>
      </c>
      <c r="F32" s="161" t="s" ph="1">
        <v>43</v>
      </c>
      <c r="G32" s="97" t="s" ph="1">
        <v>4</v>
      </c>
      <c r="H32" s="160" t="s" ph="1">
        <v>5</v>
      </c>
      <c r="I32" s="161" t="s" ph="1">
        <v>43</v>
      </c>
      <c r="J32" s="97" t="s" ph="1">
        <v>4</v>
      </c>
      <c r="K32" s="160" t="s" ph="1">
        <v>5</v>
      </c>
      <c r="L32" s="161" t="s" ph="1">
        <v>43</v>
      </c>
      <c r="M32" s="97" t="s" ph="1">
        <v>4</v>
      </c>
      <c r="N32" s="160" t="s" ph="1">
        <v>5</v>
      </c>
      <c r="O32" s="161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60" t="s" ph="1">
        <v>5</v>
      </c>
      <c r="U32" s="99" t="s" ph="1">
        <v>43</v>
      </c>
      <c r="V32" s="97" t="s" ph="1">
        <v>4</v>
      </c>
      <c r="W32" s="160" t="s" ph="1">
        <v>5</v>
      </c>
      <c r="X32" s="99" t="s" ph="1">
        <v>43</v>
      </c>
      <c r="Y32" s="100" t="s" ph="1">
        <v>4</v>
      </c>
      <c r="Z32" s="160" t="s" ph="1">
        <v>5</v>
      </c>
      <c r="AA32" s="161" t="s" ph="1">
        <v>43</v>
      </c>
      <c r="AB32" s="97" t="s" ph="1">
        <v>85</v>
      </c>
      <c r="AC32" s="160" t="s" ph="1">
        <v>84</v>
      </c>
      <c r="AD32" s="205" t="s" ph="1">
        <v>83</v>
      </c>
      <c r="AE32" s="206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7" t="s" ph="1">
        <v>181</v>
      </c>
      <c r="C33" s="208" ph="1"/>
      <c r="D33" s="187" ph="1">
        <f>AA10+AB10+Z19</f>
        <v>87086.048039999994</v>
      </c>
      <c r="E33" s="187" ph="1">
        <f>M10+I10</f>
        <v>128534.5219522</v>
      </c>
      <c r="F33" s="211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1522252632456786910111213141516171819202123456789101112131415161718192022232424356789101112131415161718192021222345678910111213141516171819202345678910111213149101516171819222123234567891012131415161711181920212224252345678910111213121[[#This Row],[F25]]</f>
        <v>3880</v>
      </c>
      <c r="G33" s="213" ph="1">
        <f>N19</f>
        <v>23082.3703504</v>
      </c>
      <c r="H33" s="187" ph="1">
        <f>M19</f>
        <v>17090.498179100003</v>
      </c>
      <c r="I33" s="191" ph="1">
        <v>0</v>
      </c>
      <c r="J33" s="195" ph="1">
        <f>F10+O28</f>
        <v>226234.1362682</v>
      </c>
      <c r="K33" s="187" ph="1">
        <f>O10+K10+E28+R28</f>
        <v>47746.233487400001</v>
      </c>
      <c r="L33" s="197" ph="1">
        <f>K19</f>
        <v>36609.869310720002</v>
      </c>
      <c r="M33" s="195" ph="1">
        <f>G10+H10+W28+S28+V28+E10+R19+P28+Q28</f>
        <v>468784.2964519001</v>
      </c>
      <c r="N33" s="187" ph="1">
        <f>L10+P10++G28+H28+AD19+AE19</f>
        <v>116565.84888340002</v>
      </c>
      <c r="O33" s="191" ph="1">
        <f>G19</f>
        <v>6907.9049459199996</v>
      </c>
      <c r="P33" s="195" ph="1">
        <f>L19</f>
        <v>51028.290720000005</v>
      </c>
      <c r="Q33" s="187" ph="1">
        <f>J10+N10</f>
        <v>81429.107191999996</v>
      </c>
      <c r="R33" s="191" ph="1">
        <f>BE23</f>
        <v>890</v>
      </c>
      <c r="S33" s="195" ph="1">
        <f>X28</f>
        <v>223990.45892369997</v>
      </c>
      <c r="T33" s="187" ph="1">
        <f>X19</f>
        <v>13815.73846968</v>
      </c>
      <c r="U33" s="176" ph="1">
        <f>BE21</f>
        <v>730</v>
      </c>
      <c r="V33" s="189" ph="1">
        <f ca="1">P19+Q19+S19+M28+N28+J28+D10+AC10+D19+E19+H19+J19+O19+V19+W19+K28+L28</f>
        <v>678776.70737622015</v>
      </c>
      <c r="W33" s="189" ph="1">
        <f>D28+F28+T28+I28</f>
        <v>54700.998762100004</v>
      </c>
      <c r="X33" s="191" ph="1">
        <f>BE29+BE31</f>
        <v>10200</v>
      </c>
      <c r="Y33" s="193" ph="1">
        <f>+Q10+R10+S10+T10+U10+V10+W10+X10+Y10</f>
        <v>205319.2138074</v>
      </c>
      <c r="Z33" s="174" ph="1">
        <f>T19+U19+Y28+Z10</f>
        <v>287474.69383968401</v>
      </c>
      <c r="AA33" s="176" ph="1">
        <f>BE19</f>
        <v>1440</v>
      </c>
      <c r="AB33" s="178" ph="1">
        <f>I19</f>
        <v>29894.908509999997</v>
      </c>
      <c r="AC33" s="180" ph="1">
        <f>AD10+AB19</f>
        <v>46576.7715168</v>
      </c>
      <c r="AD33" s="182" ph="1">
        <v>0</v>
      </c>
      <c r="AE33" s="183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9" ph="1"/>
      <c r="C34" s="210" ph="1"/>
      <c r="D34" s="188" ph="1"/>
      <c r="E34" s="188" ph="1"/>
      <c r="F34" s="212" ph="1"/>
      <c r="G34" s="214" ph="1"/>
      <c r="H34" s="188" ph="1"/>
      <c r="I34" s="192" ph="1"/>
      <c r="J34" s="196" ph="1"/>
      <c r="K34" s="188" ph="1"/>
      <c r="L34" s="198" ph="1"/>
      <c r="M34" s="196" ph="1"/>
      <c r="N34" s="188" ph="1"/>
      <c r="O34" s="192" ph="1"/>
      <c r="P34" s="196" ph="1"/>
      <c r="Q34" s="188" ph="1"/>
      <c r="R34" s="192" ph="1"/>
      <c r="S34" s="196" ph="1"/>
      <c r="T34" s="188"/>
      <c r="U34" s="177"/>
      <c r="V34" s="190" ph="1"/>
      <c r="W34" s="190" ph="1"/>
      <c r="X34" s="192" ph="1"/>
      <c r="Y34" s="194" ph="1"/>
      <c r="Z34" s="175" ph="1"/>
      <c r="AA34" s="177" ph="1"/>
      <c r="AB34" s="179"/>
      <c r="AC34" s="181"/>
      <c r="AD34" s="184"/>
      <c r="AE34" s="185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6" t="s" ph="1">
        <v>631</v>
      </c>
      <c r="AD35" s="186"/>
      <c r="AE35" s="186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2" t="s" ph="1">
        <v>183</v>
      </c>
      <c r="J36" s="172" ph="1"/>
      <c r="K36" s="101" ph="1"/>
      <c r="P36" s="101" ph="1"/>
      <c r="R36" s="172" t="s" ph="1">
        <v>184</v>
      </c>
      <c r="S36" s="172" ph="1"/>
      <c r="Y36" s="102" ph="1"/>
      <c r="Z36" s="162" t="s" ph="1">
        <v>185</v>
      </c>
      <c r="AA36" s="162" ph="1"/>
      <c r="AB36" s="173" t="s" ph="1">
        <v>643</v>
      </c>
      <c r="AC36" s="173" ph="1"/>
      <c r="AD36" s="173" ph="1"/>
      <c r="AE36" s="173" ph="1"/>
      <c r="BA36" s="64" ph="1">
        <v>2270</v>
      </c>
    </row>
    <row r="37" spans="1:57" s="162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62" t="s" ph="1">
        <v>342</v>
      </c>
      <c r="AI37" s="162" t="s" ph="1">
        <v>209</v>
      </c>
      <c r="AJ37" s="162" t="s" ph="1">
        <v>210</v>
      </c>
      <c r="AK37" s="162" t="s" ph="1">
        <v>211</v>
      </c>
      <c r="AM37" s="162" t="s" ph="1">
        <v>210</v>
      </c>
      <c r="AN37" s="162" t="s" ph="1">
        <v>211</v>
      </c>
      <c r="AO37" s="162" t="s" ph="1">
        <v>212</v>
      </c>
      <c r="AP37" s="162" t="s" ph="1">
        <v>210</v>
      </c>
      <c r="AQ37" s="162" t="s" ph="1">
        <v>211</v>
      </c>
      <c r="AR37" s="162" t="s" ph="1">
        <v>212</v>
      </c>
      <c r="AS37" s="162" t="s" ph="1">
        <v>210</v>
      </c>
      <c r="AT37" s="162" t="s" ph="1">
        <v>211</v>
      </c>
      <c r="AU37" s="162" t="s" ph="1">
        <v>212</v>
      </c>
      <c r="AV37" s="162" t="s" ph="1">
        <v>210</v>
      </c>
      <c r="AW37" s="162" t="s" ph="1">
        <v>211</v>
      </c>
      <c r="AX37" s="162" t="s" ph="1">
        <v>212</v>
      </c>
      <c r="AY37" s="162" t="s" ph="1">
        <v>211</v>
      </c>
      <c r="AZ37" s="162" t="s" ph="1">
        <v>213</v>
      </c>
      <c r="BD37" s="162" t="s" ph="1">
        <v>305</v>
      </c>
      <c r="BE37" s="162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P56" s="64" ph="1">
        <v>20260804</v>
      </c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N33:N34"/>
    <mergeCell ref="O33:O34"/>
    <mergeCell ref="P33:P34"/>
    <mergeCell ref="Q33:Q34"/>
    <mergeCell ref="R33:R34"/>
    <mergeCell ref="S33:S34"/>
    <mergeCell ref="H33:H34"/>
    <mergeCell ref="I33:I34"/>
    <mergeCell ref="J33:J34"/>
    <mergeCell ref="K33:K34"/>
    <mergeCell ref="L33:L34"/>
    <mergeCell ref="M33:M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B31:C32"/>
    <mergeCell ref="D31:F31"/>
    <mergeCell ref="G31:I31"/>
    <mergeCell ref="J31:L31"/>
    <mergeCell ref="M31:O31"/>
    <mergeCell ref="P31:R31"/>
    <mergeCell ref="B13:B14"/>
    <mergeCell ref="B15:B17"/>
    <mergeCell ref="B18:B20"/>
    <mergeCell ref="B22:B23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531" priority="103">
      <formula>ABS(D$7-D$10)&gt;=1000</formula>
    </cfRule>
  </conditionalFormatting>
  <conditionalFormatting sqref="E4 E6:E11">
    <cfRule type="expression" dxfId="530" priority="102">
      <formula>ABS(E$7-E$10)&gt;=1000</formula>
    </cfRule>
  </conditionalFormatting>
  <conditionalFormatting sqref="F4:F11">
    <cfRule type="expression" dxfId="529" priority="101">
      <formula>ABS(F$7-F$10)&gt;=1000</formula>
    </cfRule>
  </conditionalFormatting>
  <conditionalFormatting sqref="G4:G11">
    <cfRule type="expression" dxfId="528" priority="100">
      <formula>ABS(G$7-G$10)&gt;=1000</formula>
    </cfRule>
  </conditionalFormatting>
  <conditionalFormatting sqref="H4:H11">
    <cfRule type="expression" dxfId="527" priority="99">
      <formula>ABS(H$7-H$10)&gt;=1000</formula>
    </cfRule>
  </conditionalFormatting>
  <conditionalFormatting sqref="I4:I11">
    <cfRule type="expression" dxfId="526" priority="98">
      <formula>ABS(I$7-I$10)&gt;=1000</formula>
    </cfRule>
  </conditionalFormatting>
  <conditionalFormatting sqref="J4:J11">
    <cfRule type="expression" dxfId="525" priority="97">
      <formula>ABS(J$7-J$10)&gt;=1000</formula>
    </cfRule>
  </conditionalFormatting>
  <conditionalFormatting sqref="K4:K11">
    <cfRule type="expression" dxfId="524" priority="96">
      <formula>ABS(K$7-K$10)&gt;=1000</formula>
    </cfRule>
  </conditionalFormatting>
  <conditionalFormatting sqref="L4:L11">
    <cfRule type="expression" dxfId="523" priority="95">
      <formula>ABS(L$7-L$10)&gt;=1000</formula>
    </cfRule>
  </conditionalFormatting>
  <conditionalFormatting sqref="M4 M6:M11">
    <cfRule type="expression" dxfId="522" priority="94">
      <formula>ABS(M$7-M$10)&gt;=1000</formula>
    </cfRule>
  </conditionalFormatting>
  <conditionalFormatting sqref="N4 N6:N11">
    <cfRule type="expression" dxfId="521" priority="93">
      <formula>ABS(N$7-N$10)&gt;=1000</formula>
    </cfRule>
  </conditionalFormatting>
  <conditionalFormatting sqref="O4 O6:O11">
    <cfRule type="expression" dxfId="520" priority="92">
      <formula>ABS(O$7-O$10)&gt;=1000</formula>
    </cfRule>
  </conditionalFormatting>
  <conditionalFormatting sqref="P4 P6:P11">
    <cfRule type="expression" dxfId="519" priority="91">
      <formula>ABS(P$7-P$10)&gt;=1000</formula>
    </cfRule>
  </conditionalFormatting>
  <conditionalFormatting sqref="Q4:Q11">
    <cfRule type="expression" dxfId="518" priority="90">
      <formula>ABS(Q$7-Q$10)&gt;=1000</formula>
    </cfRule>
  </conditionalFormatting>
  <conditionalFormatting sqref="R4:R11">
    <cfRule type="expression" dxfId="517" priority="89">
      <formula>ABS(R$7-R$10)&gt;=1000</formula>
    </cfRule>
  </conditionalFormatting>
  <conditionalFormatting sqref="S4:S11">
    <cfRule type="expression" dxfId="516" priority="88">
      <formula>ABS(S$7-S$10)&gt;=1000</formula>
    </cfRule>
  </conditionalFormatting>
  <conditionalFormatting sqref="T4:T9 T11">
    <cfRule type="expression" dxfId="515" priority="87">
      <formula>ABS(T$7-T$10)&gt;=1000</formula>
    </cfRule>
  </conditionalFormatting>
  <conditionalFormatting sqref="U4:U9 U11">
    <cfRule type="expression" dxfId="514" priority="86">
      <formula>ABS(U$7-U$10)&gt;=1000</formula>
    </cfRule>
  </conditionalFormatting>
  <conditionalFormatting sqref="V4:V9 V11">
    <cfRule type="expression" dxfId="513" priority="85">
      <formula>ABS(V$7-V$10)&gt;=1000</formula>
    </cfRule>
  </conditionalFormatting>
  <conditionalFormatting sqref="W4:W9 W11">
    <cfRule type="expression" dxfId="512" priority="84">
      <formula>ABS(W$7-W$10)&gt;=1000</formula>
    </cfRule>
  </conditionalFormatting>
  <conditionalFormatting sqref="X4:X9 X11">
    <cfRule type="expression" dxfId="511" priority="83">
      <formula>ABS(X$7-X$10)&gt;=1000</formula>
    </cfRule>
  </conditionalFormatting>
  <conditionalFormatting sqref="Y4:Y9 Y11">
    <cfRule type="expression" dxfId="510" priority="82">
      <formula>ABS(Y$7-Y$10)&gt;=1000</formula>
    </cfRule>
  </conditionalFormatting>
  <conditionalFormatting sqref="Z4:Z11">
    <cfRule type="expression" dxfId="509" priority="81">
      <formula>ABS(Z$7-Z$10)&gt;=1000</formula>
    </cfRule>
  </conditionalFormatting>
  <conditionalFormatting sqref="AA4:AA11">
    <cfRule type="expression" dxfId="508" priority="80">
      <formula>ABS(AA$7-AA$10)&gt;=1000</formula>
    </cfRule>
  </conditionalFormatting>
  <conditionalFormatting sqref="AB4:AB11">
    <cfRule type="expression" dxfId="507" priority="79">
      <formula>ABS(AB$7-AB$10)&gt;=1000</formula>
    </cfRule>
  </conditionalFormatting>
  <conditionalFormatting sqref="AC4 AC6:AC11">
    <cfRule type="expression" dxfId="506" priority="78">
      <formula>ABS(AC$7-AC$10)&gt;=1000</formula>
    </cfRule>
  </conditionalFormatting>
  <conditionalFormatting sqref="AD4 AD6:AD11">
    <cfRule type="expression" dxfId="505" priority="77">
      <formula>ABS(AD$7-AD$10)&gt;=1000</formula>
    </cfRule>
  </conditionalFormatting>
  <conditionalFormatting sqref="AE4 AE6:AE11">
    <cfRule type="expression" dxfId="504" priority="76">
      <formula>ABS(AE$7-AE$10)&gt;=1000</formula>
    </cfRule>
  </conditionalFormatting>
  <conditionalFormatting sqref="D13:D20">
    <cfRule type="expression" dxfId="503" priority="75">
      <formula>ABS(D$16-D$19)&gt;=1000</formula>
    </cfRule>
  </conditionalFormatting>
  <conditionalFormatting sqref="E13:E20">
    <cfRule type="expression" dxfId="502" priority="74">
      <formula>ABS(E$16-E$19)&gt;=1000</formula>
    </cfRule>
  </conditionalFormatting>
  <conditionalFormatting sqref="F13 F15:F20">
    <cfRule type="expression" dxfId="501" priority="73">
      <formula>ABS(F$16-F$19)&gt;=1000</formula>
    </cfRule>
  </conditionalFormatting>
  <conditionalFormatting sqref="G13:G20">
    <cfRule type="expression" dxfId="500" priority="72">
      <formula>ABS(G$16-G$19)&gt;=1000</formula>
    </cfRule>
  </conditionalFormatting>
  <conditionalFormatting sqref="H13 H15:H20">
    <cfRule type="expression" dxfId="499" priority="71">
      <formula>ABS(H$16-H$19)&gt;=1000</formula>
    </cfRule>
  </conditionalFormatting>
  <conditionalFormatting sqref="I13:I20">
    <cfRule type="expression" dxfId="498" priority="70">
      <formula>ABS(I$16-I$19)&gt;=1000</formula>
    </cfRule>
  </conditionalFormatting>
  <conditionalFormatting sqref="J13:J20">
    <cfRule type="expression" dxfId="497" priority="69">
      <formula>ABS(J$16-J$19)&gt;=1000</formula>
    </cfRule>
  </conditionalFormatting>
  <conditionalFormatting sqref="L13:L20">
    <cfRule type="expression" dxfId="496" priority="68">
      <formula>ABS(L$16-L$19)&gt;=1000</formula>
    </cfRule>
  </conditionalFormatting>
  <conditionalFormatting sqref="M13 M15 M17:M18 M20">
    <cfRule type="expression" dxfId="495" priority="67">
      <formula>ABS(M$16-M$19)&gt;=1000</formula>
    </cfRule>
  </conditionalFormatting>
  <conditionalFormatting sqref="N13:N20">
    <cfRule type="expression" dxfId="494" priority="66">
      <formula>ABS(N$16-N$19)&gt;=1000</formula>
    </cfRule>
  </conditionalFormatting>
  <conditionalFormatting sqref="O13:O20">
    <cfRule type="expression" dxfId="493" priority="65">
      <formula>ABS(O$16-O$19)&gt;=1000</formula>
    </cfRule>
  </conditionalFormatting>
  <conditionalFormatting sqref="P13:P20">
    <cfRule type="expression" dxfId="492" priority="64">
      <formula>ABS(P$16-P$19)&gt;=1000</formula>
    </cfRule>
  </conditionalFormatting>
  <conditionalFormatting sqref="Q13 Q15:Q20">
    <cfRule type="expression" dxfId="491" priority="63">
      <formula>ABS(Q$16-Q$19)&gt;=1000</formula>
    </cfRule>
  </conditionalFormatting>
  <conditionalFormatting sqref="R13 R15:R20">
    <cfRule type="expression" dxfId="490" priority="62">
      <formula>ABS(R$16-R$19)&gt;=1000</formula>
    </cfRule>
  </conditionalFormatting>
  <conditionalFormatting sqref="S13:S20">
    <cfRule type="expression" dxfId="489" priority="61">
      <formula>ABS(S$16-S$19)&gt;=1000</formula>
    </cfRule>
  </conditionalFormatting>
  <conditionalFormatting sqref="T13:T15 T17:T20">
    <cfRule type="expression" dxfId="488" priority="60">
      <formula>ABS(T$16-T$19)&gt;=1000</formula>
    </cfRule>
  </conditionalFormatting>
  <conditionalFormatting sqref="U13:U20">
    <cfRule type="expression" dxfId="487" priority="59">
      <formula>ABS(U$16-U$19)&gt;=1000</formula>
    </cfRule>
  </conditionalFormatting>
  <conditionalFormatting sqref="V13:V20">
    <cfRule type="expression" dxfId="486" priority="58">
      <formula>ABS(V$16-V$19)&gt;=1000</formula>
    </cfRule>
  </conditionalFormatting>
  <conditionalFormatting sqref="W13 W20 W15:W18">
    <cfRule type="expression" dxfId="485" priority="57">
      <formula>ABS(W$16-W$19)&gt;=1000</formula>
    </cfRule>
  </conditionalFormatting>
  <conditionalFormatting sqref="X13 X15:X20 Y19">
    <cfRule type="expression" dxfId="484" priority="56">
      <formula>ABS(X$16-X$19)&gt;=1000</formula>
    </cfRule>
  </conditionalFormatting>
  <conditionalFormatting sqref="Y13 Y15:Y18 Y20">
    <cfRule type="expression" dxfId="483" priority="55">
      <formula>ABS(Y$16-Y$19)&gt;=1000</formula>
    </cfRule>
  </conditionalFormatting>
  <conditionalFormatting sqref="Z13:Z20">
    <cfRule type="expression" dxfId="482" priority="54">
      <formula>ABS(Z$16-Z$19)&gt;=1000</formula>
    </cfRule>
  </conditionalFormatting>
  <conditionalFormatting sqref="AA13:AA20">
    <cfRule type="expression" dxfId="481" priority="53">
      <formula>ABS(AA$16-AA$19)&gt;=1000</formula>
    </cfRule>
  </conditionalFormatting>
  <conditionalFormatting sqref="AB13 AB15:AB20">
    <cfRule type="expression" dxfId="480" priority="52">
      <formula>ABS(AB$16-AB$19)&gt;=1000</formula>
    </cfRule>
  </conditionalFormatting>
  <conditionalFormatting sqref="AC13 AC15:AC20">
    <cfRule type="expression" dxfId="479" priority="51">
      <formula>ABS(AC$16-AC$19)&gt;=1000</formula>
    </cfRule>
  </conditionalFormatting>
  <conditionalFormatting sqref="AD13:AD20">
    <cfRule type="expression" dxfId="478" priority="50">
      <formula>ABS(AD$16-AD$19)&gt;=1000</formula>
    </cfRule>
  </conditionalFormatting>
  <conditionalFormatting sqref="AE13:AE20">
    <cfRule type="expression" dxfId="477" priority="49">
      <formula>ABS(AE$16-AE$19)&gt;=1000</formula>
    </cfRule>
  </conditionalFormatting>
  <conditionalFormatting sqref="D22:D29">
    <cfRule type="expression" dxfId="476" priority="48">
      <formula>ABS(D$25-D$28)&gt;=1000</formula>
    </cfRule>
  </conditionalFormatting>
  <conditionalFormatting sqref="E22:E29">
    <cfRule type="expression" dxfId="475" priority="47">
      <formula>ABS(E$25-E$28)&gt;=1000</formula>
    </cfRule>
  </conditionalFormatting>
  <conditionalFormatting sqref="F22:F29">
    <cfRule type="expression" dxfId="474" priority="46">
      <formula>ABS(F$25-F$28)&gt;=1000</formula>
    </cfRule>
  </conditionalFormatting>
  <conditionalFormatting sqref="G22:G29">
    <cfRule type="expression" dxfId="473" priority="45">
      <formula>ABS(G$25-G$28)&gt;=1000</formula>
    </cfRule>
  </conditionalFormatting>
  <conditionalFormatting sqref="H22:H29">
    <cfRule type="expression" dxfId="472" priority="44">
      <formula>ABS(H$25-H$28)&gt;=1000</formula>
    </cfRule>
  </conditionalFormatting>
  <conditionalFormatting sqref="I22 I24:I29">
    <cfRule type="expression" dxfId="471" priority="43">
      <formula>ABS(I$25-I$28)&gt;=1000</formula>
    </cfRule>
  </conditionalFormatting>
  <conditionalFormatting sqref="J22:J29 K22">
    <cfRule type="expression" dxfId="470" priority="42">
      <formula>ABS(J$25-J$28)&gt;=1000</formula>
    </cfRule>
  </conditionalFormatting>
  <conditionalFormatting sqref="K23:K29 L25 L28">
    <cfRule type="expression" dxfId="469" priority="41">
      <formula>ABS(K$25-K$28)&gt;=1000</formula>
    </cfRule>
  </conditionalFormatting>
  <conditionalFormatting sqref="L22 L26:L27 L29 L24">
    <cfRule type="expression" dxfId="468" priority="40">
      <formula>ABS(L$25-L$28)&gt;=1000</formula>
    </cfRule>
  </conditionalFormatting>
  <conditionalFormatting sqref="M22:M29">
    <cfRule type="expression" dxfId="467" priority="39">
      <formula>ABS(M$25-M$28)&gt;=1000</formula>
    </cfRule>
  </conditionalFormatting>
  <conditionalFormatting sqref="N22:N29">
    <cfRule type="expression" dxfId="466" priority="38">
      <formula>ABS(N$25-N$28)&gt;=1000</formula>
    </cfRule>
  </conditionalFormatting>
  <conditionalFormatting sqref="O22 O24:O29">
    <cfRule type="expression" dxfId="465" priority="37">
      <formula>ABS(O$25-O$28)&gt;=1000</formula>
    </cfRule>
  </conditionalFormatting>
  <conditionalFormatting sqref="P22:P29">
    <cfRule type="expression" dxfId="464" priority="36">
      <formula>ABS(P$25-P$28)&gt;=1000</formula>
    </cfRule>
  </conditionalFormatting>
  <conditionalFormatting sqref="Q22:Q29">
    <cfRule type="expression" dxfId="463" priority="35">
      <formula>ABS(Q$25-Q$28)&gt;=1000</formula>
    </cfRule>
  </conditionalFormatting>
  <conditionalFormatting sqref="R22:R29">
    <cfRule type="expression" dxfId="462" priority="34">
      <formula>ABS(R$25-R$28)&gt;=1000</formula>
    </cfRule>
  </conditionalFormatting>
  <conditionalFormatting sqref="S22:S29">
    <cfRule type="expression" dxfId="461" priority="33">
      <formula>ABS(S$25-S$28)&gt;=1000</formula>
    </cfRule>
  </conditionalFormatting>
  <conditionalFormatting sqref="T22:T29">
    <cfRule type="expression" dxfId="460" priority="32">
      <formula>ABS(T$25-T$28)&gt;=1000</formula>
    </cfRule>
  </conditionalFormatting>
  <conditionalFormatting sqref="U22:U29">
    <cfRule type="expression" dxfId="459" priority="31">
      <formula>ABS(U$25-U$28)&gt;=1000</formula>
    </cfRule>
  </conditionalFormatting>
  <conditionalFormatting sqref="V22:V29">
    <cfRule type="expression" dxfId="458" priority="30">
      <formula>ABS(V$25-V$28)&gt;=1000</formula>
    </cfRule>
  </conditionalFormatting>
  <conditionalFormatting sqref="W22:W29">
    <cfRule type="expression" dxfId="457" priority="29">
      <formula>ABS(W$25-W$28)&gt;=1000</formula>
    </cfRule>
  </conditionalFormatting>
  <conditionalFormatting sqref="X22:X29">
    <cfRule type="expression" dxfId="456" priority="28">
      <formula>ABS(X$25-X$28)&gt;=1000</formula>
    </cfRule>
  </conditionalFormatting>
  <conditionalFormatting sqref="Y22:Y29">
    <cfRule type="expression" dxfId="455" priority="27">
      <formula>ABS(Y$25-Y$28)&gt;=1000</formula>
    </cfRule>
  </conditionalFormatting>
  <conditionalFormatting sqref="I23">
    <cfRule type="expression" dxfId="454" priority="26">
      <formula>ABS(I$25-I$28)&gt;=1000</formula>
    </cfRule>
  </conditionalFormatting>
  <conditionalFormatting sqref="Q14">
    <cfRule type="expression" dxfId="453" priority="25">
      <formula>ABS(Q$16-Q$19)&gt;=1000</formula>
    </cfRule>
  </conditionalFormatting>
  <conditionalFormatting sqref="W14">
    <cfRule type="expression" dxfId="452" priority="24">
      <formula>ABS(W$16-W$19)&gt;=1000</formula>
    </cfRule>
  </conditionalFormatting>
  <conditionalFormatting sqref="X14">
    <cfRule type="expression" dxfId="451" priority="23">
      <formula>ABS(X$16-X$19)&gt;=1000</formula>
    </cfRule>
  </conditionalFormatting>
  <conditionalFormatting sqref="T10:Y10">
    <cfRule type="expression" dxfId="450" priority="22">
      <formula>ABS(T$7-T$10)&gt;=1000</formula>
    </cfRule>
  </conditionalFormatting>
  <conditionalFormatting sqref="W19">
    <cfRule type="expression" dxfId="449" priority="21">
      <formula>ABS(W$16-W$19)&gt;=1000</formula>
    </cfRule>
  </conditionalFormatting>
  <conditionalFormatting sqref="AC5">
    <cfRule type="expression" dxfId="448" priority="20">
      <formula>ABS(AC$7-AC$10)&gt;=1000</formula>
    </cfRule>
  </conditionalFormatting>
  <conditionalFormatting sqref="M14">
    <cfRule type="expression" dxfId="447" priority="19">
      <formula>ABS(M$16-M$19)&gt;=1000</formula>
    </cfRule>
  </conditionalFormatting>
  <conditionalFormatting sqref="M16">
    <cfRule type="expression" dxfId="446" priority="18">
      <formula>ABS(M$16-M$19)&gt;=1000</formula>
    </cfRule>
  </conditionalFormatting>
  <conditionalFormatting sqref="M19">
    <cfRule type="expression" dxfId="445" priority="17">
      <formula>ABS(M$16-M$19)&gt;=1000</formula>
    </cfRule>
  </conditionalFormatting>
  <conditionalFormatting sqref="K13:K20">
    <cfRule type="expression" dxfId="444" priority="16">
      <formula>ABS(K$16-K$19)&gt;=1000</formula>
    </cfRule>
  </conditionalFormatting>
  <conditionalFormatting sqref="E5">
    <cfRule type="expression" dxfId="443" priority="15">
      <formula>ABS(E$7-E$10)&gt;=1000</formula>
    </cfRule>
  </conditionalFormatting>
  <conditionalFormatting sqref="AB14:AC14">
    <cfRule type="expression" dxfId="442" priority="14">
      <formula>ABS(AB$16-AB$19)&gt;=1000</formula>
    </cfRule>
  </conditionalFormatting>
  <conditionalFormatting sqref="M5">
    <cfRule type="expression" dxfId="441" priority="13">
      <formula>ABS(M$7-M$10)&gt;=1000</formula>
    </cfRule>
  </conditionalFormatting>
  <conditionalFormatting sqref="N5">
    <cfRule type="expression" dxfId="440" priority="12">
      <formula>ABS(N$7-N$10)&gt;=1000</formula>
    </cfRule>
  </conditionalFormatting>
  <conditionalFormatting sqref="O5">
    <cfRule type="expression" dxfId="439" priority="11">
      <formula>ABS(O$7-O$10)&gt;=1000</formula>
    </cfRule>
  </conditionalFormatting>
  <conditionalFormatting sqref="P5">
    <cfRule type="expression" dxfId="438" priority="10">
      <formula>ABS(P$7-P$10)&gt;=1000</formula>
    </cfRule>
  </conditionalFormatting>
  <conditionalFormatting sqref="L23">
    <cfRule type="expression" dxfId="437" priority="9">
      <formula>ABS(L$25-L$28)&gt;=1000</formula>
    </cfRule>
  </conditionalFormatting>
  <conditionalFormatting sqref="Y14">
    <cfRule type="expression" dxfId="436" priority="8">
      <formula>ABS(Y$16-Y$19)&gt;=1000</formula>
    </cfRule>
  </conditionalFormatting>
  <conditionalFormatting sqref="H14">
    <cfRule type="expression" dxfId="435" priority="7">
      <formula>ABS(H$16-H$19)&gt;=1000</formula>
    </cfRule>
  </conditionalFormatting>
  <conditionalFormatting sqref="AD5">
    <cfRule type="expression" dxfId="434" priority="6">
      <formula>ABS(AD$7-AD$10)&gt;=1000</formula>
    </cfRule>
  </conditionalFormatting>
  <conditionalFormatting sqref="AE5">
    <cfRule type="expression" dxfId="433" priority="5">
      <formula>ABS(AE$7-AE$10)&gt;=1000</formula>
    </cfRule>
  </conditionalFormatting>
  <conditionalFormatting sqref="T16">
    <cfRule type="expression" dxfId="432" priority="4">
      <formula>ABS(T$16-T$19)&gt;=1000</formula>
    </cfRule>
  </conditionalFormatting>
  <conditionalFormatting sqref="O23">
    <cfRule type="expression" dxfId="431" priority="3">
      <formula>ABS(O$25-O$28)&gt;=1000</formula>
    </cfRule>
  </conditionalFormatting>
  <conditionalFormatting sqref="F14">
    <cfRule type="expression" dxfId="430" priority="2">
      <formula>ABS(F$16-F$19)&gt;=1000</formula>
    </cfRule>
  </conditionalFormatting>
  <conditionalFormatting sqref="R14">
    <cfRule type="expression" dxfId="429" priority="1">
      <formula>ABS(R$16-R$19)&gt;=1000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48097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963">
    <pageSetUpPr fitToPage="1"/>
  </sheetPr>
  <dimension ref="A1:CU223"/>
  <sheetViews>
    <sheetView view="pageBreakPreview" topLeftCell="B10" zoomScale="85" zoomScaleNormal="100" zoomScaleSheetLayoutView="85" workbookViewId="0">
      <selection activeCell="N15" sqref="N15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39" t="s" ph="1">
        <v>161</v>
      </c>
      <c r="C1" s="239" ph="1"/>
      <c r="D1" s="239" ph="1"/>
      <c r="E1" s="239" ph="1"/>
      <c r="F1" s="239" ph="1"/>
      <c r="G1" s="239" ph="1"/>
      <c r="H1" s="239" ph="1"/>
      <c r="I1" s="239" ph="1"/>
      <c r="J1" s="239" ph="1"/>
      <c r="K1" s="239" ph="1"/>
      <c r="L1" s="239" ph="1"/>
      <c r="M1" s="239" ph="1"/>
      <c r="N1" s="239" ph="1"/>
      <c r="O1" s="239" ph="1"/>
      <c r="P1" s="239" ph="1"/>
      <c r="Q1" s="239" ph="1"/>
      <c r="R1" s="239" ph="1"/>
      <c r="S1" s="239" ph="1"/>
      <c r="T1" s="239" ph="1"/>
      <c r="U1" s="239" ph="1"/>
      <c r="V1" s="239" ph="1"/>
      <c r="W1" s="239" ph="1"/>
      <c r="X1" s="239" ph="1"/>
      <c r="Y1" s="239" ph="1"/>
      <c r="Z1" s="239" ph="1"/>
      <c r="AA1" s="239" ph="1"/>
      <c r="AB1" s="239" ph="1"/>
      <c r="AC1" s="239" ph="1"/>
      <c r="AD1" s="239" ph="1"/>
      <c r="AE1" s="239" ph="1"/>
    </row>
    <row r="2" spans="1:99" s="66" customFormat="1" ht="24" customHeight="1" ph="1">
      <c r="B2" s="240" t="s" ph="1">
        <v>82</v>
      </c>
      <c r="C2" s="240" ph="1"/>
      <c r="D2" s="240" ph="1"/>
      <c r="E2" s="240" ph="1"/>
      <c r="F2" s="240" ph="1"/>
      <c r="G2" s="240" ph="1"/>
      <c r="H2" s="240" ph="1"/>
      <c r="I2" s="240" ph="1"/>
      <c r="J2" s="240" ph="1"/>
      <c r="K2" s="240" ph="1"/>
      <c r="L2" s="240" ph="1"/>
      <c r="M2" s="240" ph="1"/>
      <c r="N2" s="240" ph="1"/>
      <c r="O2" s="240" ph="1"/>
      <c r="P2" s="240" ph="1"/>
      <c r="Q2" s="240" ph="1"/>
      <c r="R2" s="240" ph="1"/>
      <c r="S2" s="240" ph="1"/>
      <c r="T2" s="240" ph="1"/>
      <c r="U2" s="240" ph="1"/>
      <c r="V2" s="240" ph="1"/>
      <c r="W2" s="240" ph="1"/>
      <c r="X2" s="240" ph="1"/>
      <c r="Y2" s="240" ph="1"/>
      <c r="Z2" s="240" ph="1"/>
      <c r="AA2" s="240" ph="1"/>
      <c r="AB2" s="240" ph="1"/>
      <c r="AC2" s="240" ph="1"/>
      <c r="AD2" s="240" ph="1"/>
      <c r="AE2" s="240" ph="1"/>
    </row>
    <row r="3" spans="1:99" ht="21" customHeight="1" ph="1">
      <c r="B3" s="241" ph="1">
        <v>46261</v>
      </c>
      <c r="C3" s="241"/>
      <c r="D3" s="241"/>
      <c r="E3" s="241"/>
      <c r="F3" s="241"/>
      <c r="G3" s="241"/>
      <c r="H3" s="241"/>
      <c r="I3" s="241"/>
      <c r="J3" s="241"/>
      <c r="K3" s="241"/>
      <c r="L3" s="241"/>
      <c r="M3" s="241"/>
      <c r="N3" s="241"/>
      <c r="O3" s="241"/>
      <c r="P3" s="241"/>
      <c r="Q3" s="241"/>
      <c r="R3" s="241"/>
      <c r="S3" s="241"/>
      <c r="T3" s="241"/>
      <c r="U3" s="241"/>
      <c r="V3" s="241"/>
      <c r="W3" s="241"/>
      <c r="X3" s="241"/>
      <c r="Y3" s="241"/>
      <c r="Z3" s="241"/>
      <c r="AA3" s="241"/>
      <c r="AB3" s="241"/>
      <c r="AC3" s="241"/>
      <c r="AD3" s="241"/>
      <c r="AE3" s="241"/>
    </row>
    <row r="4" spans="1:99" s="69" customFormat="1" ph="1">
      <c r="A4" s="65" ph="1"/>
      <c r="B4" s="220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0" ph="1"/>
      <c r="C5" s="67" t="s" ph="1">
        <v>36</v>
      </c>
      <c r="D5" s="70" t="s" ph="1">
        <v>160</v>
      </c>
      <c r="E5" s="142" t="s" ph="1">
        <v>617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8" ph="1">
        <v>0.33333333333333331</v>
      </c>
      <c r="C6" s="160" t="s" ph="1">
        <v>177</v>
      </c>
      <c r="D6" s="71">
        <v>7077</v>
      </c>
      <c r="E6" s="71">
        <v>3569</v>
      </c>
      <c r="F6" s="71">
        <v>5427</v>
      </c>
      <c r="G6" s="71">
        <v>672</v>
      </c>
      <c r="H6" s="71">
        <v>4555</v>
      </c>
      <c r="I6" s="71">
        <v>17.54</v>
      </c>
      <c r="J6" s="71">
        <v>76.72</v>
      </c>
      <c r="K6" s="71">
        <v>41.87</v>
      </c>
      <c r="L6" s="71">
        <v>6.91</v>
      </c>
      <c r="M6" s="71">
        <v>3645</v>
      </c>
      <c r="N6" s="71">
        <v>2457</v>
      </c>
      <c r="O6" s="71">
        <v>1771</v>
      </c>
      <c r="P6" s="71">
        <v>468</v>
      </c>
      <c r="Q6" s="71">
        <v>0</v>
      </c>
      <c r="R6" s="71">
        <v>0</v>
      </c>
      <c r="S6" s="71">
        <v>0</v>
      </c>
      <c r="T6" s="71">
        <v>0</v>
      </c>
      <c r="U6" s="71">
        <v>3729</v>
      </c>
      <c r="V6" s="71">
        <v>5908</v>
      </c>
      <c r="W6" s="71">
        <v>6954</v>
      </c>
      <c r="X6" s="71">
        <v>7177</v>
      </c>
      <c r="Y6" s="71">
        <v>0</v>
      </c>
      <c r="Z6" s="71">
        <v>3168</v>
      </c>
      <c r="AA6" s="71">
        <v>1301</v>
      </c>
      <c r="AB6" s="71">
        <v>2043</v>
      </c>
      <c r="AC6" s="71">
        <v>5086</v>
      </c>
      <c r="AD6" s="71">
        <v>2383</v>
      </c>
      <c r="AE6" s="71">
        <v>5646</v>
      </c>
    </row>
    <row r="7" spans="1:99" s="72" customFormat="1" ht="22.2" ph="1">
      <c r="B7" s="238" ph="1"/>
      <c r="C7" s="68" t="s" ph="1">
        <v>178</v>
      </c>
      <c r="D7" s="73" ph="1">
        <f>D6*33.183*LOOKUP(D8,密度!$A$2:$A$50,密度!$Q$2:$Q$50)</f>
        <v>222161.98716873</v>
      </c>
      <c r="E7" s="73" ph="1">
        <f>E6*51.53*LOOKUP(E8,密度!$A$2:$A$50,密度!$B$2:$B$50)</f>
        <v>143064.03240300002</v>
      </c>
      <c r="F7" s="73" ph="1">
        <f>F6*33.183*LOOKUP(F8,密度!$A$2:$A$50,密度!$C$2:$C$50)</f>
        <v>199551.23664210003</v>
      </c>
      <c r="G7" s="73" ph="1">
        <f xml:space="preserve"> (G6+2)*51.53*LOOKUP(G8,密度!$A$2:$A$50,密度!$B$2:$B$50)</f>
        <v>27045.201013999998</v>
      </c>
      <c r="H7" s="73" ph="1">
        <f>(H6)*51.53*LOOKUP(H8,密度!$A$2:$A$50,密度!$B$2:$B$50)</f>
        <v>182987.04934</v>
      </c>
      <c r="I7" s="73" ph="1">
        <f>I6*290.8*1.0267</f>
        <v>5236.818874399999</v>
      </c>
      <c r="J7" s="73" ph="1">
        <f>J6*290.8*0.7892</f>
        <v>17607.190899199999</v>
      </c>
      <c r="K7" s="73" ph="1">
        <f>K6*290.8*1.1126</f>
        <v>13546.7906296</v>
      </c>
      <c r="L7" s="73" ph="1">
        <f>L6*290.8*0.777</f>
        <v>1561.3255560000002</v>
      </c>
      <c r="M7" s="73" ph="1">
        <f>M6*33.183*LOOKUP(M8,密度!$A$2:$A$50,密度!$D$2:$D$50)</f>
        <v>124181.4543345</v>
      </c>
      <c r="N7" s="73" ph="1">
        <f>N6*33.183*LOOKUP(N8,密度!$A$2:$A$50,密度!$E$2:$E$50)</f>
        <v>63675.422810999997</v>
      </c>
      <c r="O7" s="73" ph="1">
        <f>O6*20.428*LOOKUP(O8,密度!$A$2:$A$50,密度!$C$2:$C$50)</f>
        <v>39944.116550800005</v>
      </c>
      <c r="P7" s="73" ph="1">
        <f>P6*51.53*LOOKUP(P8,密度!$A$2:$A$50,密度!$B$2:$B$50)</f>
        <v>18800.864784000001</v>
      </c>
      <c r="Q7" s="73" ph="1">
        <f>Q6*1.5*1.5*3.1416*LOOKUP(W8,密度!$A$2:$A$50,密度!$L$2:$L$50)</f>
        <v>0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24724.563217199997</v>
      </c>
      <c r="V7" s="73" ph="1">
        <f>V6*1.5*1.5*3.1416*LOOKUP(V8,密度!$A$2:$A$50,密度!$L$2:$L$50)</f>
        <v>39088.566316800003</v>
      </c>
      <c r="W7" s="73" ph="1">
        <f>W6*1.5*1.5*3.1416*LOOKUP(W8,密度!$A$2:$A$50,密度!$L$2:$L$50)</f>
        <v>46009.121558400002</v>
      </c>
      <c r="X7" s="73" ph="1">
        <f>X6*1.5*1.5*3.1416*LOOKUP(X8,密度!$A$2:$A$50,密度!$L$2:$L$50)</f>
        <v>47991.8497212</v>
      </c>
      <c r="Y7" s="73" ph="1">
        <f>Y6*1.5*1.5*3.1416*LOOKUP(Y8,密度!$A$2:$A$50,密度!$L$2:$L$50)</f>
        <v>0</v>
      </c>
      <c r="Z7" s="73" ph="1">
        <f>Z6*33.183*LOOKUP(Z8,密度!$A$2:$A$50,密度!$L$2:$L$50)</f>
        <v>98816.319359999994</v>
      </c>
      <c r="AA7" s="73" ph="1">
        <f>AA6*33.183*LOOKUP(AA8,密度!$A$2:$A$50,密度!$D$2:$D$50)</f>
        <v>44323.750916099998</v>
      </c>
      <c r="AB7" s="73" ph="1">
        <f>AB6*20.428*LOOKUP(AB8,密度!$A$2:$A$50,密度!$D$2:$D$50)</f>
        <v>43044.864285600008</v>
      </c>
      <c r="AC7" s="73" ph="1">
        <f>AC6*51.53*LOOKUP(AC8,密度!$A$2:$A$50,密度!$Q$2:$Q$50)</f>
        <v>248123.11504920002</v>
      </c>
      <c r="AD7" s="73" ph="1">
        <f>AD6*20.428*LOOKUP(AD8,密度!$A$2:$A$50,密度!$V$2:$V$50)</f>
        <v>46771.670979199997</v>
      </c>
      <c r="AE7" s="73" ph="1">
        <f>AE6*20.428</f>
        <v>115336.488</v>
      </c>
    </row>
    <row r="8" spans="1:99" ph="1">
      <c r="B8" s="238" ph="1"/>
      <c r="C8" s="68" t="s" ph="1">
        <v>179</v>
      </c>
      <c r="D8" s="74">
        <v>26</v>
      </c>
      <c r="E8" s="74">
        <v>27</v>
      </c>
      <c r="F8" s="74">
        <v>26</v>
      </c>
      <c r="G8" s="74">
        <v>26</v>
      </c>
      <c r="H8" s="74">
        <v>25</v>
      </c>
      <c r="I8" s="74">
        <v>25</v>
      </c>
      <c r="J8" s="74">
        <v>25</v>
      </c>
      <c r="K8" s="74">
        <v>25</v>
      </c>
      <c r="L8" s="74">
        <v>25</v>
      </c>
      <c r="M8" s="74">
        <v>25</v>
      </c>
      <c r="N8" s="74">
        <v>27</v>
      </c>
      <c r="O8" s="74">
        <v>31</v>
      </c>
      <c r="P8" s="74">
        <v>25</v>
      </c>
      <c r="Q8" s="74">
        <v>29</v>
      </c>
      <c r="R8" s="74">
        <v>34</v>
      </c>
      <c r="S8" s="74">
        <v>24</v>
      </c>
      <c r="T8" s="74">
        <v>21</v>
      </c>
      <c r="U8" s="74">
        <v>24</v>
      </c>
      <c r="V8" s="74">
        <v>26</v>
      </c>
      <c r="W8" s="74">
        <v>26</v>
      </c>
      <c r="X8" s="74">
        <v>16</v>
      </c>
      <c r="Y8" s="74">
        <v>27</v>
      </c>
      <c r="Z8" s="74">
        <v>22</v>
      </c>
      <c r="AA8" s="74">
        <v>25</v>
      </c>
      <c r="AB8" s="74">
        <v>20</v>
      </c>
      <c r="AC8" s="74">
        <v>25</v>
      </c>
      <c r="AD8" s="74">
        <v>24</v>
      </c>
      <c r="AE8" s="74">
        <v>28</v>
      </c>
    </row>
    <row r="9" spans="1:99" ht="26.4" ph="1">
      <c r="B9" s="238" ph="1">
        <v>0.66666666666666663</v>
      </c>
      <c r="C9" s="160" t="s" ph="1">
        <v>180</v>
      </c>
      <c r="D9" s="71">
        <v>7081</v>
      </c>
      <c r="E9" s="71">
        <v>3567</v>
      </c>
      <c r="F9" s="71">
        <v>5181</v>
      </c>
      <c r="G9" s="71">
        <v>397</v>
      </c>
      <c r="H9" s="71">
        <v>5409</v>
      </c>
      <c r="I9" s="71">
        <v>17.5</v>
      </c>
      <c r="J9" s="71">
        <v>76.87</v>
      </c>
      <c r="K9" s="71">
        <v>22.71</v>
      </c>
      <c r="L9" s="71">
        <v>35.94</v>
      </c>
      <c r="M9" s="71">
        <v>3645</v>
      </c>
      <c r="N9" s="71">
        <v>2458</v>
      </c>
      <c r="O9" s="71">
        <v>1543</v>
      </c>
      <c r="P9" s="71">
        <v>891</v>
      </c>
      <c r="Q9" s="71">
        <v>5777</v>
      </c>
      <c r="R9" s="71">
        <v>598</v>
      </c>
      <c r="S9" s="71">
        <v>0</v>
      </c>
      <c r="T9" s="71">
        <v>0</v>
      </c>
      <c r="U9" s="71">
        <v>0</v>
      </c>
      <c r="V9" s="71">
        <v>4664</v>
      </c>
      <c r="W9" s="71">
        <v>6962</v>
      </c>
      <c r="X9" s="71">
        <v>7185</v>
      </c>
      <c r="Y9" s="71">
        <v>2973</v>
      </c>
      <c r="Z9" s="71">
        <v>846</v>
      </c>
      <c r="AA9" s="71">
        <v>1302</v>
      </c>
      <c r="AB9" s="71">
        <v>2042</v>
      </c>
      <c r="AC9" s="71">
        <v>5470</v>
      </c>
      <c r="AD9" s="71">
        <v>2382</v>
      </c>
      <c r="AE9" s="71">
        <v>5630</v>
      </c>
    </row>
    <row r="10" spans="1:99" s="72" customFormat="1" ht="22.2" ph="1">
      <c r="B10" s="238" ph="1"/>
      <c r="C10" s="160" t="s" ph="1">
        <v>178</v>
      </c>
      <c r="D10" s="73" ph="1">
        <f>D9*33.183*LOOKUP(D11,密度!$A$2:$A$50,密度!$Q$2:$Q$50)</f>
        <v>222625.91072781</v>
      </c>
      <c r="E10" s="73" ph="1">
        <f>E9*51.53*LOOKUP(E11,密度!$A$2:$A$50,密度!$B$2:$B$50)</f>
        <v>142505.96250300002</v>
      </c>
      <c r="F10" s="73" ph="1">
        <f>F9*33.183*LOOKUP(F11,密度!$A$2:$A$50,密度!$C$2:$C$50)</f>
        <v>190247.9147118</v>
      </c>
      <c r="G10" s="73" ph="1">
        <f xml:space="preserve"> (G9+2)*51.53*LOOKUP(G11,密度!$A$2:$A$50,密度!$B$2:$B$50)</f>
        <v>15903.523545</v>
      </c>
      <c r="H10" s="73" ph="1">
        <f>(H9)*51.53*LOOKUP(H11,密度!$A$2:$A$50,密度!$B$2:$B$50)</f>
        <v>216096.089481</v>
      </c>
      <c r="I10" s="73" ph="1">
        <f>I9*290.8*1.0267</f>
        <v>5224.8762999999999</v>
      </c>
      <c r="J10" s="73" ph="1">
        <f>J9*290.8*0.7892</f>
        <v>17641.615803200002</v>
      </c>
      <c r="K10" s="73" ph="1">
        <f>K9*290.8*1.1126</f>
        <v>7347.6860568000002</v>
      </c>
      <c r="L10" s="73" ph="1">
        <f>L9*290.8*0.777</f>
        <v>8120.7005039999995</v>
      </c>
      <c r="M10" s="73" ph="1">
        <f>M9*33.183*LOOKUP(M11,密度!$A$2:$A$50,密度!$D$2:$D$50)</f>
        <v>123395.266107</v>
      </c>
      <c r="N10" s="73" ph="1">
        <f>N9*33.183*LOOKUP(N11,密度!$A$2:$A$50,密度!$E$2:$E$50)</f>
        <v>63513.741961799991</v>
      </c>
      <c r="O10" s="73" ph="1">
        <f>O9*20.428*LOOKUP(O11,密度!$A$2:$A$50,密度!$C$2:$C$50)</f>
        <v>34634.619915200004</v>
      </c>
      <c r="P10" s="73" ph="1">
        <f>P9*51.53*LOOKUP(P11,密度!$A$2:$A$50,密度!$B$2:$B$50)</f>
        <v>35435.830914000006</v>
      </c>
      <c r="Q10" s="73" ph="1">
        <f>Q9*1.5*1.5*3.1416*LOOKUP(W11,密度!$A$2:$A$50,密度!$L$2:$L$50)</f>
        <v>38181.007556999997</v>
      </c>
      <c r="R10" s="73" ph="1">
        <f>R9*1.5*1.5*3.1416*LOOKUP(R11,密度!$A$2:$A$50,密度!$L$2:$L$50)</f>
        <v>3905.7690671999999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30660.193872000003</v>
      </c>
      <c r="W10" s="73" ph="1">
        <f>W9*1.5*1.5*3.1416*LOOKUP(W11,密度!$A$2:$A$50,密度!$L$2:$L$50)</f>
        <v>46012.839641999999</v>
      </c>
      <c r="X10" s="73" ph="1">
        <f>X9*1.5*1.5*3.1416*LOOKUP(X11,密度!$A$2:$A$50,密度!$L$2:$L$50)</f>
        <v>47842.193321999992</v>
      </c>
      <c r="Y10" s="73" ph="1">
        <f>Y9*1.5*1.5*3.1416*LOOKUP(Y11,密度!$A$2:$A$50,密度!$L$2:$L$50)</f>
        <v>19648.976192999999</v>
      </c>
      <c r="Z10" s="73" ph="1">
        <f>Z9*33.183*LOOKUP(Z11,密度!$A$2:$A$50,密度!$L$2:$L$50)</f>
        <v>26276.157648</v>
      </c>
      <c r="AA10" s="73" ph="1">
        <f>AA9*33.183*LOOKUP(AA11,密度!$A$2:$A$50,密度!$D$2:$D$50)</f>
        <v>44076.9921732</v>
      </c>
      <c r="AB10" s="73" ph="1">
        <f>AB9*20.428*LOOKUP(AB11,密度!$A$2:$A$50,密度!$D$2:$D$50)</f>
        <v>42944.538292000005</v>
      </c>
      <c r="AC10" s="73" ph="1">
        <f>AC9*51.53*LOOKUP(AC11,密度!$A$2:$A$50,密度!$Q$2:$Q$50)</f>
        <v>265684.176278</v>
      </c>
      <c r="AD10" s="73" ph="1">
        <f>AD9*20.428*LOOKUP(AD11,密度!$A$2:$A$50,密度!$V$2:$V$50)</f>
        <v>46596.333369599997</v>
      </c>
      <c r="AE10" s="73" ph="1">
        <f>AE9*20.428</f>
        <v>115009.64</v>
      </c>
    </row>
    <row r="11" spans="1:99" ph="1">
      <c r="A11" s="64" t="s" ph="1">
        <v>162</v>
      </c>
      <c r="B11" s="238" ph="1"/>
      <c r="C11" s="160" t="s" ph="1">
        <v>179</v>
      </c>
      <c r="D11" s="74">
        <v>24</v>
      </c>
      <c r="E11" s="74">
        <v>30</v>
      </c>
      <c r="F11" s="74">
        <v>28</v>
      </c>
      <c r="G11" s="74">
        <v>32</v>
      </c>
      <c r="H11" s="74">
        <v>30</v>
      </c>
      <c r="I11" s="74">
        <v>25</v>
      </c>
      <c r="J11" s="74">
        <v>25</v>
      </c>
      <c r="K11" s="74">
        <v>25</v>
      </c>
      <c r="L11" s="74">
        <v>25</v>
      </c>
      <c r="M11" s="74">
        <v>32</v>
      </c>
      <c r="N11" s="74">
        <v>29</v>
      </c>
      <c r="O11" s="74">
        <v>36</v>
      </c>
      <c r="P11" s="74">
        <v>34</v>
      </c>
      <c r="Q11" s="74">
        <v>31</v>
      </c>
      <c r="R11" s="74">
        <v>38</v>
      </c>
      <c r="S11" s="74">
        <v>31</v>
      </c>
      <c r="T11" s="74">
        <v>30</v>
      </c>
      <c r="U11" s="74">
        <v>31</v>
      </c>
      <c r="V11" s="74">
        <v>32</v>
      </c>
      <c r="W11" s="74">
        <v>27</v>
      </c>
      <c r="X11" s="74">
        <v>20</v>
      </c>
      <c r="Y11" s="74">
        <v>27</v>
      </c>
      <c r="Z11" s="74">
        <v>26</v>
      </c>
      <c r="AA11" s="74">
        <v>32</v>
      </c>
      <c r="AB11" s="74">
        <v>22</v>
      </c>
      <c r="AC11" s="74">
        <v>31</v>
      </c>
      <c r="AD11" s="74">
        <v>29</v>
      </c>
      <c r="AE11" s="74">
        <v>30</v>
      </c>
    </row>
    <row r="12" spans="1:99" ht="9.9" customHeight="1" ph="1"/>
    <row r="13" spans="1:99" s="72" customFormat="1" ht="29.25" customHeight="1" ph="1">
      <c r="B13" s="215" t="s" ph="1">
        <v>37</v>
      </c>
      <c r="C13" s="160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6" ph="1"/>
      <c r="C14" s="67" t="s" ph="1">
        <v>36</v>
      </c>
      <c r="D14" s="77" t="s" ph="1">
        <v>616</v>
      </c>
      <c r="E14" s="77" t="s" ph="1">
        <v>616</v>
      </c>
      <c r="F14" s="77" t="s" ph="1">
        <v>647</v>
      </c>
      <c r="G14" s="77" t="s" ph="1">
        <v>617</v>
      </c>
      <c r="H14" s="77" t="s" ph="1">
        <v>637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638</v>
      </c>
      <c r="P14" s="77" t="s" ph="1">
        <v>622</v>
      </c>
      <c r="Q14" s="77" t="s" ph="1">
        <v>622</v>
      </c>
      <c r="R14" s="77" t="s" ph="1">
        <v>622</v>
      </c>
      <c r="S14" s="77" t="s" ph="1">
        <v>622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17" ph="1">
        <v>0.33333333333333331</v>
      </c>
      <c r="C15" s="160" t="s" ph="1">
        <v>177</v>
      </c>
      <c r="D15" s="78">
        <v>1566</v>
      </c>
      <c r="E15" s="78">
        <v>315</v>
      </c>
      <c r="F15" s="78">
        <v>2191</v>
      </c>
      <c r="G15" s="78">
        <v>1275</v>
      </c>
      <c r="H15" s="78">
        <v>4348</v>
      </c>
      <c r="I15" s="78">
        <v>3216</v>
      </c>
      <c r="J15" s="78">
        <v>1266</v>
      </c>
      <c r="K15" s="78">
        <v>3650</v>
      </c>
      <c r="L15" s="78">
        <v>7202</v>
      </c>
      <c r="M15" s="78">
        <v>4647</v>
      </c>
      <c r="N15" s="78">
        <v>435</v>
      </c>
      <c r="O15" s="78">
        <v>1904</v>
      </c>
      <c r="P15" s="78">
        <v>299</v>
      </c>
      <c r="Q15" s="78">
        <v>547</v>
      </c>
      <c r="R15" s="78">
        <v>0</v>
      </c>
      <c r="S15" s="78">
        <v>189</v>
      </c>
      <c r="T15" s="78">
        <v>2807</v>
      </c>
      <c r="U15" s="78">
        <v>166</v>
      </c>
      <c r="V15" s="78">
        <v>-817</v>
      </c>
      <c r="W15" s="71">
        <v>-152</v>
      </c>
      <c r="X15" s="78">
        <v>857</v>
      </c>
      <c r="Y15" s="106">
        <v>-9907</v>
      </c>
      <c r="Z15" s="78">
        <v>0</v>
      </c>
      <c r="AA15" s="78">
        <v>2473</v>
      </c>
      <c r="AB15" s="78" ph="1">
        <v>0</v>
      </c>
      <c r="AC15" s="78" ph="1">
        <v>0</v>
      </c>
      <c r="AD15" s="78">
        <v>5.89</v>
      </c>
      <c r="AE15" s="78">
        <v>47.82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18" ph="1"/>
      <c r="C16" s="160" t="s" ph="1">
        <v>178</v>
      </c>
      <c r="D16" s="73" ph="1">
        <f>D15*7.0686*LOOKUP(D17,密度!$A$2:$A$50,密度!$L$2:$L$50)</f>
        <v>10360.984233600002</v>
      </c>
      <c r="E16" s="73" ph="1">
        <f>E15*7.0686*LOOKUP(E17,密度!$A$2:$A$50,密度!$L$2:$L$50)</f>
        <v>2084.1060240000002</v>
      </c>
      <c r="F16" s="73" ph="1">
        <f>F15*9.0746*LOOKUP(F17,密度!$A$2:$A$50,密度!$L$2:$L$50)</f>
        <v>18570.206992400002</v>
      </c>
      <c r="G16" s="73" ph="1">
        <f>G15*9.0746*LOOKUP(G17,密度!$A$2:$A$50,密度!$B$2:$B$50)</f>
        <v>9030.4747575000001</v>
      </c>
      <c r="H16" s="73" ph="1">
        <f>H15*9.0746*LOOKUP(H17,密度!$A$2:$A$50,密度!$L$2:$L$50)</f>
        <v>37088.979152</v>
      </c>
      <c r="I16" s="73" ph="1">
        <f>I15*9.0746*LOOKUP(I17,密度!$A$2:$A$50,密度!$U$2:$U$50)</f>
        <v>30001.0631808</v>
      </c>
      <c r="J16" s="73" ph="1">
        <f>J15*9.0746*LOOKUP(J17,密度!$A$2:$A$50,密度!$L$2:$L$50)</f>
        <v>10753.183209600002</v>
      </c>
      <c r="K16" s="73" ph="1">
        <f>K15*9.0746*LOOKUP(K17,密度!$A$2:$A$50,密度!$C$2:$C$50)</f>
        <v>36729.307380999999</v>
      </c>
      <c r="L16" s="73" ph="1">
        <f>L15*9.0746*LOOKUP(L17,密度!$A$2:$A$50,密度!$E$2:$E$50)</f>
        <v>51186.246837440005</v>
      </c>
      <c r="M16" s="73" ph="1">
        <f>M15*9.0746*LOOKUP(M17,密度!$A$2:$A$50,密度!$M$2:$M$50)</f>
        <v>36771.9489264</v>
      </c>
      <c r="N16" s="73" ph="1">
        <f>N15*9.0746*LOOKUP(N17,密度!$A$2:$A$50,密度!$M$2:$M$50)</f>
        <v>3454.4143700999998</v>
      </c>
      <c r="O16" s="73" ph="1">
        <f>O15*9.0746*LOOKUP(O17,密度!$A$2:$A$50,密度!$G$2:$G$50)</f>
        <v>16535.0827488</v>
      </c>
      <c r="P16" s="73" ph="1">
        <f ca="1">P15*9.0746*LOOKUP(P17,密度!$A$2:$A$51,密度!$Q$2:$Q$50)</f>
        <v>2568.7947543960004</v>
      </c>
      <c r="Q16" s="73" ph="1">
        <f>Q15*9.0746*LOOKUP(Q17,密度!$A$2:$A$50,密度!$Q$2:$Q$50)</f>
        <v>4695.9095793860006</v>
      </c>
      <c r="R16" s="73" ph="1">
        <f>MAX(R15*9.0746*LOOKUP(R17,密度!$A$2:$A$50,密度!$Q$2:$Q$50),0)</f>
        <v>0</v>
      </c>
      <c r="S16" s="73" ph="1">
        <f>S15*9.0746*LOOKUP(S17,密度!$A$2:$A$50,密度!$Q$2:$Q$50)</f>
        <v>1622.5354853820002</v>
      </c>
      <c r="T16" s="73" ph="1">
        <f>T15*9.0746*LOOKUP(T17,密度!$A$2:$A$50,密度!$O$2:$O$50)</f>
        <v>23587.4444372</v>
      </c>
      <c r="U16" s="73" ph="1">
        <f>U15*9.0746*LOOKUP(U17,密度!$A$2:$A$50,密度!$H$2:$H$50)</f>
        <v>1379.3954625200001</v>
      </c>
      <c r="V16" s="73" ph="1">
        <f>MAX(5600*LOOKUP(V17,密度!$A$2:$A$50,密度!$Q$2:$Q$50)+V15*9.0476*LOOKUP(V17,密度!$A$2:$A$50,密度!$Q$2:$Q$50),0)</f>
        <v>0</v>
      </c>
      <c r="W16" s="73" ph="1">
        <f>MAX(5600*LOOKUP(W17,密度!$A$2:$A$50,密度!$Q$2:$Q$50)+W15*9.0476*LOOKUP(W17,密度!$A$2:$A$50,密度!$Q$2:$Q$50),0)</f>
        <v>3990.7973253760001</v>
      </c>
      <c r="X16" s="73" ph="1">
        <f>MAX(5600*LOOKUP(X17,密度!$A$2:$A$50,密度!$I$2:$I$50)+X15*9.0476*LOOKUP(X17,密度!$A$2:$A$50,密度!$I$2:$I$50),0)</f>
        <v>13874.591134799997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17475.184992459999</v>
      </c>
      <c r="AB16" s="73" ph="1">
        <f>AB15*9.0746*LOOKUP(AB17,密度!$A$2:$A$50,密度!$L$2:$L$50)</f>
        <v>0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2454.5902459199997</v>
      </c>
      <c r="AE16" s="73" ph="1">
        <f>AE15*268.68*LOOKUP(AE17,密度!$A$2:$A$50,密度!B2:B50)+IF(AE15&lt;=0,0,1566*LOOKUP(AE17,密度!$A$2:$A$50,密度!B2:B50))</f>
        <v>11237.370816960001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19" ph="1"/>
      <c r="C17" s="79" t="s" ph="1">
        <v>179</v>
      </c>
      <c r="D17" s="74">
        <v>26</v>
      </c>
      <c r="E17" s="74">
        <v>26</v>
      </c>
      <c r="F17" s="74">
        <v>28</v>
      </c>
      <c r="G17" s="74">
        <v>24</v>
      </c>
      <c r="H17" s="74">
        <v>22</v>
      </c>
      <c r="I17" s="74">
        <v>22</v>
      </c>
      <c r="J17" s="74">
        <v>26</v>
      </c>
      <c r="K17" s="74">
        <v>25</v>
      </c>
      <c r="L17" s="74">
        <v>25</v>
      </c>
      <c r="M17" s="74">
        <v>28</v>
      </c>
      <c r="N17" s="74">
        <v>25</v>
      </c>
      <c r="O17" s="74">
        <v>28</v>
      </c>
      <c r="P17" s="74">
        <v>25</v>
      </c>
      <c r="Q17" s="74">
        <v>26</v>
      </c>
      <c r="R17" s="74">
        <v>26</v>
      </c>
      <c r="S17" s="74">
        <v>26</v>
      </c>
      <c r="T17" s="74">
        <v>25</v>
      </c>
      <c r="U17" s="74">
        <v>24</v>
      </c>
      <c r="V17" s="74">
        <v>28</v>
      </c>
      <c r="W17" s="74">
        <v>28</v>
      </c>
      <c r="X17" s="74">
        <v>28</v>
      </c>
      <c r="Y17" s="108">
        <v>28</v>
      </c>
      <c r="Z17" s="74">
        <v>25</v>
      </c>
      <c r="AA17" s="74">
        <v>26</v>
      </c>
      <c r="AB17" s="74">
        <v>26</v>
      </c>
      <c r="AC17" s="74">
        <v>24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17" ph="1">
        <v>0.66666666666666663</v>
      </c>
      <c r="C18" s="79" t="s" ph="1">
        <v>180</v>
      </c>
      <c r="D18" s="71">
        <v>142</v>
      </c>
      <c r="E18" s="71">
        <v>1718</v>
      </c>
      <c r="F18" s="71">
        <v>2192</v>
      </c>
      <c r="G18" s="71">
        <v>1418</v>
      </c>
      <c r="H18" s="71">
        <v>4351</v>
      </c>
      <c r="I18" s="71">
        <v>3217</v>
      </c>
      <c r="J18" s="71">
        <v>1365</v>
      </c>
      <c r="K18" s="71">
        <v>3650</v>
      </c>
      <c r="L18" s="71">
        <v>7215</v>
      </c>
      <c r="M18" s="71">
        <v>1701</v>
      </c>
      <c r="N18" s="71">
        <v>434</v>
      </c>
      <c r="O18" s="71">
        <v>1905</v>
      </c>
      <c r="P18" s="71">
        <v>298</v>
      </c>
      <c r="Q18" s="71">
        <v>543</v>
      </c>
      <c r="R18" s="71">
        <v>0</v>
      </c>
      <c r="S18" s="71">
        <v>189</v>
      </c>
      <c r="T18" s="71">
        <v>1902</v>
      </c>
      <c r="U18" s="71">
        <v>2031</v>
      </c>
      <c r="V18" s="71">
        <v>-817</v>
      </c>
      <c r="W18" s="71">
        <v>-153</v>
      </c>
      <c r="X18" s="71">
        <v>857</v>
      </c>
      <c r="Y18" s="109">
        <v>-9907</v>
      </c>
      <c r="Z18" s="71">
        <v>0</v>
      </c>
      <c r="AA18" s="71">
        <v>2475</v>
      </c>
      <c r="AB18" s="71">
        <v>0</v>
      </c>
      <c r="AC18" s="71">
        <v>0</v>
      </c>
      <c r="AD18" s="71">
        <v>16.78</v>
      </c>
      <c r="AE18" s="71">
        <v>84.45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18" ph="1"/>
      <c r="C19" s="160" t="s" ph="1">
        <v>178</v>
      </c>
      <c r="D19" s="73" ph="1">
        <f>D18*7.0686*LOOKUP(D20,密度!$A$2:$A$50,密度!$L$2:$L$50)</f>
        <v>931.47183360000008</v>
      </c>
      <c r="E19" s="73" ph="1">
        <f>E18*7.0686*LOOKUP(E20,密度!$A$2:$A$50,密度!$L$2:$L$50)</f>
        <v>11269.497254399999</v>
      </c>
      <c r="F19" s="73" ph="1">
        <f>F18*9.0746*LOOKUP(F20,密度!$A$2:$A$50,密度!$L$2:$L$50)</f>
        <v>18459.3335296</v>
      </c>
      <c r="G19" s="73" ph="1">
        <f>G18*9.0746*LOOKUP(G20,密度!$A$2:$A$50,密度!$B$2:$B$50)</f>
        <v>9987.973009360001</v>
      </c>
      <c r="H19" s="73" ph="1">
        <f>H18*9.0746*LOOKUP(H20,密度!$A$2:$A$50,密度!$L$2:$L$50)</f>
        <v>36956.635185600004</v>
      </c>
      <c r="I19" s="73" ph="1">
        <f>I18*9.0746*LOOKUP(I20,密度!$A$2:$A$50,密度!$U$2:$U$50)</f>
        <v>29630.883022999999</v>
      </c>
      <c r="J19" s="73" ph="1">
        <f>J18*9.0746*LOOKUP(J20,密度!$A$2:$A$50,密度!$L$2:$L$50)</f>
        <v>11482.590483</v>
      </c>
      <c r="K19" s="73" ph="1">
        <f>K18*9.0746*LOOKUP(K20,密度!$A$2:$A$50,密度!$C$2:$C$50)</f>
        <v>36629.940511000008</v>
      </c>
      <c r="L19" s="73" ph="1">
        <f>L18*9.0746*LOOKUP(L20,密度!$A$2:$A$50,密度!$E$2:$E$50)</f>
        <v>50984.011209299999</v>
      </c>
      <c r="M19" s="73" ph="1">
        <f>M18*9.0746*LOOKUP(M20,密度!$A$2:$A$50,密度!$M$2:$M$50)</f>
        <v>13411.785741102</v>
      </c>
      <c r="N19" s="73" ph="1">
        <f>N18*9.0746*LOOKUP(N20,密度!$A$2:$A$50,密度!$M$2:$M$50)</f>
        <v>3425.9936303600002</v>
      </c>
      <c r="O19" s="73" ph="1">
        <f>O18*9.0746*LOOKUP(O20,密度!$A$2:$A$50,密度!$G$2:$G$50)</f>
        <v>16524.7513167</v>
      </c>
      <c r="P19" s="73" ph="1">
        <f ca="1">P18*9.0746*LOOKUP(P20,密度!$A$2:$A$51,密度!$Q$2:$Q$50)</f>
        <v>2545.3572405000004</v>
      </c>
      <c r="Q19" s="73" ph="1">
        <f>Q18*9.0746*LOOKUP(Q20,密度!$A$2:$A$50,密度!$Q$2:$Q$50)</f>
        <v>4634.7645616020009</v>
      </c>
      <c r="R19" s="73" ph="1">
        <f>MAX(R18*9.0746*LOOKUP(R20,密度!$A$2:$A$50,密度!$Q$2:$Q$50),0)</f>
        <v>0</v>
      </c>
      <c r="S19" s="73" ph="1">
        <f>S18*9.0746*LOOKUP(S20,密度!$A$2:$A$50,密度!$Q$2:$Q$50)</f>
        <v>1622.5354853820002</v>
      </c>
      <c r="T19" s="73" ph="1">
        <f>T18*9.0746*LOOKUP(T20,密度!$A$2:$A$50,密度!$O$2:$O$50)</f>
        <v>15982.657399200001</v>
      </c>
      <c r="U19" s="73" ph="1">
        <f>U18*9.0746*LOOKUP(U20,密度!$A$2:$A$50,密度!$H$2:$H$50)</f>
        <v>16825.214952540002</v>
      </c>
      <c r="V19" s="73" ph="1">
        <f>MAX(5600*LOOKUP(V20,密度!$A$2:$A$50,密度!$Q$2:$Q$50)+V18*9.0476*LOOKUP(V20,密度!$A$2:$A$50,密度!$Q$2:$Q$50),0)</f>
        <v>0</v>
      </c>
      <c r="W19" s="73" ph="1">
        <f>MAX(5600*LOOKUP(W20,密度!$A$2:$A$50,密度!$Q$2:$Q$50)+W18*9.0476*LOOKUP(W20,密度!$A$2:$A$50,密度!$Q$2:$Q$50),0)</f>
        <v>3968.0438144999998</v>
      </c>
      <c r="X19" s="73" ph="1">
        <f>MAX(5600*LOOKUP(X20,密度!$A$2:$A$50,密度!$I$2:$I$50)+X18*9.0476*LOOKUP(X20,密度!$A$2:$A$50,密度!$I$2:$I$50),0)</f>
        <v>13829.18823792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17433.168687000001</v>
      </c>
      <c r="AB19" s="73" ph="1">
        <f>AB18*9.0746*LOOKUP(AB20,密度!$A$2:$A$50,密度!$L$2:$L$50)</f>
        <v>0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4719.8479608000007</v>
      </c>
      <c r="AE19" s="73" ph="1">
        <f>AE18*268.68*LOOKUP(AE20,密度!$A$2:$A$50,密度!B5:B53)+IF(AE18&lt;=0,0,1566*LOOKUP(AE20,密度!$A$2:$A$50,密度!B5:B53))</f>
        <v>18846.932202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18" ph="1"/>
      <c r="C20" s="80" t="s" ph="1">
        <v>179</v>
      </c>
      <c r="D20" s="81">
        <v>34</v>
      </c>
      <c r="E20" s="81">
        <v>34</v>
      </c>
      <c r="F20" s="81">
        <v>34</v>
      </c>
      <c r="G20" s="81">
        <v>29</v>
      </c>
      <c r="H20" s="81">
        <v>26</v>
      </c>
      <c r="I20" s="81">
        <v>35</v>
      </c>
      <c r="J20" s="81">
        <v>35</v>
      </c>
      <c r="K20" s="81">
        <v>29</v>
      </c>
      <c r="L20" s="81">
        <v>29</v>
      </c>
      <c r="M20" s="81">
        <v>31</v>
      </c>
      <c r="N20" s="81">
        <v>30</v>
      </c>
      <c r="O20" s="81">
        <v>29</v>
      </c>
      <c r="P20" s="81">
        <v>33</v>
      </c>
      <c r="Q20" s="81">
        <v>34</v>
      </c>
      <c r="R20" s="81">
        <v>35</v>
      </c>
      <c r="S20" s="81">
        <v>26</v>
      </c>
      <c r="T20" s="81">
        <v>29</v>
      </c>
      <c r="U20" s="81">
        <v>27</v>
      </c>
      <c r="V20" s="81">
        <v>32</v>
      </c>
      <c r="W20" s="81">
        <v>33</v>
      </c>
      <c r="X20" s="81">
        <v>31</v>
      </c>
      <c r="Y20" s="110">
        <v>31</v>
      </c>
      <c r="Z20" s="81">
        <v>34</v>
      </c>
      <c r="AA20" s="81">
        <v>29</v>
      </c>
      <c r="AB20" s="81">
        <v>36</v>
      </c>
      <c r="AC20" s="81">
        <v>35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6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6" t="s" ph="1">
        <v>69</v>
      </c>
      <c r="AA22" s="227"/>
      <c r="AB22" s="227"/>
      <c r="AC22" s="227"/>
      <c r="AD22" s="227"/>
      <c r="AE22" s="228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0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610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229" t="s" ph="1">
        <v>642</v>
      </c>
      <c r="AA23" s="230"/>
      <c r="AB23" s="230"/>
      <c r="AC23" s="230"/>
      <c r="AD23" s="230"/>
      <c r="AE23" s="231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38" ph="1">
        <v>0.33333333333333331</v>
      </c>
      <c r="C24" s="160" t="s" ph="1">
        <v>177</v>
      </c>
      <c r="D24" s="71">
        <v>53.28</v>
      </c>
      <c r="E24" s="71">
        <v>5.6</v>
      </c>
      <c r="F24" s="71">
        <v>2709</v>
      </c>
      <c r="G24" s="71">
        <v>2720</v>
      </c>
      <c r="H24" s="71">
        <v>3221</v>
      </c>
      <c r="I24" s="71">
        <v>1042</v>
      </c>
      <c r="J24" s="71">
        <v>302</v>
      </c>
      <c r="K24" s="71">
        <v>328</v>
      </c>
      <c r="L24" s="71">
        <v>301</v>
      </c>
      <c r="M24" s="71">
        <v>326</v>
      </c>
      <c r="N24" s="71">
        <v>3537</v>
      </c>
      <c r="O24" s="71">
        <v>315</v>
      </c>
      <c r="P24" s="71">
        <v>373</v>
      </c>
      <c r="Q24" s="90">
        <v>1870</v>
      </c>
      <c r="R24" s="71">
        <v>289</v>
      </c>
      <c r="S24" s="71">
        <v>2339</v>
      </c>
      <c r="T24" s="71">
        <v>3</v>
      </c>
      <c r="U24" s="71">
        <v>6852</v>
      </c>
      <c r="V24" s="71">
        <v>738</v>
      </c>
      <c r="W24" s="71">
        <v>431</v>
      </c>
      <c r="X24" s="71">
        <v>4539</v>
      </c>
      <c r="Y24" s="71">
        <v>5088</v>
      </c>
      <c r="Z24" s="232"/>
      <c r="AA24" s="233"/>
      <c r="AB24" s="233"/>
      <c r="AC24" s="233"/>
      <c r="AD24" s="233"/>
      <c r="AE24" s="234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38" ph="1"/>
      <c r="C25" s="68" t="s" ph="1">
        <v>178</v>
      </c>
      <c r="D25" s="91" ph="1">
        <f>D24*268.68*LOOKUP(D26,密度!$A$2:$A$50,密度!$Q$2:$Q$50)+IF(D24&lt;=0,0,1566*LOOKUP(D26,密度!$A$2:$A$50,密度!$Q$2:$Q$50))</f>
        <v>15035.433938496002</v>
      </c>
      <c r="E25" s="91" ph="1">
        <f>E24*268.68*LOOKUP(E26,密度!$A$2:$A$50,密度!$C$2:$C$50)+IF(E24&lt;=0,0,1566*LOOKUP(E26,密度!$A$2:$A$50,密度!$C$2:$C$50))</f>
        <v>3404.9972111999996</v>
      </c>
      <c r="F25" s="91" ph="1">
        <f>F24*11.702*LOOKUP(F26,密度!$A$2:$A$50,密度!$Q$2:$Q$50)</f>
        <v>30012.337759320002</v>
      </c>
      <c r="G25" s="91" ph="1">
        <f>G24*18.322*LOOKUP(G26,密度!$A$2:$A$50,密度!$B$2:$B$50)</f>
        <v>38807.168607999993</v>
      </c>
      <c r="H25" s="91" ph="1">
        <f>H24*18.322*LOOKUP(H26,密度!$A$2:$A$50,密度!$B$2:$B$50)</f>
        <v>45955.106649399997</v>
      </c>
      <c r="I25" s="91" ph="1">
        <f>I24*18.322*LOOKUP(I26,密度!$A$2:$A$50,密度!$Q$2:$Q$50)</f>
        <v>18047.59946768</v>
      </c>
      <c r="J25" s="91" ph="1">
        <f>J24*18.322*LOOKUP(J26,密度!$A$2:$A$50,密度!$Q$2:$Q$50)</f>
        <v>5238.5434245599999</v>
      </c>
      <c r="K25" s="91" ph="1">
        <f>K24*18.322*LOOKUP(K26,密度!$A$2:$A$50,密度!$Q$2:$Q$50)</f>
        <v>5689.5438518400006</v>
      </c>
      <c r="L25" s="91" ph="1">
        <f>L24*18.322*LOOKUP(L26,密度!$A$2:$A$50,密度!$Q$2:$Q$50)</f>
        <v>5221.1972542799995</v>
      </c>
      <c r="M25" s="91" ph="1">
        <f>M24*18.322*LOOKUP(M26,密度!$A$2:$A$50,密度!$Q$2:$Q$50)</f>
        <v>5642.1888106400002</v>
      </c>
      <c r="N25" s="91" ph="1">
        <f>N24*18.322*LOOKUP(N26,密度!$A$2:$A$50,密度!$Q$2:$Q$50)</f>
        <v>61216.017862679997</v>
      </c>
      <c r="O25" s="91" ph="1">
        <f>O24*18.322*LOOKUP(O26,密度!$A$2:$A$50,密度!$C$2:$C$50)</f>
        <v>6399.9387269999997</v>
      </c>
      <c r="P25" s="91" ph="1">
        <f>P24*11.702*LOOKUP(P26,密度!$A$2:$A$50,密度!$B$2:$B$50)</f>
        <v>3402.8339415999994</v>
      </c>
      <c r="Q25" s="92" ph="1">
        <f>Q24*18.322*LOOKUP(Q26,密度!$A$2:$A$50,密度!$B$2:$B$50)</f>
        <v>26710.764343999999</v>
      </c>
      <c r="R25" s="91" ph="1">
        <f>R24*35.891*LOOKUP(R26,密度!$A$2:$A$50,密度!$C$2:$C$50)</f>
        <v>11493.766141900001</v>
      </c>
      <c r="S25" s="91" ph="1">
        <f>S24*35.891*LOOKUP(S26,密度!$A$2:$A$50,密度!$B$2:$B$50)</f>
        <v>65371.124456299993</v>
      </c>
      <c r="T25" s="91" ph="1">
        <f>T24*35.891*LOOKUP(T26,密度!$A$2:$A$50,密度!$Q$2:$Q$50)</f>
        <v>101.78544036000001</v>
      </c>
      <c r="U25" s="91" ph="1">
        <f>U24*35.891</f>
        <v>245925.13199999998</v>
      </c>
      <c r="V25" s="91" ph="1">
        <f>V24*47.051*LOOKUP(V26,密度!$A$2:$A$50,密度!$B$2:$B$50)</f>
        <v>27070.548184799998</v>
      </c>
      <c r="W25" s="91" ph="1">
        <f>W24*47.051*LOOKUP(W26,密度!$A$2:$A$50,密度!$B$2:$B$50)</f>
        <v>15827.744670499998</v>
      </c>
      <c r="X25" s="91" ph="1">
        <f>X24*47.051*LOOKUP(X26,密度!$A$2:$A$61,密度!$I$2:$I$61)</f>
        <v>221637.22668420002</v>
      </c>
      <c r="Y25" s="91" ph="1">
        <f>Y24*47.051*LOOKUP(Y26,密度!$A$2:$A$50,密度!$L$2:$L$50)</f>
        <v>222637.80384000004</v>
      </c>
      <c r="Z25" s="232"/>
      <c r="AA25" s="233"/>
      <c r="AB25" s="233"/>
      <c r="AC25" s="233"/>
      <c r="AD25" s="233"/>
      <c r="AE25" s="234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38" ph="1"/>
      <c r="C26" s="68" t="s" ph="1">
        <v>179</v>
      </c>
      <c r="D26" s="74">
        <v>25</v>
      </c>
      <c r="E26" s="74">
        <v>25</v>
      </c>
      <c r="F26" s="74">
        <v>25</v>
      </c>
      <c r="G26" s="74">
        <v>26</v>
      </c>
      <c r="H26" s="74">
        <v>26</v>
      </c>
      <c r="I26" s="74">
        <v>27</v>
      </c>
      <c r="J26" s="74">
        <v>25</v>
      </c>
      <c r="K26" s="74">
        <v>25</v>
      </c>
      <c r="L26" s="74">
        <v>25</v>
      </c>
      <c r="M26" s="74">
        <v>28</v>
      </c>
      <c r="N26" s="74">
        <v>28</v>
      </c>
      <c r="O26" s="74">
        <v>25</v>
      </c>
      <c r="P26" s="74">
        <v>25</v>
      </c>
      <c r="Q26" s="93">
        <v>25</v>
      </c>
      <c r="R26" s="74">
        <v>26</v>
      </c>
      <c r="S26" s="74">
        <v>26</v>
      </c>
      <c r="T26" s="74">
        <v>27</v>
      </c>
      <c r="U26" s="74">
        <v>27</v>
      </c>
      <c r="V26" s="74">
        <v>25</v>
      </c>
      <c r="W26" s="74">
        <v>24</v>
      </c>
      <c r="X26" s="74">
        <v>29</v>
      </c>
      <c r="Y26" s="74">
        <v>32</v>
      </c>
      <c r="Z26" s="232"/>
      <c r="AA26" s="233"/>
      <c r="AB26" s="233"/>
      <c r="AC26" s="233"/>
      <c r="AD26" s="233"/>
      <c r="AE26" s="234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38" ph="1">
        <v>0.66666666666666663</v>
      </c>
      <c r="C27" s="160" t="s" ph="1">
        <v>180</v>
      </c>
      <c r="D27" s="71">
        <v>23.55</v>
      </c>
      <c r="E27" s="71">
        <v>5.55</v>
      </c>
      <c r="F27" s="71">
        <v>1520</v>
      </c>
      <c r="G27" s="71">
        <v>2145</v>
      </c>
      <c r="H27" s="71">
        <v>2743</v>
      </c>
      <c r="I27" s="71">
        <v>1038</v>
      </c>
      <c r="J27" s="71">
        <v>295</v>
      </c>
      <c r="K27" s="71">
        <v>1185</v>
      </c>
      <c r="L27" s="71">
        <v>295</v>
      </c>
      <c r="M27" s="71">
        <v>320</v>
      </c>
      <c r="N27" s="71">
        <v>2870</v>
      </c>
      <c r="O27" s="71">
        <v>311</v>
      </c>
      <c r="P27" s="71">
        <v>370</v>
      </c>
      <c r="Q27" s="90">
        <v>2088</v>
      </c>
      <c r="R27" s="71">
        <v>285</v>
      </c>
      <c r="S27" s="71">
        <v>2336</v>
      </c>
      <c r="T27" s="71">
        <v>5</v>
      </c>
      <c r="U27" s="71">
        <v>6828</v>
      </c>
      <c r="V27" s="71">
        <v>733</v>
      </c>
      <c r="W27" s="71">
        <v>427</v>
      </c>
      <c r="X27" s="71">
        <v>4539</v>
      </c>
      <c r="Y27" s="71">
        <v>5799</v>
      </c>
      <c r="Z27" s="232"/>
      <c r="AA27" s="233"/>
      <c r="AB27" s="233"/>
      <c r="AC27" s="233"/>
      <c r="AD27" s="233"/>
      <c r="AE27" s="234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38" ph="1"/>
      <c r="C28" s="160" t="s" ph="1">
        <v>178</v>
      </c>
      <c r="D28" s="91" ph="1">
        <f>D27*268.68*LOOKUP(D29,密度!$A$2:$A$50,密度!$Q$2:$Q$50)+IF(D27&lt;=0,0,1566*LOOKUP(D29,密度!$A$2:$A$50,密度!$Q$2:$Q$50))</f>
        <v>7473.0107703600006</v>
      </c>
      <c r="E28" s="91" ph="1">
        <f>E27*268.68*LOOKUP(E29,密度!$A$2:$A$50,密度!$C$2:$C$50)+IF(E27&lt;=0,0,1566*LOOKUP(E29,密度!$A$2:$A$50,密度!$C$2:$C$50))</f>
        <v>3390.1002485999998</v>
      </c>
      <c r="F28" s="91" ph="1">
        <f>F27*11.702*LOOKUP(F29,密度!$A$2:$A$50,密度!$Q$2:$Q$50)</f>
        <v>16753.612976</v>
      </c>
      <c r="G28" s="91" ph="1">
        <f>G27*18.322*LOOKUP(G29,密度!$A$2:$A$50,密度!$B$2:$B$50)</f>
        <v>30469.824956999997</v>
      </c>
      <c r="H28" s="91" ph="1">
        <f>H27*18.322*LOOKUP(H29,密度!$A$2:$A$50,密度!$B$2:$B$50)</f>
        <v>38964.442823799996</v>
      </c>
      <c r="I28" s="91" ph="1">
        <f>I27*18.322*LOOKUP(I29,密度!$A$2:$A$50,密度!$Q$2:$Q$50)</f>
        <v>17940.472565880002</v>
      </c>
      <c r="J28" s="91" ph="1">
        <f>J27*18.322*LOOKUP(J29,密度!$A$2:$A$50,密度!$Q$2:$Q$50)</f>
        <v>5094.6354741999994</v>
      </c>
      <c r="K28" s="91" ph="1">
        <f>K27*18.322*LOOKUP(K29,密度!$A$2:$A$50,密度!$Q$2:$Q$50)</f>
        <v>20450.127783</v>
      </c>
      <c r="L28" s="91" ph="1">
        <f>L27*18.322*LOOKUP(L29,密度!$A$2:$A$50,密度!$Q$2:$Q$50)</f>
        <v>5094.6354741999994</v>
      </c>
      <c r="M28" s="91" ph="1">
        <f>M27*18.322*LOOKUP(M29,密度!$A$2:$A$50,密度!$Q$2:$Q$50)</f>
        <v>5526.3842432000001</v>
      </c>
      <c r="N28" s="91" ph="1">
        <f>N27*18.322*LOOKUP(N29,密度!$A$2:$A$50,密度!$Q$2:$Q$50)</f>
        <v>49635.747270200001</v>
      </c>
      <c r="O28" s="91" ph="1">
        <f>O27*18.322*LOOKUP(O29,密度!$A$2:$A$50,密度!$C$2:$C$50)</f>
        <v>6297.0167241999998</v>
      </c>
      <c r="P28" s="91" ph="1">
        <f>P27*11.702*LOOKUP(P29,密度!$A$2:$A$50,密度!$B$2:$B$50)</f>
        <v>3356.8474219999998</v>
      </c>
      <c r="Q28" s="92" ph="1">
        <f>Q27*18.322*LOOKUP(Q29,密度!$A$2:$A$50,密度!$B$2:$B$50)</f>
        <v>29660.137300799997</v>
      </c>
      <c r="R28" s="91" ph="1">
        <f>R27*35.891*LOOKUP(R29,密度!$A$2:$A$50,密度!$C$2:$C$50)</f>
        <v>11312.179216500001</v>
      </c>
      <c r="S28" s="91" ph="1">
        <f>S27*35.891*LOOKUP(S29,密度!$A$2:$A$50,密度!$B$2:$B$50)</f>
        <v>64926.761574399992</v>
      </c>
      <c r="T28" s="91" ph="1">
        <f>T27*35.891*LOOKUP(T29,密度!$A$2:$A$50,密度!$Q$2:$Q$50)</f>
        <v>169.15069389999999</v>
      </c>
      <c r="U28" s="91" ph="1">
        <f>U27*35.891</f>
        <v>245063.74799999999</v>
      </c>
      <c r="V28" s="91" ph="1">
        <f>V27*47.051*LOOKUP(V29,密度!$A$2:$A$50,密度!$B$2:$B$50)</f>
        <v>26707.803795200001</v>
      </c>
      <c r="W28" s="91" ph="1">
        <f>W27*47.051*LOOKUP(W29,密度!$A$2:$A$50,密度!$B$2:$B$50)</f>
        <v>15576.379408100001</v>
      </c>
      <c r="X28" s="91" ph="1">
        <f>X27*47.051*LOOKUP(X29,密度!$A$2:$A$61,密度!$I$2:$I$61)</f>
        <v>220441.26554580001</v>
      </c>
      <c r="Y28" s="91" ph="1">
        <f>Y27*47.051*LOOKUP(Y29,密度!$A$2:$A$50,密度!$L$2:$L$50)</f>
        <v>252657.94157400003</v>
      </c>
      <c r="Z28" s="232"/>
      <c r="AA28" s="233"/>
      <c r="AB28" s="233"/>
      <c r="AC28" s="233"/>
      <c r="AD28" s="233"/>
      <c r="AE28" s="234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38" ph="1"/>
      <c r="C29" s="160" t="s" ph="1">
        <v>179</v>
      </c>
      <c r="D29" s="74">
        <v>25</v>
      </c>
      <c r="E29" s="74">
        <v>25</v>
      </c>
      <c r="F29" s="74">
        <v>32</v>
      </c>
      <c r="G29" s="74">
        <v>30</v>
      </c>
      <c r="H29" s="74">
        <v>30</v>
      </c>
      <c r="I29" s="74">
        <v>30</v>
      </c>
      <c r="J29" s="74">
        <v>31</v>
      </c>
      <c r="K29" s="74">
        <v>32</v>
      </c>
      <c r="L29" s="74">
        <v>31</v>
      </c>
      <c r="M29" s="74">
        <v>31</v>
      </c>
      <c r="N29" s="74">
        <v>29</v>
      </c>
      <c r="O29" s="74">
        <v>30</v>
      </c>
      <c r="P29" s="74">
        <v>30</v>
      </c>
      <c r="Q29" s="93">
        <v>30</v>
      </c>
      <c r="R29" s="74">
        <v>29</v>
      </c>
      <c r="S29" s="74">
        <v>31</v>
      </c>
      <c r="T29" s="74">
        <v>31</v>
      </c>
      <c r="U29" s="74">
        <v>31</v>
      </c>
      <c r="V29" s="74">
        <v>31</v>
      </c>
      <c r="W29" s="74">
        <v>30</v>
      </c>
      <c r="X29" s="74">
        <v>34</v>
      </c>
      <c r="Y29" s="74">
        <v>36</v>
      </c>
      <c r="Z29" s="235"/>
      <c r="AA29" s="236"/>
      <c r="AB29" s="236"/>
      <c r="AC29" s="236"/>
      <c r="AD29" s="236"/>
      <c r="AE29" s="237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1" t="s" ph="1">
        <v>35</v>
      </c>
      <c r="C31" s="222" ph="1"/>
      <c r="D31" s="225" t="s" ph="1">
        <v>9</v>
      </c>
      <c r="E31" s="200" ph="1"/>
      <c r="F31" s="201" ph="1"/>
      <c r="G31" s="225" t="s" ph="1">
        <v>18</v>
      </c>
      <c r="H31" s="200" ph="1"/>
      <c r="I31" s="201" ph="1"/>
      <c r="J31" s="199" t="s" ph="1">
        <v>1</v>
      </c>
      <c r="K31" s="200" ph="1"/>
      <c r="L31" s="201" ph="1"/>
      <c r="M31" s="199" t="s" ph="1">
        <v>7</v>
      </c>
      <c r="N31" s="200" ph="1"/>
      <c r="O31" s="201" ph="1"/>
      <c r="P31" s="199" t="s" ph="1">
        <v>41</v>
      </c>
      <c r="Q31" s="200"/>
      <c r="R31" s="201"/>
      <c r="S31" s="199" t="s" ph="1">
        <v>2</v>
      </c>
      <c r="T31" s="200"/>
      <c r="U31" s="201"/>
      <c r="V31" s="199" t="s" ph="1">
        <v>71</v>
      </c>
      <c r="W31" s="200" ph="1"/>
      <c r="X31" s="201" ph="1"/>
      <c r="Y31" s="199" t="s" ph="1">
        <v>3</v>
      </c>
      <c r="Z31" s="200" ph="1"/>
      <c r="AA31" s="201" ph="1"/>
      <c r="AB31" s="202" t="s">
        <v>42</v>
      </c>
      <c r="AC31" s="203"/>
      <c r="AD31" s="203"/>
      <c r="AE31" s="204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3" ph="1"/>
      <c r="C32" s="224" ph="1"/>
      <c r="D32" s="96" t="s" ph="1">
        <v>4</v>
      </c>
      <c r="E32" s="160" t="s" ph="1">
        <v>5</v>
      </c>
      <c r="F32" s="161" t="s" ph="1">
        <v>43</v>
      </c>
      <c r="G32" s="97" t="s" ph="1">
        <v>4</v>
      </c>
      <c r="H32" s="160" t="s" ph="1">
        <v>5</v>
      </c>
      <c r="I32" s="161" t="s" ph="1">
        <v>43</v>
      </c>
      <c r="J32" s="97" t="s" ph="1">
        <v>4</v>
      </c>
      <c r="K32" s="160" t="s" ph="1">
        <v>5</v>
      </c>
      <c r="L32" s="161" t="s" ph="1">
        <v>43</v>
      </c>
      <c r="M32" s="97" t="s" ph="1">
        <v>4</v>
      </c>
      <c r="N32" s="160" t="s" ph="1">
        <v>5</v>
      </c>
      <c r="O32" s="161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60" t="s" ph="1">
        <v>5</v>
      </c>
      <c r="U32" s="99" t="s" ph="1">
        <v>43</v>
      </c>
      <c r="V32" s="97" t="s" ph="1">
        <v>4</v>
      </c>
      <c r="W32" s="160" t="s" ph="1">
        <v>5</v>
      </c>
      <c r="X32" s="99" t="s" ph="1">
        <v>43</v>
      </c>
      <c r="Y32" s="100" t="s" ph="1">
        <v>4</v>
      </c>
      <c r="Z32" s="160" t="s" ph="1">
        <v>5</v>
      </c>
      <c r="AA32" s="161" t="s" ph="1">
        <v>43</v>
      </c>
      <c r="AB32" s="97" t="s" ph="1">
        <v>85</v>
      </c>
      <c r="AC32" s="160" t="s" ph="1">
        <v>84</v>
      </c>
      <c r="AD32" s="205" t="s" ph="1">
        <v>83</v>
      </c>
      <c r="AE32" s="206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7" t="s" ph="1">
        <v>181</v>
      </c>
      <c r="C33" s="208" ph="1"/>
      <c r="D33" s="187" ph="1">
        <f>AA10+AB10+Z19</f>
        <v>87021.530465200005</v>
      </c>
      <c r="E33" s="187" ph="1">
        <f>M10+I10</f>
        <v>128620.14240700001</v>
      </c>
      <c r="F33" s="211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1522252632456786910111213141516171819202123456789101112131415161718192022232424356789101112131415161718192021222345678910111213141516171819202345678910111213149101516171819222123234567891012131415161711181920212224252345678910111213122[[#This Row],[F25]]</f>
        <v>3880</v>
      </c>
      <c r="G33" s="213" ph="1">
        <f>N19</f>
        <v>3425.9936303600002</v>
      </c>
      <c r="H33" s="187" ph="1">
        <f>M19</f>
        <v>13411.785741102</v>
      </c>
      <c r="I33" s="191" ph="1">
        <v>0</v>
      </c>
      <c r="J33" s="195" ph="1">
        <f>F10+O28</f>
        <v>196544.93143599998</v>
      </c>
      <c r="K33" s="187" ph="1">
        <f>O10+K10+E28+R28</f>
        <v>56684.585437100002</v>
      </c>
      <c r="L33" s="197" ph="1">
        <f>K19</f>
        <v>36629.940511000008</v>
      </c>
      <c r="M33" s="195" ph="1">
        <f>G10+H10+W28+S28+V28+E10+R19+P28+Q28</f>
        <v>514733.50502950005</v>
      </c>
      <c r="N33" s="187" ph="1">
        <f>L10+P10++G28+H28+AD19+AE19</f>
        <v>136557.57936160002</v>
      </c>
      <c r="O33" s="191" ph="1">
        <f>G19</f>
        <v>9987.973009360001</v>
      </c>
      <c r="P33" s="195" ph="1">
        <f>L19</f>
        <v>50984.011209299999</v>
      </c>
      <c r="Q33" s="187" ph="1">
        <f>J10+N10</f>
        <v>81155.357764999993</v>
      </c>
      <c r="R33" s="191" ph="1">
        <f>BE23</f>
        <v>890</v>
      </c>
      <c r="S33" s="195" ph="1">
        <f>X28</f>
        <v>220441.26554580001</v>
      </c>
      <c r="T33" s="187" ph="1">
        <f>X19</f>
        <v>13829.18823792</v>
      </c>
      <c r="U33" s="176" ph="1">
        <f>BE21</f>
        <v>730</v>
      </c>
      <c r="V33" s="189" ph="1">
        <f ca="1">P19+Q19+S19+M28+N28+J28+D10+AC10+D19+E19+H19+J19+O19+V19+W19+K28+L28</f>
        <v>664047.26442589413</v>
      </c>
      <c r="W33" s="189" ph="1">
        <f>D28+F28+T28+I28</f>
        <v>42336.247006140002</v>
      </c>
      <c r="X33" s="191" ph="1">
        <f>BE29+BE31</f>
        <v>10200</v>
      </c>
      <c r="Y33" s="193" ph="1">
        <f>+Q10+R10+S10+T10+U10+V10+W10+X10+Y10</f>
        <v>186250.97965319999</v>
      </c>
      <c r="Z33" s="174" ph="1">
        <f>T19+U19+Y28+Z10</f>
        <v>311741.97157374001</v>
      </c>
      <c r="AA33" s="176" ph="1">
        <f>BE19</f>
        <v>1440</v>
      </c>
      <c r="AB33" s="178" ph="1">
        <f>I19</f>
        <v>29630.883022999999</v>
      </c>
      <c r="AC33" s="180" ph="1">
        <f>AD10+AB19</f>
        <v>46596.333369599997</v>
      </c>
      <c r="AD33" s="182" ph="1">
        <v>0</v>
      </c>
      <c r="AE33" s="183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9" ph="1"/>
      <c r="C34" s="210" ph="1"/>
      <c r="D34" s="188" ph="1"/>
      <c r="E34" s="188" ph="1"/>
      <c r="F34" s="212" ph="1"/>
      <c r="G34" s="214" ph="1"/>
      <c r="H34" s="188" ph="1"/>
      <c r="I34" s="192" ph="1"/>
      <c r="J34" s="196" ph="1"/>
      <c r="K34" s="188" ph="1"/>
      <c r="L34" s="198" ph="1"/>
      <c r="M34" s="196" ph="1"/>
      <c r="N34" s="188" ph="1"/>
      <c r="O34" s="192" ph="1"/>
      <c r="P34" s="196" ph="1"/>
      <c r="Q34" s="188" ph="1"/>
      <c r="R34" s="192" ph="1"/>
      <c r="S34" s="196" ph="1"/>
      <c r="T34" s="188"/>
      <c r="U34" s="177"/>
      <c r="V34" s="190" ph="1"/>
      <c r="W34" s="190" ph="1"/>
      <c r="X34" s="192" ph="1"/>
      <c r="Y34" s="194" ph="1"/>
      <c r="Z34" s="175" ph="1"/>
      <c r="AA34" s="177" ph="1"/>
      <c r="AB34" s="179"/>
      <c r="AC34" s="181"/>
      <c r="AD34" s="184"/>
      <c r="AE34" s="185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6" t="s" ph="1">
        <v>631</v>
      </c>
      <c r="AD35" s="186"/>
      <c r="AE35" s="186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2" t="s" ph="1">
        <v>183</v>
      </c>
      <c r="J36" s="172" ph="1"/>
      <c r="K36" s="101" ph="1"/>
      <c r="P36" s="101" ph="1"/>
      <c r="R36" s="172" t="s" ph="1">
        <v>184</v>
      </c>
      <c r="S36" s="172" ph="1"/>
      <c r="Y36" s="102" ph="1"/>
      <c r="Z36" s="162" t="s" ph="1">
        <v>185</v>
      </c>
      <c r="AA36" s="162" ph="1"/>
      <c r="AB36" s="173" t="s" ph="1">
        <v>643</v>
      </c>
      <c r="AC36" s="173" ph="1"/>
      <c r="AD36" s="173" ph="1"/>
      <c r="AE36" s="173" ph="1"/>
      <c r="BA36" s="64" ph="1">
        <v>2270</v>
      </c>
    </row>
    <row r="37" spans="1:57" s="162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62" t="s" ph="1">
        <v>342</v>
      </c>
      <c r="AI37" s="162" t="s" ph="1">
        <v>209</v>
      </c>
      <c r="AJ37" s="162" t="s" ph="1">
        <v>210</v>
      </c>
      <c r="AK37" s="162" t="s" ph="1">
        <v>211</v>
      </c>
      <c r="AM37" s="162" t="s" ph="1">
        <v>210</v>
      </c>
      <c r="AN37" s="162" t="s" ph="1">
        <v>211</v>
      </c>
      <c r="AO37" s="162" t="s" ph="1">
        <v>212</v>
      </c>
      <c r="AP37" s="162" t="s" ph="1">
        <v>210</v>
      </c>
      <c r="AQ37" s="162" t="s" ph="1">
        <v>211</v>
      </c>
      <c r="AR37" s="162" t="s" ph="1">
        <v>212</v>
      </c>
      <c r="AS37" s="162" t="s" ph="1">
        <v>210</v>
      </c>
      <c r="AT37" s="162" t="s" ph="1">
        <v>211</v>
      </c>
      <c r="AU37" s="162" t="s" ph="1">
        <v>212</v>
      </c>
      <c r="AV37" s="162" t="s" ph="1">
        <v>210</v>
      </c>
      <c r="AW37" s="162" t="s" ph="1">
        <v>211</v>
      </c>
      <c r="AX37" s="162" t="s" ph="1">
        <v>212</v>
      </c>
      <c r="AY37" s="162" t="s" ph="1">
        <v>211</v>
      </c>
      <c r="AZ37" s="162" t="s" ph="1">
        <v>213</v>
      </c>
      <c r="BD37" s="162" t="s" ph="1">
        <v>305</v>
      </c>
      <c r="BE37" s="162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P56" s="64" ph="1">
        <v>20260804</v>
      </c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N33:N34"/>
    <mergeCell ref="O33:O34"/>
    <mergeCell ref="P33:P34"/>
    <mergeCell ref="Q33:Q34"/>
    <mergeCell ref="R33:R34"/>
    <mergeCell ref="S33:S34"/>
    <mergeCell ref="H33:H34"/>
    <mergeCell ref="I33:I34"/>
    <mergeCell ref="J33:J34"/>
    <mergeCell ref="K33:K34"/>
    <mergeCell ref="L33:L34"/>
    <mergeCell ref="M33:M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B31:C32"/>
    <mergeCell ref="D31:F31"/>
    <mergeCell ref="G31:I31"/>
    <mergeCell ref="J31:L31"/>
    <mergeCell ref="M31:O31"/>
    <mergeCell ref="P31:R31"/>
    <mergeCell ref="B13:B14"/>
    <mergeCell ref="B15:B17"/>
    <mergeCell ref="B18:B20"/>
    <mergeCell ref="B22:B23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398" priority="103">
      <formula>ABS(D$7-D$10)&gt;=1000</formula>
    </cfRule>
  </conditionalFormatting>
  <conditionalFormatting sqref="E4 E6:E11">
    <cfRule type="expression" dxfId="397" priority="102">
      <formula>ABS(E$7-E$10)&gt;=1000</formula>
    </cfRule>
  </conditionalFormatting>
  <conditionalFormatting sqref="F4:F11">
    <cfRule type="expression" dxfId="396" priority="101">
      <formula>ABS(F$7-F$10)&gt;=1000</formula>
    </cfRule>
  </conditionalFormatting>
  <conditionalFormatting sqref="G4:G11">
    <cfRule type="expression" dxfId="395" priority="100">
      <formula>ABS(G$7-G$10)&gt;=1000</formula>
    </cfRule>
  </conditionalFormatting>
  <conditionalFormatting sqref="H4:H11">
    <cfRule type="expression" dxfId="394" priority="99">
      <formula>ABS(H$7-H$10)&gt;=1000</formula>
    </cfRule>
  </conditionalFormatting>
  <conditionalFormatting sqref="I4:I11">
    <cfRule type="expression" dxfId="393" priority="98">
      <formula>ABS(I$7-I$10)&gt;=1000</formula>
    </cfRule>
  </conditionalFormatting>
  <conditionalFormatting sqref="J4:J11">
    <cfRule type="expression" dxfId="392" priority="97">
      <formula>ABS(J$7-J$10)&gt;=1000</formula>
    </cfRule>
  </conditionalFormatting>
  <conditionalFormatting sqref="K4:K11">
    <cfRule type="expression" dxfId="391" priority="96">
      <formula>ABS(K$7-K$10)&gt;=1000</formula>
    </cfRule>
  </conditionalFormatting>
  <conditionalFormatting sqref="L4:L11">
    <cfRule type="expression" dxfId="390" priority="95">
      <formula>ABS(L$7-L$10)&gt;=1000</formula>
    </cfRule>
  </conditionalFormatting>
  <conditionalFormatting sqref="M4 M6:M11">
    <cfRule type="expression" dxfId="389" priority="94">
      <formula>ABS(M$7-M$10)&gt;=1000</formula>
    </cfRule>
  </conditionalFormatting>
  <conditionalFormatting sqref="N4 N6:N11">
    <cfRule type="expression" dxfId="388" priority="93">
      <formula>ABS(N$7-N$10)&gt;=1000</formula>
    </cfRule>
  </conditionalFormatting>
  <conditionalFormatting sqref="O4 O6:O11">
    <cfRule type="expression" dxfId="387" priority="92">
      <formula>ABS(O$7-O$10)&gt;=1000</formula>
    </cfRule>
  </conditionalFormatting>
  <conditionalFormatting sqref="P4 P6:P11">
    <cfRule type="expression" dxfId="386" priority="91">
      <formula>ABS(P$7-P$10)&gt;=1000</formula>
    </cfRule>
  </conditionalFormatting>
  <conditionalFormatting sqref="Q4:Q11">
    <cfRule type="expression" dxfId="385" priority="90">
      <formula>ABS(Q$7-Q$10)&gt;=1000</formula>
    </cfRule>
  </conditionalFormatting>
  <conditionalFormatting sqref="R4:R11">
    <cfRule type="expression" dxfId="384" priority="89">
      <formula>ABS(R$7-R$10)&gt;=1000</formula>
    </cfRule>
  </conditionalFormatting>
  <conditionalFormatting sqref="S4:S11">
    <cfRule type="expression" dxfId="383" priority="88">
      <formula>ABS(S$7-S$10)&gt;=1000</formula>
    </cfRule>
  </conditionalFormatting>
  <conditionalFormatting sqref="T4:T9 T11">
    <cfRule type="expression" dxfId="382" priority="87">
      <formula>ABS(T$7-T$10)&gt;=1000</formula>
    </cfRule>
  </conditionalFormatting>
  <conditionalFormatting sqref="U4:U9 U11">
    <cfRule type="expression" dxfId="381" priority="86">
      <formula>ABS(U$7-U$10)&gt;=1000</formula>
    </cfRule>
  </conditionalFormatting>
  <conditionalFormatting sqref="V4:V9 V11">
    <cfRule type="expression" dxfId="380" priority="85">
      <formula>ABS(V$7-V$10)&gt;=1000</formula>
    </cfRule>
  </conditionalFormatting>
  <conditionalFormatting sqref="W4:W9 W11">
    <cfRule type="expression" dxfId="379" priority="84">
      <formula>ABS(W$7-W$10)&gt;=1000</formula>
    </cfRule>
  </conditionalFormatting>
  <conditionalFormatting sqref="X4:X9 X11">
    <cfRule type="expression" dxfId="378" priority="83">
      <formula>ABS(X$7-X$10)&gt;=1000</formula>
    </cfRule>
  </conditionalFormatting>
  <conditionalFormatting sqref="Y4:Y9 Y11">
    <cfRule type="expression" dxfId="377" priority="82">
      <formula>ABS(Y$7-Y$10)&gt;=1000</formula>
    </cfRule>
  </conditionalFormatting>
  <conditionalFormatting sqref="Z4:Z11">
    <cfRule type="expression" dxfId="376" priority="81">
      <formula>ABS(Z$7-Z$10)&gt;=1000</formula>
    </cfRule>
  </conditionalFormatting>
  <conditionalFormatting sqref="AA4:AA11">
    <cfRule type="expression" dxfId="375" priority="80">
      <formula>ABS(AA$7-AA$10)&gt;=1000</formula>
    </cfRule>
  </conditionalFormatting>
  <conditionalFormatting sqref="AB4:AB11">
    <cfRule type="expression" dxfId="374" priority="79">
      <formula>ABS(AB$7-AB$10)&gt;=1000</formula>
    </cfRule>
  </conditionalFormatting>
  <conditionalFormatting sqref="AC4 AC6:AC11">
    <cfRule type="expression" dxfId="373" priority="78">
      <formula>ABS(AC$7-AC$10)&gt;=1000</formula>
    </cfRule>
  </conditionalFormatting>
  <conditionalFormatting sqref="AD4 AD6:AD11">
    <cfRule type="expression" dxfId="372" priority="77">
      <formula>ABS(AD$7-AD$10)&gt;=1000</formula>
    </cfRule>
  </conditionalFormatting>
  <conditionalFormatting sqref="AE4 AE6:AE11">
    <cfRule type="expression" dxfId="371" priority="76">
      <formula>ABS(AE$7-AE$10)&gt;=1000</formula>
    </cfRule>
  </conditionalFormatting>
  <conditionalFormatting sqref="D13:D20">
    <cfRule type="expression" dxfId="370" priority="75">
      <formula>ABS(D$16-D$19)&gt;=1000</formula>
    </cfRule>
  </conditionalFormatting>
  <conditionalFormatting sqref="E13:E20">
    <cfRule type="expression" dxfId="369" priority="74">
      <formula>ABS(E$16-E$19)&gt;=1000</formula>
    </cfRule>
  </conditionalFormatting>
  <conditionalFormatting sqref="F13 F15:F20">
    <cfRule type="expression" dxfId="368" priority="73">
      <formula>ABS(F$16-F$19)&gt;=1000</formula>
    </cfRule>
  </conditionalFormatting>
  <conditionalFormatting sqref="G13:G20">
    <cfRule type="expression" dxfId="367" priority="72">
      <formula>ABS(G$16-G$19)&gt;=1000</formula>
    </cfRule>
  </conditionalFormatting>
  <conditionalFormatting sqref="H13 H15:H20">
    <cfRule type="expression" dxfId="366" priority="71">
      <formula>ABS(H$16-H$19)&gt;=1000</formula>
    </cfRule>
  </conditionalFormatting>
  <conditionalFormatting sqref="I13:I20">
    <cfRule type="expression" dxfId="365" priority="70">
      <formula>ABS(I$16-I$19)&gt;=1000</formula>
    </cfRule>
  </conditionalFormatting>
  <conditionalFormatting sqref="J13:J20">
    <cfRule type="expression" dxfId="364" priority="69">
      <formula>ABS(J$16-J$19)&gt;=1000</formula>
    </cfRule>
  </conditionalFormatting>
  <conditionalFormatting sqref="L13:L20">
    <cfRule type="expression" dxfId="363" priority="68">
      <formula>ABS(L$16-L$19)&gt;=1000</formula>
    </cfRule>
  </conditionalFormatting>
  <conditionalFormatting sqref="M13 M15 M17:M18 M20">
    <cfRule type="expression" dxfId="362" priority="67">
      <formula>ABS(M$16-M$19)&gt;=1000</formula>
    </cfRule>
  </conditionalFormatting>
  <conditionalFormatting sqref="N13:N20">
    <cfRule type="expression" dxfId="361" priority="66">
      <formula>ABS(N$16-N$19)&gt;=1000</formula>
    </cfRule>
  </conditionalFormatting>
  <conditionalFormatting sqref="O13:O20">
    <cfRule type="expression" dxfId="360" priority="65">
      <formula>ABS(O$16-O$19)&gt;=1000</formula>
    </cfRule>
  </conditionalFormatting>
  <conditionalFormatting sqref="P13:P20">
    <cfRule type="expression" dxfId="359" priority="64">
      <formula>ABS(P$16-P$19)&gt;=1000</formula>
    </cfRule>
  </conditionalFormatting>
  <conditionalFormatting sqref="Q13 Q15:Q20">
    <cfRule type="expression" dxfId="358" priority="63">
      <formula>ABS(Q$16-Q$19)&gt;=1000</formula>
    </cfRule>
  </conditionalFormatting>
  <conditionalFormatting sqref="R13 R15:R20">
    <cfRule type="expression" dxfId="357" priority="62">
      <formula>ABS(R$16-R$19)&gt;=1000</formula>
    </cfRule>
  </conditionalFormatting>
  <conditionalFormatting sqref="S13:S20">
    <cfRule type="expression" dxfId="356" priority="61">
      <formula>ABS(S$16-S$19)&gt;=1000</formula>
    </cfRule>
  </conditionalFormatting>
  <conditionalFormatting sqref="T13:T15 T17:T20">
    <cfRule type="expression" dxfId="355" priority="60">
      <formula>ABS(T$16-T$19)&gt;=1000</formula>
    </cfRule>
  </conditionalFormatting>
  <conditionalFormatting sqref="U13:U20">
    <cfRule type="expression" dxfId="354" priority="59">
      <formula>ABS(U$16-U$19)&gt;=1000</formula>
    </cfRule>
  </conditionalFormatting>
  <conditionalFormatting sqref="V13:V20">
    <cfRule type="expression" dxfId="353" priority="58">
      <formula>ABS(V$16-V$19)&gt;=1000</formula>
    </cfRule>
  </conditionalFormatting>
  <conditionalFormatting sqref="W13 W20 W15:W18">
    <cfRule type="expression" dxfId="352" priority="57">
      <formula>ABS(W$16-W$19)&gt;=1000</formula>
    </cfRule>
  </conditionalFormatting>
  <conditionalFormatting sqref="X13 X15:X20 Y19">
    <cfRule type="expression" dxfId="351" priority="56">
      <formula>ABS(X$16-X$19)&gt;=1000</formula>
    </cfRule>
  </conditionalFormatting>
  <conditionalFormatting sqref="Y13 Y15:Y18 Y20">
    <cfRule type="expression" dxfId="350" priority="55">
      <formula>ABS(Y$16-Y$19)&gt;=1000</formula>
    </cfRule>
  </conditionalFormatting>
  <conditionalFormatting sqref="Z13:Z20">
    <cfRule type="expression" dxfId="349" priority="54">
      <formula>ABS(Z$16-Z$19)&gt;=1000</formula>
    </cfRule>
  </conditionalFormatting>
  <conditionalFormatting sqref="AA13:AA20">
    <cfRule type="expression" dxfId="348" priority="53">
      <formula>ABS(AA$16-AA$19)&gt;=1000</formula>
    </cfRule>
  </conditionalFormatting>
  <conditionalFormatting sqref="AB13 AB15:AB20">
    <cfRule type="expression" dxfId="347" priority="52">
      <formula>ABS(AB$16-AB$19)&gt;=1000</formula>
    </cfRule>
  </conditionalFormatting>
  <conditionalFormatting sqref="AC13 AC15:AC20">
    <cfRule type="expression" dxfId="346" priority="51">
      <formula>ABS(AC$16-AC$19)&gt;=1000</formula>
    </cfRule>
  </conditionalFormatting>
  <conditionalFormatting sqref="AD13:AD20">
    <cfRule type="expression" dxfId="345" priority="50">
      <formula>ABS(AD$16-AD$19)&gt;=1000</formula>
    </cfRule>
  </conditionalFormatting>
  <conditionalFormatting sqref="AE13:AE20">
    <cfRule type="expression" dxfId="344" priority="49">
      <formula>ABS(AE$16-AE$19)&gt;=1000</formula>
    </cfRule>
  </conditionalFormatting>
  <conditionalFormatting sqref="D22:D29">
    <cfRule type="expression" dxfId="343" priority="48">
      <formula>ABS(D$25-D$28)&gt;=1000</formula>
    </cfRule>
  </conditionalFormatting>
  <conditionalFormatting sqref="E22:E29">
    <cfRule type="expression" dxfId="342" priority="47">
      <formula>ABS(E$25-E$28)&gt;=1000</formula>
    </cfRule>
  </conditionalFormatting>
  <conditionalFormatting sqref="F22:F29">
    <cfRule type="expression" dxfId="341" priority="46">
      <formula>ABS(F$25-F$28)&gt;=1000</formula>
    </cfRule>
  </conditionalFormatting>
  <conditionalFormatting sqref="G22:G29">
    <cfRule type="expression" dxfId="340" priority="45">
      <formula>ABS(G$25-G$28)&gt;=1000</formula>
    </cfRule>
  </conditionalFormatting>
  <conditionalFormatting sqref="H22:H29">
    <cfRule type="expression" dxfId="339" priority="44">
      <formula>ABS(H$25-H$28)&gt;=1000</formula>
    </cfRule>
  </conditionalFormatting>
  <conditionalFormatting sqref="I22 I24:I29">
    <cfRule type="expression" dxfId="338" priority="43">
      <formula>ABS(I$25-I$28)&gt;=1000</formula>
    </cfRule>
  </conditionalFormatting>
  <conditionalFormatting sqref="J22:J29 K22">
    <cfRule type="expression" dxfId="337" priority="42">
      <formula>ABS(J$25-J$28)&gt;=1000</formula>
    </cfRule>
  </conditionalFormatting>
  <conditionalFormatting sqref="K23:K29 L25 L28">
    <cfRule type="expression" dxfId="336" priority="41">
      <formula>ABS(K$25-K$28)&gt;=1000</formula>
    </cfRule>
  </conditionalFormatting>
  <conditionalFormatting sqref="L22 L26:L27 L29 L24">
    <cfRule type="expression" dxfId="335" priority="40">
      <formula>ABS(L$25-L$28)&gt;=1000</formula>
    </cfRule>
  </conditionalFormatting>
  <conditionalFormatting sqref="M22:M29">
    <cfRule type="expression" dxfId="334" priority="39">
      <formula>ABS(M$25-M$28)&gt;=1000</formula>
    </cfRule>
  </conditionalFormatting>
  <conditionalFormatting sqref="N22:N29">
    <cfRule type="expression" dxfId="333" priority="38">
      <formula>ABS(N$25-N$28)&gt;=1000</formula>
    </cfRule>
  </conditionalFormatting>
  <conditionalFormatting sqref="O22 O24:O29">
    <cfRule type="expression" dxfId="332" priority="37">
      <formula>ABS(O$25-O$28)&gt;=1000</formula>
    </cfRule>
  </conditionalFormatting>
  <conditionalFormatting sqref="P22:P29">
    <cfRule type="expression" dxfId="331" priority="36">
      <formula>ABS(P$25-P$28)&gt;=1000</formula>
    </cfRule>
  </conditionalFormatting>
  <conditionalFormatting sqref="Q22:Q29">
    <cfRule type="expression" dxfId="330" priority="35">
      <formula>ABS(Q$25-Q$28)&gt;=1000</formula>
    </cfRule>
  </conditionalFormatting>
  <conditionalFormatting sqref="R22:R29">
    <cfRule type="expression" dxfId="329" priority="34">
      <formula>ABS(R$25-R$28)&gt;=1000</formula>
    </cfRule>
  </conditionalFormatting>
  <conditionalFormatting sqref="S22:S29">
    <cfRule type="expression" dxfId="328" priority="33">
      <formula>ABS(S$25-S$28)&gt;=1000</formula>
    </cfRule>
  </conditionalFormatting>
  <conditionalFormatting sqref="T22:T29">
    <cfRule type="expression" dxfId="327" priority="32">
      <formula>ABS(T$25-T$28)&gt;=1000</formula>
    </cfRule>
  </conditionalFormatting>
  <conditionalFormatting sqref="U22:U29">
    <cfRule type="expression" dxfId="326" priority="31">
      <formula>ABS(U$25-U$28)&gt;=1000</formula>
    </cfRule>
  </conditionalFormatting>
  <conditionalFormatting sqref="V22:V29">
    <cfRule type="expression" dxfId="325" priority="30">
      <formula>ABS(V$25-V$28)&gt;=1000</formula>
    </cfRule>
  </conditionalFormatting>
  <conditionalFormatting sqref="W22:W29">
    <cfRule type="expression" dxfId="324" priority="29">
      <formula>ABS(W$25-W$28)&gt;=1000</formula>
    </cfRule>
  </conditionalFormatting>
  <conditionalFormatting sqref="X22:X29">
    <cfRule type="expression" dxfId="323" priority="28">
      <formula>ABS(X$25-X$28)&gt;=1000</formula>
    </cfRule>
  </conditionalFormatting>
  <conditionalFormatting sqref="Y22:Y29">
    <cfRule type="expression" dxfId="322" priority="27">
      <formula>ABS(Y$25-Y$28)&gt;=1000</formula>
    </cfRule>
  </conditionalFormatting>
  <conditionalFormatting sqref="I23">
    <cfRule type="expression" dxfId="321" priority="26">
      <formula>ABS(I$25-I$28)&gt;=1000</formula>
    </cfRule>
  </conditionalFormatting>
  <conditionalFormatting sqref="Q14">
    <cfRule type="expression" dxfId="320" priority="25">
      <formula>ABS(Q$16-Q$19)&gt;=1000</formula>
    </cfRule>
  </conditionalFormatting>
  <conditionalFormatting sqref="W14">
    <cfRule type="expression" dxfId="319" priority="24">
      <formula>ABS(W$16-W$19)&gt;=1000</formula>
    </cfRule>
  </conditionalFormatting>
  <conditionalFormatting sqref="X14">
    <cfRule type="expression" dxfId="318" priority="23">
      <formula>ABS(X$16-X$19)&gt;=1000</formula>
    </cfRule>
  </conditionalFormatting>
  <conditionalFormatting sqref="T10:Y10">
    <cfRule type="expression" dxfId="317" priority="22">
      <formula>ABS(T$7-T$10)&gt;=1000</formula>
    </cfRule>
  </conditionalFormatting>
  <conditionalFormatting sqref="W19">
    <cfRule type="expression" dxfId="316" priority="21">
      <formula>ABS(W$16-W$19)&gt;=1000</formula>
    </cfRule>
  </conditionalFormatting>
  <conditionalFormatting sqref="AC5">
    <cfRule type="expression" dxfId="315" priority="20">
      <formula>ABS(AC$7-AC$10)&gt;=1000</formula>
    </cfRule>
  </conditionalFormatting>
  <conditionalFormatting sqref="M14">
    <cfRule type="expression" dxfId="314" priority="19">
      <formula>ABS(M$16-M$19)&gt;=1000</formula>
    </cfRule>
  </conditionalFormatting>
  <conditionalFormatting sqref="M16">
    <cfRule type="expression" dxfId="313" priority="18">
      <formula>ABS(M$16-M$19)&gt;=1000</formula>
    </cfRule>
  </conditionalFormatting>
  <conditionalFormatting sqref="M19">
    <cfRule type="expression" dxfId="312" priority="17">
      <formula>ABS(M$16-M$19)&gt;=1000</formula>
    </cfRule>
  </conditionalFormatting>
  <conditionalFormatting sqref="K13:K20">
    <cfRule type="expression" dxfId="311" priority="16">
      <formula>ABS(K$16-K$19)&gt;=1000</formula>
    </cfRule>
  </conditionalFormatting>
  <conditionalFormatting sqref="E5">
    <cfRule type="expression" dxfId="310" priority="15">
      <formula>ABS(E$7-E$10)&gt;=1000</formula>
    </cfRule>
  </conditionalFormatting>
  <conditionalFormatting sqref="AB14:AC14">
    <cfRule type="expression" dxfId="309" priority="14">
      <formula>ABS(AB$16-AB$19)&gt;=1000</formula>
    </cfRule>
  </conditionalFormatting>
  <conditionalFormatting sqref="M5">
    <cfRule type="expression" dxfId="308" priority="13">
      <formula>ABS(M$7-M$10)&gt;=1000</formula>
    </cfRule>
  </conditionalFormatting>
  <conditionalFormatting sqref="N5">
    <cfRule type="expression" dxfId="307" priority="12">
      <formula>ABS(N$7-N$10)&gt;=1000</formula>
    </cfRule>
  </conditionalFormatting>
  <conditionalFormatting sqref="O5">
    <cfRule type="expression" dxfId="306" priority="11">
      <formula>ABS(O$7-O$10)&gt;=1000</formula>
    </cfRule>
  </conditionalFormatting>
  <conditionalFormatting sqref="P5">
    <cfRule type="expression" dxfId="305" priority="10">
      <formula>ABS(P$7-P$10)&gt;=1000</formula>
    </cfRule>
  </conditionalFormatting>
  <conditionalFormatting sqref="L23">
    <cfRule type="expression" dxfId="304" priority="9">
      <formula>ABS(L$25-L$28)&gt;=1000</formula>
    </cfRule>
  </conditionalFormatting>
  <conditionalFormatting sqref="Y14">
    <cfRule type="expression" dxfId="303" priority="8">
      <formula>ABS(Y$16-Y$19)&gt;=1000</formula>
    </cfRule>
  </conditionalFormatting>
  <conditionalFormatting sqref="H14">
    <cfRule type="expression" dxfId="302" priority="7">
      <formula>ABS(H$16-H$19)&gt;=1000</formula>
    </cfRule>
  </conditionalFormatting>
  <conditionalFormatting sqref="AD5">
    <cfRule type="expression" dxfId="301" priority="6">
      <formula>ABS(AD$7-AD$10)&gt;=1000</formula>
    </cfRule>
  </conditionalFormatting>
  <conditionalFormatting sqref="AE5">
    <cfRule type="expression" dxfId="300" priority="5">
      <formula>ABS(AE$7-AE$10)&gt;=1000</formula>
    </cfRule>
  </conditionalFormatting>
  <conditionalFormatting sqref="T16">
    <cfRule type="expression" dxfId="299" priority="4">
      <formula>ABS(T$16-T$19)&gt;=1000</formula>
    </cfRule>
  </conditionalFormatting>
  <conditionalFormatting sqref="O23">
    <cfRule type="expression" dxfId="298" priority="3">
      <formula>ABS(O$25-O$28)&gt;=1000</formula>
    </cfRule>
  </conditionalFormatting>
  <conditionalFormatting sqref="F14">
    <cfRule type="expression" dxfId="297" priority="2">
      <formula>ABS(F$16-F$19)&gt;=1000</formula>
    </cfRule>
  </conditionalFormatting>
  <conditionalFormatting sqref="R14">
    <cfRule type="expression" dxfId="296" priority="1">
      <formula>ABS(R$16-R$19)&gt;=1000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49121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964">
    <pageSetUpPr fitToPage="1"/>
  </sheetPr>
  <dimension ref="A1:CU223"/>
  <sheetViews>
    <sheetView view="pageBreakPreview" topLeftCell="B1" zoomScale="85" zoomScaleNormal="100" zoomScaleSheetLayoutView="85" workbookViewId="0">
      <selection activeCell="N15" sqref="N15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39" t="s" ph="1">
        <v>161</v>
      </c>
      <c r="C1" s="239" ph="1"/>
      <c r="D1" s="239" ph="1"/>
      <c r="E1" s="239" ph="1"/>
      <c r="F1" s="239" ph="1"/>
      <c r="G1" s="239" ph="1"/>
      <c r="H1" s="239" ph="1"/>
      <c r="I1" s="239" ph="1"/>
      <c r="J1" s="239" ph="1"/>
      <c r="K1" s="239" ph="1"/>
      <c r="L1" s="239" ph="1"/>
      <c r="M1" s="239" ph="1"/>
      <c r="N1" s="239" ph="1"/>
      <c r="O1" s="239" ph="1"/>
      <c r="P1" s="239" ph="1"/>
      <c r="Q1" s="239" ph="1"/>
      <c r="R1" s="239" ph="1"/>
      <c r="S1" s="239" ph="1"/>
      <c r="T1" s="239" ph="1"/>
      <c r="U1" s="239" ph="1"/>
      <c r="V1" s="239" ph="1"/>
      <c r="W1" s="239" ph="1"/>
      <c r="X1" s="239" ph="1"/>
      <c r="Y1" s="239" ph="1"/>
      <c r="Z1" s="239" ph="1"/>
      <c r="AA1" s="239" ph="1"/>
      <c r="AB1" s="239" ph="1"/>
      <c r="AC1" s="239" ph="1"/>
      <c r="AD1" s="239" ph="1"/>
      <c r="AE1" s="239" ph="1"/>
    </row>
    <row r="2" spans="1:99" s="66" customFormat="1" ht="24" customHeight="1" ph="1">
      <c r="B2" s="240" t="s" ph="1">
        <v>82</v>
      </c>
      <c r="C2" s="240" ph="1"/>
      <c r="D2" s="240" ph="1"/>
      <c r="E2" s="240" ph="1"/>
      <c r="F2" s="240" ph="1"/>
      <c r="G2" s="240" ph="1"/>
      <c r="H2" s="240" ph="1"/>
      <c r="I2" s="240" ph="1"/>
      <c r="J2" s="240" ph="1"/>
      <c r="K2" s="240" ph="1"/>
      <c r="L2" s="240" ph="1"/>
      <c r="M2" s="240" ph="1"/>
      <c r="N2" s="240" ph="1"/>
      <c r="O2" s="240" ph="1"/>
      <c r="P2" s="240" ph="1"/>
      <c r="Q2" s="240" ph="1"/>
      <c r="R2" s="240" ph="1"/>
      <c r="S2" s="240" ph="1"/>
      <c r="T2" s="240" ph="1"/>
      <c r="U2" s="240" ph="1"/>
      <c r="V2" s="240" ph="1"/>
      <c r="W2" s="240" ph="1"/>
      <c r="X2" s="240" ph="1"/>
      <c r="Y2" s="240" ph="1"/>
      <c r="Z2" s="240" ph="1"/>
      <c r="AA2" s="240" ph="1"/>
      <c r="AB2" s="240" ph="1"/>
      <c r="AC2" s="240" ph="1"/>
      <c r="AD2" s="240" ph="1"/>
      <c r="AE2" s="240" ph="1"/>
    </row>
    <row r="3" spans="1:99" ht="21" customHeight="1" ph="1">
      <c r="B3" s="241" ph="1">
        <v>46262</v>
      </c>
      <c r="C3" s="241"/>
      <c r="D3" s="241"/>
      <c r="E3" s="241"/>
      <c r="F3" s="241"/>
      <c r="G3" s="241"/>
      <c r="H3" s="241"/>
      <c r="I3" s="241"/>
      <c r="J3" s="241"/>
      <c r="K3" s="241"/>
      <c r="L3" s="241"/>
      <c r="M3" s="241"/>
      <c r="N3" s="241"/>
      <c r="O3" s="241"/>
      <c r="P3" s="241"/>
      <c r="Q3" s="241"/>
      <c r="R3" s="241"/>
      <c r="S3" s="241"/>
      <c r="T3" s="241"/>
      <c r="U3" s="241"/>
      <c r="V3" s="241"/>
      <c r="W3" s="241"/>
      <c r="X3" s="241"/>
      <c r="Y3" s="241"/>
      <c r="Z3" s="241"/>
      <c r="AA3" s="241"/>
      <c r="AB3" s="241"/>
      <c r="AC3" s="241"/>
      <c r="AD3" s="241"/>
      <c r="AE3" s="241"/>
    </row>
    <row r="4" spans="1:99" s="69" customFormat="1" ph="1">
      <c r="A4" s="65" ph="1"/>
      <c r="B4" s="220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0" ph="1"/>
      <c r="C5" s="67" t="s" ph="1">
        <v>36</v>
      </c>
      <c r="D5" s="70" t="s" ph="1">
        <v>160</v>
      </c>
      <c r="E5" s="142" t="s" ph="1">
        <v>617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8" ph="1">
        <v>0.33333333333333331</v>
      </c>
      <c r="C6" s="160" t="s" ph="1">
        <v>177</v>
      </c>
      <c r="D6" s="71">
        <v>7083</v>
      </c>
      <c r="E6" s="71">
        <v>3571</v>
      </c>
      <c r="F6" s="71">
        <v>4660</v>
      </c>
      <c r="G6" s="71">
        <v>44</v>
      </c>
      <c r="H6" s="71">
        <v>6322</v>
      </c>
      <c r="I6" s="71">
        <v>17.54</v>
      </c>
      <c r="J6" s="71">
        <v>76.849999999999994</v>
      </c>
      <c r="K6" s="71">
        <v>41.09</v>
      </c>
      <c r="L6" s="71">
        <v>6.67</v>
      </c>
      <c r="M6" s="71">
        <v>3646</v>
      </c>
      <c r="N6" s="71">
        <v>2460</v>
      </c>
      <c r="O6" s="71">
        <v>2146</v>
      </c>
      <c r="P6" s="71">
        <v>1066</v>
      </c>
      <c r="Q6" s="71">
        <v>5782</v>
      </c>
      <c r="R6" s="71">
        <v>1136</v>
      </c>
      <c r="S6" s="71">
        <v>0</v>
      </c>
      <c r="T6" s="71">
        <v>0</v>
      </c>
      <c r="U6" s="71">
        <v>0</v>
      </c>
      <c r="V6" s="71">
        <v>0</v>
      </c>
      <c r="W6" s="71">
        <v>5697</v>
      </c>
      <c r="X6" s="71">
        <v>7188</v>
      </c>
      <c r="Y6" s="71">
        <v>3947</v>
      </c>
      <c r="Z6" s="71">
        <v>885</v>
      </c>
      <c r="AA6" s="71">
        <v>1302</v>
      </c>
      <c r="AB6" s="71">
        <v>2044</v>
      </c>
      <c r="AC6" s="71">
        <v>5581</v>
      </c>
      <c r="AD6" s="71">
        <v>2384</v>
      </c>
      <c r="AE6" s="71">
        <v>5650</v>
      </c>
    </row>
    <row r="7" spans="1:99" s="72" customFormat="1" ht="22.2" ph="1">
      <c r="B7" s="238" ph="1"/>
      <c r="C7" s="68" t="s" ph="1">
        <v>178</v>
      </c>
      <c r="D7" s="73" ph="1">
        <f>D6*33.183*LOOKUP(D8,密度!$A$2:$A$50,密度!$Q$2:$Q$50)</f>
        <v>222183.46486548003</v>
      </c>
      <c r="E7" s="73" ph="1">
        <f>E6*51.53*LOOKUP(E8,密度!$A$2:$A$50,密度!$B$2:$B$50)</f>
        <v>143144.202777</v>
      </c>
      <c r="F7" s="73" ph="1">
        <f>F6*33.183*LOOKUP(F8,密度!$A$2:$A$50,密度!$C$2:$C$50)</f>
        <v>171240.34057199999</v>
      </c>
      <c r="G7" s="73" ph="1">
        <f xml:space="preserve"> (G6+2)*51.53*LOOKUP(G8,密度!$A$2:$A$50,密度!$B$2:$B$50)</f>
        <v>1841.7852600000001</v>
      </c>
      <c r="H7" s="73" ph="1">
        <f>(H6)*51.53*LOOKUP(H8,密度!$A$2:$A$50,密度!$B$2:$B$50)</f>
        <v>253418.55221400002</v>
      </c>
      <c r="I7" s="73" ph="1">
        <f>I6*290.8*1.0267</f>
        <v>5236.818874399999</v>
      </c>
      <c r="J7" s="73" ph="1">
        <f>J6*290.8*0.7892</f>
        <v>17637.025816000001</v>
      </c>
      <c r="K7" s="73" ph="1">
        <f>K6*290.8*1.1126</f>
        <v>13294.426247200003</v>
      </c>
      <c r="L7" s="73" ph="1">
        <f>L6*290.8*0.777</f>
        <v>1507.097172</v>
      </c>
      <c r="M7" s="73" ph="1">
        <f>M6*33.183*LOOKUP(M8,密度!$A$2:$A$50,密度!$D$2:$D$50)</f>
        <v>123985.65140639998</v>
      </c>
      <c r="N7" s="73" ph="1">
        <f>N6*33.183*LOOKUP(N8,密度!$A$2:$A$50,密度!$E$2:$E$50)</f>
        <v>63655.214363999999</v>
      </c>
      <c r="O7" s="73" ph="1">
        <f>O6*20.428*LOOKUP(O8,密度!$A$2:$A$50,密度!$C$2:$C$50)</f>
        <v>48261.791439200002</v>
      </c>
      <c r="P7" s="73" ph="1">
        <f>P6*51.53*LOOKUP(P8,密度!$A$2:$A$50,密度!$B$2:$B$50)</f>
        <v>42730.809342000008</v>
      </c>
      <c r="Q7" s="73" ph="1">
        <f>Q6*1.5*1.5*3.1416*LOOKUP(W8,密度!$A$2:$A$50,密度!$L$2:$L$50)</f>
        <v>38214.053262000001</v>
      </c>
      <c r="R7" s="73" ph="1">
        <f>R6*1.5*1.5*3.1416*LOOKUP(R8,密度!$A$2:$A$50,密度!$L$2:$L$50)</f>
        <v>7467.8345280000003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37652.276277000004</v>
      </c>
      <c r="X7" s="73" ph="1">
        <f>X6*1.5*1.5*3.1416*LOOKUP(X8,密度!$A$2:$A$50,密度!$L$2:$L$50)</f>
        <v>47912.978282399999</v>
      </c>
      <c r="Y7" s="73" ph="1">
        <f>Y6*1.5*1.5*3.1416*LOOKUP(Y8,密度!$A$2:$A$50,密度!$L$2:$L$50)</f>
        <v>26058.379762799999</v>
      </c>
      <c r="Z7" s="73" ph="1">
        <f>Z6*33.183*LOOKUP(Z8,密度!$A$2:$A$50,密度!$L$2:$L$50)</f>
        <v>27604.937699999995</v>
      </c>
      <c r="AA7" s="73" ph="1">
        <f>AA6*33.183*LOOKUP(AA8,密度!$A$2:$A$50,密度!$D$2:$D$50)</f>
        <v>44236.847957400001</v>
      </c>
      <c r="AB7" s="73" ph="1">
        <f>AB6*20.428*LOOKUP(AB8,密度!$A$2:$A$50,密度!$D$2:$D$50)</f>
        <v>43028.354376000003</v>
      </c>
      <c r="AC7" s="73" ph="1">
        <f>AC6*51.53*LOOKUP(AC8,密度!$A$2:$A$50,密度!$Q$2:$Q$50)</f>
        <v>271863.56730759999</v>
      </c>
      <c r="AD7" s="73" ph="1">
        <f>AD6*20.428*LOOKUP(AD8,密度!$A$2:$A$50,密度!$V$2:$V$50)</f>
        <v>46791.298201599995</v>
      </c>
      <c r="AE7" s="73" ph="1">
        <f>AE6*20.428</f>
        <v>115418.20000000001</v>
      </c>
    </row>
    <row r="8" spans="1:99" ph="1">
      <c r="B8" s="238" ph="1"/>
      <c r="C8" s="68" t="s" ph="1">
        <v>179</v>
      </c>
      <c r="D8" s="74">
        <v>27</v>
      </c>
      <c r="E8" s="74">
        <v>27</v>
      </c>
      <c r="F8" s="74">
        <v>27</v>
      </c>
      <c r="G8" s="74">
        <v>28</v>
      </c>
      <c r="H8" s="74">
        <v>27</v>
      </c>
      <c r="I8" s="74">
        <v>25</v>
      </c>
      <c r="J8" s="74">
        <v>25</v>
      </c>
      <c r="K8" s="74">
        <v>25</v>
      </c>
      <c r="L8" s="74">
        <v>25</v>
      </c>
      <c r="M8" s="74">
        <v>27</v>
      </c>
      <c r="N8" s="74">
        <v>28</v>
      </c>
      <c r="O8" s="74">
        <v>34</v>
      </c>
      <c r="P8" s="74">
        <v>27</v>
      </c>
      <c r="Q8" s="74">
        <v>30</v>
      </c>
      <c r="R8" s="74">
        <v>32</v>
      </c>
      <c r="S8" s="74">
        <v>25</v>
      </c>
      <c r="T8" s="74">
        <v>24</v>
      </c>
      <c r="U8" s="74">
        <v>28</v>
      </c>
      <c r="V8" s="74">
        <v>32</v>
      </c>
      <c r="W8" s="74">
        <v>27</v>
      </c>
      <c r="X8" s="74">
        <v>19</v>
      </c>
      <c r="Y8" s="74">
        <v>28</v>
      </c>
      <c r="Z8" s="74">
        <v>22</v>
      </c>
      <c r="AA8" s="74">
        <v>28</v>
      </c>
      <c r="AB8" s="74">
        <v>21</v>
      </c>
      <c r="AC8" s="74">
        <v>27</v>
      </c>
      <c r="AD8" s="74">
        <v>25</v>
      </c>
      <c r="AE8" s="74">
        <v>28</v>
      </c>
    </row>
    <row r="9" spans="1:99" ht="26.4" ph="1">
      <c r="B9" s="238" ph="1">
        <v>0.66666666666666663</v>
      </c>
      <c r="C9" s="160" t="s" ph="1">
        <v>180</v>
      </c>
      <c r="D9" s="71">
        <v>7087</v>
      </c>
      <c r="E9" s="71">
        <v>3569</v>
      </c>
      <c r="F9" s="71">
        <v>4662</v>
      </c>
      <c r="G9" s="71">
        <v>42</v>
      </c>
      <c r="H9" s="71">
        <v>6745</v>
      </c>
      <c r="I9" s="71">
        <v>17.510000000000002</v>
      </c>
      <c r="J9" s="71">
        <v>77</v>
      </c>
      <c r="K9" s="71">
        <v>22.09</v>
      </c>
      <c r="L9" s="71">
        <v>6.65</v>
      </c>
      <c r="M9" s="71">
        <v>3647</v>
      </c>
      <c r="N9" s="71">
        <v>2461</v>
      </c>
      <c r="O9" s="71">
        <v>2837</v>
      </c>
      <c r="P9" s="71">
        <v>684</v>
      </c>
      <c r="Q9" s="71">
        <v>7188</v>
      </c>
      <c r="R9" s="71">
        <v>3844</v>
      </c>
      <c r="S9" s="71">
        <v>983</v>
      </c>
      <c r="T9" s="71">
        <v>0</v>
      </c>
      <c r="U9" s="71">
        <v>0</v>
      </c>
      <c r="V9" s="71">
        <v>0</v>
      </c>
      <c r="W9" s="71">
        <v>951</v>
      </c>
      <c r="X9" s="71">
        <v>7196</v>
      </c>
      <c r="Y9" s="71">
        <v>4676</v>
      </c>
      <c r="Z9" s="71">
        <v>1885</v>
      </c>
      <c r="AA9" s="71">
        <v>1303</v>
      </c>
      <c r="AB9" s="71">
        <v>2044</v>
      </c>
      <c r="AC9" s="71">
        <v>5863</v>
      </c>
      <c r="AD9" s="71">
        <v>2385</v>
      </c>
      <c r="AE9" s="71">
        <v>5760</v>
      </c>
    </row>
    <row r="10" spans="1:99" s="72" customFormat="1" ht="22.2" ph="1">
      <c r="B10" s="238" ph="1"/>
      <c r="C10" s="160" t="s" ph="1">
        <v>178</v>
      </c>
      <c r="D10" s="73" ph="1">
        <f>D9*33.183*LOOKUP(D11,密度!$A$2:$A$50,密度!$Q$2:$Q$50)</f>
        <v>221982.05566953</v>
      </c>
      <c r="E10" s="73" ph="1">
        <f>E9*51.53*LOOKUP(E11,密度!$A$2:$A$50,密度!$B$2:$B$50)</f>
        <v>142585.864921</v>
      </c>
      <c r="F10" s="73" ph="1">
        <f>F9*33.183*LOOKUP(F11,密度!$A$2:$A$50,密度!$C$2:$C$50)</f>
        <v>170958.02624460001</v>
      </c>
      <c r="G10" s="73" ph="1">
        <f xml:space="preserve"> (G9+2)*51.53*LOOKUP(G11,密度!$A$2:$A$50,密度!$B$2:$B$50)</f>
        <v>1749.9175760000003</v>
      </c>
      <c r="H10" s="73" ph="1">
        <f>(H9)*51.53*LOOKUP(H11,密度!$A$2:$A$50,密度!$B$2:$B$50)</f>
        <v>269158.09184000001</v>
      </c>
      <c r="I10" s="73" ph="1">
        <f>I9*290.8*1.0267</f>
        <v>5227.8619435999999</v>
      </c>
      <c r="J10" s="73" ph="1">
        <f>J9*290.8*0.7892</f>
        <v>17671.450720000001</v>
      </c>
      <c r="K10" s="73" ph="1">
        <f>K9*290.8*1.1126</f>
        <v>7147.0887272</v>
      </c>
      <c r="L10" s="73" ph="1">
        <f>L9*290.8*0.777</f>
        <v>1502.5781400000001</v>
      </c>
      <c r="M10" s="73" ph="1">
        <f>M9*33.183*LOOKUP(M11,密度!$A$2:$A$50,密度!$D$2:$D$50)</f>
        <v>123462.9727002</v>
      </c>
      <c r="N10" s="73" ph="1">
        <f>N9*33.183*LOOKUP(N11,密度!$A$2:$A$50,密度!$E$2:$E$50)</f>
        <v>63501.431068799997</v>
      </c>
      <c r="O10" s="73" ph="1">
        <f>O9*20.428*LOOKUP(O11,密度!$A$2:$A$50,密度!$C$2:$C$50)</f>
        <v>63743.864176400013</v>
      </c>
      <c r="P10" s="73" ph="1">
        <f>P9*51.53*LOOKUP(P11,密度!$A$2:$A$50,密度!$B$2:$B$50)</f>
        <v>27234.986004000006</v>
      </c>
      <c r="Q10" s="73" ph="1">
        <f>Q9*1.5*1.5*3.1416*LOOKUP(W11,密度!$A$2:$A$50,密度!$L$2:$L$50)</f>
        <v>47354.078217599999</v>
      </c>
      <c r="R10" s="73" ph="1">
        <f>R9*1.5*1.5*3.1416*LOOKUP(R11,密度!$A$2:$A$50,密度!$L$2:$L$50)</f>
        <v>25188.164416800002</v>
      </c>
      <c r="S10" s="73" ph="1">
        <f>S9*1.5*1.5*3.1416*LOOKUP(S11,密度!$A$2:$A$50,密度!$L$2:$L$50)</f>
        <v>6475.9403016000006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6265.1263752000004</v>
      </c>
      <c r="X10" s="73" ph="1">
        <f>X9*1.5*1.5*3.1416*LOOKUP(X11,密度!$A$2:$A$50,密度!$L$2:$L$50)</f>
        <v>47864.572509599995</v>
      </c>
      <c r="Y10" s="73" ph="1">
        <f>Y9*1.5*1.5*3.1416*LOOKUP(Y11,密度!$A$2:$A$50,密度!$L$2:$L$50)</f>
        <v>30838.237768800002</v>
      </c>
      <c r="Z10" s="73" ph="1">
        <f>Z9*33.183*LOOKUP(Z11,密度!$A$2:$A$50,密度!$L$2:$L$50)</f>
        <v>58296.558060000003</v>
      </c>
      <c r="AA10" s="73" ph="1">
        <f>AA9*33.183*LOOKUP(AA11,密度!$A$2:$A$50,密度!$D$2:$D$50)</f>
        <v>44188.672878000005</v>
      </c>
      <c r="AB10" s="73" ph="1">
        <f>AB9*20.428*LOOKUP(AB11,密度!$A$2:$A$50,密度!$D$2:$D$50)</f>
        <v>42949.020195199999</v>
      </c>
      <c r="AC10" s="73" ph="1">
        <f>AC9*51.53*LOOKUP(AC11,密度!$A$2:$A$50,密度!$Q$2:$Q$50)</f>
        <v>284772.63720619999</v>
      </c>
      <c r="AD10" s="73" ph="1">
        <f>AD9*20.428*LOOKUP(AD11,密度!$A$2:$A$50,密度!$V$2:$V$50)</f>
        <v>46655.018927999998</v>
      </c>
      <c r="AE10" s="73" ph="1">
        <f>AE9*20.428</f>
        <v>117665.28</v>
      </c>
    </row>
    <row r="11" spans="1:99" ph="1">
      <c r="A11" s="64" t="s" ph="1">
        <v>162</v>
      </c>
      <c r="B11" s="238" ph="1"/>
      <c r="C11" s="160" t="s" ph="1">
        <v>179</v>
      </c>
      <c r="D11" s="74">
        <v>29</v>
      </c>
      <c r="E11" s="74">
        <v>30</v>
      </c>
      <c r="F11" s="74">
        <v>30</v>
      </c>
      <c r="G11" s="74">
        <v>34</v>
      </c>
      <c r="H11" s="74">
        <v>31</v>
      </c>
      <c r="I11" s="74">
        <v>25</v>
      </c>
      <c r="J11" s="74">
        <v>25</v>
      </c>
      <c r="K11" s="74">
        <v>25</v>
      </c>
      <c r="L11" s="74">
        <v>25</v>
      </c>
      <c r="M11" s="74">
        <v>32</v>
      </c>
      <c r="N11" s="74">
        <v>30</v>
      </c>
      <c r="O11" s="74">
        <v>35</v>
      </c>
      <c r="P11" s="74">
        <v>33</v>
      </c>
      <c r="Q11" s="74">
        <v>33</v>
      </c>
      <c r="R11" s="74">
        <v>35</v>
      </c>
      <c r="S11" s="74">
        <v>30</v>
      </c>
      <c r="T11" s="74">
        <v>30</v>
      </c>
      <c r="U11" s="74">
        <v>32</v>
      </c>
      <c r="V11" s="74">
        <v>32</v>
      </c>
      <c r="W11" s="74">
        <v>30</v>
      </c>
      <c r="X11" s="74">
        <v>21</v>
      </c>
      <c r="Y11" s="74">
        <v>29</v>
      </c>
      <c r="Z11" s="74">
        <v>30</v>
      </c>
      <c r="AA11" s="74">
        <v>30</v>
      </c>
      <c r="AB11" s="74">
        <v>23</v>
      </c>
      <c r="AC11" s="74">
        <v>31</v>
      </c>
      <c r="AD11" s="74">
        <v>29</v>
      </c>
      <c r="AE11" s="74">
        <v>30</v>
      </c>
    </row>
    <row r="12" spans="1:99" ht="9.9" customHeight="1" ph="1"/>
    <row r="13" spans="1:99" s="72" customFormat="1" ht="29.25" customHeight="1" ph="1">
      <c r="B13" s="215" t="s" ph="1">
        <v>37</v>
      </c>
      <c r="C13" s="160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6" ph="1"/>
      <c r="C14" s="67" t="s" ph="1">
        <v>36</v>
      </c>
      <c r="D14" s="77" t="s" ph="1">
        <v>616</v>
      </c>
      <c r="E14" s="77" t="s" ph="1">
        <v>616</v>
      </c>
      <c r="F14" s="77" t="s" ph="1">
        <v>647</v>
      </c>
      <c r="G14" s="77" t="s" ph="1">
        <v>617</v>
      </c>
      <c r="H14" s="77" t="s" ph="1">
        <v>637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638</v>
      </c>
      <c r="P14" s="77" t="s" ph="1">
        <v>622</v>
      </c>
      <c r="Q14" s="77" t="s" ph="1">
        <v>622</v>
      </c>
      <c r="R14" s="77" t="s" ph="1">
        <v>622</v>
      </c>
      <c r="S14" s="77" t="s" ph="1">
        <v>622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17" ph="1">
        <v>0.33333333333333331</v>
      </c>
      <c r="C15" s="160" t="s" ph="1">
        <v>177</v>
      </c>
      <c r="D15" s="78">
        <v>0</v>
      </c>
      <c r="E15" s="78">
        <v>198</v>
      </c>
      <c r="F15" s="78">
        <v>2193</v>
      </c>
      <c r="G15" s="78">
        <v>1707</v>
      </c>
      <c r="H15" s="78">
        <v>4352</v>
      </c>
      <c r="I15" s="78">
        <v>3218</v>
      </c>
      <c r="J15" s="78">
        <v>1435</v>
      </c>
      <c r="K15" s="78">
        <v>3651</v>
      </c>
      <c r="L15" s="78">
        <v>7214</v>
      </c>
      <c r="M15" s="78">
        <v>2049</v>
      </c>
      <c r="N15" s="78">
        <v>89</v>
      </c>
      <c r="O15" s="78">
        <v>1906</v>
      </c>
      <c r="P15" s="78">
        <v>300</v>
      </c>
      <c r="Q15" s="78">
        <v>546</v>
      </c>
      <c r="R15" s="78">
        <v>0</v>
      </c>
      <c r="S15" s="78">
        <v>190</v>
      </c>
      <c r="T15" s="78">
        <v>1904</v>
      </c>
      <c r="U15" s="78">
        <v>2035</v>
      </c>
      <c r="V15" s="78">
        <v>-817</v>
      </c>
      <c r="W15" s="71">
        <v>-151</v>
      </c>
      <c r="X15" s="78">
        <v>857</v>
      </c>
      <c r="Y15" s="106">
        <v>-9907</v>
      </c>
      <c r="Z15" s="78">
        <v>0</v>
      </c>
      <c r="AA15" s="78">
        <v>2475</v>
      </c>
      <c r="AB15" s="78" ph="1">
        <v>8</v>
      </c>
      <c r="AC15" s="78" ph="1">
        <v>9</v>
      </c>
      <c r="AD15" s="78">
        <v>5.73</v>
      </c>
      <c r="AE15" s="78">
        <v>44.33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18" ph="1"/>
      <c r="C16" s="160" t="s" ph="1">
        <v>178</v>
      </c>
      <c r="D16" s="73" ph="1">
        <f>D15*7.0686*LOOKUP(D17,密度!$A$2:$A$50,密度!$L$2:$L$50)</f>
        <v>0</v>
      </c>
      <c r="E16" s="73" ph="1">
        <f>E15*7.0686*LOOKUP(E17,密度!$A$2:$A$50,密度!$L$2:$L$50)</f>
        <v>1307.2103351999999</v>
      </c>
      <c r="F16" s="73" ph="1">
        <f>F15*9.0746*LOOKUP(F17,密度!$A$2:$A$50,密度!$L$2:$L$50)</f>
        <v>18567.257747399999</v>
      </c>
      <c r="G16" s="73" ph="1">
        <f>G15*9.0746*LOOKUP(G17,密度!$A$2:$A$50,密度!$B$2:$B$50)</f>
        <v>12049.937197380001</v>
      </c>
      <c r="H16" s="73" ph="1">
        <f>H15*9.0746*LOOKUP(H17,密度!$A$2:$A$50,密度!$L$2:$L$50)</f>
        <v>37123.099648000003</v>
      </c>
      <c r="I16" s="73" ph="1">
        <f>I15*9.0746*LOOKUP(I17,密度!$A$2:$A$50,密度!$U$2:$U$50)</f>
        <v>29902.9123072</v>
      </c>
      <c r="J16" s="73" ph="1">
        <f>J15*9.0746*LOOKUP(J17,密度!$A$2:$A$50,密度!$L$2:$L$50)</f>
        <v>12149.573582999999</v>
      </c>
      <c r="K16" s="73" ph="1">
        <f>K15*9.0746*LOOKUP(K17,密度!$A$2:$A$50,密度!$C$2:$C$50)</f>
        <v>36689.673158040001</v>
      </c>
      <c r="L16" s="73" ph="1">
        <f>L15*9.0746*LOOKUP(L17,密度!$A$2:$A$50,密度!$E$2:$E$50)</f>
        <v>51048.955399120001</v>
      </c>
      <c r="M16" s="73" ph="1">
        <f>M15*9.0746*LOOKUP(M17,密度!$A$2:$A$50,密度!$M$2:$M$50)</f>
        <v>16195.248053400001</v>
      </c>
      <c r="N16" s="73" ph="1">
        <f>N15*9.0746*LOOKUP(N17,密度!$A$2:$A$50,密度!$M$2:$M$50)</f>
        <v>706.76523894000002</v>
      </c>
      <c r="O16" s="73" ph="1">
        <f>O15*9.0746*LOOKUP(O17,密度!$A$2:$A$50,密度!$G$2:$G$50)</f>
        <v>16533.42572684</v>
      </c>
      <c r="P16" s="73" ph="1">
        <f ca="1">P15*9.0746*LOOKUP(P17,密度!$A$2:$A$51,密度!$Q$2:$Q$50)</f>
        <v>2571.6145956</v>
      </c>
      <c r="Q16" s="73" ph="1">
        <f>Q15*9.0746*LOOKUP(Q17,密度!$A$2:$A$50,密度!$Q$2:$Q$50)</f>
        <v>4680.3385639919998</v>
      </c>
      <c r="R16" s="73" ph="1">
        <f>MAX(R15*9.0746*LOOKUP(R17,密度!$A$2:$A$50,密度!$Q$2:$Q$50),0)</f>
        <v>0</v>
      </c>
      <c r="S16" s="73" ph="1">
        <f>S15*9.0746*LOOKUP(S17,密度!$A$2:$A$50,密度!$Q$2:$Q$50)</f>
        <v>1628.68924388</v>
      </c>
      <c r="T16" s="73" ph="1">
        <f>T15*9.0746*LOOKUP(T17,密度!$A$2:$A$50,密度!$O$2:$O$50)</f>
        <v>15999.463558400003</v>
      </c>
      <c r="U16" s="73" ph="1">
        <f>U15*9.0746*LOOKUP(U17,密度!$A$2:$A$50,密度!$H$2:$H$50)</f>
        <v>16876.818572900003</v>
      </c>
      <c r="V16" s="73" ph="1">
        <f>MAX(5600*LOOKUP(V17,密度!$A$2:$A$50,密度!$Q$2:$Q$50)+V15*9.0476*LOOKUP(V17,密度!$A$2:$A$50,密度!$Q$2:$Q$50),0)</f>
        <v>0</v>
      </c>
      <c r="W16" s="73" ph="1">
        <f>MAX(5600*LOOKUP(W17,密度!$A$2:$A$50,密度!$Q$2:$Q$50)+W15*9.0476*LOOKUP(W17,密度!$A$2:$A$50,密度!$Q$2:$Q$50),0)</f>
        <v>3996.4225387319998</v>
      </c>
      <c r="X16" s="73" ph="1">
        <f>MAX(5600*LOOKUP(X17,密度!$A$2:$A$50,密度!$I$2:$I$50)+X15*9.0476*LOOKUP(X17,密度!$A$2:$A$50,密度!$I$2:$I$50),0)</f>
        <v>13858.56658296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17451.136395000001</v>
      </c>
      <c r="AB16" s="73" ph="1">
        <f>AB15*9.0746*LOOKUP(AB17,密度!$A$2:$A$50,密度!$L$2:$L$50)</f>
        <v>67.805411200000009</v>
      </c>
      <c r="AC16" s="73" ph="1">
        <f>AC15*9.0746*LOOKUP(AC17,密度!$A$2:$A$50,密度!$L$2:$L$50)</f>
        <v>76.362759000000011</v>
      </c>
      <c r="AD16" s="73" ph="1">
        <f>AD15*268.68*LOOKUP(AD17,密度!$A$2:$A$50,密度!B2:B50)+IF(AD15&lt;=0,0,1566*LOOKUP(AD17,密度!$A$2:$A$50,密度!B2:B50))</f>
        <v>2421.0761774399998</v>
      </c>
      <c r="AE16" s="73" ph="1">
        <f>AE15*268.68*LOOKUP(AE17,密度!$A$2:$A$50,密度!B2:B50)+IF(AE15&lt;=0,0,1566*LOOKUP(AE17,密度!$A$2:$A$50,密度!B2:B50))</f>
        <v>10506.34519824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19" ph="1"/>
      <c r="C17" s="79" t="s" ph="1">
        <v>179</v>
      </c>
      <c r="D17" s="74">
        <v>28</v>
      </c>
      <c r="E17" s="74">
        <v>28</v>
      </c>
      <c r="F17" s="74">
        <v>29</v>
      </c>
      <c r="G17" s="74">
        <v>27</v>
      </c>
      <c r="H17" s="74">
        <v>22</v>
      </c>
      <c r="I17" s="74">
        <v>26</v>
      </c>
      <c r="J17" s="74">
        <v>29</v>
      </c>
      <c r="K17" s="74">
        <v>27</v>
      </c>
      <c r="L17" s="74">
        <v>28</v>
      </c>
      <c r="M17" s="74">
        <v>29</v>
      </c>
      <c r="N17" s="74">
        <v>25</v>
      </c>
      <c r="O17" s="74">
        <v>29</v>
      </c>
      <c r="P17" s="74">
        <v>28</v>
      </c>
      <c r="Q17" s="74">
        <v>28</v>
      </c>
      <c r="R17" s="74">
        <v>29</v>
      </c>
      <c r="S17" s="74">
        <v>28</v>
      </c>
      <c r="T17" s="74">
        <v>27</v>
      </c>
      <c r="U17" s="74">
        <v>26</v>
      </c>
      <c r="V17" s="74">
        <v>27</v>
      </c>
      <c r="W17" s="74">
        <v>29</v>
      </c>
      <c r="X17" s="74">
        <v>29</v>
      </c>
      <c r="Y17" s="108">
        <v>29</v>
      </c>
      <c r="Z17" s="74">
        <v>28</v>
      </c>
      <c r="AA17" s="74">
        <v>28</v>
      </c>
      <c r="AB17" s="74">
        <v>28</v>
      </c>
      <c r="AC17" s="74">
        <v>27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17" ph="1">
        <v>0.66666666666666663</v>
      </c>
      <c r="C18" s="79" t="s" ph="1">
        <v>180</v>
      </c>
      <c r="D18" s="71">
        <v>0</v>
      </c>
      <c r="E18" s="71">
        <v>70</v>
      </c>
      <c r="F18" s="71">
        <v>2194</v>
      </c>
      <c r="G18" s="71">
        <v>1857</v>
      </c>
      <c r="H18" s="71">
        <v>2187</v>
      </c>
      <c r="I18" s="71">
        <v>2903</v>
      </c>
      <c r="J18" s="71">
        <v>1489</v>
      </c>
      <c r="K18" s="71">
        <v>3652</v>
      </c>
      <c r="L18" s="71">
        <v>7226</v>
      </c>
      <c r="M18" s="71">
        <v>212</v>
      </c>
      <c r="N18" s="71">
        <v>1535</v>
      </c>
      <c r="O18" s="71">
        <v>1907</v>
      </c>
      <c r="P18" s="71">
        <v>299</v>
      </c>
      <c r="Q18" s="71">
        <v>544</v>
      </c>
      <c r="R18" s="71">
        <v>0</v>
      </c>
      <c r="S18" s="71">
        <v>189</v>
      </c>
      <c r="T18" s="71">
        <v>1689</v>
      </c>
      <c r="U18" s="71">
        <v>3888</v>
      </c>
      <c r="V18" s="71">
        <v>-817</v>
      </c>
      <c r="W18" s="71">
        <v>-152</v>
      </c>
      <c r="X18" s="71">
        <v>856</v>
      </c>
      <c r="Y18" s="109">
        <v>-9907</v>
      </c>
      <c r="Z18" s="71">
        <v>0</v>
      </c>
      <c r="AA18" s="71">
        <v>2477</v>
      </c>
      <c r="AB18" s="71">
        <v>7</v>
      </c>
      <c r="AC18" s="71">
        <v>0</v>
      </c>
      <c r="AD18" s="71">
        <v>13.46</v>
      </c>
      <c r="AE18" s="71">
        <v>84.47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18" ph="1"/>
      <c r="C19" s="160" t="s" ph="1">
        <v>178</v>
      </c>
      <c r="D19" s="73" ph="1">
        <f>D18*7.0686*LOOKUP(D20,密度!$A$2:$A$50,密度!$L$2:$L$50)</f>
        <v>0</v>
      </c>
      <c r="E19" s="73" ph="1">
        <f>E18*7.0686*LOOKUP(E20,密度!$A$2:$A$50,密度!$L$2:$L$50)</f>
        <v>459.67105800000002</v>
      </c>
      <c r="F19" s="73" ph="1">
        <f>F18*9.0746*LOOKUP(F20,密度!$A$2:$A$50,密度!$L$2:$L$50)</f>
        <v>18456.266314799999</v>
      </c>
      <c r="G19" s="73" ph="1">
        <f>G18*9.0746*LOOKUP(G20,密度!$A$2:$A$50,密度!$B$2:$B$50)</f>
        <v>13080.159293640001</v>
      </c>
      <c r="H19" s="73" ph="1">
        <f>H18*9.0746*LOOKUP(H20,密度!$A$2:$A$50,密度!$L$2:$L$50)</f>
        <v>18595.842737400002</v>
      </c>
      <c r="I19" s="73" ph="1">
        <f>I18*9.0746*LOOKUP(I20,密度!$A$2:$A$50,密度!$U$2:$U$50)</f>
        <v>26738.717256999997</v>
      </c>
      <c r="J19" s="73" ph="1">
        <f>J18*9.0746*LOOKUP(J20,密度!$A$2:$A$50,密度!$L$2:$L$50)</f>
        <v>12552.721762600002</v>
      </c>
      <c r="K19" s="73" ph="1">
        <f>K18*9.0746*LOOKUP(K20,密度!$A$2:$A$50,密度!$C$2:$C$50)</f>
        <v>36623.499359920002</v>
      </c>
      <c r="L19" s="73" ph="1">
        <f>L18*9.0746*LOOKUP(L20,密度!$A$2:$A$50,密度!$E$2:$E$50)</f>
        <v>50989.611144960007</v>
      </c>
      <c r="M19" s="73" ph="1">
        <f>M18*9.0746*LOOKUP(M20,密度!$A$2:$A$50,密度!$M$2:$M$50)</f>
        <v>1663.4652889840002</v>
      </c>
      <c r="N19" s="73" ph="1">
        <f>N18*9.0746*LOOKUP(N20,密度!$A$2:$A$50,密度!$M$2:$M$50)</f>
        <v>12161.856054100001</v>
      </c>
      <c r="O19" s="73" ph="1">
        <f>O18*9.0746*LOOKUP(O20,密度!$A$2:$A$50,密度!$G$2:$G$50)</f>
        <v>16521.333822340002</v>
      </c>
      <c r="P19" s="73" ph="1">
        <f ca="1">P18*9.0746*LOOKUP(P20,密度!$A$2:$A$51,密度!$Q$2:$Q$50)</f>
        <v>2555.6623562600003</v>
      </c>
      <c r="Q19" s="73" ph="1">
        <f>Q18*9.0746*LOOKUP(Q20,密度!$A$2:$A$50,密度!$Q$2:$Q$50)</f>
        <v>4646.5581840000004</v>
      </c>
      <c r="R19" s="73" ph="1">
        <f>MAX(R18*9.0746*LOOKUP(R20,密度!$A$2:$A$50,密度!$Q$2:$Q$50),0)</f>
        <v>0</v>
      </c>
      <c r="S19" s="73" ph="1">
        <f>S18*9.0746*LOOKUP(S20,密度!$A$2:$A$50,密度!$Q$2:$Q$50)</f>
        <v>1614.3373102500002</v>
      </c>
      <c r="T19" s="73" ph="1">
        <f>T18*9.0746*LOOKUP(T20,密度!$A$2:$A$50,密度!$O$2:$O$50)</f>
        <v>14131.493446800001</v>
      </c>
      <c r="U19" s="73" ph="1">
        <f>U18*9.0746*LOOKUP(U20,密度!$A$2:$A$50,密度!$H$2:$H$50)</f>
        <v>32141.942812800004</v>
      </c>
      <c r="V19" s="73" ph="1">
        <f>MAX(5600*LOOKUP(V20,密度!$A$2:$A$50,密度!$Q$2:$Q$50)+V18*9.0476*LOOKUP(V20,密度!$A$2:$A$50,密度!$Q$2:$Q$50),0)</f>
        <v>0</v>
      </c>
      <c r="W19" s="73" ph="1">
        <f>MAX(5600*LOOKUP(W20,密度!$A$2:$A$50,密度!$Q$2:$Q$50)+W18*9.0476*LOOKUP(W20,密度!$A$2:$A$50,密度!$Q$2:$Q$50),0)</f>
        <v>3971.0254261119999</v>
      </c>
      <c r="X19" s="73" ph="1">
        <f>MAX(5600*LOOKUP(X20,密度!$A$2:$A$50,密度!$I$2:$I$50)+X18*9.0476*LOOKUP(X20,密度!$A$2:$A$50,密度!$I$2:$I$50),0)</f>
        <v>13805.139323199999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17427.026090260002</v>
      </c>
      <c r="AB19" s="73" ph="1">
        <f>AB18*9.0746*LOOKUP(AB20,密度!$A$2:$A$50,密度!$L$2:$L$50)</f>
        <v>58.948601600000003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4026.7502856000001</v>
      </c>
      <c r="AE19" s="73" ph="1">
        <f>AE18*268.68*LOOKUP(AE20,密度!$A$2:$A$50,密度!B5:B53)+IF(AE18&lt;=0,0,1566*LOOKUP(AE20,密度!$A$2:$A$50,密度!B5:B53))</f>
        <v>18851.1074892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18" ph="1"/>
      <c r="C20" s="80" t="s" ph="1">
        <v>179</v>
      </c>
      <c r="D20" s="81">
        <v>33</v>
      </c>
      <c r="E20" s="81">
        <v>33</v>
      </c>
      <c r="F20" s="81">
        <v>35</v>
      </c>
      <c r="G20" s="81">
        <v>29</v>
      </c>
      <c r="H20" s="81">
        <v>25</v>
      </c>
      <c r="I20" s="81">
        <v>35</v>
      </c>
      <c r="J20" s="81">
        <v>33</v>
      </c>
      <c r="K20" s="81">
        <v>30</v>
      </c>
      <c r="L20" s="81">
        <v>30</v>
      </c>
      <c r="M20" s="81">
        <v>35</v>
      </c>
      <c r="N20" s="81">
        <v>27</v>
      </c>
      <c r="O20" s="81">
        <v>30</v>
      </c>
      <c r="P20" s="81">
        <v>32</v>
      </c>
      <c r="Q20" s="81">
        <v>33</v>
      </c>
      <c r="R20" s="81">
        <v>35</v>
      </c>
      <c r="S20" s="81">
        <v>33</v>
      </c>
      <c r="T20" s="81">
        <v>30</v>
      </c>
      <c r="U20" s="81">
        <v>29</v>
      </c>
      <c r="V20" s="81">
        <v>32</v>
      </c>
      <c r="W20" s="81">
        <v>35</v>
      </c>
      <c r="X20" s="81">
        <v>32</v>
      </c>
      <c r="Y20" s="110">
        <v>32</v>
      </c>
      <c r="Z20" s="81">
        <v>34</v>
      </c>
      <c r="AA20" s="81">
        <v>30</v>
      </c>
      <c r="AB20" s="81">
        <v>34</v>
      </c>
      <c r="AC20" s="81">
        <v>33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6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6" t="s" ph="1">
        <v>69</v>
      </c>
      <c r="AA22" s="227"/>
      <c r="AB22" s="227"/>
      <c r="AC22" s="227"/>
      <c r="AD22" s="227"/>
      <c r="AE22" s="228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0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610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229" t="s" ph="1">
        <v>642</v>
      </c>
      <c r="AA23" s="230"/>
      <c r="AB23" s="230"/>
      <c r="AC23" s="230"/>
      <c r="AD23" s="230"/>
      <c r="AE23" s="231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38" ph="1">
        <v>0.33333333333333331</v>
      </c>
      <c r="C24" s="160" t="s" ph="1">
        <v>177</v>
      </c>
      <c r="D24" s="71">
        <v>53.73</v>
      </c>
      <c r="E24" s="71">
        <v>5.6</v>
      </c>
      <c r="F24" s="71">
        <v>2834</v>
      </c>
      <c r="G24" s="71">
        <v>2729</v>
      </c>
      <c r="H24" s="71">
        <v>3236</v>
      </c>
      <c r="I24" s="71">
        <v>1042</v>
      </c>
      <c r="J24" s="71">
        <v>300</v>
      </c>
      <c r="K24" s="71">
        <v>1188</v>
      </c>
      <c r="L24" s="71">
        <v>301</v>
      </c>
      <c r="M24" s="71">
        <v>325</v>
      </c>
      <c r="N24" s="71">
        <v>1579</v>
      </c>
      <c r="O24" s="71">
        <v>1955</v>
      </c>
      <c r="P24" s="71">
        <v>377</v>
      </c>
      <c r="Q24" s="90">
        <v>2144</v>
      </c>
      <c r="R24" s="71">
        <v>289</v>
      </c>
      <c r="S24" s="71">
        <v>2050</v>
      </c>
      <c r="T24" s="71">
        <v>9</v>
      </c>
      <c r="U24" s="71">
        <v>6959</v>
      </c>
      <c r="V24" s="71">
        <v>737</v>
      </c>
      <c r="W24" s="71">
        <v>431</v>
      </c>
      <c r="X24" s="71">
        <v>4538</v>
      </c>
      <c r="Y24" s="71">
        <v>6633</v>
      </c>
      <c r="Z24" s="232"/>
      <c r="AA24" s="233"/>
      <c r="AB24" s="233"/>
      <c r="AC24" s="233"/>
      <c r="AD24" s="233"/>
      <c r="AE24" s="234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38" ph="1"/>
      <c r="C25" s="68" t="s" ph="1">
        <v>178</v>
      </c>
      <c r="D25" s="91" ph="1">
        <f>D24*268.68*LOOKUP(D26,密度!$A$2:$A$50,密度!$Q$2:$Q$50)+IF(D24&lt;=0,0,1566*LOOKUP(D26,密度!$A$2:$A$50,密度!$Q$2:$Q$50))</f>
        <v>15149.900484936001</v>
      </c>
      <c r="E25" s="91" ph="1">
        <f>E24*268.68*LOOKUP(E26,密度!$A$2:$A$50,密度!$C$2:$C$50)+IF(E24&lt;=0,0,1566*LOOKUP(E26,密度!$A$2:$A$50,密度!$C$2:$C$50))</f>
        <v>3404.9972111999996</v>
      </c>
      <c r="F25" s="91" ph="1">
        <f>F24*11.702*LOOKUP(F26,密度!$A$2:$A$50,密度!$Q$2:$Q$50)</f>
        <v>31350.089569760003</v>
      </c>
      <c r="G25" s="91" ph="1">
        <f>G24*18.322*LOOKUP(G26,密度!$A$2:$A$50,密度!$B$2:$B$50)</f>
        <v>38850.573426000003</v>
      </c>
      <c r="H25" s="91" ph="1">
        <f>H24*18.322*LOOKUP(H26,密度!$A$2:$A$50,密度!$B$2:$B$50)</f>
        <v>46121.684776800001</v>
      </c>
      <c r="I25" s="91" ph="1">
        <f>I24*18.322*LOOKUP(I26,密度!$A$2:$A$50,密度!$Q$2:$Q$50)</f>
        <v>18021.062249319999</v>
      </c>
      <c r="J25" s="91" ph="1">
        <f>J24*18.322*LOOKUP(J26,密度!$A$2:$A$50,密度!$Q$2:$Q$50)</f>
        <v>5192.1982919999991</v>
      </c>
      <c r="K25" s="91" ph="1">
        <f>K24*18.322*LOOKUP(K26,密度!$A$2:$A$50,密度!$Q$2:$Q$50)</f>
        <v>20561.10523632</v>
      </c>
      <c r="L25" s="91" ph="1">
        <f>L24*18.322*LOOKUP(L26,密度!$A$2:$A$50,密度!$Q$2:$Q$50)</f>
        <v>5213.3660650399997</v>
      </c>
      <c r="M25" s="91" ph="1">
        <f>M24*18.322*LOOKUP(M26,密度!$A$2:$A$50,密度!$Q$2:$Q$50)</f>
        <v>5629.0497379999997</v>
      </c>
      <c r="N25" s="91" ph="1">
        <f>N24*18.322*LOOKUP(N26,密度!$A$2:$A$50,密度!$Q$2:$Q$50)</f>
        <v>27348.521650160001</v>
      </c>
      <c r="O25" s="91" ph="1">
        <f>O24*18.322*LOOKUP(O26,密度!$A$2:$A$50,密度!$C$2:$C$50)</f>
        <v>39612.796108999995</v>
      </c>
      <c r="P25" s="91" ph="1">
        <f>P24*11.702*LOOKUP(P26,密度!$A$2:$A$50,密度!$B$2:$B$50)</f>
        <v>3424.3258347999995</v>
      </c>
      <c r="Q25" s="92" ph="1">
        <f>Q24*18.322*LOOKUP(Q26,密度!$A$2:$A$50,密度!$B$2:$B$50)</f>
        <v>30522.399935999998</v>
      </c>
      <c r="R25" s="91" ph="1">
        <f>R24*35.891*LOOKUP(R26,密度!$A$2:$A$50,密度!$C$2:$C$50)</f>
        <v>11478.2073934</v>
      </c>
      <c r="S25" s="91" ph="1">
        <f>S24*35.891*LOOKUP(S26,密度!$A$2:$A$50,密度!$B$2:$B$50)</f>
        <v>57235.198245000007</v>
      </c>
      <c r="T25" s="91" ph="1">
        <f>T24*35.891*LOOKUP(T26,密度!$A$2:$A$50,密度!$Q$2:$Q$50)</f>
        <v>304.90732467000004</v>
      </c>
      <c r="U25" s="91" ph="1">
        <f>U24*35.891</f>
        <v>249765.46899999998</v>
      </c>
      <c r="V25" s="91" ph="1">
        <f>V24*47.051*LOOKUP(V26,密度!$A$2:$A$50,密度!$B$2:$B$50)</f>
        <v>26974.917027300002</v>
      </c>
      <c r="W25" s="91" ph="1">
        <f>W24*47.051*LOOKUP(W26,密度!$A$2:$A$50,密度!$B$2:$B$50)</f>
        <v>15775.0193199</v>
      </c>
      <c r="X25" s="91" ph="1">
        <f>X24*47.051*LOOKUP(X26,密度!$A$2:$A$61,密度!$I$2:$I$61)</f>
        <v>221353.52797459997</v>
      </c>
      <c r="Y25" s="91" ph="1">
        <f>Y24*47.051*LOOKUP(Y26,密度!$A$2:$A$50,密度!$L$2:$L$50)</f>
        <v>290867.211756</v>
      </c>
      <c r="Z25" s="232"/>
      <c r="AA25" s="233"/>
      <c r="AB25" s="233"/>
      <c r="AC25" s="233"/>
      <c r="AD25" s="233"/>
      <c r="AE25" s="234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38" ph="1"/>
      <c r="C26" s="68" t="s" ph="1">
        <v>179</v>
      </c>
      <c r="D26" s="74">
        <v>25</v>
      </c>
      <c r="E26" s="74">
        <v>25</v>
      </c>
      <c r="F26" s="74">
        <v>27</v>
      </c>
      <c r="G26" s="74">
        <v>28</v>
      </c>
      <c r="H26" s="74">
        <v>27</v>
      </c>
      <c r="I26" s="74">
        <v>29</v>
      </c>
      <c r="J26" s="74">
        <v>28</v>
      </c>
      <c r="K26" s="74">
        <v>28</v>
      </c>
      <c r="L26" s="74">
        <v>27</v>
      </c>
      <c r="M26" s="74">
        <v>27</v>
      </c>
      <c r="N26" s="74">
        <v>27</v>
      </c>
      <c r="O26" s="74">
        <v>29</v>
      </c>
      <c r="P26" s="74">
        <v>29</v>
      </c>
      <c r="Q26" s="93">
        <v>28</v>
      </c>
      <c r="R26" s="74">
        <v>28</v>
      </c>
      <c r="S26" s="74">
        <v>27</v>
      </c>
      <c r="T26" s="74">
        <v>29</v>
      </c>
      <c r="U26" s="74">
        <v>29</v>
      </c>
      <c r="V26" s="74">
        <v>27</v>
      </c>
      <c r="W26" s="74">
        <v>27</v>
      </c>
      <c r="X26" s="74">
        <v>30</v>
      </c>
      <c r="Y26" s="74">
        <v>30</v>
      </c>
      <c r="Z26" s="232"/>
      <c r="AA26" s="233"/>
      <c r="AB26" s="233"/>
      <c r="AC26" s="233"/>
      <c r="AD26" s="233"/>
      <c r="AE26" s="234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38" ph="1">
        <v>0.66666666666666663</v>
      </c>
      <c r="C27" s="160" t="s" ph="1">
        <v>180</v>
      </c>
      <c r="D27" s="71">
        <v>25.62</v>
      </c>
      <c r="E27" s="71">
        <v>5.56</v>
      </c>
      <c r="F27" s="71">
        <v>1667</v>
      </c>
      <c r="G27" s="71">
        <v>2059</v>
      </c>
      <c r="H27" s="71">
        <v>2628</v>
      </c>
      <c r="I27" s="71">
        <v>1040</v>
      </c>
      <c r="J27" s="71">
        <v>294</v>
      </c>
      <c r="K27" s="71">
        <v>1186</v>
      </c>
      <c r="L27" s="71">
        <v>296</v>
      </c>
      <c r="M27" s="71">
        <v>321</v>
      </c>
      <c r="N27" s="71">
        <v>941</v>
      </c>
      <c r="O27" s="71">
        <v>2958</v>
      </c>
      <c r="P27" s="71">
        <v>374</v>
      </c>
      <c r="Q27" s="90">
        <v>2372</v>
      </c>
      <c r="R27" s="71">
        <v>286</v>
      </c>
      <c r="S27" s="71">
        <v>1656</v>
      </c>
      <c r="T27" s="71">
        <v>7</v>
      </c>
      <c r="U27" s="71">
        <v>6860</v>
      </c>
      <c r="V27" s="71">
        <v>733</v>
      </c>
      <c r="W27" s="71">
        <v>428</v>
      </c>
      <c r="X27" s="71">
        <v>4414</v>
      </c>
      <c r="Y27" s="71">
        <v>5027</v>
      </c>
      <c r="Z27" s="232"/>
      <c r="AA27" s="233"/>
      <c r="AB27" s="233"/>
      <c r="AC27" s="233"/>
      <c r="AD27" s="233"/>
      <c r="AE27" s="234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38" ph="1"/>
      <c r="C28" s="160" t="s" ph="1">
        <v>178</v>
      </c>
      <c r="D28" s="91" ph="1">
        <f>D27*268.68*LOOKUP(D29,密度!$A$2:$A$50,密度!$Q$2:$Q$50)+IF(D27&lt;=0,0,1566*LOOKUP(D29,密度!$A$2:$A$50,密度!$Q$2:$Q$50))</f>
        <v>7999.5568839840007</v>
      </c>
      <c r="E28" s="91" ph="1">
        <f>E27*268.68*LOOKUP(E29,密度!$A$2:$A$50,密度!$C$2:$C$50)+IF(E27&lt;=0,0,1566*LOOKUP(E29,密度!$A$2:$A$50,密度!$C$2:$C$50))</f>
        <v>3393.0796411199999</v>
      </c>
      <c r="F28" s="91" ph="1">
        <f>F27*11.702*LOOKUP(F29,密度!$A$2:$A$50,密度!$Q$2:$Q$50)</f>
        <v>18401.75904922</v>
      </c>
      <c r="G28" s="91" ph="1">
        <f>G27*18.322*LOOKUP(G29,密度!$A$2:$A$50,密度!$B$2:$B$50)</f>
        <v>29248.190949399999</v>
      </c>
      <c r="H28" s="91" ph="1">
        <f>H27*18.322*LOOKUP(H29,密度!$A$2:$A$50,密度!$B$2:$B$50)</f>
        <v>37330.862464799997</v>
      </c>
      <c r="I28" s="91" ph="1">
        <f>I27*18.322*LOOKUP(I29,密度!$A$2:$A$50,密度!$Q$2:$Q$50)</f>
        <v>17975.039950399998</v>
      </c>
      <c r="J28" s="91" ph="1">
        <f>J27*18.322*LOOKUP(J29,密度!$A$2:$A$50,密度!$Q$2:$Q$50)</f>
        <v>5081.4055244399997</v>
      </c>
      <c r="K28" s="91" ph="1">
        <f>K27*18.322*LOOKUP(K29,密度!$A$2:$A$50,密度!$Q$2:$Q$50)</f>
        <v>20498.459020359998</v>
      </c>
      <c r="L28" s="91" ph="1">
        <f>L27*18.322*LOOKUP(L29,密度!$A$2:$A$50,密度!$Q$2:$Q$50)</f>
        <v>5108.2175727999993</v>
      </c>
      <c r="M28" s="91" ph="1">
        <f>M27*18.322*LOOKUP(M29,密度!$A$2:$A$50,密度!$Q$2:$Q$50)</f>
        <v>5539.6548677999999</v>
      </c>
      <c r="N28" s="91" ph="1">
        <f>N27*18.322*LOOKUP(N29,密度!$A$2:$A$50,密度!$Q$2:$Q$50)</f>
        <v>16251.023665160001</v>
      </c>
      <c r="O28" s="91" ph="1">
        <f>O27*18.322*LOOKUP(O29,密度!$A$2:$A$50,密度!$C$2:$C$50)</f>
        <v>59778.713027999991</v>
      </c>
      <c r="P28" s="91" ph="1">
        <f>P27*11.702*LOOKUP(P29,密度!$A$2:$A$50,密度!$B$2:$B$50)</f>
        <v>3385.2598779999998</v>
      </c>
      <c r="Q28" s="92" ph="1">
        <f>Q27*18.322*LOOKUP(Q29,密度!$A$2:$A$50,密度!$B$2:$B$50)</f>
        <v>33655.256729599998</v>
      </c>
      <c r="R28" s="91" ph="1">
        <f>R27*35.891*LOOKUP(R29,密度!$A$2:$A$50,密度!$C$2:$C$50)</f>
        <v>11333.394386599999</v>
      </c>
      <c r="S28" s="91" ph="1">
        <f>S27*35.891*LOOKUP(S29,密度!$A$2:$A$50,密度!$B$2:$B$50)</f>
        <v>46133.831995200002</v>
      </c>
      <c r="T28" s="91" ph="1">
        <f>T27*35.891*LOOKUP(T29,密度!$A$2:$A$50,密度!$Q$2:$Q$50)</f>
        <v>236.81097145999999</v>
      </c>
      <c r="U28" s="91" ph="1">
        <f>U27*35.891</f>
        <v>246212.25999999998</v>
      </c>
      <c r="V28" s="91" ph="1">
        <f>V27*47.051*LOOKUP(V29,密度!$A$2:$A$50,密度!$B$2:$B$50)</f>
        <v>26676.7642505</v>
      </c>
      <c r="W28" s="91" ph="1">
        <f>W27*47.051*LOOKUP(W29,密度!$A$2:$A$50,密度!$B$2:$B$50)</f>
        <v>15612.858048400001</v>
      </c>
      <c r="X28" s="91" ph="1">
        <f>X27*47.051*LOOKUP(X29,密度!$A$2:$A$61,密度!$I$2:$I$61)</f>
        <v>214370.5102708</v>
      </c>
      <c r="Y28" s="91" ph="1">
        <f>Y27*47.051*LOOKUP(Y29,密度!$A$2:$A$50,密度!$L$2:$L$50)</f>
        <v>219732.07523300001</v>
      </c>
      <c r="Z28" s="232"/>
      <c r="AA28" s="233"/>
      <c r="AB28" s="233"/>
      <c r="AC28" s="233"/>
      <c r="AD28" s="233"/>
      <c r="AE28" s="234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38" ph="1"/>
      <c r="C29" s="160" t="s" ph="1">
        <v>179</v>
      </c>
      <c r="D29" s="74">
        <v>25</v>
      </c>
      <c r="E29" s="74">
        <v>25</v>
      </c>
      <c r="F29" s="74">
        <v>30</v>
      </c>
      <c r="G29" s="74">
        <v>30</v>
      </c>
      <c r="H29" s="74">
        <v>30</v>
      </c>
      <c r="I29" s="74">
        <v>30</v>
      </c>
      <c r="J29" s="74">
        <v>30</v>
      </c>
      <c r="K29" s="74">
        <v>30</v>
      </c>
      <c r="L29" s="74">
        <v>32</v>
      </c>
      <c r="M29" s="74">
        <v>32</v>
      </c>
      <c r="N29" s="74">
        <v>31</v>
      </c>
      <c r="O29" s="74">
        <v>32</v>
      </c>
      <c r="P29" s="74">
        <v>32</v>
      </c>
      <c r="Q29" s="93">
        <v>31</v>
      </c>
      <c r="R29" s="74">
        <v>31</v>
      </c>
      <c r="S29" s="74">
        <v>29</v>
      </c>
      <c r="T29" s="74">
        <v>31</v>
      </c>
      <c r="U29" s="74">
        <v>32</v>
      </c>
      <c r="V29" s="74">
        <v>32</v>
      </c>
      <c r="W29" s="74">
        <v>30</v>
      </c>
      <c r="X29" s="74">
        <v>34</v>
      </c>
      <c r="Y29" s="74">
        <v>33</v>
      </c>
      <c r="Z29" s="235"/>
      <c r="AA29" s="236"/>
      <c r="AB29" s="236"/>
      <c r="AC29" s="236"/>
      <c r="AD29" s="236"/>
      <c r="AE29" s="237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1" t="s" ph="1">
        <v>35</v>
      </c>
      <c r="C31" s="222" ph="1"/>
      <c r="D31" s="225" t="s" ph="1">
        <v>9</v>
      </c>
      <c r="E31" s="200" ph="1"/>
      <c r="F31" s="201" ph="1"/>
      <c r="G31" s="225" t="s" ph="1">
        <v>18</v>
      </c>
      <c r="H31" s="200" ph="1"/>
      <c r="I31" s="201" ph="1"/>
      <c r="J31" s="199" t="s" ph="1">
        <v>1</v>
      </c>
      <c r="K31" s="200" ph="1"/>
      <c r="L31" s="201" ph="1"/>
      <c r="M31" s="199" t="s" ph="1">
        <v>7</v>
      </c>
      <c r="N31" s="200" ph="1"/>
      <c r="O31" s="201" ph="1"/>
      <c r="P31" s="199" t="s" ph="1">
        <v>41</v>
      </c>
      <c r="Q31" s="200"/>
      <c r="R31" s="201"/>
      <c r="S31" s="199" t="s" ph="1">
        <v>2</v>
      </c>
      <c r="T31" s="200"/>
      <c r="U31" s="201"/>
      <c r="V31" s="199" t="s" ph="1">
        <v>71</v>
      </c>
      <c r="W31" s="200" ph="1"/>
      <c r="X31" s="201" ph="1"/>
      <c r="Y31" s="199" t="s" ph="1">
        <v>3</v>
      </c>
      <c r="Z31" s="200" ph="1"/>
      <c r="AA31" s="201" ph="1"/>
      <c r="AB31" s="202" t="s">
        <v>42</v>
      </c>
      <c r="AC31" s="203"/>
      <c r="AD31" s="203"/>
      <c r="AE31" s="204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3" ph="1"/>
      <c r="C32" s="224" ph="1"/>
      <c r="D32" s="96" t="s" ph="1">
        <v>4</v>
      </c>
      <c r="E32" s="160" t="s" ph="1">
        <v>5</v>
      </c>
      <c r="F32" s="161" t="s" ph="1">
        <v>43</v>
      </c>
      <c r="G32" s="97" t="s" ph="1">
        <v>4</v>
      </c>
      <c r="H32" s="160" t="s" ph="1">
        <v>5</v>
      </c>
      <c r="I32" s="161" t="s" ph="1">
        <v>43</v>
      </c>
      <c r="J32" s="97" t="s" ph="1">
        <v>4</v>
      </c>
      <c r="K32" s="160" t="s" ph="1">
        <v>5</v>
      </c>
      <c r="L32" s="161" t="s" ph="1">
        <v>43</v>
      </c>
      <c r="M32" s="97" t="s" ph="1">
        <v>4</v>
      </c>
      <c r="N32" s="160" t="s" ph="1">
        <v>5</v>
      </c>
      <c r="O32" s="161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60" t="s" ph="1">
        <v>5</v>
      </c>
      <c r="U32" s="99" t="s" ph="1">
        <v>43</v>
      </c>
      <c r="V32" s="97" t="s" ph="1">
        <v>4</v>
      </c>
      <c r="W32" s="160" t="s" ph="1">
        <v>5</v>
      </c>
      <c r="X32" s="99" t="s" ph="1">
        <v>43</v>
      </c>
      <c r="Y32" s="100" t="s" ph="1">
        <v>4</v>
      </c>
      <c r="Z32" s="160" t="s" ph="1">
        <v>5</v>
      </c>
      <c r="AA32" s="161" t="s" ph="1">
        <v>43</v>
      </c>
      <c r="AB32" s="97" t="s" ph="1">
        <v>85</v>
      </c>
      <c r="AC32" s="160" t="s" ph="1">
        <v>84</v>
      </c>
      <c r="AD32" s="205" t="s" ph="1">
        <v>83</v>
      </c>
      <c r="AE32" s="206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7" t="s" ph="1">
        <v>181</v>
      </c>
      <c r="C33" s="208" ph="1"/>
      <c r="D33" s="187" ph="1">
        <f>AA10+AB10+Z19</f>
        <v>87137.693073200004</v>
      </c>
      <c r="E33" s="187" ph="1">
        <f>M10+I10</f>
        <v>128690.8346438</v>
      </c>
      <c r="F33" s="211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1522252632456786910111213141516171819202123456789101112131415161718192022232424356789101112131415161718192021222345678910111213141516171819202345678910111213149101516171819222123234567891012131415161711181920212224252345678910111213123[[#This Row],[F25]]</f>
        <v>3880</v>
      </c>
      <c r="G33" s="213" ph="1">
        <f>N19</f>
        <v>12161.856054100001</v>
      </c>
      <c r="H33" s="187" ph="1">
        <f>M19</f>
        <v>1663.4652889840002</v>
      </c>
      <c r="I33" s="191" ph="1">
        <v>0</v>
      </c>
      <c r="J33" s="195" ph="1">
        <f>F10+O28</f>
        <v>230736.73927260001</v>
      </c>
      <c r="K33" s="187" ph="1">
        <f>O10+K10+E28+R28</f>
        <v>85617.42693132002</v>
      </c>
      <c r="L33" s="197" ph="1">
        <f>K19</f>
        <v>36623.499359920002</v>
      </c>
      <c r="M33" s="195" ph="1">
        <f>G10+H10+W28+S28+V28+E10+R19+P28+Q28</f>
        <v>538957.84523870004</v>
      </c>
      <c r="N33" s="187" ph="1">
        <f>L10+P10++G28+H28+AD19+AE19</f>
        <v>118194.47533300001</v>
      </c>
      <c r="O33" s="191" ph="1">
        <f>G19</f>
        <v>13080.159293640001</v>
      </c>
      <c r="P33" s="195" ph="1">
        <f>L19</f>
        <v>50989.611144960007</v>
      </c>
      <c r="Q33" s="187" ph="1">
        <f>J10+N10</f>
        <v>81172.881788800005</v>
      </c>
      <c r="R33" s="191" ph="1">
        <f>BE23</f>
        <v>890</v>
      </c>
      <c r="S33" s="195" ph="1">
        <f>X28</f>
        <v>214370.5102708</v>
      </c>
      <c r="T33" s="187" ph="1">
        <f>X19</f>
        <v>13805.139323199999</v>
      </c>
      <c r="U33" s="176" ph="1">
        <f>BE21</f>
        <v>730</v>
      </c>
      <c r="V33" s="189" ph="1">
        <f ca="1">P19+Q19+S19+M28+N28+J28+D10+AC10+D19+E19+H19+J19+O19+V19+W19+K28+L28</f>
        <v>620150.60618325195</v>
      </c>
      <c r="W33" s="189" ph="1">
        <f>D28+F28+T28+I28</f>
        <v>44613.166855064002</v>
      </c>
      <c r="X33" s="191" ph="1">
        <f>BE29+BE31</f>
        <v>10200</v>
      </c>
      <c r="Y33" s="193" ph="1">
        <f>+Q10+R10+S10+T10+U10+V10+W10+X10+Y10</f>
        <v>163986.11958959998</v>
      </c>
      <c r="Z33" s="174" ph="1">
        <f>T19+U19+Y28+Z10</f>
        <v>324302.06955260003</v>
      </c>
      <c r="AA33" s="176" ph="1">
        <f>BE19</f>
        <v>1440</v>
      </c>
      <c r="AB33" s="178" ph="1">
        <f>I19</f>
        <v>26738.717256999997</v>
      </c>
      <c r="AC33" s="180" ph="1">
        <f>AD10+AB19</f>
        <v>46713.967529599999</v>
      </c>
      <c r="AD33" s="182" ph="1">
        <v>0</v>
      </c>
      <c r="AE33" s="183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9" ph="1"/>
      <c r="C34" s="210" ph="1"/>
      <c r="D34" s="188" ph="1"/>
      <c r="E34" s="188" ph="1"/>
      <c r="F34" s="212" ph="1"/>
      <c r="G34" s="214" ph="1"/>
      <c r="H34" s="188" ph="1"/>
      <c r="I34" s="192" ph="1"/>
      <c r="J34" s="196" ph="1"/>
      <c r="K34" s="188" ph="1"/>
      <c r="L34" s="198" ph="1"/>
      <c r="M34" s="196" ph="1"/>
      <c r="N34" s="188" ph="1"/>
      <c r="O34" s="192" ph="1"/>
      <c r="P34" s="196" ph="1"/>
      <c r="Q34" s="188" ph="1"/>
      <c r="R34" s="192" ph="1"/>
      <c r="S34" s="196" ph="1"/>
      <c r="T34" s="188"/>
      <c r="U34" s="177"/>
      <c r="V34" s="190" ph="1"/>
      <c r="W34" s="190" ph="1"/>
      <c r="X34" s="192" ph="1"/>
      <c r="Y34" s="194" ph="1"/>
      <c r="Z34" s="175" ph="1"/>
      <c r="AA34" s="177" ph="1"/>
      <c r="AB34" s="179"/>
      <c r="AC34" s="181"/>
      <c r="AD34" s="184"/>
      <c r="AE34" s="185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6" t="s" ph="1">
        <v>631</v>
      </c>
      <c r="AD35" s="186"/>
      <c r="AE35" s="186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2" t="s" ph="1">
        <v>183</v>
      </c>
      <c r="J36" s="172" ph="1"/>
      <c r="K36" s="101" ph="1"/>
      <c r="P36" s="101" ph="1"/>
      <c r="R36" s="172" t="s" ph="1">
        <v>184</v>
      </c>
      <c r="S36" s="172" ph="1"/>
      <c r="Y36" s="102" ph="1"/>
      <c r="Z36" s="162" t="s" ph="1">
        <v>185</v>
      </c>
      <c r="AA36" s="162" ph="1"/>
      <c r="AB36" s="173" t="s" ph="1">
        <v>643</v>
      </c>
      <c r="AC36" s="173" ph="1"/>
      <c r="AD36" s="173" ph="1"/>
      <c r="AE36" s="173" ph="1"/>
      <c r="BA36" s="64" ph="1">
        <v>2270</v>
      </c>
    </row>
    <row r="37" spans="1:57" s="162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62" t="s" ph="1">
        <v>342</v>
      </c>
      <c r="AI37" s="162" t="s" ph="1">
        <v>209</v>
      </c>
      <c r="AJ37" s="162" t="s" ph="1">
        <v>210</v>
      </c>
      <c r="AK37" s="162" t="s" ph="1">
        <v>211</v>
      </c>
      <c r="AM37" s="162" t="s" ph="1">
        <v>210</v>
      </c>
      <c r="AN37" s="162" t="s" ph="1">
        <v>211</v>
      </c>
      <c r="AO37" s="162" t="s" ph="1">
        <v>212</v>
      </c>
      <c r="AP37" s="162" t="s" ph="1">
        <v>210</v>
      </c>
      <c r="AQ37" s="162" t="s" ph="1">
        <v>211</v>
      </c>
      <c r="AR37" s="162" t="s" ph="1">
        <v>212</v>
      </c>
      <c r="AS37" s="162" t="s" ph="1">
        <v>210</v>
      </c>
      <c r="AT37" s="162" t="s" ph="1">
        <v>211</v>
      </c>
      <c r="AU37" s="162" t="s" ph="1">
        <v>212</v>
      </c>
      <c r="AV37" s="162" t="s" ph="1">
        <v>210</v>
      </c>
      <c r="AW37" s="162" t="s" ph="1">
        <v>211</v>
      </c>
      <c r="AX37" s="162" t="s" ph="1">
        <v>212</v>
      </c>
      <c r="AY37" s="162" t="s" ph="1">
        <v>211</v>
      </c>
      <c r="AZ37" s="162" t="s" ph="1">
        <v>213</v>
      </c>
      <c r="BD37" s="162" t="s" ph="1">
        <v>305</v>
      </c>
      <c r="BE37" s="162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P56" s="64" ph="1">
        <v>20260804</v>
      </c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N33:N34"/>
    <mergeCell ref="O33:O34"/>
    <mergeCell ref="P33:P34"/>
    <mergeCell ref="Q33:Q34"/>
    <mergeCell ref="R33:R34"/>
    <mergeCell ref="S33:S34"/>
    <mergeCell ref="H33:H34"/>
    <mergeCell ref="I33:I34"/>
    <mergeCell ref="J33:J34"/>
    <mergeCell ref="K33:K34"/>
    <mergeCell ref="L33:L34"/>
    <mergeCell ref="M33:M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B31:C32"/>
    <mergeCell ref="D31:F31"/>
    <mergeCell ref="G31:I31"/>
    <mergeCell ref="J31:L31"/>
    <mergeCell ref="M31:O31"/>
    <mergeCell ref="P31:R31"/>
    <mergeCell ref="B13:B14"/>
    <mergeCell ref="B15:B17"/>
    <mergeCell ref="B18:B20"/>
    <mergeCell ref="B22:B23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265" priority="103">
      <formula>ABS(D$7-D$10)&gt;=1000</formula>
    </cfRule>
  </conditionalFormatting>
  <conditionalFormatting sqref="E4 E6:E11">
    <cfRule type="expression" dxfId="264" priority="102">
      <formula>ABS(E$7-E$10)&gt;=1000</formula>
    </cfRule>
  </conditionalFormatting>
  <conditionalFormatting sqref="F4:F11">
    <cfRule type="expression" dxfId="263" priority="101">
      <formula>ABS(F$7-F$10)&gt;=1000</formula>
    </cfRule>
  </conditionalFormatting>
  <conditionalFormatting sqref="G4:G11">
    <cfRule type="expression" dxfId="262" priority="100">
      <formula>ABS(G$7-G$10)&gt;=1000</formula>
    </cfRule>
  </conditionalFormatting>
  <conditionalFormatting sqref="H4:H11">
    <cfRule type="expression" dxfId="261" priority="99">
      <formula>ABS(H$7-H$10)&gt;=1000</formula>
    </cfRule>
  </conditionalFormatting>
  <conditionalFormatting sqref="I4:I11">
    <cfRule type="expression" dxfId="260" priority="98">
      <formula>ABS(I$7-I$10)&gt;=1000</formula>
    </cfRule>
  </conditionalFormatting>
  <conditionalFormatting sqref="J4:J11">
    <cfRule type="expression" dxfId="259" priority="97">
      <formula>ABS(J$7-J$10)&gt;=1000</formula>
    </cfRule>
  </conditionalFormatting>
  <conditionalFormatting sqref="K4:K11">
    <cfRule type="expression" dxfId="258" priority="96">
      <formula>ABS(K$7-K$10)&gt;=1000</formula>
    </cfRule>
  </conditionalFormatting>
  <conditionalFormatting sqref="L4:L11">
    <cfRule type="expression" dxfId="257" priority="95">
      <formula>ABS(L$7-L$10)&gt;=1000</formula>
    </cfRule>
  </conditionalFormatting>
  <conditionalFormatting sqref="M4 M6:M11">
    <cfRule type="expression" dxfId="256" priority="94">
      <formula>ABS(M$7-M$10)&gt;=1000</formula>
    </cfRule>
  </conditionalFormatting>
  <conditionalFormatting sqref="N4 N6:N11">
    <cfRule type="expression" dxfId="255" priority="93">
      <formula>ABS(N$7-N$10)&gt;=1000</formula>
    </cfRule>
  </conditionalFormatting>
  <conditionalFormatting sqref="O4 O6:O11">
    <cfRule type="expression" dxfId="254" priority="92">
      <formula>ABS(O$7-O$10)&gt;=1000</formula>
    </cfRule>
  </conditionalFormatting>
  <conditionalFormatting sqref="P4 P6:P11">
    <cfRule type="expression" dxfId="253" priority="91">
      <formula>ABS(P$7-P$10)&gt;=1000</formula>
    </cfRule>
  </conditionalFormatting>
  <conditionalFormatting sqref="Q4:Q11">
    <cfRule type="expression" dxfId="252" priority="90">
      <formula>ABS(Q$7-Q$10)&gt;=1000</formula>
    </cfRule>
  </conditionalFormatting>
  <conditionalFormatting sqref="R4:R11">
    <cfRule type="expression" dxfId="251" priority="89">
      <formula>ABS(R$7-R$10)&gt;=1000</formula>
    </cfRule>
  </conditionalFormatting>
  <conditionalFormatting sqref="S4:S11">
    <cfRule type="expression" dxfId="250" priority="88">
      <formula>ABS(S$7-S$10)&gt;=1000</formula>
    </cfRule>
  </conditionalFormatting>
  <conditionalFormatting sqref="T4:T9 T11">
    <cfRule type="expression" dxfId="249" priority="87">
      <formula>ABS(T$7-T$10)&gt;=1000</formula>
    </cfRule>
  </conditionalFormatting>
  <conditionalFormatting sqref="U4:U9 U11">
    <cfRule type="expression" dxfId="248" priority="86">
      <formula>ABS(U$7-U$10)&gt;=1000</formula>
    </cfRule>
  </conditionalFormatting>
  <conditionalFormatting sqref="V4:V9 V11">
    <cfRule type="expression" dxfId="247" priority="85">
      <formula>ABS(V$7-V$10)&gt;=1000</formula>
    </cfRule>
  </conditionalFormatting>
  <conditionalFormatting sqref="W4:W9 W11">
    <cfRule type="expression" dxfId="246" priority="84">
      <formula>ABS(W$7-W$10)&gt;=1000</formula>
    </cfRule>
  </conditionalFormatting>
  <conditionalFormatting sqref="X4:X9 X11">
    <cfRule type="expression" dxfId="245" priority="83">
      <formula>ABS(X$7-X$10)&gt;=1000</formula>
    </cfRule>
  </conditionalFormatting>
  <conditionalFormatting sqref="Y4:Y9 Y11">
    <cfRule type="expression" dxfId="244" priority="82">
      <formula>ABS(Y$7-Y$10)&gt;=1000</formula>
    </cfRule>
  </conditionalFormatting>
  <conditionalFormatting sqref="Z4:Z11">
    <cfRule type="expression" dxfId="243" priority="81">
      <formula>ABS(Z$7-Z$10)&gt;=1000</formula>
    </cfRule>
  </conditionalFormatting>
  <conditionalFormatting sqref="AA4:AA11">
    <cfRule type="expression" dxfId="242" priority="80">
      <formula>ABS(AA$7-AA$10)&gt;=1000</formula>
    </cfRule>
  </conditionalFormatting>
  <conditionalFormatting sqref="AB4:AB11">
    <cfRule type="expression" dxfId="241" priority="79">
      <formula>ABS(AB$7-AB$10)&gt;=1000</formula>
    </cfRule>
  </conditionalFormatting>
  <conditionalFormatting sqref="AC4 AC6:AC11">
    <cfRule type="expression" dxfId="240" priority="78">
      <formula>ABS(AC$7-AC$10)&gt;=1000</formula>
    </cfRule>
  </conditionalFormatting>
  <conditionalFormatting sqref="AD4 AD6:AD11">
    <cfRule type="expression" dxfId="239" priority="77">
      <formula>ABS(AD$7-AD$10)&gt;=1000</formula>
    </cfRule>
  </conditionalFormatting>
  <conditionalFormatting sqref="AE4 AE6:AE11">
    <cfRule type="expression" dxfId="238" priority="76">
      <formula>ABS(AE$7-AE$10)&gt;=1000</formula>
    </cfRule>
  </conditionalFormatting>
  <conditionalFormatting sqref="D13:D20">
    <cfRule type="expression" dxfId="237" priority="75">
      <formula>ABS(D$16-D$19)&gt;=1000</formula>
    </cfRule>
  </conditionalFormatting>
  <conditionalFormatting sqref="E13:E20">
    <cfRule type="expression" dxfId="236" priority="74">
      <formula>ABS(E$16-E$19)&gt;=1000</formula>
    </cfRule>
  </conditionalFormatting>
  <conditionalFormatting sqref="F13 F15:F20">
    <cfRule type="expression" dxfId="235" priority="73">
      <formula>ABS(F$16-F$19)&gt;=1000</formula>
    </cfRule>
  </conditionalFormatting>
  <conditionalFormatting sqref="G13:G20">
    <cfRule type="expression" dxfId="234" priority="72">
      <formula>ABS(G$16-G$19)&gt;=1000</formula>
    </cfRule>
  </conditionalFormatting>
  <conditionalFormatting sqref="H13 H15:H20">
    <cfRule type="expression" dxfId="233" priority="71">
      <formula>ABS(H$16-H$19)&gt;=1000</formula>
    </cfRule>
  </conditionalFormatting>
  <conditionalFormatting sqref="I13:I20">
    <cfRule type="expression" dxfId="232" priority="70">
      <formula>ABS(I$16-I$19)&gt;=1000</formula>
    </cfRule>
  </conditionalFormatting>
  <conditionalFormatting sqref="J13:J20">
    <cfRule type="expression" dxfId="231" priority="69">
      <formula>ABS(J$16-J$19)&gt;=1000</formula>
    </cfRule>
  </conditionalFormatting>
  <conditionalFormatting sqref="L13:L20">
    <cfRule type="expression" dxfId="230" priority="68">
      <formula>ABS(L$16-L$19)&gt;=1000</formula>
    </cfRule>
  </conditionalFormatting>
  <conditionalFormatting sqref="M13 M15 M17:M18 M20">
    <cfRule type="expression" dxfId="229" priority="67">
      <formula>ABS(M$16-M$19)&gt;=1000</formula>
    </cfRule>
  </conditionalFormatting>
  <conditionalFormatting sqref="N13:N20">
    <cfRule type="expression" dxfId="228" priority="66">
      <formula>ABS(N$16-N$19)&gt;=1000</formula>
    </cfRule>
  </conditionalFormatting>
  <conditionalFormatting sqref="O13:O20">
    <cfRule type="expression" dxfId="227" priority="65">
      <formula>ABS(O$16-O$19)&gt;=1000</formula>
    </cfRule>
  </conditionalFormatting>
  <conditionalFormatting sqref="P13:P20">
    <cfRule type="expression" dxfId="226" priority="64">
      <formula>ABS(P$16-P$19)&gt;=1000</formula>
    </cfRule>
  </conditionalFormatting>
  <conditionalFormatting sqref="Q13 Q15:Q20">
    <cfRule type="expression" dxfId="225" priority="63">
      <formula>ABS(Q$16-Q$19)&gt;=1000</formula>
    </cfRule>
  </conditionalFormatting>
  <conditionalFormatting sqref="R13 R15:R20">
    <cfRule type="expression" dxfId="224" priority="62">
      <formula>ABS(R$16-R$19)&gt;=1000</formula>
    </cfRule>
  </conditionalFormatting>
  <conditionalFormatting sqref="S13:S20">
    <cfRule type="expression" dxfId="223" priority="61">
      <formula>ABS(S$16-S$19)&gt;=1000</formula>
    </cfRule>
  </conditionalFormatting>
  <conditionalFormatting sqref="T13:T15 T17:T20">
    <cfRule type="expression" dxfId="222" priority="60">
      <formula>ABS(T$16-T$19)&gt;=1000</formula>
    </cfRule>
  </conditionalFormatting>
  <conditionalFormatting sqref="U13:U20">
    <cfRule type="expression" dxfId="221" priority="59">
      <formula>ABS(U$16-U$19)&gt;=1000</formula>
    </cfRule>
  </conditionalFormatting>
  <conditionalFormatting sqref="V13:V20">
    <cfRule type="expression" dxfId="220" priority="58">
      <formula>ABS(V$16-V$19)&gt;=1000</formula>
    </cfRule>
  </conditionalFormatting>
  <conditionalFormatting sqref="W13 W20 W15:W18">
    <cfRule type="expression" dxfId="219" priority="57">
      <formula>ABS(W$16-W$19)&gt;=1000</formula>
    </cfRule>
  </conditionalFormatting>
  <conditionalFormatting sqref="X13 X15:X20 Y19">
    <cfRule type="expression" dxfId="218" priority="56">
      <formula>ABS(X$16-X$19)&gt;=1000</formula>
    </cfRule>
  </conditionalFormatting>
  <conditionalFormatting sqref="Y13 Y15:Y18 Y20">
    <cfRule type="expression" dxfId="217" priority="55">
      <formula>ABS(Y$16-Y$19)&gt;=1000</formula>
    </cfRule>
  </conditionalFormatting>
  <conditionalFormatting sqref="Z13:Z20">
    <cfRule type="expression" dxfId="216" priority="54">
      <formula>ABS(Z$16-Z$19)&gt;=1000</formula>
    </cfRule>
  </conditionalFormatting>
  <conditionalFormatting sqref="AA13:AA20">
    <cfRule type="expression" dxfId="215" priority="53">
      <formula>ABS(AA$16-AA$19)&gt;=1000</formula>
    </cfRule>
  </conditionalFormatting>
  <conditionalFormatting sqref="AB13 AB15:AB20">
    <cfRule type="expression" dxfId="214" priority="52">
      <formula>ABS(AB$16-AB$19)&gt;=1000</formula>
    </cfRule>
  </conditionalFormatting>
  <conditionalFormatting sqref="AC13 AC15:AC20">
    <cfRule type="expression" dxfId="213" priority="51">
      <formula>ABS(AC$16-AC$19)&gt;=1000</formula>
    </cfRule>
  </conditionalFormatting>
  <conditionalFormatting sqref="AD13:AD20">
    <cfRule type="expression" dxfId="212" priority="50">
      <formula>ABS(AD$16-AD$19)&gt;=1000</formula>
    </cfRule>
  </conditionalFormatting>
  <conditionalFormatting sqref="AE13:AE20">
    <cfRule type="expression" dxfId="211" priority="49">
      <formula>ABS(AE$16-AE$19)&gt;=1000</formula>
    </cfRule>
  </conditionalFormatting>
  <conditionalFormatting sqref="D22:D29">
    <cfRule type="expression" dxfId="210" priority="48">
      <formula>ABS(D$25-D$28)&gt;=1000</formula>
    </cfRule>
  </conditionalFormatting>
  <conditionalFormatting sqref="E22:E29">
    <cfRule type="expression" dxfId="209" priority="47">
      <formula>ABS(E$25-E$28)&gt;=1000</formula>
    </cfRule>
  </conditionalFormatting>
  <conditionalFormatting sqref="F22:F29">
    <cfRule type="expression" dxfId="208" priority="46">
      <formula>ABS(F$25-F$28)&gt;=1000</formula>
    </cfRule>
  </conditionalFormatting>
  <conditionalFormatting sqref="G22:G29">
    <cfRule type="expression" dxfId="207" priority="45">
      <formula>ABS(G$25-G$28)&gt;=1000</formula>
    </cfRule>
  </conditionalFormatting>
  <conditionalFormatting sqref="H22:H29">
    <cfRule type="expression" dxfId="206" priority="44">
      <formula>ABS(H$25-H$28)&gt;=1000</formula>
    </cfRule>
  </conditionalFormatting>
  <conditionalFormatting sqref="I22 I24:I29">
    <cfRule type="expression" dxfId="205" priority="43">
      <formula>ABS(I$25-I$28)&gt;=1000</formula>
    </cfRule>
  </conditionalFormatting>
  <conditionalFormatting sqref="J22:J29 K22">
    <cfRule type="expression" dxfId="204" priority="42">
      <formula>ABS(J$25-J$28)&gt;=1000</formula>
    </cfRule>
  </conditionalFormatting>
  <conditionalFormatting sqref="K23:K29 L25 L28">
    <cfRule type="expression" dxfId="203" priority="41">
      <formula>ABS(K$25-K$28)&gt;=1000</formula>
    </cfRule>
  </conditionalFormatting>
  <conditionalFormatting sqref="L22 L26:L27 L29 L24">
    <cfRule type="expression" dxfId="202" priority="40">
      <formula>ABS(L$25-L$28)&gt;=1000</formula>
    </cfRule>
  </conditionalFormatting>
  <conditionalFormatting sqref="M22:M29">
    <cfRule type="expression" dxfId="201" priority="39">
      <formula>ABS(M$25-M$28)&gt;=1000</formula>
    </cfRule>
  </conditionalFormatting>
  <conditionalFormatting sqref="N22:N29">
    <cfRule type="expression" dxfId="200" priority="38">
      <formula>ABS(N$25-N$28)&gt;=1000</formula>
    </cfRule>
  </conditionalFormatting>
  <conditionalFormatting sqref="O22 O24:O29">
    <cfRule type="expression" dxfId="199" priority="37">
      <formula>ABS(O$25-O$28)&gt;=1000</formula>
    </cfRule>
  </conditionalFormatting>
  <conditionalFormatting sqref="P22:P29">
    <cfRule type="expression" dxfId="198" priority="36">
      <formula>ABS(P$25-P$28)&gt;=1000</formula>
    </cfRule>
  </conditionalFormatting>
  <conditionalFormatting sqref="Q22:Q29">
    <cfRule type="expression" dxfId="197" priority="35">
      <formula>ABS(Q$25-Q$28)&gt;=1000</formula>
    </cfRule>
  </conditionalFormatting>
  <conditionalFormatting sqref="R22:R29">
    <cfRule type="expression" dxfId="196" priority="34">
      <formula>ABS(R$25-R$28)&gt;=1000</formula>
    </cfRule>
  </conditionalFormatting>
  <conditionalFormatting sqref="S22:S29">
    <cfRule type="expression" dxfId="195" priority="33">
      <formula>ABS(S$25-S$28)&gt;=1000</formula>
    </cfRule>
  </conditionalFormatting>
  <conditionalFormatting sqref="T22:T29">
    <cfRule type="expression" dxfId="194" priority="32">
      <formula>ABS(T$25-T$28)&gt;=1000</formula>
    </cfRule>
  </conditionalFormatting>
  <conditionalFormatting sqref="U22:U29">
    <cfRule type="expression" dxfId="193" priority="31">
      <formula>ABS(U$25-U$28)&gt;=1000</formula>
    </cfRule>
  </conditionalFormatting>
  <conditionalFormatting sqref="V22:V29">
    <cfRule type="expression" dxfId="192" priority="30">
      <formula>ABS(V$25-V$28)&gt;=1000</formula>
    </cfRule>
  </conditionalFormatting>
  <conditionalFormatting sqref="W22:W29">
    <cfRule type="expression" dxfId="191" priority="29">
      <formula>ABS(W$25-W$28)&gt;=1000</formula>
    </cfRule>
  </conditionalFormatting>
  <conditionalFormatting sqref="X22:X29">
    <cfRule type="expression" dxfId="190" priority="28">
      <formula>ABS(X$25-X$28)&gt;=1000</formula>
    </cfRule>
  </conditionalFormatting>
  <conditionalFormatting sqref="Y22:Y29">
    <cfRule type="expression" dxfId="189" priority="27">
      <formula>ABS(Y$25-Y$28)&gt;=1000</formula>
    </cfRule>
  </conditionalFormatting>
  <conditionalFormatting sqref="I23">
    <cfRule type="expression" dxfId="188" priority="26">
      <formula>ABS(I$25-I$28)&gt;=1000</formula>
    </cfRule>
  </conditionalFormatting>
  <conditionalFormatting sqref="Q14">
    <cfRule type="expression" dxfId="187" priority="25">
      <formula>ABS(Q$16-Q$19)&gt;=1000</formula>
    </cfRule>
  </conditionalFormatting>
  <conditionalFormatting sqref="W14">
    <cfRule type="expression" dxfId="186" priority="24">
      <formula>ABS(W$16-W$19)&gt;=1000</formula>
    </cfRule>
  </conditionalFormatting>
  <conditionalFormatting sqref="X14">
    <cfRule type="expression" dxfId="185" priority="23">
      <formula>ABS(X$16-X$19)&gt;=1000</formula>
    </cfRule>
  </conditionalFormatting>
  <conditionalFormatting sqref="T10:Y10">
    <cfRule type="expression" dxfId="184" priority="22">
      <formula>ABS(T$7-T$10)&gt;=1000</formula>
    </cfRule>
  </conditionalFormatting>
  <conditionalFormatting sqref="W19">
    <cfRule type="expression" dxfId="183" priority="21">
      <formula>ABS(W$16-W$19)&gt;=1000</formula>
    </cfRule>
  </conditionalFormatting>
  <conditionalFormatting sqref="AC5">
    <cfRule type="expression" dxfId="182" priority="20">
      <formula>ABS(AC$7-AC$10)&gt;=1000</formula>
    </cfRule>
  </conditionalFormatting>
  <conditionalFormatting sqref="M14">
    <cfRule type="expression" dxfId="181" priority="19">
      <formula>ABS(M$16-M$19)&gt;=1000</formula>
    </cfRule>
  </conditionalFormatting>
  <conditionalFormatting sqref="M16">
    <cfRule type="expression" dxfId="180" priority="18">
      <formula>ABS(M$16-M$19)&gt;=1000</formula>
    </cfRule>
  </conditionalFormatting>
  <conditionalFormatting sqref="M19">
    <cfRule type="expression" dxfId="179" priority="17">
      <formula>ABS(M$16-M$19)&gt;=1000</formula>
    </cfRule>
  </conditionalFormatting>
  <conditionalFormatting sqref="K13:K20">
    <cfRule type="expression" dxfId="178" priority="16">
      <formula>ABS(K$16-K$19)&gt;=1000</formula>
    </cfRule>
  </conditionalFormatting>
  <conditionalFormatting sqref="E5">
    <cfRule type="expression" dxfId="177" priority="15">
      <formula>ABS(E$7-E$10)&gt;=1000</formula>
    </cfRule>
  </conditionalFormatting>
  <conditionalFormatting sqref="AB14:AC14">
    <cfRule type="expression" dxfId="176" priority="14">
      <formula>ABS(AB$16-AB$19)&gt;=1000</formula>
    </cfRule>
  </conditionalFormatting>
  <conditionalFormatting sqref="M5">
    <cfRule type="expression" dxfId="175" priority="13">
      <formula>ABS(M$7-M$10)&gt;=1000</formula>
    </cfRule>
  </conditionalFormatting>
  <conditionalFormatting sqref="N5">
    <cfRule type="expression" dxfId="174" priority="12">
      <formula>ABS(N$7-N$10)&gt;=1000</formula>
    </cfRule>
  </conditionalFormatting>
  <conditionalFormatting sqref="O5">
    <cfRule type="expression" dxfId="173" priority="11">
      <formula>ABS(O$7-O$10)&gt;=1000</formula>
    </cfRule>
  </conditionalFormatting>
  <conditionalFormatting sqref="P5">
    <cfRule type="expression" dxfId="172" priority="10">
      <formula>ABS(P$7-P$10)&gt;=1000</formula>
    </cfRule>
  </conditionalFormatting>
  <conditionalFormatting sqref="L23">
    <cfRule type="expression" dxfId="171" priority="9">
      <formula>ABS(L$25-L$28)&gt;=1000</formula>
    </cfRule>
  </conditionalFormatting>
  <conditionalFormatting sqref="Y14">
    <cfRule type="expression" dxfId="170" priority="8">
      <formula>ABS(Y$16-Y$19)&gt;=1000</formula>
    </cfRule>
  </conditionalFormatting>
  <conditionalFormatting sqref="H14">
    <cfRule type="expression" dxfId="169" priority="7">
      <formula>ABS(H$16-H$19)&gt;=1000</formula>
    </cfRule>
  </conditionalFormatting>
  <conditionalFormatting sqref="AD5">
    <cfRule type="expression" dxfId="168" priority="6">
      <formula>ABS(AD$7-AD$10)&gt;=1000</formula>
    </cfRule>
  </conditionalFormatting>
  <conditionalFormatting sqref="AE5">
    <cfRule type="expression" dxfId="167" priority="5">
      <formula>ABS(AE$7-AE$10)&gt;=1000</formula>
    </cfRule>
  </conditionalFormatting>
  <conditionalFormatting sqref="T16">
    <cfRule type="expression" dxfId="166" priority="4">
      <formula>ABS(T$16-T$19)&gt;=1000</formula>
    </cfRule>
  </conditionalFormatting>
  <conditionalFormatting sqref="O23">
    <cfRule type="expression" dxfId="165" priority="3">
      <formula>ABS(O$25-O$28)&gt;=1000</formula>
    </cfRule>
  </conditionalFormatting>
  <conditionalFormatting sqref="F14">
    <cfRule type="expression" dxfId="164" priority="2">
      <formula>ABS(F$16-F$19)&gt;=1000</formula>
    </cfRule>
  </conditionalFormatting>
  <conditionalFormatting sqref="R14">
    <cfRule type="expression" dxfId="163" priority="1">
      <formula>ABS(R$16-R$19)&gt;=1000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50145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965">
    <pageSetUpPr fitToPage="1"/>
  </sheetPr>
  <dimension ref="A1:CU223"/>
  <sheetViews>
    <sheetView tabSelected="1" view="pageBreakPreview" topLeftCell="B16" zoomScale="85" zoomScaleNormal="100" zoomScaleSheetLayoutView="85" workbookViewId="0">
      <selection activeCell="J9" sqref="J9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39" t="s" ph="1">
        <v>161</v>
      </c>
      <c r="C1" s="239" ph="1"/>
      <c r="D1" s="239" ph="1"/>
      <c r="E1" s="239" ph="1"/>
      <c r="F1" s="239" ph="1"/>
      <c r="G1" s="239" ph="1"/>
      <c r="H1" s="239" ph="1"/>
      <c r="I1" s="239" ph="1"/>
      <c r="J1" s="239" ph="1"/>
      <c r="K1" s="239" ph="1"/>
      <c r="L1" s="239" ph="1"/>
      <c r="M1" s="239" ph="1"/>
      <c r="N1" s="239" ph="1"/>
      <c r="O1" s="239" ph="1"/>
      <c r="P1" s="239" ph="1"/>
      <c r="Q1" s="239" ph="1"/>
      <c r="R1" s="239" ph="1"/>
      <c r="S1" s="239" ph="1"/>
      <c r="T1" s="239" ph="1"/>
      <c r="U1" s="239" ph="1"/>
      <c r="V1" s="239" ph="1"/>
      <c r="W1" s="239" ph="1"/>
      <c r="X1" s="239" ph="1"/>
      <c r="Y1" s="239" ph="1"/>
      <c r="Z1" s="239" ph="1"/>
      <c r="AA1" s="239" ph="1"/>
      <c r="AB1" s="239" ph="1"/>
      <c r="AC1" s="239" ph="1"/>
      <c r="AD1" s="239" ph="1"/>
      <c r="AE1" s="239" ph="1"/>
    </row>
    <row r="2" spans="1:99" s="66" customFormat="1" ht="24" customHeight="1" ph="1">
      <c r="B2" s="240" t="s" ph="1">
        <v>82</v>
      </c>
      <c r="C2" s="240" ph="1"/>
      <c r="D2" s="240" ph="1"/>
      <c r="E2" s="240" ph="1"/>
      <c r="F2" s="240" ph="1"/>
      <c r="G2" s="240" ph="1"/>
      <c r="H2" s="240" ph="1"/>
      <c r="I2" s="240" ph="1"/>
      <c r="J2" s="240" ph="1"/>
      <c r="K2" s="240" ph="1"/>
      <c r="L2" s="240" ph="1"/>
      <c r="M2" s="240" ph="1"/>
      <c r="N2" s="240" ph="1"/>
      <c r="O2" s="240" ph="1"/>
      <c r="P2" s="240" ph="1"/>
      <c r="Q2" s="240" ph="1"/>
      <c r="R2" s="240" ph="1"/>
      <c r="S2" s="240" ph="1"/>
      <c r="T2" s="240" ph="1"/>
      <c r="U2" s="240" ph="1"/>
      <c r="V2" s="240" ph="1"/>
      <c r="W2" s="240" ph="1"/>
      <c r="X2" s="240" ph="1"/>
      <c r="Y2" s="240" ph="1"/>
      <c r="Z2" s="240" ph="1"/>
      <c r="AA2" s="240" ph="1"/>
      <c r="AB2" s="240" ph="1"/>
      <c r="AC2" s="240" ph="1"/>
      <c r="AD2" s="240" ph="1"/>
      <c r="AE2" s="240" ph="1"/>
    </row>
    <row r="3" spans="1:99" ht="21" customHeight="1" ph="1">
      <c r="B3" s="241" ph="1">
        <v>46265</v>
      </c>
      <c r="C3" s="241"/>
      <c r="D3" s="241"/>
      <c r="E3" s="241"/>
      <c r="F3" s="241"/>
      <c r="G3" s="241"/>
      <c r="H3" s="241"/>
      <c r="I3" s="241"/>
      <c r="J3" s="241"/>
      <c r="K3" s="241"/>
      <c r="L3" s="241"/>
      <c r="M3" s="241"/>
      <c r="N3" s="241"/>
      <c r="O3" s="241"/>
      <c r="P3" s="241"/>
      <c r="Q3" s="241"/>
      <c r="R3" s="241"/>
      <c r="S3" s="241"/>
      <c r="T3" s="241"/>
      <c r="U3" s="241"/>
      <c r="V3" s="241"/>
      <c r="W3" s="241"/>
      <c r="X3" s="241"/>
      <c r="Y3" s="241"/>
      <c r="Z3" s="241"/>
      <c r="AA3" s="241"/>
      <c r="AB3" s="241"/>
      <c r="AC3" s="241"/>
      <c r="AD3" s="241"/>
      <c r="AE3" s="241"/>
    </row>
    <row r="4" spans="1:99" s="69" customFormat="1" ph="1">
      <c r="A4" s="65" ph="1"/>
      <c r="B4" s="220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0" ph="1"/>
      <c r="C5" s="67" t="s" ph="1">
        <v>36</v>
      </c>
      <c r="D5" s="70" t="s" ph="1">
        <v>160</v>
      </c>
      <c r="E5" s="142" t="s" ph="1">
        <v>617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8" ph="1">
        <v>0.33333333333333331</v>
      </c>
      <c r="C6" s="160" t="s" ph="1">
        <v>177</v>
      </c>
      <c r="D6" s="71">
        <v>4563</v>
      </c>
      <c r="E6" s="71">
        <v>3573</v>
      </c>
      <c r="F6" s="71">
        <v>4662</v>
      </c>
      <c r="G6" s="71">
        <v>44</v>
      </c>
      <c r="H6" s="71">
        <v>5395</v>
      </c>
      <c r="I6" s="71">
        <v>17.54</v>
      </c>
      <c r="J6" s="71">
        <v>76.739999999999995</v>
      </c>
      <c r="K6" s="71">
        <v>78.39</v>
      </c>
      <c r="L6" s="71">
        <v>6.69</v>
      </c>
      <c r="M6" s="71">
        <v>3650</v>
      </c>
      <c r="N6" s="71">
        <v>2191</v>
      </c>
      <c r="O6" s="71">
        <v>5422</v>
      </c>
      <c r="P6" s="71">
        <v>1177</v>
      </c>
      <c r="Q6" s="71">
        <v>7185</v>
      </c>
      <c r="R6" s="71">
        <v>7083</v>
      </c>
      <c r="S6" s="71">
        <v>5373</v>
      </c>
      <c r="T6" s="71">
        <v>7033</v>
      </c>
      <c r="U6" s="71">
        <v>3332</v>
      </c>
      <c r="V6" s="71">
        <v>3674</v>
      </c>
      <c r="W6" s="71">
        <v>0</v>
      </c>
      <c r="X6" s="71">
        <v>0</v>
      </c>
      <c r="Y6" s="71">
        <v>0</v>
      </c>
      <c r="Z6" s="71">
        <v>4708</v>
      </c>
      <c r="AA6" s="71">
        <v>1302</v>
      </c>
      <c r="AB6" s="71">
        <v>2044</v>
      </c>
      <c r="AC6" s="71">
        <v>5858</v>
      </c>
      <c r="AD6" s="71">
        <v>3108</v>
      </c>
      <c r="AE6" s="71">
        <v>5610</v>
      </c>
    </row>
    <row r="7" spans="1:99" s="72" customFormat="1" ht="22.2" ph="1">
      <c r="B7" s="238" ph="1"/>
      <c r="C7" s="68" t="s" ph="1">
        <v>178</v>
      </c>
      <c r="D7" s="73" ph="1">
        <f>D6*33.183*LOOKUP(D8,密度!$A$2:$A$50,密度!$Q$2:$Q$50)</f>
        <v>143028.72007398002</v>
      </c>
      <c r="E7" s="73" ph="1">
        <f>E6*51.53*LOOKUP(E8,密度!$A$2:$A$50,密度!$B$2:$B$50)</f>
        <v>143224.37315100001</v>
      </c>
      <c r="F7" s="73" ph="1">
        <f>F6*33.183*LOOKUP(F8,密度!$A$2:$A$50,密度!$C$2:$C$50)</f>
        <v>171545.8829994</v>
      </c>
      <c r="G7" s="73" ph="1">
        <f xml:space="preserve"> (G6+2)*51.53*LOOKUP(G8,密度!$A$2:$A$50,密度!$B$2:$B$50)</f>
        <v>1845.8149060000001</v>
      </c>
      <c r="H7" s="73" ph="1">
        <f>(H6)*51.53*LOOKUP(H8,密度!$A$2:$A$50,密度!$B$2:$B$50)</f>
        <v>216481.987345</v>
      </c>
      <c r="I7" s="73" ph="1">
        <f>I6*290.8*1.0267</f>
        <v>5236.818874399999</v>
      </c>
      <c r="J7" s="73" ph="1">
        <f>J6*290.8*0.7892</f>
        <v>17611.7808864</v>
      </c>
      <c r="K7" s="73" ph="1">
        <f>K6*290.8*1.1126</f>
        <v>25362.620431200001</v>
      </c>
      <c r="L7" s="73" ph="1">
        <f>L6*290.8*0.777</f>
        <v>1511.6162040000002</v>
      </c>
      <c r="M7" s="73" ph="1">
        <f>M6*33.183*LOOKUP(M8,密度!$A$2:$A$50,密度!$D$2:$D$50)</f>
        <v>124242.79311</v>
      </c>
      <c r="N7" s="73" ph="1">
        <f>N6*33.183*LOOKUP(N8,密度!$A$2:$A$50,密度!$E$2:$E$50)</f>
        <v>56694.542549400001</v>
      </c>
      <c r="O7" s="73" ph="1">
        <f>O6*20.428*LOOKUP(O8,密度!$A$2:$A$50,密度!$C$2:$C$50)</f>
        <v>122290.79612560001</v>
      </c>
      <c r="P7" s="73" ph="1">
        <f>P6*51.53*LOOKUP(P8,密度!$A$2:$A$50,密度!$B$2:$B$50)</f>
        <v>47228.785747000002</v>
      </c>
      <c r="Q7" s="73" ph="1">
        <f>Q6*1.5*1.5*3.1416*LOOKUP(W8,密度!$A$2:$A$50,密度!$L$2:$L$50)</f>
        <v>47486.678085</v>
      </c>
      <c r="R7" s="73" ph="1">
        <f>R6*1.5*1.5*3.1416*LOOKUP(R8,密度!$A$2:$A$50,密度!$L$2:$L$50)</f>
        <v>46562.211234000002</v>
      </c>
      <c r="S7" s="73" ph="1">
        <f>S6*1.5*1.5*3.1416*LOOKUP(S8,密度!$A$2:$A$50,密度!$L$2:$L$50)</f>
        <v>35586.873768600002</v>
      </c>
      <c r="T7" s="73" ph="1">
        <f>T6*1.5*1.5*3.1416*LOOKUP(T8,密度!$A$2:$A$50,密度!$L$2:$L$50)</f>
        <v>46531.802116799998</v>
      </c>
      <c r="U7" s="73" ph="1">
        <f>U6*1.5*1.5*3.1416*LOOKUP(U8,密度!$A$2:$A$50,密度!$L$2:$L$50)</f>
        <v>22045.210387200001</v>
      </c>
      <c r="V7" s="73" ph="1">
        <f>V6*1.5*1.5*3.1416*LOOKUP(V8,密度!$A$2:$A$50,密度!$L$2:$L$50)</f>
        <v>24281.984034000001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146539.57903200001</v>
      </c>
      <c r="AA7" s="73" ph="1">
        <f>AA6*33.183*LOOKUP(AA8,密度!$A$2:$A$50,密度!$D$2:$D$50)</f>
        <v>44318.936062800007</v>
      </c>
      <c r="AB7" s="73" ph="1">
        <f>AB6*20.428*LOOKUP(AB8,密度!$A$2:$A$50,密度!$D$2:$D$50)</f>
        <v>42949.020195199999</v>
      </c>
      <c r="AC7" s="73" ph="1">
        <f>AC6*51.53*LOOKUP(AC8,密度!$A$2:$A$50,密度!$Q$2:$Q$50)</f>
        <v>285571.20792219997</v>
      </c>
      <c r="AD7" s="73" ph="1">
        <f>AD6*20.428*LOOKUP(AD8,密度!$A$2:$A$50,密度!$V$2:$V$50)</f>
        <v>60798.238502400003</v>
      </c>
      <c r="AE7" s="73" ph="1">
        <f>AE6*20.428</f>
        <v>114601.08</v>
      </c>
    </row>
    <row r="8" spans="1:99" ph="1">
      <c r="B8" s="238" ph="1"/>
      <c r="C8" s="68" t="s" ph="1">
        <v>179</v>
      </c>
      <c r="D8" s="74">
        <v>28</v>
      </c>
      <c r="E8" s="74">
        <v>27</v>
      </c>
      <c r="F8" s="74">
        <v>25</v>
      </c>
      <c r="G8" s="74">
        <v>26</v>
      </c>
      <c r="H8" s="74">
        <v>26</v>
      </c>
      <c r="I8" s="74">
        <v>25</v>
      </c>
      <c r="J8" s="74">
        <v>25</v>
      </c>
      <c r="K8" s="74">
        <v>25</v>
      </c>
      <c r="L8" s="74">
        <v>25</v>
      </c>
      <c r="M8" s="74">
        <v>26</v>
      </c>
      <c r="N8" s="74">
        <v>28</v>
      </c>
      <c r="O8" s="74">
        <v>31</v>
      </c>
      <c r="P8" s="74">
        <v>26</v>
      </c>
      <c r="Q8" s="74">
        <v>28</v>
      </c>
      <c r="R8" s="74">
        <v>32</v>
      </c>
      <c r="S8" s="74">
        <v>25</v>
      </c>
      <c r="T8" s="74">
        <v>26</v>
      </c>
      <c r="U8" s="74">
        <v>26</v>
      </c>
      <c r="V8" s="74">
        <v>27</v>
      </c>
      <c r="W8" s="74">
        <v>27</v>
      </c>
      <c r="X8" s="74">
        <v>20</v>
      </c>
      <c r="Y8" s="74">
        <v>27</v>
      </c>
      <c r="Z8" s="74">
        <v>24</v>
      </c>
      <c r="AA8" s="74">
        <v>26</v>
      </c>
      <c r="AB8" s="74">
        <v>23</v>
      </c>
      <c r="AC8" s="74">
        <v>26</v>
      </c>
      <c r="AD8" s="74">
        <v>28</v>
      </c>
      <c r="AE8" s="74">
        <v>28</v>
      </c>
    </row>
    <row r="9" spans="1:99" ht="26.4" ph="1">
      <c r="B9" s="238" ph="1">
        <v>0.66666666666666663</v>
      </c>
      <c r="C9" s="160" t="s" ph="1">
        <v>180</v>
      </c>
      <c r="D9" s="71">
        <v>4016</v>
      </c>
      <c r="E9" s="71">
        <v>3573</v>
      </c>
      <c r="F9" s="71">
        <v>4663</v>
      </c>
      <c r="G9" s="71">
        <v>465</v>
      </c>
      <c r="H9" s="71">
        <v>5140</v>
      </c>
      <c r="I9" s="71">
        <v>17.57</v>
      </c>
      <c r="J9" s="71">
        <v>76.819999999999993</v>
      </c>
      <c r="K9" s="71">
        <v>87.84</v>
      </c>
      <c r="L9" s="71">
        <v>65.06</v>
      </c>
      <c r="M9" s="71">
        <v>3650</v>
      </c>
      <c r="N9" s="71">
        <v>2194</v>
      </c>
      <c r="O9" s="71">
        <v>3915</v>
      </c>
      <c r="P9" s="71">
        <v>1079</v>
      </c>
      <c r="Q9" s="71">
        <v>7187</v>
      </c>
      <c r="R9" s="71">
        <v>7086</v>
      </c>
      <c r="S9" s="71">
        <v>5375</v>
      </c>
      <c r="T9" s="71">
        <v>7036</v>
      </c>
      <c r="U9" s="71">
        <v>5950</v>
      </c>
      <c r="V9" s="71">
        <v>5963</v>
      </c>
      <c r="W9" s="71">
        <v>2978</v>
      </c>
      <c r="X9" s="71">
        <v>2567</v>
      </c>
      <c r="Y9" s="71">
        <v>0</v>
      </c>
      <c r="Z9" s="71">
        <v>6706</v>
      </c>
      <c r="AA9" s="71">
        <v>1304</v>
      </c>
      <c r="AB9" s="71">
        <v>1915</v>
      </c>
      <c r="AC9" s="71">
        <v>5860</v>
      </c>
      <c r="AD9" s="71">
        <v>3108</v>
      </c>
      <c r="AE9" s="71">
        <v>5685</v>
      </c>
    </row>
    <row r="10" spans="1:99" s="72" customFormat="1" ht="22.2" ph="1">
      <c r="B10" s="238" ph="1"/>
      <c r="C10" s="160" t="s" ph="1">
        <v>178</v>
      </c>
      <c r="D10" s="73" ph="1">
        <f>D9*33.183*LOOKUP(D11,密度!$A$2:$A$50,密度!$Q$2:$Q$50)</f>
        <v>125976.11109696</v>
      </c>
      <c r="E10" s="73" ph="1">
        <f>E9*51.53*LOOKUP(E11,密度!$A$2:$A$50,密度!$B$2:$B$50)</f>
        <v>143703.07654499999</v>
      </c>
      <c r="F10" s="73" ph="1">
        <f>F9*33.183*LOOKUP(F11,密度!$A$2:$A$50,密度!$C$2:$C$50)</f>
        <v>171582.67962809998</v>
      </c>
      <c r="G10" s="73" ph="1">
        <f xml:space="preserve"> (G9+2)*51.53*LOOKUP(G11,密度!$A$2:$A$50,密度!$B$2:$B$50)</f>
        <v>18719.782329000001</v>
      </c>
      <c r="H10" s="73" ph="1">
        <f>(H9)*51.53*LOOKUP(H11,密度!$A$2:$A$50,密度!$B$2:$B$50)</f>
        <v>206249.75253999999</v>
      </c>
      <c r="I10" s="73" ph="1">
        <f>I9*290.8*1.0267</f>
        <v>5245.7758052000008</v>
      </c>
      <c r="J10" s="73" ph="1">
        <f>J9*290.8*0.7892</f>
        <v>17630.1408352</v>
      </c>
      <c r="K10" s="73" ph="1">
        <f>K9*290.8*1.1126</f>
        <v>28420.111987200005</v>
      </c>
      <c r="L10" s="73" ph="1">
        <f>L9*290.8*0.777</f>
        <v>14700.411096</v>
      </c>
      <c r="M10" s="73" ph="1">
        <f>M9*33.183*LOOKUP(M11,密度!$A$2:$A$50,密度!$D$2:$D$50)</f>
        <v>124121.67515999998</v>
      </c>
      <c r="N10" s="73" ph="1">
        <f>N9*33.183*LOOKUP(N11,密度!$A$2:$A$50,密度!$E$2:$E$50)</f>
        <v>56692.08700739999</v>
      </c>
      <c r="O10" s="73" ph="1">
        <f>O9*20.428*LOOKUP(O11,密度!$A$2:$A$50,密度!$C$2:$C$50)</f>
        <v>88133.133240000025</v>
      </c>
      <c r="P10" s="73" ph="1">
        <f>P9*51.53*LOOKUP(P11,密度!$A$2:$A$50,密度!$B$2:$B$50)</f>
        <v>43251.916773000004</v>
      </c>
      <c r="Q10" s="73" ph="1">
        <f>Q9*1.5*1.5*3.1416*LOOKUP(W11,密度!$A$2:$A$50,密度!$L$2:$L$50)</f>
        <v>47601.500423400001</v>
      </c>
      <c r="R10" s="73" ph="1">
        <f>R9*1.5*1.5*3.1416*LOOKUP(R11,密度!$A$2:$A$50,密度!$L$2:$L$50)</f>
        <v>46431.668329200002</v>
      </c>
      <c r="S10" s="73" ph="1">
        <f>S9*1.5*1.5*3.1416*LOOKUP(S11,密度!$A$2:$A$50,密度!$L$2:$L$50)</f>
        <v>35486.139150000003</v>
      </c>
      <c r="T10" s="73" ph="1">
        <f>T9*1.5*1.5*3.1416*LOOKUP(T11,密度!$A$2:$A$50,密度!$L$2:$L$50)</f>
        <v>46651.120084800001</v>
      </c>
      <c r="U10" s="73" ph="1">
        <f>U9*1.5*1.5*3.1416*LOOKUP(U11,密度!$A$2:$A$50,密度!$L$2:$L$50)</f>
        <v>39408.505290000001</v>
      </c>
      <c r="V10" s="73" ph="1">
        <f>V9*1.5*1.5*3.1416*LOOKUP(V11,密度!$A$2:$A$50,密度!$L$2:$L$50)</f>
        <v>39368.157721199997</v>
      </c>
      <c r="W10" s="73" ph="1">
        <f>W9*1.5*1.5*3.1416*LOOKUP(W11,密度!$A$2:$A$50,密度!$L$2:$L$50)</f>
        <v>19724.122479599999</v>
      </c>
      <c r="X10" s="73" ph="1">
        <f>X9*1.5*1.5*3.1416*LOOKUP(X11,密度!$A$2:$A$50,密度!$L$2:$L$50)</f>
        <v>17128.970812799998</v>
      </c>
      <c r="Y10" s="73" ph="1">
        <f>Y9*1.5*1.5*3.1416*LOOKUP(Y11,密度!$A$2:$A$50,密度!$L$2:$L$50)</f>
        <v>0</v>
      </c>
      <c r="Z10" s="73" ph="1">
        <f>Z9*33.183*LOOKUP(Z11,密度!$A$2:$A$50,密度!$L$2:$L$50)</f>
        <v>208728.63572399999</v>
      </c>
      <c r="AA10" s="73" ph="1">
        <f>AA9*33.183*LOOKUP(AA11,密度!$A$2:$A$50,密度!$D$2:$D$50)</f>
        <v>44464.901443200004</v>
      </c>
      <c r="AB10" s="73" ph="1">
        <f>AB9*20.428*LOOKUP(AB11,密度!$A$2:$A$50,密度!$D$2:$D$50)</f>
        <v>40238.441132</v>
      </c>
      <c r="AC10" s="73" ph="1">
        <f>AC9*51.53*LOOKUP(AC11,密度!$A$2:$A$50,密度!$Q$2:$Q$50)</f>
        <v>285242.93399599998</v>
      </c>
      <c r="AD10" s="73" ph="1">
        <f>AD9*20.428*LOOKUP(AD11,密度!$A$2:$A$50,密度!$V$2:$V$50)</f>
        <v>60798.238502400003</v>
      </c>
      <c r="AE10" s="73" ph="1">
        <f>AE9*20.428</f>
        <v>116133.18000000001</v>
      </c>
    </row>
    <row r="11" spans="1:99" ph="1">
      <c r="A11" s="64" t="s" ph="1">
        <v>162</v>
      </c>
      <c r="B11" s="238" ph="1"/>
      <c r="C11" s="160" t="s" ph="1">
        <v>179</v>
      </c>
      <c r="D11" s="74">
        <v>27</v>
      </c>
      <c r="E11" s="74">
        <v>24</v>
      </c>
      <c r="F11" s="74">
        <v>25</v>
      </c>
      <c r="G11" s="74">
        <v>27</v>
      </c>
      <c r="H11" s="74">
        <v>26</v>
      </c>
      <c r="I11" s="74">
        <v>25</v>
      </c>
      <c r="J11" s="74">
        <v>25</v>
      </c>
      <c r="K11" s="74">
        <v>25</v>
      </c>
      <c r="L11" s="74">
        <v>25</v>
      </c>
      <c r="M11" s="74">
        <v>27</v>
      </c>
      <c r="N11" s="74">
        <v>29</v>
      </c>
      <c r="O11" s="74">
        <v>33</v>
      </c>
      <c r="P11" s="74">
        <v>27</v>
      </c>
      <c r="Q11" s="74">
        <v>32</v>
      </c>
      <c r="R11" s="74">
        <v>35</v>
      </c>
      <c r="S11" s="74">
        <v>28</v>
      </c>
      <c r="T11" s="74">
        <v>24</v>
      </c>
      <c r="U11" s="74">
        <v>25</v>
      </c>
      <c r="V11" s="74">
        <v>28</v>
      </c>
      <c r="W11" s="74">
        <v>25</v>
      </c>
      <c r="X11" s="74">
        <v>18</v>
      </c>
      <c r="Y11" s="74">
        <v>29</v>
      </c>
      <c r="Z11" s="74">
        <v>24</v>
      </c>
      <c r="AA11" s="74">
        <v>24</v>
      </c>
      <c r="AB11" s="74">
        <v>23</v>
      </c>
      <c r="AC11" s="74">
        <v>28</v>
      </c>
      <c r="AD11" s="74">
        <v>30</v>
      </c>
      <c r="AE11" s="74">
        <v>28</v>
      </c>
    </row>
    <row r="12" spans="1:99" ht="9.9" customHeight="1" ph="1"/>
    <row r="13" spans="1:99" s="72" customFormat="1" ht="29.25" customHeight="1" ph="1">
      <c r="B13" s="215" t="s" ph="1">
        <v>37</v>
      </c>
      <c r="C13" s="160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6" ph="1"/>
      <c r="C14" s="67" t="s" ph="1">
        <v>36</v>
      </c>
      <c r="D14" s="77" t="s" ph="1">
        <v>616</v>
      </c>
      <c r="E14" s="77" t="s" ph="1">
        <v>616</v>
      </c>
      <c r="F14" s="77" t="s" ph="1">
        <v>647</v>
      </c>
      <c r="G14" s="77" t="s" ph="1">
        <v>617</v>
      </c>
      <c r="H14" s="77" t="s" ph="1">
        <v>637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638</v>
      </c>
      <c r="P14" s="77" t="s" ph="1">
        <v>622</v>
      </c>
      <c r="Q14" s="77" t="s" ph="1">
        <v>622</v>
      </c>
      <c r="R14" s="77" t="s" ph="1">
        <v>622</v>
      </c>
      <c r="S14" s="77" t="s" ph="1">
        <v>622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17" ph="1">
        <v>0.33333333333333331</v>
      </c>
      <c r="C15" s="160" t="s" ph="1">
        <v>177</v>
      </c>
      <c r="D15" s="78">
        <v>0</v>
      </c>
      <c r="E15" s="78">
        <v>4391</v>
      </c>
      <c r="F15" s="78">
        <v>2510</v>
      </c>
      <c r="G15" s="78">
        <v>3018</v>
      </c>
      <c r="H15" s="78">
        <v>2185</v>
      </c>
      <c r="I15" s="78">
        <v>213</v>
      </c>
      <c r="J15" s="78">
        <v>4134</v>
      </c>
      <c r="K15" s="78">
        <v>3654</v>
      </c>
      <c r="L15" s="78">
        <v>7216</v>
      </c>
      <c r="M15" s="78">
        <v>213</v>
      </c>
      <c r="N15" s="78">
        <v>2644</v>
      </c>
      <c r="O15" s="78">
        <v>1907</v>
      </c>
      <c r="P15" s="78">
        <v>5008</v>
      </c>
      <c r="Q15" s="78">
        <v>551</v>
      </c>
      <c r="R15" s="78">
        <v>0</v>
      </c>
      <c r="S15" s="78">
        <v>189</v>
      </c>
      <c r="T15" s="78">
        <v>1687</v>
      </c>
      <c r="U15" s="78">
        <v>3888</v>
      </c>
      <c r="V15" s="78">
        <v>1548</v>
      </c>
      <c r="W15" s="71">
        <v>-151</v>
      </c>
      <c r="X15" s="78">
        <v>857</v>
      </c>
      <c r="Y15" s="106">
        <v>-9907</v>
      </c>
      <c r="Z15" s="78">
        <v>0</v>
      </c>
      <c r="AA15" s="78">
        <v>2473</v>
      </c>
      <c r="AB15" s="78" ph="1">
        <v>8</v>
      </c>
      <c r="AC15" s="78" ph="1">
        <v>0</v>
      </c>
      <c r="AD15" s="78">
        <v>5.44</v>
      </c>
      <c r="AE15" s="78">
        <v>47.34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18" ph="1"/>
      <c r="C16" s="160" t="s" ph="1">
        <v>178</v>
      </c>
      <c r="D16" s="73" ph="1">
        <f>D15*7.0686*LOOKUP(D17,密度!$A$2:$A$50,密度!$L$2:$L$50)</f>
        <v>0</v>
      </c>
      <c r="E16" s="73" ph="1">
        <f>E15*7.0686*LOOKUP(E17,密度!$A$2:$A$50,密度!$L$2:$L$50)</f>
        <v>29082.814576200002</v>
      </c>
      <c r="F16" s="73" ph="1">
        <f>F15*9.0746*LOOKUP(F17,密度!$A$2:$A$50,密度!$L$2:$L$50)</f>
        <v>21273.947764</v>
      </c>
      <c r="G16" s="73" ph="1">
        <f>G15*9.0746*LOOKUP(G17,密度!$A$2:$A$50,密度!$B$2:$B$50)</f>
        <v>21351.016526880001</v>
      </c>
      <c r="H16" s="73" ph="1">
        <f>H15*9.0746*LOOKUP(H17,密度!$A$2:$A$50,密度!$L$2:$L$50)</f>
        <v>18638.320939999998</v>
      </c>
      <c r="I16" s="73" ph="1">
        <f>I15*9.0746*LOOKUP(I17,密度!$A$2:$A$50,密度!$U$2:$U$50)</f>
        <v>1983.1449348000001</v>
      </c>
      <c r="J16" s="73" ph="1">
        <f>J15*9.0746*LOOKUP(J17,密度!$A$2:$A$50,密度!$L$2:$L$50)</f>
        <v>35113.475030399997</v>
      </c>
      <c r="K16" s="73" ph="1">
        <f>K15*9.0746*LOOKUP(K17,密度!$A$2:$A$50,密度!$C$2:$C$50)</f>
        <v>36743.031806040002</v>
      </c>
      <c r="L16" s="73" ph="1">
        <f>L15*9.0746*LOOKUP(L17,密度!$A$2:$A$50,密度!$E$2:$E$50)</f>
        <v>51063.108145280006</v>
      </c>
      <c r="M16" s="73" ph="1">
        <f>M15*9.0746*LOOKUP(M17,密度!$A$2:$A$50,密度!$M$2:$M$50)</f>
        <v>1685.4799056000002</v>
      </c>
      <c r="N16" s="73" ph="1">
        <f>N15*9.0746*LOOKUP(N17,密度!$A$2:$A$50,密度!$M$2:$M$50)</f>
        <v>20996.48642424</v>
      </c>
      <c r="O16" s="73" ph="1">
        <f>O15*9.0746*LOOKUP(O17,密度!$A$2:$A$50,密度!$G$2:$G$50)</f>
        <v>16561.135925400002</v>
      </c>
      <c r="P16" s="73" ph="1">
        <f ca="1">P15*9.0746*LOOKUP(P17,密度!$A$2:$A$51,密度!$Q$2:$Q$50)</f>
        <v>42928.819649215999</v>
      </c>
      <c r="Q16" s="73" ph="1">
        <f>Q15*9.0746*LOOKUP(Q17,密度!$A$2:$A$50,密度!$Q$2:$Q$50)</f>
        <v>4733.7990290040007</v>
      </c>
      <c r="R16" s="73" ph="1">
        <f>MAX(R15*9.0746*LOOKUP(R17,密度!$A$2:$A$50,密度!$Q$2:$Q$50),0)</f>
        <v>0</v>
      </c>
      <c r="S16" s="73" ph="1">
        <f>S15*9.0746*LOOKUP(S17,密度!$A$2:$A$50,密度!$Q$2:$Q$50)</f>
        <v>1623.7532059560001</v>
      </c>
      <c r="T16" s="73" ph="1">
        <f>T15*9.0746*LOOKUP(T17,密度!$A$2:$A$50,密度!$O$2:$O$50)</f>
        <v>14175.995285200001</v>
      </c>
      <c r="U16" s="73" ph="1">
        <f>U15*9.0746*LOOKUP(U17,密度!$A$2:$A$50,密度!$H$2:$H$50)</f>
        <v>32244.260742720006</v>
      </c>
      <c r="V16" s="73" ph="1">
        <f>MAX(5600*LOOKUP(V17,密度!$A$2:$A$50,密度!$Q$2:$Q$50)+V15*9.0476*LOOKUP(V17,密度!$A$2:$A$50,密度!$Q$2:$Q$50),0)</f>
        <v>18547.565991343999</v>
      </c>
      <c r="W16" s="73" ph="1">
        <f>MAX(5600*LOOKUP(W17,密度!$A$2:$A$50,密度!$Q$2:$Q$50)+W15*9.0476*LOOKUP(W17,密度!$A$2:$A$50,密度!$Q$2:$Q$50),0)</f>
        <v>3999.3438692880004</v>
      </c>
      <c r="X16" s="73" ph="1">
        <f>MAX(5600*LOOKUP(X17,密度!$A$2:$A$50,密度!$I$2:$I$50)+X15*9.0476*LOOKUP(X17,密度!$A$2:$A$50,密度!$I$2:$I$50),0)</f>
        <v>13874.591134799997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17495.38232968</v>
      </c>
      <c r="AB16" s="73" ph="1">
        <f>AB15*9.0746*LOOKUP(AB17,密度!$A$2:$A$50,密度!$L$2:$L$50)</f>
        <v>67.950604800000008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2360.3319283199999</v>
      </c>
      <c r="AE16" s="73" ph="1">
        <f>AE15*268.68*LOOKUP(AE17,密度!$A$2:$A$50,密度!B2:B50)+IF(AE15&lt;=0,0,1566*LOOKUP(AE17,密度!$A$2:$A$50,密度!B2:B50))</f>
        <v>11136.828611520001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19" ph="1"/>
      <c r="C17" s="79" t="s" ph="1">
        <v>179</v>
      </c>
      <c r="D17" s="74">
        <v>25</v>
      </c>
      <c r="E17" s="74">
        <v>25</v>
      </c>
      <c r="F17" s="74">
        <v>28</v>
      </c>
      <c r="G17" s="74">
        <v>25</v>
      </c>
      <c r="H17" s="74">
        <v>22</v>
      </c>
      <c r="I17" s="74">
        <v>24</v>
      </c>
      <c r="J17" s="74">
        <v>26</v>
      </c>
      <c r="K17" s="74">
        <v>26</v>
      </c>
      <c r="L17" s="74">
        <v>28</v>
      </c>
      <c r="M17" s="74">
        <v>28</v>
      </c>
      <c r="N17" s="74">
        <v>25</v>
      </c>
      <c r="O17" s="74">
        <v>28</v>
      </c>
      <c r="P17" s="74">
        <v>28</v>
      </c>
      <c r="Q17" s="74">
        <v>25</v>
      </c>
      <c r="R17" s="74">
        <v>28</v>
      </c>
      <c r="S17" s="74">
        <v>25</v>
      </c>
      <c r="T17" s="74">
        <v>28</v>
      </c>
      <c r="U17" s="74">
        <v>26</v>
      </c>
      <c r="V17" s="74">
        <v>26</v>
      </c>
      <c r="W17" s="74">
        <v>28</v>
      </c>
      <c r="X17" s="74">
        <v>28</v>
      </c>
      <c r="Y17" s="108">
        <v>28</v>
      </c>
      <c r="Z17" s="74">
        <v>28</v>
      </c>
      <c r="AA17" s="74">
        <v>25</v>
      </c>
      <c r="AB17" s="74">
        <v>26</v>
      </c>
      <c r="AC17" s="74">
        <v>27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17" ph="1">
        <v>0.66666666666666663</v>
      </c>
      <c r="C18" s="79" t="s" ph="1">
        <v>180</v>
      </c>
      <c r="D18" s="71">
        <v>0</v>
      </c>
      <c r="E18" s="71">
        <v>5523</v>
      </c>
      <c r="F18" s="71">
        <v>3180</v>
      </c>
      <c r="G18" s="71">
        <v>3165</v>
      </c>
      <c r="H18" s="71">
        <v>2185</v>
      </c>
      <c r="I18" s="71">
        <v>213</v>
      </c>
      <c r="J18" s="71">
        <v>4634</v>
      </c>
      <c r="K18" s="71">
        <v>3654</v>
      </c>
      <c r="L18" s="71">
        <v>7220</v>
      </c>
      <c r="M18" s="71">
        <v>2344</v>
      </c>
      <c r="N18" s="71">
        <v>558</v>
      </c>
      <c r="O18" s="71">
        <v>1907</v>
      </c>
      <c r="P18" s="71">
        <v>6017</v>
      </c>
      <c r="Q18" s="71">
        <v>551</v>
      </c>
      <c r="R18" s="71">
        <v>0</v>
      </c>
      <c r="S18" s="71">
        <v>188</v>
      </c>
      <c r="T18" s="71">
        <v>1675</v>
      </c>
      <c r="U18" s="71">
        <v>3885</v>
      </c>
      <c r="V18" s="71">
        <v>2004</v>
      </c>
      <c r="W18" s="71">
        <v>-152</v>
      </c>
      <c r="X18" s="71">
        <v>858</v>
      </c>
      <c r="Y18" s="109">
        <v>-9907</v>
      </c>
      <c r="Z18" s="71">
        <v>0</v>
      </c>
      <c r="AA18" s="71">
        <v>2474</v>
      </c>
      <c r="AB18" s="71">
        <v>0</v>
      </c>
      <c r="AC18" s="71">
        <v>0</v>
      </c>
      <c r="AD18" s="71">
        <v>13.57</v>
      </c>
      <c r="AE18" s="71">
        <v>84.56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18" ph="1"/>
      <c r="C19" s="160" t="s" ph="1">
        <v>178</v>
      </c>
      <c r="D19" s="73" ph="1">
        <f>D18*7.0686*LOOKUP(D20,密度!$A$2:$A$50,密度!$L$2:$L$50)</f>
        <v>0</v>
      </c>
      <c r="E19" s="73" ph="1">
        <f>E18*7.0686*LOOKUP(E20,密度!$A$2:$A$50,密度!$L$2:$L$50)</f>
        <v>36424.205987400004</v>
      </c>
      <c r="F19" s="73" ph="1">
        <f>F18*9.0746*LOOKUP(F20,密度!$A$2:$A$50,密度!$L$2:$L$50)</f>
        <v>26866.079268000001</v>
      </c>
      <c r="G19" s="73" ph="1">
        <f>G18*9.0746*LOOKUP(G20,密度!$A$2:$A$50,密度!$B$2:$B$50)</f>
        <v>22342.1506911</v>
      </c>
      <c r="H19" s="73" ph="1">
        <f>H18*9.0746*LOOKUP(H20,密度!$A$2:$A$50,密度!$L$2:$L$50)</f>
        <v>18559.008936000002</v>
      </c>
      <c r="I19" s="73" ph="1">
        <f>I18*9.0746*LOOKUP(I20,密度!$A$2:$A$50,密度!$U$2:$U$50)</f>
        <v>1973.4804858</v>
      </c>
      <c r="J19" s="73" ph="1">
        <f>J18*9.0746*LOOKUP(J20,密度!$A$2:$A$50,密度!$L$2:$L$50)</f>
        <v>39023.974259200004</v>
      </c>
      <c r="K19" s="73" ph="1">
        <f>K18*9.0746*LOOKUP(K20,密度!$A$2:$A$50,密度!$C$2:$C$50)</f>
        <v>36670.082911560006</v>
      </c>
      <c r="L19" s="73" ph="1">
        <f>L18*9.0746*LOOKUP(L20,密度!$A$2:$A$50,密度!$E$2:$E$50)</f>
        <v>51019.343164399994</v>
      </c>
      <c r="M19" s="73" ph="1">
        <f>M18*9.0746*LOOKUP(M20,密度!$A$2:$A$50,密度!$M$2:$M$50)</f>
        <v>18503.523201760003</v>
      </c>
      <c r="N19" s="73" ph="1">
        <f>N18*9.0746*LOOKUP(N20,密度!$A$2:$A$50,密度!$M$2:$M$50)</f>
        <v>4426.1161858799996</v>
      </c>
      <c r="O19" s="73" ph="1">
        <f>O18*9.0746*LOOKUP(O20,密度!$A$2:$A$50,密度!$G$2:$G$50)</f>
        <v>16542.10013698</v>
      </c>
      <c r="P19" s="73" ph="1">
        <f ca="1">P18*9.0746*LOOKUP(P20,密度!$A$2:$A$51,密度!$Q$2:$Q$50)</f>
        <v>51540.341450026004</v>
      </c>
      <c r="Q19" s="73" ph="1">
        <f>Q18*9.0746*LOOKUP(Q20,密度!$A$2:$A$50,密度!$Q$2:$Q$50)</f>
        <v>4719.7487350780011</v>
      </c>
      <c r="R19" s="73" ph="1">
        <f>MAX(R18*9.0746*LOOKUP(R20,密度!$A$2:$A$50,密度!$Q$2:$Q$50),0)</f>
        <v>0</v>
      </c>
      <c r="S19" s="73" ph="1">
        <f>S18*9.0746*LOOKUP(S20,密度!$A$2:$A$50,密度!$Q$2:$Q$50)</f>
        <v>1609.3443745840002</v>
      </c>
      <c r="T19" s="73" ph="1">
        <f>T18*9.0746*LOOKUP(T20,密度!$A$2:$A$50,密度!$O$2:$O$50)</f>
        <v>14075.15833</v>
      </c>
      <c r="U19" s="73" ph="1">
        <f>U18*9.0746*LOOKUP(U20,密度!$A$2:$A$50,密度!$H$2:$H$50)</f>
        <v>32184.126090900005</v>
      </c>
      <c r="V19" s="73" ph="1">
        <f>MAX(5600*LOOKUP(V20,密度!$A$2:$A$50,密度!$Q$2:$Q$50)+V18*9.0476*LOOKUP(V20,密度!$A$2:$A$50,密度!$Q$2:$Q$50),0)</f>
        <v>22400.771340271996</v>
      </c>
      <c r="W19" s="73" ph="1">
        <f>MAX(5600*LOOKUP(W20,密度!$A$2:$A$50,密度!$Q$2:$Q$50)+W18*9.0476*LOOKUP(W20,密度!$A$2:$A$50,密度!$Q$2:$Q$50),0)</f>
        <v>3985.3473787840003</v>
      </c>
      <c r="X19" s="73" ph="1">
        <f>MAX(5600*LOOKUP(X20,密度!$A$2:$A$50,密度!$I$2:$I$50)+X18*9.0476*LOOKUP(X20,密度!$A$2:$A$50,密度!$I$2:$I$50),0)</f>
        <v>13853.257057359999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17482.251383480001</v>
      </c>
      <c r="AB19" s="73" ph="1">
        <f>AB18*9.0746*LOOKUP(AB20,密度!$A$2:$A$50,密度!$L$2:$L$50)</f>
        <v>0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4049.7143652000004</v>
      </c>
      <c r="AE19" s="73" ph="1">
        <f>AE18*268.68*LOOKUP(AE20,密度!$A$2:$A$50,密度!B5:B53)+IF(AE18&lt;=0,0,1566*LOOKUP(AE20,密度!$A$2:$A$50,密度!B5:B53))</f>
        <v>18869.896281599998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18" ph="1"/>
      <c r="C20" s="80" t="s" ph="1">
        <v>179</v>
      </c>
      <c r="D20" s="81">
        <v>29</v>
      </c>
      <c r="E20" s="81">
        <v>29</v>
      </c>
      <c r="F20" s="81">
        <v>31</v>
      </c>
      <c r="G20" s="81">
        <v>27</v>
      </c>
      <c r="H20" s="81">
        <v>26</v>
      </c>
      <c r="I20" s="81">
        <v>29</v>
      </c>
      <c r="J20" s="81">
        <v>34</v>
      </c>
      <c r="K20" s="81">
        <v>29</v>
      </c>
      <c r="L20" s="81">
        <v>29</v>
      </c>
      <c r="M20" s="81">
        <v>30</v>
      </c>
      <c r="N20" s="81">
        <v>26</v>
      </c>
      <c r="O20" s="81">
        <v>29</v>
      </c>
      <c r="P20" s="81">
        <v>29</v>
      </c>
      <c r="Q20" s="81">
        <v>29</v>
      </c>
      <c r="R20" s="81">
        <v>30</v>
      </c>
      <c r="S20" s="81">
        <v>30</v>
      </c>
      <c r="T20" s="81">
        <v>28</v>
      </c>
      <c r="U20" s="81">
        <v>27</v>
      </c>
      <c r="V20" s="81">
        <v>29</v>
      </c>
      <c r="W20" s="81">
        <v>30</v>
      </c>
      <c r="X20" s="81">
        <v>30</v>
      </c>
      <c r="Y20" s="110">
        <v>30</v>
      </c>
      <c r="Z20" s="81">
        <v>28</v>
      </c>
      <c r="AA20" s="81">
        <v>26</v>
      </c>
      <c r="AB20" s="81">
        <v>27</v>
      </c>
      <c r="AC20" s="81">
        <v>27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6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6" t="s" ph="1">
        <v>69</v>
      </c>
      <c r="AA22" s="227"/>
      <c r="AB22" s="227"/>
      <c r="AC22" s="227"/>
      <c r="AD22" s="227"/>
      <c r="AE22" s="228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0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610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229" t="s" ph="1">
        <v>642</v>
      </c>
      <c r="AA23" s="230"/>
      <c r="AB23" s="230"/>
      <c r="AC23" s="230"/>
      <c r="AD23" s="230"/>
      <c r="AE23" s="231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38" ph="1">
        <v>0.33333333333333331</v>
      </c>
      <c r="C24" s="160" t="s" ph="1">
        <v>177</v>
      </c>
      <c r="D24" s="71">
        <v>3.35</v>
      </c>
      <c r="E24" s="71">
        <v>5.18</v>
      </c>
      <c r="F24" s="71">
        <v>2570</v>
      </c>
      <c r="G24" s="71">
        <v>3117</v>
      </c>
      <c r="H24" s="71">
        <v>3075</v>
      </c>
      <c r="I24" s="71">
        <v>1042</v>
      </c>
      <c r="J24" s="71">
        <v>297</v>
      </c>
      <c r="K24" s="71">
        <v>209</v>
      </c>
      <c r="L24" s="71">
        <v>301</v>
      </c>
      <c r="M24" s="71">
        <v>325</v>
      </c>
      <c r="N24" s="71">
        <v>319</v>
      </c>
      <c r="O24" s="71">
        <v>617</v>
      </c>
      <c r="P24" s="71">
        <v>377</v>
      </c>
      <c r="Q24" s="90">
        <v>2900</v>
      </c>
      <c r="R24" s="71">
        <v>289</v>
      </c>
      <c r="S24" s="71">
        <v>433</v>
      </c>
      <c r="T24" s="71">
        <v>10</v>
      </c>
      <c r="U24" s="71">
        <v>5104</v>
      </c>
      <c r="V24" s="71">
        <v>737</v>
      </c>
      <c r="W24" s="71">
        <v>432</v>
      </c>
      <c r="X24" s="71">
        <v>4413</v>
      </c>
      <c r="Y24" s="71">
        <v>5016</v>
      </c>
      <c r="Z24" s="232"/>
      <c r="AA24" s="233"/>
      <c r="AB24" s="233"/>
      <c r="AC24" s="233"/>
      <c r="AD24" s="233"/>
      <c r="AE24" s="234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38" ph="1"/>
      <c r="C25" s="68" t="s" ph="1">
        <v>178</v>
      </c>
      <c r="D25" s="91" ph="1">
        <f>D24*268.68*LOOKUP(D26,密度!$A$2:$A$50,密度!$Q$2:$Q$50)+IF(D24&lt;=0,0,1566*LOOKUP(D26,密度!$A$2:$A$50,密度!$Q$2:$Q$50))</f>
        <v>2334.73468572</v>
      </c>
      <c r="E25" s="91" ph="1">
        <f>E24*268.68*LOOKUP(E26,密度!$A$2:$A$50,密度!$C$2:$C$50)+IF(E24&lt;=0,0,1566*LOOKUP(E26,密度!$A$2:$A$50,密度!$C$2:$C$50))</f>
        <v>3279.8627253599998</v>
      </c>
      <c r="F25" s="91" ph="1">
        <f>F24*11.702*LOOKUP(F26,密度!$A$2:$A$50,密度!$Q$2:$Q$50)</f>
        <v>28429.686024800001</v>
      </c>
      <c r="G25" s="91" ph="1">
        <f>G24*18.322*LOOKUP(G26,密度!$A$2:$A$50,密度!$B$2:$B$50)</f>
        <v>44425.615404600001</v>
      </c>
      <c r="H25" s="91" ph="1">
        <f>H24*18.322*LOOKUP(H26,密度!$A$2:$A$50,密度!$B$2:$B$50)</f>
        <v>43776.296549999999</v>
      </c>
      <c r="I25" s="91" ph="1">
        <f>I24*18.322*LOOKUP(I26,密度!$A$2:$A$50,密度!$Q$2:$Q$50)</f>
        <v>18047.59946768</v>
      </c>
      <c r="J25" s="91" ph="1">
        <f>J24*18.322*LOOKUP(J26,密度!$A$2:$A$50,密度!$Q$2:$Q$50)</f>
        <v>5147.9490130200002</v>
      </c>
      <c r="K25" s="91" ph="1">
        <f>K24*18.322*LOOKUP(K26,密度!$A$2:$A$50,密度!$Q$2:$Q$50)</f>
        <v>3622.6307869399998</v>
      </c>
      <c r="L25" s="91" ph="1">
        <f>L24*18.322*LOOKUP(L26,密度!$A$2:$A$50,密度!$Q$2:$Q$50)</f>
        <v>5213.3660650399997</v>
      </c>
      <c r="M25" s="91" ph="1">
        <f>M24*18.322*LOOKUP(M26,密度!$A$2:$A$50,密度!$Q$2:$Q$50)</f>
        <v>5637.505341</v>
      </c>
      <c r="N25" s="91" ph="1">
        <f>N24*18.322*LOOKUP(N26,密度!$A$2:$A$50,密度!$Q$2:$Q$50)</f>
        <v>5525.1288197599997</v>
      </c>
      <c r="O25" s="91" ph="1">
        <f>O24*18.322*LOOKUP(O26,密度!$A$2:$A$50,密度!$C$2:$C$50)</f>
        <v>12526.709259400001</v>
      </c>
      <c r="P25" s="91" ph="1">
        <f>P24*11.702*LOOKUP(P26,密度!$A$2:$A$50,密度!$B$2:$B$50)</f>
        <v>3435.3549697999993</v>
      </c>
      <c r="Q25" s="92" ph="1">
        <f>Q24*18.322*LOOKUP(Q26,密度!$A$2:$A$50,密度!$B$2:$B$50)</f>
        <v>41375.290059999992</v>
      </c>
      <c r="R25" s="91" ph="1">
        <f>R24*35.891*LOOKUP(R26,密度!$A$2:$A$50,密度!$C$2:$C$50)</f>
        <v>11502.0641411</v>
      </c>
      <c r="S25" s="91" ph="1">
        <f>S24*35.891*LOOKUP(S26,密度!$A$2:$A$50,密度!$B$2:$B$50)</f>
        <v>12115.6100188</v>
      </c>
      <c r="T25" s="91" ph="1">
        <f>T24*35.891*LOOKUP(T26,密度!$A$2:$A$50,密度!$Q$2:$Q$50)</f>
        <v>339.2848012</v>
      </c>
      <c r="U25" s="91" ph="1">
        <f>U24*35.891</f>
        <v>183187.66399999999</v>
      </c>
      <c r="V25" s="91" ph="1">
        <f>V24*47.051*LOOKUP(V26,密度!$A$2:$A$50,密度!$B$2:$B$50)</f>
        <v>26943.708098999999</v>
      </c>
      <c r="W25" s="91" ph="1">
        <f>W24*47.051*LOOKUP(W26,密度!$A$2:$A$50,密度!$B$2:$B$50)</f>
        <v>15827.881118399999</v>
      </c>
      <c r="X25" s="91" ph="1">
        <f>X24*47.051*LOOKUP(X26,密度!$A$2:$A$61,密度!$I$2:$I$61)</f>
        <v>215962.2691263</v>
      </c>
      <c r="Y25" s="91" ph="1">
        <f>Y24*47.051*LOOKUP(Y26,密度!$A$2:$A$50,密度!$L$2:$L$50)</f>
        <v>220667.30796000003</v>
      </c>
      <c r="Z25" s="232"/>
      <c r="AA25" s="233"/>
      <c r="AB25" s="233"/>
      <c r="AC25" s="233"/>
      <c r="AD25" s="233"/>
      <c r="AE25" s="234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38" ph="1"/>
      <c r="C26" s="68" t="s" ph="1">
        <v>179</v>
      </c>
      <c r="D26" s="74">
        <v>25</v>
      </c>
      <c r="E26" s="74">
        <v>25</v>
      </c>
      <c r="F26" s="74">
        <v>27</v>
      </c>
      <c r="G26" s="74">
        <v>27</v>
      </c>
      <c r="H26" s="74">
        <v>28</v>
      </c>
      <c r="I26" s="74">
        <v>27</v>
      </c>
      <c r="J26" s="74">
        <v>26</v>
      </c>
      <c r="K26" s="74">
        <v>26</v>
      </c>
      <c r="L26" s="74">
        <v>27</v>
      </c>
      <c r="M26" s="74">
        <v>25</v>
      </c>
      <c r="N26" s="74">
        <v>27</v>
      </c>
      <c r="O26" s="74">
        <v>26</v>
      </c>
      <c r="P26" s="74">
        <v>26</v>
      </c>
      <c r="Q26" s="93">
        <v>26</v>
      </c>
      <c r="R26" s="74">
        <v>25</v>
      </c>
      <c r="S26" s="74">
        <v>25</v>
      </c>
      <c r="T26" s="74">
        <v>27</v>
      </c>
      <c r="U26" s="74">
        <v>28</v>
      </c>
      <c r="V26" s="74">
        <v>28</v>
      </c>
      <c r="W26" s="74">
        <v>26</v>
      </c>
      <c r="X26" s="74">
        <v>27</v>
      </c>
      <c r="Y26" s="74">
        <v>27</v>
      </c>
      <c r="Z26" s="232"/>
      <c r="AA26" s="233"/>
      <c r="AB26" s="233"/>
      <c r="AC26" s="233"/>
      <c r="AD26" s="233"/>
      <c r="AE26" s="234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38" ph="1">
        <v>0.66666666666666663</v>
      </c>
      <c r="C27" s="160" t="s" ph="1">
        <v>180</v>
      </c>
      <c r="D27" s="71">
        <v>3.18</v>
      </c>
      <c r="E27" s="71">
        <v>24.92</v>
      </c>
      <c r="F27" s="71">
        <v>2582</v>
      </c>
      <c r="G27" s="71">
        <v>2676</v>
      </c>
      <c r="H27" s="71">
        <v>2664</v>
      </c>
      <c r="I27" s="71">
        <v>165</v>
      </c>
      <c r="J27" s="71">
        <v>296</v>
      </c>
      <c r="K27" s="71">
        <v>209</v>
      </c>
      <c r="L27" s="71">
        <v>300</v>
      </c>
      <c r="M27" s="71">
        <v>325</v>
      </c>
      <c r="N27" s="71">
        <v>319</v>
      </c>
      <c r="O27" s="71">
        <v>3081</v>
      </c>
      <c r="P27" s="71">
        <v>377</v>
      </c>
      <c r="Q27" s="90">
        <v>3090</v>
      </c>
      <c r="R27" s="71">
        <v>288</v>
      </c>
      <c r="S27" s="71">
        <v>432</v>
      </c>
      <c r="T27" s="71">
        <v>11</v>
      </c>
      <c r="U27" s="71">
        <v>5061</v>
      </c>
      <c r="V27" s="71">
        <v>737</v>
      </c>
      <c r="W27" s="71">
        <v>431</v>
      </c>
      <c r="X27" s="71">
        <v>4288</v>
      </c>
      <c r="Y27" s="71">
        <v>2859</v>
      </c>
      <c r="Z27" s="232"/>
      <c r="AA27" s="233"/>
      <c r="AB27" s="233"/>
      <c r="AC27" s="233"/>
      <c r="AD27" s="233"/>
      <c r="AE27" s="234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38" ph="1"/>
      <c r="C28" s="160" t="s" ph="1">
        <v>178</v>
      </c>
      <c r="D28" s="91" ph="1">
        <f>D27*268.68*LOOKUP(D29,密度!$A$2:$A$50,密度!$Q$2:$Q$50)+IF(D27&lt;=0,0,1566*LOOKUP(D29,密度!$A$2:$A$50,密度!$Q$2:$Q$50))</f>
        <v>2291.4917681759998</v>
      </c>
      <c r="E28" s="91" ph="1">
        <f>E27*268.68*LOOKUP(E29,密度!$A$2:$A$50,密度!$C$2:$C$50)+IF(E27&lt;=0,0,1566*LOOKUP(E29,密度!$A$2:$A$50,密度!$C$2:$C$50))</f>
        <v>9161.1835598399994</v>
      </c>
      <c r="F28" s="91" ph="1">
        <f>F27*11.702*LOOKUP(F29,密度!$A$2:$A$50,密度!$Q$2:$Q$50)</f>
        <v>28562.431640480001</v>
      </c>
      <c r="G28" s="91" ph="1">
        <f>G27*18.322*LOOKUP(G29,密度!$A$2:$A$50,密度!$B$2:$B$50)</f>
        <v>38096.055143999998</v>
      </c>
      <c r="H28" s="91" ph="1">
        <f>H27*18.322*LOOKUP(H29,密度!$A$2:$A$50,密度!$B$2:$B$50)</f>
        <v>37886.172969599997</v>
      </c>
      <c r="I28" s="91" ph="1">
        <f>I27*18.322*LOOKUP(I29,密度!$A$2:$A$50,密度!$Q$2:$Q$50)</f>
        <v>2853.6231008999998</v>
      </c>
      <c r="J28" s="91" ph="1">
        <f>J27*18.322*LOOKUP(J29,密度!$A$2:$A$50,密度!$Q$2:$Q$50)</f>
        <v>5122.9689814399999</v>
      </c>
      <c r="K28" s="91" ph="1">
        <f>K27*18.322*LOOKUP(K29,密度!$A$2:$A$50,密度!$Q$2:$Q$50)</f>
        <v>3619.91198536</v>
      </c>
      <c r="L28" s="91" ph="1">
        <f>L27*18.322*LOOKUP(L29,密度!$A$2:$A$50,密度!$Q$2:$Q$50)</f>
        <v>5185.1076779999994</v>
      </c>
      <c r="M28" s="91" ph="1">
        <f>M27*18.322*LOOKUP(M29,密度!$A$2:$A$50,密度!$Q$2:$Q$50)</f>
        <v>5617.1999845</v>
      </c>
      <c r="N28" s="91" ph="1">
        <f>N27*18.322*LOOKUP(N29,密度!$A$2:$A$50,密度!$Q$2:$Q$50)</f>
        <v>5521.0375171599999</v>
      </c>
      <c r="O28" s="91" ph="1">
        <f>O27*18.322*LOOKUP(O29,密度!$A$2:$A$50,密度!$C$2:$C$50)</f>
        <v>62467.660741199994</v>
      </c>
      <c r="P28" s="91" ph="1">
        <f>P27*11.702*LOOKUP(P29,密度!$A$2:$A$50,密度!$B$2:$B$50)</f>
        <v>3420.3553461999995</v>
      </c>
      <c r="Q28" s="92" ph="1">
        <f>Q27*18.322*LOOKUP(Q29,密度!$A$2:$A$50,密度!$B$2:$B$50)</f>
        <v>43893.593993999995</v>
      </c>
      <c r="R28" s="91" ph="1">
        <f>R27*35.891*LOOKUP(R29,密度!$A$2:$A$50,密度!$C$2:$C$50)</f>
        <v>11438.4904128</v>
      </c>
      <c r="S28" s="91" ph="1">
        <f>S27*35.891*LOOKUP(S29,密度!$A$2:$A$50,密度!$B$2:$B$50)</f>
        <v>12047.316623999999</v>
      </c>
      <c r="T28" s="91" ph="1">
        <f>T27*35.891*LOOKUP(T29,密度!$A$2:$A$50,密度!$Q$2:$Q$50)</f>
        <v>372.66450793000001</v>
      </c>
      <c r="U28" s="91" ph="1">
        <f>U27*35.891</f>
        <v>181644.351</v>
      </c>
      <c r="V28" s="91" ph="1">
        <f>V27*47.051*LOOKUP(V29,密度!$A$2:$A$50,密度!$B$2:$B$50)</f>
        <v>26915.9668294</v>
      </c>
      <c r="W28" s="91" ph="1">
        <f>W27*47.051*LOOKUP(W29,密度!$A$2:$A$50,密度!$B$2:$B$50)</f>
        <v>15775.0193199</v>
      </c>
      <c r="X28" s="91" ph="1">
        <f>X27*47.051*LOOKUP(X29,密度!$A$2:$A$61,密度!$I$2:$I$61)</f>
        <v>209845.05098880001</v>
      </c>
      <c r="Y28" s="91" ph="1">
        <f>Y27*47.051*LOOKUP(Y29,密度!$A$2:$A$50,密度!$L$2:$L$50)</f>
        <v>125909.60522400001</v>
      </c>
      <c r="Z28" s="232"/>
      <c r="AA28" s="233"/>
      <c r="AB28" s="233"/>
      <c r="AC28" s="233"/>
      <c r="AD28" s="233"/>
      <c r="AE28" s="234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38" ph="1"/>
      <c r="C29" s="160" t="s" ph="1">
        <v>179</v>
      </c>
      <c r="D29" s="74">
        <v>25</v>
      </c>
      <c r="E29" s="74">
        <v>25</v>
      </c>
      <c r="F29" s="74">
        <v>27</v>
      </c>
      <c r="G29" s="74">
        <v>28</v>
      </c>
      <c r="H29" s="74">
        <v>29</v>
      </c>
      <c r="I29" s="74">
        <v>29</v>
      </c>
      <c r="J29" s="74">
        <v>28</v>
      </c>
      <c r="K29" s="74">
        <v>27</v>
      </c>
      <c r="L29" s="74">
        <v>30</v>
      </c>
      <c r="M29" s="74">
        <v>30</v>
      </c>
      <c r="N29" s="74">
        <v>28</v>
      </c>
      <c r="O29" s="74">
        <v>28</v>
      </c>
      <c r="P29" s="74">
        <v>30</v>
      </c>
      <c r="Q29" s="93">
        <v>30</v>
      </c>
      <c r="R29" s="74">
        <v>28</v>
      </c>
      <c r="S29" s="74">
        <v>28</v>
      </c>
      <c r="T29" s="74">
        <v>29</v>
      </c>
      <c r="U29" s="74">
        <v>29</v>
      </c>
      <c r="V29" s="74">
        <v>29</v>
      </c>
      <c r="W29" s="74">
        <v>27</v>
      </c>
      <c r="X29" s="74">
        <v>27</v>
      </c>
      <c r="Y29" s="74">
        <v>26</v>
      </c>
      <c r="Z29" s="235"/>
      <c r="AA29" s="236"/>
      <c r="AB29" s="236"/>
      <c r="AC29" s="236"/>
      <c r="AD29" s="236"/>
      <c r="AE29" s="237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1" t="s" ph="1">
        <v>35</v>
      </c>
      <c r="C31" s="222" ph="1"/>
      <c r="D31" s="225" t="s" ph="1">
        <v>9</v>
      </c>
      <c r="E31" s="200" ph="1"/>
      <c r="F31" s="201" ph="1"/>
      <c r="G31" s="225" t="s" ph="1">
        <v>18</v>
      </c>
      <c r="H31" s="200" ph="1"/>
      <c r="I31" s="201" ph="1"/>
      <c r="J31" s="199" t="s" ph="1">
        <v>1</v>
      </c>
      <c r="K31" s="200" ph="1"/>
      <c r="L31" s="201" ph="1"/>
      <c r="M31" s="199" t="s" ph="1">
        <v>7</v>
      </c>
      <c r="N31" s="200" ph="1"/>
      <c r="O31" s="201" ph="1"/>
      <c r="P31" s="199" t="s" ph="1">
        <v>41</v>
      </c>
      <c r="Q31" s="200"/>
      <c r="R31" s="201"/>
      <c r="S31" s="199" t="s" ph="1">
        <v>2</v>
      </c>
      <c r="T31" s="200"/>
      <c r="U31" s="201"/>
      <c r="V31" s="199" t="s" ph="1">
        <v>71</v>
      </c>
      <c r="W31" s="200" ph="1"/>
      <c r="X31" s="201" ph="1"/>
      <c r="Y31" s="199" t="s" ph="1">
        <v>3</v>
      </c>
      <c r="Z31" s="200" ph="1"/>
      <c r="AA31" s="201" ph="1"/>
      <c r="AB31" s="202" t="s">
        <v>42</v>
      </c>
      <c r="AC31" s="203"/>
      <c r="AD31" s="203"/>
      <c r="AE31" s="204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3" ph="1"/>
      <c r="C32" s="224" ph="1"/>
      <c r="D32" s="96" t="s" ph="1">
        <v>4</v>
      </c>
      <c r="E32" s="160" t="s" ph="1">
        <v>5</v>
      </c>
      <c r="F32" s="161" t="s" ph="1">
        <v>43</v>
      </c>
      <c r="G32" s="97" t="s" ph="1">
        <v>4</v>
      </c>
      <c r="H32" s="160" t="s" ph="1">
        <v>5</v>
      </c>
      <c r="I32" s="161" t="s" ph="1">
        <v>43</v>
      </c>
      <c r="J32" s="97" t="s" ph="1">
        <v>4</v>
      </c>
      <c r="K32" s="160" t="s" ph="1">
        <v>5</v>
      </c>
      <c r="L32" s="161" t="s" ph="1">
        <v>43</v>
      </c>
      <c r="M32" s="97" t="s" ph="1">
        <v>4</v>
      </c>
      <c r="N32" s="160" t="s" ph="1">
        <v>5</v>
      </c>
      <c r="O32" s="161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60" t="s" ph="1">
        <v>5</v>
      </c>
      <c r="U32" s="99" t="s" ph="1">
        <v>43</v>
      </c>
      <c r="V32" s="97" t="s" ph="1">
        <v>4</v>
      </c>
      <c r="W32" s="160" t="s" ph="1">
        <v>5</v>
      </c>
      <c r="X32" s="99" t="s" ph="1">
        <v>43</v>
      </c>
      <c r="Y32" s="100" t="s" ph="1">
        <v>4</v>
      </c>
      <c r="Z32" s="160" t="s" ph="1">
        <v>5</v>
      </c>
      <c r="AA32" s="161" t="s" ph="1">
        <v>43</v>
      </c>
      <c r="AB32" s="97" t="s" ph="1">
        <v>85</v>
      </c>
      <c r="AC32" s="160" t="s" ph="1">
        <v>84</v>
      </c>
      <c r="AD32" s="205" t="s" ph="1">
        <v>83</v>
      </c>
      <c r="AE32" s="206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7" t="s" ph="1">
        <v>181</v>
      </c>
      <c r="C33" s="208" ph="1"/>
      <c r="D33" s="187" ph="1">
        <f>AA10+AB10+Z19</f>
        <v>84703.342575200004</v>
      </c>
      <c r="E33" s="187" ph="1">
        <f>M10+I10</f>
        <v>129367.45096519998</v>
      </c>
      <c r="F33" s="211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1522252632456786910111213141516171819202123456789101112131415161718192022232424356789101112131415161718192021222345678910111213141516171819202345678910111213149101516171819222123234567891012131415161711181920212224252345678910111213124[[#This Row],[F25]]</f>
        <v>3880</v>
      </c>
      <c r="G33" s="213" ph="1">
        <f>N19</f>
        <v>4426.1161858799996</v>
      </c>
      <c r="H33" s="187" ph="1">
        <f>M19</f>
        <v>18503.523201760003</v>
      </c>
      <c r="I33" s="191" ph="1">
        <v>0</v>
      </c>
      <c r="J33" s="195" ph="1">
        <f>F10+O28</f>
        <v>234050.34036929999</v>
      </c>
      <c r="K33" s="187" ph="1">
        <f>O10+K10+E28+R28</f>
        <v>137152.91919984002</v>
      </c>
      <c r="L33" s="197" ph="1">
        <f>K19</f>
        <v>36670.082911560006</v>
      </c>
      <c r="M33" s="195" ph="1">
        <f>G10+H10+W28+S28+V28+E10+R19+P28+Q28</f>
        <v>470724.86352750001</v>
      </c>
      <c r="N33" s="187" ph="1">
        <f>L10+P10++G28+H28+AD19+AE19</f>
        <v>156854.16662939999</v>
      </c>
      <c r="O33" s="191" ph="1">
        <f>G19</f>
        <v>22342.1506911</v>
      </c>
      <c r="P33" s="195" ph="1">
        <f>L19</f>
        <v>51019.343164399994</v>
      </c>
      <c r="Q33" s="187" ph="1">
        <f>J10+N10</f>
        <v>74322.227842599998</v>
      </c>
      <c r="R33" s="191" ph="1">
        <f>BE23</f>
        <v>890</v>
      </c>
      <c r="S33" s="195" ph="1">
        <f>X28</f>
        <v>209845.05098880001</v>
      </c>
      <c r="T33" s="187" ph="1">
        <f>X19</f>
        <v>13853.257057359999</v>
      </c>
      <c r="U33" s="176" ph="1">
        <f>BE21</f>
        <v>730</v>
      </c>
      <c r="V33" s="189" ph="1">
        <f ca="1">P19+Q19+S19+M28+N28+J28+D10+AC10+D19+E19+H19+J19+O19+V19+W19+K28+L28</f>
        <v>631090.11383774399</v>
      </c>
      <c r="W33" s="189" ph="1">
        <f>D28+F28+T28+I28</f>
        <v>34080.211017485999</v>
      </c>
      <c r="X33" s="191" ph="1">
        <f>BE29+BE31</f>
        <v>10200</v>
      </c>
      <c r="Y33" s="193" ph="1">
        <f>+Q10+R10+S10+T10+U10+V10+W10+X10+Y10</f>
        <v>291800.18429100001</v>
      </c>
      <c r="Z33" s="174" ph="1">
        <f>T19+U19+Y28+Z10</f>
        <v>380897.52536890004</v>
      </c>
      <c r="AA33" s="176" ph="1">
        <f>BE19</f>
        <v>1440</v>
      </c>
      <c r="AB33" s="178" ph="1">
        <f>I19</f>
        <v>1973.4804858</v>
      </c>
      <c r="AC33" s="180" ph="1">
        <f>AD10+AB19</f>
        <v>60798.238502400003</v>
      </c>
      <c r="AD33" s="182" ph="1">
        <v>0</v>
      </c>
      <c r="AE33" s="183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9" ph="1"/>
      <c r="C34" s="210" ph="1"/>
      <c r="D34" s="188" ph="1"/>
      <c r="E34" s="188" ph="1"/>
      <c r="F34" s="212" ph="1"/>
      <c r="G34" s="214" ph="1"/>
      <c r="H34" s="188" ph="1"/>
      <c r="I34" s="192" ph="1"/>
      <c r="J34" s="196" ph="1"/>
      <c r="K34" s="188" ph="1"/>
      <c r="L34" s="198" ph="1"/>
      <c r="M34" s="196" ph="1"/>
      <c r="N34" s="188" ph="1"/>
      <c r="O34" s="192" ph="1"/>
      <c r="P34" s="196" ph="1"/>
      <c r="Q34" s="188" ph="1"/>
      <c r="R34" s="192" ph="1"/>
      <c r="S34" s="196" ph="1"/>
      <c r="T34" s="188"/>
      <c r="U34" s="177"/>
      <c r="V34" s="190" ph="1"/>
      <c r="W34" s="190" ph="1"/>
      <c r="X34" s="192" ph="1"/>
      <c r="Y34" s="194" ph="1"/>
      <c r="Z34" s="175" ph="1"/>
      <c r="AA34" s="177" ph="1"/>
      <c r="AB34" s="179"/>
      <c r="AC34" s="181"/>
      <c r="AD34" s="184"/>
      <c r="AE34" s="185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6" t="s" ph="1">
        <v>631</v>
      </c>
      <c r="AD35" s="186"/>
      <c r="AE35" s="186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2" t="s" ph="1">
        <v>183</v>
      </c>
      <c r="J36" s="172" ph="1"/>
      <c r="K36" s="101" ph="1"/>
      <c r="P36" s="101" ph="1"/>
      <c r="R36" s="172" t="s" ph="1">
        <v>184</v>
      </c>
      <c r="S36" s="172" ph="1"/>
      <c r="Y36" s="102" ph="1"/>
      <c r="Z36" s="162" t="s" ph="1">
        <v>185</v>
      </c>
      <c r="AA36" s="162" ph="1"/>
      <c r="AB36" s="173" t="s" ph="1">
        <v>643</v>
      </c>
      <c r="AC36" s="173" ph="1"/>
      <c r="AD36" s="173" ph="1"/>
      <c r="AE36" s="173" ph="1"/>
      <c r="BA36" s="64" ph="1">
        <v>2270</v>
      </c>
    </row>
    <row r="37" spans="1:57" s="162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62" t="s" ph="1">
        <v>342</v>
      </c>
      <c r="AI37" s="162" t="s" ph="1">
        <v>209</v>
      </c>
      <c r="AJ37" s="162" t="s" ph="1">
        <v>210</v>
      </c>
      <c r="AK37" s="162" t="s" ph="1">
        <v>211</v>
      </c>
      <c r="AM37" s="162" t="s" ph="1">
        <v>210</v>
      </c>
      <c r="AN37" s="162" t="s" ph="1">
        <v>211</v>
      </c>
      <c r="AO37" s="162" t="s" ph="1">
        <v>212</v>
      </c>
      <c r="AP37" s="162" t="s" ph="1">
        <v>210</v>
      </c>
      <c r="AQ37" s="162" t="s" ph="1">
        <v>211</v>
      </c>
      <c r="AR37" s="162" t="s" ph="1">
        <v>212</v>
      </c>
      <c r="AS37" s="162" t="s" ph="1">
        <v>210</v>
      </c>
      <c r="AT37" s="162" t="s" ph="1">
        <v>211</v>
      </c>
      <c r="AU37" s="162" t="s" ph="1">
        <v>212</v>
      </c>
      <c r="AV37" s="162" t="s" ph="1">
        <v>210</v>
      </c>
      <c r="AW37" s="162" t="s" ph="1">
        <v>211</v>
      </c>
      <c r="AX37" s="162" t="s" ph="1">
        <v>212</v>
      </c>
      <c r="AY37" s="162" t="s" ph="1">
        <v>211</v>
      </c>
      <c r="AZ37" s="162" t="s" ph="1">
        <v>213</v>
      </c>
      <c r="BD37" s="162" t="s" ph="1">
        <v>305</v>
      </c>
      <c r="BE37" s="162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P56" s="64" ph="1">
        <v>20260804</v>
      </c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N33:N34"/>
    <mergeCell ref="O33:O34"/>
    <mergeCell ref="P33:P34"/>
    <mergeCell ref="Q33:Q34"/>
    <mergeCell ref="R33:R34"/>
    <mergeCell ref="S33:S34"/>
    <mergeCell ref="H33:H34"/>
    <mergeCell ref="I33:I34"/>
    <mergeCell ref="J33:J34"/>
    <mergeCell ref="K33:K34"/>
    <mergeCell ref="L33:L34"/>
    <mergeCell ref="M33:M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B31:C32"/>
    <mergeCell ref="D31:F31"/>
    <mergeCell ref="G31:I31"/>
    <mergeCell ref="J31:L31"/>
    <mergeCell ref="M31:O31"/>
    <mergeCell ref="P31:R31"/>
    <mergeCell ref="B13:B14"/>
    <mergeCell ref="B15:B17"/>
    <mergeCell ref="B18:B20"/>
    <mergeCell ref="B22:B23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132" priority="103">
      <formula>ABS(D$7-D$10)&gt;=1000</formula>
    </cfRule>
  </conditionalFormatting>
  <conditionalFormatting sqref="E4 E6:E11">
    <cfRule type="expression" dxfId="131" priority="102">
      <formula>ABS(E$7-E$10)&gt;=1000</formula>
    </cfRule>
  </conditionalFormatting>
  <conditionalFormatting sqref="F4:F11">
    <cfRule type="expression" dxfId="130" priority="101">
      <formula>ABS(F$7-F$10)&gt;=1000</formula>
    </cfRule>
  </conditionalFormatting>
  <conditionalFormatting sqref="G4:G11">
    <cfRule type="expression" dxfId="129" priority="100">
      <formula>ABS(G$7-G$10)&gt;=1000</formula>
    </cfRule>
  </conditionalFormatting>
  <conditionalFormatting sqref="H4:H11">
    <cfRule type="expression" dxfId="128" priority="99">
      <formula>ABS(H$7-H$10)&gt;=1000</formula>
    </cfRule>
  </conditionalFormatting>
  <conditionalFormatting sqref="I4:I11">
    <cfRule type="expression" dxfId="127" priority="98">
      <formula>ABS(I$7-I$10)&gt;=1000</formula>
    </cfRule>
  </conditionalFormatting>
  <conditionalFormatting sqref="J4:J11">
    <cfRule type="expression" dxfId="126" priority="97">
      <formula>ABS(J$7-J$10)&gt;=1000</formula>
    </cfRule>
  </conditionalFormatting>
  <conditionalFormatting sqref="K4:K11">
    <cfRule type="expression" dxfId="125" priority="96">
      <formula>ABS(K$7-K$10)&gt;=1000</formula>
    </cfRule>
  </conditionalFormatting>
  <conditionalFormatting sqref="L4:L11">
    <cfRule type="expression" dxfId="124" priority="95">
      <formula>ABS(L$7-L$10)&gt;=1000</formula>
    </cfRule>
  </conditionalFormatting>
  <conditionalFormatting sqref="M4 M6:M11">
    <cfRule type="expression" dxfId="123" priority="94">
      <formula>ABS(M$7-M$10)&gt;=1000</formula>
    </cfRule>
  </conditionalFormatting>
  <conditionalFormatting sqref="N4 N6:N11">
    <cfRule type="expression" dxfId="122" priority="93">
      <formula>ABS(N$7-N$10)&gt;=1000</formula>
    </cfRule>
  </conditionalFormatting>
  <conditionalFormatting sqref="O4 O6:O11">
    <cfRule type="expression" dxfId="121" priority="92">
      <formula>ABS(O$7-O$10)&gt;=1000</formula>
    </cfRule>
  </conditionalFormatting>
  <conditionalFormatting sqref="P4 P6:P11">
    <cfRule type="expression" dxfId="120" priority="91">
      <formula>ABS(P$7-P$10)&gt;=1000</formula>
    </cfRule>
  </conditionalFormatting>
  <conditionalFormatting sqref="Q4:Q11">
    <cfRule type="expression" dxfId="119" priority="90">
      <formula>ABS(Q$7-Q$10)&gt;=1000</formula>
    </cfRule>
  </conditionalFormatting>
  <conditionalFormatting sqref="R4:R11">
    <cfRule type="expression" dxfId="118" priority="89">
      <formula>ABS(R$7-R$10)&gt;=1000</formula>
    </cfRule>
  </conditionalFormatting>
  <conditionalFormatting sqref="S4:S11">
    <cfRule type="expression" dxfId="117" priority="88">
      <formula>ABS(S$7-S$10)&gt;=1000</formula>
    </cfRule>
  </conditionalFormatting>
  <conditionalFormatting sqref="T4:T9 T11">
    <cfRule type="expression" dxfId="116" priority="87">
      <formula>ABS(T$7-T$10)&gt;=1000</formula>
    </cfRule>
  </conditionalFormatting>
  <conditionalFormatting sqref="U4:U9 U11">
    <cfRule type="expression" dxfId="115" priority="86">
      <formula>ABS(U$7-U$10)&gt;=1000</formula>
    </cfRule>
  </conditionalFormatting>
  <conditionalFormatting sqref="V4:V9 V11">
    <cfRule type="expression" dxfId="114" priority="85">
      <formula>ABS(V$7-V$10)&gt;=1000</formula>
    </cfRule>
  </conditionalFormatting>
  <conditionalFormatting sqref="W4:W9 W11">
    <cfRule type="expression" dxfId="113" priority="84">
      <formula>ABS(W$7-W$10)&gt;=1000</formula>
    </cfRule>
  </conditionalFormatting>
  <conditionalFormatting sqref="X4:X9 X11">
    <cfRule type="expression" dxfId="112" priority="83">
      <formula>ABS(X$7-X$10)&gt;=1000</formula>
    </cfRule>
  </conditionalFormatting>
  <conditionalFormatting sqref="Y4:Y9 Y11">
    <cfRule type="expression" dxfId="111" priority="82">
      <formula>ABS(Y$7-Y$10)&gt;=1000</formula>
    </cfRule>
  </conditionalFormatting>
  <conditionalFormatting sqref="Z4:Z11">
    <cfRule type="expression" dxfId="110" priority="81">
      <formula>ABS(Z$7-Z$10)&gt;=1000</formula>
    </cfRule>
  </conditionalFormatting>
  <conditionalFormatting sqref="AA4:AA11">
    <cfRule type="expression" dxfId="109" priority="80">
      <formula>ABS(AA$7-AA$10)&gt;=1000</formula>
    </cfRule>
  </conditionalFormatting>
  <conditionalFormatting sqref="AB4:AB11">
    <cfRule type="expression" dxfId="108" priority="79">
      <formula>ABS(AB$7-AB$10)&gt;=1000</formula>
    </cfRule>
  </conditionalFormatting>
  <conditionalFormatting sqref="AC4 AC6:AC11">
    <cfRule type="expression" dxfId="107" priority="78">
      <formula>ABS(AC$7-AC$10)&gt;=1000</formula>
    </cfRule>
  </conditionalFormatting>
  <conditionalFormatting sqref="AD4 AD6:AD11">
    <cfRule type="expression" dxfId="106" priority="77">
      <formula>ABS(AD$7-AD$10)&gt;=1000</formula>
    </cfRule>
  </conditionalFormatting>
  <conditionalFormatting sqref="AE4 AE6:AE11">
    <cfRule type="expression" dxfId="105" priority="76">
      <formula>ABS(AE$7-AE$10)&gt;=1000</formula>
    </cfRule>
  </conditionalFormatting>
  <conditionalFormatting sqref="D13:D20">
    <cfRule type="expression" dxfId="104" priority="75">
      <formula>ABS(D$16-D$19)&gt;=1000</formula>
    </cfRule>
  </conditionalFormatting>
  <conditionalFormatting sqref="E13:E20">
    <cfRule type="expression" dxfId="103" priority="74">
      <formula>ABS(E$16-E$19)&gt;=1000</formula>
    </cfRule>
  </conditionalFormatting>
  <conditionalFormatting sqref="F13 F15:F20">
    <cfRule type="expression" dxfId="102" priority="73">
      <formula>ABS(F$16-F$19)&gt;=1000</formula>
    </cfRule>
  </conditionalFormatting>
  <conditionalFormatting sqref="G13:G20">
    <cfRule type="expression" dxfId="101" priority="72">
      <formula>ABS(G$16-G$19)&gt;=1000</formula>
    </cfRule>
  </conditionalFormatting>
  <conditionalFormatting sqref="H13 H15:H20">
    <cfRule type="expression" dxfId="100" priority="71">
      <formula>ABS(H$16-H$19)&gt;=1000</formula>
    </cfRule>
  </conditionalFormatting>
  <conditionalFormatting sqref="I13:I20">
    <cfRule type="expression" dxfId="99" priority="70">
      <formula>ABS(I$16-I$19)&gt;=1000</formula>
    </cfRule>
  </conditionalFormatting>
  <conditionalFormatting sqref="J13:J20">
    <cfRule type="expression" dxfId="98" priority="69">
      <formula>ABS(J$16-J$19)&gt;=1000</formula>
    </cfRule>
  </conditionalFormatting>
  <conditionalFormatting sqref="L13:L20">
    <cfRule type="expression" dxfId="97" priority="68">
      <formula>ABS(L$16-L$19)&gt;=1000</formula>
    </cfRule>
  </conditionalFormatting>
  <conditionalFormatting sqref="M13 M15 M17:M18 M20">
    <cfRule type="expression" dxfId="96" priority="67">
      <formula>ABS(M$16-M$19)&gt;=1000</formula>
    </cfRule>
  </conditionalFormatting>
  <conditionalFormatting sqref="N13:N20">
    <cfRule type="expression" dxfId="95" priority="66">
      <formula>ABS(N$16-N$19)&gt;=1000</formula>
    </cfRule>
  </conditionalFormatting>
  <conditionalFormatting sqref="O13:O20">
    <cfRule type="expression" dxfId="94" priority="65">
      <formula>ABS(O$16-O$19)&gt;=1000</formula>
    </cfRule>
  </conditionalFormatting>
  <conditionalFormatting sqref="P13:P20">
    <cfRule type="expression" dxfId="93" priority="64">
      <formula>ABS(P$16-P$19)&gt;=1000</formula>
    </cfRule>
  </conditionalFormatting>
  <conditionalFormatting sqref="Q13 Q15:Q20">
    <cfRule type="expression" dxfId="92" priority="63">
      <formula>ABS(Q$16-Q$19)&gt;=1000</formula>
    </cfRule>
  </conditionalFormatting>
  <conditionalFormatting sqref="R13 R15:R20">
    <cfRule type="expression" dxfId="91" priority="62">
      <formula>ABS(R$16-R$19)&gt;=1000</formula>
    </cfRule>
  </conditionalFormatting>
  <conditionalFormatting sqref="S13:S20">
    <cfRule type="expression" dxfId="90" priority="61">
      <formula>ABS(S$16-S$19)&gt;=1000</formula>
    </cfRule>
  </conditionalFormatting>
  <conditionalFormatting sqref="T13:T15 T17:T20">
    <cfRule type="expression" dxfId="89" priority="60">
      <formula>ABS(T$16-T$19)&gt;=1000</formula>
    </cfRule>
  </conditionalFormatting>
  <conditionalFormatting sqref="U13:U20">
    <cfRule type="expression" dxfId="88" priority="59">
      <formula>ABS(U$16-U$19)&gt;=1000</formula>
    </cfRule>
  </conditionalFormatting>
  <conditionalFormatting sqref="V13:V20">
    <cfRule type="expression" dxfId="87" priority="58">
      <formula>ABS(V$16-V$19)&gt;=1000</formula>
    </cfRule>
  </conditionalFormatting>
  <conditionalFormatting sqref="W13 W20 W15:W18">
    <cfRule type="expression" dxfId="86" priority="57">
      <formula>ABS(W$16-W$19)&gt;=1000</formula>
    </cfRule>
  </conditionalFormatting>
  <conditionalFormatting sqref="X13 X15:X20 Y19">
    <cfRule type="expression" dxfId="85" priority="56">
      <formula>ABS(X$16-X$19)&gt;=1000</formula>
    </cfRule>
  </conditionalFormatting>
  <conditionalFormatting sqref="Y13 Y15:Y18 Y20">
    <cfRule type="expression" dxfId="84" priority="55">
      <formula>ABS(Y$16-Y$19)&gt;=1000</formula>
    </cfRule>
  </conditionalFormatting>
  <conditionalFormatting sqref="Z13:Z20">
    <cfRule type="expression" dxfId="83" priority="54">
      <formula>ABS(Z$16-Z$19)&gt;=1000</formula>
    </cfRule>
  </conditionalFormatting>
  <conditionalFormatting sqref="AA13:AA20">
    <cfRule type="expression" dxfId="82" priority="53">
      <formula>ABS(AA$16-AA$19)&gt;=1000</formula>
    </cfRule>
  </conditionalFormatting>
  <conditionalFormatting sqref="AB13 AB15:AB20">
    <cfRule type="expression" dxfId="81" priority="52">
      <formula>ABS(AB$16-AB$19)&gt;=1000</formula>
    </cfRule>
  </conditionalFormatting>
  <conditionalFormatting sqref="AC13 AC15:AC20">
    <cfRule type="expression" dxfId="80" priority="51">
      <formula>ABS(AC$16-AC$19)&gt;=1000</formula>
    </cfRule>
  </conditionalFormatting>
  <conditionalFormatting sqref="AD13:AD20">
    <cfRule type="expression" dxfId="79" priority="50">
      <formula>ABS(AD$16-AD$19)&gt;=1000</formula>
    </cfRule>
  </conditionalFormatting>
  <conditionalFormatting sqref="AE13:AE20">
    <cfRule type="expression" dxfId="78" priority="49">
      <formula>ABS(AE$16-AE$19)&gt;=1000</formula>
    </cfRule>
  </conditionalFormatting>
  <conditionalFormatting sqref="D22:D29">
    <cfRule type="expression" dxfId="77" priority="48">
      <formula>ABS(D$25-D$28)&gt;=1000</formula>
    </cfRule>
  </conditionalFormatting>
  <conditionalFormatting sqref="E22:E29">
    <cfRule type="expression" dxfId="76" priority="47">
      <formula>ABS(E$25-E$28)&gt;=1000</formula>
    </cfRule>
  </conditionalFormatting>
  <conditionalFormatting sqref="F22:F29">
    <cfRule type="expression" dxfId="75" priority="46">
      <formula>ABS(F$25-F$28)&gt;=1000</formula>
    </cfRule>
  </conditionalFormatting>
  <conditionalFormatting sqref="G22:G29">
    <cfRule type="expression" dxfId="74" priority="45">
      <formula>ABS(G$25-G$28)&gt;=1000</formula>
    </cfRule>
  </conditionalFormatting>
  <conditionalFormatting sqref="H22:H29">
    <cfRule type="expression" dxfId="73" priority="44">
      <formula>ABS(H$25-H$28)&gt;=1000</formula>
    </cfRule>
  </conditionalFormatting>
  <conditionalFormatting sqref="I22 I24:I29">
    <cfRule type="expression" dxfId="72" priority="43">
      <formula>ABS(I$25-I$28)&gt;=1000</formula>
    </cfRule>
  </conditionalFormatting>
  <conditionalFormatting sqref="J22:J29 K22">
    <cfRule type="expression" dxfId="71" priority="42">
      <formula>ABS(J$25-J$28)&gt;=1000</formula>
    </cfRule>
  </conditionalFormatting>
  <conditionalFormatting sqref="K23:K29 L25 L28">
    <cfRule type="expression" dxfId="70" priority="41">
      <formula>ABS(K$25-K$28)&gt;=1000</formula>
    </cfRule>
  </conditionalFormatting>
  <conditionalFormatting sqref="L22 L26:L27 L29 L24">
    <cfRule type="expression" dxfId="69" priority="40">
      <formula>ABS(L$25-L$28)&gt;=1000</formula>
    </cfRule>
  </conditionalFormatting>
  <conditionalFormatting sqref="M22:M29">
    <cfRule type="expression" dxfId="68" priority="39">
      <formula>ABS(M$25-M$28)&gt;=1000</formula>
    </cfRule>
  </conditionalFormatting>
  <conditionalFormatting sqref="N22:N29">
    <cfRule type="expression" dxfId="67" priority="38">
      <formula>ABS(N$25-N$28)&gt;=1000</formula>
    </cfRule>
  </conditionalFormatting>
  <conditionalFormatting sqref="O22 O24:O29">
    <cfRule type="expression" dxfId="66" priority="37">
      <formula>ABS(O$25-O$28)&gt;=1000</formula>
    </cfRule>
  </conditionalFormatting>
  <conditionalFormatting sqref="P22:P29">
    <cfRule type="expression" dxfId="65" priority="36">
      <formula>ABS(P$25-P$28)&gt;=1000</formula>
    </cfRule>
  </conditionalFormatting>
  <conditionalFormatting sqref="Q22:Q29">
    <cfRule type="expression" dxfId="64" priority="35">
      <formula>ABS(Q$25-Q$28)&gt;=1000</formula>
    </cfRule>
  </conditionalFormatting>
  <conditionalFormatting sqref="R22:R29">
    <cfRule type="expression" dxfId="63" priority="34">
      <formula>ABS(R$25-R$28)&gt;=1000</formula>
    </cfRule>
  </conditionalFormatting>
  <conditionalFormatting sqref="S22:S29">
    <cfRule type="expression" dxfId="62" priority="33">
      <formula>ABS(S$25-S$28)&gt;=1000</formula>
    </cfRule>
  </conditionalFormatting>
  <conditionalFormatting sqref="T22:T29">
    <cfRule type="expression" dxfId="61" priority="32">
      <formula>ABS(T$25-T$28)&gt;=1000</formula>
    </cfRule>
  </conditionalFormatting>
  <conditionalFormatting sqref="U22:U29">
    <cfRule type="expression" dxfId="60" priority="31">
      <formula>ABS(U$25-U$28)&gt;=1000</formula>
    </cfRule>
  </conditionalFormatting>
  <conditionalFormatting sqref="V22:V29">
    <cfRule type="expression" dxfId="59" priority="30">
      <formula>ABS(V$25-V$28)&gt;=1000</formula>
    </cfRule>
  </conditionalFormatting>
  <conditionalFormatting sqref="W22:W29">
    <cfRule type="expression" dxfId="58" priority="29">
      <formula>ABS(W$25-W$28)&gt;=1000</formula>
    </cfRule>
  </conditionalFormatting>
  <conditionalFormatting sqref="X22:X29">
    <cfRule type="expression" dxfId="57" priority="28">
      <formula>ABS(X$25-X$28)&gt;=1000</formula>
    </cfRule>
  </conditionalFormatting>
  <conditionalFormatting sqref="Y22:Y29">
    <cfRule type="expression" dxfId="56" priority="27">
      <formula>ABS(Y$25-Y$28)&gt;=1000</formula>
    </cfRule>
  </conditionalFormatting>
  <conditionalFormatting sqref="I23">
    <cfRule type="expression" dxfId="55" priority="26">
      <formula>ABS(I$25-I$28)&gt;=1000</formula>
    </cfRule>
  </conditionalFormatting>
  <conditionalFormatting sqref="Q14">
    <cfRule type="expression" dxfId="54" priority="25">
      <formula>ABS(Q$16-Q$19)&gt;=1000</formula>
    </cfRule>
  </conditionalFormatting>
  <conditionalFormatting sqref="W14">
    <cfRule type="expression" dxfId="53" priority="24">
      <formula>ABS(W$16-W$19)&gt;=1000</formula>
    </cfRule>
  </conditionalFormatting>
  <conditionalFormatting sqref="X14">
    <cfRule type="expression" dxfId="52" priority="23">
      <formula>ABS(X$16-X$19)&gt;=1000</formula>
    </cfRule>
  </conditionalFormatting>
  <conditionalFormatting sqref="T10:Y10">
    <cfRule type="expression" dxfId="51" priority="22">
      <formula>ABS(T$7-T$10)&gt;=1000</formula>
    </cfRule>
  </conditionalFormatting>
  <conditionalFormatting sqref="W19">
    <cfRule type="expression" dxfId="50" priority="21">
      <formula>ABS(W$16-W$19)&gt;=1000</formula>
    </cfRule>
  </conditionalFormatting>
  <conditionalFormatting sqref="AC5">
    <cfRule type="expression" dxfId="49" priority="20">
      <formula>ABS(AC$7-AC$10)&gt;=1000</formula>
    </cfRule>
  </conditionalFormatting>
  <conditionalFormatting sqref="M14">
    <cfRule type="expression" dxfId="48" priority="19">
      <formula>ABS(M$16-M$19)&gt;=1000</formula>
    </cfRule>
  </conditionalFormatting>
  <conditionalFormatting sqref="M16">
    <cfRule type="expression" dxfId="47" priority="18">
      <formula>ABS(M$16-M$19)&gt;=1000</formula>
    </cfRule>
  </conditionalFormatting>
  <conditionalFormatting sqref="M19">
    <cfRule type="expression" dxfId="46" priority="17">
      <formula>ABS(M$16-M$19)&gt;=1000</formula>
    </cfRule>
  </conditionalFormatting>
  <conditionalFormatting sqref="K13:K20">
    <cfRule type="expression" dxfId="45" priority="16">
      <formula>ABS(K$16-K$19)&gt;=1000</formula>
    </cfRule>
  </conditionalFormatting>
  <conditionalFormatting sqref="E5">
    <cfRule type="expression" dxfId="44" priority="15">
      <formula>ABS(E$7-E$10)&gt;=1000</formula>
    </cfRule>
  </conditionalFormatting>
  <conditionalFormatting sqref="AB14:AC14">
    <cfRule type="expression" dxfId="43" priority="14">
      <formula>ABS(AB$16-AB$19)&gt;=1000</formula>
    </cfRule>
  </conditionalFormatting>
  <conditionalFormatting sqref="M5">
    <cfRule type="expression" dxfId="42" priority="13">
      <formula>ABS(M$7-M$10)&gt;=1000</formula>
    </cfRule>
  </conditionalFormatting>
  <conditionalFormatting sqref="N5">
    <cfRule type="expression" dxfId="41" priority="12">
      <formula>ABS(N$7-N$10)&gt;=1000</formula>
    </cfRule>
  </conditionalFormatting>
  <conditionalFormatting sqref="O5">
    <cfRule type="expression" dxfId="40" priority="11">
      <formula>ABS(O$7-O$10)&gt;=1000</formula>
    </cfRule>
  </conditionalFormatting>
  <conditionalFormatting sqref="P5">
    <cfRule type="expression" dxfId="39" priority="10">
      <formula>ABS(P$7-P$10)&gt;=1000</formula>
    </cfRule>
  </conditionalFormatting>
  <conditionalFormatting sqref="L23">
    <cfRule type="expression" dxfId="38" priority="9">
      <formula>ABS(L$25-L$28)&gt;=1000</formula>
    </cfRule>
  </conditionalFormatting>
  <conditionalFormatting sqref="Y14">
    <cfRule type="expression" dxfId="37" priority="8">
      <formula>ABS(Y$16-Y$19)&gt;=1000</formula>
    </cfRule>
  </conditionalFormatting>
  <conditionalFormatting sqref="H14">
    <cfRule type="expression" dxfId="36" priority="7">
      <formula>ABS(H$16-H$19)&gt;=1000</formula>
    </cfRule>
  </conditionalFormatting>
  <conditionalFormatting sqref="AD5">
    <cfRule type="expression" dxfId="35" priority="6">
      <formula>ABS(AD$7-AD$10)&gt;=1000</formula>
    </cfRule>
  </conditionalFormatting>
  <conditionalFormatting sqref="AE5">
    <cfRule type="expression" dxfId="34" priority="5">
      <formula>ABS(AE$7-AE$10)&gt;=1000</formula>
    </cfRule>
  </conditionalFormatting>
  <conditionalFormatting sqref="T16">
    <cfRule type="expression" dxfId="33" priority="4">
      <formula>ABS(T$16-T$19)&gt;=1000</formula>
    </cfRule>
  </conditionalFormatting>
  <conditionalFormatting sqref="O23">
    <cfRule type="expression" dxfId="32" priority="3">
      <formula>ABS(O$25-O$28)&gt;=1000</formula>
    </cfRule>
  </conditionalFormatting>
  <conditionalFormatting sqref="F14">
    <cfRule type="expression" dxfId="31" priority="2">
      <formula>ABS(F$16-F$19)&gt;=1000</formula>
    </cfRule>
  </conditionalFormatting>
  <conditionalFormatting sqref="R14">
    <cfRule type="expression" dxfId="30" priority="1">
      <formula>ABS(R$16-R$19)&gt;=1000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51169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25</vt:i4>
      </vt:variant>
      <vt:variant>
        <vt:lpstr>已命名的範圍</vt:lpstr>
      </vt:variant>
      <vt:variant>
        <vt:i4>25</vt:i4>
      </vt:variant>
    </vt:vector>
  </HeadingPairs>
  <TitlesOfParts>
    <vt:vector size="50" baseType="lpstr">
      <vt:lpstr>新增</vt:lpstr>
      <vt:lpstr>密度</vt:lpstr>
      <vt:lpstr>7.31</vt:lpstr>
      <vt:lpstr>8.1</vt:lpstr>
      <vt:lpstr>8.3</vt:lpstr>
      <vt:lpstr>8.4</vt:lpstr>
      <vt:lpstr>8.5</vt:lpstr>
      <vt:lpstr>8.6</vt:lpstr>
      <vt:lpstr>8.7</vt:lpstr>
      <vt:lpstr>8.10</vt:lpstr>
      <vt:lpstr>8.11</vt:lpstr>
      <vt:lpstr>8.12</vt:lpstr>
      <vt:lpstr>8.13</vt:lpstr>
      <vt:lpstr>8.14</vt:lpstr>
      <vt:lpstr>8.17</vt:lpstr>
      <vt:lpstr>8.18</vt:lpstr>
      <vt:lpstr>8.19</vt:lpstr>
      <vt:lpstr>8.20</vt:lpstr>
      <vt:lpstr>8.21</vt:lpstr>
      <vt:lpstr>8.24</vt:lpstr>
      <vt:lpstr>8.25</vt:lpstr>
      <vt:lpstr>8.26</vt:lpstr>
      <vt:lpstr>8.27</vt:lpstr>
      <vt:lpstr>8.28</vt:lpstr>
      <vt:lpstr>8.31</vt:lpstr>
      <vt:lpstr>'7.31'!Print_Area</vt:lpstr>
      <vt:lpstr>'8.1'!Print_Area</vt:lpstr>
      <vt:lpstr>'8.10'!Print_Area</vt:lpstr>
      <vt:lpstr>'8.11'!Print_Area</vt:lpstr>
      <vt:lpstr>'8.12'!Print_Area</vt:lpstr>
      <vt:lpstr>'8.13'!Print_Area</vt:lpstr>
      <vt:lpstr>'8.14'!Print_Area</vt:lpstr>
      <vt:lpstr>'8.17'!Print_Area</vt:lpstr>
      <vt:lpstr>'8.18'!Print_Area</vt:lpstr>
      <vt:lpstr>'8.19'!Print_Area</vt:lpstr>
      <vt:lpstr>'8.20'!Print_Area</vt:lpstr>
      <vt:lpstr>'8.21'!Print_Area</vt:lpstr>
      <vt:lpstr>'8.24'!Print_Area</vt:lpstr>
      <vt:lpstr>'8.25'!Print_Area</vt:lpstr>
      <vt:lpstr>'8.26'!Print_Area</vt:lpstr>
      <vt:lpstr>'8.27'!Print_Area</vt:lpstr>
      <vt:lpstr>'8.28'!Print_Area</vt:lpstr>
      <vt:lpstr>'8.3'!Print_Area</vt:lpstr>
      <vt:lpstr>'8.31'!Print_Area</vt:lpstr>
      <vt:lpstr>'8.4'!Print_Area</vt:lpstr>
      <vt:lpstr>'8.5'!Print_Area</vt:lpstr>
      <vt:lpstr>'8.6'!Print_Area</vt:lpstr>
      <vt:lpstr>'8.7'!Print_Area</vt:lpstr>
      <vt:lpstr>密度!Print_Area</vt:lpstr>
      <vt:lpstr>新增!Print_Area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C663</dc:creator>
  <cp:lastModifiedBy>C712-PC</cp:lastModifiedBy>
  <cp:lastPrinted>2026-08-31T06:52:08Z</cp:lastPrinted>
  <dcterms:created xsi:type="dcterms:W3CDTF">2006-09-16T00:00:00Z</dcterms:created>
  <dcterms:modified xsi:type="dcterms:W3CDTF">2026-08-31T06:54:59Z</dcterms:modified>
</cp:coreProperties>
</file>